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ncentparadis/Downloads/"/>
    </mc:Choice>
  </mc:AlternateContent>
  <xr:revisionPtr revIDLastSave="0" documentId="13_ncr:1_{6E017373-2854-EA42-AEF5-953CE2C77AEF}" xr6:coauthVersionLast="47" xr6:coauthVersionMax="47" xr10:uidLastSave="{00000000-0000-0000-0000-000000000000}"/>
  <bookViews>
    <workbookView xWindow="0" yWindow="600" windowWidth="38400" windowHeight="19500" tabRatio="500" activeTab="10" xr2:uid="{00000000-000D-0000-FFFF-FFFF00000000}"/>
  </bookViews>
  <sheets>
    <sheet name="Projection P&amp;L" sheetId="1" r:id="rId1"/>
    <sheet name="Suivi 2026" sheetId="2" r:id="rId2"/>
    <sheet name="Suivi 31.12.25" sheetId="3" state="hidden" r:id="rId3"/>
    <sheet name="SUIVI 31.12.24 ALTONEO" sheetId="4" state="hidden" r:id="rId4"/>
    <sheet name="SUIVI 31.12.24" sheetId="5" state="hidden" r:id="rId5"/>
    <sheet name="BP Tréso" sheetId="6" r:id="rId6"/>
    <sheet name="Tréso chantiers" sheetId="7" r:id="rId7"/>
    <sheet name="Charges réelles GL" sheetId="8" r:id="rId8"/>
    <sheet name="Compte de résultat" sheetId="9" r:id="rId9"/>
    <sheet name="Comparatif 2026" sheetId="10" r:id="rId10"/>
    <sheet name="Détail GL" sheetId="11" r:id="rId11"/>
    <sheet name="Prépa tréso projet" sheetId="12" state="hidden" r:id="rId12"/>
    <sheet name="% avancement" sheetId="14" state="hidden" r:id="rId13"/>
    <sheet name="Fonds propres" sheetId="15" state="hidden" r:id="rId14"/>
    <sheet name="SUIVI 30.06.24" sheetId="16" state="hidden" r:id="rId15"/>
    <sheet name="Suivi 31.12.2023" sheetId="17" state="hidden" r:id="rId16"/>
    <sheet name="_GL_2025" sheetId="18" state="hidden" r:id="rId17"/>
    <sheet name="_GL_2026" sheetId="19" state="hidden" r:id="rId18"/>
    <sheet name="_Mapping_comptes" sheetId="20" state="hidden" r:id="rId19"/>
    <sheet name="_RH" sheetId="21" state="hidden" r:id="rId20"/>
    <sheet name="_Base_prev" sheetId="22" state="hidden" r:id="rId21"/>
    <sheet name="_Data_2025" sheetId="23" state="hidden" r:id="rId22"/>
    <sheet name="_Data_2026" sheetId="24" state="hidden" r:id="rId23"/>
  </sheets>
  <definedNames>
    <definedName name="_xlnm._FilterDatabase" localSheetId="10" hidden="1">'Détail GL'!$A$1:$H$1</definedName>
    <definedName name="_xlnm._FilterDatabase" localSheetId="6" hidden="1">'Tréso chantiers'!$A$3:$E$3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11" i="17" l="1"/>
  <c r="AQ11" i="17"/>
  <c r="AR11" i="17" s="1"/>
  <c r="AP11" i="17"/>
  <c r="AO11" i="17"/>
  <c r="AN11" i="17"/>
  <c r="AM11" i="17"/>
  <c r="AL11" i="17"/>
  <c r="AK11" i="17"/>
  <c r="AJ11" i="17"/>
  <c r="AI11" i="17"/>
  <c r="AH11" i="17"/>
  <c r="AS10" i="17"/>
  <c r="AR10" i="17"/>
  <c r="AQ10" i="17"/>
  <c r="AO10" i="17"/>
  <c r="AN10" i="17"/>
  <c r="AM10" i="17"/>
  <c r="AL10" i="17"/>
  <c r="AK10" i="17"/>
  <c r="AJ10" i="17"/>
  <c r="AI10" i="17"/>
  <c r="AH10" i="17"/>
  <c r="AP10" i="17" s="1"/>
  <c r="AS8" i="17"/>
  <c r="AO8" i="17"/>
  <c r="AN8" i="17"/>
  <c r="AM8" i="17"/>
  <c r="AL8" i="17"/>
  <c r="AK8" i="17"/>
  <c r="AJ8" i="17"/>
  <c r="AI8" i="17"/>
  <c r="H8" i="17"/>
  <c r="AH8" i="17" s="1"/>
  <c r="AS7" i="17"/>
  <c r="AP7" i="17"/>
  <c r="AO7" i="17"/>
  <c r="AN7" i="17"/>
  <c r="AM7" i="17"/>
  <c r="AK7" i="17"/>
  <c r="AI7" i="17"/>
  <c r="AH7" i="17"/>
  <c r="H7" i="17"/>
  <c r="AJ7" i="17" s="1"/>
  <c r="AS6" i="17"/>
  <c r="AN6" i="17"/>
  <c r="AM6" i="17"/>
  <c r="AK6" i="17"/>
  <c r="AI6" i="17"/>
  <c r="H6" i="17"/>
  <c r="AL6" i="17" s="1"/>
  <c r="AS5" i="17"/>
  <c r="AO5" i="17"/>
  <c r="AN5" i="17"/>
  <c r="AM5" i="17"/>
  <c r="AL5" i="17"/>
  <c r="AK5" i="17"/>
  <c r="AJ5" i="17"/>
  <c r="AI5" i="17"/>
  <c r="AH5" i="17"/>
  <c r="AP5" i="17" s="1"/>
  <c r="H5" i="17"/>
  <c r="AQ5" i="17" s="1"/>
  <c r="AR5" i="17" s="1"/>
  <c r="AS4" i="17"/>
  <c r="AO4" i="17"/>
  <c r="AN4" i="17"/>
  <c r="AN13" i="17" s="1"/>
  <c r="AM4" i="17"/>
  <c r="AM13" i="17" s="1"/>
  <c r="AL4" i="17"/>
  <c r="AK4" i="17"/>
  <c r="AI4" i="17"/>
  <c r="H4" i="17"/>
  <c r="AJ4" i="17" s="1"/>
  <c r="AS3" i="17"/>
  <c r="AS13" i="17" s="1"/>
  <c r="AN3" i="17"/>
  <c r="AM3" i="17"/>
  <c r="AK3" i="17"/>
  <c r="AK13" i="17" s="1"/>
  <c r="AI3" i="17"/>
  <c r="AI13" i="17" s="1"/>
  <c r="H3" i="17"/>
  <c r="AL3" i="17" s="1"/>
  <c r="AJ34" i="16"/>
  <c r="AI34" i="16"/>
  <c r="S26" i="16"/>
  <c r="BD25" i="16"/>
  <c r="AL25" i="16"/>
  <c r="AI25" i="16"/>
  <c r="AI37" i="16" s="1"/>
  <c r="Z24" i="16"/>
  <c r="Y24" i="16"/>
  <c r="BC23" i="16"/>
  <c r="AZ23" i="16"/>
  <c r="BB23" i="16" s="1"/>
  <c r="AY23" i="16"/>
  <c r="AW23" i="16"/>
  <c r="AT23" i="16"/>
  <c r="AV23" i="16" s="1"/>
  <c r="AQ23" i="16"/>
  <c r="AS23" i="16" s="1"/>
  <c r="AG23" i="16"/>
  <c r="AF23" i="16"/>
  <c r="AE23" i="16"/>
  <c r="AD23" i="16"/>
  <c r="AC23" i="16"/>
  <c r="AB23" i="16"/>
  <c r="AA23" i="16"/>
  <c r="O23" i="16"/>
  <c r="Z23" i="16" s="1"/>
  <c r="I23" i="16"/>
  <c r="H23" i="16"/>
  <c r="AK23" i="16" s="1"/>
  <c r="BC22" i="16"/>
  <c r="AZ22" i="16"/>
  <c r="BB22" i="16" s="1"/>
  <c r="AW22" i="16"/>
  <c r="AY22" i="16" s="1"/>
  <c r="AT22" i="16"/>
  <c r="AV22" i="16" s="1"/>
  <c r="AQ22" i="16"/>
  <c r="AS22" i="16" s="1"/>
  <c r="AL22" i="16"/>
  <c r="AH22" i="16"/>
  <c r="AJ22" i="16" s="1"/>
  <c r="AG22" i="16"/>
  <c r="AF22" i="16"/>
  <c r="AE22" i="16"/>
  <c r="AD22" i="16"/>
  <c r="AC22" i="16"/>
  <c r="AB22" i="16"/>
  <c r="AA22" i="16"/>
  <c r="Z22" i="16"/>
  <c r="Y22" i="16"/>
  <c r="X22" i="16"/>
  <c r="H22" i="16"/>
  <c r="AK22" i="16" s="1"/>
  <c r="BC21" i="16"/>
  <c r="BB21" i="16"/>
  <c r="AZ21" i="16"/>
  <c r="AW21" i="16"/>
  <c r="AY21" i="16" s="1"/>
  <c r="AT21" i="16"/>
  <c r="AV21" i="16" s="1"/>
  <c r="AQ21" i="16"/>
  <c r="AS21" i="16" s="1"/>
  <c r="AG21" i="16"/>
  <c r="AF21" i="16"/>
  <c r="AE21" i="16"/>
  <c r="AD21" i="16"/>
  <c r="AC21" i="16"/>
  <c r="AB21" i="16"/>
  <c r="AA21" i="16"/>
  <c r="Z21" i="16"/>
  <c r="Y21" i="16"/>
  <c r="H21" i="16"/>
  <c r="AK21" i="16" s="1"/>
  <c r="BC19" i="16"/>
  <c r="BE19" i="16" s="1"/>
  <c r="AZ19" i="16"/>
  <c r="BB19" i="16" s="1"/>
  <c r="AY19" i="16"/>
  <c r="AW19" i="16"/>
  <c r="AT19" i="16"/>
  <c r="AV19" i="16" s="1"/>
  <c r="AQ19" i="16"/>
  <c r="AS19" i="16" s="1"/>
  <c r="AK19" i="16"/>
  <c r="AG19" i="16"/>
  <c r="AF19" i="16"/>
  <c r="AE19" i="16"/>
  <c r="AD19" i="16"/>
  <c r="AC19" i="16"/>
  <c r="AB19" i="16"/>
  <c r="AA19" i="16"/>
  <c r="Z19" i="16"/>
  <c r="X19" i="16"/>
  <c r="H19" i="16"/>
  <c r="AH19" i="16" s="1"/>
  <c r="BC18" i="16"/>
  <c r="BE18" i="16" s="1"/>
  <c r="BB18" i="16"/>
  <c r="AZ18" i="16"/>
  <c r="AY18" i="16"/>
  <c r="AW18" i="16"/>
  <c r="AT18" i="16"/>
  <c r="AV18" i="16" s="1"/>
  <c r="AS18" i="16"/>
  <c r="AQ18" i="16"/>
  <c r="AG18" i="16"/>
  <c r="AF18" i="16"/>
  <c r="AE18" i="16"/>
  <c r="AD18" i="16"/>
  <c r="AC18" i="16"/>
  <c r="AB18" i="16"/>
  <c r="AA18" i="16"/>
  <c r="Z18" i="16"/>
  <c r="I18" i="16"/>
  <c r="H18" i="16"/>
  <c r="AK18" i="16" s="1"/>
  <c r="BE17" i="16"/>
  <c r="BC17" i="16"/>
  <c r="AZ17" i="16"/>
  <c r="BB17" i="16" s="1"/>
  <c r="AY17" i="16"/>
  <c r="AW17" i="16"/>
  <c r="AV17" i="16"/>
  <c r="AT17" i="16"/>
  <c r="AQ17" i="16"/>
  <c r="AS17" i="16" s="1"/>
  <c r="AG17" i="16"/>
  <c r="AF17" i="16"/>
  <c r="AE17" i="16"/>
  <c r="AD17" i="16"/>
  <c r="AC17" i="16"/>
  <c r="AB17" i="16"/>
  <c r="AA17" i="16"/>
  <c r="X17" i="16"/>
  <c r="O17" i="16"/>
  <c r="Z17" i="16" s="1"/>
  <c r="I17" i="16"/>
  <c r="H17" i="16"/>
  <c r="AK17" i="16" s="1"/>
  <c r="BC16" i="16"/>
  <c r="BB16" i="16"/>
  <c r="AZ16" i="16"/>
  <c r="AW16" i="16"/>
  <c r="AY16" i="16" s="1"/>
  <c r="AT16" i="16"/>
  <c r="AV16" i="16" s="1"/>
  <c r="AS16" i="16"/>
  <c r="AQ16" i="16"/>
  <c r="AG16" i="16"/>
  <c r="AF16" i="16"/>
  <c r="AE16" i="16"/>
  <c r="AD16" i="16"/>
  <c r="AC16" i="16"/>
  <c r="AB16" i="16"/>
  <c r="AA16" i="16"/>
  <c r="O16" i="16"/>
  <c r="Z16" i="16" s="1"/>
  <c r="I16" i="16"/>
  <c r="H16" i="16" s="1"/>
  <c r="BE15" i="16"/>
  <c r="BC15" i="16"/>
  <c r="BB15" i="16"/>
  <c r="AZ15" i="16"/>
  <c r="AW15" i="16"/>
  <c r="AY15" i="16" s="1"/>
  <c r="AT15" i="16"/>
  <c r="AV15" i="16" s="1"/>
  <c r="AS15" i="16"/>
  <c r="AQ15" i="16"/>
  <c r="AG15" i="16"/>
  <c r="AF15" i="16"/>
  <c r="AE15" i="16"/>
  <c r="AD15" i="16"/>
  <c r="AC15" i="16"/>
  <c r="AB15" i="16"/>
  <c r="AA15" i="16"/>
  <c r="O15" i="16"/>
  <c r="Z15" i="16" s="1"/>
  <c r="I15" i="16"/>
  <c r="H15" i="16" s="1"/>
  <c r="BE14" i="16"/>
  <c r="BC14" i="16"/>
  <c r="BB14" i="16"/>
  <c r="AZ14" i="16"/>
  <c r="AW14" i="16"/>
  <c r="AY14" i="16" s="1"/>
  <c r="AT14" i="16"/>
  <c r="AV14" i="16" s="1"/>
  <c r="AS14" i="16"/>
  <c r="AQ14" i="16"/>
  <c r="AG14" i="16"/>
  <c r="AF14" i="16"/>
  <c r="AE14" i="16"/>
  <c r="AD14" i="16"/>
  <c r="AC14" i="16"/>
  <c r="AB14" i="16"/>
  <c r="AA14" i="16"/>
  <c r="O14" i="16"/>
  <c r="Z14" i="16" s="1"/>
  <c r="I14" i="16"/>
  <c r="H14" i="16" s="1"/>
  <c r="BC13" i="16"/>
  <c r="BB13" i="16"/>
  <c r="AZ13" i="16"/>
  <c r="AW13" i="16"/>
  <c r="AY13" i="16" s="1"/>
  <c r="AV13" i="16"/>
  <c r="AT13" i="16"/>
  <c r="AS13" i="16"/>
  <c r="AQ13" i="16"/>
  <c r="AG13" i="16"/>
  <c r="AF13" i="16"/>
  <c r="AE13" i="16"/>
  <c r="AD13" i="16"/>
  <c r="AC13" i="16"/>
  <c r="AB13" i="16"/>
  <c r="AA13" i="16"/>
  <c r="O13" i="16"/>
  <c r="Z13" i="16" s="1"/>
  <c r="I13" i="16"/>
  <c r="H13" i="16" s="1"/>
  <c r="BC11" i="16"/>
  <c r="AT11" i="16"/>
  <c r="AV11" i="16" s="1"/>
  <c r="AG11" i="16"/>
  <c r="AE11" i="16"/>
  <c r="AD11" i="16"/>
  <c r="AB11" i="16"/>
  <c r="Z11" i="16"/>
  <c r="Y11" i="16"/>
  <c r="J11" i="16"/>
  <c r="AW11" i="16" s="1"/>
  <c r="AY11" i="16" s="1"/>
  <c r="H11" i="16"/>
  <c r="AK11" i="16" s="1"/>
  <c r="F11" i="16"/>
  <c r="M11" i="16" s="1"/>
  <c r="BC10" i="16"/>
  <c r="AV10" i="16"/>
  <c r="AT10" i="16"/>
  <c r="AG10" i="16"/>
  <c r="AE10" i="16"/>
  <c r="AD10" i="16"/>
  <c r="AB10" i="16"/>
  <c r="Z10" i="16"/>
  <c r="Y10" i="16"/>
  <c r="F10" i="16"/>
  <c r="M10" i="16" s="1"/>
  <c r="BC9" i="16"/>
  <c r="AT9" i="16"/>
  <c r="AV9" i="16" s="1"/>
  <c r="AG9" i="16"/>
  <c r="AE9" i="16"/>
  <c r="AD9" i="16"/>
  <c r="AB9" i="16"/>
  <c r="Z9" i="16"/>
  <c r="Y9" i="16"/>
  <c r="M9" i="16"/>
  <c r="AF9" i="16" s="1"/>
  <c r="H9" i="16"/>
  <c r="AA9" i="16" s="1"/>
  <c r="F9" i="16"/>
  <c r="BC8" i="16"/>
  <c r="AV8" i="16"/>
  <c r="AT8" i="16"/>
  <c r="AQ8" i="16"/>
  <c r="AS8" i="16" s="1"/>
  <c r="AK8" i="16"/>
  <c r="AG8" i="16"/>
  <c r="AE8" i="16"/>
  <c r="AD8" i="16"/>
  <c r="AB8" i="16"/>
  <c r="Z8" i="16"/>
  <c r="Y8" i="16"/>
  <c r="X8" i="16"/>
  <c r="M8" i="16"/>
  <c r="AF8" i="16" s="1"/>
  <c r="K8" i="16"/>
  <c r="AZ8" i="16" s="1"/>
  <c r="BB8" i="16" s="1"/>
  <c r="J8" i="16"/>
  <c r="AW8" i="16" s="1"/>
  <c r="AY8" i="16" s="1"/>
  <c r="H8" i="16"/>
  <c r="AC8" i="16" s="1"/>
  <c r="F8" i="16"/>
  <c r="BC7" i="16"/>
  <c r="BE7" i="16" s="1"/>
  <c r="BE25" i="16" s="1"/>
  <c r="AL31" i="16" s="1"/>
  <c r="AM31" i="16" s="1"/>
  <c r="AT7" i="16"/>
  <c r="AV7" i="16" s="1"/>
  <c r="AG7" i="16"/>
  <c r="AG25" i="16" s="1"/>
  <c r="AE7" i="16"/>
  <c r="AD7" i="16"/>
  <c r="AB7" i="16"/>
  <c r="Z7" i="16"/>
  <c r="Y7" i="16"/>
  <c r="M7" i="16"/>
  <c r="AQ7" i="16" s="1"/>
  <c r="AS7" i="16" s="1"/>
  <c r="G7" i="16"/>
  <c r="F7" i="16"/>
  <c r="H7" i="16" s="1"/>
  <c r="BC6" i="16"/>
  <c r="AV6" i="16"/>
  <c r="AT6" i="16"/>
  <c r="AK6" i="16"/>
  <c r="AM6" i="16" s="1"/>
  <c r="AN6" i="16" s="1"/>
  <c r="AG6" i="16"/>
  <c r="AE6" i="16"/>
  <c r="AD6" i="16"/>
  <c r="AB6" i="16"/>
  <c r="AA6" i="16"/>
  <c r="Z6" i="16"/>
  <c r="Y6" i="16"/>
  <c r="H6" i="16"/>
  <c r="K6" i="16" s="1"/>
  <c r="AZ6" i="16" s="1"/>
  <c r="BB6" i="16" s="1"/>
  <c r="F6" i="16"/>
  <c r="M6" i="16" s="1"/>
  <c r="BC5" i="16"/>
  <c r="AV5" i="16"/>
  <c r="AT5" i="16"/>
  <c r="AG5" i="16"/>
  <c r="AE5" i="16"/>
  <c r="AD5" i="16"/>
  <c r="AB5" i="16"/>
  <c r="Z5" i="16"/>
  <c r="Y5" i="16"/>
  <c r="F5" i="16"/>
  <c r="M5" i="16" s="1"/>
  <c r="BC4" i="16"/>
  <c r="AT4" i="16"/>
  <c r="AV4" i="16" s="1"/>
  <c r="AG4" i="16"/>
  <c r="AE4" i="16"/>
  <c r="AD4" i="16"/>
  <c r="AB4" i="16"/>
  <c r="Z4" i="16"/>
  <c r="Y4" i="16"/>
  <c r="H4" i="16"/>
  <c r="F4" i="16"/>
  <c r="M4" i="16" s="1"/>
  <c r="BC3" i="16"/>
  <c r="BC25" i="16" s="1"/>
  <c r="AT3" i="16"/>
  <c r="AV3" i="16" s="1"/>
  <c r="AV25" i="16" s="1"/>
  <c r="AL30" i="16" s="1"/>
  <c r="AM30" i="16" s="1"/>
  <c r="AG3" i="16"/>
  <c r="AE3" i="16"/>
  <c r="AE25" i="16" s="1"/>
  <c r="AD3" i="16"/>
  <c r="AD25" i="16" s="1"/>
  <c r="AB3" i="16"/>
  <c r="AB25" i="16" s="1"/>
  <c r="Z3" i="16"/>
  <c r="Y3" i="16"/>
  <c r="F3" i="16"/>
  <c r="M3" i="16" s="1"/>
  <c r="B8" i="15"/>
  <c r="D6" i="15"/>
  <c r="C6" i="15"/>
  <c r="D5" i="15" s="1"/>
  <c r="D8" i="15" s="1"/>
  <c r="C5" i="15"/>
  <c r="C8" i="15" s="1"/>
  <c r="E4" i="15"/>
  <c r="F4" i="15" s="1"/>
  <c r="C18" i="9"/>
  <c r="B18" i="9"/>
  <c r="D4" i="9"/>
  <c r="C4" i="9"/>
  <c r="A2" i="9"/>
  <c r="N53" i="8"/>
  <c r="N61" i="8" s="1"/>
  <c r="M53" i="8"/>
  <c r="M61" i="8" s="1"/>
  <c r="L53" i="8"/>
  <c r="L61" i="8" s="1"/>
  <c r="K53" i="8"/>
  <c r="K61" i="8" s="1"/>
  <c r="J53" i="8"/>
  <c r="J61" i="8" s="1"/>
  <c r="I53" i="8"/>
  <c r="I61" i="8" s="1"/>
  <c r="H53" i="8"/>
  <c r="H61" i="8" s="1"/>
  <c r="G53" i="8"/>
  <c r="G61" i="8" s="1"/>
  <c r="F53" i="8"/>
  <c r="F61" i="8" s="1"/>
  <c r="E53" i="8"/>
  <c r="E61" i="8" s="1"/>
  <c r="D53" i="8"/>
  <c r="D61" i="8" s="1"/>
  <c r="C53" i="8"/>
  <c r="C61" i="8" s="1"/>
  <c r="B53" i="8"/>
  <c r="B61" i="8" s="1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N40" i="8"/>
  <c r="M40" i="8"/>
  <c r="L40" i="8"/>
  <c r="K40" i="8"/>
  <c r="J40" i="8"/>
  <c r="I40" i="8"/>
  <c r="H40" i="8"/>
  <c r="G40" i="8"/>
  <c r="F40" i="8"/>
  <c r="E40" i="8"/>
  <c r="E50" i="8" s="1"/>
  <c r="E63" i="8" s="1"/>
  <c r="D40" i="8"/>
  <c r="C40" i="8"/>
  <c r="B40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N37" i="8"/>
  <c r="M37" i="8"/>
  <c r="L37" i="8"/>
  <c r="K37" i="8"/>
  <c r="J37" i="8"/>
  <c r="I37" i="8"/>
  <c r="I50" i="8" s="1"/>
  <c r="I63" i="8" s="1"/>
  <c r="H37" i="8"/>
  <c r="G37" i="8"/>
  <c r="G50" i="8" s="1"/>
  <c r="G63" i="8" s="1"/>
  <c r="F37" i="8"/>
  <c r="E37" i="8"/>
  <c r="D37" i="8"/>
  <c r="C37" i="8"/>
  <c r="B37" i="8"/>
  <c r="E29" i="8"/>
  <c r="B29" i="8"/>
  <c r="E21" i="8"/>
  <c r="D21" i="8"/>
  <c r="D29" i="8" s="1"/>
  <c r="C21" i="8"/>
  <c r="C29" i="8" s="1"/>
  <c r="B21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D18" i="9" s="1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8" i="8" s="1"/>
  <c r="E31" i="8" s="1"/>
  <c r="D5" i="8"/>
  <c r="C5" i="8"/>
  <c r="B5" i="8"/>
  <c r="B18" i="8" s="1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AQ5" i="7"/>
  <c r="AO5" i="7"/>
  <c r="AM5" i="7"/>
  <c r="AJ5" i="7"/>
  <c r="AG5" i="7"/>
  <c r="AE5" i="7"/>
  <c r="AC5" i="7"/>
  <c r="AB5" i="7"/>
  <c r="Z5" i="7"/>
  <c r="Y5" i="7"/>
  <c r="W5" i="7"/>
  <c r="U5" i="7"/>
  <c r="S5" i="7"/>
  <c r="R5" i="7"/>
  <c r="P5" i="7"/>
  <c r="O5" i="7"/>
  <c r="I5" i="7"/>
  <c r="H5" i="7"/>
  <c r="AQ4" i="7"/>
  <c r="AP4" i="7"/>
  <c r="AO4" i="7"/>
  <c r="AP5" i="7" s="1"/>
  <c r="AN4" i="7"/>
  <c r="AM4" i="7"/>
  <c r="AN5" i="7" s="1"/>
  <c r="AL4" i="7"/>
  <c r="AK4" i="7"/>
  <c r="AL5" i="7" s="1"/>
  <c r="AJ4" i="7"/>
  <c r="AK5" i="7" s="1"/>
  <c r="AI4" i="7"/>
  <c r="AH4" i="7"/>
  <c r="AI5" i="7" s="1"/>
  <c r="AG4" i="7"/>
  <c r="AH5" i="7" s="1"/>
  <c r="AF4" i="7"/>
  <c r="AE4" i="7"/>
  <c r="AF5" i="7" s="1"/>
  <c r="AD4" i="7"/>
  <c r="AC4" i="7"/>
  <c r="AB4" i="7"/>
  <c r="AA4" i="7"/>
  <c r="Z4" i="7"/>
  <c r="AA5" i="7" s="1"/>
  <c r="Y4" i="7"/>
  <c r="X4" i="7"/>
  <c r="W4" i="7"/>
  <c r="V4" i="7"/>
  <c r="D7" i="6" s="1"/>
  <c r="U4" i="7"/>
  <c r="V5" i="7" s="1"/>
  <c r="T4" i="7"/>
  <c r="S4" i="7"/>
  <c r="T5" i="7" s="1"/>
  <c r="R4" i="7"/>
  <c r="Q4" i="7"/>
  <c r="P4" i="7"/>
  <c r="Q5" i="7" s="1"/>
  <c r="O4" i="7"/>
  <c r="N4" i="7"/>
  <c r="M4" i="7"/>
  <c r="N5" i="7" s="1"/>
  <c r="L4" i="7"/>
  <c r="M5" i="7" s="1"/>
  <c r="K4" i="7"/>
  <c r="L5" i="7" s="1"/>
  <c r="J4" i="7"/>
  <c r="K5" i="7" s="1"/>
  <c r="I4" i="7"/>
  <c r="J5" i="7" s="1"/>
  <c r="H4" i="7"/>
  <c r="G4" i="7"/>
  <c r="F4" i="7"/>
  <c r="E4" i="7"/>
  <c r="M10" i="6"/>
  <c r="H10" i="6"/>
  <c r="G10" i="6"/>
  <c r="D10" i="6"/>
  <c r="M7" i="6"/>
  <c r="L7" i="6"/>
  <c r="L10" i="6" s="1"/>
  <c r="J7" i="6"/>
  <c r="J10" i="6" s="1"/>
  <c r="I7" i="6"/>
  <c r="I10" i="6" s="1"/>
  <c r="H7" i="6"/>
  <c r="G7" i="6"/>
  <c r="F7" i="6"/>
  <c r="F10" i="6" s="1"/>
  <c r="C7" i="6"/>
  <c r="C10" i="6" s="1"/>
  <c r="B7" i="6"/>
  <c r="B10" i="6" s="1"/>
  <c r="BA40" i="5"/>
  <c r="AD39" i="5"/>
  <c r="B39" i="5"/>
  <c r="B40" i="5" s="1"/>
  <c r="AX38" i="5"/>
  <c r="AU38" i="5"/>
  <c r="AR38" i="5"/>
  <c r="AO38" i="5"/>
  <c r="AM38" i="5"/>
  <c r="AI38" i="5"/>
  <c r="AJ38" i="5" s="1"/>
  <c r="AE38" i="5"/>
  <c r="Z38" i="5"/>
  <c r="V38" i="5"/>
  <c r="U38" i="5"/>
  <c r="T38" i="5"/>
  <c r="S38" i="5"/>
  <c r="R38" i="5"/>
  <c r="AB38" i="5" s="1"/>
  <c r="Q38" i="5"/>
  <c r="P38" i="5"/>
  <c r="O38" i="5"/>
  <c r="W38" i="5" s="1"/>
  <c r="H38" i="5"/>
  <c r="AH38" i="5" s="1"/>
  <c r="E38" i="5"/>
  <c r="AZ38" i="5" s="1"/>
  <c r="BB38" i="5" s="1"/>
  <c r="BB37" i="5"/>
  <c r="AZ37" i="5"/>
  <c r="AX37" i="5"/>
  <c r="AW37" i="5"/>
  <c r="AY37" i="5" s="1"/>
  <c r="AU37" i="5"/>
  <c r="AT37" i="5"/>
  <c r="AV37" i="5" s="1"/>
  <c r="AS37" i="5"/>
  <c r="AR37" i="5"/>
  <c r="AQ37" i="5"/>
  <c r="AO37" i="5"/>
  <c r="AI37" i="5"/>
  <c r="AD37" i="5"/>
  <c r="Z37" i="5"/>
  <c r="Y37" i="5"/>
  <c r="U37" i="5"/>
  <c r="T37" i="5"/>
  <c r="S37" i="5"/>
  <c r="R37" i="5"/>
  <c r="AB37" i="5" s="1"/>
  <c r="Q37" i="5"/>
  <c r="AA37" i="5" s="1"/>
  <c r="P37" i="5"/>
  <c r="X37" i="5" s="1"/>
  <c r="I37" i="5"/>
  <c r="E37" i="5"/>
  <c r="AZ36" i="5"/>
  <c r="BB36" i="5" s="1"/>
  <c r="AX36" i="5"/>
  <c r="AV36" i="5"/>
  <c r="AU36" i="5"/>
  <c r="AT36" i="5"/>
  <c r="AS36" i="5"/>
  <c r="AR36" i="5"/>
  <c r="AQ36" i="5"/>
  <c r="AO36" i="5"/>
  <c r="AP36" i="5" s="1"/>
  <c r="AN36" i="5"/>
  <c r="AI36" i="5"/>
  <c r="AF36" i="5"/>
  <c r="AB36" i="5"/>
  <c r="Z36" i="5"/>
  <c r="Y36" i="5"/>
  <c r="X36" i="5"/>
  <c r="U36" i="5"/>
  <c r="T36" i="5"/>
  <c r="AD36" i="5" s="1"/>
  <c r="S36" i="5"/>
  <c r="AC36" i="5" s="1"/>
  <c r="R36" i="5"/>
  <c r="Q36" i="5"/>
  <c r="P36" i="5"/>
  <c r="I36" i="5"/>
  <c r="E36" i="5"/>
  <c r="AZ35" i="5"/>
  <c r="BB35" i="5" s="1"/>
  <c r="AX35" i="5"/>
  <c r="AV35" i="5"/>
  <c r="AU35" i="5"/>
  <c r="AT35" i="5"/>
  <c r="AS35" i="5"/>
  <c r="AR35" i="5"/>
  <c r="AO35" i="5"/>
  <c r="AN35" i="5"/>
  <c r="AP35" i="5" s="1"/>
  <c r="AI35" i="5"/>
  <c r="AH35" i="5"/>
  <c r="AF35" i="5"/>
  <c r="AC35" i="5"/>
  <c r="Y35" i="5"/>
  <c r="W35" i="5"/>
  <c r="U35" i="5"/>
  <c r="T35" i="5"/>
  <c r="AD35" i="5" s="1"/>
  <c r="S35" i="5"/>
  <c r="R35" i="5"/>
  <c r="AB35" i="5" s="1"/>
  <c r="Q35" i="5"/>
  <c r="P35" i="5"/>
  <c r="X35" i="5" s="1"/>
  <c r="O35" i="5"/>
  <c r="V35" i="5" s="1"/>
  <c r="H35" i="5"/>
  <c r="AE35" i="5" s="1"/>
  <c r="E35" i="5"/>
  <c r="AQ35" i="5" s="1"/>
  <c r="AX34" i="5"/>
  <c r="AU34" i="5"/>
  <c r="AR34" i="5"/>
  <c r="AO34" i="5"/>
  <c r="AI34" i="5"/>
  <c r="AF34" i="5"/>
  <c r="X34" i="5"/>
  <c r="U34" i="5"/>
  <c r="T34" i="5"/>
  <c r="S34" i="5"/>
  <c r="R34" i="5"/>
  <c r="Q34" i="5"/>
  <c r="P34" i="5"/>
  <c r="O34" i="5"/>
  <c r="H34" i="5"/>
  <c r="E34" i="5"/>
  <c r="AX33" i="5"/>
  <c r="AU33" i="5"/>
  <c r="AR33" i="5"/>
  <c r="AO33" i="5"/>
  <c r="AI33" i="5"/>
  <c r="AH33" i="5"/>
  <c r="AF33" i="5"/>
  <c r="AE33" i="5"/>
  <c r="Z33" i="5"/>
  <c r="X33" i="5"/>
  <c r="U33" i="5"/>
  <c r="T33" i="5"/>
  <c r="S33" i="5"/>
  <c r="R33" i="5"/>
  <c r="Q33" i="5"/>
  <c r="P33" i="5"/>
  <c r="Y33" i="5" s="1"/>
  <c r="O33" i="5"/>
  <c r="W33" i="5" s="1"/>
  <c r="I33" i="5"/>
  <c r="H33" i="5" s="1"/>
  <c r="E33" i="5"/>
  <c r="V33" i="5" s="1"/>
  <c r="AZ32" i="5"/>
  <c r="BB32" i="5" s="1"/>
  <c r="AX32" i="5"/>
  <c r="AU32" i="5"/>
  <c r="AT32" i="5"/>
  <c r="AV32" i="5" s="1"/>
  <c r="AR32" i="5"/>
  <c r="AO32" i="5"/>
  <c r="AN32" i="5"/>
  <c r="AP32" i="5" s="1"/>
  <c r="AI32" i="5"/>
  <c r="AF32" i="5"/>
  <c r="AD32" i="5"/>
  <c r="X32" i="5"/>
  <c r="U32" i="5"/>
  <c r="T32" i="5"/>
  <c r="S32" i="5"/>
  <c r="AC32" i="5" s="1"/>
  <c r="R32" i="5"/>
  <c r="AB32" i="5" s="1"/>
  <c r="Q32" i="5"/>
  <c r="P32" i="5"/>
  <c r="I32" i="5"/>
  <c r="E32" i="5"/>
  <c r="AQ32" i="5" s="1"/>
  <c r="AZ31" i="5"/>
  <c r="BB31" i="5" s="1"/>
  <c r="AX31" i="5"/>
  <c r="AW31" i="5"/>
  <c r="AU31" i="5"/>
  <c r="AS31" i="5"/>
  <c r="AR31" i="5"/>
  <c r="AO31" i="5"/>
  <c r="AN31" i="5"/>
  <c r="AP31" i="5" s="1"/>
  <c r="AM31" i="5"/>
  <c r="AL31" i="5"/>
  <c r="AI31" i="5"/>
  <c r="AH31" i="5"/>
  <c r="AG31" i="5"/>
  <c r="AF31" i="5"/>
  <c r="AD31" i="5"/>
  <c r="Z31" i="5"/>
  <c r="V31" i="5"/>
  <c r="U31" i="5"/>
  <c r="T31" i="5"/>
  <c r="S31" i="5"/>
  <c r="AC31" i="5" s="1"/>
  <c r="R31" i="5"/>
  <c r="AB31" i="5" s="1"/>
  <c r="Q31" i="5"/>
  <c r="P31" i="5"/>
  <c r="Y31" i="5" s="1"/>
  <c r="I31" i="5"/>
  <c r="O31" i="5" s="1"/>
  <c r="W31" i="5" s="1"/>
  <c r="H31" i="5"/>
  <c r="AE31" i="5" s="1"/>
  <c r="E31" i="5"/>
  <c r="AQ31" i="5" s="1"/>
  <c r="AZ30" i="5"/>
  <c r="BB30" i="5" s="1"/>
  <c r="AX30" i="5"/>
  <c r="AU30" i="5"/>
  <c r="AR30" i="5"/>
  <c r="AO30" i="5"/>
  <c r="AI30" i="5"/>
  <c r="AH30" i="5"/>
  <c r="AG30" i="5"/>
  <c r="AF30" i="5"/>
  <c r="AE30" i="5"/>
  <c r="AD30" i="5"/>
  <c r="U30" i="5"/>
  <c r="T30" i="5"/>
  <c r="S30" i="5"/>
  <c r="R30" i="5"/>
  <c r="Q30" i="5"/>
  <c r="P30" i="5"/>
  <c r="O30" i="5"/>
  <c r="W30" i="5" s="1"/>
  <c r="I30" i="5"/>
  <c r="H30" i="5"/>
  <c r="E30" i="5"/>
  <c r="AX29" i="5"/>
  <c r="AU29" i="5"/>
  <c r="AR29" i="5"/>
  <c r="AO29" i="5"/>
  <c r="AI29" i="5"/>
  <c r="AH29" i="5"/>
  <c r="AF29" i="5"/>
  <c r="Z29" i="5"/>
  <c r="U29" i="5"/>
  <c r="T29" i="5"/>
  <c r="S29" i="5"/>
  <c r="R29" i="5"/>
  <c r="Q29" i="5"/>
  <c r="P29" i="5"/>
  <c r="O29" i="5"/>
  <c r="W29" i="5" s="1"/>
  <c r="I29" i="5"/>
  <c r="H29" i="5"/>
  <c r="AE29" i="5" s="1"/>
  <c r="E29" i="5"/>
  <c r="B28" i="5"/>
  <c r="AZ27" i="5"/>
  <c r="BB27" i="5" s="1"/>
  <c r="AY27" i="5"/>
  <c r="AW27" i="5"/>
  <c r="AT27" i="5"/>
  <c r="AV27" i="5" s="1"/>
  <c r="AQ27" i="5"/>
  <c r="AS27" i="5" s="1"/>
  <c r="AP27" i="5"/>
  <c r="AH27" i="5"/>
  <c r="AD27" i="5"/>
  <c r="AC27" i="5"/>
  <c r="AA27" i="5"/>
  <c r="Z27" i="5"/>
  <c r="Y27" i="5"/>
  <c r="X27" i="5"/>
  <c r="W27" i="5"/>
  <c r="V27" i="5"/>
  <c r="H27" i="5"/>
  <c r="G27" i="5"/>
  <c r="E27" i="5"/>
  <c r="AN27" i="5" s="1"/>
  <c r="AD26" i="5"/>
  <c r="Z26" i="5"/>
  <c r="X26" i="5"/>
  <c r="W26" i="5"/>
  <c r="K26" i="5"/>
  <c r="J26" i="5"/>
  <c r="I26" i="5"/>
  <c r="H26" i="5"/>
  <c r="E26" i="5"/>
  <c r="BB25" i="5"/>
  <c r="AZ25" i="5"/>
  <c r="AW25" i="5"/>
  <c r="AY25" i="5" s="1"/>
  <c r="AT25" i="5"/>
  <c r="AV25" i="5" s="1"/>
  <c r="AM25" i="5"/>
  <c r="AL25" i="5"/>
  <c r="AH25" i="5"/>
  <c r="AJ25" i="5" s="1"/>
  <c r="AK25" i="5" s="1"/>
  <c r="AG25" i="5"/>
  <c r="AE25" i="5"/>
  <c r="AC25" i="5"/>
  <c r="AB25" i="5"/>
  <c r="Z25" i="5"/>
  <c r="Y25" i="5"/>
  <c r="X25" i="5"/>
  <c r="W25" i="5"/>
  <c r="V25" i="5"/>
  <c r="U25" i="5"/>
  <c r="H25" i="5"/>
  <c r="G25" i="5"/>
  <c r="F25" i="5"/>
  <c r="E25" i="5"/>
  <c r="AW24" i="5"/>
  <c r="AY24" i="5" s="1"/>
  <c r="AQ24" i="5"/>
  <c r="AS24" i="5" s="1"/>
  <c r="AN24" i="5"/>
  <c r="AP24" i="5" s="1"/>
  <c r="AH24" i="5"/>
  <c r="AJ24" i="5" s="1"/>
  <c r="AB24" i="5"/>
  <c r="Z24" i="5"/>
  <c r="Y24" i="5"/>
  <c r="X24" i="5"/>
  <c r="W24" i="5"/>
  <c r="V24" i="5"/>
  <c r="K24" i="5"/>
  <c r="J24" i="5"/>
  <c r="H24" i="5"/>
  <c r="E24" i="5"/>
  <c r="AQ23" i="5"/>
  <c r="AS23" i="5" s="1"/>
  <c r="AD23" i="5"/>
  <c r="Z23" i="5"/>
  <c r="X23" i="5"/>
  <c r="W23" i="5"/>
  <c r="U23" i="5"/>
  <c r="H23" i="5"/>
  <c r="AH23" i="5" s="1"/>
  <c r="E23" i="5"/>
  <c r="AY22" i="5"/>
  <c r="AD22" i="5"/>
  <c r="AC22" i="5"/>
  <c r="AA22" i="5"/>
  <c r="Z22" i="5"/>
  <c r="Y22" i="5"/>
  <c r="V22" i="5"/>
  <c r="M22" i="5"/>
  <c r="K22" i="5"/>
  <c r="AW22" i="5" s="1"/>
  <c r="J22" i="5"/>
  <c r="H22" i="5"/>
  <c r="E22" i="5"/>
  <c r="AZ21" i="5"/>
  <c r="AN21" i="5"/>
  <c r="AP21" i="5" s="1"/>
  <c r="AK21" i="5"/>
  <c r="AJ21" i="5"/>
  <c r="AH21" i="5"/>
  <c r="AD21" i="5"/>
  <c r="AA21" i="5"/>
  <c r="Z21" i="5"/>
  <c r="Y21" i="5"/>
  <c r="X21" i="5"/>
  <c r="W21" i="5"/>
  <c r="V21" i="5"/>
  <c r="M21" i="5"/>
  <c r="AC21" i="5" s="1"/>
  <c r="K21" i="5"/>
  <c r="AW21" i="5" s="1"/>
  <c r="AY21" i="5" s="1"/>
  <c r="J21" i="5"/>
  <c r="H21" i="5"/>
  <c r="E21" i="5"/>
  <c r="AZ20" i="5"/>
  <c r="AD20" i="5"/>
  <c r="AA20" i="5"/>
  <c r="Y20" i="5"/>
  <c r="W20" i="5"/>
  <c r="V20" i="5"/>
  <c r="U20" i="5"/>
  <c r="M20" i="5"/>
  <c r="K20" i="5"/>
  <c r="AW20" i="5" s="1"/>
  <c r="AY20" i="5" s="1"/>
  <c r="J20" i="5"/>
  <c r="H20" i="5"/>
  <c r="E20" i="5"/>
  <c r="AD19" i="5"/>
  <c r="AA19" i="5"/>
  <c r="Y19" i="5"/>
  <c r="V19" i="5"/>
  <c r="M19" i="5"/>
  <c r="K19" i="5"/>
  <c r="AW19" i="5" s="1"/>
  <c r="AY19" i="5" s="1"/>
  <c r="J19" i="5"/>
  <c r="H19" i="5"/>
  <c r="E19" i="5"/>
  <c r="AB19" i="5" s="1"/>
  <c r="AY18" i="5"/>
  <c r="AD18" i="5"/>
  <c r="AC18" i="5"/>
  <c r="AA18" i="5"/>
  <c r="Y18" i="5"/>
  <c r="V18" i="5"/>
  <c r="M18" i="5"/>
  <c r="AN18" i="5" s="1"/>
  <c r="AP18" i="5" s="1"/>
  <c r="K18" i="5"/>
  <c r="AW18" i="5" s="1"/>
  <c r="J18" i="5"/>
  <c r="AT18" i="5" s="1"/>
  <c r="AV18" i="5" s="1"/>
  <c r="H18" i="5"/>
  <c r="E18" i="5"/>
  <c r="AQ17" i="5"/>
  <c r="AS17" i="5" s="1"/>
  <c r="AP17" i="5"/>
  <c r="AN17" i="5"/>
  <c r="AD17" i="5"/>
  <c r="AC17" i="5"/>
  <c r="AA17" i="5"/>
  <c r="Z17" i="5"/>
  <c r="Y17" i="5"/>
  <c r="X17" i="5"/>
  <c r="V17" i="5"/>
  <c r="U17" i="5"/>
  <c r="M17" i="5"/>
  <c r="K17" i="5"/>
  <c r="AW17" i="5" s="1"/>
  <c r="AY17" i="5" s="1"/>
  <c r="J17" i="5"/>
  <c r="AT17" i="5" s="1"/>
  <c r="AV17" i="5" s="1"/>
  <c r="H17" i="5"/>
  <c r="E17" i="5"/>
  <c r="AZ16" i="5"/>
  <c r="AY16" i="5"/>
  <c r="AS16" i="5"/>
  <c r="AQ16" i="5"/>
  <c r="AP16" i="5"/>
  <c r="AN16" i="5"/>
  <c r="AM16" i="5"/>
  <c r="AH16" i="5"/>
  <c r="AJ16" i="5" s="1"/>
  <c r="AK16" i="5" s="1"/>
  <c r="AE16" i="5"/>
  <c r="AD16" i="5"/>
  <c r="AC16" i="5"/>
  <c r="AB16" i="5"/>
  <c r="AA16" i="5"/>
  <c r="Y16" i="5"/>
  <c r="W16" i="5"/>
  <c r="V16" i="5"/>
  <c r="M16" i="5"/>
  <c r="K16" i="5"/>
  <c r="AW16" i="5" s="1"/>
  <c r="J16" i="5"/>
  <c r="AT16" i="5" s="1"/>
  <c r="AV16" i="5" s="1"/>
  <c r="H16" i="5"/>
  <c r="AZ15" i="5"/>
  <c r="AW15" i="5"/>
  <c r="AY15" i="5" s="1"/>
  <c r="AQ15" i="5"/>
  <c r="AS15" i="5" s="1"/>
  <c r="AM15" i="5"/>
  <c r="AK15" i="5"/>
  <c r="AH15" i="5"/>
  <c r="AJ15" i="5" s="1"/>
  <c r="AG15" i="5"/>
  <c r="AE15" i="5"/>
  <c r="AD15" i="5"/>
  <c r="AC15" i="5"/>
  <c r="AB15" i="5"/>
  <c r="AA15" i="5"/>
  <c r="Y15" i="5"/>
  <c r="X15" i="5"/>
  <c r="W15" i="5"/>
  <c r="V15" i="5"/>
  <c r="U15" i="5"/>
  <c r="M15" i="5"/>
  <c r="AN15" i="5" s="1"/>
  <c r="AP15" i="5" s="1"/>
  <c r="K15" i="5"/>
  <c r="J15" i="5"/>
  <c r="AT15" i="5" s="1"/>
  <c r="AV15" i="5" s="1"/>
  <c r="H15" i="5"/>
  <c r="Z15" i="5" s="1"/>
  <c r="AZ14" i="5"/>
  <c r="AS14" i="5"/>
  <c r="AQ14" i="5"/>
  <c r="AN14" i="5"/>
  <c r="AP14" i="5" s="1"/>
  <c r="AM14" i="5"/>
  <c r="AK14" i="5"/>
  <c r="AH14" i="5"/>
  <c r="AJ14" i="5" s="1"/>
  <c r="AG14" i="5"/>
  <c r="AE14" i="5"/>
  <c r="AD14" i="5"/>
  <c r="AC14" i="5"/>
  <c r="AB14" i="5"/>
  <c r="AA14" i="5"/>
  <c r="Y14" i="5"/>
  <c r="X14" i="5"/>
  <c r="W14" i="5"/>
  <c r="V14" i="5"/>
  <c r="U14" i="5"/>
  <c r="M14" i="5"/>
  <c r="K14" i="5"/>
  <c r="AW14" i="5" s="1"/>
  <c r="AY14" i="5" s="1"/>
  <c r="J14" i="5"/>
  <c r="AT14" i="5" s="1"/>
  <c r="AV14" i="5" s="1"/>
  <c r="H14" i="5"/>
  <c r="Z14" i="5" s="1"/>
  <c r="AZ13" i="5"/>
  <c r="AT13" i="5"/>
  <c r="AV13" i="5" s="1"/>
  <c r="AS13" i="5"/>
  <c r="AQ13" i="5"/>
  <c r="AN13" i="5"/>
  <c r="AP13" i="5" s="1"/>
  <c r="AM13" i="5"/>
  <c r="AJ13" i="5"/>
  <c r="AH13" i="5"/>
  <c r="AK13" i="5" s="1"/>
  <c r="AE13" i="5"/>
  <c r="AD13" i="5"/>
  <c r="AB13" i="5"/>
  <c r="AA13" i="5"/>
  <c r="Y13" i="5"/>
  <c r="W13" i="5"/>
  <c r="V13" i="5"/>
  <c r="M13" i="5"/>
  <c r="AC13" i="5" s="1"/>
  <c r="K13" i="5"/>
  <c r="AW13" i="5" s="1"/>
  <c r="AY13" i="5" s="1"/>
  <c r="J13" i="5"/>
  <c r="H13" i="5"/>
  <c r="AZ12" i="5"/>
  <c r="AW12" i="5"/>
  <c r="AY12" i="5" s="1"/>
  <c r="AS12" i="5"/>
  <c r="AQ12" i="5"/>
  <c r="AM12" i="5"/>
  <c r="AH12" i="5"/>
  <c r="AG12" i="5"/>
  <c r="AE12" i="5"/>
  <c r="AD12" i="5"/>
  <c r="AB12" i="5"/>
  <c r="AA12" i="5"/>
  <c r="Y12" i="5"/>
  <c r="X12" i="5"/>
  <c r="W12" i="5"/>
  <c r="V12" i="5"/>
  <c r="U12" i="5"/>
  <c r="M12" i="5"/>
  <c r="AC12" i="5" s="1"/>
  <c r="K12" i="5"/>
  <c r="J12" i="5"/>
  <c r="AT12" i="5" s="1"/>
  <c r="AV12" i="5" s="1"/>
  <c r="H12" i="5"/>
  <c r="Z12" i="5" s="1"/>
  <c r="AZ11" i="5"/>
  <c r="AQ11" i="5"/>
  <c r="AS11" i="5" s="1"/>
  <c r="AP11" i="5"/>
  <c r="AN11" i="5"/>
  <c r="AM11" i="5"/>
  <c r="AJ11" i="5"/>
  <c r="AK11" i="5" s="1"/>
  <c r="AH11" i="5"/>
  <c r="AE11" i="5"/>
  <c r="AD11" i="5"/>
  <c r="AB11" i="5"/>
  <c r="AA11" i="5"/>
  <c r="Y11" i="5"/>
  <c r="W11" i="5"/>
  <c r="V11" i="5"/>
  <c r="U11" i="5"/>
  <c r="M11" i="5"/>
  <c r="AC11" i="5" s="1"/>
  <c r="K11" i="5"/>
  <c r="AW11" i="5" s="1"/>
  <c r="AY11" i="5" s="1"/>
  <c r="J11" i="5"/>
  <c r="AT11" i="5" s="1"/>
  <c r="AV11" i="5" s="1"/>
  <c r="H11" i="5"/>
  <c r="AZ10" i="5"/>
  <c r="AW10" i="5"/>
  <c r="AY10" i="5" s="1"/>
  <c r="AQ10" i="5"/>
  <c r="AS10" i="5" s="1"/>
  <c r="AN10" i="5"/>
  <c r="AP10" i="5" s="1"/>
  <c r="AM10" i="5"/>
  <c r="AL10" i="5"/>
  <c r="AJ10" i="5"/>
  <c r="AK10" i="5" s="1"/>
  <c r="AH10" i="5"/>
  <c r="AE10" i="5"/>
  <c r="AG10" i="5" s="1"/>
  <c r="AD10" i="5"/>
  <c r="AB10" i="5"/>
  <c r="AA10" i="5"/>
  <c r="Z10" i="5"/>
  <c r="Y10" i="5"/>
  <c r="W10" i="5"/>
  <c r="V10" i="5"/>
  <c r="U10" i="5"/>
  <c r="M10" i="5"/>
  <c r="AC10" i="5" s="1"/>
  <c r="K10" i="5"/>
  <c r="J10" i="5"/>
  <c r="AT10" i="5" s="1"/>
  <c r="AV10" i="5" s="1"/>
  <c r="H10" i="5"/>
  <c r="X10" i="5" s="1"/>
  <c r="AZ9" i="5"/>
  <c r="AQ9" i="5"/>
  <c r="AS9" i="5" s="1"/>
  <c r="AM9" i="5"/>
  <c r="AK9" i="5"/>
  <c r="AJ9" i="5"/>
  <c r="AH9" i="5"/>
  <c r="AG9" i="5"/>
  <c r="AL9" i="5" s="1"/>
  <c r="AE9" i="5"/>
  <c r="AD9" i="5"/>
  <c r="AB9" i="5"/>
  <c r="AA9" i="5"/>
  <c r="Y9" i="5"/>
  <c r="W9" i="5"/>
  <c r="V9" i="5"/>
  <c r="M9" i="5"/>
  <c r="AC9" i="5" s="1"/>
  <c r="K9" i="5"/>
  <c r="AW9" i="5" s="1"/>
  <c r="AY9" i="5" s="1"/>
  <c r="J9" i="5"/>
  <c r="AT9" i="5" s="1"/>
  <c r="AV9" i="5" s="1"/>
  <c r="H9" i="5"/>
  <c r="AZ8" i="5"/>
  <c r="AY8" i="5"/>
  <c r="AS8" i="5"/>
  <c r="AQ8" i="5"/>
  <c r="AN8" i="5"/>
  <c r="AP8" i="5" s="1"/>
  <c r="AM8" i="5"/>
  <c r="AL8" i="5"/>
  <c r="AJ8" i="5"/>
  <c r="AK8" i="5" s="1"/>
  <c r="AH8" i="5"/>
  <c r="AE8" i="5"/>
  <c r="AG8" i="5" s="1"/>
  <c r="AD8" i="5"/>
  <c r="AC8" i="5"/>
  <c r="AB8" i="5"/>
  <c r="AA8" i="5"/>
  <c r="Z8" i="5"/>
  <c r="Y8" i="5"/>
  <c r="X8" i="5"/>
  <c r="W8" i="5"/>
  <c r="V8" i="5"/>
  <c r="U8" i="5"/>
  <c r="M8" i="5"/>
  <c r="K8" i="5"/>
  <c r="AW8" i="5" s="1"/>
  <c r="J8" i="5"/>
  <c r="AT8" i="5" s="1"/>
  <c r="AV8" i="5" s="1"/>
  <c r="H8" i="5"/>
  <c r="AZ7" i="5"/>
  <c r="AY7" i="5"/>
  <c r="AW7" i="5"/>
  <c r="AQ7" i="5"/>
  <c r="AS7" i="5" s="1"/>
  <c r="AN7" i="5"/>
  <c r="AP7" i="5" s="1"/>
  <c r="AM7" i="5"/>
  <c r="AK7" i="5"/>
  <c r="AJ7" i="5"/>
  <c r="AH7" i="5"/>
  <c r="AE7" i="5"/>
  <c r="AG7" i="5" s="1"/>
  <c r="AL7" i="5" s="1"/>
  <c r="AD7" i="5"/>
  <c r="AB7" i="5"/>
  <c r="AA7" i="5"/>
  <c r="Z7" i="5"/>
  <c r="Y7" i="5"/>
  <c r="X7" i="5"/>
  <c r="W7" i="5"/>
  <c r="V7" i="5"/>
  <c r="M7" i="5"/>
  <c r="AC7" i="5" s="1"/>
  <c r="K7" i="5"/>
  <c r="J7" i="5"/>
  <c r="AT7" i="5" s="1"/>
  <c r="AV7" i="5" s="1"/>
  <c r="H7" i="5"/>
  <c r="U7" i="5" s="1"/>
  <c r="AZ6" i="5"/>
  <c r="AT6" i="5"/>
  <c r="AV6" i="5" s="1"/>
  <c r="AQ6" i="5"/>
  <c r="AS6" i="5" s="1"/>
  <c r="AM6" i="5"/>
  <c r="AK6" i="5"/>
  <c r="AJ6" i="5"/>
  <c r="AH6" i="5"/>
  <c r="AG6" i="5"/>
  <c r="AL6" i="5" s="1"/>
  <c r="AE6" i="5"/>
  <c r="AD6" i="5"/>
  <c r="AC6" i="5"/>
  <c r="AB6" i="5"/>
  <c r="AA6" i="5"/>
  <c r="Z6" i="5"/>
  <c r="Y6" i="5"/>
  <c r="X6" i="5"/>
  <c r="W6" i="5"/>
  <c r="V6" i="5"/>
  <c r="M6" i="5"/>
  <c r="AN6" i="5" s="1"/>
  <c r="AP6" i="5" s="1"/>
  <c r="K6" i="5"/>
  <c r="AW6" i="5" s="1"/>
  <c r="AY6" i="5" s="1"/>
  <c r="J6" i="5"/>
  <c r="H6" i="5"/>
  <c r="U6" i="5" s="1"/>
  <c r="AZ5" i="5"/>
  <c r="AW5" i="5"/>
  <c r="AY5" i="5" s="1"/>
  <c r="AS5" i="5"/>
  <c r="AQ5" i="5"/>
  <c r="AN5" i="5"/>
  <c r="AP5" i="5" s="1"/>
  <c r="AM5" i="5"/>
  <c r="AL5" i="5"/>
  <c r="AJ5" i="5"/>
  <c r="AK5" i="5" s="1"/>
  <c r="AH5" i="5"/>
  <c r="AE5" i="5"/>
  <c r="AG5" i="5" s="1"/>
  <c r="AD5" i="5"/>
  <c r="AC5" i="5"/>
  <c r="AB5" i="5"/>
  <c r="AA5" i="5"/>
  <c r="Z5" i="5"/>
  <c r="Y5" i="5"/>
  <c r="X5" i="5"/>
  <c r="W5" i="5"/>
  <c r="V5" i="5"/>
  <c r="U5" i="5"/>
  <c r="M5" i="5"/>
  <c r="K5" i="5"/>
  <c r="J5" i="5"/>
  <c r="AT5" i="5" s="1"/>
  <c r="AV5" i="5" s="1"/>
  <c r="H5" i="5"/>
  <c r="AZ4" i="5"/>
  <c r="AW4" i="5"/>
  <c r="AY4" i="5" s="1"/>
  <c r="AT4" i="5"/>
  <c r="AV4" i="5" s="1"/>
  <c r="AQ4" i="5"/>
  <c r="AS4" i="5" s="1"/>
  <c r="AM4" i="5"/>
  <c r="AK4" i="5"/>
  <c r="AJ4" i="5"/>
  <c r="AH4" i="5"/>
  <c r="AG4" i="5"/>
  <c r="AE4" i="5"/>
  <c r="AD4" i="5"/>
  <c r="AB4" i="5"/>
  <c r="AA4" i="5"/>
  <c r="Y4" i="5"/>
  <c r="X4" i="5"/>
  <c r="W4" i="5"/>
  <c r="V4" i="5"/>
  <c r="U4" i="5"/>
  <c r="M4" i="5"/>
  <c r="K4" i="5"/>
  <c r="J4" i="5"/>
  <c r="H4" i="5"/>
  <c r="Z4" i="5" s="1"/>
  <c r="AZ3" i="5"/>
  <c r="AW3" i="5"/>
  <c r="AT3" i="5"/>
  <c r="AQ3" i="5"/>
  <c r="AM3" i="5"/>
  <c r="AJ3" i="5"/>
  <c r="AH3" i="5"/>
  <c r="AE3" i="5"/>
  <c r="AD3" i="5"/>
  <c r="AB3" i="5"/>
  <c r="AA3" i="5"/>
  <c r="Z3" i="5"/>
  <c r="Y3" i="5"/>
  <c r="X3" i="5"/>
  <c r="W3" i="5"/>
  <c r="V3" i="5"/>
  <c r="U3" i="5"/>
  <c r="M3" i="5"/>
  <c r="K3" i="5"/>
  <c r="J3" i="5"/>
  <c r="H3" i="5"/>
  <c r="BE40" i="4"/>
  <c r="AM40" i="4"/>
  <c r="AL40" i="4"/>
  <c r="AE40" i="4"/>
  <c r="V40" i="4"/>
  <c r="B40" i="4"/>
  <c r="B39" i="4"/>
  <c r="BF38" i="4"/>
  <c r="BD38" i="4"/>
  <c r="BB38" i="4"/>
  <c r="AV38" i="4"/>
  <c r="AU38" i="4"/>
  <c r="AS38" i="4"/>
  <c r="AR38" i="4"/>
  <c r="AT38" i="4" s="1"/>
  <c r="AN38" i="4"/>
  <c r="AJ38" i="4"/>
  <c r="AF38" i="4"/>
  <c r="AD38" i="4"/>
  <c r="AC38" i="4"/>
  <c r="AA38" i="4"/>
  <c r="X38" i="4"/>
  <c r="W38" i="4"/>
  <c r="U38" i="4"/>
  <c r="T38" i="4"/>
  <c r="Q38" i="4"/>
  <c r="P38" i="4"/>
  <c r="O38" i="4"/>
  <c r="H38" i="4"/>
  <c r="AI38" i="4" s="1"/>
  <c r="E38" i="4"/>
  <c r="BD37" i="4"/>
  <c r="BF37" i="4" s="1"/>
  <c r="BB37" i="4"/>
  <c r="AV37" i="4"/>
  <c r="AS37" i="4"/>
  <c r="AR37" i="4"/>
  <c r="AT37" i="4" s="1"/>
  <c r="AN37" i="4"/>
  <c r="AN40" i="4" s="1"/>
  <c r="AJ37" i="4"/>
  <c r="AI37" i="4"/>
  <c r="AA37" i="4"/>
  <c r="U37" i="4"/>
  <c r="T37" i="4"/>
  <c r="S37" i="4"/>
  <c r="R37" i="4"/>
  <c r="Q37" i="4"/>
  <c r="P37" i="4"/>
  <c r="Y37" i="4" s="1"/>
  <c r="O37" i="4"/>
  <c r="I37" i="4"/>
  <c r="H37" i="4"/>
  <c r="AF37" i="4" s="1"/>
  <c r="E37" i="4"/>
  <c r="BF36" i="4"/>
  <c r="BD36" i="4"/>
  <c r="AV36" i="4"/>
  <c r="AS36" i="4"/>
  <c r="AN36" i="4"/>
  <c r="AJ36" i="4"/>
  <c r="AG36" i="4"/>
  <c r="AB36" i="4"/>
  <c r="Z36" i="4"/>
  <c r="U36" i="4"/>
  <c r="T36" i="4"/>
  <c r="S36" i="4"/>
  <c r="AD36" i="4" s="1"/>
  <c r="R36" i="4"/>
  <c r="Q36" i="4"/>
  <c r="P36" i="4"/>
  <c r="I36" i="4"/>
  <c r="O36" i="4" s="1"/>
  <c r="X36" i="4" s="1"/>
  <c r="H36" i="4"/>
  <c r="E36" i="4"/>
  <c r="BC35" i="4"/>
  <c r="AV35" i="4"/>
  <c r="AU35" i="4"/>
  <c r="AW35" i="4" s="1"/>
  <c r="AS35" i="4"/>
  <c r="AN35" i="4"/>
  <c r="AJ35" i="4"/>
  <c r="AG35" i="4"/>
  <c r="AA35" i="4"/>
  <c r="Z35" i="4"/>
  <c r="Y35" i="4"/>
  <c r="U35" i="4"/>
  <c r="T35" i="4"/>
  <c r="S35" i="4"/>
  <c r="R35" i="4"/>
  <c r="AC35" i="4" s="1"/>
  <c r="Q35" i="4"/>
  <c r="AB35" i="4" s="1"/>
  <c r="BA35" i="4" s="1"/>
  <c r="BB35" i="4" s="1"/>
  <c r="P35" i="4"/>
  <c r="O35" i="4"/>
  <c r="X35" i="4" s="1"/>
  <c r="H35" i="4"/>
  <c r="E35" i="4"/>
  <c r="BD35" i="4" s="1"/>
  <c r="BF35" i="4" s="1"/>
  <c r="AV34" i="4"/>
  <c r="AU34" i="4"/>
  <c r="AW34" i="4" s="1"/>
  <c r="AS34" i="4"/>
  <c r="AQ34" i="4"/>
  <c r="AN34" i="4"/>
  <c r="AJ34" i="4"/>
  <c r="AI34" i="4"/>
  <c r="AG34" i="4"/>
  <c r="AD34" i="4"/>
  <c r="AA34" i="4"/>
  <c r="Z34" i="4"/>
  <c r="W34" i="4"/>
  <c r="U34" i="4"/>
  <c r="T34" i="4"/>
  <c r="S34" i="4"/>
  <c r="R34" i="4"/>
  <c r="AC34" i="4" s="1"/>
  <c r="Q34" i="4"/>
  <c r="AB34" i="4" s="1"/>
  <c r="P34" i="4"/>
  <c r="Y34" i="4" s="1"/>
  <c r="O34" i="4"/>
  <c r="X34" i="4" s="1"/>
  <c r="H34" i="4"/>
  <c r="AF34" i="4" s="1"/>
  <c r="E34" i="4"/>
  <c r="BD34" i="4" s="1"/>
  <c r="BF34" i="4" s="1"/>
  <c r="BF33" i="4"/>
  <c r="AV33" i="4"/>
  <c r="AU33" i="4"/>
  <c r="AW33" i="4" s="1"/>
  <c r="AS33" i="4"/>
  <c r="AN33" i="4"/>
  <c r="AJ33" i="4"/>
  <c r="AG33" i="4"/>
  <c r="AC33" i="4"/>
  <c r="AA33" i="4"/>
  <c r="X33" i="4"/>
  <c r="U33" i="4"/>
  <c r="T33" i="4"/>
  <c r="S33" i="4"/>
  <c r="R33" i="4"/>
  <c r="Q33" i="4"/>
  <c r="P33" i="4"/>
  <c r="O33" i="4"/>
  <c r="W33" i="4" s="1"/>
  <c r="I33" i="4"/>
  <c r="H33" i="4"/>
  <c r="E33" i="4"/>
  <c r="BD33" i="4" s="1"/>
  <c r="AV32" i="4"/>
  <c r="AS32" i="4"/>
  <c r="AN32" i="4"/>
  <c r="AJ32" i="4"/>
  <c r="AG32" i="4"/>
  <c r="AA32" i="4"/>
  <c r="Y32" i="4"/>
  <c r="W32" i="4"/>
  <c r="U32" i="4"/>
  <c r="T32" i="4"/>
  <c r="S32" i="4"/>
  <c r="R32" i="4"/>
  <c r="Q32" i="4"/>
  <c r="P32" i="4"/>
  <c r="O32" i="4"/>
  <c r="X32" i="4" s="1"/>
  <c r="I32" i="4"/>
  <c r="H32" i="4" s="1"/>
  <c r="E32" i="4"/>
  <c r="AW31" i="4"/>
  <c r="AV31" i="4"/>
  <c r="AU31" i="4"/>
  <c r="AT31" i="4"/>
  <c r="AS31" i="4"/>
  <c r="AN31" i="4"/>
  <c r="AJ31" i="4"/>
  <c r="AG31" i="4"/>
  <c r="AD31" i="4"/>
  <c r="AA31" i="4"/>
  <c r="Z31" i="4"/>
  <c r="AX31" i="4" s="1"/>
  <c r="AZ31" i="4" s="1"/>
  <c r="Y31" i="4"/>
  <c r="U31" i="4"/>
  <c r="S31" i="4"/>
  <c r="AR31" i="4" s="1"/>
  <c r="R31" i="4"/>
  <c r="AC31" i="4" s="1"/>
  <c r="Q31" i="4"/>
  <c r="AB31" i="4" s="1"/>
  <c r="P31" i="4"/>
  <c r="O31" i="4"/>
  <c r="W31" i="4" s="1"/>
  <c r="I31" i="4"/>
  <c r="H31" i="4"/>
  <c r="AF31" i="4" s="1"/>
  <c r="E31" i="4"/>
  <c r="BD31" i="4" s="1"/>
  <c r="BF31" i="4" s="1"/>
  <c r="AV30" i="4"/>
  <c r="AU30" i="4"/>
  <c r="AW30" i="4" s="1"/>
  <c r="AS30" i="4"/>
  <c r="AR30" i="4"/>
  <c r="AT30" i="4" s="1"/>
  <c r="AN30" i="4"/>
  <c r="AJ30" i="4"/>
  <c r="AG30" i="4"/>
  <c r="AC30" i="4"/>
  <c r="Z30" i="4"/>
  <c r="X30" i="4"/>
  <c r="W30" i="4"/>
  <c r="S30" i="4"/>
  <c r="AD30" i="4" s="1"/>
  <c r="R30" i="4"/>
  <c r="Q30" i="4"/>
  <c r="P30" i="4"/>
  <c r="I30" i="4"/>
  <c r="O30" i="4" s="1"/>
  <c r="H30" i="4"/>
  <c r="E30" i="4"/>
  <c r="BD30" i="4" s="1"/>
  <c r="BF30" i="4" s="1"/>
  <c r="BD29" i="4"/>
  <c r="BF29" i="4" s="1"/>
  <c r="AV29" i="4"/>
  <c r="AU29" i="4"/>
  <c r="AS29" i="4"/>
  <c r="AR29" i="4"/>
  <c r="AT29" i="4" s="1"/>
  <c r="AN29" i="4"/>
  <c r="AJ29" i="4"/>
  <c r="AJ40" i="4" s="1"/>
  <c r="AG29" i="4"/>
  <c r="AG40" i="4" s="1"/>
  <c r="AD29" i="4"/>
  <c r="AA29" i="4"/>
  <c r="T29" i="4"/>
  <c r="S29" i="4"/>
  <c r="R29" i="4"/>
  <c r="Q29" i="4"/>
  <c r="AB29" i="4" s="1"/>
  <c r="P29" i="4"/>
  <c r="Z29" i="4" s="1"/>
  <c r="I29" i="4"/>
  <c r="E29" i="4"/>
  <c r="B28" i="4"/>
  <c r="BF27" i="4"/>
  <c r="BD27" i="4"/>
  <c r="AW27" i="4"/>
  <c r="AV60" i="3" s="1"/>
  <c r="AU27" i="4"/>
  <c r="AR27" i="4"/>
  <c r="AT27" i="4" s="1"/>
  <c r="AI27" i="4"/>
  <c r="AF27" i="4"/>
  <c r="AH27" i="4" s="1"/>
  <c r="AG60" i="3" s="1"/>
  <c r="AC27" i="4"/>
  <c r="AB27" i="4"/>
  <c r="BA27" i="4" s="1"/>
  <c r="BC27" i="4" s="1"/>
  <c r="BB60" i="3" s="1"/>
  <c r="AA27" i="4"/>
  <c r="Z27" i="4"/>
  <c r="AX27" i="4" s="1"/>
  <c r="AZ27" i="4" s="1"/>
  <c r="Y27" i="4"/>
  <c r="X27" i="4"/>
  <c r="W27" i="4"/>
  <c r="H27" i="4"/>
  <c r="U27" i="4" s="1"/>
  <c r="G27" i="4"/>
  <c r="E27" i="4"/>
  <c r="AD27" i="4" s="1"/>
  <c r="BD26" i="4"/>
  <c r="BF26" i="4" s="1"/>
  <c r="BE59" i="3" s="1"/>
  <c r="AR26" i="4"/>
  <c r="AT26" i="4" s="1"/>
  <c r="AS59" i="3" s="1"/>
  <c r="AD26" i="4"/>
  <c r="AC26" i="4"/>
  <c r="AA26" i="4"/>
  <c r="Y26" i="4"/>
  <c r="X26" i="4"/>
  <c r="W26" i="4"/>
  <c r="U26" i="4"/>
  <c r="K26" i="4"/>
  <c r="J26" i="4"/>
  <c r="I26" i="4"/>
  <c r="H26" i="4" s="1"/>
  <c r="AF26" i="4" s="1"/>
  <c r="E26" i="4"/>
  <c r="AR25" i="4"/>
  <c r="AT25" i="4" s="1"/>
  <c r="AS53" i="3" s="1"/>
  <c r="AC25" i="4"/>
  <c r="AA25" i="4"/>
  <c r="Z25" i="4"/>
  <c r="AX25" i="4" s="1"/>
  <c r="AZ25" i="4" s="1"/>
  <c r="AY53" i="3" s="1"/>
  <c r="Y25" i="4"/>
  <c r="W25" i="4"/>
  <c r="U25" i="4"/>
  <c r="G25" i="4"/>
  <c r="F25" i="4" s="1"/>
  <c r="E25" i="4"/>
  <c r="BF24" i="4"/>
  <c r="BE51" i="3" s="1"/>
  <c r="BD24" i="4"/>
  <c r="BC24" i="4"/>
  <c r="AU24" i="4"/>
  <c r="AW24" i="4" s="1"/>
  <c r="AT24" i="4"/>
  <c r="AS51" i="3" s="1"/>
  <c r="AR24" i="4"/>
  <c r="AO24" i="4"/>
  <c r="AI24" i="4"/>
  <c r="AK24" i="4" s="1"/>
  <c r="AB24" i="4"/>
  <c r="BA24" i="4" s="1"/>
  <c r="AA24" i="4"/>
  <c r="Z24" i="4"/>
  <c r="AX24" i="4" s="1"/>
  <c r="AZ24" i="4" s="1"/>
  <c r="AY51" i="3" s="1"/>
  <c r="Y24" i="4"/>
  <c r="X24" i="4"/>
  <c r="W24" i="4"/>
  <c r="K24" i="4"/>
  <c r="J24" i="4"/>
  <c r="AF24" i="4" s="1"/>
  <c r="H24" i="4"/>
  <c r="E24" i="4"/>
  <c r="AD24" i="4" s="1"/>
  <c r="BD23" i="4"/>
  <c r="BF23" i="4" s="1"/>
  <c r="BC23" i="4"/>
  <c r="BB50" i="3" s="1"/>
  <c r="AX23" i="4"/>
  <c r="AZ23" i="4" s="1"/>
  <c r="AU23" i="4"/>
  <c r="AW23" i="4" s="1"/>
  <c r="AR23" i="4"/>
  <c r="AT23" i="4" s="1"/>
  <c r="AI23" i="4"/>
  <c r="AC23" i="4"/>
  <c r="AB23" i="4"/>
  <c r="BA23" i="4" s="1"/>
  <c r="AA23" i="4"/>
  <c r="Z23" i="4"/>
  <c r="Y23" i="4"/>
  <c r="W23" i="4"/>
  <c r="M23" i="4"/>
  <c r="AD23" i="4" s="1"/>
  <c r="H23" i="4"/>
  <c r="U23" i="4" s="1"/>
  <c r="E23" i="4"/>
  <c r="X23" i="4" s="1"/>
  <c r="BD22" i="4"/>
  <c r="AZ22" i="4"/>
  <c r="AB22" i="4"/>
  <c r="Z22" i="4"/>
  <c r="X22" i="4"/>
  <c r="W22" i="4"/>
  <c r="M22" i="4"/>
  <c r="AD22" i="4" s="1"/>
  <c r="K22" i="4"/>
  <c r="BA22" i="4" s="1"/>
  <c r="BC22" i="4" s="1"/>
  <c r="J22" i="4"/>
  <c r="AX22" i="4" s="1"/>
  <c r="H22" i="4"/>
  <c r="E22" i="4"/>
  <c r="AC22" i="4" s="1"/>
  <c r="AZ21" i="4"/>
  <c r="AY48" i="3" s="1"/>
  <c r="AT21" i="4"/>
  <c r="AR21" i="4"/>
  <c r="AD21" i="4"/>
  <c r="AC21" i="4"/>
  <c r="AA21" i="4"/>
  <c r="Z21" i="4"/>
  <c r="AX21" i="4" s="1"/>
  <c r="Y21" i="4"/>
  <c r="X21" i="4"/>
  <c r="W21" i="4"/>
  <c r="M21" i="4"/>
  <c r="K21" i="4"/>
  <c r="J21" i="4"/>
  <c r="H21" i="4"/>
  <c r="U21" i="4" s="1"/>
  <c r="E21" i="4"/>
  <c r="BD20" i="4"/>
  <c r="AZ20" i="4"/>
  <c r="AW20" i="4"/>
  <c r="AU20" i="4"/>
  <c r="AR20" i="4"/>
  <c r="AT20" i="4" s="1"/>
  <c r="AS47" i="3" s="1"/>
  <c r="AO20" i="4"/>
  <c r="AK20" i="4"/>
  <c r="AI20" i="4"/>
  <c r="AF20" i="4"/>
  <c r="AC20" i="4"/>
  <c r="AB20" i="4"/>
  <c r="AA20" i="4"/>
  <c r="Z20" i="4"/>
  <c r="Y20" i="4"/>
  <c r="X20" i="4"/>
  <c r="W20" i="4"/>
  <c r="M20" i="4"/>
  <c r="AD20" i="4" s="1"/>
  <c r="K20" i="4"/>
  <c r="BA20" i="4" s="1"/>
  <c r="BC20" i="4" s="1"/>
  <c r="BB47" i="3" s="1"/>
  <c r="J20" i="4"/>
  <c r="AX20" i="4" s="1"/>
  <c r="H20" i="4"/>
  <c r="U20" i="4" s="1"/>
  <c r="BD19" i="4"/>
  <c r="BC19" i="4"/>
  <c r="AX19" i="4"/>
  <c r="AZ19" i="4" s="1"/>
  <c r="AU19" i="4"/>
  <c r="AW19" i="4" s="1"/>
  <c r="AR19" i="4"/>
  <c r="AT19" i="4" s="1"/>
  <c r="AD19" i="4"/>
  <c r="AC19" i="4"/>
  <c r="AB19" i="4"/>
  <c r="Z19" i="4"/>
  <c r="X19" i="4"/>
  <c r="W19" i="4"/>
  <c r="M19" i="4"/>
  <c r="K19" i="4"/>
  <c r="BA19" i="4" s="1"/>
  <c r="J19" i="4"/>
  <c r="H19" i="4"/>
  <c r="BD18" i="4"/>
  <c r="BC18" i="4"/>
  <c r="BA18" i="4"/>
  <c r="AW18" i="4"/>
  <c r="AU18" i="4"/>
  <c r="AT18" i="4"/>
  <c r="AR18" i="4"/>
  <c r="AI18" i="4"/>
  <c r="AC18" i="4"/>
  <c r="AB18" i="4"/>
  <c r="Z18" i="4"/>
  <c r="Y18" i="4"/>
  <c r="X18" i="4"/>
  <c r="W18" i="4"/>
  <c r="U18" i="4"/>
  <c r="M18" i="4"/>
  <c r="AD18" i="4" s="1"/>
  <c r="K18" i="4"/>
  <c r="J18" i="4"/>
  <c r="AX18" i="4" s="1"/>
  <c r="AZ18" i="4" s="1"/>
  <c r="AY56" i="3" s="1"/>
  <c r="H18" i="4"/>
  <c r="BD17" i="4"/>
  <c r="BA17" i="4"/>
  <c r="BC17" i="4" s="1"/>
  <c r="BB57" i="3" s="1"/>
  <c r="AZ17" i="4"/>
  <c r="AX17" i="4"/>
  <c r="AW17" i="4"/>
  <c r="AV57" i="3" s="1"/>
  <c r="AU17" i="4"/>
  <c r="AR17" i="4"/>
  <c r="AT17" i="4" s="1"/>
  <c r="AS57" i="3" s="1"/>
  <c r="AI17" i="4"/>
  <c r="AD17" i="4"/>
  <c r="AC17" i="4"/>
  <c r="AB17" i="4"/>
  <c r="AA17" i="4"/>
  <c r="Z17" i="4"/>
  <c r="Y17" i="4"/>
  <c r="X17" i="4"/>
  <c r="W17" i="4"/>
  <c r="U17" i="4"/>
  <c r="M17" i="4"/>
  <c r="K17" i="4"/>
  <c r="J17" i="4"/>
  <c r="H17" i="4"/>
  <c r="BD16" i="4"/>
  <c r="AZ16" i="4"/>
  <c r="AY45" i="3" s="1"/>
  <c r="AX16" i="4"/>
  <c r="AW16" i="4"/>
  <c r="AU16" i="4"/>
  <c r="AT16" i="4"/>
  <c r="AQ16" i="4"/>
  <c r="AI16" i="4"/>
  <c r="AH16" i="4"/>
  <c r="AF16" i="4"/>
  <c r="AP16" i="4" s="1"/>
  <c r="AD16" i="4"/>
  <c r="AC16" i="4"/>
  <c r="AB16" i="4"/>
  <c r="AA16" i="4"/>
  <c r="Z16" i="4"/>
  <c r="Y16" i="4"/>
  <c r="X16" i="4"/>
  <c r="W16" i="4"/>
  <c r="U16" i="4"/>
  <c r="M16" i="4"/>
  <c r="AR16" i="4" s="1"/>
  <c r="K16" i="4"/>
  <c r="BA16" i="4" s="1"/>
  <c r="BC16" i="4" s="1"/>
  <c r="BB45" i="3" s="1"/>
  <c r="J16" i="4"/>
  <c r="H16" i="4"/>
  <c r="BD15" i="4"/>
  <c r="AX15" i="4"/>
  <c r="AZ15" i="4" s="1"/>
  <c r="AW15" i="4"/>
  <c r="AU15" i="4"/>
  <c r="AT15" i="4"/>
  <c r="AQ15" i="4"/>
  <c r="AI15" i="4"/>
  <c r="AK15" i="4" s="1"/>
  <c r="AO15" i="4" s="1"/>
  <c r="AF15" i="4"/>
  <c r="AD15" i="4"/>
  <c r="AC15" i="4"/>
  <c r="AB15" i="4"/>
  <c r="Z15" i="4"/>
  <c r="Y15" i="4"/>
  <c r="X15" i="4"/>
  <c r="W15" i="4"/>
  <c r="M15" i="4"/>
  <c r="AR15" i="4" s="1"/>
  <c r="K15" i="4"/>
  <c r="BA15" i="4" s="1"/>
  <c r="BC15" i="4" s="1"/>
  <c r="J15" i="4"/>
  <c r="H15" i="4"/>
  <c r="AA15" i="4" s="1"/>
  <c r="BD14" i="4"/>
  <c r="BC14" i="4"/>
  <c r="BA14" i="4"/>
  <c r="AU14" i="4"/>
  <c r="AW14" i="4" s="1"/>
  <c r="AV58" i="3" s="1"/>
  <c r="AT14" i="4"/>
  <c r="AS58" i="3" s="1"/>
  <c r="AR14" i="4"/>
  <c r="AD14" i="4"/>
  <c r="AC14" i="4"/>
  <c r="AB14" i="4"/>
  <c r="Z14" i="4"/>
  <c r="X14" i="4"/>
  <c r="W14" i="4"/>
  <c r="U14" i="4"/>
  <c r="M14" i="4"/>
  <c r="K14" i="4"/>
  <c r="J14" i="4"/>
  <c r="AX14" i="4" s="1"/>
  <c r="AZ14" i="4" s="1"/>
  <c r="AY58" i="3" s="1"/>
  <c r="H14" i="4"/>
  <c r="BD13" i="4"/>
  <c r="AZ13" i="4"/>
  <c r="AX13" i="4"/>
  <c r="AU13" i="4"/>
  <c r="AW13" i="4" s="1"/>
  <c r="AQ13" i="4"/>
  <c r="AP13" i="4"/>
  <c r="AK13" i="4"/>
  <c r="AI13" i="4"/>
  <c r="AH13" i="4"/>
  <c r="AF13" i="4"/>
  <c r="AC13" i="4"/>
  <c r="AB13" i="4"/>
  <c r="Z13" i="4"/>
  <c r="X13" i="4"/>
  <c r="W13" i="4"/>
  <c r="M13" i="4"/>
  <c r="K13" i="4"/>
  <c r="BA13" i="4" s="1"/>
  <c r="BC13" i="4" s="1"/>
  <c r="J13" i="4"/>
  <c r="H13" i="4"/>
  <c r="BD12" i="4"/>
  <c r="AX12" i="4"/>
  <c r="AZ12" i="4" s="1"/>
  <c r="AW12" i="4"/>
  <c r="AU12" i="4"/>
  <c r="AQ12" i="4"/>
  <c r="AP12" i="4"/>
  <c r="AI12" i="4"/>
  <c r="AK12" i="4" s="1"/>
  <c r="AF12" i="4"/>
  <c r="AH12" i="4" s="1"/>
  <c r="AG44" i="3" s="1"/>
  <c r="AC12" i="4"/>
  <c r="AB12" i="4"/>
  <c r="Z12" i="4"/>
  <c r="X12" i="4"/>
  <c r="W12" i="4"/>
  <c r="M12" i="4"/>
  <c r="K12" i="4"/>
  <c r="BA12" i="4" s="1"/>
  <c r="BC12" i="4" s="1"/>
  <c r="J12" i="4"/>
  <c r="H12" i="4"/>
  <c r="BD11" i="4"/>
  <c r="BA11" i="4"/>
  <c r="BC11" i="4" s="1"/>
  <c r="AU11" i="4"/>
  <c r="AW11" i="4" s="1"/>
  <c r="AT11" i="4"/>
  <c r="AR11" i="4"/>
  <c r="AQ11" i="4"/>
  <c r="AP11" i="4"/>
  <c r="AO11" i="4"/>
  <c r="AK11" i="4"/>
  <c r="AI11" i="4"/>
  <c r="AF11" i="4"/>
  <c r="AH11" i="4" s="1"/>
  <c r="AD11" i="4"/>
  <c r="AC11" i="4"/>
  <c r="AB11" i="4"/>
  <c r="Z11" i="4"/>
  <c r="X11" i="4"/>
  <c r="W11" i="4"/>
  <c r="M11" i="4"/>
  <c r="K11" i="4"/>
  <c r="J11" i="4"/>
  <c r="AX11" i="4" s="1"/>
  <c r="AZ11" i="4" s="1"/>
  <c r="H11" i="4"/>
  <c r="U11" i="4" s="1"/>
  <c r="BD10" i="4"/>
  <c r="BC10" i="4"/>
  <c r="BA10" i="4"/>
  <c r="AW10" i="4"/>
  <c r="AU10" i="4"/>
  <c r="AQ10" i="4"/>
  <c r="AP10" i="4"/>
  <c r="AK10" i="4"/>
  <c r="AJ43" i="3" s="1"/>
  <c r="AI10" i="4"/>
  <c r="AF10" i="4"/>
  <c r="AH10" i="4" s="1"/>
  <c r="AD10" i="4"/>
  <c r="AC10" i="4"/>
  <c r="AB10" i="4"/>
  <c r="AA10" i="4"/>
  <c r="Z10" i="4"/>
  <c r="Y10" i="4"/>
  <c r="X10" i="4"/>
  <c r="W10" i="4"/>
  <c r="M10" i="4"/>
  <c r="AR10" i="4" s="1"/>
  <c r="AT10" i="4" s="1"/>
  <c r="AS43" i="3" s="1"/>
  <c r="K10" i="4"/>
  <c r="J10" i="4"/>
  <c r="AX10" i="4" s="1"/>
  <c r="AZ10" i="4" s="1"/>
  <c r="AY43" i="3" s="1"/>
  <c r="H10" i="4"/>
  <c r="U10" i="4" s="1"/>
  <c r="BD9" i="4"/>
  <c r="BA9" i="4"/>
  <c r="BC9" i="4" s="1"/>
  <c r="AZ9" i="4"/>
  <c r="AY52" i="3" s="1"/>
  <c r="AU9" i="4"/>
  <c r="AW9" i="4" s="1"/>
  <c r="AT9" i="4"/>
  <c r="AR9" i="4"/>
  <c r="AI9" i="4"/>
  <c r="AD9" i="4"/>
  <c r="AC9" i="4"/>
  <c r="AB9" i="4"/>
  <c r="Z9" i="4"/>
  <c r="X9" i="4"/>
  <c r="W9" i="4"/>
  <c r="U9" i="4"/>
  <c r="M9" i="4"/>
  <c r="K9" i="4"/>
  <c r="J9" i="4"/>
  <c r="AX9" i="4" s="1"/>
  <c r="H9" i="4"/>
  <c r="AA9" i="4" s="1"/>
  <c r="BD8" i="4"/>
  <c r="BC8" i="4"/>
  <c r="BB42" i="3" s="1"/>
  <c r="BA8" i="4"/>
  <c r="AW8" i="4"/>
  <c r="AU8" i="4"/>
  <c r="AR8" i="4"/>
  <c r="AT8" i="4" s="1"/>
  <c r="AS42" i="3" s="1"/>
  <c r="AQ8" i="4"/>
  <c r="AO8" i="4"/>
  <c r="AI8" i="4"/>
  <c r="AK8" i="4" s="1"/>
  <c r="AJ42" i="3" s="1"/>
  <c r="AF8" i="4"/>
  <c r="AC8" i="4"/>
  <c r="AB8" i="4"/>
  <c r="AA8" i="4"/>
  <c r="Z8" i="4"/>
  <c r="Y8" i="4"/>
  <c r="X8" i="4"/>
  <c r="W8" i="4"/>
  <c r="M8" i="4"/>
  <c r="AD8" i="4" s="1"/>
  <c r="K8" i="4"/>
  <c r="J8" i="4"/>
  <c r="AX8" i="4" s="1"/>
  <c r="AZ8" i="4" s="1"/>
  <c r="H8" i="4"/>
  <c r="U8" i="4" s="1"/>
  <c r="BD7" i="4"/>
  <c r="BC7" i="4"/>
  <c r="BA7" i="4"/>
  <c r="AZ7" i="4"/>
  <c r="AY41" i="3" s="1"/>
  <c r="AX7" i="4"/>
  <c r="AU7" i="4"/>
  <c r="AW7" i="4" s="1"/>
  <c r="AV41" i="3" s="1"/>
  <c r="AR7" i="4"/>
  <c r="AT7" i="4" s="1"/>
  <c r="AQ7" i="4"/>
  <c r="AO7" i="4"/>
  <c r="AK7" i="4"/>
  <c r="AJ41" i="3" s="1"/>
  <c r="AI7" i="4"/>
  <c r="AH7" i="4"/>
  <c r="AP7" i="4" s="1"/>
  <c r="AF7" i="4"/>
  <c r="AD7" i="4"/>
  <c r="AC7" i="4"/>
  <c r="AB7" i="4"/>
  <c r="Z7" i="4"/>
  <c r="X7" i="4"/>
  <c r="W7" i="4"/>
  <c r="M7" i="4"/>
  <c r="K7" i="4"/>
  <c r="J7" i="4"/>
  <c r="H7" i="4"/>
  <c r="Y7" i="4" s="1"/>
  <c r="BD6" i="4"/>
  <c r="AZ6" i="4"/>
  <c r="AX6" i="4"/>
  <c r="AW6" i="4"/>
  <c r="AV55" i="3" s="1"/>
  <c r="AU6" i="4"/>
  <c r="AI6" i="4"/>
  <c r="AK6" i="4" s="1"/>
  <c r="AD6" i="4"/>
  <c r="AC6" i="4"/>
  <c r="AB6" i="4"/>
  <c r="AA6" i="4"/>
  <c r="Z6" i="4"/>
  <c r="Y6" i="4"/>
  <c r="X6" i="4"/>
  <c r="W6" i="4"/>
  <c r="U6" i="4"/>
  <c r="M6" i="4"/>
  <c r="AR6" i="4" s="1"/>
  <c r="AT6" i="4" s="1"/>
  <c r="AS55" i="3" s="1"/>
  <c r="K6" i="4"/>
  <c r="AF6" i="4" s="1"/>
  <c r="J6" i="4"/>
  <c r="H6" i="4"/>
  <c r="BD5" i="4"/>
  <c r="BC5" i="4"/>
  <c r="BA5" i="4"/>
  <c r="AX5" i="4"/>
  <c r="AZ5" i="4" s="1"/>
  <c r="AW5" i="4"/>
  <c r="AU5" i="4"/>
  <c r="AQ5" i="4"/>
  <c r="AO5" i="4"/>
  <c r="AK5" i="4"/>
  <c r="AI5" i="4"/>
  <c r="AH5" i="4"/>
  <c r="AF5" i="4"/>
  <c r="AC5" i="4"/>
  <c r="AB5" i="4"/>
  <c r="Z5" i="4"/>
  <c r="X5" i="4"/>
  <c r="W5" i="4"/>
  <c r="M5" i="4"/>
  <c r="K5" i="4"/>
  <c r="J5" i="4"/>
  <c r="H5" i="4"/>
  <c r="BD4" i="4"/>
  <c r="AX4" i="4"/>
  <c r="AZ4" i="4" s="1"/>
  <c r="AY40" i="3" s="1"/>
  <c r="AU4" i="4"/>
  <c r="AW4" i="4" s="1"/>
  <c r="AV40" i="3" s="1"/>
  <c r="AQ4" i="4"/>
  <c r="AI4" i="4"/>
  <c r="AH4" i="4"/>
  <c r="AG40" i="3" s="1"/>
  <c r="AF4" i="4"/>
  <c r="AC4" i="4"/>
  <c r="AB4" i="4"/>
  <c r="Z4" i="4"/>
  <c r="X4" i="4"/>
  <c r="W4" i="4"/>
  <c r="U4" i="4"/>
  <c r="M4" i="4"/>
  <c r="K4" i="4"/>
  <c r="BA4" i="4" s="1"/>
  <c r="BC4" i="4" s="1"/>
  <c r="J4" i="4"/>
  <c r="H4" i="4"/>
  <c r="Y4" i="4" s="1"/>
  <c r="BD3" i="4"/>
  <c r="BA3" i="4"/>
  <c r="AU3" i="4"/>
  <c r="AT3" i="4"/>
  <c r="AR3" i="4"/>
  <c r="AQ3" i="4"/>
  <c r="AI3" i="4"/>
  <c r="AF3" i="4"/>
  <c r="AD3" i="4"/>
  <c r="AC3" i="4"/>
  <c r="AB3" i="4"/>
  <c r="Z3" i="4"/>
  <c r="X3" i="4"/>
  <c r="W3" i="4"/>
  <c r="U3" i="4"/>
  <c r="M3" i="4"/>
  <c r="K3" i="4"/>
  <c r="J3" i="4"/>
  <c r="AX3" i="4" s="1"/>
  <c r="AZ3" i="4" s="1"/>
  <c r="H3" i="4"/>
  <c r="AN62" i="3"/>
  <c r="AM62" i="3"/>
  <c r="AL62" i="3"/>
  <c r="AE62" i="3"/>
  <c r="V62" i="3"/>
  <c r="B61" i="3"/>
  <c r="BE60" i="3"/>
  <c r="BD60" i="3"/>
  <c r="AY60" i="3"/>
  <c r="AS60" i="3"/>
  <c r="AF60" i="3"/>
  <c r="AD60" i="3"/>
  <c r="AB60" i="3"/>
  <c r="BA60" i="3" s="1"/>
  <c r="AA60" i="3"/>
  <c r="Y60" i="3"/>
  <c r="X60" i="3"/>
  <c r="U60" i="3"/>
  <c r="H60" i="3"/>
  <c r="G60" i="3"/>
  <c r="E60" i="3"/>
  <c r="Z60" i="3" s="1"/>
  <c r="AX60" i="3" s="1"/>
  <c r="AZ60" i="3" s="1"/>
  <c r="BF59" i="3"/>
  <c r="BD59" i="3"/>
  <c r="AU59" i="3"/>
  <c r="AC59" i="3"/>
  <c r="AB59" i="3"/>
  <c r="BA59" i="3" s="1"/>
  <c r="AA59" i="3"/>
  <c r="Y59" i="3"/>
  <c r="X59" i="3"/>
  <c r="W59" i="3"/>
  <c r="U59" i="3"/>
  <c r="K59" i="3"/>
  <c r="J59" i="3"/>
  <c r="I59" i="3"/>
  <c r="H59" i="3"/>
  <c r="AF59" i="3" s="1"/>
  <c r="E59" i="3"/>
  <c r="Z59" i="3" s="1"/>
  <c r="AX59" i="3" s="1"/>
  <c r="BE58" i="3"/>
  <c r="BC58" i="3"/>
  <c r="BB58" i="3"/>
  <c r="AR58" i="3"/>
  <c r="AI58" i="3"/>
  <c r="AC58" i="3"/>
  <c r="AB58" i="3"/>
  <c r="BA58" i="3" s="1"/>
  <c r="AA58" i="3"/>
  <c r="Z58" i="3"/>
  <c r="AX58" i="3" s="1"/>
  <c r="AZ58" i="3" s="1"/>
  <c r="Y58" i="3"/>
  <c r="X58" i="3"/>
  <c r="W58" i="3"/>
  <c r="H58" i="3"/>
  <c r="E58" i="3"/>
  <c r="AU58" i="3" s="1"/>
  <c r="BE57" i="3"/>
  <c r="BD57" i="3"/>
  <c r="AY57" i="3"/>
  <c r="AT57" i="3"/>
  <c r="AR57" i="3"/>
  <c r="AD57" i="3"/>
  <c r="AC57" i="3"/>
  <c r="AB57" i="3"/>
  <c r="BA57" i="3" s="1"/>
  <c r="AA57" i="3"/>
  <c r="Z57" i="3"/>
  <c r="AX57" i="3" s="1"/>
  <c r="AZ57" i="3" s="1"/>
  <c r="Y57" i="3"/>
  <c r="X57" i="3"/>
  <c r="H57" i="3"/>
  <c r="U57" i="3" s="1"/>
  <c r="E57" i="3"/>
  <c r="BE56" i="3"/>
  <c r="BD56" i="3"/>
  <c r="BB56" i="3"/>
  <c r="AW56" i="3"/>
  <c r="AV56" i="3"/>
  <c r="AU56" i="3"/>
  <c r="AS56" i="3"/>
  <c r="AI56" i="3"/>
  <c r="AC56" i="3"/>
  <c r="AA56" i="3"/>
  <c r="Z56" i="3"/>
  <c r="AX56" i="3" s="1"/>
  <c r="AZ56" i="3" s="1"/>
  <c r="Y56" i="3"/>
  <c r="X56" i="3"/>
  <c r="W56" i="3"/>
  <c r="U56" i="3"/>
  <c r="M56" i="3"/>
  <c r="AR56" i="3" s="1"/>
  <c r="AT56" i="3" s="1"/>
  <c r="K56" i="3"/>
  <c r="AF56" i="3" s="1"/>
  <c r="J56" i="3"/>
  <c r="H56" i="3"/>
  <c r="E56" i="3"/>
  <c r="BE55" i="3"/>
  <c r="AY55" i="3"/>
  <c r="AA55" i="3"/>
  <c r="Y55" i="3"/>
  <c r="X55" i="3"/>
  <c r="U55" i="3"/>
  <c r="H55" i="3"/>
  <c r="E55" i="3"/>
  <c r="AD55" i="3" s="1"/>
  <c r="BE54" i="3"/>
  <c r="BB54" i="3"/>
  <c r="AY54" i="3"/>
  <c r="AV54" i="3"/>
  <c r="AS54" i="3"/>
  <c r="AJ54" i="3"/>
  <c r="AG54" i="3"/>
  <c r="AF54" i="3"/>
  <c r="AH54" i="3" s="1"/>
  <c r="AC54" i="3"/>
  <c r="AA54" i="3"/>
  <c r="Y54" i="3"/>
  <c r="X54" i="3"/>
  <c r="U54" i="3"/>
  <c r="H54" i="3"/>
  <c r="E54" i="3"/>
  <c r="AU54" i="3" s="1"/>
  <c r="AW54" i="3" s="1"/>
  <c r="AI53" i="3"/>
  <c r="AA53" i="3"/>
  <c r="Z53" i="3"/>
  <c r="AX53" i="3" s="1"/>
  <c r="Y53" i="3"/>
  <c r="X53" i="3"/>
  <c r="U53" i="3"/>
  <c r="G53" i="3"/>
  <c r="F53" i="3"/>
  <c r="E53" i="3"/>
  <c r="BE52" i="3"/>
  <c r="BB52" i="3"/>
  <c r="AV52" i="3"/>
  <c r="AU52" i="3"/>
  <c r="AW52" i="3" s="1"/>
  <c r="AS52" i="3"/>
  <c r="AF52" i="3"/>
  <c r="AD52" i="3"/>
  <c r="AA52" i="3"/>
  <c r="Y52" i="3"/>
  <c r="X52" i="3"/>
  <c r="U52" i="3"/>
  <c r="H52" i="3"/>
  <c r="E52" i="3"/>
  <c r="AC52" i="3" s="1"/>
  <c r="BB51" i="3"/>
  <c r="AV51" i="3"/>
  <c r="AR51" i="3"/>
  <c r="AT51" i="3" s="1"/>
  <c r="AJ51" i="3"/>
  <c r="AD51" i="3"/>
  <c r="AB51" i="3"/>
  <c r="BA51" i="3" s="1"/>
  <c r="BC51" i="3" s="1"/>
  <c r="AA51" i="3"/>
  <c r="Z51" i="3"/>
  <c r="AX51" i="3" s="1"/>
  <c r="Y51" i="3"/>
  <c r="X51" i="3"/>
  <c r="U51" i="3"/>
  <c r="K51" i="3"/>
  <c r="J51" i="3"/>
  <c r="H51" i="3"/>
  <c r="E51" i="3"/>
  <c r="BE50" i="3"/>
  <c r="BF50" i="3" s="1"/>
  <c r="BD50" i="3"/>
  <c r="BC50" i="3"/>
  <c r="AY50" i="3"/>
  <c r="AW50" i="3"/>
  <c r="AV50" i="3"/>
  <c r="AU50" i="3"/>
  <c r="AS50" i="3"/>
  <c r="AT50" i="3" s="1"/>
  <c r="AI50" i="3"/>
  <c r="AC50" i="3"/>
  <c r="AB50" i="3"/>
  <c r="BA50" i="3" s="1"/>
  <c r="AA50" i="3"/>
  <c r="Z50" i="3"/>
  <c r="AX50" i="3" s="1"/>
  <c r="AZ50" i="3" s="1"/>
  <c r="Y50" i="3"/>
  <c r="X50" i="3"/>
  <c r="W50" i="3"/>
  <c r="U50" i="3"/>
  <c r="H50" i="3"/>
  <c r="AF50" i="3" s="1"/>
  <c r="E50" i="3"/>
  <c r="AR50" i="3" s="1"/>
  <c r="BE49" i="3"/>
  <c r="BB49" i="3"/>
  <c r="AY49" i="3"/>
  <c r="AD49" i="3"/>
  <c r="AA49" i="3"/>
  <c r="Y49" i="3"/>
  <c r="X49" i="3"/>
  <c r="U49" i="3"/>
  <c r="H49" i="3"/>
  <c r="E49" i="3"/>
  <c r="AC49" i="3" s="1"/>
  <c r="BE48" i="3"/>
  <c r="BD48" i="3"/>
  <c r="AU48" i="3"/>
  <c r="AS48" i="3"/>
  <c r="AR48" i="3"/>
  <c r="AT48" i="3" s="1"/>
  <c r="AF48" i="3"/>
  <c r="AD48" i="3"/>
  <c r="AC48" i="3"/>
  <c r="AA48" i="3"/>
  <c r="Y48" i="3"/>
  <c r="X48" i="3"/>
  <c r="W48" i="3"/>
  <c r="U48" i="3"/>
  <c r="H48" i="3"/>
  <c r="E48" i="3"/>
  <c r="BE47" i="3"/>
  <c r="BA47" i="3"/>
  <c r="BC47" i="3" s="1"/>
  <c r="AY47" i="3"/>
  <c r="AX47" i="3"/>
  <c r="AZ47" i="3" s="1"/>
  <c r="AW47" i="3"/>
  <c r="AV47" i="3"/>
  <c r="AU47" i="3"/>
  <c r="AJ47" i="3"/>
  <c r="AI47" i="3"/>
  <c r="AC47" i="3"/>
  <c r="AB47" i="3"/>
  <c r="AA47" i="3"/>
  <c r="Z47" i="3"/>
  <c r="Y47" i="3"/>
  <c r="X47" i="3"/>
  <c r="W47" i="3"/>
  <c r="U47" i="3"/>
  <c r="H47" i="3"/>
  <c r="E47" i="3"/>
  <c r="BD47" i="3" s="1"/>
  <c r="AP46" i="3"/>
  <c r="B46" i="3"/>
  <c r="B62" i="3" s="1"/>
  <c r="BE45" i="3"/>
  <c r="AV45" i="3"/>
  <c r="AS45" i="3"/>
  <c r="AG45" i="3"/>
  <c r="AA45" i="3"/>
  <c r="Y45" i="3"/>
  <c r="X45" i="3"/>
  <c r="U45" i="3"/>
  <c r="J45" i="3"/>
  <c r="H45" i="3"/>
  <c r="E45" i="3"/>
  <c r="AU45" i="3" s="1"/>
  <c r="AW45" i="3" s="1"/>
  <c r="BE44" i="3"/>
  <c r="BB44" i="3"/>
  <c r="AY44" i="3"/>
  <c r="AV44" i="3"/>
  <c r="AR44" i="3"/>
  <c r="AJ44" i="3"/>
  <c r="AC44" i="3"/>
  <c r="AB44" i="3"/>
  <c r="BA44" i="3" s="1"/>
  <c r="BC44" i="3" s="1"/>
  <c r="AA44" i="3"/>
  <c r="Z44" i="3"/>
  <c r="AX44" i="3" s="1"/>
  <c r="AZ44" i="3" s="1"/>
  <c r="Y44" i="3"/>
  <c r="X44" i="3"/>
  <c r="U44" i="3"/>
  <c r="H44" i="3"/>
  <c r="E44" i="3"/>
  <c r="AD44" i="3" s="1"/>
  <c r="BE43" i="3"/>
  <c r="BD43" i="3"/>
  <c r="BB43" i="3"/>
  <c r="AV43" i="3"/>
  <c r="AG43" i="3"/>
  <c r="AA43" i="3"/>
  <c r="Y43" i="3"/>
  <c r="X43" i="3"/>
  <c r="W43" i="3"/>
  <c r="U43" i="3"/>
  <c r="H43" i="3"/>
  <c r="AI43" i="3" s="1"/>
  <c r="AK43" i="3" s="1"/>
  <c r="E43" i="3"/>
  <c r="AU43" i="3" s="1"/>
  <c r="AW43" i="3" s="1"/>
  <c r="BE42" i="3"/>
  <c r="BD42" i="3"/>
  <c r="AY42" i="3"/>
  <c r="AV42" i="3"/>
  <c r="AU42" i="3"/>
  <c r="AW42" i="3" s="1"/>
  <c r="AI42" i="3"/>
  <c r="AK42" i="3" s="1"/>
  <c r="AB42" i="3"/>
  <c r="BA42" i="3" s="1"/>
  <c r="BC42" i="3" s="1"/>
  <c r="AA42" i="3"/>
  <c r="Z42" i="3"/>
  <c r="AX42" i="3" s="1"/>
  <c r="AZ42" i="3" s="1"/>
  <c r="Y42" i="3"/>
  <c r="X42" i="3"/>
  <c r="W42" i="3"/>
  <c r="U42" i="3"/>
  <c r="H42" i="3"/>
  <c r="E42" i="3"/>
  <c r="AF42" i="3" s="1"/>
  <c r="BE41" i="3"/>
  <c r="BB41" i="3"/>
  <c r="AS41" i="3"/>
  <c r="AG41" i="3"/>
  <c r="AB41" i="3"/>
  <c r="Z41" i="3"/>
  <c r="X41" i="3"/>
  <c r="K41" i="3"/>
  <c r="BA41" i="3" s="1"/>
  <c r="BC41" i="3" s="1"/>
  <c r="J41" i="3"/>
  <c r="AX41" i="3" s="1"/>
  <c r="AZ41" i="3" s="1"/>
  <c r="G41" i="3"/>
  <c r="F41" i="3"/>
  <c r="H41" i="3" s="1"/>
  <c r="E41" i="3"/>
  <c r="AR41" i="3" s="1"/>
  <c r="AT41" i="3" s="1"/>
  <c r="BE40" i="3"/>
  <c r="BB40" i="3"/>
  <c r="AA40" i="3"/>
  <c r="Y40" i="3"/>
  <c r="X40" i="3"/>
  <c r="H40" i="3"/>
  <c r="E40" i="3"/>
  <c r="AI40" i="3" s="1"/>
  <c r="AP39" i="3"/>
  <c r="AO39" i="3"/>
  <c r="B39" i="3"/>
  <c r="BE38" i="3"/>
  <c r="BD38" i="3"/>
  <c r="BB38" i="3"/>
  <c r="AY38" i="3"/>
  <c r="AX38" i="3"/>
  <c r="AZ38" i="3" s="1"/>
  <c r="AW38" i="3"/>
  <c r="AV38" i="3"/>
  <c r="AU38" i="3"/>
  <c r="AS38" i="3"/>
  <c r="AK38" i="3"/>
  <c r="AJ23" i="2" s="1"/>
  <c r="AJ38" i="3"/>
  <c r="AI38" i="3"/>
  <c r="AO38" i="3" s="1"/>
  <c r="AG38" i="3"/>
  <c r="AB38" i="3"/>
  <c r="Z38" i="3"/>
  <c r="X38" i="3"/>
  <c r="W38" i="3"/>
  <c r="U38" i="3"/>
  <c r="K38" i="3"/>
  <c r="J38" i="3"/>
  <c r="G38" i="3"/>
  <c r="F38" i="3"/>
  <c r="H38" i="3" s="1"/>
  <c r="AA38" i="3" s="1"/>
  <c r="E38" i="3"/>
  <c r="BE37" i="3"/>
  <c r="BB37" i="3"/>
  <c r="AY37" i="3"/>
  <c r="AV37" i="3"/>
  <c r="AS37" i="3"/>
  <c r="AJ37" i="3"/>
  <c r="AG37" i="3"/>
  <c r="AA37" i="3"/>
  <c r="Y37" i="3"/>
  <c r="X37" i="3"/>
  <c r="H37" i="3"/>
  <c r="U37" i="3" s="1"/>
  <c r="E37" i="3"/>
  <c r="BE36" i="3"/>
  <c r="BB36" i="3"/>
  <c r="AY36" i="3"/>
  <c r="AX36" i="3"/>
  <c r="AZ36" i="3" s="1"/>
  <c r="AV36" i="3"/>
  <c r="AU36" i="3"/>
  <c r="AW36" i="3" s="1"/>
  <c r="AS36" i="3"/>
  <c r="AJ36" i="3"/>
  <c r="AI36" i="3"/>
  <c r="AG36" i="3"/>
  <c r="AC36" i="3"/>
  <c r="AB36" i="3"/>
  <c r="BA36" i="3" s="1"/>
  <c r="BC36" i="3" s="1"/>
  <c r="AA36" i="3"/>
  <c r="Z36" i="3"/>
  <c r="Y36" i="3"/>
  <c r="X36" i="3"/>
  <c r="W36" i="3"/>
  <c r="H36" i="3"/>
  <c r="U36" i="3" s="1"/>
  <c r="E36" i="3"/>
  <c r="BD36" i="3" s="1"/>
  <c r="BE35" i="3"/>
  <c r="BD35" i="3"/>
  <c r="BB35" i="3"/>
  <c r="AY35" i="3"/>
  <c r="AV35" i="3"/>
  <c r="AS35" i="3"/>
  <c r="AR35" i="3"/>
  <c r="AT35" i="3" s="1"/>
  <c r="AJ35" i="3"/>
  <c r="AG35" i="3"/>
  <c r="AB35" i="3"/>
  <c r="AA35" i="3"/>
  <c r="Z35" i="3"/>
  <c r="X35" i="3"/>
  <c r="G35" i="3"/>
  <c r="F35" i="3"/>
  <c r="H35" i="3" s="1"/>
  <c r="E35" i="3"/>
  <c r="BE34" i="3"/>
  <c r="BB34" i="3"/>
  <c r="AY34" i="3"/>
  <c r="AV34" i="3"/>
  <c r="AS34" i="3"/>
  <c r="AJ34" i="3"/>
  <c r="AG34" i="3"/>
  <c r="AB34" i="3"/>
  <c r="Z34" i="3"/>
  <c r="X34" i="3"/>
  <c r="G34" i="3"/>
  <c r="F34" i="3"/>
  <c r="E34" i="3"/>
  <c r="BE33" i="3"/>
  <c r="BD33" i="3"/>
  <c r="BB33" i="3"/>
  <c r="AY33" i="3"/>
  <c r="AV33" i="3"/>
  <c r="AU33" i="3"/>
  <c r="AW33" i="3" s="1"/>
  <c r="AS33" i="3"/>
  <c r="AJ33" i="3"/>
  <c r="AG33" i="3"/>
  <c r="AB33" i="3"/>
  <c r="BA33" i="3" s="1"/>
  <c r="BC33" i="3" s="1"/>
  <c r="AA33" i="3"/>
  <c r="Z33" i="3"/>
  <c r="AX33" i="3" s="1"/>
  <c r="AZ33" i="3" s="1"/>
  <c r="Y33" i="3"/>
  <c r="X33" i="3"/>
  <c r="Q33" i="3"/>
  <c r="P33" i="3"/>
  <c r="K33" i="3"/>
  <c r="J33" i="3"/>
  <c r="G33" i="3"/>
  <c r="F33" i="3"/>
  <c r="E33" i="3"/>
  <c r="W33" i="3" s="1"/>
  <c r="BE32" i="3"/>
  <c r="BD32" i="3"/>
  <c r="BB32" i="3"/>
  <c r="AY32" i="3"/>
  <c r="AX32" i="3"/>
  <c r="AZ32" i="3" s="1"/>
  <c r="AV32" i="3"/>
  <c r="AU32" i="3"/>
  <c r="AW32" i="3" s="1"/>
  <c r="AS32" i="3"/>
  <c r="AJ32" i="3"/>
  <c r="AI32" i="3"/>
  <c r="AG32" i="3"/>
  <c r="AB32" i="3"/>
  <c r="AA32" i="3"/>
  <c r="Z32" i="3"/>
  <c r="Y32" i="3"/>
  <c r="X32" i="3"/>
  <c r="W32" i="3"/>
  <c r="U32" i="3"/>
  <c r="H32" i="3"/>
  <c r="E32" i="3"/>
  <c r="AF32" i="3" s="1"/>
  <c r="BE31" i="3"/>
  <c r="BD31" i="3"/>
  <c r="BB31" i="3"/>
  <c r="AY31" i="3"/>
  <c r="AV31" i="3"/>
  <c r="AT31" i="3"/>
  <c r="AS31" i="3"/>
  <c r="AR31" i="3"/>
  <c r="AJ31" i="3"/>
  <c r="AG31" i="3"/>
  <c r="AD31" i="3"/>
  <c r="AC31" i="3"/>
  <c r="AB31" i="3"/>
  <c r="BA31" i="3" s="1"/>
  <c r="BC31" i="3" s="1"/>
  <c r="AA31" i="3"/>
  <c r="Y31" i="3"/>
  <c r="X31" i="3"/>
  <c r="K31" i="3"/>
  <c r="J31" i="3"/>
  <c r="G31" i="3"/>
  <c r="F31" i="3"/>
  <c r="H31" i="3" s="1"/>
  <c r="E31" i="3"/>
  <c r="BE30" i="3"/>
  <c r="BB30" i="3"/>
  <c r="AY30" i="3"/>
  <c r="AV30" i="3"/>
  <c r="AS30" i="3"/>
  <c r="AJ30" i="3"/>
  <c r="AG30" i="3"/>
  <c r="AD30" i="3"/>
  <c r="AC30" i="3"/>
  <c r="AA30" i="3"/>
  <c r="Y30" i="3"/>
  <c r="X30" i="3"/>
  <c r="G30" i="3"/>
  <c r="F30" i="3"/>
  <c r="E30" i="3"/>
  <c r="BE29" i="3"/>
  <c r="BD29" i="3"/>
  <c r="BC29" i="3"/>
  <c r="BB29" i="3"/>
  <c r="AY29" i="3"/>
  <c r="AX29" i="3"/>
  <c r="AZ29" i="3" s="1"/>
  <c r="AV29" i="3"/>
  <c r="AU29" i="3"/>
  <c r="AS29" i="3"/>
  <c r="AR29" i="3"/>
  <c r="AT29" i="3" s="1"/>
  <c r="AK29" i="3"/>
  <c r="AJ29" i="3"/>
  <c r="AI29" i="3"/>
  <c r="AG29" i="3"/>
  <c r="AF29" i="3"/>
  <c r="AD29" i="3"/>
  <c r="AB29" i="3"/>
  <c r="Z29" i="3"/>
  <c r="Y29" i="3"/>
  <c r="X29" i="3"/>
  <c r="W29" i="3"/>
  <c r="U29" i="3"/>
  <c r="M29" i="3"/>
  <c r="K29" i="3"/>
  <c r="BA29" i="3" s="1"/>
  <c r="J29" i="3"/>
  <c r="H29" i="3"/>
  <c r="AA29" i="3" s="1"/>
  <c r="E29" i="3"/>
  <c r="BE28" i="3"/>
  <c r="BB28" i="3"/>
  <c r="AY28" i="3"/>
  <c r="AV28" i="3"/>
  <c r="AS28" i="3"/>
  <c r="AR28" i="3"/>
  <c r="AT28" i="3" s="1"/>
  <c r="AJ28" i="3"/>
  <c r="AG28" i="3"/>
  <c r="AB28" i="3"/>
  <c r="Z28" i="3"/>
  <c r="W28" i="3"/>
  <c r="M28" i="3"/>
  <c r="AD28" i="3" s="1"/>
  <c r="K28" i="3"/>
  <c r="BA28" i="3" s="1"/>
  <c r="BC28" i="3" s="1"/>
  <c r="J28" i="3"/>
  <c r="AX28" i="3" s="1"/>
  <c r="AZ28" i="3" s="1"/>
  <c r="H28" i="3"/>
  <c r="E28" i="3"/>
  <c r="BE27" i="3"/>
  <c r="BD27" i="3"/>
  <c r="BB27" i="3"/>
  <c r="AY27" i="3"/>
  <c r="AX27" i="3"/>
  <c r="AV27" i="3"/>
  <c r="AT27" i="3"/>
  <c r="AS27" i="3"/>
  <c r="AR27" i="3"/>
  <c r="AJ27" i="3"/>
  <c r="AI27" i="3"/>
  <c r="AG27" i="3"/>
  <c r="AD27" i="3"/>
  <c r="AC27" i="3"/>
  <c r="AB27" i="3"/>
  <c r="Z27" i="3"/>
  <c r="X27" i="3"/>
  <c r="W27" i="3"/>
  <c r="U27" i="3"/>
  <c r="M27" i="3"/>
  <c r="K27" i="3"/>
  <c r="BA27" i="3" s="1"/>
  <c r="BC27" i="3" s="1"/>
  <c r="J27" i="3"/>
  <c r="H27" i="3"/>
  <c r="AA27" i="3" s="1"/>
  <c r="E27" i="3"/>
  <c r="BE26" i="3"/>
  <c r="BB26" i="3"/>
  <c r="AY26" i="3"/>
  <c r="AV26" i="3"/>
  <c r="AS26" i="3"/>
  <c r="AJ26" i="3"/>
  <c r="AI26" i="3"/>
  <c r="AK26" i="3" s="1"/>
  <c r="AJ11" i="2" s="1"/>
  <c r="AG26" i="3"/>
  <c r="AB26" i="3"/>
  <c r="Z26" i="3"/>
  <c r="X26" i="3"/>
  <c r="W26" i="3"/>
  <c r="M26" i="3"/>
  <c r="K26" i="3"/>
  <c r="J26" i="3"/>
  <c r="H26" i="3"/>
  <c r="E26" i="3"/>
  <c r="BE25" i="3"/>
  <c r="BD25" i="3"/>
  <c r="BB25" i="3"/>
  <c r="AY25" i="3"/>
  <c r="AV25" i="3"/>
  <c r="AU25" i="3"/>
  <c r="AW25" i="3" s="1"/>
  <c r="AS25" i="3"/>
  <c r="AT25" i="3" s="1"/>
  <c r="AR25" i="3"/>
  <c r="AP25" i="3"/>
  <c r="AJ25" i="3"/>
  <c r="AG25" i="3"/>
  <c r="AD25" i="3"/>
  <c r="AC25" i="3"/>
  <c r="AB25" i="3"/>
  <c r="Z25" i="3"/>
  <c r="X25" i="3"/>
  <c r="W25" i="3"/>
  <c r="M25" i="3"/>
  <c r="K25" i="3"/>
  <c r="BA25" i="3" s="1"/>
  <c r="BC25" i="3" s="1"/>
  <c r="J25" i="3"/>
  <c r="AX25" i="3" s="1"/>
  <c r="AZ25" i="3" s="1"/>
  <c r="H25" i="3"/>
  <c r="E25" i="3"/>
  <c r="AO25" i="3" s="1"/>
  <c r="BE24" i="3"/>
  <c r="BB24" i="3"/>
  <c r="BA24" i="3"/>
  <c r="BC24" i="3" s="1"/>
  <c r="AZ24" i="3"/>
  <c r="AY24" i="3"/>
  <c r="AX24" i="3"/>
  <c r="AV24" i="3"/>
  <c r="AS24" i="3"/>
  <c r="AP24" i="3"/>
  <c r="AO24" i="3"/>
  <c r="AJ24" i="3"/>
  <c r="AG24" i="3"/>
  <c r="AB24" i="3"/>
  <c r="AA24" i="3"/>
  <c r="Z24" i="3"/>
  <c r="Y24" i="3"/>
  <c r="W24" i="3"/>
  <c r="M24" i="3"/>
  <c r="AD24" i="3" s="1"/>
  <c r="K24" i="3"/>
  <c r="J24" i="3"/>
  <c r="H24" i="3"/>
  <c r="E24" i="3"/>
  <c r="BE23" i="3"/>
  <c r="BD23" i="3"/>
  <c r="BB23" i="3"/>
  <c r="AY23" i="3"/>
  <c r="AV23" i="3"/>
  <c r="AU23" i="3"/>
  <c r="AW23" i="3" s="1"/>
  <c r="AS23" i="3"/>
  <c r="AJ23" i="3"/>
  <c r="AG23" i="3"/>
  <c r="AD23" i="3"/>
  <c r="AC23" i="3"/>
  <c r="AB23" i="3"/>
  <c r="Z23" i="3"/>
  <c r="W23" i="3"/>
  <c r="M23" i="3"/>
  <c r="AR23" i="3" s="1"/>
  <c r="AT23" i="3" s="1"/>
  <c r="K23" i="3"/>
  <c r="BA23" i="3" s="1"/>
  <c r="BC23" i="3" s="1"/>
  <c r="J23" i="3"/>
  <c r="AX23" i="3" s="1"/>
  <c r="AZ23" i="3" s="1"/>
  <c r="H23" i="3"/>
  <c r="E23" i="3"/>
  <c r="AO23" i="3" s="1"/>
  <c r="BE22" i="3"/>
  <c r="BB22" i="3"/>
  <c r="BA22" i="3"/>
  <c r="BC22" i="3" s="1"/>
  <c r="AY22" i="3"/>
  <c r="AV22" i="3"/>
  <c r="AS22" i="3"/>
  <c r="AP22" i="3"/>
  <c r="AO22" i="3"/>
  <c r="AJ22" i="3"/>
  <c r="AG22" i="3"/>
  <c r="AB22" i="3"/>
  <c r="AA22" i="3"/>
  <c r="Z22" i="3"/>
  <c r="Y22" i="3"/>
  <c r="W22" i="3"/>
  <c r="M22" i="3"/>
  <c r="K22" i="3"/>
  <c r="J22" i="3"/>
  <c r="AX22" i="3" s="1"/>
  <c r="AZ22" i="3" s="1"/>
  <c r="H22" i="3"/>
  <c r="E22" i="3"/>
  <c r="BE21" i="3"/>
  <c r="BD21" i="3"/>
  <c r="BB21" i="3"/>
  <c r="AY21" i="3"/>
  <c r="AX21" i="3"/>
  <c r="AZ21" i="3" s="1"/>
  <c r="AW21" i="3"/>
  <c r="AV21" i="3"/>
  <c r="AU21" i="3"/>
  <c r="AS21" i="3"/>
  <c r="AK21" i="3"/>
  <c r="AJ21" i="3"/>
  <c r="AI21" i="3"/>
  <c r="AH21" i="3"/>
  <c r="AG21" i="3"/>
  <c r="AB21" i="3"/>
  <c r="Z21" i="3"/>
  <c r="Y21" i="3"/>
  <c r="X21" i="3"/>
  <c r="W21" i="3"/>
  <c r="U21" i="3"/>
  <c r="M21" i="3"/>
  <c r="AF21" i="3" s="1"/>
  <c r="K21" i="3"/>
  <c r="BA21" i="3" s="1"/>
  <c r="BC21" i="3" s="1"/>
  <c r="J21" i="3"/>
  <c r="H21" i="3"/>
  <c r="E21" i="3"/>
  <c r="AQ21" i="3" s="1"/>
  <c r="BE20" i="3"/>
  <c r="BD20" i="3"/>
  <c r="BB20" i="3"/>
  <c r="AY20" i="3"/>
  <c r="AV20" i="3"/>
  <c r="AU20" i="3"/>
  <c r="AW20" i="3" s="1"/>
  <c r="AS20" i="3"/>
  <c r="AT20" i="3" s="1"/>
  <c r="AR20" i="3"/>
  <c r="AP20" i="3"/>
  <c r="AJ20" i="3"/>
  <c r="AG20" i="3"/>
  <c r="AD20" i="3"/>
  <c r="AC20" i="3"/>
  <c r="AB20" i="3"/>
  <c r="Z20" i="3"/>
  <c r="W20" i="3"/>
  <c r="U20" i="3"/>
  <c r="M20" i="3"/>
  <c r="K20" i="3"/>
  <c r="BA20" i="3" s="1"/>
  <c r="BC20" i="3" s="1"/>
  <c r="J20" i="3"/>
  <c r="AX20" i="3" s="1"/>
  <c r="AZ20" i="3" s="1"/>
  <c r="H20" i="3"/>
  <c r="Y20" i="3" s="1"/>
  <c r="E20" i="3"/>
  <c r="AI20" i="3" s="1"/>
  <c r="AK20" i="3" s="1"/>
  <c r="BE19" i="3"/>
  <c r="BB19" i="3"/>
  <c r="AY19" i="3"/>
  <c r="AV19" i="3"/>
  <c r="AS19" i="3"/>
  <c r="AR19" i="3"/>
  <c r="AT19" i="3" s="1"/>
  <c r="AP19" i="3"/>
  <c r="AO19" i="3"/>
  <c r="AJ19" i="3"/>
  <c r="AG19" i="3"/>
  <c r="AC19" i="3"/>
  <c r="AB19" i="3"/>
  <c r="AA19" i="3"/>
  <c r="Z19" i="3"/>
  <c r="W19" i="3"/>
  <c r="M19" i="3"/>
  <c r="K19" i="3"/>
  <c r="BA19" i="3" s="1"/>
  <c r="BC19" i="3" s="1"/>
  <c r="J19" i="3"/>
  <c r="H19" i="3"/>
  <c r="E19" i="3"/>
  <c r="BE18" i="3"/>
  <c r="BB18" i="3"/>
  <c r="AY18" i="3"/>
  <c r="AV18" i="3"/>
  <c r="AS18" i="3"/>
  <c r="AJ18" i="3"/>
  <c r="AG18" i="3"/>
  <c r="AB18" i="3"/>
  <c r="Z18" i="3"/>
  <c r="W18" i="3"/>
  <c r="U18" i="3"/>
  <c r="M18" i="3"/>
  <c r="K18" i="3"/>
  <c r="J18" i="3"/>
  <c r="H18" i="3"/>
  <c r="E18" i="3"/>
  <c r="AU18" i="3" s="1"/>
  <c r="AW18" i="3" s="1"/>
  <c r="BE17" i="3"/>
  <c r="BD17" i="3"/>
  <c r="BB17" i="3"/>
  <c r="BA17" i="3"/>
  <c r="BC17" i="3" s="1"/>
  <c r="AY17" i="3"/>
  <c r="AV17" i="3"/>
  <c r="AU17" i="3"/>
  <c r="AW17" i="3" s="1"/>
  <c r="AS17" i="3"/>
  <c r="AP17" i="3"/>
  <c r="AJ17" i="3"/>
  <c r="AI17" i="3"/>
  <c r="AK17" i="3" s="1"/>
  <c r="AG17" i="3"/>
  <c r="AC17" i="3"/>
  <c r="AB17" i="3"/>
  <c r="Z17" i="3"/>
  <c r="X17" i="3"/>
  <c r="W17" i="3"/>
  <c r="U17" i="3"/>
  <c r="M17" i="3"/>
  <c r="AD17" i="3" s="1"/>
  <c r="K17" i="3"/>
  <c r="J17" i="3"/>
  <c r="AX17" i="3" s="1"/>
  <c r="AZ17" i="3" s="1"/>
  <c r="H17" i="3"/>
  <c r="AA17" i="3" s="1"/>
  <c r="E17" i="3"/>
  <c r="AO17" i="3" s="1"/>
  <c r="BE16" i="3"/>
  <c r="BB16" i="3"/>
  <c r="AY16" i="3"/>
  <c r="AV16" i="3"/>
  <c r="AS16" i="3"/>
  <c r="AR16" i="3"/>
  <c r="AT16" i="3" s="1"/>
  <c r="AJ16" i="3"/>
  <c r="AG16" i="3"/>
  <c r="AC16" i="3"/>
  <c r="AB16" i="3"/>
  <c r="Z16" i="3"/>
  <c r="W16" i="3"/>
  <c r="M16" i="3"/>
  <c r="K16" i="3"/>
  <c r="BA16" i="3" s="1"/>
  <c r="BC16" i="3" s="1"/>
  <c r="J16" i="3"/>
  <c r="AX16" i="3" s="1"/>
  <c r="AZ16" i="3" s="1"/>
  <c r="H16" i="3"/>
  <c r="AA16" i="3" s="1"/>
  <c r="E16" i="3"/>
  <c r="BE15" i="3"/>
  <c r="BB15" i="3"/>
  <c r="AY15" i="3"/>
  <c r="AV15" i="3"/>
  <c r="AS15" i="3"/>
  <c r="AJ15" i="3"/>
  <c r="AG15" i="3"/>
  <c r="AB15" i="3"/>
  <c r="Z15" i="3"/>
  <c r="W15" i="3"/>
  <c r="M15" i="3"/>
  <c r="K15" i="3"/>
  <c r="J15" i="3"/>
  <c r="H15" i="3"/>
  <c r="E15" i="3"/>
  <c r="AU15" i="3" s="1"/>
  <c r="AW15" i="3" s="1"/>
  <c r="BE14" i="3"/>
  <c r="BD14" i="3"/>
  <c r="BB14" i="3"/>
  <c r="BC14" i="3" s="1"/>
  <c r="AY14" i="3"/>
  <c r="AW14" i="3"/>
  <c r="AV14" i="3"/>
  <c r="AU14" i="3"/>
  <c r="AS14" i="3"/>
  <c r="AJ14" i="3"/>
  <c r="AI14" i="3"/>
  <c r="AG14" i="3"/>
  <c r="AC14" i="3"/>
  <c r="AB14" i="3"/>
  <c r="Z14" i="3"/>
  <c r="Y14" i="3"/>
  <c r="X14" i="3"/>
  <c r="W14" i="3"/>
  <c r="U14" i="3"/>
  <c r="M14" i="3"/>
  <c r="AD14" i="3" s="1"/>
  <c r="K14" i="3"/>
  <c r="BA14" i="3" s="1"/>
  <c r="J14" i="3"/>
  <c r="AX14" i="3" s="1"/>
  <c r="AZ14" i="3" s="1"/>
  <c r="H14" i="3"/>
  <c r="E14" i="3"/>
  <c r="AP14" i="3" s="1"/>
  <c r="BE13" i="3"/>
  <c r="BD13" i="3"/>
  <c r="BB13" i="3"/>
  <c r="AZ13" i="3"/>
  <c r="AY13" i="3"/>
  <c r="AV13" i="3"/>
  <c r="AS13" i="3"/>
  <c r="AR13" i="3"/>
  <c r="AT13" i="3" s="1"/>
  <c r="AP13" i="3"/>
  <c r="AO13" i="3"/>
  <c r="AJ13" i="3"/>
  <c r="AG13" i="3"/>
  <c r="AB13" i="3"/>
  <c r="AA13" i="3"/>
  <c r="Z13" i="3"/>
  <c r="W13" i="3"/>
  <c r="U13" i="3"/>
  <c r="M13" i="3"/>
  <c r="AD13" i="3" s="1"/>
  <c r="K13" i="3"/>
  <c r="BA13" i="3" s="1"/>
  <c r="BC13" i="3" s="1"/>
  <c r="J13" i="3"/>
  <c r="AX13" i="3" s="1"/>
  <c r="H13" i="3"/>
  <c r="Y13" i="3" s="1"/>
  <c r="E13" i="3"/>
  <c r="BE12" i="3"/>
  <c r="BB12" i="3"/>
  <c r="BA12" i="3"/>
  <c r="BC12" i="3" s="1"/>
  <c r="AY12" i="3"/>
  <c r="AV12" i="3"/>
  <c r="AS12" i="3"/>
  <c r="AO12" i="3"/>
  <c r="AJ12" i="3"/>
  <c r="AG12" i="3"/>
  <c r="AC12" i="3"/>
  <c r="AB12" i="3"/>
  <c r="Z12" i="3"/>
  <c r="X12" i="3"/>
  <c r="W12" i="3"/>
  <c r="M12" i="3"/>
  <c r="K12" i="3"/>
  <c r="J12" i="3"/>
  <c r="AX12" i="3" s="1"/>
  <c r="AZ12" i="3" s="1"/>
  <c r="H12" i="3"/>
  <c r="U12" i="3" s="1"/>
  <c r="E12" i="3"/>
  <c r="BE11" i="3"/>
  <c r="BD11" i="3"/>
  <c r="BB11" i="3"/>
  <c r="AY11" i="3"/>
  <c r="AX11" i="3"/>
  <c r="AZ11" i="3" s="1"/>
  <c r="AV11" i="3"/>
  <c r="AU11" i="3"/>
  <c r="AW11" i="3" s="1"/>
  <c r="AS11" i="3"/>
  <c r="AJ11" i="3"/>
  <c r="AI11" i="3"/>
  <c r="AK11" i="3" s="1"/>
  <c r="AG11" i="3"/>
  <c r="AB11" i="3"/>
  <c r="Z11" i="3"/>
  <c r="Y11" i="3"/>
  <c r="X11" i="3"/>
  <c r="W11" i="3"/>
  <c r="U11" i="3"/>
  <c r="M11" i="3"/>
  <c r="AF11" i="3" s="1"/>
  <c r="AH11" i="3" s="1"/>
  <c r="K11" i="3"/>
  <c r="BA11" i="3" s="1"/>
  <c r="BC11" i="3" s="1"/>
  <c r="J11" i="3"/>
  <c r="H11" i="3"/>
  <c r="E11" i="3"/>
  <c r="BE10" i="3"/>
  <c r="BB10" i="3"/>
  <c r="AY10" i="3"/>
  <c r="AV10" i="3"/>
  <c r="AS10" i="3"/>
  <c r="AJ10" i="3"/>
  <c r="AG10" i="3"/>
  <c r="AB10" i="3"/>
  <c r="Z10" i="3"/>
  <c r="W10" i="3"/>
  <c r="M10" i="3"/>
  <c r="AD10" i="3" s="1"/>
  <c r="K10" i="3"/>
  <c r="BA10" i="3" s="1"/>
  <c r="BC10" i="3" s="1"/>
  <c r="J10" i="3"/>
  <c r="H10" i="3"/>
  <c r="AA10" i="3" s="1"/>
  <c r="E10" i="3"/>
  <c r="BD10" i="3" s="1"/>
  <c r="BE9" i="3"/>
  <c r="BB9" i="3"/>
  <c r="AY9" i="3"/>
  <c r="AX9" i="3"/>
  <c r="AZ9" i="3" s="1"/>
  <c r="AV9" i="3"/>
  <c r="AS9" i="3"/>
  <c r="AJ9" i="3"/>
  <c r="AI9" i="3"/>
  <c r="AK9" i="3" s="1"/>
  <c r="AG9" i="3"/>
  <c r="AD9" i="3"/>
  <c r="AB9" i="3"/>
  <c r="AA9" i="3"/>
  <c r="Z9" i="3"/>
  <c r="W9" i="3"/>
  <c r="M9" i="3"/>
  <c r="K9" i="3"/>
  <c r="BA9" i="3" s="1"/>
  <c r="BC9" i="3" s="1"/>
  <c r="J9" i="3"/>
  <c r="H9" i="3"/>
  <c r="E9" i="3"/>
  <c r="AP9" i="3" s="1"/>
  <c r="BE8" i="3"/>
  <c r="BB8" i="3"/>
  <c r="AY8" i="3"/>
  <c r="AX8" i="3"/>
  <c r="AZ8" i="3" s="1"/>
  <c r="AV8" i="3"/>
  <c r="AS8" i="3"/>
  <c r="AJ8" i="3"/>
  <c r="AG8" i="3"/>
  <c r="AF8" i="3"/>
  <c r="AH8" i="3" s="1"/>
  <c r="AB8" i="3"/>
  <c r="Z8" i="3"/>
  <c r="W8" i="3"/>
  <c r="M8" i="3"/>
  <c r="K8" i="3"/>
  <c r="J8" i="3"/>
  <c r="H8" i="3"/>
  <c r="E8" i="3"/>
  <c r="BD8" i="3" s="1"/>
  <c r="BE7" i="3"/>
  <c r="BD7" i="3"/>
  <c r="BB7" i="3"/>
  <c r="AZ7" i="3"/>
  <c r="AY7" i="3"/>
  <c r="AV7" i="3"/>
  <c r="AU7" i="3"/>
  <c r="AS7" i="3"/>
  <c r="AP7" i="3"/>
  <c r="AJ7" i="3"/>
  <c r="AI7" i="3"/>
  <c r="AK7" i="3" s="1"/>
  <c r="AG7" i="3"/>
  <c r="AC7" i="3"/>
  <c r="AB7" i="3"/>
  <c r="Z7" i="3"/>
  <c r="X7" i="3"/>
  <c r="W7" i="3"/>
  <c r="U7" i="3"/>
  <c r="M7" i="3"/>
  <c r="AD7" i="3" s="1"/>
  <c r="K7" i="3"/>
  <c r="BA7" i="3" s="1"/>
  <c r="BC7" i="3" s="1"/>
  <c r="J7" i="3"/>
  <c r="AX7" i="3" s="1"/>
  <c r="H7" i="3"/>
  <c r="E7" i="3"/>
  <c r="AO7" i="3" s="1"/>
  <c r="BE6" i="3"/>
  <c r="BB6" i="3"/>
  <c r="AY6" i="3"/>
  <c r="AV6" i="3"/>
  <c r="AS6" i="3"/>
  <c r="AJ6" i="3"/>
  <c r="AG6" i="3"/>
  <c r="AB6" i="3"/>
  <c r="Z6" i="3"/>
  <c r="W6" i="3"/>
  <c r="M6" i="3"/>
  <c r="AD6" i="3" s="1"/>
  <c r="K6" i="3"/>
  <c r="BA6" i="3" s="1"/>
  <c r="BC6" i="3" s="1"/>
  <c r="J6" i="3"/>
  <c r="H6" i="3"/>
  <c r="E6" i="3"/>
  <c r="BE5" i="3"/>
  <c r="BB5" i="3"/>
  <c r="AY5" i="3"/>
  <c r="AV5" i="3"/>
  <c r="AS5" i="3"/>
  <c r="AJ5" i="3"/>
  <c r="AG5" i="3"/>
  <c r="AB5" i="3"/>
  <c r="Z5" i="3"/>
  <c r="W5" i="3"/>
  <c r="M5" i="3"/>
  <c r="K5" i="3"/>
  <c r="J5" i="3"/>
  <c r="H5" i="3"/>
  <c r="Y5" i="3" s="1"/>
  <c r="E5" i="3"/>
  <c r="BE4" i="3"/>
  <c r="BD4" i="3"/>
  <c r="BB4" i="3"/>
  <c r="AY4" i="3"/>
  <c r="AV4" i="3"/>
  <c r="AW4" i="3" s="1"/>
  <c r="AU4" i="3"/>
  <c r="AS4" i="3"/>
  <c r="AJ4" i="3"/>
  <c r="AI4" i="3"/>
  <c r="AK4" i="3" s="1"/>
  <c r="AG4" i="3"/>
  <c r="AC4" i="3"/>
  <c r="AB4" i="3"/>
  <c r="Z4" i="3"/>
  <c r="Y4" i="3"/>
  <c r="X4" i="3"/>
  <c r="W4" i="3"/>
  <c r="U4" i="3"/>
  <c r="M4" i="3"/>
  <c r="AR4" i="3" s="1"/>
  <c r="AT4" i="3" s="1"/>
  <c r="K4" i="3"/>
  <c r="BA4" i="3" s="1"/>
  <c r="BC4" i="3" s="1"/>
  <c r="J4" i="3"/>
  <c r="AX4" i="3" s="1"/>
  <c r="AZ4" i="3" s="1"/>
  <c r="H4" i="3"/>
  <c r="E4" i="3"/>
  <c r="AP4" i="3" s="1"/>
  <c r="BE3" i="3"/>
  <c r="BB3" i="3"/>
  <c r="BA3" i="3"/>
  <c r="AY3" i="3"/>
  <c r="AV3" i="3"/>
  <c r="AS3" i="3"/>
  <c r="AP3" i="3"/>
  <c r="AO3" i="3"/>
  <c r="AJ3" i="3"/>
  <c r="AG3" i="3"/>
  <c r="AB3" i="3"/>
  <c r="Z3" i="3"/>
  <c r="W3" i="3"/>
  <c r="U3" i="3"/>
  <c r="M3" i="3"/>
  <c r="AR3" i="3" s="1"/>
  <c r="K3" i="3"/>
  <c r="J3" i="3"/>
  <c r="AX3" i="3" s="1"/>
  <c r="H3" i="3"/>
  <c r="Y3" i="3" s="1"/>
  <c r="E3" i="3"/>
  <c r="BD3" i="3" s="1"/>
  <c r="BF29" i="2"/>
  <c r="AN29" i="2"/>
  <c r="AM29" i="2"/>
  <c r="AL29" i="2"/>
  <c r="AE29" i="2"/>
  <c r="V29" i="2"/>
  <c r="B29" i="2"/>
  <c r="B28" i="2"/>
  <c r="BE27" i="2"/>
  <c r="BB27" i="2"/>
  <c r="AY27" i="2"/>
  <c r="AV27" i="2"/>
  <c r="AS27" i="2"/>
  <c r="AR27" i="2"/>
  <c r="AT27" i="2" s="1"/>
  <c r="AB27" i="2"/>
  <c r="BA27" i="2" s="1"/>
  <c r="BC27" i="2" s="1"/>
  <c r="AA27" i="2"/>
  <c r="Z27" i="2"/>
  <c r="AX27" i="2" s="1"/>
  <c r="AZ27" i="2" s="1"/>
  <c r="Y27" i="2"/>
  <c r="X27" i="2"/>
  <c r="H27" i="2"/>
  <c r="U27" i="2" s="1"/>
  <c r="E27" i="2"/>
  <c r="AP26" i="2"/>
  <c r="B26" i="2"/>
  <c r="BE25" i="2"/>
  <c r="BD25" i="2"/>
  <c r="BC25" i="2"/>
  <c r="BB25" i="2"/>
  <c r="BA25" i="2"/>
  <c r="AY25" i="2"/>
  <c r="AX25" i="2"/>
  <c r="AZ25" i="2" s="1"/>
  <c r="AW25" i="2"/>
  <c r="AV25" i="2"/>
  <c r="AU25" i="2"/>
  <c r="AS25" i="2"/>
  <c r="AT25" i="2" s="1"/>
  <c r="AI25" i="2"/>
  <c r="AG25" i="2"/>
  <c r="AC25" i="2"/>
  <c r="AB25" i="2"/>
  <c r="AA25" i="2"/>
  <c r="Z25" i="2"/>
  <c r="Y25" i="2"/>
  <c r="X25" i="2"/>
  <c r="W25" i="2"/>
  <c r="U25" i="2"/>
  <c r="H25" i="2"/>
  <c r="AF25" i="2" s="1"/>
  <c r="E25" i="2"/>
  <c r="AR25" i="2" s="1"/>
  <c r="AP24" i="2"/>
  <c r="AO24" i="2"/>
  <c r="B24" i="2"/>
  <c r="BE23" i="2"/>
  <c r="BD23" i="2"/>
  <c r="BB23" i="2"/>
  <c r="BA23" i="2"/>
  <c r="BC23" i="2" s="1"/>
  <c r="AY23" i="2"/>
  <c r="AV23" i="2"/>
  <c r="AU23" i="2"/>
  <c r="AW23" i="2" s="1"/>
  <c r="AS23" i="2"/>
  <c r="AI23" i="2"/>
  <c r="AK23" i="2" s="1"/>
  <c r="AF23" i="2"/>
  <c r="AC23" i="2"/>
  <c r="AB23" i="2"/>
  <c r="X23" i="2"/>
  <c r="W23" i="2"/>
  <c r="U23" i="2"/>
  <c r="S23" i="2"/>
  <c r="AD23" i="2" s="1"/>
  <c r="R23" i="2"/>
  <c r="Q23" i="2"/>
  <c r="AA23" i="2" s="1"/>
  <c r="P23" i="2"/>
  <c r="H23" i="2"/>
  <c r="E23" i="2"/>
  <c r="BE22" i="2"/>
  <c r="BD22" i="2"/>
  <c r="BB22" i="2"/>
  <c r="BA22" i="2"/>
  <c r="BC22" i="2" s="1"/>
  <c r="AY22" i="2"/>
  <c r="AV22" i="2"/>
  <c r="AS22" i="2"/>
  <c r="AR22" i="2"/>
  <c r="AT22" i="2" s="1"/>
  <c r="AC22" i="2"/>
  <c r="AB22" i="2"/>
  <c r="AA22" i="2"/>
  <c r="Z22" i="2"/>
  <c r="AX22" i="2" s="1"/>
  <c r="AZ22" i="2" s="1"/>
  <c r="Y22" i="2"/>
  <c r="X22" i="2"/>
  <c r="U22" i="2"/>
  <c r="S22" i="2"/>
  <c r="H22" i="2"/>
  <c r="E22" i="2"/>
  <c r="BE21" i="2"/>
  <c r="BD21" i="2"/>
  <c r="BC21" i="2"/>
  <c r="BB21" i="2"/>
  <c r="AY21" i="2"/>
  <c r="AX21" i="2"/>
  <c r="AZ21" i="2" s="1"/>
  <c r="AW21" i="2"/>
  <c r="AV21" i="2"/>
  <c r="AU21" i="2"/>
  <c r="AS21" i="2"/>
  <c r="AI21" i="2"/>
  <c r="AF21" i="2"/>
  <c r="AB21" i="2"/>
  <c r="BA21" i="2" s="1"/>
  <c r="AA21" i="2"/>
  <c r="Z21" i="2"/>
  <c r="Y21" i="2"/>
  <c r="X21" i="2"/>
  <c r="W21" i="2"/>
  <c r="U21" i="2"/>
  <c r="S21" i="2"/>
  <c r="H21" i="2"/>
  <c r="E21" i="2"/>
  <c r="BE20" i="2"/>
  <c r="BD20" i="2"/>
  <c r="BB20" i="2"/>
  <c r="AY20" i="2"/>
  <c r="AX20" i="2"/>
  <c r="AZ20" i="2" s="1"/>
  <c r="AV20" i="2"/>
  <c r="AS20" i="2"/>
  <c r="AF20" i="2"/>
  <c r="Z20" i="2"/>
  <c r="X20" i="2"/>
  <c r="U20" i="2"/>
  <c r="S20" i="2"/>
  <c r="AR20" i="2" s="1"/>
  <c r="AT20" i="2" s="1"/>
  <c r="R20" i="2"/>
  <c r="AC20" i="2" s="1"/>
  <c r="Q20" i="2"/>
  <c r="AB20" i="2" s="1"/>
  <c r="P20" i="2"/>
  <c r="Y20" i="2" s="1"/>
  <c r="H20" i="2"/>
  <c r="E20" i="2"/>
  <c r="BE19" i="2"/>
  <c r="BB19" i="2"/>
  <c r="AY19" i="2"/>
  <c r="AV19" i="2"/>
  <c r="AS19" i="2"/>
  <c r="AJ19" i="2"/>
  <c r="AG19" i="2"/>
  <c r="Y19" i="2"/>
  <c r="X19" i="2"/>
  <c r="S19" i="2"/>
  <c r="R19" i="2"/>
  <c r="AC19" i="2" s="1"/>
  <c r="Q19" i="2"/>
  <c r="P19" i="2"/>
  <c r="G19" i="2"/>
  <c r="F19" i="2"/>
  <c r="H19" i="2" s="1"/>
  <c r="E19" i="2"/>
  <c r="AD19" i="2" s="1"/>
  <c r="BE18" i="2"/>
  <c r="BB18" i="2"/>
  <c r="AY18" i="2"/>
  <c r="AV18" i="2"/>
  <c r="AS18" i="2"/>
  <c r="AR18" i="2"/>
  <c r="AT18" i="2" s="1"/>
  <c r="AI18" i="2"/>
  <c r="AD18" i="2"/>
  <c r="Z18" i="2"/>
  <c r="Y18" i="2"/>
  <c r="X18" i="2"/>
  <c r="S18" i="2"/>
  <c r="Q18" i="2"/>
  <c r="AA18" i="2" s="1"/>
  <c r="P18" i="2"/>
  <c r="AX18" i="2" s="1"/>
  <c r="AZ18" i="2" s="1"/>
  <c r="H18" i="2"/>
  <c r="U18" i="2" s="1"/>
  <c r="E18" i="2"/>
  <c r="BE17" i="2"/>
  <c r="BD17" i="2"/>
  <c r="BB17" i="2"/>
  <c r="AY17" i="2"/>
  <c r="AW17" i="2"/>
  <c r="AV17" i="2"/>
  <c r="AU17" i="2"/>
  <c r="AS17" i="2"/>
  <c r="AI17" i="2"/>
  <c r="AF17" i="2"/>
  <c r="AA17" i="2"/>
  <c r="Y17" i="2"/>
  <c r="X17" i="2"/>
  <c r="W17" i="2"/>
  <c r="U17" i="2"/>
  <c r="S17" i="2"/>
  <c r="R17" i="2"/>
  <c r="Q17" i="2"/>
  <c r="P17" i="2"/>
  <c r="H17" i="2"/>
  <c r="E17" i="2"/>
  <c r="BE16" i="2"/>
  <c r="BD16" i="2"/>
  <c r="BB16" i="2"/>
  <c r="AY16" i="2"/>
  <c r="AV16" i="2"/>
  <c r="AS16" i="2"/>
  <c r="AA16" i="2"/>
  <c r="Y16" i="2"/>
  <c r="X16" i="2"/>
  <c r="W16" i="2"/>
  <c r="S16" i="2"/>
  <c r="AD16" i="2" s="1"/>
  <c r="H16" i="2"/>
  <c r="AI16" i="2" s="1"/>
  <c r="E16" i="2"/>
  <c r="BE15" i="2"/>
  <c r="BB15" i="2"/>
  <c r="AY15" i="2"/>
  <c r="AV15" i="2"/>
  <c r="AS15" i="2"/>
  <c r="AD15" i="2"/>
  <c r="AC15" i="2"/>
  <c r="AB15" i="2"/>
  <c r="BA15" i="2" s="1"/>
  <c r="BC15" i="2" s="1"/>
  <c r="AA15" i="2"/>
  <c r="Y15" i="2"/>
  <c r="X15" i="2"/>
  <c r="S15" i="2"/>
  <c r="H15" i="2"/>
  <c r="E15" i="2"/>
  <c r="AR15" i="2" s="1"/>
  <c r="AT15" i="2" s="1"/>
  <c r="BE14" i="2"/>
  <c r="BD14" i="2"/>
  <c r="BB14" i="2"/>
  <c r="AY14" i="2"/>
  <c r="AV14" i="2"/>
  <c r="AU14" i="2"/>
  <c r="AW14" i="2" s="1"/>
  <c r="AS14" i="2"/>
  <c r="AR14" i="2"/>
  <c r="AT14" i="2" s="1"/>
  <c r="AJ14" i="2"/>
  <c r="AI14" i="2"/>
  <c r="AD14" i="2"/>
  <c r="AC14" i="2"/>
  <c r="AB14" i="2"/>
  <c r="Z14" i="2"/>
  <c r="Y14" i="2"/>
  <c r="X14" i="2"/>
  <c r="W14" i="2"/>
  <c r="U14" i="2"/>
  <c r="M14" i="2"/>
  <c r="K14" i="2"/>
  <c r="BA14" i="2" s="1"/>
  <c r="BC14" i="2" s="1"/>
  <c r="J14" i="2"/>
  <c r="AX14" i="2" s="1"/>
  <c r="AZ14" i="2" s="1"/>
  <c r="H14" i="2"/>
  <c r="E14" i="2"/>
  <c r="BE13" i="2"/>
  <c r="BD13" i="2"/>
  <c r="BB13" i="2"/>
  <c r="AY13" i="2"/>
  <c r="AV13" i="2"/>
  <c r="AS13" i="2"/>
  <c r="AR13" i="2"/>
  <c r="AT13" i="2" s="1"/>
  <c r="AB13" i="2"/>
  <c r="AA13" i="2"/>
  <c r="Z13" i="2"/>
  <c r="W13" i="2"/>
  <c r="M13" i="2"/>
  <c r="K13" i="2"/>
  <c r="BA13" i="2" s="1"/>
  <c r="BC13" i="2" s="1"/>
  <c r="J13" i="2"/>
  <c r="AX13" i="2" s="1"/>
  <c r="AZ13" i="2" s="1"/>
  <c r="H13" i="2"/>
  <c r="E13" i="2"/>
  <c r="BE12" i="2"/>
  <c r="BB12" i="2"/>
  <c r="AY12" i="2"/>
  <c r="AV12" i="2"/>
  <c r="AS12" i="2"/>
  <c r="AB12" i="2"/>
  <c r="AA12" i="2"/>
  <c r="Z12" i="2"/>
  <c r="W12" i="2"/>
  <c r="M12" i="2"/>
  <c r="K12" i="2"/>
  <c r="BA12" i="2" s="1"/>
  <c r="BC12" i="2" s="1"/>
  <c r="J12" i="2"/>
  <c r="AX12" i="2" s="1"/>
  <c r="AZ12" i="2" s="1"/>
  <c r="H12" i="2"/>
  <c r="E12" i="2"/>
  <c r="BD12" i="2" s="1"/>
  <c r="BE11" i="2"/>
  <c r="BD11" i="2"/>
  <c r="BB11" i="2"/>
  <c r="AY11" i="2"/>
  <c r="AX11" i="2"/>
  <c r="AZ11" i="2" s="1"/>
  <c r="AV11" i="2"/>
  <c r="AU11" i="2"/>
  <c r="AW11" i="2" s="1"/>
  <c r="AS11" i="2"/>
  <c r="AI11" i="2"/>
  <c r="AK11" i="2" s="1"/>
  <c r="AB11" i="2"/>
  <c r="Z11" i="2"/>
  <c r="Y11" i="2"/>
  <c r="X11" i="2"/>
  <c r="W11" i="2"/>
  <c r="U11" i="2"/>
  <c r="M11" i="2"/>
  <c r="AR11" i="2" s="1"/>
  <c r="AT11" i="2" s="1"/>
  <c r="K11" i="2"/>
  <c r="BA11" i="2" s="1"/>
  <c r="BC11" i="2" s="1"/>
  <c r="J11" i="2"/>
  <c r="H11" i="2"/>
  <c r="E11" i="2"/>
  <c r="BE10" i="2"/>
  <c r="BB10" i="2"/>
  <c r="AY10" i="2"/>
  <c r="AV10" i="2"/>
  <c r="AS10" i="2"/>
  <c r="AB10" i="2"/>
  <c r="Z10" i="2"/>
  <c r="Y10" i="2"/>
  <c r="W10" i="2"/>
  <c r="M10" i="2"/>
  <c r="K10" i="2"/>
  <c r="J10" i="2"/>
  <c r="H10" i="2"/>
  <c r="U10" i="2" s="1"/>
  <c r="E10" i="2"/>
  <c r="AC10" i="2" s="1"/>
  <c r="BE9" i="2"/>
  <c r="BD9" i="2"/>
  <c r="BB9" i="2"/>
  <c r="AY9" i="2"/>
  <c r="AX9" i="2"/>
  <c r="AZ9" i="2" s="1"/>
  <c r="AV9" i="2"/>
  <c r="AW9" i="2" s="1"/>
  <c r="AS9" i="2"/>
  <c r="AI9" i="2"/>
  <c r="AD9" i="2"/>
  <c r="AC9" i="2"/>
  <c r="AB9" i="2"/>
  <c r="Z9" i="2"/>
  <c r="Y9" i="2"/>
  <c r="X9" i="2"/>
  <c r="W9" i="2"/>
  <c r="U9" i="2"/>
  <c r="M9" i="2"/>
  <c r="AR9" i="2" s="1"/>
  <c r="AT9" i="2" s="1"/>
  <c r="K9" i="2"/>
  <c r="BA9" i="2" s="1"/>
  <c r="BC9" i="2" s="1"/>
  <c r="J9" i="2"/>
  <c r="H9" i="2"/>
  <c r="E9" i="2"/>
  <c r="AU9" i="2" s="1"/>
  <c r="BE8" i="2"/>
  <c r="BB8" i="2"/>
  <c r="AY8" i="2"/>
  <c r="AV8" i="2"/>
  <c r="AS8" i="2"/>
  <c r="AJ8" i="2"/>
  <c r="AB8" i="2"/>
  <c r="Z8" i="2"/>
  <c r="Y8" i="2"/>
  <c r="W8" i="2"/>
  <c r="M8" i="2"/>
  <c r="K8" i="2"/>
  <c r="J8" i="2"/>
  <c r="AX8" i="2" s="1"/>
  <c r="AZ8" i="2" s="1"/>
  <c r="H8" i="2"/>
  <c r="U8" i="2" s="1"/>
  <c r="E8" i="2"/>
  <c r="AI8" i="2" s="1"/>
  <c r="BE7" i="2"/>
  <c r="BD7" i="2"/>
  <c r="BB7" i="2"/>
  <c r="AY7" i="2"/>
  <c r="AX7" i="2"/>
  <c r="AZ7" i="2" s="1"/>
  <c r="AV7" i="2"/>
  <c r="AU7" i="2"/>
  <c r="AW7" i="2" s="1"/>
  <c r="AS7" i="2"/>
  <c r="AJ7" i="2"/>
  <c r="AI7" i="2"/>
  <c r="AK7" i="2" s="1"/>
  <c r="AB7" i="2"/>
  <c r="Z7" i="2"/>
  <c r="Y7" i="2"/>
  <c r="X7" i="2"/>
  <c r="W7" i="2"/>
  <c r="U7" i="2"/>
  <c r="M7" i="2"/>
  <c r="AR7" i="2" s="1"/>
  <c r="AT7" i="2" s="1"/>
  <c r="K7" i="2"/>
  <c r="J7" i="2"/>
  <c r="H7" i="2"/>
  <c r="E7" i="2"/>
  <c r="BA7" i="2" s="1"/>
  <c r="BC7" i="2" s="1"/>
  <c r="BE6" i="2"/>
  <c r="BD6" i="2"/>
  <c r="BB6" i="2"/>
  <c r="BA6" i="2"/>
  <c r="BC6" i="2" s="1"/>
  <c r="AY6" i="2"/>
  <c r="AV6" i="2"/>
  <c r="AU6" i="2"/>
  <c r="AW6" i="2" s="1"/>
  <c r="AS6" i="2"/>
  <c r="AR6" i="2"/>
  <c r="AT6" i="2" s="1"/>
  <c r="AI6" i="2"/>
  <c r="AD6" i="2"/>
  <c r="AC6" i="2"/>
  <c r="AB6" i="2"/>
  <c r="Z6" i="2"/>
  <c r="X6" i="2"/>
  <c r="W6" i="2"/>
  <c r="U6" i="2"/>
  <c r="M6" i="2"/>
  <c r="K6" i="2"/>
  <c r="J6" i="2"/>
  <c r="AX6" i="2" s="1"/>
  <c r="AZ6" i="2" s="1"/>
  <c r="H6" i="2"/>
  <c r="AA6" i="2" s="1"/>
  <c r="E6" i="2"/>
  <c r="BE5" i="2"/>
  <c r="BB5" i="2"/>
  <c r="AY5" i="2"/>
  <c r="AX5" i="2"/>
  <c r="AZ5" i="2" s="1"/>
  <c r="AV5" i="2"/>
  <c r="AS5" i="2"/>
  <c r="AB5" i="2"/>
  <c r="Z5" i="2"/>
  <c r="W5" i="2"/>
  <c r="M5" i="2"/>
  <c r="K5" i="2"/>
  <c r="J5" i="2"/>
  <c r="H5" i="2"/>
  <c r="U5" i="2" s="1"/>
  <c r="E5" i="2"/>
  <c r="AI5" i="2" s="1"/>
  <c r="BE4" i="2"/>
  <c r="BB4" i="2"/>
  <c r="AY4" i="2"/>
  <c r="AX4" i="2"/>
  <c r="AZ4" i="2" s="1"/>
  <c r="AV4" i="2"/>
  <c r="AU4" i="2"/>
  <c r="AW4" i="2" s="1"/>
  <c r="AS4" i="2"/>
  <c r="AI4" i="2"/>
  <c r="AB4" i="2"/>
  <c r="Z4" i="2"/>
  <c r="Y4" i="2"/>
  <c r="X4" i="2"/>
  <c r="W4" i="2"/>
  <c r="M4" i="2"/>
  <c r="AR4" i="2" s="1"/>
  <c r="AT4" i="2" s="1"/>
  <c r="K4" i="2"/>
  <c r="J4" i="2"/>
  <c r="H4" i="2"/>
  <c r="U4" i="2" s="1"/>
  <c r="E4" i="2"/>
  <c r="AF4" i="2" s="1"/>
  <c r="BE3" i="2"/>
  <c r="BE29" i="2" s="1"/>
  <c r="BD3" i="2"/>
  <c r="BB3" i="2"/>
  <c r="BB29" i="2" s="1"/>
  <c r="AY3" i="2"/>
  <c r="AY29" i="2" s="1"/>
  <c r="AV3" i="2"/>
  <c r="AU3" i="2"/>
  <c r="AS3" i="2"/>
  <c r="AR3" i="2"/>
  <c r="AI3" i="2"/>
  <c r="AD3" i="2"/>
  <c r="AC3" i="2"/>
  <c r="AB3" i="2"/>
  <c r="Z3" i="2"/>
  <c r="Y3" i="2"/>
  <c r="X3" i="2"/>
  <c r="W3" i="2"/>
  <c r="U3" i="2"/>
  <c r="M3" i="2"/>
  <c r="K3" i="2"/>
  <c r="AF3" i="2" s="1"/>
  <c r="J3" i="2"/>
  <c r="AX3" i="2" s="1"/>
  <c r="H3" i="2"/>
  <c r="AA3" i="2" s="1"/>
  <c r="E3" i="2"/>
  <c r="J55" i="1"/>
  <c r="I55" i="1"/>
  <c r="H55" i="1"/>
  <c r="H57" i="1" s="1"/>
  <c r="B15" i="1" s="1"/>
  <c r="J53" i="1"/>
  <c r="I53" i="1"/>
  <c r="H53" i="1"/>
  <c r="G53" i="1"/>
  <c r="G55" i="1" s="1"/>
  <c r="G57" i="1" s="1"/>
  <c r="J50" i="1"/>
  <c r="I50" i="1"/>
  <c r="J48" i="1"/>
  <c r="H48" i="1"/>
  <c r="G48" i="1"/>
  <c r="G50" i="1" s="1"/>
  <c r="G45" i="1"/>
  <c r="J43" i="1"/>
  <c r="J45" i="1" s="1"/>
  <c r="I43" i="1"/>
  <c r="I45" i="1" s="1"/>
  <c r="H43" i="1"/>
  <c r="G43" i="1"/>
  <c r="J40" i="1"/>
  <c r="I40" i="1"/>
  <c r="B39" i="1"/>
  <c r="J38" i="1"/>
  <c r="I38" i="1"/>
  <c r="H38" i="1"/>
  <c r="G38" i="1"/>
  <c r="J33" i="1"/>
  <c r="J35" i="1" s="1"/>
  <c r="I33" i="1"/>
  <c r="I35" i="1" s="1"/>
  <c r="H33" i="1"/>
  <c r="G33" i="1"/>
  <c r="I30" i="1"/>
  <c r="J28" i="1"/>
  <c r="J30" i="1" s="1"/>
  <c r="H28" i="1"/>
  <c r="G28" i="1"/>
  <c r="D27" i="1"/>
  <c r="D26" i="1"/>
  <c r="D25" i="1"/>
  <c r="D24" i="1"/>
  <c r="D23" i="1"/>
  <c r="D22" i="1"/>
  <c r="D21" i="1"/>
  <c r="D20" i="1"/>
  <c r="D19" i="1"/>
  <c r="D18" i="1" s="1"/>
  <c r="C18" i="1"/>
  <c r="J15" i="1"/>
  <c r="I15" i="1"/>
  <c r="J11" i="1"/>
  <c r="J7" i="1"/>
  <c r="H4" i="1"/>
  <c r="J3" i="1"/>
  <c r="J19" i="1" s="1"/>
  <c r="D3" i="1" s="1"/>
  <c r="I3" i="1"/>
  <c r="AT3" i="3" l="1"/>
  <c r="AZ3" i="2"/>
  <c r="AQ25" i="2"/>
  <c r="AH25" i="2"/>
  <c r="AP25" i="2" s="1"/>
  <c r="AQ3" i="2"/>
  <c r="U19" i="2"/>
  <c r="AI19" i="2"/>
  <c r="B12" i="1"/>
  <c r="AK8" i="2"/>
  <c r="AO8" i="2" s="1"/>
  <c r="I57" i="1"/>
  <c r="D12" i="1"/>
  <c r="D13" i="1" s="1"/>
  <c r="J57" i="1"/>
  <c r="D15" i="1" s="1"/>
  <c r="D16" i="1" s="1"/>
  <c r="AZ3" i="3"/>
  <c r="U31" i="3"/>
  <c r="AF31" i="3"/>
  <c r="AH31" i="3" s="1"/>
  <c r="AG16" i="2" s="1"/>
  <c r="AT3" i="2"/>
  <c r="AF6" i="2"/>
  <c r="U12" i="2"/>
  <c r="AC12" i="2"/>
  <c r="AI13" i="2"/>
  <c r="X13" i="2"/>
  <c r="AU13" i="2"/>
  <c r="AW13" i="2" s="1"/>
  <c r="AC13" i="2"/>
  <c r="AC5" i="2"/>
  <c r="BA5" i="2"/>
  <c r="BC5" i="2" s="1"/>
  <c r="AD5" i="2"/>
  <c r="AR5" i="2"/>
  <c r="AT5" i="2" s="1"/>
  <c r="AF12" i="2"/>
  <c r="AF13" i="2"/>
  <c r="U15" i="2"/>
  <c r="J20" i="1"/>
  <c r="M15" i="6"/>
  <c r="G15" i="6"/>
  <c r="D15" i="6"/>
  <c r="J15" i="6"/>
  <c r="BA3" i="2"/>
  <c r="BD4" i="2"/>
  <c r="BD29" i="2" s="1"/>
  <c r="Y5" i="2"/>
  <c r="Y29" i="2" s="1"/>
  <c r="AF7" i="2"/>
  <c r="X8" i="2"/>
  <c r="X10" i="2"/>
  <c r="AI10" i="2"/>
  <c r="AD11" i="2"/>
  <c r="AB16" i="2"/>
  <c r="BA16" i="2" s="1"/>
  <c r="BC16" i="2" s="1"/>
  <c r="Z16" i="2"/>
  <c r="AX16" i="2" s="1"/>
  <c r="AZ16" i="2" s="1"/>
  <c r="AF16" i="2"/>
  <c r="AD20" i="2"/>
  <c r="AI27" i="2"/>
  <c r="AU27" i="2"/>
  <c r="AW27" i="2" s="1"/>
  <c r="W27" i="2"/>
  <c r="BD27" i="2"/>
  <c r="AD3" i="3"/>
  <c r="AR6" i="3"/>
  <c r="AT6" i="3" s="1"/>
  <c r="AR7" i="3"/>
  <c r="AT7" i="3" s="1"/>
  <c r="Y8" i="3"/>
  <c r="AO8" i="3"/>
  <c r="AR10" i="3"/>
  <c r="AT10" i="3" s="1"/>
  <c r="BD12" i="3"/>
  <c r="AF12" i="3"/>
  <c r="AH12" i="3" s="1"/>
  <c r="AR12" i="3"/>
  <c r="AT12" i="3" s="1"/>
  <c r="AD12" i="3"/>
  <c r="AU12" i="3"/>
  <c r="AW12" i="3" s="1"/>
  <c r="AF13" i="3"/>
  <c r="AF14" i="3"/>
  <c r="AR17" i="3"/>
  <c r="AT17" i="3" s="1"/>
  <c r="AU26" i="3"/>
  <c r="AW26" i="3" s="1"/>
  <c r="AF26" i="3"/>
  <c r="AC26" i="3"/>
  <c r="BD26" i="3"/>
  <c r="AO26" i="3"/>
  <c r="U26" i="3"/>
  <c r="BA26" i="3"/>
  <c r="BC26" i="3" s="1"/>
  <c r="AI28" i="3"/>
  <c r="AK28" i="3" s="1"/>
  <c r="AJ13" i="2" s="1"/>
  <c r="X28" i="3"/>
  <c r="AU28" i="3"/>
  <c r="AW28" i="3" s="1"/>
  <c r="AF28" i="3"/>
  <c r="AH28" i="3" s="1"/>
  <c r="AG13" i="2" s="1"/>
  <c r="AQ29" i="3"/>
  <c r="AW29" i="3"/>
  <c r="H33" i="3"/>
  <c r="U33" i="3" s="1"/>
  <c r="AZ51" i="3"/>
  <c r="AH24" i="4"/>
  <c r="AG51" i="3" s="1"/>
  <c r="AQ24" i="4"/>
  <c r="AP24" i="4"/>
  <c r="AR21" i="2"/>
  <c r="AT21" i="2" s="1"/>
  <c r="AD21" i="2"/>
  <c r="AF3" i="3"/>
  <c r="AF5" i="3"/>
  <c r="AH5" i="3" s="1"/>
  <c r="AG3" i="2" s="1"/>
  <c r="AR5" i="3"/>
  <c r="AT5" i="3" s="1"/>
  <c r="AD5" i="3"/>
  <c r="BA5" i="3"/>
  <c r="BC5" i="3" s="1"/>
  <c r="AC5" i="3"/>
  <c r="AA5" i="3"/>
  <c r="AI6" i="3"/>
  <c r="AK6" i="3" s="1"/>
  <c r="AJ4" i="2" s="1"/>
  <c r="X6" i="3"/>
  <c r="AU6" i="3"/>
  <c r="AW6" i="3" s="1"/>
  <c r="BD6" i="3"/>
  <c r="AC6" i="3"/>
  <c r="BA18" i="3"/>
  <c r="BC18" i="3" s="1"/>
  <c r="AC18" i="3"/>
  <c r="AP18" i="3"/>
  <c r="BD18" i="3"/>
  <c r="AF18" i="3"/>
  <c r="AH18" i="3" s="1"/>
  <c r="AA18" i="3"/>
  <c r="Y28" i="3"/>
  <c r="U28" i="3"/>
  <c r="AA28" i="3"/>
  <c r="AD4" i="3"/>
  <c r="AU5" i="3"/>
  <c r="AW5" i="3" s="1"/>
  <c r="U6" i="3"/>
  <c r="AA7" i="3"/>
  <c r="Y7" i="3"/>
  <c r="BA8" i="3"/>
  <c r="BC8" i="3" s="1"/>
  <c r="AC8" i="3"/>
  <c r="AP8" i="3"/>
  <c r="AA8" i="3"/>
  <c r="AU9" i="3"/>
  <c r="AW9" i="3" s="1"/>
  <c r="BD9" i="3"/>
  <c r="AF9" i="3"/>
  <c r="AR9" i="3"/>
  <c r="AT9" i="3" s="1"/>
  <c r="AI10" i="3"/>
  <c r="AK10" i="3" s="1"/>
  <c r="X10" i="3"/>
  <c r="AO10" i="3"/>
  <c r="AC10" i="3"/>
  <c r="AQ11" i="3"/>
  <c r="X15" i="3"/>
  <c r="AO15" i="3"/>
  <c r="AP29" i="3"/>
  <c r="AH29" i="3"/>
  <c r="AG14" i="2" s="1"/>
  <c r="BA38" i="3"/>
  <c r="BC38" i="3" s="1"/>
  <c r="AF38" i="3"/>
  <c r="AH38" i="3" s="1"/>
  <c r="AG23" i="2" s="1"/>
  <c r="AQ23" i="2"/>
  <c r="AF4" i="3"/>
  <c r="AF6" i="3"/>
  <c r="AH6" i="3" s="1"/>
  <c r="AG4" i="2" s="1"/>
  <c r="AH4" i="2" s="1"/>
  <c r="AF7" i="3"/>
  <c r="AW7" i="3"/>
  <c r="AU8" i="3"/>
  <c r="AW8" i="3" s="1"/>
  <c r="U9" i="3"/>
  <c r="AC9" i="3"/>
  <c r="Y10" i="3"/>
  <c r="AU10" i="3"/>
  <c r="AW10" i="3" s="1"/>
  <c r="AI12" i="3"/>
  <c r="AK12" i="3" s="1"/>
  <c r="AK14" i="3"/>
  <c r="Y15" i="3"/>
  <c r="AP15" i="3"/>
  <c r="AI16" i="3"/>
  <c r="AK16" i="3" s="1"/>
  <c r="AJ6" i="2" s="1"/>
  <c r="X16" i="3"/>
  <c r="AU16" i="3"/>
  <c r="AW16" i="3" s="1"/>
  <c r="BD16" i="3"/>
  <c r="AD16" i="3"/>
  <c r="AF17" i="3"/>
  <c r="AX18" i="3"/>
  <c r="AZ18" i="3" s="1"/>
  <c r="U16" i="2"/>
  <c r="BA20" i="2"/>
  <c r="BC20" i="2" s="1"/>
  <c r="AR23" i="2"/>
  <c r="AT23" i="2" s="1"/>
  <c r="AX6" i="3"/>
  <c r="AZ6" i="3" s="1"/>
  <c r="AX10" i="3"/>
  <c r="AZ10" i="3" s="1"/>
  <c r="AF10" i="3"/>
  <c r="AH10" i="3" s="1"/>
  <c r="U16" i="3"/>
  <c r="Y16" i="3"/>
  <c r="AF16" i="3"/>
  <c r="AH16" i="3" s="1"/>
  <c r="AG6" i="2" s="1"/>
  <c r="AF20" i="3"/>
  <c r="Y23" i="3"/>
  <c r="AA23" i="3"/>
  <c r="AA25" i="3"/>
  <c r="Y25" i="3"/>
  <c r="AI25" i="3"/>
  <c r="AK25" i="3" s="1"/>
  <c r="AJ10" i="2" s="1"/>
  <c r="AB37" i="3"/>
  <c r="BA37" i="3" s="1"/>
  <c r="BC37" i="3" s="1"/>
  <c r="AO37" i="3"/>
  <c r="Z37" i="3"/>
  <c r="AX37" i="3" s="1"/>
  <c r="AZ37" i="3" s="1"/>
  <c r="AC37" i="3"/>
  <c r="BD37" i="3"/>
  <c r="AR37" i="3"/>
  <c r="AT37" i="3" s="1"/>
  <c r="AQ37" i="3"/>
  <c r="W37" i="3"/>
  <c r="AI37" i="3"/>
  <c r="AK37" i="3" s="1"/>
  <c r="AJ22" i="2" s="1"/>
  <c r="AF37" i="3"/>
  <c r="AH37" i="3" s="1"/>
  <c r="AG22" i="2" s="1"/>
  <c r="AU37" i="3"/>
  <c r="AW37" i="3" s="1"/>
  <c r="AD37" i="3"/>
  <c r="Y41" i="3"/>
  <c r="AA41" i="3"/>
  <c r="U41" i="3"/>
  <c r="AF9" i="2"/>
  <c r="BA8" i="2"/>
  <c r="BC8" i="2" s="1"/>
  <c r="AV29" i="2"/>
  <c r="AA4" i="2"/>
  <c r="AA29" i="2" s="1"/>
  <c r="AI5" i="3"/>
  <c r="AK5" i="3" s="1"/>
  <c r="AJ3" i="2" s="1"/>
  <c r="AO3" i="2" s="1"/>
  <c r="AX5" i="3"/>
  <c r="AZ5" i="3" s="1"/>
  <c r="AR14" i="3"/>
  <c r="AT14" i="3" s="1"/>
  <c r="AA15" i="3"/>
  <c r="AR18" i="3"/>
  <c r="AT18" i="3" s="1"/>
  <c r="AI18" i="3"/>
  <c r="AK18" i="3" s="1"/>
  <c r="AF25" i="3"/>
  <c r="AZ27" i="3"/>
  <c r="AQ50" i="3"/>
  <c r="AA5" i="2"/>
  <c r="AA8" i="2"/>
  <c r="AA10" i="2"/>
  <c r="BA10" i="2"/>
  <c r="BC10" i="2" s="1"/>
  <c r="AR17" i="2"/>
  <c r="AT17" i="2" s="1"/>
  <c r="AD17" i="2"/>
  <c r="AW3" i="2"/>
  <c r="AU19" i="2"/>
  <c r="AW19" i="2" s="1"/>
  <c r="W19" i="2"/>
  <c r="BD19" i="2"/>
  <c r="AF19" i="2"/>
  <c r="AH19" i="2" s="1"/>
  <c r="Z19" i="2"/>
  <c r="AX19" i="2" s="1"/>
  <c r="AZ19" i="2" s="1"/>
  <c r="AQ56" i="3"/>
  <c r="AF11" i="2"/>
  <c r="AD12" i="2"/>
  <c r="AU12" i="2"/>
  <c r="AW12" i="2" s="1"/>
  <c r="Y13" i="2"/>
  <c r="AD13" i="2"/>
  <c r="AU15" i="2"/>
  <c r="AW15" i="2" s="1"/>
  <c r="W15" i="2"/>
  <c r="W29" i="2" s="1"/>
  <c r="BD15" i="2"/>
  <c r="AF15" i="2"/>
  <c r="AI15" i="2"/>
  <c r="AX10" i="2"/>
  <c r="AZ10" i="2" s="1"/>
  <c r="AR10" i="2"/>
  <c r="AT10" i="2" s="1"/>
  <c r="AA7" i="2"/>
  <c r="AO7" i="2"/>
  <c r="AF8" i="2"/>
  <c r="BD8" i="2"/>
  <c r="AR12" i="2"/>
  <c r="AT12" i="2" s="1"/>
  <c r="U5" i="3"/>
  <c r="AF15" i="3"/>
  <c r="AH15" i="3" s="1"/>
  <c r="AG5" i="2" s="1"/>
  <c r="AR15" i="3"/>
  <c r="AT15" i="3" s="1"/>
  <c r="AD15" i="3"/>
  <c r="BA15" i="3"/>
  <c r="BC15" i="3" s="1"/>
  <c r="AC15" i="3"/>
  <c r="BD15" i="3"/>
  <c r="AC4" i="2"/>
  <c r="AC29" i="2" s="1"/>
  <c r="AQ4" i="2"/>
  <c r="BA4" i="2"/>
  <c r="BC4" i="2" s="1"/>
  <c r="AR8" i="2"/>
  <c r="AT8" i="2" s="1"/>
  <c r="AD8" i="2"/>
  <c r="AU8" i="2"/>
  <c r="AW8" i="2" s="1"/>
  <c r="AF10" i="2"/>
  <c r="AO11" i="2"/>
  <c r="AI12" i="2"/>
  <c r="AK12" i="2" s="1"/>
  <c r="AB18" i="2"/>
  <c r="BA18" i="2" s="1"/>
  <c r="BC18" i="2" s="1"/>
  <c r="AA19" i="2"/>
  <c r="AA20" i="2"/>
  <c r="AI22" i="2"/>
  <c r="AU22" i="2"/>
  <c r="AW22" i="2" s="1"/>
  <c r="W22" i="2"/>
  <c r="AD22" i="2"/>
  <c r="AC27" i="2"/>
  <c r="AA3" i="3"/>
  <c r="BC3" i="3"/>
  <c r="Y6" i="3"/>
  <c r="AO6" i="3"/>
  <c r="U8" i="3"/>
  <c r="AI8" i="3"/>
  <c r="AK8" i="3" s="1"/>
  <c r="U10" i="3"/>
  <c r="Y12" i="3"/>
  <c r="AP12" i="3"/>
  <c r="U15" i="3"/>
  <c r="AU19" i="3"/>
  <c r="AW19" i="3" s="1"/>
  <c r="BD19" i="3"/>
  <c r="AF19" i="3"/>
  <c r="AI19" i="3"/>
  <c r="AK19" i="3" s="1"/>
  <c r="X19" i="3"/>
  <c r="AD19" i="3"/>
  <c r="AX19" i="3"/>
  <c r="AZ19" i="3" s="1"/>
  <c r="BD22" i="3"/>
  <c r="AF22" i="3"/>
  <c r="AR22" i="3"/>
  <c r="AT22" i="3" s="1"/>
  <c r="AD22" i="3"/>
  <c r="AI22" i="3"/>
  <c r="AK22" i="3" s="1"/>
  <c r="AJ9" i="2" s="1"/>
  <c r="X22" i="3"/>
  <c r="AU22" i="3"/>
  <c r="AW22" i="3" s="1"/>
  <c r="AC22" i="3"/>
  <c r="Y26" i="3"/>
  <c r="AO27" i="3"/>
  <c r="AP32" i="3"/>
  <c r="AH32" i="3"/>
  <c r="AG17" i="2" s="1"/>
  <c r="AH17" i="2" s="1"/>
  <c r="AZ53" i="3"/>
  <c r="AO42" i="3"/>
  <c r="AD10" i="2"/>
  <c r="BD10" i="2"/>
  <c r="AK3" i="2"/>
  <c r="AD4" i="2"/>
  <c r="AD29" i="2" s="1"/>
  <c r="AU5" i="2"/>
  <c r="AW5" i="2" s="1"/>
  <c r="AC7" i="2"/>
  <c r="AQ7" i="2"/>
  <c r="AA9" i="2"/>
  <c r="AU10" i="2"/>
  <c r="AW10" i="2" s="1"/>
  <c r="AQ11" i="2"/>
  <c r="AC11" i="2"/>
  <c r="AA11" i="2"/>
  <c r="X12" i="2"/>
  <c r="U13" i="2"/>
  <c r="U29" i="2" s="1"/>
  <c r="AC16" i="2"/>
  <c r="AQ17" i="2"/>
  <c r="AC17" i="2"/>
  <c r="AP17" i="2"/>
  <c r="AB17" i="2"/>
  <c r="BA17" i="2" s="1"/>
  <c r="BC17" i="2" s="1"/>
  <c r="Z17" i="2"/>
  <c r="AX17" i="2" s="1"/>
  <c r="AZ17" i="2" s="1"/>
  <c r="AU18" i="2"/>
  <c r="AW18" i="2" s="1"/>
  <c r="W18" i="2"/>
  <c r="BD18" i="2"/>
  <c r="AF18" i="2"/>
  <c r="AC18" i="2"/>
  <c r="AB19" i="2"/>
  <c r="BA19" i="2" s="1"/>
  <c r="BC19" i="2" s="1"/>
  <c r="AR19" i="2"/>
  <c r="AT19" i="2" s="1"/>
  <c r="AI20" i="2"/>
  <c r="AQ20" i="2" s="1"/>
  <c r="AU20" i="2"/>
  <c r="AW20" i="2" s="1"/>
  <c r="W20" i="2"/>
  <c r="AF22" i="2"/>
  <c r="AX23" i="2"/>
  <c r="AZ23" i="2" s="1"/>
  <c r="Z23" i="2"/>
  <c r="Y23" i="2"/>
  <c r="AD27" i="2"/>
  <c r="X5" i="3"/>
  <c r="AO5" i="3"/>
  <c r="AP6" i="3"/>
  <c r="X9" i="3"/>
  <c r="AP10" i="3"/>
  <c r="AQ12" i="3"/>
  <c r="AI13" i="3"/>
  <c r="AK13" i="3" s="1"/>
  <c r="X13" i="3"/>
  <c r="AU13" i="3"/>
  <c r="AW13" i="3" s="1"/>
  <c r="AC13" i="3"/>
  <c r="AX15" i="3"/>
  <c r="AZ15" i="3" s="1"/>
  <c r="AO16" i="3"/>
  <c r="X18" i="3"/>
  <c r="AO18" i="3"/>
  <c r="U19" i="3"/>
  <c r="Y19" i="3"/>
  <c r="U22" i="3"/>
  <c r="U23" i="3"/>
  <c r="AI24" i="3"/>
  <c r="AK24" i="3" s="1"/>
  <c r="X24" i="3"/>
  <c r="BD24" i="3"/>
  <c r="AF24" i="3"/>
  <c r="AC24" i="3"/>
  <c r="U24" i="3"/>
  <c r="AU24" i="3"/>
  <c r="AW24" i="3" s="1"/>
  <c r="U25" i="3"/>
  <c r="AX26" i="3"/>
  <c r="AZ26" i="3" s="1"/>
  <c r="AC28" i="3"/>
  <c r="BD28" i="3"/>
  <c r="AU30" i="3"/>
  <c r="AW30" i="3" s="1"/>
  <c r="W30" i="3"/>
  <c r="BD30" i="3"/>
  <c r="Z30" i="3"/>
  <c r="AX30" i="3" s="1"/>
  <c r="AZ30" i="3" s="1"/>
  <c r="AR30" i="3"/>
  <c r="AT30" i="3" s="1"/>
  <c r="AB30" i="3"/>
  <c r="BA30" i="3" s="1"/>
  <c r="BC30" i="3" s="1"/>
  <c r="Y35" i="3"/>
  <c r="U35" i="3"/>
  <c r="AC8" i="2"/>
  <c r="AF5" i="2"/>
  <c r="AH5" i="2" s="1"/>
  <c r="AF14" i="2"/>
  <c r="AR16" i="2"/>
  <c r="AT16" i="2" s="1"/>
  <c r="AO23" i="2"/>
  <c r="AR8" i="3"/>
  <c r="AT8" i="3" s="1"/>
  <c r="AD8" i="3"/>
  <c r="AR11" i="3"/>
  <c r="AT11" i="3" s="1"/>
  <c r="AD11" i="3"/>
  <c r="BD5" i="2"/>
  <c r="Y6" i="2"/>
  <c r="J12" i="6"/>
  <c r="C12" i="9"/>
  <c r="B12" i="9"/>
  <c r="I12" i="6"/>
  <c r="E12" i="6"/>
  <c r="F12" i="6"/>
  <c r="D12" i="6"/>
  <c r="B12" i="6"/>
  <c r="L12" i="6"/>
  <c r="K12" i="6"/>
  <c r="M12" i="6"/>
  <c r="H12" i="6"/>
  <c r="G12" i="6"/>
  <c r="C12" i="6"/>
  <c r="X5" i="2"/>
  <c r="X29" i="2" s="1"/>
  <c r="AD7" i="2"/>
  <c r="AQ9" i="2"/>
  <c r="Y12" i="2"/>
  <c r="AK14" i="2"/>
  <c r="Z15" i="2"/>
  <c r="AX15" i="2" s="1"/>
  <c r="AZ15" i="2" s="1"/>
  <c r="AQ15" i="2"/>
  <c r="AU16" i="2"/>
  <c r="AW16" i="2" s="1"/>
  <c r="AQ21" i="2"/>
  <c r="AF27" i="2"/>
  <c r="AI3" i="3"/>
  <c r="X3" i="3"/>
  <c r="AU3" i="3"/>
  <c r="AC3" i="3"/>
  <c r="AP5" i="3"/>
  <c r="BD5" i="3"/>
  <c r="BD62" i="3" s="1"/>
  <c r="AA6" i="3"/>
  <c r="X8" i="3"/>
  <c r="Y9" i="3"/>
  <c r="AO9" i="3"/>
  <c r="AQ10" i="3"/>
  <c r="AA12" i="3"/>
  <c r="AI15" i="3"/>
  <c r="AK15" i="3" s="1"/>
  <c r="AJ5" i="2" s="1"/>
  <c r="AK5" i="2" s="1"/>
  <c r="AO5" i="2" s="1"/>
  <c r="AP16" i="3"/>
  <c r="Y18" i="3"/>
  <c r="AA26" i="3"/>
  <c r="AK27" i="3"/>
  <c r="AJ12" i="2" s="1"/>
  <c r="BC57" i="3"/>
  <c r="AA20" i="3"/>
  <c r="AO20" i="3"/>
  <c r="AD21" i="3"/>
  <c r="AR21" i="3"/>
  <c r="AT21" i="3" s="1"/>
  <c r="AR26" i="3"/>
  <c r="AT26" i="3" s="1"/>
  <c r="AD26" i="3"/>
  <c r="Z31" i="3"/>
  <c r="AX31" i="3" s="1"/>
  <c r="AZ31" i="3" s="1"/>
  <c r="BA35" i="3"/>
  <c r="BC35" i="3" s="1"/>
  <c r="AD40" i="3"/>
  <c r="AD43" i="3"/>
  <c r="AB49" i="3"/>
  <c r="BA49" i="3" s="1"/>
  <c r="BC49" i="3" s="1"/>
  <c r="AU53" i="3"/>
  <c r="W53" i="3"/>
  <c r="BD53" i="3"/>
  <c r="AF53" i="3"/>
  <c r="AD53" i="3"/>
  <c r="AQ54" i="3"/>
  <c r="AB55" i="3"/>
  <c r="BA55" i="3" s="1"/>
  <c r="AP4" i="4"/>
  <c r="BA6" i="4"/>
  <c r="BC6" i="4" s="1"/>
  <c r="BB55" i="3" s="1"/>
  <c r="AF14" i="4"/>
  <c r="AA14" i="4"/>
  <c r="AI14" i="4"/>
  <c r="U22" i="4"/>
  <c r="Y22" i="4"/>
  <c r="AA22" i="4"/>
  <c r="AI22" i="4"/>
  <c r="AF22" i="4"/>
  <c r="AR22" i="4"/>
  <c r="AT22" i="4" s="1"/>
  <c r="AS49" i="3" s="1"/>
  <c r="Y33" i="4"/>
  <c r="Z33" i="4"/>
  <c r="AX33" i="4" s="1"/>
  <c r="AZ33" i="4" s="1"/>
  <c r="AI36" i="4"/>
  <c r="AF36" i="4"/>
  <c r="AL11" i="5"/>
  <c r="AG11" i="5"/>
  <c r="AC29" i="5"/>
  <c r="AN29" i="5"/>
  <c r="AP29" i="5" s="1"/>
  <c r="AK30" i="5"/>
  <c r="AJ30" i="5"/>
  <c r="H37" i="5"/>
  <c r="O37" i="5"/>
  <c r="AF23" i="3"/>
  <c r="AP23" i="3"/>
  <c r="AI31" i="3"/>
  <c r="AK31" i="3" s="1"/>
  <c r="AJ16" i="2" s="1"/>
  <c r="AK16" i="2" s="1"/>
  <c r="AU31" i="3"/>
  <c r="AW31" i="3" s="1"/>
  <c r="W31" i="3"/>
  <c r="AQ31" i="3"/>
  <c r="AF33" i="3"/>
  <c r="AQ33" i="3" s="1"/>
  <c r="AR33" i="3"/>
  <c r="AT33" i="3" s="1"/>
  <c r="AD33" i="3"/>
  <c r="AC33" i="3"/>
  <c r="AO43" i="3"/>
  <c r="Z43" i="3"/>
  <c r="AX43" i="3" s="1"/>
  <c r="AZ43" i="3" s="1"/>
  <c r="AF43" i="3"/>
  <c r="AC45" i="3"/>
  <c r="AR54" i="3"/>
  <c r="AT54" i="3" s="1"/>
  <c r="BD54" i="3"/>
  <c r="AC55" i="3"/>
  <c r="AD56" i="3"/>
  <c r="BF60" i="3"/>
  <c r="Y3" i="4"/>
  <c r="AA3" i="4"/>
  <c r="AR5" i="4"/>
  <c r="AT5" i="4" s="1"/>
  <c r="AD5" i="4"/>
  <c r="AA7" i="4"/>
  <c r="AK9" i="4"/>
  <c r="AJ52" i="3" s="1"/>
  <c r="Y13" i="4"/>
  <c r="AA13" i="4"/>
  <c r="U13" i="4"/>
  <c r="AH26" i="4"/>
  <c r="AG59" i="3" s="1"/>
  <c r="AH59" i="3" s="1"/>
  <c r="AP59" i="3" s="1"/>
  <c r="AI26" i="4"/>
  <c r="AH38" i="4"/>
  <c r="AP38" i="4" s="1"/>
  <c r="AQ38" i="4"/>
  <c r="AS3" i="5"/>
  <c r="AW30" i="5"/>
  <c r="AY30" i="5" s="1"/>
  <c r="AA30" i="5"/>
  <c r="Z30" i="5"/>
  <c r="AJ31" i="5"/>
  <c r="AK31" i="5" s="1"/>
  <c r="AU40" i="3"/>
  <c r="AW40" i="3" s="1"/>
  <c r="W40" i="3"/>
  <c r="BD40" i="3"/>
  <c r="U40" i="3"/>
  <c r="AF40" i="3"/>
  <c r="AD45" i="3"/>
  <c r="BC60" i="3"/>
  <c r="AQ6" i="4"/>
  <c r="AH6" i="4"/>
  <c r="AG55" i="3" s="1"/>
  <c r="AO10" i="4"/>
  <c r="U12" i="4"/>
  <c r="AA12" i="4"/>
  <c r="AH15" i="4"/>
  <c r="AP15" i="4"/>
  <c r="AK23" i="4"/>
  <c r="AJ50" i="3" s="1"/>
  <c r="AO50" i="3" s="1"/>
  <c r="AO23" i="4"/>
  <c r="X37" i="4"/>
  <c r="W37" i="4"/>
  <c r="Z16" i="5"/>
  <c r="U16" i="5"/>
  <c r="X16" i="5"/>
  <c r="AN26" i="5"/>
  <c r="AP26" i="5" s="1"/>
  <c r="AB26" i="5"/>
  <c r="AA26" i="5"/>
  <c r="AH26" i="5"/>
  <c r="U26" i="5"/>
  <c r="AC26" i="5"/>
  <c r="AT26" i="5"/>
  <c r="AV26" i="5" s="1"/>
  <c r="Y26" i="5"/>
  <c r="AZ26" i="5"/>
  <c r="BB26" i="5" s="1"/>
  <c r="AQ26" i="5"/>
  <c r="AS26" i="5" s="1"/>
  <c r="V26" i="5"/>
  <c r="AE26" i="5"/>
  <c r="AW26" i="5"/>
  <c r="AY26" i="5" s="1"/>
  <c r="AZ34" i="5"/>
  <c r="BB34" i="5" s="1"/>
  <c r="AD34" i="5"/>
  <c r="AN34" i="5"/>
  <c r="AP34" i="5" s="1"/>
  <c r="AC34" i="5"/>
  <c r="AT34" i="5"/>
  <c r="AV34" i="5" s="1"/>
  <c r="Y34" i="5"/>
  <c r="AB45" i="3"/>
  <c r="BA45" i="3" s="1"/>
  <c r="BC45" i="3" s="1"/>
  <c r="Z45" i="3"/>
  <c r="AX45" i="3" s="1"/>
  <c r="AZ45" i="3" s="1"/>
  <c r="AF45" i="3"/>
  <c r="AH45" i="3" s="1"/>
  <c r="AI49" i="3"/>
  <c r="AU49" i="3"/>
  <c r="W49" i="3"/>
  <c r="BD49" i="3"/>
  <c r="AF49" i="3"/>
  <c r="AI55" i="3"/>
  <c r="W55" i="3"/>
  <c r="AU55" i="3"/>
  <c r="AW55" i="3" s="1"/>
  <c r="AF55" i="3"/>
  <c r="AW58" i="3"/>
  <c r="AO3" i="4"/>
  <c r="AK3" i="4"/>
  <c r="AD4" i="4"/>
  <c r="AD40" i="4" s="1"/>
  <c r="AR4" i="4"/>
  <c r="AT4" i="4" s="1"/>
  <c r="AS40" i="3" s="1"/>
  <c r="AI30" i="4"/>
  <c r="AF30" i="4"/>
  <c r="AH31" i="4"/>
  <c r="AP31" i="4" s="1"/>
  <c r="AY3" i="5"/>
  <c r="AJ12" i="5"/>
  <c r="AK12" i="5"/>
  <c r="Z19" i="5"/>
  <c r="U19" i="5"/>
  <c r="X19" i="5"/>
  <c r="AQ29" i="5"/>
  <c r="AS29" i="5" s="1"/>
  <c r="AA29" i="5"/>
  <c r="AZ29" i="5"/>
  <c r="BB29" i="5" s="1"/>
  <c r="AW29" i="5"/>
  <c r="AY29" i="5" s="1"/>
  <c r="V29" i="5"/>
  <c r="BD34" i="3"/>
  <c r="AF34" i="3"/>
  <c r="AX35" i="3"/>
  <c r="AZ35" i="3" s="1"/>
  <c r="AI35" i="3"/>
  <c r="AK35" i="3" s="1"/>
  <c r="AJ20" i="2" s="1"/>
  <c r="AC35" i="3"/>
  <c r="BD41" i="3"/>
  <c r="AK50" i="3"/>
  <c r="AB52" i="3"/>
  <c r="BA52" i="3" s="1"/>
  <c r="BC52" i="3" s="1"/>
  <c r="Z52" i="3"/>
  <c r="AX52" i="3" s="1"/>
  <c r="AZ52" i="3" s="1"/>
  <c r="AD54" i="3"/>
  <c r="AH60" i="3"/>
  <c r="AP60" i="3"/>
  <c r="AO6" i="4"/>
  <c r="AR13" i="4"/>
  <c r="AT13" i="4" s="1"/>
  <c r="AD13" i="4"/>
  <c r="AH20" i="4"/>
  <c r="AG47" i="3" s="1"/>
  <c r="AQ20" i="4"/>
  <c r="O29" i="4"/>
  <c r="H29" i="4"/>
  <c r="AJ27" i="5"/>
  <c r="AK27" i="5" s="1"/>
  <c r="AA35" i="5"/>
  <c r="AW35" i="5"/>
  <c r="AY35" i="5" s="1"/>
  <c r="Z35" i="5"/>
  <c r="AT38" i="5"/>
  <c r="AV38" i="5" s="1"/>
  <c r="X38" i="5"/>
  <c r="Y38" i="5"/>
  <c r="H30" i="3"/>
  <c r="U30" i="3" s="1"/>
  <c r="M34" i="3"/>
  <c r="K34" i="3"/>
  <c r="BA34" i="3" s="1"/>
  <c r="BC34" i="3" s="1"/>
  <c r="AC34" i="3"/>
  <c r="AU34" i="3"/>
  <c r="AW34" i="3" s="1"/>
  <c r="AD35" i="3"/>
  <c r="AK47" i="3"/>
  <c r="AO47" i="3" s="1"/>
  <c r="AD12" i="4"/>
  <c r="AR12" i="4"/>
  <c r="AT12" i="4" s="1"/>
  <c r="AS44" i="3" s="1"/>
  <c r="AT44" i="3" s="1"/>
  <c r="BD32" i="4"/>
  <c r="BF32" i="4" s="1"/>
  <c r="AU32" i="4"/>
  <c r="AW32" i="4" s="1"/>
  <c r="AC32" i="4"/>
  <c r="U27" i="5"/>
  <c r="AE27" i="5"/>
  <c r="AD29" i="5"/>
  <c r="H36" i="5"/>
  <c r="O36" i="5"/>
  <c r="AF35" i="3"/>
  <c r="AU35" i="3"/>
  <c r="AW35" i="3" s="1"/>
  <c r="Z40" i="3"/>
  <c r="AX40" i="3" s="1"/>
  <c r="AZ40" i="3" s="1"/>
  <c r="AI41" i="3"/>
  <c r="AU41" i="3"/>
  <c r="AW41" i="3" s="1"/>
  <c r="W41" i="3"/>
  <c r="AI45" i="3"/>
  <c r="AK45" i="3" s="1"/>
  <c r="AI52" i="3"/>
  <c r="AP54" i="3"/>
  <c r="AB54" i="3"/>
  <c r="BA54" i="3" s="1"/>
  <c r="BC54" i="3" s="1"/>
  <c r="Z54" i="3"/>
  <c r="AX54" i="3" s="1"/>
  <c r="AZ54" i="3" s="1"/>
  <c r="AI59" i="3"/>
  <c r="AQ60" i="3"/>
  <c r="U7" i="4"/>
  <c r="AK16" i="4"/>
  <c r="AJ45" i="3" s="1"/>
  <c r="AK27" i="4"/>
  <c r="AJ60" i="3" s="1"/>
  <c r="AA30" i="4"/>
  <c r="AB30" i="4"/>
  <c r="BA30" i="4"/>
  <c r="BC30" i="4" s="1"/>
  <c r="AI31" i="4"/>
  <c r="AQ31" i="4" s="1"/>
  <c r="AF32" i="4"/>
  <c r="AI32" i="4"/>
  <c r="Z32" i="4"/>
  <c r="AN20" i="5"/>
  <c r="AP20" i="5" s="1"/>
  <c r="AC20" i="5"/>
  <c r="AK33" i="5"/>
  <c r="AW34" i="5"/>
  <c r="AY34" i="5" s="1"/>
  <c r="AA34" i="5"/>
  <c r="Z34" i="5"/>
  <c r="AQ34" i="5"/>
  <c r="AS34" i="5" s="1"/>
  <c r="AA11" i="3"/>
  <c r="AO11" i="3"/>
  <c r="Y17" i="3"/>
  <c r="X20" i="3"/>
  <c r="AA21" i="3"/>
  <c r="AO21" i="3"/>
  <c r="AI23" i="3"/>
  <c r="AK23" i="3" s="1"/>
  <c r="AR24" i="3"/>
  <c r="AT24" i="3" s="1"/>
  <c r="Y27" i="3"/>
  <c r="AK32" i="3"/>
  <c r="AJ17" i="2" s="1"/>
  <c r="AK17" i="2" s="1"/>
  <c r="H34" i="3"/>
  <c r="Y38" i="3"/>
  <c r="AR40" i="3"/>
  <c r="AC41" i="3"/>
  <c r="AR43" i="3"/>
  <c r="AT43" i="3" s="1"/>
  <c r="W45" i="3"/>
  <c r="AB48" i="3"/>
  <c r="BA48" i="3" s="1"/>
  <c r="Z48" i="3"/>
  <c r="AX48" i="3" s="1"/>
  <c r="AZ48" i="3" s="1"/>
  <c r="AU51" i="3"/>
  <c r="AW51" i="3" s="1"/>
  <c r="W51" i="3"/>
  <c r="BD51" i="3"/>
  <c r="BF51" i="3" s="1"/>
  <c r="AF51" i="3"/>
  <c r="AC51" i="3"/>
  <c r="W52" i="3"/>
  <c r="AR53" i="3"/>
  <c r="AT53" i="3" s="1"/>
  <c r="AQ55" i="3"/>
  <c r="BD55" i="3"/>
  <c r="AT58" i="3"/>
  <c r="AW3" i="4"/>
  <c r="AP5" i="4"/>
  <c r="Y14" i="4"/>
  <c r="AF18" i="4"/>
  <c r="AA18" i="4"/>
  <c r="AF19" i="4"/>
  <c r="Y19" i="4"/>
  <c r="U19" i="4"/>
  <c r="AA19" i="4"/>
  <c r="AI19" i="4"/>
  <c r="AF33" i="4"/>
  <c r="AI33" i="4"/>
  <c r="W35" i="4"/>
  <c r="AN3" i="5"/>
  <c r="AC3" i="5"/>
  <c r="AK23" i="5"/>
  <c r="AJ23" i="5"/>
  <c r="AA32" i="5"/>
  <c r="Z32" i="5"/>
  <c r="AW32" i="5"/>
  <c r="AY32" i="5" s="1"/>
  <c r="AB34" i="5"/>
  <c r="AA14" i="2"/>
  <c r="AO14" i="2"/>
  <c r="AC21" i="2"/>
  <c r="AA4" i="3"/>
  <c r="AO4" i="3"/>
  <c r="AP11" i="3"/>
  <c r="AA14" i="3"/>
  <c r="AO14" i="3"/>
  <c r="AP21" i="3"/>
  <c r="X23" i="3"/>
  <c r="AI33" i="3"/>
  <c r="AK33" i="3" s="1"/>
  <c r="AJ18" i="2" s="1"/>
  <c r="J34" i="3"/>
  <c r="AX34" i="3" s="1"/>
  <c r="AZ34" i="3" s="1"/>
  <c r="AI34" i="3"/>
  <c r="AK34" i="3" s="1"/>
  <c r="AK36" i="3"/>
  <c r="AJ21" i="2" s="1"/>
  <c r="AB40" i="3"/>
  <c r="BA40" i="3" s="1"/>
  <c r="BC40" i="3" s="1"/>
  <c r="AD41" i="3"/>
  <c r="AB43" i="3"/>
  <c r="BA43" i="3" s="1"/>
  <c r="BC43" i="3" s="1"/>
  <c r="AU44" i="3"/>
  <c r="AW44" i="3" s="1"/>
  <c r="W44" i="3"/>
  <c r="BD44" i="3"/>
  <c r="AF44" i="3"/>
  <c r="AI44" i="3"/>
  <c r="AQ45" i="3"/>
  <c r="BD45" i="3"/>
  <c r="Z49" i="3"/>
  <c r="AX49" i="3" s="1"/>
  <c r="AZ49" i="3" s="1"/>
  <c r="AQ52" i="3"/>
  <c r="BD52" i="3"/>
  <c r="AB53" i="3"/>
  <c r="BA53" i="3" s="1"/>
  <c r="AI54" i="3"/>
  <c r="Z55" i="3"/>
  <c r="AX55" i="3" s="1"/>
  <c r="AZ55" i="3" s="1"/>
  <c r="AR55" i="3"/>
  <c r="AT55" i="3" s="1"/>
  <c r="AF57" i="3"/>
  <c r="AQ59" i="3"/>
  <c r="BC3" i="4"/>
  <c r="AA5" i="4"/>
  <c r="Y5" i="4"/>
  <c r="U5" i="4"/>
  <c r="Y12" i="4"/>
  <c r="AK17" i="4"/>
  <c r="AK18" i="4"/>
  <c r="AJ56" i="3" s="1"/>
  <c r="X25" i="4"/>
  <c r="BD25" i="4"/>
  <c r="BF25" i="4" s="1"/>
  <c r="BE53" i="3" s="1"/>
  <c r="BE62" i="3" s="1"/>
  <c r="AI25" i="4"/>
  <c r="AQ25" i="4" s="1"/>
  <c r="AF25" i="4"/>
  <c r="AD25" i="4"/>
  <c r="AU25" i="4"/>
  <c r="AW25" i="4" s="1"/>
  <c r="AV53" i="3" s="1"/>
  <c r="AB25" i="4"/>
  <c r="BA25" i="4" s="1"/>
  <c r="BC25" i="4" s="1"/>
  <c r="BB53" i="3" s="1"/>
  <c r="AX32" i="4"/>
  <c r="AZ32" i="4" s="1"/>
  <c r="AD25" i="2"/>
  <c r="AC11" i="3"/>
  <c r="AD18" i="3"/>
  <c r="AC21" i="3"/>
  <c r="AU27" i="3"/>
  <c r="AW27" i="3" s="1"/>
  <c r="AF27" i="3"/>
  <c r="AQ27" i="3"/>
  <c r="AO31" i="3"/>
  <c r="W34" i="3"/>
  <c r="W62" i="3" s="1"/>
  <c r="W35" i="3"/>
  <c r="AR38" i="3"/>
  <c r="AT38" i="3" s="1"/>
  <c r="AD38" i="3"/>
  <c r="AQ38" i="3"/>
  <c r="AC38" i="3"/>
  <c r="AP38" i="3"/>
  <c r="AC40" i="3"/>
  <c r="AF41" i="3"/>
  <c r="AQ41" i="3" s="1"/>
  <c r="AC43" i="3"/>
  <c r="AR45" i="3"/>
  <c r="AT45" i="3" s="1"/>
  <c r="AI48" i="3"/>
  <c r="AR49" i="3"/>
  <c r="AI51" i="3"/>
  <c r="AR52" i="3"/>
  <c r="AT52" i="3" s="1"/>
  <c r="AC53" i="3"/>
  <c r="W54" i="3"/>
  <c r="AI57" i="3"/>
  <c r="W57" i="3"/>
  <c r="AU57" i="3"/>
  <c r="AW57" i="3" s="1"/>
  <c r="AH8" i="4"/>
  <c r="AG42" i="3" s="1"/>
  <c r="AP8" i="4"/>
  <c r="AV40" i="4"/>
  <c r="U30" i="4"/>
  <c r="AK3" i="5"/>
  <c r="AA4" i="4"/>
  <c r="AK37" i="4"/>
  <c r="AN9" i="5"/>
  <c r="AP9" i="5" s="1"/>
  <c r="AE20" i="5"/>
  <c r="AE23" i="5"/>
  <c r="AQ30" i="5"/>
  <c r="AS30" i="5" s="1"/>
  <c r="Y30" i="5"/>
  <c r="V30" i="5"/>
  <c r="AT31" i="5"/>
  <c r="AV31" i="5" s="1"/>
  <c r="AF9" i="4"/>
  <c r="Y11" i="4"/>
  <c r="BA29" i="4"/>
  <c r="BC29" i="4" s="1"/>
  <c r="AW29" i="4"/>
  <c r="AX30" i="4"/>
  <c r="AZ30" i="4" s="1"/>
  <c r="AF35" i="4"/>
  <c r="AI35" i="4"/>
  <c r="Y36" i="4"/>
  <c r="AX36" i="4"/>
  <c r="AZ36" i="4" s="1"/>
  <c r="AC4" i="5"/>
  <c r="AN4" i="5"/>
  <c r="AP4" i="5" s="1"/>
  <c r="X9" i="5"/>
  <c r="X40" i="5" s="1"/>
  <c r="U9" i="5"/>
  <c r="U40" i="5" s="1"/>
  <c r="AL15" i="5"/>
  <c r="AH19" i="5"/>
  <c r="W19" i="5"/>
  <c r="AM19" i="5"/>
  <c r="AZ19" i="5"/>
  <c r="AN19" i="5"/>
  <c r="AP19" i="5" s="1"/>
  <c r="AC19" i="5"/>
  <c r="AQ33" i="5"/>
  <c r="AS33" i="5" s="1"/>
  <c r="AZ33" i="5"/>
  <c r="BB33" i="5" s="1"/>
  <c r="AA33" i="5"/>
  <c r="AW33" i="5"/>
  <c r="AY33" i="5" s="1"/>
  <c r="AT33" i="5"/>
  <c r="AV33" i="5" s="1"/>
  <c r="AD33" i="5"/>
  <c r="AJ35" i="5"/>
  <c r="AI60" i="3"/>
  <c r="AC60" i="3"/>
  <c r="AR60" i="3"/>
  <c r="AT60" i="3" s="1"/>
  <c r="AA11" i="4"/>
  <c r="AO13" i="4"/>
  <c r="AI21" i="4"/>
  <c r="AB21" i="4"/>
  <c r="BA21" i="4" s="1"/>
  <c r="BC21" i="4" s="1"/>
  <c r="BB48" i="3" s="1"/>
  <c r="BB62" i="3" s="1"/>
  <c r="AU21" i="4"/>
  <c r="AW21" i="4" s="1"/>
  <c r="AV48" i="3" s="1"/>
  <c r="AW48" i="3" s="1"/>
  <c r="AF23" i="4"/>
  <c r="AX29" i="4"/>
  <c r="AZ29" i="4" s="1"/>
  <c r="AX35" i="4"/>
  <c r="AO37" i="4"/>
  <c r="AL12" i="5"/>
  <c r="Z13" i="5"/>
  <c r="U13" i="5"/>
  <c r="X13" i="5"/>
  <c r="AT19" i="5"/>
  <c r="AV19" i="5" s="1"/>
  <c r="AE19" i="5"/>
  <c r="AT23" i="5"/>
  <c r="AV23" i="5" s="1"/>
  <c r="V23" i="5"/>
  <c r="AZ23" i="5"/>
  <c r="BB23" i="5" s="1"/>
  <c r="AN23" i="5"/>
  <c r="AP23" i="5" s="1"/>
  <c r="AM23" i="5"/>
  <c r="Y23" i="5"/>
  <c r="AC23" i="5"/>
  <c r="AB23" i="5"/>
  <c r="AA23" i="5"/>
  <c r="AI40" i="5"/>
  <c r="AY31" i="5"/>
  <c r="AG33" i="5"/>
  <c r="AM33" i="5"/>
  <c r="AK35" i="5"/>
  <c r="AB32" i="4"/>
  <c r="BA32" i="4" s="1"/>
  <c r="BC32" i="4" s="1"/>
  <c r="BA34" i="4"/>
  <c r="AO38" i="4"/>
  <c r="AW38" i="4"/>
  <c r="AV3" i="5"/>
  <c r="X18" i="5"/>
  <c r="Z18" i="5"/>
  <c r="AE18" i="5"/>
  <c r="AO29" i="3"/>
  <c r="AC32" i="3"/>
  <c r="AQ32" i="3"/>
  <c r="BA32" i="3"/>
  <c r="BC32" i="3" s="1"/>
  <c r="AD36" i="3"/>
  <c r="AR36" i="3"/>
  <c r="AT36" i="3" s="1"/>
  <c r="AC42" i="3"/>
  <c r="AQ42" i="3"/>
  <c r="AD47" i="3"/>
  <c r="AR47" i="3"/>
  <c r="AT47" i="3" s="1"/>
  <c r="AD58" i="3"/>
  <c r="BD58" i="3"/>
  <c r="AU60" i="3"/>
  <c r="AW60" i="3" s="1"/>
  <c r="AF21" i="4"/>
  <c r="BA31" i="4"/>
  <c r="BC31" i="4" s="1"/>
  <c r="AR32" i="4"/>
  <c r="AT32" i="4" s="1"/>
  <c r="AD32" i="4"/>
  <c r="AB33" i="4"/>
  <c r="BA33" i="4" s="1"/>
  <c r="BC33" i="4" s="1"/>
  <c r="AR34" i="4"/>
  <c r="AT34" i="4" s="1"/>
  <c r="AH34" i="4"/>
  <c r="AD37" i="4"/>
  <c r="AC37" i="4"/>
  <c r="Z38" i="4"/>
  <c r="Y38" i="4"/>
  <c r="AX38" i="4"/>
  <c r="AZ38" i="4" s="1"/>
  <c r="AH18" i="5"/>
  <c r="AQ22" i="5"/>
  <c r="AS22" i="5" s="1"/>
  <c r="AE22" i="5"/>
  <c r="AT22" i="5"/>
  <c r="AV22" i="5" s="1"/>
  <c r="AN22" i="5"/>
  <c r="AP22" i="5" s="1"/>
  <c r="AB22" i="5"/>
  <c r="AZ22" i="5"/>
  <c r="W22" i="5"/>
  <c r="AW23" i="5"/>
  <c r="AY23" i="5" s="1"/>
  <c r="X29" i="5"/>
  <c r="Y29" i="5"/>
  <c r="Y40" i="5" s="1"/>
  <c r="AT29" i="5"/>
  <c r="AV29" i="5" s="1"/>
  <c r="AF40" i="5"/>
  <c r="AB30" i="5"/>
  <c r="AB33" i="5"/>
  <c r="AE34" i="5"/>
  <c r="AH34" i="5"/>
  <c r="AD32" i="3"/>
  <c r="AR32" i="3"/>
  <c r="AT32" i="3" s="1"/>
  <c r="AF36" i="3"/>
  <c r="AD42" i="3"/>
  <c r="AR42" i="3"/>
  <c r="AT42" i="3" s="1"/>
  <c r="AF47" i="3"/>
  <c r="AF58" i="3"/>
  <c r="W60" i="3"/>
  <c r="AK4" i="4"/>
  <c r="AJ40" i="3" s="1"/>
  <c r="AK40" i="3" s="1"/>
  <c r="U15" i="4"/>
  <c r="BD21" i="4"/>
  <c r="BD40" i="4" s="1"/>
  <c r="AU22" i="4"/>
  <c r="AW22" i="4" s="1"/>
  <c r="AV49" i="3" s="1"/>
  <c r="AC24" i="4"/>
  <c r="AC40" i="4" s="1"/>
  <c r="AQ26" i="4"/>
  <c r="Z26" i="4"/>
  <c r="AX26" i="4" s="1"/>
  <c r="AZ26" i="4" s="1"/>
  <c r="AY59" i="3" s="1"/>
  <c r="AZ59" i="3" s="1"/>
  <c r="AB26" i="4"/>
  <c r="BA26" i="4" s="1"/>
  <c r="BC26" i="4" s="1"/>
  <c r="BB59" i="3" s="1"/>
  <c r="BC59" i="3" s="1"/>
  <c r="AU26" i="4"/>
  <c r="AW26" i="4" s="1"/>
  <c r="AV59" i="3" s="1"/>
  <c r="AW59" i="3" s="1"/>
  <c r="AP27" i="4"/>
  <c r="X31" i="4"/>
  <c r="AK34" i="4"/>
  <c r="AO34" i="4" s="1"/>
  <c r="AX34" i="4"/>
  <c r="W36" i="4"/>
  <c r="AQ37" i="4"/>
  <c r="AH37" i="4"/>
  <c r="AP37" i="4" s="1"/>
  <c r="AU37" i="4"/>
  <c r="AW37" i="4" s="1"/>
  <c r="V40" i="5"/>
  <c r="AG3" i="5"/>
  <c r="AL3" i="5" s="1"/>
  <c r="Z11" i="5"/>
  <c r="X11" i="5"/>
  <c r="AE17" i="5"/>
  <c r="AQ19" i="5"/>
  <c r="AS19" i="5" s="1"/>
  <c r="U22" i="5"/>
  <c r="X22" i="5"/>
  <c r="AJ29" i="5"/>
  <c r="AM29" i="5"/>
  <c r="X31" i="5"/>
  <c r="O32" i="5"/>
  <c r="H32" i="5"/>
  <c r="AC33" i="5"/>
  <c r="AN33" i="5"/>
  <c r="AP33" i="5" s="1"/>
  <c r="AJ33" i="5"/>
  <c r="AG38" i="5"/>
  <c r="AL38" i="5"/>
  <c r="AC29" i="3"/>
  <c r="AD50" i="3"/>
  <c r="AB56" i="3"/>
  <c r="BA56" i="3" s="1"/>
  <c r="BC56" i="3" s="1"/>
  <c r="U58" i="3"/>
  <c r="AR59" i="3"/>
  <c r="AT59" i="3" s="1"/>
  <c r="AD59" i="3"/>
  <c r="AH3" i="4"/>
  <c r="Y9" i="4"/>
  <c r="AO12" i="4"/>
  <c r="AF17" i="4"/>
  <c r="U24" i="4"/>
  <c r="AQ27" i="4"/>
  <c r="Y29" i="4"/>
  <c r="Y30" i="4"/>
  <c r="AR33" i="4"/>
  <c r="AT33" i="4" s="1"/>
  <c r="AT40" i="4" s="1"/>
  <c r="AD33" i="4"/>
  <c r="AC36" i="4"/>
  <c r="AU36" i="4"/>
  <c r="AW36" i="4" s="1"/>
  <c r="AR36" i="4"/>
  <c r="AT36" i="4" s="1"/>
  <c r="Z37" i="4"/>
  <c r="AX37" i="4" s="1"/>
  <c r="AZ37" i="4" s="1"/>
  <c r="AK38" i="4"/>
  <c r="Z9" i="5"/>
  <c r="Z40" i="5" s="1"/>
  <c r="AN12" i="5"/>
  <c r="AP12" i="5" s="1"/>
  <c r="U18" i="5"/>
  <c r="X20" i="5"/>
  <c r="AH20" i="5"/>
  <c r="AQ20" i="5"/>
  <c r="AS20" i="5" s="1"/>
  <c r="AB20" i="5"/>
  <c r="Z20" i="5"/>
  <c r="AH22" i="5"/>
  <c r="AM22" i="5" s="1"/>
  <c r="AK24" i="5"/>
  <c r="AB29" i="5"/>
  <c r="AN30" i="5"/>
  <c r="AP30" i="5" s="1"/>
  <c r="AL33" i="5"/>
  <c r="E14" i="6"/>
  <c r="AR35" i="4"/>
  <c r="AT35" i="4" s="1"/>
  <c r="BA36" i="4"/>
  <c r="BC36" i="4" s="1"/>
  <c r="AB38" i="4"/>
  <c r="BA38" i="4" s="1"/>
  <c r="BC38" i="4" s="1"/>
  <c r="W17" i="5"/>
  <c r="W40" i="5" s="1"/>
  <c r="AZ17" i="5"/>
  <c r="AH17" i="5"/>
  <c r="AG29" i="5"/>
  <c r="AS32" i="5"/>
  <c r="AG35" i="5"/>
  <c r="AL35" i="5" s="1"/>
  <c r="AM35" i="5"/>
  <c r="AW36" i="5"/>
  <c r="AY36" i="5" s="1"/>
  <c r="AA36" i="5"/>
  <c r="AN37" i="5"/>
  <c r="AP37" i="5" s="1"/>
  <c r="AC37" i="5"/>
  <c r="AC29" i="4"/>
  <c r="AP34" i="4"/>
  <c r="AB37" i="4"/>
  <c r="BA37" i="4" s="1"/>
  <c r="BC37" i="4" s="1"/>
  <c r="AL4" i="5"/>
  <c r="AB17" i="5"/>
  <c r="AE24" i="5"/>
  <c r="AM24" i="5"/>
  <c r="AD24" i="5"/>
  <c r="AD40" i="5" s="1"/>
  <c r="AT24" i="5"/>
  <c r="AV24" i="5" s="1"/>
  <c r="AC24" i="5"/>
  <c r="AA24" i="5"/>
  <c r="AZ24" i="5"/>
  <c r="BB24" i="5" s="1"/>
  <c r="AK38" i="5"/>
  <c r="AT20" i="5"/>
  <c r="AV20" i="5" s="1"/>
  <c r="AC30" i="5"/>
  <c r="AM30" i="5"/>
  <c r="V34" i="5"/>
  <c r="AW38" i="5"/>
  <c r="AY38" i="5" s="1"/>
  <c r="G5" i="7"/>
  <c r="F5" i="7"/>
  <c r="I14" i="6"/>
  <c r="AD5" i="7"/>
  <c r="L14" i="6" s="1"/>
  <c r="K7" i="6"/>
  <c r="K10" i="6" s="1"/>
  <c r="AA36" i="4"/>
  <c r="AL14" i="5"/>
  <c r="AA31" i="5"/>
  <c r="AA38" i="5"/>
  <c r="AQ38" i="5"/>
  <c r="AS38" i="5" s="1"/>
  <c r="AD35" i="4"/>
  <c r="AA40" i="5"/>
  <c r="AL13" i="5"/>
  <c r="AE21" i="5"/>
  <c r="AQ21" i="5"/>
  <c r="AS21" i="5" s="1"/>
  <c r="U24" i="5"/>
  <c r="AG13" i="5"/>
  <c r="AG16" i="5"/>
  <c r="AL16" i="5" s="1"/>
  <c r="AZ18" i="5"/>
  <c r="W18" i="5"/>
  <c r="AB18" i="5"/>
  <c r="AB40" i="5" s="1"/>
  <c r="AQ18" i="5"/>
  <c r="AS18" i="5" s="1"/>
  <c r="U21" i="5"/>
  <c r="AB21" i="5"/>
  <c r="AT21" i="5"/>
  <c r="AV21" i="5" s="1"/>
  <c r="AT30" i="5"/>
  <c r="AV30" i="5" s="1"/>
  <c r="X30" i="5"/>
  <c r="AL30" i="5"/>
  <c r="W34" i="5"/>
  <c r="AD38" i="5"/>
  <c r="X5" i="7"/>
  <c r="F14" i="6" s="1"/>
  <c r="E7" i="6"/>
  <c r="E10" i="6" s="1"/>
  <c r="G14" i="6"/>
  <c r="D12" i="9"/>
  <c r="B31" i="8"/>
  <c r="AQ25" i="5"/>
  <c r="AS25" i="5" s="1"/>
  <c r="AD25" i="5"/>
  <c r="AA25" i="5"/>
  <c r="AN25" i="5"/>
  <c r="AP25" i="5" s="1"/>
  <c r="Y32" i="5"/>
  <c r="C18" i="8"/>
  <c r="C31" i="8" s="1"/>
  <c r="Z25" i="16"/>
  <c r="AF10" i="16"/>
  <c r="AQ10" i="16"/>
  <c r="AS10" i="16" s="1"/>
  <c r="AF11" i="16"/>
  <c r="AQ11" i="16"/>
  <c r="AS11" i="16" s="1"/>
  <c r="AL13" i="17"/>
  <c r="F50" i="8"/>
  <c r="F63" i="8" s="1"/>
  <c r="J7" i="16"/>
  <c r="AW7" i="16" s="1"/>
  <c r="AY7" i="16" s="1"/>
  <c r="AC7" i="16"/>
  <c r="AA7" i="16"/>
  <c r="AK7" i="16"/>
  <c r="X7" i="16"/>
  <c r="K7" i="16"/>
  <c r="AZ7" i="16" s="1"/>
  <c r="BB7" i="16" s="1"/>
  <c r="AM11" i="16"/>
  <c r="AN11" i="16" s="1"/>
  <c r="AK13" i="16"/>
  <c r="AH13" i="16"/>
  <c r="X13" i="16"/>
  <c r="D13" i="9"/>
  <c r="D11" i="9"/>
  <c r="AK16" i="16"/>
  <c r="AH16" i="16"/>
  <c r="X16" i="16"/>
  <c r="AM21" i="16"/>
  <c r="AN21" i="16" s="1"/>
  <c r="H50" i="8"/>
  <c r="H63" i="8" s="1"/>
  <c r="AB27" i="5"/>
  <c r="AN38" i="5"/>
  <c r="AP38" i="5" s="1"/>
  <c r="D18" i="8"/>
  <c r="D31" i="8" s="1"/>
  <c r="J50" i="8"/>
  <c r="J63" i="8" s="1"/>
  <c r="AK15" i="16"/>
  <c r="AH15" i="16"/>
  <c r="X15" i="16"/>
  <c r="AP19" i="16"/>
  <c r="AJ19" i="16"/>
  <c r="AO19" i="16" s="1"/>
  <c r="K50" i="8"/>
  <c r="K63" i="8" s="1"/>
  <c r="AM23" i="16"/>
  <c r="AN23" i="16" s="1"/>
  <c r="B50" i="8"/>
  <c r="B63" i="8" s="1"/>
  <c r="L50" i="8"/>
  <c r="L63" i="8" s="1"/>
  <c r="E5" i="15"/>
  <c r="AM18" i="16"/>
  <c r="AN18" i="16" s="1"/>
  <c r="C50" i="8"/>
  <c r="C63" i="8" s="1"/>
  <c r="M50" i="8"/>
  <c r="M63" i="8" s="1"/>
  <c r="AF4" i="16"/>
  <c r="AQ4" i="16"/>
  <c r="AS4" i="16" s="1"/>
  <c r="AF5" i="16"/>
  <c r="AQ5" i="16"/>
  <c r="AS5" i="16" s="1"/>
  <c r="AF6" i="16"/>
  <c r="AQ6" i="16"/>
  <c r="AS6" i="16" s="1"/>
  <c r="AK14" i="16"/>
  <c r="AH14" i="16"/>
  <c r="X14" i="16"/>
  <c r="AM17" i="16"/>
  <c r="AN17" i="16" s="1"/>
  <c r="AM22" i="16"/>
  <c r="AN22" i="16" s="1"/>
  <c r="AP22" i="16"/>
  <c r="F18" i="9"/>
  <c r="E18" i="9"/>
  <c r="D50" i="8"/>
  <c r="D63" i="8" s="1"/>
  <c r="N50" i="8"/>
  <c r="N63" i="8" s="1"/>
  <c r="AF3" i="16"/>
  <c r="AQ3" i="16"/>
  <c r="AK4" i="16"/>
  <c r="X6" i="16"/>
  <c r="AF7" i="16"/>
  <c r="AC9" i="16"/>
  <c r="AA11" i="16"/>
  <c r="AO22" i="16"/>
  <c r="AO3" i="17"/>
  <c r="AO6" i="17"/>
  <c r="AL7" i="17"/>
  <c r="AA4" i="16"/>
  <c r="J9" i="16"/>
  <c r="AW9" i="16" s="1"/>
  <c r="AY9" i="16" s="1"/>
  <c r="AQ9" i="16"/>
  <c r="AS9" i="16" s="1"/>
  <c r="H10" i="16"/>
  <c r="AC11" i="16"/>
  <c r="AH18" i="16"/>
  <c r="AM19" i="16"/>
  <c r="AN19" i="16" s="1"/>
  <c r="AQ3" i="17"/>
  <c r="AQ6" i="17"/>
  <c r="AR6" i="17" s="1"/>
  <c r="H3" i="16"/>
  <c r="AC4" i="16"/>
  <c r="K9" i="16"/>
  <c r="AZ9" i="16" s="1"/>
  <c r="BB9" i="16" s="1"/>
  <c r="X18" i="16"/>
  <c r="AT25" i="16"/>
  <c r="AH3" i="17"/>
  <c r="AH6" i="17"/>
  <c r="AP6" i="17" s="1"/>
  <c r="AH8" i="16"/>
  <c r="AH17" i="16"/>
  <c r="X23" i="16"/>
  <c r="AH23" i="16"/>
  <c r="J4" i="16"/>
  <c r="AW4" i="16" s="1"/>
  <c r="AY4" i="16" s="1"/>
  <c r="H5" i="16"/>
  <c r="AC6" i="16"/>
  <c r="X9" i="16"/>
  <c r="K11" i="16"/>
  <c r="AZ11" i="16" s="1"/>
  <c r="BB11" i="16" s="1"/>
  <c r="Y17" i="16"/>
  <c r="Y23" i="16"/>
  <c r="AJ3" i="17"/>
  <c r="AP4" i="17"/>
  <c r="AJ6" i="17"/>
  <c r="AQ7" i="17"/>
  <c r="AR7" i="17" s="1"/>
  <c r="K4" i="16"/>
  <c r="AZ4" i="16" s="1"/>
  <c r="BB4" i="16" s="1"/>
  <c r="Y14" i="16"/>
  <c r="Y15" i="16"/>
  <c r="Y16" i="16"/>
  <c r="AQ4" i="17"/>
  <c r="AR4" i="17" s="1"/>
  <c r="J6" i="16"/>
  <c r="AW6" i="16" s="1"/>
  <c r="AY6" i="16" s="1"/>
  <c r="AA8" i="16"/>
  <c r="AM8" i="16"/>
  <c r="AN8" i="16" s="1"/>
  <c r="AK9" i="16"/>
  <c r="X11" i="16"/>
  <c r="AH11" i="16"/>
  <c r="Y13" i="16"/>
  <c r="Y25" i="16" s="1"/>
  <c r="X21" i="16"/>
  <c r="AH21" i="16"/>
  <c r="AH4" i="17"/>
  <c r="AP8" i="17"/>
  <c r="AC38" i="5"/>
  <c r="X4" i="16"/>
  <c r="AQ8" i="17"/>
  <c r="AR8" i="17" s="1"/>
  <c r="AO6" i="2" l="1"/>
  <c r="AH5" i="16"/>
  <c r="X5" i="16"/>
  <c r="K5" i="16"/>
  <c r="AZ5" i="16" s="1"/>
  <c r="BB5" i="16" s="1"/>
  <c r="J5" i="16"/>
  <c r="AW5" i="16" s="1"/>
  <c r="AY5" i="16" s="1"/>
  <c r="AC5" i="16"/>
  <c r="AA5" i="16"/>
  <c r="AK5" i="16"/>
  <c r="AS3" i="16"/>
  <c r="AS25" i="16" s="1"/>
  <c r="AL29" i="16" s="1"/>
  <c r="AM29" i="16" s="1"/>
  <c r="AQ25" i="16"/>
  <c r="AM15" i="16"/>
  <c r="AN15" i="16" s="1"/>
  <c r="AM9" i="16"/>
  <c r="AN9" i="16" s="1"/>
  <c r="AP18" i="16"/>
  <c r="AO18" i="16"/>
  <c r="AJ18" i="16"/>
  <c r="AF25" i="16"/>
  <c r="AF28" i="16" s="1"/>
  <c r="AO21" i="4"/>
  <c r="AK21" i="4"/>
  <c r="AJ48" i="3" s="1"/>
  <c r="AO48" i="3" s="1"/>
  <c r="AQ35" i="4"/>
  <c r="AH35" i="4"/>
  <c r="AP35" i="4" s="1"/>
  <c r="AN7" i="16"/>
  <c r="AM7" i="16"/>
  <c r="AG24" i="5"/>
  <c r="AL24" i="5" s="1"/>
  <c r="AJ21" i="16"/>
  <c r="AP21" i="16"/>
  <c r="AO21" i="16"/>
  <c r="AJ17" i="16"/>
  <c r="AO17" i="16" s="1"/>
  <c r="AP17" i="16"/>
  <c r="AN4" i="16"/>
  <c r="AM4" i="16"/>
  <c r="AP3" i="4"/>
  <c r="AG17" i="5"/>
  <c r="AL17" i="5" s="1"/>
  <c r="AM17" i="5"/>
  <c r="AZ34" i="4"/>
  <c r="AZ40" i="4" s="1"/>
  <c r="AY34" i="4"/>
  <c r="AY40" i="4" s="1"/>
  <c r="AY35" i="4"/>
  <c r="AZ35" i="4"/>
  <c r="AQ9" i="4"/>
  <c r="AH9" i="4"/>
  <c r="AG52" i="3" s="1"/>
  <c r="G13" i="1"/>
  <c r="AK51" i="3"/>
  <c r="AO51" i="3" s="1"/>
  <c r="AQ49" i="3"/>
  <c r="BF40" i="4"/>
  <c r="AU40" i="4"/>
  <c r="V36" i="5"/>
  <c r="W36" i="5"/>
  <c r="AP6" i="4"/>
  <c r="AO45" i="3"/>
  <c r="AG26" i="5"/>
  <c r="AL26" i="5" s="1"/>
  <c r="AQ43" i="3"/>
  <c r="AP43" i="3"/>
  <c r="AH43" i="3"/>
  <c r="F20" i="6"/>
  <c r="F22" i="6" s="1"/>
  <c r="Z62" i="3"/>
  <c r="AP5" i="2"/>
  <c r="AP23" i="2"/>
  <c r="AH23" i="2"/>
  <c r="AQ16" i="2"/>
  <c r="AH16" i="2"/>
  <c r="AP16" i="2" s="1"/>
  <c r="J21" i="1"/>
  <c r="D7" i="1"/>
  <c r="H13" i="6"/>
  <c r="I13" i="6"/>
  <c r="E13" i="6"/>
  <c r="G13" i="6"/>
  <c r="F13" i="6"/>
  <c r="C13" i="6"/>
  <c r="M13" i="6"/>
  <c r="L13" i="6"/>
  <c r="D13" i="6"/>
  <c r="K13" i="6"/>
  <c r="J13" i="6"/>
  <c r="C15" i="1"/>
  <c r="AK6" i="2"/>
  <c r="AX29" i="2"/>
  <c r="AA10" i="16"/>
  <c r="AK10" i="16"/>
  <c r="X10" i="16"/>
  <c r="K10" i="16"/>
  <c r="AZ10" i="16" s="1"/>
  <c r="BB10" i="16" s="1"/>
  <c r="J10" i="16"/>
  <c r="AW10" i="16" s="1"/>
  <c r="AY10" i="16" s="1"/>
  <c r="AC10" i="16"/>
  <c r="AJ14" i="16"/>
  <c r="AP14" i="16"/>
  <c r="AO14" i="16"/>
  <c r="AO23" i="16"/>
  <c r="AJ23" i="16"/>
  <c r="AP23" i="16"/>
  <c r="AK3" i="16"/>
  <c r="AH3" i="16"/>
  <c r="X3" i="16"/>
  <c r="K3" i="16"/>
  <c r="AZ3" i="16" s="1"/>
  <c r="J3" i="16"/>
  <c r="AW3" i="16" s="1"/>
  <c r="AC3" i="16"/>
  <c r="AA3" i="16"/>
  <c r="AA25" i="16" s="1"/>
  <c r="AH6" i="16"/>
  <c r="AM14" i="16"/>
  <c r="AN14" i="16" s="1"/>
  <c r="AH7" i="16"/>
  <c r="AH36" i="3"/>
  <c r="AG21" i="2" s="1"/>
  <c r="AQ36" i="3"/>
  <c r="AM21" i="5"/>
  <c r="AH9" i="16"/>
  <c r="AO8" i="16"/>
  <c r="AJ8" i="16"/>
  <c r="AP8" i="16"/>
  <c r="E12" i="9"/>
  <c r="F12" i="9"/>
  <c r="AK20" i="5"/>
  <c r="AJ20" i="5"/>
  <c r="AK34" i="5"/>
  <c r="AJ34" i="5"/>
  <c r="AK60" i="3"/>
  <c r="AO60" i="3" s="1"/>
  <c r="AT49" i="3"/>
  <c r="AO18" i="4"/>
  <c r="Z40" i="4"/>
  <c r="AK19" i="4"/>
  <c r="AO19" i="4" s="1"/>
  <c r="AW40" i="4"/>
  <c r="U34" i="3"/>
  <c r="U62" i="3" s="1"/>
  <c r="Y34" i="3"/>
  <c r="Y62" i="3" s="1"/>
  <c r="AA34" i="3"/>
  <c r="AO16" i="4"/>
  <c r="AO52" i="3"/>
  <c r="AK52" i="3"/>
  <c r="AE36" i="5"/>
  <c r="AH36" i="5"/>
  <c r="AK56" i="3"/>
  <c r="AO56" i="3" s="1"/>
  <c r="AF29" i="4"/>
  <c r="AI29" i="4"/>
  <c r="U29" i="4"/>
  <c r="U40" i="4" s="1"/>
  <c r="AO40" i="3"/>
  <c r="AM26" i="5"/>
  <c r="AP26" i="4"/>
  <c r="AA40" i="4"/>
  <c r="AH22" i="4"/>
  <c r="AG49" i="3" s="1"/>
  <c r="AP49" i="3" s="1"/>
  <c r="AP22" i="4"/>
  <c r="AQ22" i="4"/>
  <c r="BC55" i="3"/>
  <c r="AQ6" i="3"/>
  <c r="AB29" i="2"/>
  <c r="E20" i="6"/>
  <c r="AH22" i="2"/>
  <c r="AP22" i="2" s="1"/>
  <c r="AQ22" i="2"/>
  <c r="AH22" i="3"/>
  <c r="AG9" i="2" s="1"/>
  <c r="AQ22" i="3"/>
  <c r="AQ14" i="3"/>
  <c r="AH14" i="3"/>
  <c r="AR29" i="2"/>
  <c r="AH3" i="2"/>
  <c r="AH32" i="5"/>
  <c r="AE32" i="5"/>
  <c r="AE40" i="5" s="1"/>
  <c r="AG34" i="5"/>
  <c r="AL34" i="5"/>
  <c r="AM34" i="5"/>
  <c r="AV40" i="5"/>
  <c r="AG19" i="5"/>
  <c r="AL19" i="5" s="1"/>
  <c r="AQ23" i="4"/>
  <c r="AH23" i="4"/>
  <c r="AG50" i="3" s="1"/>
  <c r="AB40" i="4"/>
  <c r="AK48" i="3"/>
  <c r="AO21" i="2"/>
  <c r="AK21" i="2"/>
  <c r="AO32" i="4"/>
  <c r="AK32" i="4"/>
  <c r="X29" i="4"/>
  <c r="X40" i="4" s="1"/>
  <c r="W29" i="4"/>
  <c r="W40" i="4" s="1"/>
  <c r="AQ30" i="4"/>
  <c r="AP30" i="4"/>
  <c r="AH30" i="4"/>
  <c r="AO55" i="3"/>
  <c r="AK55" i="3"/>
  <c r="AP45" i="3"/>
  <c r="AH40" i="3"/>
  <c r="AP40" i="3" s="1"/>
  <c r="H12" i="1"/>
  <c r="AS40" i="5"/>
  <c r="Y40" i="4"/>
  <c r="AK22" i="4"/>
  <c r="AJ49" i="3" s="1"/>
  <c r="AK49" i="3" s="1"/>
  <c r="AO35" i="3"/>
  <c r="C20" i="6"/>
  <c r="C22" i="6" s="1"/>
  <c r="C14" i="6"/>
  <c r="I20" i="6"/>
  <c r="I22" i="6" s="1"/>
  <c r="AQ15" i="3"/>
  <c r="AP19" i="2"/>
  <c r="AH9" i="3"/>
  <c r="AQ9" i="3"/>
  <c r="AF62" i="3"/>
  <c r="AH3" i="3"/>
  <c r="AQ3" i="3"/>
  <c r="AH13" i="3"/>
  <c r="AQ13" i="3"/>
  <c r="AO16" i="2"/>
  <c r="AH13" i="2"/>
  <c r="AP13" i="2" s="1"/>
  <c r="AZ62" i="3"/>
  <c r="AI29" i="2"/>
  <c r="AO19" i="2"/>
  <c r="AK19" i="2"/>
  <c r="AF29" i="2"/>
  <c r="W32" i="5"/>
  <c r="V32" i="5"/>
  <c r="AZ40" i="5"/>
  <c r="AH21" i="4"/>
  <c r="AG48" i="3" s="1"/>
  <c r="AQ21" i="4"/>
  <c r="AT40" i="5"/>
  <c r="AJ57" i="3"/>
  <c r="AJ27" i="2"/>
  <c r="AQ57" i="3"/>
  <c r="AV62" i="3"/>
  <c r="AH32" i="4"/>
  <c r="AP32" i="4" s="1"/>
  <c r="AQ32" i="4"/>
  <c r="AG27" i="5"/>
  <c r="AL27" i="5" s="1"/>
  <c r="AM27" i="5"/>
  <c r="AP20" i="4"/>
  <c r="AO30" i="4"/>
  <c r="AK30" i="4"/>
  <c r="AH49" i="3"/>
  <c r="AQ40" i="5"/>
  <c r="G20" i="6"/>
  <c r="G22" i="6" s="1"/>
  <c r="AF30" i="3"/>
  <c r="AK9" i="2"/>
  <c r="AO9" i="2" s="1"/>
  <c r="AQ7" i="3"/>
  <c r="AH7" i="3"/>
  <c r="AQ12" i="2"/>
  <c r="AX62" i="3"/>
  <c r="AT62" i="3"/>
  <c r="AL29" i="5"/>
  <c r="AQ58" i="3"/>
  <c r="AO35" i="4"/>
  <c r="AK35" i="4"/>
  <c r="AO17" i="4"/>
  <c r="AO44" i="3"/>
  <c r="AK44" i="3"/>
  <c r="AC40" i="5"/>
  <c r="BC48" i="3"/>
  <c r="BC62" i="3" s="1"/>
  <c r="AK31" i="4"/>
  <c r="AO31" i="4" s="1"/>
  <c r="AO33" i="3"/>
  <c r="AQ53" i="3"/>
  <c r="H20" i="6"/>
  <c r="H22" i="6" s="1"/>
  <c r="H14" i="6"/>
  <c r="AQ14" i="2"/>
  <c r="AH14" i="2"/>
  <c r="AP14" i="2" s="1"/>
  <c r="AH24" i="3"/>
  <c r="AQ24" i="3"/>
  <c r="AO20" i="2"/>
  <c r="AK20" i="2"/>
  <c r="AK22" i="2"/>
  <c r="AO22" i="2" s="1"/>
  <c r="BC3" i="2"/>
  <c r="BC29" i="2" s="1"/>
  <c r="BA29" i="2"/>
  <c r="AO17" i="2"/>
  <c r="AH44" i="3"/>
  <c r="AP44" i="3" s="1"/>
  <c r="AQ44" i="3"/>
  <c r="AK18" i="2"/>
  <c r="AO18" i="2"/>
  <c r="AN40" i="5"/>
  <c r="AP3" i="5"/>
  <c r="AP40" i="5" s="1"/>
  <c r="AP19" i="4"/>
  <c r="AQ19" i="4"/>
  <c r="AH19" i="4"/>
  <c r="AO41" i="3"/>
  <c r="AK41" i="3"/>
  <c r="AJ25" i="2" s="1"/>
  <c r="AH34" i="3"/>
  <c r="AP34" i="3" s="1"/>
  <c r="AQ34" i="3"/>
  <c r="AX40" i="4"/>
  <c r="AQ23" i="3"/>
  <c r="AH23" i="3"/>
  <c r="AQ36" i="4"/>
  <c r="AP36" i="4"/>
  <c r="AH36" i="4"/>
  <c r="BF53" i="3"/>
  <c r="BF62" i="3" s="1"/>
  <c r="AC62" i="3"/>
  <c r="M20" i="6"/>
  <c r="M22" i="6" s="1"/>
  <c r="M14" i="6"/>
  <c r="J20" i="6"/>
  <c r="J22" i="6" s="1"/>
  <c r="AO32" i="3"/>
  <c r="AH42" i="3"/>
  <c r="AP42" i="3" s="1"/>
  <c r="BA62" i="3"/>
  <c r="AQ20" i="3"/>
  <c r="AH20" i="3"/>
  <c r="AG8" i="2" s="1"/>
  <c r="AH8" i="2" s="1"/>
  <c r="AP8" i="2" s="1"/>
  <c r="AQ4" i="3"/>
  <c r="AH4" i="3"/>
  <c r="AP28" i="3"/>
  <c r="AQ13" i="2"/>
  <c r="AK13" i="2"/>
  <c r="AO13" i="2" s="1"/>
  <c r="AJ16" i="16"/>
  <c r="AO16" i="16" s="1"/>
  <c r="AP16" i="16"/>
  <c r="AK29" i="5"/>
  <c r="AG22" i="5"/>
  <c r="AL22" i="5" s="1"/>
  <c r="BB34" i="4"/>
  <c r="BB40" i="4" s="1"/>
  <c r="AJ19" i="5"/>
  <c r="AK19" i="5"/>
  <c r="AH27" i="3"/>
  <c r="AG12" i="2" s="1"/>
  <c r="AH12" i="2" s="1"/>
  <c r="AH25" i="4"/>
  <c r="AG53" i="3" s="1"/>
  <c r="AH53" i="3" s="1"/>
  <c r="AO54" i="3"/>
  <c r="AK54" i="3"/>
  <c r="AI40" i="4"/>
  <c r="AQ40" i="3"/>
  <c r="AW49" i="3"/>
  <c r="AO9" i="4"/>
  <c r="J14" i="6"/>
  <c r="AO36" i="4"/>
  <c r="AK36" i="4"/>
  <c r="AK14" i="4"/>
  <c r="AJ58" i="3" s="1"/>
  <c r="AO14" i="4"/>
  <c r="G9" i="1"/>
  <c r="H7" i="1" s="1"/>
  <c r="AW3" i="3"/>
  <c r="AU62" i="3"/>
  <c r="K14" i="6"/>
  <c r="K20" i="6" s="1"/>
  <c r="K22" i="6" s="1"/>
  <c r="AP4" i="2"/>
  <c r="AB62" i="3"/>
  <c r="AQ19" i="2"/>
  <c r="AO36" i="3"/>
  <c r="AY62" i="3"/>
  <c r="AQ28" i="3"/>
  <c r="AO12" i="2"/>
  <c r="AQ10" i="2"/>
  <c r="AK4" i="2"/>
  <c r="AO4" i="2" s="1"/>
  <c r="Z29" i="2"/>
  <c r="AG21" i="5"/>
  <c r="AL21" i="5"/>
  <c r="AQ47" i="3"/>
  <c r="AH47" i="3"/>
  <c r="AP47" i="3" s="1"/>
  <c r="AM16" i="16"/>
  <c r="AN16" i="16" s="1"/>
  <c r="AJ22" i="5"/>
  <c r="AK22" i="5" s="1"/>
  <c r="AQ17" i="4"/>
  <c r="AH17" i="4"/>
  <c r="AP17" i="4"/>
  <c r="AK25" i="4"/>
  <c r="AJ53" i="3" s="1"/>
  <c r="BC53" i="3"/>
  <c r="AH18" i="4"/>
  <c r="AG56" i="3" s="1"/>
  <c r="AP18" i="4"/>
  <c r="AQ18" i="4"/>
  <c r="AO4" i="4"/>
  <c r="W37" i="5"/>
  <c r="V37" i="5"/>
  <c r="AW53" i="3"/>
  <c r="X62" i="3"/>
  <c r="L20" i="6"/>
  <c r="L22" i="6" s="1"/>
  <c r="AH19" i="3"/>
  <c r="AQ19" i="3"/>
  <c r="AQ17" i="3"/>
  <c r="AH17" i="3"/>
  <c r="AG7" i="2" s="1"/>
  <c r="AQ5" i="3"/>
  <c r="AH26" i="3"/>
  <c r="AG11" i="2" s="1"/>
  <c r="AH11" i="2" s="1"/>
  <c r="AQ26" i="3"/>
  <c r="AQ8" i="2"/>
  <c r="AU29" i="2"/>
  <c r="AJ13" i="16"/>
  <c r="AO13" i="16" s="1"/>
  <c r="AP13" i="16"/>
  <c r="AJ11" i="16"/>
  <c r="AO11" i="16" s="1"/>
  <c r="AP11" i="16"/>
  <c r="AH13" i="17"/>
  <c r="AH18" i="17" s="1"/>
  <c r="AP3" i="17"/>
  <c r="AQ13" i="17"/>
  <c r="AR3" i="17"/>
  <c r="AR13" i="17" s="1"/>
  <c r="AO13" i="17"/>
  <c r="AH4" i="16"/>
  <c r="AJ15" i="16"/>
  <c r="AO15" i="16" s="1"/>
  <c r="AP15" i="16"/>
  <c r="AM13" i="16"/>
  <c r="AN13" i="16"/>
  <c r="G23" i="1"/>
  <c r="AK17" i="5"/>
  <c r="AJ17" i="5"/>
  <c r="G16" i="1"/>
  <c r="H15" i="1" s="1"/>
  <c r="AJ13" i="17"/>
  <c r="AH51" i="3"/>
  <c r="AQ51" i="3"/>
  <c r="AP51" i="3"/>
  <c r="AY40" i="5"/>
  <c r="AF40" i="4"/>
  <c r="AQ48" i="3"/>
  <c r="AH37" i="5"/>
  <c r="AE37" i="5"/>
  <c r="AQ14" i="4"/>
  <c r="AH14" i="4"/>
  <c r="AG58" i="3" s="1"/>
  <c r="AK3" i="3"/>
  <c r="AQ18" i="2"/>
  <c r="AW29" i="2"/>
  <c r="AQ25" i="3"/>
  <c r="AH25" i="3"/>
  <c r="AG10" i="2" s="1"/>
  <c r="AP37" i="3"/>
  <c r="AQ8" i="3"/>
  <c r="AQ18" i="3"/>
  <c r="AK27" i="2"/>
  <c r="AO27" i="2" s="1"/>
  <c r="AK10" i="2"/>
  <c r="AO10" i="2"/>
  <c r="AH6" i="2"/>
  <c r="AP6" i="2" s="1"/>
  <c r="AQ6" i="2"/>
  <c r="AP3" i="2"/>
  <c r="E22" i="6"/>
  <c r="AH41" i="3"/>
  <c r="AP41" i="3"/>
  <c r="AR40" i="4"/>
  <c r="AG23" i="5"/>
  <c r="AL23" i="5"/>
  <c r="AK33" i="4"/>
  <c r="AO33" i="4" s="1"/>
  <c r="AJ18" i="5"/>
  <c r="AK18" i="5"/>
  <c r="AM18" i="5"/>
  <c r="AG18" i="5"/>
  <c r="AL18" i="5" s="1"/>
  <c r="BB40" i="5"/>
  <c r="AG20" i="5"/>
  <c r="AL20" i="5"/>
  <c r="AM20" i="5"/>
  <c r="BA40" i="4"/>
  <c r="AQ33" i="4"/>
  <c r="AH33" i="4"/>
  <c r="AP33" i="4" s="1"/>
  <c r="AT40" i="3"/>
  <c r="AO27" i="4"/>
  <c r="AH35" i="3"/>
  <c r="AG20" i="2" s="1"/>
  <c r="AQ35" i="3"/>
  <c r="AR34" i="3"/>
  <c r="AT34" i="3" s="1"/>
  <c r="AD34" i="3"/>
  <c r="AD62" i="3" s="1"/>
  <c r="AW40" i="5"/>
  <c r="AH55" i="3"/>
  <c r="AP55" i="3" s="1"/>
  <c r="AJ26" i="5"/>
  <c r="AK26" i="5" s="1"/>
  <c r="AK26" i="4"/>
  <c r="AJ59" i="3" s="1"/>
  <c r="AK59" i="3" s="1"/>
  <c r="AO59" i="3" s="1"/>
  <c r="AO26" i="4"/>
  <c r="AH33" i="3"/>
  <c r="AG18" i="2" s="1"/>
  <c r="AH18" i="2" s="1"/>
  <c r="AQ27" i="2"/>
  <c r="D14" i="6"/>
  <c r="D20" i="6" s="1"/>
  <c r="D22" i="6" s="1"/>
  <c r="AI30" i="3"/>
  <c r="H13" i="1" s="1"/>
  <c r="I11" i="1" s="1"/>
  <c r="AA62" i="3"/>
  <c r="AP31" i="3"/>
  <c r="AO34" i="3"/>
  <c r="AO28" i="3"/>
  <c r="AQ5" i="2"/>
  <c r="AT29" i="2"/>
  <c r="AQ16" i="3"/>
  <c r="AZ29" i="2"/>
  <c r="AH21" i="2" l="1"/>
  <c r="AP21" i="2"/>
  <c r="AJ3" i="16"/>
  <c r="AP3" i="16"/>
  <c r="AH25" i="16"/>
  <c r="AO3" i="16"/>
  <c r="H8" i="1"/>
  <c r="AP53" i="3"/>
  <c r="AH30" i="3"/>
  <c r="AG15" i="2" s="1"/>
  <c r="AQ30" i="3"/>
  <c r="AO22" i="4"/>
  <c r="AH50" i="3"/>
  <c r="AP50" i="3" s="1"/>
  <c r="AK32" i="5"/>
  <c r="AJ32" i="5"/>
  <c r="G7" i="1"/>
  <c r="AJ36" i="5"/>
  <c r="AK36" i="5"/>
  <c r="AP7" i="16"/>
  <c r="AJ7" i="16"/>
  <c r="AO7" i="16" s="1"/>
  <c r="AK25" i="16"/>
  <c r="AN3" i="16"/>
  <c r="AM3" i="16"/>
  <c r="AO49" i="3"/>
  <c r="AM36" i="5"/>
  <c r="AG36" i="5"/>
  <c r="AL36" i="5"/>
  <c r="AH10" i="16"/>
  <c r="AM5" i="16"/>
  <c r="AN5" i="16" s="1"/>
  <c r="AP26" i="3"/>
  <c r="AP7" i="2"/>
  <c r="AG57" i="3"/>
  <c r="AG27" i="2"/>
  <c r="AP14" i="4"/>
  <c r="AJ4" i="16"/>
  <c r="AO4" i="16" s="1"/>
  <c r="AP4" i="16"/>
  <c r="AP25" i="4"/>
  <c r="AP21" i="4"/>
  <c r="AP23" i="4"/>
  <c r="AP33" i="3"/>
  <c r="AP18" i="2"/>
  <c r="AM37" i="5"/>
  <c r="AL37" i="5"/>
  <c r="AG37" i="5"/>
  <c r="G12" i="1"/>
  <c r="AP20" i="17"/>
  <c r="AP21" i="17" s="1"/>
  <c r="AP27" i="3"/>
  <c r="AO25" i="2"/>
  <c r="AK25" i="2"/>
  <c r="AP12" i="2"/>
  <c r="AM10" i="16"/>
  <c r="AN10" i="16" s="1"/>
  <c r="H9" i="1"/>
  <c r="I7" i="1" s="1"/>
  <c r="AP13" i="17"/>
  <c r="G3" i="1"/>
  <c r="AO53" i="3"/>
  <c r="AK53" i="3"/>
  <c r="AK62" i="3" s="1"/>
  <c r="B3" i="1" s="1"/>
  <c r="AK58" i="3"/>
  <c r="AO58" i="3" s="1"/>
  <c r="BC34" i="4"/>
  <c r="BC40" i="4" s="1"/>
  <c r="AM32" i="5"/>
  <c r="AG32" i="5"/>
  <c r="AL32" i="5" s="1"/>
  <c r="AL40" i="5" s="1"/>
  <c r="AH20" i="2"/>
  <c r="AP20" i="2" s="1"/>
  <c r="AJ37" i="5"/>
  <c r="G8" i="1" s="1"/>
  <c r="AP48" i="3"/>
  <c r="AH48" i="3"/>
  <c r="AP6" i="16"/>
  <c r="AJ6" i="16"/>
  <c r="AO6" i="16" s="1"/>
  <c r="AJ62" i="3"/>
  <c r="AR62" i="3"/>
  <c r="AH10" i="2"/>
  <c r="AP10" i="2" s="1"/>
  <c r="AH52" i="3"/>
  <c r="AP52" i="3" s="1"/>
  <c r="AK57" i="3"/>
  <c r="AO57" i="3" s="1"/>
  <c r="AW62" i="3"/>
  <c r="AH58" i="3"/>
  <c r="AP58" i="3" s="1"/>
  <c r="AH7" i="2"/>
  <c r="AQ40" i="4"/>
  <c r="AT3" i="17"/>
  <c r="AH56" i="3"/>
  <c r="AP56" i="3" s="1"/>
  <c r="H19" i="1"/>
  <c r="AJ9" i="16"/>
  <c r="AP9" i="16"/>
  <c r="AO9" i="16"/>
  <c r="AC25" i="16"/>
  <c r="AH40" i="4"/>
  <c r="AG62" i="3"/>
  <c r="AP35" i="3"/>
  <c r="AY3" i="16"/>
  <c r="AY25" i="16" s="1"/>
  <c r="AL32" i="16" s="1"/>
  <c r="AM32" i="16" s="1"/>
  <c r="AW25" i="16"/>
  <c r="C13" i="9"/>
  <c r="C11" i="9"/>
  <c r="B13" i="9"/>
  <c r="B11" i="9"/>
  <c r="B13" i="6"/>
  <c r="B20" i="6" s="1"/>
  <c r="B22" i="6" s="1"/>
  <c r="B23" i="6" s="1"/>
  <c r="C5" i="6" s="1"/>
  <c r="C23" i="6" s="1"/>
  <c r="D5" i="6" s="1"/>
  <c r="D23" i="6" s="1"/>
  <c r="E5" i="6" s="1"/>
  <c r="E23" i="6" s="1"/>
  <c r="F5" i="6" s="1"/>
  <c r="F23" i="6" s="1"/>
  <c r="G5" i="6" s="1"/>
  <c r="G23" i="6" s="1"/>
  <c r="H5" i="6" s="1"/>
  <c r="H23" i="6" s="1"/>
  <c r="I5" i="6" s="1"/>
  <c r="I23" i="6" s="1"/>
  <c r="J5" i="6" s="1"/>
  <c r="J23" i="6" s="1"/>
  <c r="K5" i="6" s="1"/>
  <c r="K23" i="6" s="1"/>
  <c r="L5" i="6" s="1"/>
  <c r="L23" i="6" s="1"/>
  <c r="M5" i="6" s="1"/>
  <c r="M23" i="6" s="1"/>
  <c r="C12" i="1"/>
  <c r="AP9" i="4"/>
  <c r="AP40" i="4" s="1"/>
  <c r="AP11" i="2"/>
  <c r="AK29" i="4"/>
  <c r="AK40" i="4" s="1"/>
  <c r="AP36" i="3"/>
  <c r="AZ25" i="16"/>
  <c r="BB3" i="16"/>
  <c r="BB25" i="16" s="1"/>
  <c r="AL33" i="16" s="1"/>
  <c r="AM33" i="16" s="1"/>
  <c r="AP5" i="16"/>
  <c r="AO5" i="16"/>
  <c r="AJ5" i="16"/>
  <c r="AH40" i="5"/>
  <c r="AM40" i="5" s="1"/>
  <c r="AK30" i="3"/>
  <c r="AJ15" i="2" s="1"/>
  <c r="AO30" i="3"/>
  <c r="AQ29" i="2"/>
  <c r="AI62" i="3"/>
  <c r="AO25" i="4"/>
  <c r="AH9" i="2"/>
  <c r="AP9" i="2" s="1"/>
  <c r="AP29" i="4"/>
  <c r="AQ29" i="4"/>
  <c r="AH29" i="4"/>
  <c r="X25" i="16"/>
  <c r="D8" i="1"/>
  <c r="D33" i="1"/>
  <c r="D47" i="1" s="1"/>
  <c r="D6" i="1"/>
  <c r="AO62" i="3" l="1"/>
  <c r="B6" i="1"/>
  <c r="B16" i="1"/>
  <c r="B13" i="1"/>
  <c r="AF63" i="3"/>
  <c r="AL63" i="3" s="1"/>
  <c r="AK40" i="5"/>
  <c r="AI63" i="3"/>
  <c r="AH15" i="2"/>
  <c r="AP15" i="2" s="1"/>
  <c r="AP29" i="2" s="1"/>
  <c r="AH62" i="3"/>
  <c r="B7" i="1" s="1"/>
  <c r="AK37" i="5"/>
  <c r="AP27" i="2"/>
  <c r="AH27" i="2"/>
  <c r="AH29" i="2" s="1"/>
  <c r="D8" i="9" s="1"/>
  <c r="G15" i="1"/>
  <c r="G20" i="1" s="1"/>
  <c r="AQ62" i="3"/>
  <c r="AP57" i="3"/>
  <c r="AP62" i="3" s="1"/>
  <c r="AH57" i="3"/>
  <c r="AM25" i="16"/>
  <c r="AL28" i="16" s="1"/>
  <c r="AN25" i="16"/>
  <c r="AP25" i="16"/>
  <c r="AO29" i="4"/>
  <c r="AO40" i="4" s="1"/>
  <c r="F11" i="9"/>
  <c r="E11" i="9"/>
  <c r="AJ40" i="5"/>
  <c r="G11" i="1"/>
  <c r="AG40" i="5"/>
  <c r="I20" i="1"/>
  <c r="I19" i="1"/>
  <c r="C3" i="1" s="1"/>
  <c r="F13" i="9"/>
  <c r="E13" i="9"/>
  <c r="AJ29" i="2"/>
  <c r="AK15" i="2"/>
  <c r="AK29" i="2" s="1"/>
  <c r="AO15" i="2"/>
  <c r="AO29" i="2" s="1"/>
  <c r="AG29" i="2"/>
  <c r="AJ10" i="16"/>
  <c r="AJ25" i="16" s="1"/>
  <c r="AJ37" i="16" s="1"/>
  <c r="AP10" i="16"/>
  <c r="AO10" i="16"/>
  <c r="AO25" i="16" s="1"/>
  <c r="AP30" i="3"/>
  <c r="H11" i="1"/>
  <c r="H20" i="1" s="1"/>
  <c r="H21" i="1" s="1"/>
  <c r="D15" i="9" l="1"/>
  <c r="C6" i="9"/>
  <c r="B6" i="9"/>
  <c r="C7" i="9"/>
  <c r="B7" i="9"/>
  <c r="C6" i="1"/>
  <c r="C16" i="1"/>
  <c r="I21" i="1"/>
  <c r="C7" i="1"/>
  <c r="G19" i="1"/>
  <c r="G21" i="1" s="1"/>
  <c r="AF30" i="2"/>
  <c r="AL30" i="2" s="1"/>
  <c r="C13" i="1"/>
  <c r="B8" i="1"/>
  <c r="B33" i="1"/>
  <c r="D6" i="9"/>
  <c r="D7" i="9"/>
  <c r="AL34" i="16"/>
  <c r="AM34" i="16" s="1"/>
  <c r="AM28" i="16"/>
  <c r="AI30" i="2"/>
  <c r="F7" i="9" l="1"/>
  <c r="E7" i="9"/>
  <c r="B47" i="1"/>
  <c r="B48" i="1" s="1"/>
  <c r="C46" i="1" s="1"/>
  <c r="B41" i="1"/>
  <c r="E6" i="9"/>
  <c r="F6" i="9"/>
  <c r="D20" i="9"/>
  <c r="C8" i="9"/>
  <c r="B8" i="9"/>
  <c r="C33" i="1"/>
  <c r="C8" i="1"/>
  <c r="E8" i="9" l="1"/>
  <c r="F8" i="9"/>
  <c r="C20" i="9"/>
  <c r="E20" i="9" s="1"/>
  <c r="C15" i="9"/>
  <c r="B20" i="9"/>
  <c r="B15" i="9"/>
  <c r="C47" i="1"/>
  <c r="C48" i="1" s="1"/>
  <c r="C52" i="1" l="1"/>
  <c r="D46" i="1"/>
  <c r="D48" i="1" s="1"/>
  <c r="C51" i="1"/>
  <c r="C50" i="1" s="1"/>
  <c r="C39" i="1" s="1"/>
  <c r="C41" i="1" s="1"/>
  <c r="E6" i="15" s="1"/>
  <c r="E15" i="9"/>
  <c r="F15" i="9"/>
  <c r="F20" i="9"/>
  <c r="F5" i="15" l="1"/>
  <c r="E8" i="15"/>
  <c r="D51" i="1"/>
  <c r="D52" i="1"/>
  <c r="D50" i="1" l="1"/>
  <c r="D39" i="1" s="1"/>
  <c r="D41" i="1" s="1"/>
  <c r="F6" i="15" s="1"/>
  <c r="F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2" authorId="0" shapeId="0" xr:uid="{00000000-0006-0000-0000-000001000000}">
      <text>
        <r>
          <rPr>
            <sz val="10"/>
            <rFont val="Arial"/>
            <family val="2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Anaïs Lamard</t>
        </r>
      </text>
    </comment>
    <comment ref="G37" authorId="0" shapeId="0" xr:uid="{00000000-0006-0000-0000-000002000000}">
      <text>
        <r>
          <rPr>
            <sz val="10"/>
            <rFont val="Arial"/>
            <family val="2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Justine Joubert
Réponse :
    Nadège Bouquet</t>
        </r>
      </text>
    </comment>
    <comment ref="G42" authorId="0" shapeId="0" xr:uid="{00000000-0006-0000-0000-000003000000}">
      <text>
        <r>
          <rPr>
            <sz val="10"/>
            <rFont val="Arial"/>
            <family val="2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Nadège Bouquet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F00-000001000000}">
      <text>
        <r>
          <rPr>
            <sz val="10"/>
            <rFont val="Arial"/>
            <family val="2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facturé à ouverture chantier :
Prix convenu + Montant case 0 - SASA - Avoir
Réponse :
    Ne pas tenir compte SASA et avoir</t>
        </r>
      </text>
    </comment>
  </commentList>
</comments>
</file>

<file path=xl/sharedStrings.xml><?xml version="1.0" encoding="utf-8"?>
<sst xmlns="http://schemas.openxmlformats.org/spreadsheetml/2006/main" count="63171" uniqueCount="8920">
  <si>
    <t>Compte de résultat VPRDS</t>
  </si>
  <si>
    <t>Année 2025</t>
  </si>
  <si>
    <t>Année 2026</t>
  </si>
  <si>
    <t>Année 2027</t>
  </si>
  <si>
    <t>Données marge de production</t>
  </si>
  <si>
    <t>Chiffre d'affaires travaux</t>
  </si>
  <si>
    <t>Nombre de chantiers en cours au 31/12/N-1 réceptionnés en N</t>
  </si>
  <si>
    <t>Ne pas modifier = formules</t>
  </si>
  <si>
    <t>Nombre de chantiers ouverts et réceptionnés en N</t>
  </si>
  <si>
    <t>A renseigner</t>
  </si>
  <si>
    <t>Nombre de chantiers encours au 31/12/N</t>
  </si>
  <si>
    <t xml:space="preserve">Charges variables sur chantiers </t>
  </si>
  <si>
    <t xml:space="preserve">Marge de production </t>
  </si>
  <si>
    <t>PV HT moyen (y compris case 0 et net de SASA) chantiers en cours au 31/12/N-1</t>
  </si>
  <si>
    <t>% de marge de production</t>
  </si>
  <si>
    <t>PV HT moyen (y compris case 0 et net de SASA) chantiers ouverts et réceptionnés en N</t>
  </si>
  <si>
    <t>PV HT moyen (y compris case 0 et net de SASA) chantiers encours au 31/12/N</t>
  </si>
  <si>
    <t>Autres produits (subvention)</t>
  </si>
  <si>
    <t>Taux de marge moyen chantiers en cours au 31/12/N-1</t>
  </si>
  <si>
    <t>Coût de strucutre (masse salariale + charges fixes)</t>
  </si>
  <si>
    <t>Taux de marge moyen chantiers ouverts et réceptionnés en N</t>
  </si>
  <si>
    <t>% du CA</t>
  </si>
  <si>
    <t>Taux de marge moyen chantiers encours au 31/12/N</t>
  </si>
  <si>
    <t>Masse salariale (y compris taxes rattachées)</t>
  </si>
  <si>
    <t>Taux restant d'avancement des chantiers en cours au 31/12/N-1 à constater en N</t>
  </si>
  <si>
    <t>Taux d'avancement des chantiers en cours au 31/12/N</t>
  </si>
  <si>
    <t>Pour le moment même avancement moyen sur les encours à la fin de chaque année. Peut être modifié à la main ou s'aider des suivi 2025 et années suivantes</t>
  </si>
  <si>
    <t>Frais généraux</t>
  </si>
  <si>
    <t>Achats non stockés (eau, électricité, fournitures)</t>
  </si>
  <si>
    <t>Soit un Chiffre d'affaires</t>
  </si>
  <si>
    <t>Assurances</t>
  </si>
  <si>
    <t>Soit une marge de production</t>
  </si>
  <si>
    <t xml:space="preserve">Maintenance et entretien </t>
  </si>
  <si>
    <t>% de marge de production net</t>
  </si>
  <si>
    <t>Locations immobilières</t>
  </si>
  <si>
    <t>Locations mobilières (y compris véhicules)</t>
  </si>
  <si>
    <t>% de variation frais généraux (si baisse mettre - devant le %) versus N-1</t>
  </si>
  <si>
    <t>Marketing et Communication (hors redevances de Pub Mikit)</t>
  </si>
  <si>
    <t>Honoraires divers</t>
  </si>
  <si>
    <t>Masse salariale (mettre les montants en € et non K€)</t>
  </si>
  <si>
    <t>Voyages et déplacements (dont carburant)</t>
  </si>
  <si>
    <t>Téléphonie, frais postaux et frais bancaires</t>
  </si>
  <si>
    <t>Salarié 1 salaire Brut mensuel moyen y compris primes</t>
  </si>
  <si>
    <t>Salarié 1 montant charges patronales</t>
  </si>
  <si>
    <t>Autres impôts et taxes</t>
  </si>
  <si>
    <t>Nombre de mois de présence sur l'année</t>
  </si>
  <si>
    <t>coûts salarié 1 (VP)</t>
  </si>
  <si>
    <t>Amortissements et provisions</t>
  </si>
  <si>
    <t>Salarié 2 salaire Brut mensuel moyen y compris prime</t>
  </si>
  <si>
    <t>Résultat d'exploitation</t>
  </si>
  <si>
    <t>Salarié 2 montant charges patronales</t>
  </si>
  <si>
    <t>Résultat financier</t>
  </si>
  <si>
    <t>coûts salarié 2 (AL com)</t>
  </si>
  <si>
    <t xml:space="preserve">Résultat exceptionnel </t>
  </si>
  <si>
    <t>Salarié 3 salaire Brut mensuel moyen y compris prime</t>
  </si>
  <si>
    <t>Salarié 3 montant charges patronales</t>
  </si>
  <si>
    <t>Impôt sur les sociétés</t>
  </si>
  <si>
    <t>coûts salarié 3 (NB com)</t>
  </si>
  <si>
    <t>Résultat net</t>
  </si>
  <si>
    <t>Salarié 4 salaire Brut mensuel moyen y compris pime</t>
  </si>
  <si>
    <t>Salarié 4 montant charges patronales</t>
  </si>
  <si>
    <t>coûts salarié 4 (RB com)</t>
  </si>
  <si>
    <t>Déficit reportable</t>
  </si>
  <si>
    <t>Résultat avant impot</t>
  </si>
  <si>
    <t>Salarié 5 salaire Brut mensuel moyen y compris prime</t>
  </si>
  <si>
    <t>Base imposable</t>
  </si>
  <si>
    <t>Salarié 5 montant charges patronales</t>
  </si>
  <si>
    <t>IS</t>
  </si>
  <si>
    <t>coûts salarié 5 (JJ adv)</t>
  </si>
  <si>
    <t>Salarié 6 salaire Brut moyen y compris prime</t>
  </si>
  <si>
    <t>Salarié 6 montant charges patronales</t>
  </si>
  <si>
    <t>coûts salarié 6</t>
  </si>
  <si>
    <t>TOTAL MASSE SALARIALE</t>
  </si>
  <si>
    <t>Données prévisionnelles ou connues (à mettre à jour)</t>
  </si>
  <si>
    <t>Factures en compta (à mettre à jour)</t>
  </si>
  <si>
    <t>cut-off Chiffre d'affaires</t>
  </si>
  <si>
    <t>Cut-off charges</t>
  </si>
  <si>
    <t>Marges</t>
  </si>
  <si>
    <t>Chiffre d'affaires HT</t>
  </si>
  <si>
    <t>Frais de dossiers HT</t>
  </si>
  <si>
    <t>Reste à comptabiliser</t>
  </si>
  <si>
    <t>% de marge nette</t>
  </si>
  <si>
    <t>Solde compte de charges</t>
  </si>
  <si>
    <t>Étape  ↑</t>
  </si>
  <si>
    <t>Nom du projet</t>
  </si>
  <si>
    <t>Facture vente finale faite</t>
  </si>
  <si>
    <t>Statut chantier</t>
  </si>
  <si>
    <t>% Avancement</t>
  </si>
  <si>
    <t>Prix convenu (chiffre d'affaires) HT</t>
  </si>
  <si>
    <t>Montant avenants HT</t>
  </si>
  <si>
    <t>Prix actualisé HT net de SASA</t>
  </si>
  <si>
    <t>SASA dans le projet HT</t>
  </si>
  <si>
    <t>Redevances Mikit</t>
  </si>
  <si>
    <t>Redevances Pub</t>
  </si>
  <si>
    <t>Honoraires MIKIT</t>
  </si>
  <si>
    <t>Sous-traitance MKT</t>
  </si>
  <si>
    <t>Honoraires courtage HT</t>
  </si>
  <si>
    <t>SASA HT</t>
  </si>
  <si>
    <t>Redevance MIKIT</t>
  </si>
  <si>
    <t>Redevance Pub MIKIT</t>
  </si>
  <si>
    <t>Honoraires MKT</t>
  </si>
  <si>
    <t>FAE CA</t>
  </si>
  <si>
    <t>FAE dossiers assurance</t>
  </si>
  <si>
    <t>FAE SASA</t>
  </si>
  <si>
    <t>AAE SASA</t>
  </si>
  <si>
    <t>Redevance MIKIT 6% FNP</t>
  </si>
  <si>
    <t>Redevance MIKIT CCA</t>
  </si>
  <si>
    <t>Redevance pub MIKIT 2.5% FNP</t>
  </si>
  <si>
    <t>Redevance pub MIKIT CCA</t>
  </si>
  <si>
    <t>Honoraires MIKIT FNP</t>
  </si>
  <si>
    <t>Sous-traitance FNP MKT</t>
  </si>
  <si>
    <t>Frais courtage  CCA</t>
  </si>
  <si>
    <t>Marge totale chantier HT</t>
  </si>
  <si>
    <t>Marges constatées N-1</t>
  </si>
  <si>
    <t>Marges 2026 HT</t>
  </si>
  <si>
    <t>CA Total HT</t>
  </si>
  <si>
    <t>CA constaté N-1</t>
  </si>
  <si>
    <t>CA 2026 HT</t>
  </si>
  <si>
    <t>CA  2024 HT</t>
  </si>
  <si>
    <t>CA à comptabiliser € HT</t>
  </si>
  <si>
    <t>marge à comptabiliser € HT</t>
  </si>
  <si>
    <t>SS MKT</t>
  </si>
  <si>
    <t>SS MKT N-1</t>
  </si>
  <si>
    <t>SS MKT N</t>
  </si>
  <si>
    <t>Hono MKT</t>
  </si>
  <si>
    <t>Hono MKT N-1</t>
  </si>
  <si>
    <t>Hono MKT N</t>
  </si>
  <si>
    <t>Fond Mikit</t>
  </si>
  <si>
    <t>Fond Mikit N-1</t>
  </si>
  <si>
    <t>Fond Mikit N</t>
  </si>
  <si>
    <t>Pub Mikit</t>
  </si>
  <si>
    <t>Pub Mikit N-1</t>
  </si>
  <si>
    <t>Pub Mikit N</t>
  </si>
  <si>
    <t>Commissions</t>
  </si>
  <si>
    <t>Commissions N-1</t>
  </si>
  <si>
    <t>Commissions N</t>
  </si>
  <si>
    <t>Projet Beilvert / Voguet Vivoin</t>
  </si>
  <si>
    <t>non</t>
  </si>
  <si>
    <t>1.1 Administratif validé prêt à ouvrir</t>
  </si>
  <si>
    <t>Projet Moulineuf / Jouie Rouessé-Vassé</t>
  </si>
  <si>
    <t>Projet Charlong /  Vivoin</t>
  </si>
  <si>
    <t>Projet Macé /  Vion</t>
  </si>
  <si>
    <t>Projet Serafin / Serafin Changé</t>
  </si>
  <si>
    <t>Projet Tekougom /  Bonnétable</t>
  </si>
  <si>
    <t>Projet Attoumani / Attoumani Voivres Lès Le Mans</t>
  </si>
  <si>
    <t>Projet Millard / Lebeau Crosmières</t>
  </si>
  <si>
    <t>Projet Touati / Touati Fyé</t>
  </si>
  <si>
    <t>Projet Chevereau / Pichard Allonnes</t>
  </si>
  <si>
    <t>Projet Mançon /  Ceton</t>
  </si>
  <si>
    <t>Projet Delaunay / Blet Vaas</t>
  </si>
  <si>
    <t>Projet Partaud / Partaud Mulsanne</t>
  </si>
  <si>
    <t>6. Mise hors d'eau</t>
  </si>
  <si>
    <t>Projet Protin / Subranne St Jean de la Motte</t>
  </si>
  <si>
    <t>Projet Chafiol / Chafiol Ecommoy</t>
  </si>
  <si>
    <t>9. Réception</t>
  </si>
  <si>
    <t>Projet Bigaret / Cheniour St Jean de la Motte</t>
  </si>
  <si>
    <t>Projet VIPA Immo /  Allonnes</t>
  </si>
  <si>
    <t>Projet Cardoso / Ryckewaert Epuisay</t>
  </si>
  <si>
    <t>Projet Journaux / Thinard Meurcé</t>
  </si>
  <si>
    <t>5. Achèvement des murs</t>
  </si>
  <si>
    <t>Projet Moreau / Moreau Montfort Le Gesnois</t>
  </si>
  <si>
    <t>Projet Toin / Brault Saint Remy De Sillé</t>
  </si>
  <si>
    <t>Projet Ikia /  La Ferté Bernard</t>
  </si>
  <si>
    <t>Projet Hugou / Hugou Villiers sur Loir</t>
  </si>
  <si>
    <t>7. Livraison de kits et ravalement</t>
  </si>
  <si>
    <t>Sous-total</t>
  </si>
  <si>
    <t>Total</t>
  </si>
  <si>
    <t>Redevances fondations</t>
  </si>
  <si>
    <t>Marges 2025 HT</t>
  </si>
  <si>
    <t>CA  2025 HT</t>
  </si>
  <si>
    <t>Projet Péan / Lochet Saint Jean de la Motte</t>
  </si>
  <si>
    <t>Ne pas prendre en compte</t>
  </si>
  <si>
    <t>Projet Forgerou /  Montaillé</t>
  </si>
  <si>
    <t>Projet Lesimple / Lesimple Ellon Nonant</t>
  </si>
  <si>
    <t>Projet Jeudi / Jeudi Ravigny</t>
  </si>
  <si>
    <t>Projet Touchard / Touchard Vivoin</t>
  </si>
  <si>
    <t>Projet Cimoli / Grenier St Jean de la Motte</t>
  </si>
  <si>
    <t>Projet Julien / Julien Vivoin</t>
  </si>
  <si>
    <t>Projet Clément / Clerc Lombron</t>
  </si>
  <si>
    <t>Projet Corvasier / Lorin Ecommoy</t>
  </si>
  <si>
    <t>Projet Tridon / Tranchard Laigné Saint Gervais</t>
  </si>
  <si>
    <t>Projet Triboté /  Saint Ouen de Mimbré</t>
  </si>
  <si>
    <t>Projet Souef / Souef Ambrières les Vallées</t>
  </si>
  <si>
    <t>Projet Girard / Girard Connerré</t>
  </si>
  <si>
    <t>Projet Dreux / Dreux Chemillé sur Dême</t>
  </si>
  <si>
    <t>Projet Blanchard / Théo Montfort le Gesnois</t>
  </si>
  <si>
    <t>4. Assurances</t>
  </si>
  <si>
    <t>Projet Paradis /  Allonnes</t>
  </si>
  <si>
    <t>Chantiers N Livrés N</t>
  </si>
  <si>
    <t>Projet Tilliet / Pecqueur Vaas</t>
  </si>
  <si>
    <t>Projet Bernard / Bernard Meurcé</t>
  </si>
  <si>
    <t>Projet Pluquin / Girard Valframbert</t>
  </si>
  <si>
    <t>Projet Cordola / Ouvrard Longnes</t>
  </si>
  <si>
    <t>oui</t>
  </si>
  <si>
    <t>Chantier Adame / Saïd Neuville sur Sarthe</t>
  </si>
  <si>
    <t>Chantiers N-1 Livrés N</t>
  </si>
  <si>
    <t>Chantier Renard Volnay</t>
  </si>
  <si>
    <t>Chantier Furia /  Vivoin</t>
  </si>
  <si>
    <t>Chantier Lepetit / Ménagé Fercé sur Sarthe</t>
  </si>
  <si>
    <t>Chantier Attané / Attané Ecommoy</t>
  </si>
  <si>
    <t>Chantier Kong / Luy Vivoin</t>
  </si>
  <si>
    <t>Projet Froger /  Saint-Ouen-en-Belin</t>
  </si>
  <si>
    <t>Chantier Ségouin / Ségouin Vivoin</t>
  </si>
  <si>
    <t>Chantier Poulio /  Mulsanne</t>
  </si>
  <si>
    <t>Projet Diallo / Diallo Ecommoy</t>
  </si>
  <si>
    <t>Projet Huet / Butet La Suze sur Sarthe</t>
  </si>
  <si>
    <t>Projet Génot /  Sceaux-sur-Huisne</t>
  </si>
  <si>
    <t>Chantier Maweze Kimba / Maweze Kimba Alençon</t>
  </si>
  <si>
    <t>Chantier Zai / Zai Alencon</t>
  </si>
  <si>
    <t>Données prévisionnelles ou connues (à mettre à jour )</t>
  </si>
  <si>
    <t>Sous-traiance MKT</t>
  </si>
  <si>
    <t>Marges 2024 HT</t>
  </si>
  <si>
    <t>Projet Hérisson / Mercier La Bruère sur Loir</t>
  </si>
  <si>
    <t>1. Offre de financement</t>
  </si>
  <si>
    <t>Projet Lucas / Huguet Vivoin</t>
  </si>
  <si>
    <t>Projet Lemaire / Gueranger Yvré-le-Pôlin</t>
  </si>
  <si>
    <t>Projet Da Fonseca / Lamento Mulsanne</t>
  </si>
  <si>
    <t>Chantier Baujard / Denis La Suze sur Sarthe</t>
  </si>
  <si>
    <t>Projet Poulio /  Mulsanne</t>
  </si>
  <si>
    <t>3. Fondations coulées</t>
  </si>
  <si>
    <t>5. Mise hors d'eau</t>
  </si>
  <si>
    <t>4. Achèvement des murs</t>
  </si>
  <si>
    <t>Chantiers livrés</t>
  </si>
  <si>
    <t>Chantier Moussa / Mouhamadi Sidi Mari Fercé-sur-Sarthe</t>
  </si>
  <si>
    <t>7. Réceptions</t>
  </si>
  <si>
    <t>Chantier Berthe / Evuort Vivoin</t>
  </si>
  <si>
    <t>Chantier Tamisier / Tronchet Neufchâtel-en-Saosnois</t>
  </si>
  <si>
    <t>Chantier Garcia / Garcia La Suze sur Sarthe</t>
  </si>
  <si>
    <t>Chantier Vanier Breillon / Vanier Breillon La Chapelle d'Aligné</t>
  </si>
  <si>
    <t>Chantier Tessier - 72 Luce sous Ballon</t>
  </si>
  <si>
    <t>Chantier Ridony / Jean-Charles - 72 Ecommoy</t>
  </si>
  <si>
    <t>Chantier Rajoel / Rojo Prévelle</t>
  </si>
  <si>
    <t>Chantier Beaujeon / Blot La Flèche</t>
  </si>
  <si>
    <t>Chantier Renard / Renard La Flèche</t>
  </si>
  <si>
    <t>OK</t>
  </si>
  <si>
    <t>PRÉVISIONNEL DE TRÉSORERIE 2026 — VPRDS HOME SOLUTIONS</t>
  </si>
  <si>
    <t>Montants en k€ TTC — Cellules jaunes = à saisir manuellement — Formules liées à 'Tréso chantiers' et 'Projection P&amp;L'</t>
  </si>
  <si>
    <t>Poste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</si>
  <si>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</si>
  <si>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</si>
  <si>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</si>
  <si>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</si>
  <si>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</si>
  <si>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</si>
  <si>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</si>
  <si>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</si>
  <si>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</si>
  <si>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</si>
  <si>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</si>
  <si>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</si>
  <si>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TRÉSORERIE D'OUVERTURE</t>
  </si>
  <si>
    <t>Trésorerie d'ouverture (k€)</t>
  </si>
  <si>
    <t>ENCAISSEMENTS TTC (k€)</t>
  </si>
  <si>
    <t>ADF + soldes de marge chantiers</t>
  </si>
  <si>
    <t>Autres produits / subventions</t>
  </si>
  <si>
    <t>Emprunts débloqués</t>
  </si>
  <si>
    <t>Total encaissements</t>
  </si>
  <si>
    <t>DÉCAISSEMENTS TTC (k€)</t>
  </si>
  <si>
    <t>Frais généraux TTC (/12)</t>
  </si>
  <si>
    <t>Masse salariale charges comprises (/12)</t>
  </si>
  <si>
    <t>TVA nette à reverser (– si crédit TVA)</t>
  </si>
  <si>
    <t>IS — acomptes provisionnels (k€)</t>
  </si>
  <si>
    <t>CFE / CVAE / autres taxes</t>
  </si>
  <si>
    <t>Remboursement emprunt</t>
  </si>
  <si>
    <t>Dividendes</t>
  </si>
  <si>
    <t>Fournisseurs en retard (à saisir)</t>
  </si>
  <si>
    <t>Total décaissements</t>
  </si>
  <si>
    <t>SOLDES (k€)</t>
  </si>
  <si>
    <t>Variation de trésorerie du mois</t>
  </si>
  <si>
    <t>Trésorerie prévisionnelle de clôture</t>
  </si>
  <si>
    <t>Solde réel en banque (à saisir)</t>
  </si>
  <si>
    <t>Jaune = saisie manuelle | Vert = encaissement | Rouge = décaissement | Bleu = solde | Noir = formule liée</t>
  </si>
  <si>
    <t>Chantiers</t>
  </si>
  <si>
    <t>Statut du chantier</t>
  </si>
  <si>
    <t>Encaissé</t>
  </si>
  <si>
    <t>Encaissé par qui</t>
  </si>
  <si>
    <t>Montant</t>
  </si>
  <si>
    <t>Statut</t>
  </si>
  <si>
    <t>Encaisseur</t>
  </si>
  <si>
    <t>Montant €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</si>
  <si>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</si>
  <si>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</si>
  <si>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</si>
  <si>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</si>
  <si>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</si>
  <si>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</si>
  <si>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</si>
  <si>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</si>
  <si>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</si>
  <si>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</si>
  <si>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</si>
  <si>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</si>
  <si>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</si>
  <si>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</si>
  <si>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</si>
  <si>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</si>
  <si>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</si>
  <si>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</si>
  <si>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</si>
  <si>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</si>
  <si>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</si>
  <si>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</si>
  <si>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</si>
  <si>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</si>
  <si>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</si>
  <si>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</si>
  <si>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Montant restant à recevoir net de TVA</t>
  </si>
  <si>
    <t>TVA collectée sur chantiers (décalée d'1 mois)</t>
  </si>
  <si>
    <t>Chantier ADÉLAÏDE SÉGOUIN — Segouin Segouin</t>
  </si>
  <si>
    <t>Chantier livré</t>
  </si>
  <si>
    <t>1.Acompte</t>
  </si>
  <si>
    <t>Franchise</t>
  </si>
  <si>
    <t>SASA à déduire</t>
  </si>
  <si>
    <t>2.Ouverture de chantier</t>
  </si>
  <si>
    <t>3.Achèvement des fondations</t>
  </si>
  <si>
    <t>Red Fondations</t>
  </si>
  <si>
    <t>4.Assurances</t>
  </si>
  <si>
    <t>5.Achèvement des murs</t>
  </si>
  <si>
    <t>MKT Promotion</t>
  </si>
  <si>
    <t>6.Mise hors d'eau</t>
  </si>
  <si>
    <t>Red Pub Fondations</t>
  </si>
  <si>
    <t>7.Livraison de kits et ravalement</t>
  </si>
  <si>
    <t>9.Réception</t>
  </si>
  <si>
    <t>Solde de marge</t>
  </si>
  <si>
    <t>Chantier CÉDRIC FURIA — Furia</t>
  </si>
  <si>
    <t>Chantier PAULINE FROGER — Pauline Froger</t>
  </si>
  <si>
    <t>Chantier MYLENE GÉNOT — Genot</t>
  </si>
  <si>
    <t>Chantier WILLIAM POULIO — Poulio</t>
  </si>
  <si>
    <t>Chantier MARGOT CORDOLA — Cordola Ouvrard</t>
  </si>
  <si>
    <t>Chantier NOUDHOURATI ADAME — Adame Said</t>
  </si>
  <si>
    <t>Chantier MOUSTAPHA DIALLO — Diallo</t>
  </si>
  <si>
    <t>Chantier EDDY BERNARD — Bernard Bernard</t>
  </si>
  <si>
    <t>Chantier CHRISTOPHER PLUQUIN — Pluquin Girard</t>
  </si>
  <si>
    <t>Chantier AMANDINE HUGOU — Hugou Hugou</t>
  </si>
  <si>
    <t>Chantier en cours</t>
  </si>
  <si>
    <t>Chantier ALEXIA HUET — Huet Butet</t>
  </si>
  <si>
    <t>Chantier CHARLOTTE TILLIET — Tilliet Pecqueur</t>
  </si>
  <si>
    <t>Chantier FLORIANE CHAFIOL — Chafiol Chafiol</t>
  </si>
  <si>
    <t>Chantier MÉLANIE JOURNAUX — Journaux Thinard</t>
  </si>
  <si>
    <t>Chantier DANIEL TOIN — Toin Brault</t>
  </si>
  <si>
    <t>Chantier KIMBERLEY LEPETIT — Lepetit Menage</t>
  </si>
  <si>
    <t>Chantier CYNTHIA PARTAUD — Partaud Partaud</t>
  </si>
  <si>
    <t>Chantier LUCIE BIGARET — Bigaret Cheniour</t>
  </si>
  <si>
    <t>Chantier NICOLAS PROTIN — Protin Subranne</t>
  </si>
  <si>
    <t>Chantier ADRIEN CARDOSO — Cardoso Ryckewaert</t>
  </si>
  <si>
    <t>Chantier KIMBERLEY MOREAU — Moreau Moreau</t>
  </si>
  <si>
    <t>Chantier TITELCHA IKIA — Ikia</t>
  </si>
  <si>
    <t>Chantier LAURENE DELAUNAY — Delaunay Blet</t>
  </si>
  <si>
    <t>CHARGES RÉELLES — 2026  (Grand livre — formules dynamiques)</t>
  </si>
  <si>
    <t>TOTAL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</si>
  <si>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</si>
  <si>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</si>
  <si>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</si>
  <si>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</si>
  <si>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</si>
  <si>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</si>
  <si>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</si>
  <si>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</si>
  <si>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</si>
  <si>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</si>
  <si>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</si>
  <si>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</si>
  <si>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Données jan-mar 2026 — colonnes grises = mois non encore dans le GL — se met à jour automatiquement</t>
  </si>
  <si>
    <t>FRAIS GÉNÉRAUX</t>
  </si>
  <si>
    <t>Achats non stockés</t>
  </si>
  <si>
    <t>Maintenance et entretien</t>
  </si>
  <si>
    <t>Impôts et taxes</t>
  </si>
  <si>
    <t>Charges financières</t>
  </si>
  <si>
    <t>Autres charges diverses</t>
  </si>
  <si>
    <t>Total Frais généraux</t>
  </si>
  <si>
    <t>MASSE SALARIALE</t>
  </si>
  <si>
    <t>Total masse salariale (GL)</t>
  </si>
  <si>
    <t xml:space="preserve">  dont VP (Direction)</t>
  </si>
  <si>
    <t xml:space="preserve">  dont AL (Commercial)</t>
  </si>
  <si>
    <t xml:space="preserve">  dont NB (Commercial)</t>
  </si>
  <si>
    <t xml:space="preserve">  dont RB (Commercial)</t>
  </si>
  <si>
    <t xml:space="preserve">  dont JJ (ADV)</t>
  </si>
  <si>
    <t xml:space="preserve">  dont MM (Commercial)</t>
  </si>
  <si>
    <t>↑ Lignes jaunes : saisie manuelle du détail par salarié</t>
  </si>
  <si>
    <t>Total Masse salariale</t>
  </si>
  <si>
    <t>TOTAL CHARGES (hors frais chantiers)</t>
  </si>
  <si>
    <t>CHARGES RÉELLES — 2025  (Grand livre — formules dynamiques)</t>
  </si>
  <si>
    <t>COMPTE DE RÉSULTAT  —  VPRDS Home Solutions</t>
  </si>
  <si>
    <t>Mois écoulés :</t>
  </si>
  <si>
    <t>/ 12</t>
  </si>
  <si>
    <t>Soldes intermédiaires de gestion</t>
  </si>
  <si>
    <t>Budget annuel</t>
  </si>
  <si>
    <t>Écart</t>
  </si>
  <si>
    <t>% réalisé</t>
  </si>
  <si>
    <t>1. Chiffre d'affaires et marge de production</t>
  </si>
  <si>
    <t>Chiffre d'affaires travaux HT</t>
  </si>
  <si>
    <t xml:space="preserve">  Charges variables chantiers (CA - Marge)</t>
  </si>
  <si>
    <t>▶  Marge de production</t>
  </si>
  <si>
    <t>2. Coût de structure</t>
  </si>
  <si>
    <t xml:space="preserve">  Masse salariale</t>
  </si>
  <si>
    <t xml:space="preserve">  Frais généraux</t>
  </si>
  <si>
    <t>▶  Coût de structure total</t>
  </si>
  <si>
    <t>▶  Résultat d'exploitation</t>
  </si>
  <si>
    <t>3. Résultat financier</t>
  </si>
  <si>
    <t xml:space="preserve">  Charges financières (intérêts emprunts)</t>
  </si>
  <si>
    <t>▶  Résultat net avant IS</t>
  </si>
  <si>
    <t>Sources : CA et marge → Suivi 2026 (avancement déclaratif). Charges → Grand livre GL. Budget → Projection P&amp;L. Modifier la cellule I1 pour changer la période.</t>
  </si>
  <si>
    <t>COMPARATIF PRÉVISIONNEL / RÉEL 2026  —  Frais généraux &amp; Masse salariale</t>
  </si>
  <si>
    <t>Période GL : jan-mars 2026 (3 mois sur 12 = 25%)  |  Budget source : Projection P&amp;L</t>
  </si>
  <si>
    <t>Budget prorata 25%</t>
  </si>
  <si>
    <t>Réel jan-mar</t>
  </si>
  <si>
    <t>Écart vs prorata</t>
  </si>
  <si>
    <t>450,600 €</t>
  </si>
  <si>
    <t>112,650 €</t>
  </si>
  <si>
    <t>93,514 €</t>
  </si>
  <si>
    <t>-19,136 €</t>
  </si>
  <si>
    <t>% consommé</t>
  </si>
  <si>
    <t>Dépassement</t>
  </si>
  <si>
    <t>Marketing et Communication</t>
  </si>
  <si>
    <t>Attention</t>
  </si>
  <si>
    <t>Voyages et déplacements</t>
  </si>
  <si>
    <t>Téléphonie et frais bancaires</t>
  </si>
  <si>
    <t>Non budgété</t>
  </si>
  <si>
    <t>Masse salariale</t>
  </si>
  <si>
    <t>Masse salariale totale</t>
  </si>
  <si>
    <t>TOTAL CHARGES</t>
  </si>
  <si>
    <t>Légende : OK ≤100%  |  Attention 100-130%  |  Dépassement &gt;130% du prorata annuel</t>
  </si>
  <si>
    <t>An</t>
  </si>
  <si>
    <t>Date</t>
  </si>
  <si>
    <t>Compte</t>
  </si>
  <si>
    <t>Libellé compte</t>
  </si>
  <si>
    <t>Libellé écriture</t>
  </si>
  <si>
    <t>Catégorie</t>
  </si>
  <si>
    <t>Sous-catégorie</t>
  </si>
  <si>
    <t>01/01/2025</t>
  </si>
  <si>
    <t>60611100000</t>
  </si>
  <si>
    <t>ELECTRICITE VEHICULES</t>
  </si>
  <si>
    <t>ELECTRICITE VEHICULE</t>
  </si>
  <si>
    <t>06/01/2025</t>
  </si>
  <si>
    <t>CHARGEMAP-TRANSPORT DE BIENS-FACTURE-20250106-03584477</t>
  </si>
  <si>
    <t>60630000000</t>
  </si>
  <si>
    <t>FOUR PT EQUIP. OUTILLAGE</t>
  </si>
  <si>
    <t>AMAZON EU SARL FR514TCLAEUI</t>
  </si>
  <si>
    <t>60640000000</t>
  </si>
  <si>
    <t>FOURNITURES ADMINISTRATIVES</t>
  </si>
  <si>
    <t>07/01/2025</t>
  </si>
  <si>
    <t>ADAPTATEUR MINI DISPLAY</t>
  </si>
  <si>
    <t>PIQUET TUTEURS EN BOIS</t>
  </si>
  <si>
    <t xml:space="preserve">CLOUS POUR BOIS </t>
  </si>
  <si>
    <t>SAC A OUTIL EN TOILE</t>
  </si>
  <si>
    <t>MADERAS SALCEDO S L -AUTRE MARCHANDISE-FACTURE-FR50000AWPVAFI</t>
  </si>
  <si>
    <t>TRIEUR POCHETTES DOCUMENTS</t>
  </si>
  <si>
    <t>10/01/2025</t>
  </si>
  <si>
    <t>BRICO DEPOT-AUTRE MARCHANDISE-FACTURE-7516616969</t>
  </si>
  <si>
    <t>REX ROTARY-FOURNITURE ADMINISTRATIVE-FACTURE-25-436403</t>
  </si>
  <si>
    <t>17/01/2025</t>
  </si>
  <si>
    <t xml:space="preserve">CHAISE DE BUREAU </t>
  </si>
  <si>
    <t>20/01/2025</t>
  </si>
  <si>
    <t>60611000000</t>
  </si>
  <si>
    <t>ELECTRICITE</t>
  </si>
  <si>
    <t>TOTALENERGIES ELECTRICITE ET GAZ FRANCE-ENERGIE-FACTURE-111004734709</t>
  </si>
  <si>
    <t>01/02/2025</t>
  </si>
  <si>
    <t>20/02/2025</t>
  </si>
  <si>
    <t>TOTALENERGIES ELECTRICITE ET GAZ FRANCE-ENERGIE-FACTURE-117002706565</t>
  </si>
  <si>
    <t>25/02/2025</t>
  </si>
  <si>
    <t>ACTION FRANCE-FOURNITURE ADMINISTRATIVE-FACTURE</t>
  </si>
  <si>
    <t>01/03/2025</t>
  </si>
  <si>
    <t>09/03/2025</t>
  </si>
  <si>
    <t>AMAZON EU S A R L/ POCHETTE RANGEMENT DOC</t>
  </si>
  <si>
    <t>13/03/2025</t>
  </si>
  <si>
    <t>JYSK/ TABLE DE CAMPING</t>
  </si>
  <si>
    <t>20/03/2025</t>
  </si>
  <si>
    <t>TOTALENERGIES ELECTRICITE ET GAZ FRANCE-ENERGIE-FACTURE-120002608662</t>
  </si>
  <si>
    <t>31/03/2025</t>
  </si>
  <si>
    <t>MIKIT FRANCE/ FOURNITURES DIVERSES</t>
  </si>
  <si>
    <t>01/04/2025</t>
  </si>
  <si>
    <t>10/04/2025</t>
  </si>
  <si>
    <t>BRICO DEPOT/ TUYAU ARROSAGE</t>
  </si>
  <si>
    <t>11/04/2025</t>
  </si>
  <si>
    <t>REX ROTARY-FOURNITURE ADMINISTRATIVE-FACTURE-25-512622</t>
  </si>
  <si>
    <t>20/04/2025</t>
  </si>
  <si>
    <t>TOTALENERGIES ELECTRICITE ET GAZ FRANCE-ENERGIE-FACTURE-112004757729</t>
  </si>
  <si>
    <t>23/04/2025</t>
  </si>
  <si>
    <t>BACK MARKET / MICOROSFT SURFACE PRO</t>
  </si>
  <si>
    <t xml:space="preserve">LEROYMERLINFRANCE/ VISIO DIRECT - BUREAU D'ANGLE </t>
  </si>
  <si>
    <t>30/04/2025</t>
  </si>
  <si>
    <t>DIGITAL CHARGING SOLUTIONS-ENERGIE-FACTURE-BFR00677642</t>
  </si>
  <si>
    <t>MIKIT FRANCE-AUTRE MARCHANDISE-FACTURE-FI04404</t>
  </si>
  <si>
    <t>PIXARTPRINTING / IMPRESSION COPIE</t>
  </si>
  <si>
    <t>01/05/2025</t>
  </si>
  <si>
    <t>02/05/2025</t>
  </si>
  <si>
    <t>CHARGEMAP-PARKING-FACTURE-2025-05-02-25.58</t>
  </si>
  <si>
    <t>08/05/2025</t>
  </si>
  <si>
    <t>AMAZON EU S A R L / POCHETTE POUR DOC</t>
  </si>
  <si>
    <t>20/05/2025</t>
  </si>
  <si>
    <t>TOTALENERGIES ELECTRICITE ET GAZ FRANCE-ENERGIE-FACTURE-108005293548</t>
  </si>
  <si>
    <t>23/05/2025</t>
  </si>
  <si>
    <t>DYSON 6234618753 / OK ASPIRATEUR ?</t>
  </si>
  <si>
    <t>28/05/2025</t>
  </si>
  <si>
    <t>BOCAGE / CHAUSSURE</t>
  </si>
  <si>
    <t>30/05/2025</t>
  </si>
  <si>
    <t xml:space="preserve">CARTE X7179 ZARA FRANCE LE MANS </t>
  </si>
  <si>
    <t>31/05/2025</t>
  </si>
  <si>
    <t>DIGITAL CHARGING SOLUTIONS GMBH BFR00708350</t>
  </si>
  <si>
    <t>01/06/2025</t>
  </si>
  <si>
    <t>02/06/2025</t>
  </si>
  <si>
    <t>CHARGEMAP-ENERGIE-FACTURE-20250602-04352313</t>
  </si>
  <si>
    <t>03/06/2025</t>
  </si>
  <si>
    <t>LYRECO / PDTS D'ENTRETIEN</t>
  </si>
  <si>
    <t>LYRECO / FEUILLE A3 + CARTOUCHE + CRAYON</t>
  </si>
  <si>
    <t>20/06/2025</t>
  </si>
  <si>
    <t>TOTALENERGIES ELECTRICITE ET GAZ FRANCE-ENERGIE-FACTURE-103006084478</t>
  </si>
  <si>
    <t>60612000000</t>
  </si>
  <si>
    <t>Eau</t>
  </si>
  <si>
    <t>LE MANS METROPOLE COMMUNAUTE URBAINE-ENERGIE-FACTURE-17/0 2500170003913</t>
  </si>
  <si>
    <t>30/06/2025</t>
  </si>
  <si>
    <t>DIGITAL CHARGING SOLUTIONS-LOGICIEL SAAS-FACTURE-BFR00739817</t>
  </si>
  <si>
    <t>01/07/2025</t>
  </si>
  <si>
    <t>WEB VINCENT PARADIS CRED NOTE DE FRAIS / ELEC 2024 RATTRAPAGE</t>
  </si>
  <si>
    <t>WEB VINCENT PARADIS CRED NOTE DE FRAIS / ELEC S1 2025</t>
  </si>
  <si>
    <t>AMAZON / OLIVIER ARTIFICIELLE</t>
  </si>
  <si>
    <t>EXTOURNE / SKLUM MAUVAISE COMPTA CAR INTRA</t>
  </si>
  <si>
    <t>02/07/2025</t>
  </si>
  <si>
    <t>CHARGEMAP-LOGICIEL SAAS-FACTURE-20250702-04525394</t>
  </si>
  <si>
    <t>08/07/2025</t>
  </si>
  <si>
    <t>AMAZON EU S A R L - POCHETTE DOCUMENT</t>
  </si>
  <si>
    <t>11/07/2025</t>
  </si>
  <si>
    <t>REX ROTARY-FOURNITURE ADMINISTRATIVE-FACTURE-25-586934</t>
  </si>
  <si>
    <t>13/07/2025</t>
  </si>
  <si>
    <t>AMAZON EU S A R L - AVOIR POCHETTE POUR DOC</t>
  </si>
  <si>
    <t>20/07/2025</t>
  </si>
  <si>
    <t>TOTALENERGIES ELECTRICITE ET GAZ FRANCE-ENERGIE-FACTURE-106005713493</t>
  </si>
  <si>
    <t>LEROY MERLIN FRANCE-MATERIAU DE CONSTRUCTION-FACTURE-990022</t>
  </si>
  <si>
    <t>31/07/2025</t>
  </si>
  <si>
    <t>DIGITALCHARGINGSOLUTIONS</t>
  </si>
  <si>
    <t>01/08/2025</t>
  </si>
  <si>
    <t>02/08/2025</t>
  </si>
  <si>
    <t>CHARGEMAP-LOGICIEL SAAS-FACTURE-20250802-04719783</t>
  </si>
  <si>
    <t>20/08/2025</t>
  </si>
  <si>
    <t>TOTAL DIRECT ENERGIE 106005767054</t>
  </si>
  <si>
    <t>OKAMAC / MACBOOK AIR 13</t>
  </si>
  <si>
    <t>31/08/2025</t>
  </si>
  <si>
    <t>DIGITAL CHARGING SOLUTIONS-ENERGIE-FACTURE-BFR00806936</t>
  </si>
  <si>
    <t>01/09/2025</t>
  </si>
  <si>
    <t>MIKIT FRANCE- FOURNITURES DIVERSES</t>
  </si>
  <si>
    <t>02/09/2025</t>
  </si>
  <si>
    <t>CHARGEMAP-TRANSPORT DE BIENS-FACTURE-20250902-04928163</t>
  </si>
  <si>
    <t>06/09/2025</t>
  </si>
  <si>
    <t>AMAZON EU / TRIEUR</t>
  </si>
  <si>
    <t>08/09/2025</t>
  </si>
  <si>
    <t>ACTION 4725101-10462197/ ENROULEUR</t>
  </si>
  <si>
    <t>ACTION 406510170490446/ TABOURET + TABLE HAUTE</t>
  </si>
  <si>
    <t>20/09/2025</t>
  </si>
  <si>
    <t>TOTALENERGIES ELECTRICITE ET GAZ FRANCE-ENERGIE-FACTURE-108005508149</t>
  </si>
  <si>
    <t>30/09/2025</t>
  </si>
  <si>
    <t>DIGITAL CHARGING SOLUTIONS BFR00839960</t>
  </si>
  <si>
    <t>02/10/2025</t>
  </si>
  <si>
    <t>CHARGEMAP-LOGICIEL SAAS-FACTURE-20251002-05116971</t>
  </si>
  <si>
    <t>10/10/2025</t>
  </si>
  <si>
    <t>REX ROTARY-FOURNITURE ADMINISTRATIVE-FACTURE-25-654840</t>
  </si>
  <si>
    <t>16/10/2025</t>
  </si>
  <si>
    <t>REX ROTARY- CONSIGNE TONER</t>
  </si>
  <si>
    <t>18/10/2025</t>
  </si>
  <si>
    <t>BRICO DEPOT / TASSEAU + CONTREPLAQUE</t>
  </si>
  <si>
    <t>BRICO DEPOT 053405192 BLOC PORTE</t>
  </si>
  <si>
    <t>BRICO DEPOT MONTANT / PLAQUE HYDRO / ENDUIT</t>
  </si>
  <si>
    <t>20/10/2025</t>
  </si>
  <si>
    <t>TOTALENERGIES ELECTRICITE ET GAZ FRANCE-ENERGIE-FACTURE-129002465850</t>
  </si>
  <si>
    <t>31/10/2025</t>
  </si>
  <si>
    <t>DIGITAL CHARGING SOLUTIONS BFR00869937</t>
  </si>
  <si>
    <t>MIKIT FRANCE- FOURNITURE DIVERSE</t>
  </si>
  <si>
    <t>16/11/2025</t>
  </si>
  <si>
    <t>BRICO DEPOT- CONTREPLAQUE + PLINTHE</t>
  </si>
  <si>
    <t>L RICO DEPOT-MATERIAU DE CONSTRUCTION-FACTURE-000235700043475</t>
  </si>
  <si>
    <t>20/11/2025</t>
  </si>
  <si>
    <t>TOTALENERGIES ELECTRICITE ET GAZ FRANCE-ENERGIE-FACTURE-126002731570</t>
  </si>
  <si>
    <t>30/11/2025</t>
  </si>
  <si>
    <t>DIGITAL CHARGING SOLUTIONS GMBH BFR00899057</t>
  </si>
  <si>
    <t>08/12/2025</t>
  </si>
  <si>
    <t>LYRECO / DESTRUCTEUR + POCHETTE + CARTOUCHE</t>
  </si>
  <si>
    <t>AMAZON EU SARL- CARNET A SOUCHES</t>
  </si>
  <si>
    <t>18/12/2025</t>
  </si>
  <si>
    <t>LE MANS METROPOLE COMMUNAUTE URBAINE-ENERGIE-FACTURE-41/0 2500410003703 F/JM</t>
  </si>
  <si>
    <t>SUPER U / AGENDA</t>
  </si>
  <si>
    <t>20/12/2025</t>
  </si>
  <si>
    <t>TOTALENERGIES ELECTRICITE ET GAZ FRANCE-ENERGIE-FACTURE-113005084269</t>
  </si>
  <si>
    <t>31/12/2025</t>
  </si>
  <si>
    <t>MIKIT FRANCE- FOURNITURE DIVERSES</t>
  </si>
  <si>
    <t>68111000000</t>
  </si>
  <si>
    <t>Dot amort s/immo incorporelles</t>
  </si>
  <si>
    <t>DOTATION ÉCONOMIQUES DROIT D'ENTREE MIKIT JUIN 2025</t>
  </si>
  <si>
    <t>DOTATION ÉCONOMIQUES DROIT D'INTEGRATION MIKIT JUIN 2025</t>
  </si>
  <si>
    <t>68112000000</t>
  </si>
  <si>
    <t>Dot amort s/immo corporelles</t>
  </si>
  <si>
    <t>DOTATION ÉCONOMIQUES CELL ENSEIGNE JUIN 2025</t>
  </si>
  <si>
    <t>DOTATION ÉCONOMIQUES AGENCEMENT BUREAU SARTHE PEINTURE JUIN 2025</t>
  </si>
  <si>
    <t>DOTATION ÉCONOMIQUES MACBOOK 13 POUCES JUIN 2025</t>
  </si>
  <si>
    <t>DOTATION ÉCONOMIQUES IPHONE 14 RPO MAX JUIN 2025</t>
  </si>
  <si>
    <t>DOTATION ÉCONOMIQUES IPAD + CLAVIER JUIN 2025</t>
  </si>
  <si>
    <t>DOTATION ÉCONOMIQUES MOBILIER SKLUM (BUREAU + TABLE + CHAISE) JUIN 2025</t>
  </si>
  <si>
    <t>DOTATION ÉCONOMIQUES REFRIGERATEUR JUIN 2025</t>
  </si>
  <si>
    <t>DOTATION ÉCONOMIQUES EXPRESSO PHILIPS JUIN 2025</t>
  </si>
  <si>
    <t>DOTATION ÉCONOMIQUES BUREAU EN BOIS TALUK JUIN 2025</t>
  </si>
  <si>
    <t>DOTATION ÉCONOMIQUES CANAPE LIT 2 PLACES EN TISSU ARUBA JUIN 2025</t>
  </si>
  <si>
    <t>DOTATION ÉCONOMIQUES TV ANDROID TCL JUIN 2025</t>
  </si>
  <si>
    <t>DOTATION ÉCONOMIQUES TV UHD 4K HISENSE JUIN 2025</t>
  </si>
  <si>
    <t>DOTATION ÉCONOMIQUES MEUBLE IKEA JUIN 2025</t>
  </si>
  <si>
    <t>DOTATION ÉCONOMIQUES BOULANGER - MAC BOOK PRO JUIN 2025</t>
  </si>
  <si>
    <t>DOTATION ÉCONOMIQUES SKLUM - CANAPE JUIN 2025</t>
  </si>
  <si>
    <t>68710000000</t>
  </si>
  <si>
    <t>Dot amort except / immo</t>
  </si>
  <si>
    <t>DOTATIONS EXCEPTIONNELLES MACBOOK 13 POUCES JUIN 2025</t>
  </si>
  <si>
    <t>DOTATIONS EXCEPTIONNELLES CANAPE LIT 2 PLACES EN TISSU ARUBA JUIN 2025</t>
  </si>
  <si>
    <t>EXTOURNE DOTATION ÉCONOMIQUES DROIT D'ENTREE MIKIT JUIN 2025</t>
  </si>
  <si>
    <t>EXTOURNE DOTATION ÉCONOMIQUES DROIT D'INTEGRATION MIKIT JUIN 2025</t>
  </si>
  <si>
    <t>EXTOURNE DOTATION ÉCONOMIQUES IPAD + CLAVIER JUIN 2025</t>
  </si>
  <si>
    <t>EXTOURNE DOTATION ÉCONOMIQUES BUREAU EN BOIS TALUK JUIN 2025</t>
  </si>
  <si>
    <t>EXTOURNE DOTATION ÉCONOMIQUES IPHONE 14 RPO MAX JUIN 2025</t>
  </si>
  <si>
    <t>EXTOURNE DOTATION ÉCONOMIQUES TV ANDROID TCL JUIN 2025</t>
  </si>
  <si>
    <t>EXTOURNE DOTATION ÉCONOMIQUES TV UHD 4K HISENSE JUIN 2025</t>
  </si>
  <si>
    <t>EXTOURNE DOTATION ÉCONOMIQUES MACBOOK 13 POUCES JUIN 2025</t>
  </si>
  <si>
    <t>EXTOURNE DOTATION ÉCONOMIQUES MOBILIER SKLUM (BUREAU + TABLE + CHAISE) JUIN 2025</t>
  </si>
  <si>
    <t>EXTOURNE DOTATION ÉCONOMIQUES MEUBLE IKEA JUIN 2025</t>
  </si>
  <si>
    <t>EXTOURNE DOTATION ÉCONOMIQUES CELL ENSEIGNE JUIN 2025</t>
  </si>
  <si>
    <t>EXTOURNE DOTATION ÉCONOMIQUES AGENCEMENT BUREAU SARTHE PEINTURE JUIN 2025</t>
  </si>
  <si>
    <t>EXTOURNE DOTATION ÉCONOMIQUES REFRIGERATEUR JUIN 2025</t>
  </si>
  <si>
    <t>EXTOURNE DOTATION ÉCONOMIQUES EXPRESSO PHILIPS JUIN 2025</t>
  </si>
  <si>
    <t>EXTOURNE DOTATION ÉCONOMIQUES CANAPE LIT 2 PLACES EN TISSU ARUBA JUIN 2025</t>
  </si>
  <si>
    <t>EXTOURNE DOTATION ÉCONOMIQUES BOULANGER - MAC BOOK PRO JUIN 2025</t>
  </si>
  <si>
    <t>EXTOURNE DOTATION ÉCONOMIQUES SKLUM - CANAPE JUIN 2025</t>
  </si>
  <si>
    <t>EXTOURNE DOTATIONS EXCEPTIONNELLES MACBOOK 13 POUCES JUIN 2025</t>
  </si>
  <si>
    <t>EXTOURNE DOTATIONS EXCEPTIONNELLES CANAPE LIT 2 PLACES EN TISSU ARUBA JUIN 2025</t>
  </si>
  <si>
    <t>DOTATION ÉCONOMIQUES DROIT D'ENTREE MIKIT DÉC. 2025</t>
  </si>
  <si>
    <t>DOTATION ÉCONOMIQUES DROIT D'INTEGRATION MIKIT DÉC. 2025</t>
  </si>
  <si>
    <t>DOTATION ÉCONOMIQUES CELL ENSEIGNE DÉC. 2025</t>
  </si>
  <si>
    <t>DOTATION ÉCONOMIQUES AGENCEMENT BUREAU SARTHE PEINTURE DÉC. 2025</t>
  </si>
  <si>
    <t>DOTATION ÉCONOMIQUES MACBOOK 13 POUCES DÉC. 2025</t>
  </si>
  <si>
    <t>DOTATION ÉCONOMIQUES IPHONE 14 RPO MAX DÉC. 2025</t>
  </si>
  <si>
    <t>DOTATION ÉCONOMIQUES IPAD + CLAVIER DÉC. 2025</t>
  </si>
  <si>
    <t>DOTATION ÉCONOMIQUES MOBILIER SKLUM (BUREAU + TABLE + CHAISE) DÉC. 2025</t>
  </si>
  <si>
    <t>DOTATION ÉCONOMIQUES REFRIGERATEUR DÉC. 2025</t>
  </si>
  <si>
    <t>DOTATION ÉCONOMIQUES EXPRESSO PHILIPS DÉC. 2025</t>
  </si>
  <si>
    <t>DOTATION ÉCONOMIQUES BUREAU EN BOIS TALUK DÉC. 2025</t>
  </si>
  <si>
    <t>DOTATION ÉCONOMIQUES CANAPE LIT 2 PLACES EN TISSU ARUBA DÉC. 2025</t>
  </si>
  <si>
    <t>DOTATION ÉCONOMIQUES TV ANDROID TCL DÉC. 2025</t>
  </si>
  <si>
    <t>DOTATION ÉCONOMIQUES TV UHD 4K HISENSE DÉC. 2025</t>
  </si>
  <si>
    <t>DOTATION ÉCONOMIQUES MEUBLE IKEA DÉC. 2025</t>
  </si>
  <si>
    <t>DOTATION ÉCONOMIQUES BOULANGER - MAC BOOK PRO DÉC. 2025</t>
  </si>
  <si>
    <t>DOTATION ÉCONOMIQUES SKLUM - CANAPE DÉC. 2025</t>
  </si>
  <si>
    <t>DOTATION ÉCONOMIQUES APPLE IPHONE 17 DÉC. 2025</t>
  </si>
  <si>
    <t>DOTATIONS EXCEPTIONNELLES MACBOOK 13 POUCES DÉC. 2025</t>
  </si>
  <si>
    <t>DOTATIONS EXCEPTIONNELLES CANAPE LIT 2 PLACES EN TISSU ARUBA DÉC. 2025</t>
  </si>
  <si>
    <t>61612000000</t>
  </si>
  <si>
    <t>ASS DECES INVALIDITE / EMPRUNT</t>
  </si>
  <si>
    <t>EXTOURNE CCA SUR ACHATS ET CHGES EXTERN ASSURANCE GAN 2024</t>
  </si>
  <si>
    <t>EXTOURNE CCA SUR ACHATS ET CHGES EXTERN ASSURANCE BPI 2024</t>
  </si>
  <si>
    <t>61613000000</t>
  </si>
  <si>
    <t>ASSURANCE SUR CONTRATS</t>
  </si>
  <si>
    <t>EXTOURNE LOCATION COPIEUR 2024</t>
  </si>
  <si>
    <t>02/01/2025</t>
  </si>
  <si>
    <t>61611000000</t>
  </si>
  <si>
    <t>ASSURANCES MULTIRISQUE CRCA</t>
  </si>
  <si>
    <t>0227236 CRCA DE L ANJOU ET DU M CRCA DE L ANJOU ET DU MAINE FR02ZZZ437638 SEPA V</t>
  </si>
  <si>
    <t>03/01/2025</t>
  </si>
  <si>
    <t xml:space="preserve">ASSU. CAAE PRET PROFESSION.01/2 </t>
  </si>
  <si>
    <t>13/01/2025</t>
  </si>
  <si>
    <t>61631000000</t>
  </si>
  <si>
    <t>ASSURANCES CLIO FZ-325-SX</t>
  </si>
  <si>
    <t>ACM-IARD SA ACM-IARD SA FR74ZZZ008087 SEPA VPRDS HOME SOLUTIONS 278517921 ACM---</t>
  </si>
  <si>
    <t>61632000000</t>
  </si>
  <si>
    <t>ASSURANCE SKODA GJ-472-DK</t>
  </si>
  <si>
    <t>ACM-IARD SA ACM-IARD SA FR74ZZZ008087 SEPA VPRDS HOME SOLUTIONS 278513560 ACM---</t>
  </si>
  <si>
    <t>03/02/2025</t>
  </si>
  <si>
    <t>0222566 CRCA DE L ANJOU ET DU M CRCA DE L ANJOU ET DU MAINE FR02ZZZ437638 SEPA V</t>
  </si>
  <si>
    <t>04/02/2025</t>
  </si>
  <si>
    <t xml:space="preserve">ASSU. CAAE PRET PROFESSION.02/2 </t>
  </si>
  <si>
    <t>10/02/2025</t>
  </si>
  <si>
    <t>61601000000</t>
  </si>
  <si>
    <t>Assurance garantie rembourseme</t>
  </si>
  <si>
    <t>CMI COURTAGE ASSURANCE GARANTIE REMBOURSEMENT</t>
  </si>
  <si>
    <t>11/02/2025</t>
  </si>
  <si>
    <t>ACM IARD SA ACM IARD SA FR74ZZZ008087 SEPA VPRDS HOME SOLUTIONS 281167812 ACM---</t>
  </si>
  <si>
    <t>ACM IARD SA ACM IARD SA FR74ZZZ008087 SEPA VPRDS HOME SOLUTIONS 281167810 ACM---</t>
  </si>
  <si>
    <t>17/02/2025</t>
  </si>
  <si>
    <t>03/03/2025</t>
  </si>
  <si>
    <t>0228737 CRCA DE L ANJOU ET DU M CRCA DE L ANJOU ET DU MAINE FR02ZZZ437638 SEPA V</t>
  </si>
  <si>
    <t>04/03/2025</t>
  </si>
  <si>
    <t xml:space="preserve">ASSU. CAAE PRET PROFESSION.03/2 </t>
  </si>
  <si>
    <t>10/03/2025</t>
  </si>
  <si>
    <t>CMI COURTAGE ASSURANCE GARANTIE REMBOURSEME</t>
  </si>
  <si>
    <t>11/03/2025</t>
  </si>
  <si>
    <t>CMI COURTAGE ASSURANCE CORDOLA MARGOT</t>
  </si>
  <si>
    <t>CMI COURTAGE / CRDOLA MARGOT</t>
  </si>
  <si>
    <t>ACM IARD SA ACM IARD SA FR74ZZZ008087 SEPA VPRDS HOME SOLUTIONS 283774394 ACM---</t>
  </si>
  <si>
    <t>CMI COURTAGE / ASSURANCE FROGER PAULINE</t>
  </si>
  <si>
    <t>0225429 CRCA DE L ANJOU ET DU M CRCA DE L ANJOU ET DU MAINE FR02ZZZ437638 SEPA V</t>
  </si>
  <si>
    <t>61632100000</t>
  </si>
  <si>
    <t>Assurance BMW</t>
  </si>
  <si>
    <t>LOCATION 04 BMW SELON CONTRAT</t>
  </si>
  <si>
    <t>02/04/2025</t>
  </si>
  <si>
    <t xml:space="preserve">ASSU. CAAE PRET PROFESSION.04/2 </t>
  </si>
  <si>
    <t>08/04/2025</t>
  </si>
  <si>
    <t>CPTE TIERS ASSURANCES - BIGARET LUCIE</t>
  </si>
  <si>
    <t>ACM IARD SA ACM IARD SA FR74ZZZ008087 SEPA VPRDS HOME SOLUTIONS 286191809 ACM---</t>
  </si>
  <si>
    <t>ACM IARD SA ACM IARD SA FR74ZZZ008087 SEPA VPRDS HOME SOLUTIONS 286187793 ACM---</t>
  </si>
  <si>
    <t>61634000000</t>
  </si>
  <si>
    <t xml:space="preserve">ASSURANCE BMW AA11655193 </t>
  </si>
  <si>
    <t>24/04/2025</t>
  </si>
  <si>
    <t>CPTE TIERS ASSURANCES - PLUQIN CHIRISTOPHER</t>
  </si>
  <si>
    <t>CPTE TIERS ASSURANCES - BERNARD EDDY</t>
  </si>
  <si>
    <t>LOCATION 05 BMW SELON CONTRAT</t>
  </si>
  <si>
    <t>61633000000</t>
  </si>
  <si>
    <t>ASSURANCE SKODA FABIA HD-097-EZ</t>
  </si>
  <si>
    <t>VBGMBH F062674743 / AVRIL 25</t>
  </si>
  <si>
    <t>0221664 CRCA DE L ANJOU ET DU M CRCA DE L ANJOU ET DU MAINE FR02ZZZ437638 SEPA V</t>
  </si>
  <si>
    <t>VBGMBH F062675378 / MAI</t>
  </si>
  <si>
    <t>05/05/2025</t>
  </si>
  <si>
    <t xml:space="preserve">ASSU. CAAE PRET PROFESSION.05/2 </t>
  </si>
  <si>
    <t>13/05/2025</t>
  </si>
  <si>
    <t>ACM IARD SA ACM IARD SA FR74ZZZ008087 SEPA VPRDS HOME SOLUTIONS 288367125 ACM---</t>
  </si>
  <si>
    <t>ACM IARD SA ACM IARD SA FR74ZZZ008087 SEPA VPRDS HOME SOLUTIONS 288366635 ACM---</t>
  </si>
  <si>
    <t>61635000000</t>
  </si>
  <si>
    <t>ASSURANCE AA11666872 SKODA FABIA</t>
  </si>
  <si>
    <t>CPTE TIERS ASSURANCES - IKIA TITELCHA</t>
  </si>
  <si>
    <t>LOCATION 06 BMW SELON CONTRAT</t>
  </si>
  <si>
    <t>VBGMBH F062893932 / JUIN</t>
  </si>
  <si>
    <t>0226822 CRCA DE L ANJOU ET DU M CRCA DE L ANJOU ET DU MAINE FR02ZZZ437638 SEPA V</t>
  </si>
  <si>
    <t xml:space="preserve">ASSU. CAAE PRET PROFESSION.06/2 </t>
  </si>
  <si>
    <t>11/06/2025</t>
  </si>
  <si>
    <t>ACM IARD SA ACM IARD SA FR74ZZZ008087 SEPA VPRDS HOME SOLUTIONS 290660753 ACM---</t>
  </si>
  <si>
    <t>ACM IARD SA ACM IARD SA FR74ZZZ008087 SEPA VPRDS HOME SOLUTIONS 290660747 ACM---</t>
  </si>
  <si>
    <t>ACM IARD SA ACM IARD SA FR74ZZZ008087 SEPA VPRDS HOME SOLUTIONS 290661412 ACM---</t>
  </si>
  <si>
    <t>17/06/2025</t>
  </si>
  <si>
    <t>CMI COURTAGE / TILLIET CHARLOTTE</t>
  </si>
  <si>
    <t>CCA SUR ACHATS ET CHGES EXTERN ASSURANCE GAN JUN 2025</t>
  </si>
  <si>
    <t>CCA SUR ACHATS ET CHGES EXTERN ASSURANCE BPI JUN 2025</t>
  </si>
  <si>
    <t>0222569 CRCA DE L ANJOU ET DU M CRCA DE L ANJOU ET DU MAINE FR02ZZZ437638 SEPA V</t>
  </si>
  <si>
    <t>EXTOURNE CCA SUR ACHATS ET CHGES EXTERN ASSURANCE GAN JUN 2025</t>
  </si>
  <si>
    <t>EXTOURNE CCA SUR ACHATS ET CHGES EXTERN ASSURANCE BPI JUN 2025</t>
  </si>
  <si>
    <t>VOLKSWAGEN BANK GESELLSCHAFT MIT BESCHRAENKTER HAFTUNG-BANQUE-FACTURE-F063164463</t>
  </si>
  <si>
    <t xml:space="preserve">ASSU. CAAE PRET PROFESSION.07/2 </t>
  </si>
  <si>
    <t>09/07/2025</t>
  </si>
  <si>
    <t>CMI COURTAGE</t>
  </si>
  <si>
    <t>10/07/2025</t>
  </si>
  <si>
    <t>ACM IARD SA ACM IARD SA FR74ZZZ008087 SEPA VPRDS HOME SOLUTIONS 293058944 ACM---</t>
  </si>
  <si>
    <t>ACM IARD SA ACM IARD SA FR74ZZZ008087 SEPA VPRDS HOME SOLUTIONS 293056716 ACM---</t>
  </si>
  <si>
    <t>ACM IARD SA ACM IARD SA FR74ZZZ008087 SEPA VPRDS HOME SOLUTIONS 293056435 ACM---</t>
  </si>
  <si>
    <t>18/07/2025</t>
  </si>
  <si>
    <t>24/07/2025</t>
  </si>
  <si>
    <t>25/07/2025</t>
  </si>
  <si>
    <t>0229108 CRCA DE L ANJOU ET DU M CRCA DE L ANJOU ET DU MAINE FR02ZZZ437638 SEPA V</t>
  </si>
  <si>
    <t>04/08/2025</t>
  </si>
  <si>
    <t xml:space="preserve">ASSU. CAAE PRET PROFESSION.08/2 </t>
  </si>
  <si>
    <t>12/08/2025</t>
  </si>
  <si>
    <t>ACM IARD SA ACM IARD SA FR74ZZZ008087 SEPA VPRDS HOME SOLUTIONS 295284515 ACM---</t>
  </si>
  <si>
    <t>ACM IARD SA ACM IARD SA FR74ZZZ008087 SEPA VPRDS HOME SOLUTIONS 295284520 ACM---</t>
  </si>
  <si>
    <t>ACM IARD SA ACM IARD SA FR74ZZZ008087 SEPA VPRDS HOME SOLUTIONS 295284404 ACM---</t>
  </si>
  <si>
    <t>CREDIT AGRICOLE ASSURANCE MULTIRISQUE 09.25 AU 08.26</t>
  </si>
  <si>
    <t>VOLKSWAGEN BANK GESELLSCHAFT MIT BESCHRAENKTER HAFTUNG-LOCATION MOBILIÈRE AVEC O</t>
  </si>
  <si>
    <t xml:space="preserve">ASSU. CAAE PRET PROFESSION.09/2 </t>
  </si>
  <si>
    <t>10/09/2025</t>
  </si>
  <si>
    <t>VIR ACM IARD SA RMS252521312776 ACM IARD SA VPRDS HOME SOLUTIONS AUTOMOBILE - PR</t>
  </si>
  <si>
    <t>11/09/2025</t>
  </si>
  <si>
    <t>ACM IARD SA ACM IARD SA FR74ZZZ008087 SEPA VPRDS HOME SOLUTIONS 297454489 ACM---</t>
  </si>
  <si>
    <t>ACM IARD SA ACM IARD SA FR74ZZZ008087 SEPA VPRDS HOME SOLUTIONS 297451240 ACM---</t>
  </si>
  <si>
    <t>12/09/2025</t>
  </si>
  <si>
    <t>BNP PARIBAS LEASE GROUP- COPIEUR LOC DU 12.10.25 AU 11.01.26</t>
  </si>
  <si>
    <t>01/10/2025</t>
  </si>
  <si>
    <t>VBGMBH F063344388</t>
  </si>
  <si>
    <t xml:space="preserve">ASSU. CAAE PRET PROFESSION.10/2 </t>
  </si>
  <si>
    <t>06/10/2025</t>
  </si>
  <si>
    <t>CMI COURTAGE / CARDOSO ADRIEN</t>
  </si>
  <si>
    <t>13/10/2025</t>
  </si>
  <si>
    <t>ACM IARD SA ACM IARD SA FR74ZZZ008087 SEPA VPRDS HOME SOLUTIONS 299793991 ACM---</t>
  </si>
  <si>
    <t>ACM IARD SA ACM IARD SA FR74ZZZ008087 SEPA VPRDS HOME SOLUTIONS 299791995 ACM---</t>
  </si>
  <si>
    <t>15/10/2025</t>
  </si>
  <si>
    <t>CMI COURTAGE / CORVASIER LAURA</t>
  </si>
  <si>
    <t>CMI COURTAGE / BEILVERT NICOLAS</t>
  </si>
  <si>
    <t>CMI COURTAGE / FORGEROU NATHALIE</t>
  </si>
  <si>
    <t>CMI COURTAGE / LESIMPLE LYDIE</t>
  </si>
  <si>
    <t>CMI COURTAGE / MOREAU KIMBERLEY</t>
  </si>
  <si>
    <t>CMI COURTAGE/ JEUDI GUIERLEINE</t>
  </si>
  <si>
    <t>CMI COURTAGE/ TOIN DANIEL</t>
  </si>
  <si>
    <t>CMI COURTAGE FQ029551 / TOIN DANIEL</t>
  </si>
  <si>
    <t>01/11/2025</t>
  </si>
  <si>
    <t>VBGMBH F064213040</t>
  </si>
  <si>
    <t>04/11/2025</t>
  </si>
  <si>
    <t xml:space="preserve">ASSU. CAAE PRET PROFESSION.11/2 </t>
  </si>
  <si>
    <t>05/11/2025</t>
  </si>
  <si>
    <t>ASSURANCE. ÉCHÉANCE: 11/5/2025 PRÊT: EMPRUNT CIC 20 175 € PRÊTEUR: CIC</t>
  </si>
  <si>
    <t>11/11/2025</t>
  </si>
  <si>
    <t>ACM IARD SA ACM IARD SA FR74ZZZ008087 SEPA VPRDS HOME SOLUTIONS 302080037 ACM---</t>
  </si>
  <si>
    <t>ACM IARD SA ACM IARD SA FR74ZZZ008087 SEPA VPRDS HOME SOLUTIONS 302086185 ACM---</t>
  </si>
  <si>
    <t>ASSURANCE. ÉCHÉANCE: 11/16/2025 PRÊT: EMPRUNT BPGO 10 624.67 € V2 PRÊTEUR: BANQU</t>
  </si>
  <si>
    <t>ASSURANCE. ÉCHÉANCE: 11/16/2025 PRÊT: EMPRUNT BPGO 10K € PRÊTEUR: BANQUE POPULAI</t>
  </si>
  <si>
    <t>01/12/2025</t>
  </si>
  <si>
    <t>VBGMBH F064492989 / MAINTENANCE PRO SERVICE FACTORY</t>
  </si>
  <si>
    <t>02/12/2025</t>
  </si>
  <si>
    <t xml:space="preserve">ASSU. CAAE PRET PROFESSION.12/2 </t>
  </si>
  <si>
    <t>05/12/2025</t>
  </si>
  <si>
    <t>ASSURANCE. ÉCHÉANCE: 12/5/2025 PRÊT: EMPRUNT CIC 20 175 € PRÊTEUR: CIC</t>
  </si>
  <si>
    <t>11/12/2025</t>
  </si>
  <si>
    <t>ACM IARD SA ACM IARD SA FR74ZZZ008087 SEPA VPRDS HOME SOLUTIONS 304437480 ACM---</t>
  </si>
  <si>
    <t>16/12/2025</t>
  </si>
  <si>
    <t>ASSURANCE. ÉCHÉANCE: 12/16/2025 PRÊT: EMPRUNT BPGO 10 624.67 € V2 PRÊTEUR: BANQU</t>
  </si>
  <si>
    <t>ASSURANCE. ÉCHÉANCE: 12/16/2025 PRÊT: EMPRUNT BPGO 10K € PRÊTEUR: BANQUE POPULAI</t>
  </si>
  <si>
    <t>61600000000</t>
  </si>
  <si>
    <t>Primes d'assurances</t>
  </si>
  <si>
    <t>RCLST ASS EMPRUNT</t>
  </si>
  <si>
    <t>PRIME D'ASSURANCE COURUE NON ÉCHUE - EMPRUNT:EMPRUNT BPGO 10K € 2025</t>
  </si>
  <si>
    <t>PRIME D'ASSURANCE COURUE NON ÉCHUE - EMPRUNT:EMPRUNT BPGO 10 624.67 € V2 2025</t>
  </si>
  <si>
    <t>PRIME D'ASSURANCE COURUE NON ÉCHUE - EMPRUNT:EMPRUNT CIC 20 175 € 2025</t>
  </si>
  <si>
    <t>CCA - ASSURANCES MULTIRISQUE CRCA/ 8 MOIS EN 2026</t>
  </si>
  <si>
    <t>CCA SUR ACHATS ET CHGES EXTERN ASSURANCE GAN 2025</t>
  </si>
  <si>
    <t>CCA SUR ACHATS ET CHGES EXTERN ASSURANCE BPI 2025</t>
  </si>
  <si>
    <t>RECLASSEMENT DE COMPTE/ ASSURANCE COPIEUR</t>
  </si>
  <si>
    <t>65800000000</t>
  </si>
  <si>
    <t>Char divers gestion courante</t>
  </si>
  <si>
    <t>ÉCART DE RÈGLEMENT - PERSONNEL RÉMUNÉRATIONS DÛES</t>
  </si>
  <si>
    <t>65820000000</t>
  </si>
  <si>
    <t>Pénalités, amendes fiscales et pénales</t>
  </si>
  <si>
    <t xml:space="preserve">CARTE X7179 FORF P.STAT WEB 35 </t>
  </si>
  <si>
    <t>22/01/2025</t>
  </si>
  <si>
    <t>ÉCART DE RÈGLEMENT - PRÉLÈVEMENTS À LA SOURCE - IR</t>
  </si>
  <si>
    <t>27/01/2025</t>
  </si>
  <si>
    <t>ÉCART DE RÈGLEMENT - DKV</t>
  </si>
  <si>
    <t>31/01/2025</t>
  </si>
  <si>
    <t xml:space="preserve">CPTE TIERS RENARD - ECART REGLEMENT </t>
  </si>
  <si>
    <t>67120000000</t>
  </si>
  <si>
    <t>Amendes et pénalités</t>
  </si>
  <si>
    <t>AMENDE STATIONNEMENT</t>
  </si>
  <si>
    <t>18/03/2025</t>
  </si>
  <si>
    <t>ÉCART DE RÈGLEMENT - SECURITE SOCIALE</t>
  </si>
  <si>
    <t>25/03/2025</t>
  </si>
  <si>
    <t xml:space="preserve">TVA 02.2025 </t>
  </si>
  <si>
    <t>ÉCART DE RÈGLEMENT - OPENAI</t>
  </si>
  <si>
    <t>ÉCART DE RÈGLEMENT - NORD VPN</t>
  </si>
  <si>
    <t>07/04/2025</t>
  </si>
  <si>
    <t>ÉCART DE RÈGLEMENT - CPTE TIERS MAWEZE KIMBA</t>
  </si>
  <si>
    <t>25/04/2025</t>
  </si>
  <si>
    <t>ÉCART DE RÈGLEMENT - COMPTE TIERS ATTANE</t>
  </si>
  <si>
    <t xml:space="preserve">TVA 04.2025 </t>
  </si>
  <si>
    <t>16/05/2025</t>
  </si>
  <si>
    <t>67180000000</t>
  </si>
  <si>
    <t>Autres charges exceptionnelles sur opérations de gestion</t>
  </si>
  <si>
    <t>PROTOCOLE ACCORD ZAI</t>
  </si>
  <si>
    <t>21/05/2025</t>
  </si>
  <si>
    <t>26/05/2025</t>
  </si>
  <si>
    <t>ÉCART DE RÈGLEMENT - PLY</t>
  </si>
  <si>
    <t>TVA 05.2025</t>
  </si>
  <si>
    <t>26/06/2025</t>
  </si>
  <si>
    <t>TVA 06.2025</t>
  </si>
  <si>
    <t>69970000000</t>
  </si>
  <si>
    <t>Réduction impôt mécénat</t>
  </si>
  <si>
    <t>MECENAT 30.06.2025</t>
  </si>
  <si>
    <t>62280000000</t>
  </si>
  <si>
    <t>Divers</t>
  </si>
  <si>
    <t>REACTEUR - CREATION PROJET ?</t>
  </si>
  <si>
    <t>REACTEUR / TIKI DOC - CREATION PROJET</t>
  </si>
  <si>
    <t>RECLASSEMENT DE COMPTE</t>
  </si>
  <si>
    <t>PROTOCOLE ACCORD SORTIS CHANTIER DE CLIENT</t>
  </si>
  <si>
    <t>EXTOURNE MECENAT 30.06.2025</t>
  </si>
  <si>
    <t>23/07/2025</t>
  </si>
  <si>
    <t>ANTAI 24720015200014_25_0_192_023_001</t>
  </si>
  <si>
    <t>08/08/2025</t>
  </si>
  <si>
    <t>SCP MAILLARD / CHANTIER NON OUVERT AVEC RUPTURE UNILATERALE</t>
  </si>
  <si>
    <t>19/08/2025</t>
  </si>
  <si>
    <t>ANTAI 24720013200014_25_0_218_033_003</t>
  </si>
  <si>
    <t>ANTAI/ AMNDES MAJORE</t>
  </si>
  <si>
    <t>08/10/2025</t>
  </si>
  <si>
    <t xml:space="preserve">CARTE X7179 WEB AMENDE.GOUV 35 / DEJA TRANSMISE ? </t>
  </si>
  <si>
    <t>21/11/2025</t>
  </si>
  <si>
    <t>CABINET LOISEAU-CONSEIL-FACTURE-F2511093</t>
  </si>
  <si>
    <t>AMENDES STATIONNEMENT</t>
  </si>
  <si>
    <t xml:space="preserve"> MECENAT 31.12.2025</t>
  </si>
  <si>
    <t>66116000000</t>
  </si>
  <si>
    <t>INT EMPRUNTS &amp; DETTES ASSIMIL</t>
  </si>
  <si>
    <t>EXTOURNE OD CLOTURE EMPRUNT EMPRUNT 47 304€ 10002460004 -</t>
  </si>
  <si>
    <t>EXTOURNE OD CLOTURE EMPRUNT EMPRUNT 20K 10002460003 - 1</t>
  </si>
  <si>
    <t>05/01/2025</t>
  </si>
  <si>
    <t>INTÉRÊT. ÉCHÉANCE: 1/5/2025 PRÊT: EMPRUNT 20K€ PRÊTEUR: CRÉDIT AGRICOLE ANJOU MA</t>
  </si>
  <si>
    <t>INTÉRÊT. ÉCHÉANCE: 1/5/2025 PRÊT: EMPRUNT 47 304€ PRÊTEUR: CRÉDIT AGRICOLE ANJOU</t>
  </si>
  <si>
    <t>05/02/2025</t>
  </si>
  <si>
    <t>INTÉRÊT. ÉCHÉANCE: 2/5/2025 PRÊT: EMPRUNT 20K€ PRÊTEUR: CRÉDIT AGRICOLE ANJOU MA</t>
  </si>
  <si>
    <t>INTÉRÊT. ÉCHÉANCE: 2/5/2025 PRÊT: EMPRUNT 47 304€ PRÊTEUR: CRÉDIT AGRICOLE ANJOU</t>
  </si>
  <si>
    <t>28/02/2025</t>
  </si>
  <si>
    <t>66600000000</t>
  </si>
  <si>
    <t>Pertes de change financières</t>
  </si>
  <si>
    <t>OPENAI-LOGICIEL SAAS-UNITED STATES DOLLAR-FACTURE-3009BEE6-0008</t>
  </si>
  <si>
    <t>05/03/2025</t>
  </si>
  <si>
    <t>INTÉRÊT. ÉCHÉANCE: 3/5/2025 PRÊT: EMPRUNT 20K€ PRÊTEUR: CRÉDIT AGRICOLE ANJOU MA</t>
  </si>
  <si>
    <t>INTÉRÊT. ÉCHÉANCE: 3/5/2025 PRÊT: EMPRUNT 47 304€ PRÊTEUR: CRÉDIT AGRICOLE ANJOU</t>
  </si>
  <si>
    <t>05/04/2025</t>
  </si>
  <si>
    <t>INTÉRÊT. ÉCHÉANCE: 4/5/2025 PRÊT: EMPRUNT 20K€ PRÊTEUR: CRÉDIT AGRICOLE ANJOU MA</t>
  </si>
  <si>
    <t>INTÉRÊT. ÉCHÉANCE: 4/5/2025 PRÊT: EMPRUNT 47 304€ PRÊTEUR: CRÉDIT AGRICOLE ANJOU</t>
  </si>
  <si>
    <t>OPENAI-LOGICIEL SAAS-UNITED STATES DOLLAR-FACTURE-3009BEE6-0010</t>
  </si>
  <si>
    <t>INTÉRÊT. ÉCHÉANCE: 5/5/2025 PRÊT: EMPRUNT 20K€ PRÊTEUR: CRÉDIT AGRICOLE ANJOU MA</t>
  </si>
  <si>
    <t>INTÉRÊT. ÉCHÉANCE: 5/5/2025 PRÊT: EMPRUNT 47 304€ PRÊTEUR: CRÉDIT AGRICOLE ANJOU</t>
  </si>
  <si>
    <t>05/06/2025</t>
  </si>
  <si>
    <t>INTÉRÊT. ÉCHÉANCE: 6/5/2025 PRÊT: EMPRUNT 20K€ PRÊTEUR: CRÉDIT AGRICOLE ANJOU MA</t>
  </si>
  <si>
    <t>INTÉRÊT. ÉCHÉANCE: 6/5/2025 PRÊT: EMPRUNT 47 304€ PRÊTEUR: CRÉDIT AGRICOLE ANJOU</t>
  </si>
  <si>
    <t>05/07/2025</t>
  </si>
  <si>
    <t>INTÉRÊT. ÉCHÉANCE: 7/5/2025 PRÊT: EMPRUNT 20K€ PRÊTEUR: CRÉDIT AGRICOLE ANJOU MA</t>
  </si>
  <si>
    <t>INTÉRÊT. ÉCHÉANCE: 7/5/2025 PRÊT: EMPRUNT 47 304€ PRÊTEUR: CRÉDIT AGRICOLE ANJOU</t>
  </si>
  <si>
    <t>29/07/2025</t>
  </si>
  <si>
    <t>OPENAI-LOGICIEL SAAS-UNITED STATES DOLLAR-FACTURE-3009BEE6-0013</t>
  </si>
  <si>
    <t>05/08/2025</t>
  </si>
  <si>
    <t>INTÉRÊT. ÉCHÉANCE: 8/5/2025 PRÊT: EMPRUNT 20K€ PRÊTEUR: CRÉDIT AGRICOLE ANJOU MA</t>
  </si>
  <si>
    <t>INTÉRÊT. ÉCHÉANCE: 8/5/2025 PRÊT: EMPRUNT 47 304€ PRÊTEUR: CRÉDIT AGRICOLE ANJOU</t>
  </si>
  <si>
    <t>29/08/2025</t>
  </si>
  <si>
    <t>OPENAI-LOGICIEL SAAS-UNITED STATES DOLLAR-FACTURE-3009BEE6-0014</t>
  </si>
  <si>
    <t>05/09/2025</t>
  </si>
  <si>
    <t>INTÉRÊT. ÉCHÉANCE: 9/5/2025 PRÊT: EMPRUNT 20K€ PRÊTEUR: CRÉDIT AGRICOLE ANJOU MA</t>
  </si>
  <si>
    <t>INTÉRÊT. ÉCHÉANCE: 9/5/2025 PRÊT: EMPRUNT 47 304€ PRÊTEUR: CRÉDIT AGRICOLE ANJOU</t>
  </si>
  <si>
    <t>29/09/2025</t>
  </si>
  <si>
    <t>OPENAI-LOGICIEL SAAS-UNITED STATES DOLLAR-FACTURE-3009BEE6-0015</t>
  </si>
  <si>
    <t>05/10/2025</t>
  </si>
  <si>
    <t>INTÉRÊT. ÉCHÉANCE: 10/5/2025 PRÊT: EMPRUNT 20K€ PRÊTEUR: CRÉDIT AGRICOLE ANJOU M</t>
  </si>
  <si>
    <t>INTÉRÊT. ÉCHÉANCE: 10/5/2025 PRÊT: EMPRUNT 47 304€ PRÊTEUR: CRÉDIT AGRICOLE ANJO</t>
  </si>
  <si>
    <t>62720000000</t>
  </si>
  <si>
    <t>COMM.FRAIS S/EMISSION EMPRUNTS</t>
  </si>
  <si>
    <t>COMMIS PRET</t>
  </si>
  <si>
    <t>17/10/2025</t>
  </si>
  <si>
    <t>FRAIS LIES A VOTRE PRET</t>
  </si>
  <si>
    <t>FONDS GARANTIE</t>
  </si>
  <si>
    <t>29/10/2025</t>
  </si>
  <si>
    <t>PLY G4ZLPUKN-0006 USD 8.0</t>
  </si>
  <si>
    <t>INTÉRÊT. ÉCHÉANCE: 11/5/2025 PRÊT: EMPRUNT 20K€ PRÊTEUR: CRÉDIT AGRICOLE ANJOU M</t>
  </si>
  <si>
    <t>INTÉRÊT. ÉCHÉANCE: 11/5/2025 PRÊT: EMPRUNT 47 304€ PRÊTEUR: CRÉDIT AGRICOLE ANJO</t>
  </si>
  <si>
    <t>INTÉRÊT. ÉCHÉANCE: 11/5/2025 PRÊT: EMPRUNT CIC 20 175 € PRÊTEUR: CIC</t>
  </si>
  <si>
    <t>ÉCART DE RÈGLEMENT - HOTEL</t>
  </si>
  <si>
    <t xml:space="preserve">INTÉRÊT. ÉCHÉANCE: 11/16/2025 PRÊT: EMPRUNT BPGO 10 624.67 € V2 PRÊTEUR: BANQUE </t>
  </si>
  <si>
    <t>INTÉRÊT. ÉCHÉANCE: 11/16/2025 PRÊT: EMPRUNT BPGO 10K € PRÊTEUR: BANQUE POPULAIRE</t>
  </si>
  <si>
    <t>INTÉRÊT. ÉCHÉANCE: 12/5/2025 PRÊT: EMPRUNT 20K€ PRÊTEUR: CRÉDIT AGRICOLE ANJOU M</t>
  </si>
  <si>
    <t>INTÉRÊT. ÉCHÉANCE: 12/5/2025 PRÊT: EMPRUNT 47 304€ PRÊTEUR: CRÉDIT AGRICOLE ANJO</t>
  </si>
  <si>
    <t>INTÉRÊT. ÉCHÉANCE: 12/5/2025 PRÊT: EMPRUNT CIC 20 175 € PRÊTEUR: CIC</t>
  </si>
  <si>
    <t xml:space="preserve">INTÉRÊT. ÉCHÉANCE: 12/16/2025 PRÊT: EMPRUNT BPGO 10 624.67 € V2 PRÊTEUR: BANQUE </t>
  </si>
  <si>
    <t>INTÉRÊT. ÉCHÉANCE: 12/16/2025 PRÊT: EMPRUNT BPGO 10K € PRÊTEUR: BANQUE POPULAIRE</t>
  </si>
  <si>
    <t>INTÉRÊT COURU NON ÉCHU - EMPRUNT:EMPRUNT BPGO 10K € 2025</t>
  </si>
  <si>
    <t>INTÉRÊT COURU NON ÉCHU - EMPRUNT:EMPRUNT BPGO 10 624.67 € V2 2025</t>
  </si>
  <si>
    <t>INTÉRÊT COURU NON ÉCHU - EMPRUNT:EMPRUNT CIC 20 175 € 2025</t>
  </si>
  <si>
    <t>64120000000</t>
  </si>
  <si>
    <t>Congés payés</t>
  </si>
  <si>
    <t>EXTOURNE PROVISION CP 31.12.2024</t>
  </si>
  <si>
    <t>Masse Salariale</t>
  </si>
  <si>
    <t>Charges sociales et salaires</t>
  </si>
  <si>
    <t>64580000000</t>
  </si>
  <si>
    <t>Cotisations aux autres organismes sociaux</t>
  </si>
  <si>
    <t>15/01/2025</t>
  </si>
  <si>
    <t>64750000000</t>
  </si>
  <si>
    <t>Médecine travail pharmacie</t>
  </si>
  <si>
    <t>SANTE AU TRAVAIL 72 25004520</t>
  </si>
  <si>
    <t>62820000000</t>
  </si>
  <si>
    <t>PRESTATION PRESIDENCE SARL CVP</t>
  </si>
  <si>
    <t>63330000000</t>
  </si>
  <si>
    <t>Formation pro. continue (org)</t>
  </si>
  <si>
    <t>SALAIRES 01/2025</t>
  </si>
  <si>
    <t>64110000000</t>
  </si>
  <si>
    <t>Salaires appointements</t>
  </si>
  <si>
    <t>64510000000</t>
  </si>
  <si>
    <t>COTISATIONS A L'URSSAF</t>
  </si>
  <si>
    <t>64900000000</t>
  </si>
  <si>
    <t>Remboursements de charges de personnel (si remboursement de personnel)</t>
  </si>
  <si>
    <t>CVP-CONSEIL-FACTURE-20250228</t>
  </si>
  <si>
    <t xml:space="preserve">SALAIRES 02/2025 / </t>
  </si>
  <si>
    <t>SALAIRES 02/2025</t>
  </si>
  <si>
    <t>64130000000</t>
  </si>
  <si>
    <t>Primes gratification</t>
  </si>
  <si>
    <t>CVP-CONSEIL-FACTURE-20250331</t>
  </si>
  <si>
    <t>SALAIRES 03/2025</t>
  </si>
  <si>
    <t>CVP-CONSEIL-FACTURE-20250430</t>
  </si>
  <si>
    <t>SALAIRES 04/2025 CONTRIB FORMA PRO LEGAL</t>
  </si>
  <si>
    <t>SALAIRES 04/2025 CONTRIB FORMA PRO CONV</t>
  </si>
  <si>
    <t>SALAIRES 04/2025</t>
  </si>
  <si>
    <t>SALAIRES 04/2025 URSSAD</t>
  </si>
  <si>
    <t>SALAIRES 04/2025 RETRAITE</t>
  </si>
  <si>
    <t>SALAIRES 04/2025 PREV</t>
  </si>
  <si>
    <t>SALAIRES 04/2025 ADESATT</t>
  </si>
  <si>
    <t>CVP-CONSEIL-FACTURE-20250531</t>
  </si>
  <si>
    <t>SALAIRES 05/2025 CONTRIB FORMA PRO LEGAL</t>
  </si>
  <si>
    <t>SALAIRES 05/2025 CONTRIB FORMA PRO CONV</t>
  </si>
  <si>
    <t>SALAIRES 05/2025</t>
  </si>
  <si>
    <t>SALAIRES 05/2025 URSSAD</t>
  </si>
  <si>
    <t>SALAIRES 05/2025 RETRAITE</t>
  </si>
  <si>
    <t>SALAIRES 05/2025 PREV</t>
  </si>
  <si>
    <t>SALAIRES 05/2025 ADESATT</t>
  </si>
  <si>
    <t>SALAIRES 05/2025 AESIO MUTUELLE</t>
  </si>
  <si>
    <t>CVP-CONSEIL-FACTURE-20250630</t>
  </si>
  <si>
    <t>SALAIRES 06/2025 CONTRIB FORMA PRO LEGAL</t>
  </si>
  <si>
    <t>SALAIRES 06/2025 CONTRIB FORMA PRO CONV</t>
  </si>
  <si>
    <t>SALAIRES 06/2025</t>
  </si>
  <si>
    <t>PROVISION CP 30.06.2025</t>
  </si>
  <si>
    <t>SALAIRES 06/2025 URSSAD</t>
  </si>
  <si>
    <t>SALAIRES 06/2025 RETRAITE</t>
  </si>
  <si>
    <t>SALAIRES 06/2025 PREV</t>
  </si>
  <si>
    <t>SALAIRES 06/2025 ADESATT</t>
  </si>
  <si>
    <t>SALAIRES 06/2025 AESIO MUTUELLE</t>
  </si>
  <si>
    <t>SANTE AU TRAVAIL 72 25004520 JUN 2025</t>
  </si>
  <si>
    <t>INVERSION TA ET CFP DE 03.2025</t>
  </si>
  <si>
    <t>EXTOURNE PROVISION CP 30.06.2025</t>
  </si>
  <si>
    <t>RECLASSEMENT CONTRIBUTION ADESATT</t>
  </si>
  <si>
    <t>EXTOURNE SANTE AU TRAVAIL 72 25004520 JUN 2025</t>
  </si>
  <si>
    <t>CVP-CONSEIL-FACTURE-20250731</t>
  </si>
  <si>
    <t>SALAIRES 07/2025 CONTRIB FORMA PRO LEGAL</t>
  </si>
  <si>
    <t>SALAIRES 07/2025 CONTRIB FORMA PRO CONV</t>
  </si>
  <si>
    <t>SALAIRES 07/2025</t>
  </si>
  <si>
    <t>SALAIRES 07/2025 URSSAF</t>
  </si>
  <si>
    <t>SALAIRES 07/2025 RETRAITE</t>
  </si>
  <si>
    <t>SALAIRES 07/2025 PREV</t>
  </si>
  <si>
    <t>14/08/2025</t>
  </si>
  <si>
    <t>64920000000</t>
  </si>
  <si>
    <t>Aide pôle emploi</t>
  </si>
  <si>
    <t>VIR PAYS DELA LOIRE 00494059A1F PAYS DELA LOIRE VPRDS HOME SOLUTIO FRANCE TRAVAI</t>
  </si>
  <si>
    <t>CVP-CONSEIL-FACTURE-20250831</t>
  </si>
  <si>
    <t>SALAIRES 08/2025 CONTRIB FORMA PRO LEGAL</t>
  </si>
  <si>
    <t>SALAIRES 08/2025 CONTRIB FORMA PRO CONV</t>
  </si>
  <si>
    <t>SALAIRES 08/2025</t>
  </si>
  <si>
    <t>SALAIRES 08/2025 URSSAF</t>
  </si>
  <si>
    <t>SALAIRES 08/2025 RETRAITE</t>
  </si>
  <si>
    <t>SALAIRES 08/2025 PREV</t>
  </si>
  <si>
    <t>SALAIRES 08/2025 ADESATT</t>
  </si>
  <si>
    <t>SALAIRES 08/2025AESIO MUTUELLE</t>
  </si>
  <si>
    <t>SARL CVP</t>
  </si>
  <si>
    <t>SALAIRES 09/2025 CONTRIB FORMA PRO LEGAL</t>
  </si>
  <si>
    <t>SALAIRES 09/2025 CONTRIB FORMA PRO CONV</t>
  </si>
  <si>
    <t>SALAIRES 09/2025</t>
  </si>
  <si>
    <t>SALAIRES 09/2025 URSSAF</t>
  </si>
  <si>
    <t>SALAIRES 09/2025 RETRAITE</t>
  </si>
  <si>
    <t>SALAIRES 09/2025 PREV</t>
  </si>
  <si>
    <t>SALAIRES 09/2025 ADESATT</t>
  </si>
  <si>
    <t>SALAIRES 09/2025AESIO MUTUELLE</t>
  </si>
  <si>
    <t>CVP-CONSEIL-FACTURE-20253110/ 10.2025</t>
  </si>
  <si>
    <t>SALAIRES 10/2025 CONTRIB FORMA PRO LEGAL</t>
  </si>
  <si>
    <t>SALAIRES 10/2025 CONTRIB FORMA PRO CONV</t>
  </si>
  <si>
    <t>SALAIRES 10/2025</t>
  </si>
  <si>
    <t>64140000000</t>
  </si>
  <si>
    <t>Indemnités et avantages divers</t>
  </si>
  <si>
    <t>SALAIRES 10/2025 INDEMNITES RUPTURE CO LAMARD ANIS</t>
  </si>
  <si>
    <t>SALAIRES 10/2025 URSSAF</t>
  </si>
  <si>
    <t>SALAIRES 10/2025 RETRAITE</t>
  </si>
  <si>
    <t>SALAIRES 10/2025 PREV</t>
  </si>
  <si>
    <t>SALAIRES 10/2025 ADESATT</t>
  </si>
  <si>
    <t>SALAIRES 10/2025 AESIO MUTUELLE</t>
  </si>
  <si>
    <t>CVP-CONSEIL-FACTURE-20253011</t>
  </si>
  <si>
    <t>SALAIRES 11/2025 CONTRIB FORMA PRO LEGAL</t>
  </si>
  <si>
    <t>SALAIRES 11/2025CONTRIB FORMA PRO CONV</t>
  </si>
  <si>
    <t>SALAIRES 11/2025</t>
  </si>
  <si>
    <t>SALAIRES 11/2025 URSSAF</t>
  </si>
  <si>
    <t>SALAIRES 11/2025 RETRAITE</t>
  </si>
  <si>
    <t>SALAIRES 11/2025 PREV</t>
  </si>
  <si>
    <t>SALAIRES 11/2025 ADESATT</t>
  </si>
  <si>
    <t>SALAIRES 11/2025 AESIO MUTUELLE</t>
  </si>
  <si>
    <t>CVP-CONSEIL-FACTURE-20253112</t>
  </si>
  <si>
    <t>FNP - REGULARISATION PRESIDENCE CVP 2025</t>
  </si>
  <si>
    <t>SALAIRES 12/2025 CONTRIB FORMA PRO LEGAL</t>
  </si>
  <si>
    <t>SALAIRES 12/2025 CONTRIB FORMA PRO CONV</t>
  </si>
  <si>
    <t>SALAIRES 12/2025</t>
  </si>
  <si>
    <t>PROVISION CP 31.12.2025</t>
  </si>
  <si>
    <t>SALAIRES 12/2025 URSSAF</t>
  </si>
  <si>
    <t>SALAIRES 12/2025 RETRAITE</t>
  </si>
  <si>
    <t>SALAIRES 12/2025 PREV</t>
  </si>
  <si>
    <t>SALAIRES 12/2025 ADESATT</t>
  </si>
  <si>
    <t>SALAIRES 12/2025 AESIO MUTUELLE</t>
  </si>
  <si>
    <t>VIR CPTE A CPTE</t>
  </si>
  <si>
    <t>64911100000</t>
  </si>
  <si>
    <t>AN véhicules salariés</t>
  </si>
  <si>
    <t>60400000000</t>
  </si>
  <si>
    <t>Plans</t>
  </si>
  <si>
    <t xml:space="preserve">MIKIT / PROJET HUET </t>
  </si>
  <si>
    <t>MIKIT / PROJET DIALLO</t>
  </si>
  <si>
    <t>MIKIT / PROJET LUCAS</t>
  </si>
  <si>
    <t>62261000000</t>
  </si>
  <si>
    <t>Honoraires mission comptable</t>
  </si>
  <si>
    <t>EXTOURNE MISSION COMPTES ANNUELS 2024</t>
  </si>
  <si>
    <t>62263000000</t>
  </si>
  <si>
    <t>Honoraires mission juridique</t>
  </si>
  <si>
    <t>EXTOURNE MISSION JURIDIQUE ANNUEL 2024</t>
  </si>
  <si>
    <t>62270000000</t>
  </si>
  <si>
    <t>FRAIS D'ACTES &amp; CONTENTIEUX</t>
  </si>
  <si>
    <t>MEDIALEX-HONORAIRE/ MODIF SOCIETE</t>
  </si>
  <si>
    <t>MKT PROMOTION/ PROJET SEGOUIN</t>
  </si>
  <si>
    <t>MKT PROMOTION/ PROJET TILIET</t>
  </si>
  <si>
    <t>MKT PROMOTION/ PROJET DA FONSECA</t>
  </si>
  <si>
    <t>MKT PROMOTION/ PROJET GENOT</t>
  </si>
  <si>
    <t>ALTONEO-HONORAIRE LIBERAL-AVOIR-16250002207</t>
  </si>
  <si>
    <t>MKT PROMOTION / PROJET TILLET</t>
  </si>
  <si>
    <t>MKT PROMOTION / PROJET HUGOU</t>
  </si>
  <si>
    <t>MKT PROMOTION / PROJET HERISSON</t>
  </si>
  <si>
    <t>MKT PROMOTION / PROJET BERNARD MEUCE</t>
  </si>
  <si>
    <t>MKT PROMOTION / PROJET PARADIS</t>
  </si>
  <si>
    <t>ALTONEO-HONORAIRE LIBERAL-AVOIR-16250002819</t>
  </si>
  <si>
    <t>ALTONEO-HONORAIRE LIBERAL-AVOIR-16250002797</t>
  </si>
  <si>
    <t>ALTONEO-CONSEIL-FACTURE-16250002699</t>
  </si>
  <si>
    <t>07/03/2025</t>
  </si>
  <si>
    <t>GTC LE MANS / EMOLUEMENTS</t>
  </si>
  <si>
    <t>GTC LE MANS / BODACC + INPI</t>
  </si>
  <si>
    <t>MKT PROMOTION PROJET HUET</t>
  </si>
  <si>
    <t>MKT PROMOTION / PROJET SPILMONT VIVOIN</t>
  </si>
  <si>
    <t>ALTONEO-HONORAIRE LIBERAL-AVOIR-16250003429</t>
  </si>
  <si>
    <t>62262000000</t>
  </si>
  <si>
    <t>Honoraires mission sociale</t>
  </si>
  <si>
    <t>ALTONEO-HONORAIRE / 1T25</t>
  </si>
  <si>
    <t>62266000000</t>
  </si>
  <si>
    <t>Honoraires exceptionnels</t>
  </si>
  <si>
    <t>ALTONEO-HONORAIRE LIBERAL-FACTURE-11250004057</t>
  </si>
  <si>
    <t>MKT PROMOTION-TRAVAUX DU BATIMENT-FACTURE-27511/ PROJET BEZAULT</t>
  </si>
  <si>
    <t>MKT PROMOTION-TRAVAUX DU BATIMENT-FACTURE-27518/ PROJET LHOMMET</t>
  </si>
  <si>
    <t>MKT PROMOTION-AUTRE MARCHANDISE-FACTURE-27502/ PROJET BIGARET</t>
  </si>
  <si>
    <t>ALTONEO-HONORAIRE LIBERAL-FACTURE-16250004661</t>
  </si>
  <si>
    <t>ALTONEO-HONORAIRE LIBERAL-FACTURE-16250004686</t>
  </si>
  <si>
    <t>ALTONEO-HONORAIRE LIBERAL-FACTURE-16250005099</t>
  </si>
  <si>
    <t>MISSION TENUE ACPTE 2</t>
  </si>
  <si>
    <t>MISSION TENUE + CPTES ANNUELS 30.06 JUN 2025</t>
  </si>
  <si>
    <t>SOCIAL 2T 2025</t>
  </si>
  <si>
    <t>MISSION JURIDIQUE ANNUEL JUN 2025</t>
  </si>
  <si>
    <t>SITUATION 30.06.25 JUN 2025</t>
  </si>
  <si>
    <t>MIKIT</t>
  </si>
  <si>
    <t>MIKIT / PROJET IKIA</t>
  </si>
  <si>
    <t>MIKIT / PROJET PLUQUIN</t>
  </si>
  <si>
    <t>MIKIT / PROJET PARTAUD</t>
  </si>
  <si>
    <t>MIKIT / PROJET TILLIET</t>
  </si>
  <si>
    <t>MIKIT / PROJET MOREAU</t>
  </si>
  <si>
    <t>MIKIT / PROJET PEREDO</t>
  </si>
  <si>
    <t>EXTOURNE MISSION TENUE + CPTES ANNUELS 30.06 JUN 2025</t>
  </si>
  <si>
    <t>EXTOURNE MISSION JURIDIQUE ANNUEL JUN 2025</t>
  </si>
  <si>
    <t>EXTOURNE SITUATION 30.06.25 JUN 2025</t>
  </si>
  <si>
    <t>ACHIBAT-CONSEIL-FACTURE-1974</t>
  </si>
  <si>
    <t>OCEANE DEZALAY-HONORAIRE AVOCAT PQ?</t>
  </si>
  <si>
    <t>MKT PROMOTION 28087 / PROJET CARMAGNAC</t>
  </si>
  <si>
    <t>MKT PROMOTION 28091/ PROJET THINARD MEURCE</t>
  </si>
  <si>
    <t>MKT PROMOTION 28072 / PROJET MORAND RAVIGNY</t>
  </si>
  <si>
    <t>MKT PROMOTION 28069 / PROJET LHOMMET</t>
  </si>
  <si>
    <t>MKT PROMOTION 28089 / PROJET IKIA</t>
  </si>
  <si>
    <t>MKT PROMOTION 28076 / PROJET LESIMPLE CAUMONT</t>
  </si>
  <si>
    <t>MKT PROMOTION 28084 / PROJET IMMO ALLONNES</t>
  </si>
  <si>
    <t>MKT PROMOTION 28079 / PROJET PARTAUD</t>
  </si>
  <si>
    <t>MKT PROMOTION 28066 / PROJET CARDOSO</t>
  </si>
  <si>
    <t>MKT PROMOTION 28068/ PROJET CHAFIOL</t>
  </si>
  <si>
    <t xml:space="preserve">ALTONEO-HONORAIRE / TENUE 3 </t>
  </si>
  <si>
    <t>ALTONEO-HONORAIRE / TENUE 4</t>
  </si>
  <si>
    <t>MKT PROMOTION- FRAIS DE DOSSIER AVANCE HUET/BUTET/ BON COMPTE?</t>
  </si>
  <si>
    <t>MKT PROMOTION 28328/ PLAN PROJET GIRARD</t>
  </si>
  <si>
    <t>MKT PROMOTION 28336/ PLAN PROJET TRIDON</t>
  </si>
  <si>
    <t>MKT PROMOTION 28249</t>
  </si>
  <si>
    <t>ALTONEO-HONORAIRE / ACPTE 5 TENUE</t>
  </si>
  <si>
    <t>ALTONEO-CONSEIL-FACTURE-16250007745/ SITUATION</t>
  </si>
  <si>
    <t>ALTONEO-HONORAIRE / SAL 3T25</t>
  </si>
  <si>
    <t>ALTONEO-CONSEIL- RUPTURE CO</t>
  </si>
  <si>
    <t>MKT PROMOTION-TRAVAUX DU BATIMENT-FACTURE-28500</t>
  </si>
  <si>
    <t>MKT PROMOTION-TRAVAUX DU BATIMENT-FACTURE-28495</t>
  </si>
  <si>
    <t>MKT PROMOTION-TRAVAUX DU BATIMENT-FACTURE-28505</t>
  </si>
  <si>
    <t>MKT PROMOTION-TRAVAUX DU BATIMENT-FACTURE-28499</t>
  </si>
  <si>
    <t>MKT PROMOTION-MACHINE-FACTURE-28506</t>
  </si>
  <si>
    <t>MKT PROMOTION-TRAVAUX DU BATIMENT-FACTURE-28509</t>
  </si>
  <si>
    <t>MKT PROMOTION-TRAVAUX DU BATIMENT-FACTURE-28508</t>
  </si>
  <si>
    <t>ALTONEO-HONORAIRE / ACPTE 6 TENUE</t>
  </si>
  <si>
    <t>ALTONEO-HONORAIRE / TENUE COMPTABLE ACPTE7</t>
  </si>
  <si>
    <t>ALTONEO-HONORAIRE / TENUE ACPTE 8</t>
  </si>
  <si>
    <t>ALTONEO-HONORAIRE / ACPTE 1 COMPTE ANNUELS</t>
  </si>
  <si>
    <t>MISSION COMPTES ANNUELS 2025</t>
  </si>
  <si>
    <t>ALTONEO-HONORAIRE / 4T25</t>
  </si>
  <si>
    <t>MISSION JURIDIQUE ANNUEL 2025</t>
  </si>
  <si>
    <t>63350000000</t>
  </si>
  <si>
    <t>Taxe apprentissage (org)</t>
  </si>
  <si>
    <t>SALAIRES 04/2025 TA</t>
  </si>
  <si>
    <t>SALAIRES 04/2025 TA LIB</t>
  </si>
  <si>
    <t>SALAIRES 05/2025 TA</t>
  </si>
  <si>
    <t>SALAIRES 05/2025 TA LIB</t>
  </si>
  <si>
    <t>SALAIRES 06/2025 TA</t>
  </si>
  <si>
    <t>SALAIRES 06/2025 TA LIB</t>
  </si>
  <si>
    <t>63511100000</t>
  </si>
  <si>
    <t>CET-COTISATION FONCIERE ENTREP</t>
  </si>
  <si>
    <t>CFE 1S 2025 JUN 2025</t>
  </si>
  <si>
    <t>63514000000</t>
  </si>
  <si>
    <t>Taxe véhicules sociétés</t>
  </si>
  <si>
    <t>PROV TVS 2 VEHICULES 1S 2025 JUN 2025</t>
  </si>
  <si>
    <t>EXTOURNE CFE 1S 2025 JUN 2025</t>
  </si>
  <si>
    <t>EXTOURNE PROV TVS 2 VEHICULES 1S 2025 JUN 2025</t>
  </si>
  <si>
    <t>SALAIRES 07/2025 TA</t>
  </si>
  <si>
    <t>SALAIRES 07/2025 TA LIB</t>
  </si>
  <si>
    <t>SALAIRES 08/2025  TA</t>
  </si>
  <si>
    <t>SALAIRES 08/2025 TA LIB</t>
  </si>
  <si>
    <t>SALAIRES 09/2025  TA</t>
  </si>
  <si>
    <t>SALAIRES 09/2025 TA LIB</t>
  </si>
  <si>
    <t>SALAIRES 10/2025  TA</t>
  </si>
  <si>
    <t>SALAIRES 10/2025 TA LIB</t>
  </si>
  <si>
    <t>SALAIRES 11/2025  TA</t>
  </si>
  <si>
    <t>SALAIRES 11/2025 TA LIB</t>
  </si>
  <si>
    <t>29/12/2025</t>
  </si>
  <si>
    <t>DIRECTION GENERALE DES FINANCES DIRECTION GENERALE DES FINANCES PUBLIQUES FR46ZZ</t>
  </si>
  <si>
    <t>SALAIRES 12/2025  TA</t>
  </si>
  <si>
    <t>SALAIRES 12/2025 TA LIB</t>
  </si>
  <si>
    <t>63511200000</t>
  </si>
  <si>
    <t>CVAE</t>
  </si>
  <si>
    <t>SOLDE CAVE 2025</t>
  </si>
  <si>
    <t>TVA 12.2025 TVS</t>
  </si>
  <si>
    <t>69500000000</t>
  </si>
  <si>
    <t>Impôts sur les bénéfices</t>
  </si>
  <si>
    <t>IS 31.12.2025</t>
  </si>
  <si>
    <t>61321000000</t>
  </si>
  <si>
    <t>LOYERS</t>
  </si>
  <si>
    <t>LOYER JANVIER 2025</t>
  </si>
  <si>
    <t>61321100000</t>
  </si>
  <si>
    <t>LOYERS BUREAU</t>
  </si>
  <si>
    <t>LOYER LOYER BUREAU</t>
  </si>
  <si>
    <t>61321200000</t>
  </si>
  <si>
    <t>LOYERS ESPACES DE STOCKAGE</t>
  </si>
  <si>
    <t>LOYER LOCATION ESPACE DE STOCKAGE</t>
  </si>
  <si>
    <t>61400000000</t>
  </si>
  <si>
    <t>CHARGES LOCAT &amp; DE COPROPRIETE</t>
  </si>
  <si>
    <t>PROVISIONS CHARGES DE COPROPRIETE</t>
  </si>
  <si>
    <t>PROVISIONS TAXE FONCIERE</t>
  </si>
  <si>
    <t>LOGEFIM-LOCATION IMMOBILIÈRE-FACTURE-FAC000222</t>
  </si>
  <si>
    <t>LOGEFIM-LOCATION IMMOBILIÈRE-FACTURE-FAC000224</t>
  </si>
  <si>
    <t>LOGEFIM-LOCATION IMMOBILIÈRE-FACTURE-FAC000224/ PROV COPRO</t>
  </si>
  <si>
    <t>LOGEFIM-LOCATION IMMOBILIÈRE-FACTURE-FAC000224/ PROV TF</t>
  </si>
  <si>
    <t>LOGEFIM-LOCATION IMMOBILIÈRE-FACTURE-FAC000230</t>
  </si>
  <si>
    <t>LOGEFIM-LOCATION IMMOBILIÈRE-PROV CHARGES COPRO</t>
  </si>
  <si>
    <t>LOGEFIM-LOCATION IMMOBILIÈRE-PROV CHARGES TF</t>
  </si>
  <si>
    <t>LOGEFIM-LOCATION IMMOBILIÈRE-FACTURE-FAC000235</t>
  </si>
  <si>
    <t>LOGEFIM-LOCATION IMMOBILIÈRE-FACTURE-FAC000243</t>
  </si>
  <si>
    <t>LOGEFIM-LOCATION IMMOBILIÈRE-FACTURE-FAC000245</t>
  </si>
  <si>
    <t>LOGEFIM-LOCATION IMMOBILIÈRE-FACTURE-FAC000255</t>
  </si>
  <si>
    <t>LOGEFIM-LOCATION IMMOBILIÈRE-FACTURE-FAC000257</t>
  </si>
  <si>
    <t>LOGEFIM- CHARGE COPRO</t>
  </si>
  <si>
    <t>LOGEFIM- PROV TF</t>
  </si>
  <si>
    <t>LOGEFIM-LOCATION IMMOBILIÈRE-FACTURE-FAC000270</t>
  </si>
  <si>
    <t>LOGEFIM-LOCATION IMMOBILIÈRE-FACTURE-FAC000279</t>
  </si>
  <si>
    <t>61252100000</t>
  </si>
  <si>
    <t>CREDIT BAIL SKODA GJ-472-DK</t>
  </si>
  <si>
    <t>EXTOURNE OD CHARGES LEASING SKODA GJ-472-DK - 3303</t>
  </si>
  <si>
    <t>61252200000</t>
  </si>
  <si>
    <t>CREDIT BAIL CLIO FZ-325-SX</t>
  </si>
  <si>
    <t>EXTOURNE OD CHARGES LEASING CLIO FZ-325-SX - 37843</t>
  </si>
  <si>
    <t>61353000000</t>
  </si>
  <si>
    <t>Location matériel de bureau</t>
  </si>
  <si>
    <t>EXTOURNE OD CHARGES COPIEURS MULTIFONCTION - A1M55</t>
  </si>
  <si>
    <t>61353100000</t>
  </si>
  <si>
    <t>LOCATION ALARME</t>
  </si>
  <si>
    <t>VERISURE-RÉPARATION ET ENTRETIEN SUR IMMEUBLES-FACTURE-SDCF47936559</t>
  </si>
  <si>
    <t xml:space="preserve">LOYER HT. ÉCHÉANCE: 06/01/2025 LOA: RENAULT CLIO FZ-325-SX BAILLEUR: </t>
  </si>
  <si>
    <t>08/01/2025</t>
  </si>
  <si>
    <t xml:space="preserve">LOYER HT. ÉCHÉANCE: 08/01/2025 LOA: SKODA SUPERB GJ-472-DK BAILLEUR: </t>
  </si>
  <si>
    <t>VERISURE-RÉPARATION ET ENTRETIEN SUR IMMEUBLES-FACTURE-SDCF48746826</t>
  </si>
  <si>
    <t>06/02/2025</t>
  </si>
  <si>
    <t xml:space="preserve">LOYER HT. ÉCHÉANCE: 06/02/2025 LOA: RENAULT CLIO FZ-325-SX BAILLEUR: </t>
  </si>
  <si>
    <t>08/02/2025</t>
  </si>
  <si>
    <t xml:space="preserve">LOYER HT. ÉCHÉANCE: 08/02/2025 LOA: SKODA SUPERB GJ-472-DK BAILLEUR: </t>
  </si>
  <si>
    <t>VERISURE/ ABONNEMENT TELESURVEILLANCE 03.2025</t>
  </si>
  <si>
    <t>06/03/2025</t>
  </si>
  <si>
    <t xml:space="preserve">LOYER HT. ÉCHÉANCE: 06/03/2025 LOA: RENAULT CLIO FZ-325-SX BAILLEUR: </t>
  </si>
  <si>
    <t>08/03/2025</t>
  </si>
  <si>
    <t xml:space="preserve">LOYER HT. ÉCHÉANCE: 08/03/2025 LOA: SKODA SUPERB GJ-472-DK BAILLEUR: </t>
  </si>
  <si>
    <t>BNP PARIBAS LEASE GROUP / LOC COPIEUR MULTIFONCTION</t>
  </si>
  <si>
    <t>61252400000</t>
  </si>
  <si>
    <t>CREDIT BAIL BMW</t>
  </si>
  <si>
    <t>ESTIMATION LOCATION 03</t>
  </si>
  <si>
    <t>VERISURE-RÉPARATION ET ENTRETIEN SUR IMMEUBLES-FACTURE-SDCF50458613</t>
  </si>
  <si>
    <t>06/04/2025</t>
  </si>
  <si>
    <t xml:space="preserve">LOYER HT. ÉCHÉANCE: 06/04/2025 LOA: RENAULT CLIO FZ-325-SX BAILLEUR: </t>
  </si>
  <si>
    <t>61252300000</t>
  </si>
  <si>
    <t>CREDIT BAIL SKODA FABIA HD-097-EZ</t>
  </si>
  <si>
    <t>VERISURE-RÉPARATION ET ENTRETIEN SUR IMMEUBLES-FACTURE-SDCF51301166</t>
  </si>
  <si>
    <t>06/05/2025</t>
  </si>
  <si>
    <t xml:space="preserve">LOYER HT. ÉCHÉANCE: 06/05/2025 LOA: RENAULT CLIO FZ-325-SX BAILLEUR: </t>
  </si>
  <si>
    <t>VERISURE-RÉPARATION ET ENTRETIEN SUR IMMEUBLES-FACTURE-SDCF52283718</t>
  </si>
  <si>
    <t>06/06/2025</t>
  </si>
  <si>
    <t xml:space="preserve">LOYER HT. ÉCHÉANCE: 06/06/2025 LOA: RENAULT CLIO FZ-325-SX BAILLEUR: </t>
  </si>
  <si>
    <t>12/06/2025</t>
  </si>
  <si>
    <t>BNP PARIBAS LEASE GROUP-LOCATION MOBILIÈRE AVEC OPTION D'ACHAT-FACTURE-FLG8G9098</t>
  </si>
  <si>
    <t>RCLST TVA 06.25</t>
  </si>
  <si>
    <t>BNP PARIBAS LEASE GROUP / LOC COPIEUR MULTIFONCTION JUN 2025</t>
  </si>
  <si>
    <t>EXTOURNE BNP PARIBAS LEASE GROUP-LOCATION MOBILIÈRE AVEC OPTION D'ACHAT-FACTURE-</t>
  </si>
  <si>
    <t>EXTOURNE BNP PARIBAS LEASE GROUP / LOC COPIEUR MULTIFONCTION JUN 2025</t>
  </si>
  <si>
    <t>VERISURE-RÉPARATION ET ENTRETIEN SUR IMMEUBLES-FACTURE-SDCF53057321</t>
  </si>
  <si>
    <t>06/07/2025</t>
  </si>
  <si>
    <t xml:space="preserve">LOYER HT. ÉCHÉANCE: 06/07/2025 LOA: RENAULT CLIO FZ-325-SX BAILLEUR: </t>
  </si>
  <si>
    <t>VERISURE-RÉPARATION ET ENTRETIEN SUR IMMEUBLES-FACTURE-SDCF53904171</t>
  </si>
  <si>
    <t>06/08/2025</t>
  </si>
  <si>
    <t xml:space="preserve">LOYER HT. ÉCHÉANCE: 06/08/2025 LOA: RENAULT CLIO FZ-325-SX BAILLEUR: </t>
  </si>
  <si>
    <t>VERISURE-RÉPARATION ET ENTRETIEN SUR IMMEUBLES-FACTURE-SDCF54903028</t>
  </si>
  <si>
    <t xml:space="preserve">LOYER HT. ÉCHÉANCE: 06/09/2025 LOA: RENAULT CLIO FZ-325-SX BAILLEUR: </t>
  </si>
  <si>
    <t>61353200000</t>
  </si>
  <si>
    <t>LOCATION VEHICULE</t>
  </si>
  <si>
    <t>SUPER U / LOC VEHICULE 1 JOUR</t>
  </si>
  <si>
    <t>17/09/2025</t>
  </si>
  <si>
    <t>VERISURE-RÉPARATION ET ENTRETIEN SUR IMMEUBLES-FACTURE-SDCF55894904</t>
  </si>
  <si>
    <t xml:space="preserve">LOYER HT. ÉCHÉANCE: 06/10/2025 LOA: RENAULT CLIO FZ-325-SX BAILLEUR: </t>
  </si>
  <si>
    <t>VERISURE-RÉPARATION ET ENTRETIEN SUR IMMEUBLES-FACTURE-SDCF56746141</t>
  </si>
  <si>
    <t>06/11/2025</t>
  </si>
  <si>
    <t xml:space="preserve">LOYER HT. ÉCHÉANCE: 06/11/2025 LOA: RENAULT CLIO FZ-325-SX BAILLEUR: </t>
  </si>
  <si>
    <t>VERISURE-RÉPARATION ET ENTRETIEN SUR IMMEUBLES-FACTURE-SDCF57686960</t>
  </si>
  <si>
    <t>06/12/2025</t>
  </si>
  <si>
    <t xml:space="preserve">LOYER HT. ÉCHÉANCE: 06/12/2025 LOA: RENAULT CLIO FZ-325-SX BAILLEUR: </t>
  </si>
  <si>
    <t>RCLST TVA CB SKODA FABIA</t>
  </si>
  <si>
    <t>RECLASSEMENT DE COMPTE/ ENTRETIEN COPIEUR</t>
  </si>
  <si>
    <t>61551300000</t>
  </si>
  <si>
    <t>ENTRETIEN COPIEUR</t>
  </si>
  <si>
    <t>61560000000</t>
  </si>
  <si>
    <t>MAINTENANCE</t>
  </si>
  <si>
    <t>MICROSOFT FRANCE-LOGICIEL SAAS-FACTURE-FR-TI2500014431</t>
  </si>
  <si>
    <t xml:space="preserve">CARTE X7179 APPLE.COM/BILL ITUN </t>
  </si>
  <si>
    <t>BJT PARTNERS   RINGOVER GROUP-COMMUNICATION-FACTURE-MO5041519-2025296213</t>
  </si>
  <si>
    <t>CANVA  -LOGICIEL SAAS-FACTURE-04392-24644298</t>
  </si>
  <si>
    <t>16/01/2025</t>
  </si>
  <si>
    <t>LINKEDIN IRELAND UNLIMITED COMPANY-LOGICIEL SAAS-FACTURE-78165260745</t>
  </si>
  <si>
    <t>23/01/2025</t>
  </si>
  <si>
    <t>APPLE DISTRIBUTION INTERNATIONAL LTD -LOGICIEL SAAS-FACTURE-200905216787</t>
  </si>
  <si>
    <t>29/01/2025</t>
  </si>
  <si>
    <t>MAINTENANCE - NORD VPN</t>
  </si>
  <si>
    <t>OPENAI-LOGICIEL SAAS-UNITED STATES DOLLAR-FACTURE-3009BEE6-0007</t>
  </si>
  <si>
    <t>02/02/2025</t>
  </si>
  <si>
    <t>61552000000</t>
  </si>
  <si>
    <t>ENTRETIEN SKODA GJ-472-DK</t>
  </si>
  <si>
    <t>ENTRETIEN SKODA GJ-472-DK/ LAVAGE VEHICULE/JETON / PAS DE DETAIL DONC MIS SUR SK</t>
  </si>
  <si>
    <t>MICROSOFT FRANCE FR-TI2500137814</t>
  </si>
  <si>
    <t>RINGOVER MAINTENANCE</t>
  </si>
  <si>
    <t xml:space="preserve">CARTE X7179 APPLE.COM/BILL 0805 </t>
  </si>
  <si>
    <t>CANVA 04423-25238881</t>
  </si>
  <si>
    <t>12/02/2025</t>
  </si>
  <si>
    <t>APPLE CHATBOX IA FRANCAIS</t>
  </si>
  <si>
    <t>16/02/2025</t>
  </si>
  <si>
    <t>LINKEDIN IRELAND UNLIMITED COMPANY-LOGICIEL SAAS-FACTURE-78173578703</t>
  </si>
  <si>
    <t>23/02/2025</t>
  </si>
  <si>
    <t>LECLUSE GJ 475 DK SKODA / ENTRETIEN VEHCIULE / FILTRE / HUILE / BOUGIES</t>
  </si>
  <si>
    <t>APPLE DISTRIBUTION INTERNATIONAL LTD -LOGICIEL SAAS-FACTURE-144918877281</t>
  </si>
  <si>
    <t>24/02/2025</t>
  </si>
  <si>
    <t>ENTRETIEN SKODA GJ-472-DK/ JETON LAVAGE VEHICULE / PAS DE DETAIL DONC MIS SUR SK</t>
  </si>
  <si>
    <t>NORD CHECKOUT-LOGICIEL SAAS-FACTURE-NRDCH-383119</t>
  </si>
  <si>
    <t>61520000000</t>
  </si>
  <si>
    <t>Entretien et réparations sur biens immobiliers</t>
  </si>
  <si>
    <t>ELEC 44-AUTRE MARCHANDISE-FACTURE-#FA831859</t>
  </si>
  <si>
    <t>MICROSOFTFRANCE</t>
  </si>
  <si>
    <t>APPLE DISTRIBUTION INTERNATIONAL LTD -LOCATION SUR BIEN MOBILIER OU INCORPORELS-</t>
  </si>
  <si>
    <t>RINGOVER / LICENCE POWER</t>
  </si>
  <si>
    <t>CANVA-LOGICIEL SAAS-FACTURE-04451-22846604-1</t>
  </si>
  <si>
    <t>LECLUSE AUTOMOBILES / REVIISON SKODA / FILTRE / HUILE...</t>
  </si>
  <si>
    <t>CHPROPRETE/ NETTOYAGE VITRES</t>
  </si>
  <si>
    <t>23/03/2025</t>
  </si>
  <si>
    <t>APPLE ONE / ABONNEMENT A PLUSIEURS APPLICATIFS APPLE</t>
  </si>
  <si>
    <t>61552100000</t>
  </si>
  <si>
    <t>ENTRETIEN CLIO FZ-325-SX</t>
  </si>
  <si>
    <t>EUR-AUTO / CHGMT PNEUS</t>
  </si>
  <si>
    <t>OPENAI-LOGICIEL SAAS-UNITED STATES DOLLAR-FACTURE-3009BEE6-0009</t>
  </si>
  <si>
    <t>61552200000</t>
  </si>
  <si>
    <t>Entretien BMW</t>
  </si>
  <si>
    <t>NORDVPN S A   PH-LOGICIEL SAAS-UNITED STATES DOLLAR-FACTURE</t>
  </si>
  <si>
    <t>MICROSOFT FRANCE FR-TI2500419163</t>
  </si>
  <si>
    <t>RENAULT DACIA   GEMY LE MANS-RÉPARATION ET ENTRETIEN SUR MATÉRIEL ET MOBILIER-FA</t>
  </si>
  <si>
    <t>RINGOVER / SOLUTION DE COMMUNICATION PRO</t>
  </si>
  <si>
    <t>CANVA  -LOGICIEL SAAS-FACTURE-04482-33227891</t>
  </si>
  <si>
    <t>CHPROPRETE-RÉPARATION ET ENTRETIEN SUR IMMEUBLES-FACTURE-0048</t>
  </si>
  <si>
    <t>APPLE PREMIUM</t>
  </si>
  <si>
    <t>29/04/2025</t>
  </si>
  <si>
    <t>EASY CLEAN SAINT SATURNIN 0006181</t>
  </si>
  <si>
    <t>MICROSOFT FRANCE G0901346511 UNITÉ POWER AUTOMATE PER USER PLAN - ONE-YEAR COMMI</t>
  </si>
  <si>
    <t>07/05/2025</t>
  </si>
  <si>
    <t>APPLE 1-11206950310</t>
  </si>
  <si>
    <t>BJT PARTNERS   RINGOVER GROUP-COMMUNICATION-FACTURE-MO5041519-2025338937</t>
  </si>
  <si>
    <t>10/05/2025</t>
  </si>
  <si>
    <t>CANVA-LOGICIEL SAAS-FACTURE-04512-24366959-1</t>
  </si>
  <si>
    <t>15/05/2025</t>
  </si>
  <si>
    <t>CHPROPRETE- NETTOYAGE VITRES</t>
  </si>
  <si>
    <t>APPLE 192957260637</t>
  </si>
  <si>
    <t>27/05/2025</t>
  </si>
  <si>
    <t>BJT PARTNERS   RINGOVER GROUP-COMMUNICATION-FACTURE-CR5041519-2025345724</t>
  </si>
  <si>
    <t>29/05/2025</t>
  </si>
  <si>
    <t>PLY-LOGICIEL SAAS-UNITED STATES DOLLAR-FACTURE-G4ZLPUKN-0001</t>
  </si>
  <si>
    <t>CENTRE DE CONTROLE EN AUTOMOBILE / CONTROLE TECHNIQUE</t>
  </si>
  <si>
    <t>RCLST TVA</t>
  </si>
  <si>
    <t>OPENAI-LOGICIEL SAAS-UNITED STATES DOLLAR-FACTURE-3009BEE6-0011</t>
  </si>
  <si>
    <t>MICROSOFT</t>
  </si>
  <si>
    <t>07/06/2025</t>
  </si>
  <si>
    <t>10/06/2025</t>
  </si>
  <si>
    <t>CANVA-LOGICIEL SAAS-FACTURE-04543-32381858-1</t>
  </si>
  <si>
    <t>16/06/2025</t>
  </si>
  <si>
    <t>ENEDIS / PROTECTION CHANTIER BT- BON COMPTE?</t>
  </si>
  <si>
    <t>23/06/2025</t>
  </si>
  <si>
    <t>VINCENT PARADIS-LOGICIEL SAAS-FACTURE</t>
  </si>
  <si>
    <t>29/06/2025</t>
  </si>
  <si>
    <t>PLY-LOGICIEL SAAS-UNITED STATES DOLLAR-FACTURE-G4ZLPUKN-0002</t>
  </si>
  <si>
    <t>OPENAI-LOGICIEL SAAS-UNITED STATES DOLLAR-FACTURE-3009BEE6-0012</t>
  </si>
  <si>
    <t>CH PROPRETE</t>
  </si>
  <si>
    <t>REACTEUR-LOGICIEL/ ABO AIDE STRATEGIQUE 07.25 AU 06.26</t>
  </si>
  <si>
    <t>RECLASSEMENT DE COMPTE RINGOVER</t>
  </si>
  <si>
    <t>07/07/2025</t>
  </si>
  <si>
    <t>APPLE</t>
  </si>
  <si>
    <t>CANVA 04573-30843177-1</t>
  </si>
  <si>
    <t>APPLE ONE PREMIUM</t>
  </si>
  <si>
    <t>PLY-LOGICIEL SAAS-UNITED STATES DOLLAR-FACTURE-G4ZLPUKN-0003</t>
  </si>
  <si>
    <t>30/07/2025</t>
  </si>
  <si>
    <t>CHPROPRETE-RÉPARATION ET ENTRETIEN SUR IMMEUBLES-FACTURE-0115</t>
  </si>
  <si>
    <t>EASY CLEAN SAINT SATURNIN 0007433</t>
  </si>
  <si>
    <t>PDF-LOGICIEL / ILOVEPDF 1 AN</t>
  </si>
  <si>
    <t>07/08/2025</t>
  </si>
  <si>
    <t>10/08/2025</t>
  </si>
  <si>
    <t>CANVA 04604-14967221-1</t>
  </si>
  <si>
    <t>23/08/2025</t>
  </si>
  <si>
    <t>26/08/2025</t>
  </si>
  <si>
    <t>CHPROPRETE-RÉPARATION ET ENTRETIEN SUR IMMEUBLES-FACTURE-0128</t>
  </si>
  <si>
    <t>PLY</t>
  </si>
  <si>
    <t>MICROSOFT FRANCE G110782228</t>
  </si>
  <si>
    <t>CANVA-LOGICIEL SAAS-FACTURE-04635-23283681-1</t>
  </si>
  <si>
    <t>23/09/2025</t>
  </si>
  <si>
    <t>25/09/2025</t>
  </si>
  <si>
    <t>CHPROPRETE-RÉPARATION ET ENTRETIEN SUR IMMEUBLES-FACTURE-0131</t>
  </si>
  <si>
    <t>28/09/2025</t>
  </si>
  <si>
    <t>MICROSOFT FRANCE / MICROSOFT 365 27/09/25 AU 26/09/26</t>
  </si>
  <si>
    <t>PLY-LOGICIEL SAAS-UNITED STATES DOLLAR-FACTURE-G4ZLPUKN-0005</t>
  </si>
  <si>
    <t>07/10/2025</t>
  </si>
  <si>
    <t>APPLE ML4K1KLYTV</t>
  </si>
  <si>
    <t>CANVA-LOGICIEL SAAS-FACTURE-04665-20524797-1</t>
  </si>
  <si>
    <t>APPLE / LOGICIEL POWER POINT</t>
  </si>
  <si>
    <t xml:space="preserve">EASY CLEAN SAINT SATURNIN 0007066/ QUEL VEHICULE ? </t>
  </si>
  <si>
    <t>EASY CLEAN SAINT SATURNIN 0007785/ QUEL VEHICULE ?</t>
  </si>
  <si>
    <t>23/10/2025</t>
  </si>
  <si>
    <t>APPLE 760039219892</t>
  </si>
  <si>
    <t>27/10/2025</t>
  </si>
  <si>
    <t>CHPROPRETE-RÉPARATION ET ENTRETIEN SUR IMMEUBLES-FACTURE-0158</t>
  </si>
  <si>
    <t>CARTE X7179 PLY.IO         30/1 / FACT 8$??</t>
  </si>
  <si>
    <t>OPENAI 3009BEE6-0016 USD 20.0</t>
  </si>
  <si>
    <t>10/11/2025</t>
  </si>
  <si>
    <t>CANVA 04696-23253853-1</t>
  </si>
  <si>
    <t>APPLE/</t>
  </si>
  <si>
    <t>APPLE - VINCENT PARADIS-LOCATION SUR BIEN MOBILIER OU INCORPORELS-FACTURE</t>
  </si>
  <si>
    <t>19/11/2025</t>
  </si>
  <si>
    <t>EASY CLEAN SAINT SATURNIN 0007946</t>
  </si>
  <si>
    <t xml:space="preserve">CHPROPRETE- NETTOYAGE VITRE </t>
  </si>
  <si>
    <t>23/11/2025</t>
  </si>
  <si>
    <t>APPLE 824053166326</t>
  </si>
  <si>
    <t>OPENAI-LOGICIEL SAAS-UNITED STATES DOLLAR-FACTURE-3009BEE6-0017</t>
  </si>
  <si>
    <t>LE MANS SUD AUTO-VÉHICULE/ CHGMT PNEU</t>
  </si>
  <si>
    <t>APPLE ML4K73G2D6</t>
  </si>
  <si>
    <t>10/12/2025</t>
  </si>
  <si>
    <t>CANVA-LOGICIEL SAAS-FACTURE-04726-23328791-1</t>
  </si>
  <si>
    <t>23/12/2025</t>
  </si>
  <si>
    <t xml:space="preserve">CCA REACTEUR LOG / ABO AIDE STRATEGIQUE 01.26 AU 06.26 </t>
  </si>
  <si>
    <t>CCA MICROSOFT 365 / 01/26 AU 26/06/26</t>
  </si>
  <si>
    <t>62311000000</t>
  </si>
  <si>
    <t>APPELS OBTINEO</t>
  </si>
  <si>
    <t>EXTOURNE APPELS OBTINEO 12/24 2024</t>
  </si>
  <si>
    <t>EXTOURNE LOCATION 3 NUMEROS (JANVIER 2025) 2024</t>
  </si>
  <si>
    <t>62310000000</t>
  </si>
  <si>
    <t>ANNONCES &amp; INSERTIONS</t>
  </si>
  <si>
    <t>UBIFLOW-ESPACE PUBLICITAIRE-FACTURE-F122638</t>
  </si>
  <si>
    <t>AZUR CONSEIL-CONSEIL-FACTURE-FA2501-4770</t>
  </si>
  <si>
    <t>14/01/2025</t>
  </si>
  <si>
    <t>62340000000</t>
  </si>
  <si>
    <t>Cadeaux clientèle</t>
  </si>
  <si>
    <t>CADEAUX CLIENTÈLE  - CARTE JEU COCOURS MIKIT</t>
  </si>
  <si>
    <t>SCM LOCAL-ESPACE PUBLICITAIRE-FACTURE-5FR0524431</t>
  </si>
  <si>
    <t>25/01/2025</t>
  </si>
  <si>
    <t>AZUR CONSEIL-CONSEIL-FACTURE-FA2501-4825</t>
  </si>
  <si>
    <t>AGENCE BLVU-CONSEIL-FACTURE-FAC00000758</t>
  </si>
  <si>
    <t>UBIFLOW-LOGICIEL SAAS-FACTURE-F125050</t>
  </si>
  <si>
    <t>AZUR CONSEIL-CONSEIL-FACTURE-FA2502-4829/ JANVIER 2025</t>
  </si>
  <si>
    <t>07/02/2025</t>
  </si>
  <si>
    <t>62341000000</t>
  </si>
  <si>
    <t>DOTATION CLUB</t>
  </si>
  <si>
    <t>MIKIT FRANCE-ESPACE PUBLICITAIRE-FACTURE-FI04228</t>
  </si>
  <si>
    <t>VISTAPRINT-IMPRIMÉ / FLYERS ET TRACTS</t>
  </si>
  <si>
    <t>19/02/2025</t>
  </si>
  <si>
    <t>62380000000</t>
  </si>
  <si>
    <t>Divers (pourboires, dons...)</t>
  </si>
  <si>
    <t>CHEQUE NO 9976086/ SPONSORING RUGBY LE MANS / ATENTE CERFA</t>
  </si>
  <si>
    <t>SCM LOCAL-ESPACE PUBLICITAIRE-FACTURE-5FR0555330/ PACK SMART 10</t>
  </si>
  <si>
    <t>62810000000</t>
  </si>
  <si>
    <t>CONCOURS DIVERS (COTISATIONS)</t>
  </si>
  <si>
    <t>S A S A-CONSEIL-FACTURE-FA001021 / DOSSIER FROGER</t>
  </si>
  <si>
    <t>AGENCE BLVU-IMPRIMÉ PUBLICITAIRE-FACTURE-FAC00000763/ SUPPORT DE COM FLECHAGE</t>
  </si>
  <si>
    <t>AZUR CONSEIL-CONSEIL-FACTURE-FA2502-4880 / LOC 3 NUMEROS (MARS 2025)</t>
  </si>
  <si>
    <t>AGENCE BLVU-CONSEIL-FACTURE-FAC00000787</t>
  </si>
  <si>
    <t>62330000000</t>
  </si>
  <si>
    <t>Foires et expositions</t>
  </si>
  <si>
    <t>CENTRE DES EXPOSITIONS LE MANS/ SALON MAISON 2025 ACPTE</t>
  </si>
  <si>
    <t>MIKIT FRANCE-ESPACE PUBLICITAIRE-FACTURE-FI04278</t>
  </si>
  <si>
    <t>02/03/2025</t>
  </si>
  <si>
    <t>UBIFLOW-ESPACE / F125880 / ABONNEMENT MENUSEL MONO DIFFUSION</t>
  </si>
  <si>
    <t>AZUR CONSEIL-CONSEIL-FACTURE-FA2503-4884</t>
  </si>
  <si>
    <t>S A S A-CONSEIL-FACTURE-FA001032 / FRAIS DE GESTION GENOT</t>
  </si>
  <si>
    <t>S A S A-CONSEIL-FACTURE-FA001033/ FRAIS DE GESTION POULIO</t>
  </si>
  <si>
    <t>14/03/2025</t>
  </si>
  <si>
    <t>LE MANS EVENEMENTS-EXPOSANT-FACTURE-1098876 / SALON DE L'HABITAT</t>
  </si>
  <si>
    <t>SCM LOCAL-ESPACE PUBLICITAIRE-FACTURE-5FR0582590</t>
  </si>
  <si>
    <t>AZUR CONSEIL ADHESION MENSUEL</t>
  </si>
  <si>
    <t>AGENCE BLVU-CONSEIL-FACTURE-FAC00000821</t>
  </si>
  <si>
    <t>UBIFLOW-ESPACE PUBLICITAIRE-FACTURE-F126956</t>
  </si>
  <si>
    <t>AZUR CONSEIL-CONSEIL-FACTURE-FA2504-4939</t>
  </si>
  <si>
    <t>S A S A-CONSEIL-FACTURE-FA001052</t>
  </si>
  <si>
    <t>21/04/2025</t>
  </si>
  <si>
    <t>SCM LOCAL-ESPACE PUBLICITAIRE-FACTURE-5FR0596007</t>
  </si>
  <si>
    <t>AZUR CONSEIL-CONSEIL-FACTURE-FA2504-4995</t>
  </si>
  <si>
    <t>AGENCE BLVU-CONSEIL-FACTURE-FAC00000849</t>
  </si>
  <si>
    <t>UBIFLOW-ESPACE PUBLICITAIRE-FACTURE-F129282</t>
  </si>
  <si>
    <t>MIKIT FRANCE-ESPACE PUBLICITAIRE-FACTURE-FI04384/ DOTATION CLUB</t>
  </si>
  <si>
    <t>AZUR CONSEIL-CONSEIL-FACTURE-FA2505-4996</t>
  </si>
  <si>
    <t>CHEQUE NO 9976087 SPONSORING RCM 1</t>
  </si>
  <si>
    <t>S A S A-CONSEIL-FACTURE-FA001074/ FRAIS MOREAU</t>
  </si>
  <si>
    <t>FLEURS</t>
  </si>
  <si>
    <t>17/05/2025</t>
  </si>
  <si>
    <t>US GUECELARD / DONS FOOT</t>
  </si>
  <si>
    <t>SCM LOCAL-ESPACE PUBLICITAIRE-FACTURE-5FR0631356</t>
  </si>
  <si>
    <t>S A S A-CONSEIL-FACTURE-FA001088/ FRAIS DE GESTION PARTAUD</t>
  </si>
  <si>
    <t>S A S A-CONSEIL-FACTURE-FA001089/ FRAIS DE GESTION WARNET/BRIFFAULT</t>
  </si>
  <si>
    <t>25/05/2025</t>
  </si>
  <si>
    <t>AZUR CONSEIL-CONSEIL-FACTURE-FA2505-5049</t>
  </si>
  <si>
    <t>AGENCE BLVU-CONSEIL-FACTURE-FAC00000877</t>
  </si>
  <si>
    <t>CADEAUX CLIENT</t>
  </si>
  <si>
    <t>MIKIT FRANCE-ESPACE PUBLICITAIRE-FACTURE-FI04444</t>
  </si>
  <si>
    <t>UBIFLOW-LOGICIEL SAAS-FACTURE-F130343</t>
  </si>
  <si>
    <t>LE MANS EVENEMENTS-EXPOSANT-FACTURE-1099165 / ACOMPTE</t>
  </si>
  <si>
    <t>AZUR CONSEIL-CONSEIL-FACTURE-FA2506-5051</t>
  </si>
  <si>
    <t>08/06/2025</t>
  </si>
  <si>
    <t>2 PLACES 24H DU MANS / OK PRO?</t>
  </si>
  <si>
    <t>S A S A-CONSEIL-FACTURE-FA001110 / FRAIS DE GESTION PLUQUIN-GIRARD</t>
  </si>
  <si>
    <t>SCM LOCAL-ESPACE PUBLICITAIRE-FACTURE-5FR0657756</t>
  </si>
  <si>
    <t>25/06/2025</t>
  </si>
  <si>
    <t>AZUR CONSEIL-CONSEIL-FACTURE-FA2506-5100</t>
  </si>
  <si>
    <t>S A S A-CONSEIL-FACTURE-FA001131 / FRAIS BERNARD</t>
  </si>
  <si>
    <t>00 META-ESPACE PUBLICITAIRE-FACTURE-10096159587167719</t>
  </si>
  <si>
    <t>BLVU 06.25 JUN 2025</t>
  </si>
  <si>
    <t>AZUR CONSEIL-CONSEIL-FACTURE-FA2506-5100 JUN 2025</t>
  </si>
  <si>
    <t>AZUR CONSEIL 06.25 JUN 2025</t>
  </si>
  <si>
    <t>LE MANS EVENEMENTS-EXPOSANT-FACTURE-1099165 JUN 2025</t>
  </si>
  <si>
    <t>EXTOURNE BLVU 06.25 JUN 2025</t>
  </si>
  <si>
    <t xml:space="preserve">BLVU / </t>
  </si>
  <si>
    <t>EXTOURNE LOCATION 3 NUMEROS (JANVIER 2025) JUN 2025</t>
  </si>
  <si>
    <t>EXTOURNE AZUR CONSEIL-CONSEIL-FACTURE-FA2506-5100 JUN 2025</t>
  </si>
  <si>
    <t>EXTOURNE AZUR CONSEIL 06.25 JUN 2025</t>
  </si>
  <si>
    <t>EXTOURNE LE MANS EVENEMENTS-EXPOSANT-FACTURE-1099165 JUN 2025</t>
  </si>
  <si>
    <t>LE MANS EVENEMENTS-EXPOSANT-FACTURE-1099396</t>
  </si>
  <si>
    <t>EXT BEBE 9 / PERSO</t>
  </si>
  <si>
    <t>UBIFLOW-LOGICIEL SAAS-FACTURE-F131543</t>
  </si>
  <si>
    <t>03/07/2025</t>
  </si>
  <si>
    <t>ACO / PLACE LE MANS CLASSIQUE</t>
  </si>
  <si>
    <t>S A S A-CONSEIL-FACTURE-FA001146/ BIGARET/CHENIOUR</t>
  </si>
  <si>
    <t>S A S A-CONSEIL-FACTURE-FA001145 / DOSSIER PROTIN/SUBRANE</t>
  </si>
  <si>
    <t>META PLATFORMS IRELAND LIMITED FBADS-654-104658101</t>
  </si>
  <si>
    <t>META / PUB</t>
  </si>
  <si>
    <t>AZUR CONSEIL-CONSEIL-FACTURE-FA2507-5101</t>
  </si>
  <si>
    <t>S A S A-CONSEIL-FACTURE-FA001152/ TILLIET PECQUEUR</t>
  </si>
  <si>
    <t>16/07/2025</t>
  </si>
  <si>
    <t>S A S A-CONSEIL-FACTURE-FA001158/ CARDOSO RYCKEWAERT</t>
  </si>
  <si>
    <t>S A S A-CONSEIL-FACTURE-FA001159/ JOURNEAUX/THINARD</t>
  </si>
  <si>
    <t>21/07/2025</t>
  </si>
  <si>
    <t>SCM LOCAL-ESPACE PUBLICITAIRE-FACTURE-5FR0688599</t>
  </si>
  <si>
    <t>22/07/2025</t>
  </si>
  <si>
    <t xml:space="preserve">VIR INST VERS CHARLENE GIRARD/ MVT TRESO = SASA ? </t>
  </si>
  <si>
    <t>AZUR CONSEIL-CONSEIL-FACTURE-FA2507-5147</t>
  </si>
  <si>
    <t>S A S A-CONSEIL-FACTURE-FA001187/ TOLUAFE</t>
  </si>
  <si>
    <t>AGENCE BLVU-CONSEIL-FACTURE-FAC00000949</t>
  </si>
  <si>
    <t>S A S A-FACTURE-FA001153/ DALLE</t>
  </si>
  <si>
    <t>UBIFLOW-LOGICIEL SAAS-FACTURE-F134009</t>
  </si>
  <si>
    <t>AZUR CONSEIL-CONSEIL-FACTURE-FA2508-5149</t>
  </si>
  <si>
    <t>DARTY MAC BOOK JEU CONCOURS</t>
  </si>
  <si>
    <t>ATELIER VEGETAL 37/ FLEUR</t>
  </si>
  <si>
    <t>LE BON COIN</t>
  </si>
  <si>
    <t>25/08/2025</t>
  </si>
  <si>
    <t>AZUR CONSEIL-CONSEIL-FACTURE-FA2508-5191</t>
  </si>
  <si>
    <t>30/08/2025</t>
  </si>
  <si>
    <t>00 META-ESPACE PUBLICITAIRE-FACTURE-24355886694101775</t>
  </si>
  <si>
    <t>ADDITI MULTIMEDIA-ESPACE PUBLICITAIRE-FACTURE-250804411U</t>
  </si>
  <si>
    <t>AGENCE BLVU-CONSEIL-FACTURE-FAC00000981</t>
  </si>
  <si>
    <t>AGENCE BLVU-CONSEIL-FACTURE-FAC00000983</t>
  </si>
  <si>
    <t>UBIFLOW-LOGICIEL SAAS-FACTURE-F135635</t>
  </si>
  <si>
    <t>S A S A-FA001210/ DOSSIER CHAFIOL</t>
  </si>
  <si>
    <t>03/09/2025</t>
  </si>
  <si>
    <t>S A S A--FA001212/ DOSSIER TRIDON/TRANCHARD</t>
  </si>
  <si>
    <t>04/09/2025</t>
  </si>
  <si>
    <t>AZUR CONSEIL-CONSEIL-FACTURE-FA2509-5194</t>
  </si>
  <si>
    <t>S A S A-CONSEIL-FACTURE-FA001214/ DOSSIER SERAFIN</t>
  </si>
  <si>
    <t>CJD / COTISATION NATIONALE + REGIONALE + SECTION</t>
  </si>
  <si>
    <t>19/09/2025</t>
  </si>
  <si>
    <t>61850000000</t>
  </si>
  <si>
    <t>FRAIS COLLOQUES SEMIN CONFER</t>
  </si>
  <si>
    <t xml:space="preserve">L ENCEINTE SPORTIVE-COACHING SANTE </t>
  </si>
  <si>
    <t>22/09/2025</t>
  </si>
  <si>
    <t>SCM LOCAL-ESPACE PUBLICITAIRE-FACTURE-5FR0740194</t>
  </si>
  <si>
    <t>AZUR CONSEIL-CONSEIL-FACTURE-FA2509-5232</t>
  </si>
  <si>
    <t>ADDITI MULTIMEDIA-ESPACE PUBLICITAIRE-FACTURE-250904458U</t>
  </si>
  <si>
    <t>AGENCE BLVU-CONSEIL-FACTURE-FAC00000989</t>
  </si>
  <si>
    <t>00 META-ESPACE PUBLICITAIRE-FACTURE-24798334939856947</t>
  </si>
  <si>
    <t>MIKIT FRANCE- DOTATION CLUB</t>
  </si>
  <si>
    <t>UBIFLOW-LOGICIEL SAAS-FACTURE-F137458</t>
  </si>
  <si>
    <t>AZUR CONSEIL-CONSEIL-FACTURE-FA2510-5234</t>
  </si>
  <si>
    <t>SCM LOCAL-ESPACE PUBLICITAIRE-FACTURE-5FR0767540</t>
  </si>
  <si>
    <t>S A S A-CONSEIL-FACTURE-FA001272/ DOSSIER CLEMENT</t>
  </si>
  <si>
    <t>S A S A-FA001273/ DOSSIER CIMOLI+GRENIER</t>
  </si>
  <si>
    <t>AZUR CONSEIL-CONSEIL-FACTURE-FA2510-5266</t>
  </si>
  <si>
    <t>NK CAMP / DON CAMP BASKET / CERFA OK</t>
  </si>
  <si>
    <t>30/10/2025</t>
  </si>
  <si>
    <t>META PLATFORMS IRELAND LIMITED 24959836797040089</t>
  </si>
  <si>
    <t>ADDITI MULTIMEDIA-ESPACE PUBLICITAIRE-FACTURE-251004506U</t>
  </si>
  <si>
    <t>AGENCE BLVU-CONSEIL-FACTURE-FAC00001040</t>
  </si>
  <si>
    <t>SCM LOCAL-ESPACE PUBLICITAIRE-FACTURE-5FR0776068</t>
  </si>
  <si>
    <t>MIKIT DOTATION CLUB</t>
  </si>
  <si>
    <t>02/11/2025</t>
  </si>
  <si>
    <t>UBIFLOW-LOGICIEL SAAS-FACTURE-F139894</t>
  </si>
  <si>
    <t>AZUR CONSEIL-CONSEIL-FACTURE-FA2511-5268</t>
  </si>
  <si>
    <t>FORMATION / CREATION DE VALEUR STRATEGIE ET PILOTAGE A PARIS 15.01.26</t>
  </si>
  <si>
    <t>UBIFLOW-LOGICIEL SAAS-FACTURE-F141324</t>
  </si>
  <si>
    <t>SCM LOCAL-ESPACE PUBLICITAIRE-FACTURE-5FR0794788</t>
  </si>
  <si>
    <t>25/11/2025</t>
  </si>
  <si>
    <t>AZUR CONSEIL-CONSEIL-FACTURE-FA2511-5298</t>
  </si>
  <si>
    <t>ADDITI MULTIMEDIA-ESPACE PUBLICITAIRE-FACTURE-251103126U</t>
  </si>
  <si>
    <t>AGENCE BLVU-CONSEIL-FACTURE-FAC00001065</t>
  </si>
  <si>
    <t>SCM LOCAL-ESPACE PUBLICITAIRE-FACTURE-5FR0803115</t>
  </si>
  <si>
    <t>MIKIT FRANCE-ESPACE PUBLICITAIRE-DOT CLUB</t>
  </si>
  <si>
    <t>UBIFLOW-LOGICIEL SAAS-FACTURE-F141580</t>
  </si>
  <si>
    <t>UBIFLOW-LOGICIEL SANS JUSTIF</t>
  </si>
  <si>
    <t>03/12/2025</t>
  </si>
  <si>
    <t>S A S A-CONSEIL-FACTURE-FA001305 TOUATI</t>
  </si>
  <si>
    <t>AZUR CONSEIL-CONSEIL-FACTURE-FA2512-5300</t>
  </si>
  <si>
    <t>17/12/2025</t>
  </si>
  <si>
    <t>S A S A-FA001325/ CHEVEREAU-PICHARD FRAIS DE GESTION</t>
  </si>
  <si>
    <t>22/12/2025</t>
  </si>
  <si>
    <t>SCM LOCAL-ESPACE PUBLICITAIRE-FACTURE-5FR0819280</t>
  </si>
  <si>
    <t>25/12/2025</t>
  </si>
  <si>
    <t>ADDITI MULTIMEDIA-ESPACE PUBLICITAIRE-FACTURE-251202085U</t>
  </si>
  <si>
    <t>SCM LOCAL-ESPACE PUBLICITAIRE-FACTURE-5FR0830161</t>
  </si>
  <si>
    <t>AGENCE BLVU-CONSEIL-FACTURE-FAC00001092</t>
  </si>
  <si>
    <t>CCA AZUR CONSEIL JANVIER26</t>
  </si>
  <si>
    <t>FNP AZUR CONSEIL DECEMBRE 25</t>
  </si>
  <si>
    <t>CJD / COTISATION NATIONALE + REGIONALE + SECTION 2025</t>
  </si>
  <si>
    <t>62700000000</t>
  </si>
  <si>
    <t>Services bancaires</t>
  </si>
  <si>
    <t xml:space="preserve">FRAIS FRAIS VIREMENT SEPA INSTA </t>
  </si>
  <si>
    <t xml:space="preserve">FRAIS FACTURE CR DIT AGRICOLE 2 </t>
  </si>
  <si>
    <t>62620000000</t>
  </si>
  <si>
    <t>Frais de télécommunication</t>
  </si>
  <si>
    <t>NUMERO - 08/01/2025 - 07/02/2025</t>
  </si>
  <si>
    <t>62610000000</t>
  </si>
  <si>
    <t>Frais d'affranchissements</t>
  </si>
  <si>
    <t>LA POSTE-COMMUNICATION-FACTURE-F002AA002260726</t>
  </si>
  <si>
    <t>ORANGE-COMMUNICATION-FACTURE-02C625F553 25A3- 1X01</t>
  </si>
  <si>
    <t>NUMERO 22/01/25 - 02/02/25</t>
  </si>
  <si>
    <t>LA POSTE-COMMUNICATION-FACTURE-F002AA002539903</t>
  </si>
  <si>
    <t>28/01/2025</t>
  </si>
  <si>
    <t>LA POSTE-COMMUNICATION-FACTURE-F002AA002565195</t>
  </si>
  <si>
    <t xml:space="preserve">FOURNITURE CARTE D BIT </t>
  </si>
  <si>
    <t xml:space="preserve">FRAIS CARTE  TRANGER HORS UE </t>
  </si>
  <si>
    <t>LIXXBAIL BFN6611829 / FRAIS DE SUIVI ASSURANCE SKODA</t>
  </si>
  <si>
    <t>LA POSTE-COMMUNICATION-FACTURE-F002AA002723680</t>
  </si>
  <si>
    <t>13/02/2025</t>
  </si>
  <si>
    <t>ORANGE 02C625F55325B1-1X02</t>
  </si>
  <si>
    <t>LA POSTE-COMMUNICATION-FACTURE-F002AA002892773</t>
  </si>
  <si>
    <t>26/02/2025</t>
  </si>
  <si>
    <t xml:space="preserve">CARTE X7179 LA POSTE L729320 LE </t>
  </si>
  <si>
    <t>RINGOVER / COMMUNICATION SMS</t>
  </si>
  <si>
    <t>LA POSTE-COMMUNICATION-FACTURE-F002AA003186041</t>
  </si>
  <si>
    <t>LA POSTE</t>
  </si>
  <si>
    <t>12/03/2025</t>
  </si>
  <si>
    <t>ORANGE</t>
  </si>
  <si>
    <t>21/03/2025</t>
  </si>
  <si>
    <t>27/03/2025</t>
  </si>
  <si>
    <t>04/04/2025</t>
  </si>
  <si>
    <t>LA POSTE-COMMUNICATION-FACTURE-F002AA003705152</t>
  </si>
  <si>
    <t>LA POSTE-COMMUNICATION-FACTURE-F002AA003734500</t>
  </si>
  <si>
    <t>14/04/2025</t>
  </si>
  <si>
    <t>LA POSTE-COMMUNICATION-FACTURE-F002AA003847029</t>
  </si>
  <si>
    <t>15/04/2025</t>
  </si>
  <si>
    <t>22/04/2025</t>
  </si>
  <si>
    <t>LA POSTE-TRANSPORT DE PERSONNES-FACTURE-F002AA003973254</t>
  </si>
  <si>
    <t>14/05/2025</t>
  </si>
  <si>
    <t xml:space="preserve">ORANGE </t>
  </si>
  <si>
    <t>LA POSTE-COMMUNICATION-FACTURE-FBGP250000184314</t>
  </si>
  <si>
    <t>13/06/2025</t>
  </si>
  <si>
    <t>ORANGE 02C625F55325E3-1X06</t>
  </si>
  <si>
    <t>SFR-COMMUNICATION-FACTURE-610522421476</t>
  </si>
  <si>
    <t>18/06/2025</t>
  </si>
  <si>
    <t>SFR</t>
  </si>
  <si>
    <t>LA POSTE-COMMUNICATION-FACTURE-FBGP250000243268</t>
  </si>
  <si>
    <t>LA POSTE-COMMUNICATION-AVOIR-ABGP250000243267
FBGP250000147508</t>
  </si>
  <si>
    <t>RECLASSEMENT DE CPTE RGLT FACT DU 12.05.25</t>
  </si>
  <si>
    <t>BJT PARTNERS   RINGOVER GROUP-COMMUNICATION-FACTURE-MO5041519-2025360895</t>
  </si>
  <si>
    <t>SOCIETE FRANCAISE DU RADIOTELEPHONE   S F R-COMMUNICATION-FACTURE-B225-012786984</t>
  </si>
  <si>
    <t>15/07/2025</t>
  </si>
  <si>
    <t>ORANGE 02C625F55325F1-1X07</t>
  </si>
  <si>
    <t>LA POSTE-COMMUNICATION-FACTURE-FBGP250000278090</t>
  </si>
  <si>
    <t>BJT PARTNERS   RINGOVER GROUP-COMMUNICATION-FACTURE-MO5041519-2025371761</t>
  </si>
  <si>
    <t>63540000000</t>
  </si>
  <si>
    <t>Droits enregistrement timbres</t>
  </si>
  <si>
    <t>ORANGE 02C625F55325F9-1X08</t>
  </si>
  <si>
    <t>13/08/2025</t>
  </si>
  <si>
    <t>SFDR-S B225-0145623091 UNITÉ FORFAIT RED (ID 1)</t>
  </si>
  <si>
    <t>21/08/2025</t>
  </si>
  <si>
    <t>BJT PARTNERS   RINGOVER GROUP-COMMUNICATION-FACTURE-CR5041519-2025376089</t>
  </si>
  <si>
    <t>AR24-LOGICIEL / LETTRE ELECTRONIQUE</t>
  </si>
  <si>
    <t>LA POSTE-COMMUNICATION-FACTURE-FBGP250000298521</t>
  </si>
  <si>
    <t>BJT PARTNERS   RINGOVER GROUP-COMMUNICATION-FACTURE-MO5041519-2025382317</t>
  </si>
  <si>
    <t>ORANGE 02C625F553_25G7-1X09</t>
  </si>
  <si>
    <t>13/09/2025</t>
  </si>
  <si>
    <t>SOCIETE FRANCAISE DU RADIOTELEPHONE   S F R-COMMUNICATION-FACTURE-B225-016591203</t>
  </si>
  <si>
    <t>LA POSTE- TIMBRE/LETTRE</t>
  </si>
  <si>
    <t>03/10/2025</t>
  </si>
  <si>
    <t xml:space="preserve">INT RETS D BITEURS </t>
  </si>
  <si>
    <t>AVOIR COTI CONTRAT PRO PROF LIB</t>
  </si>
  <si>
    <t>BJT PARTNERS   RINGOVER GROUP-COMMUNICATION-FACTURE-MO5041519-2025393548</t>
  </si>
  <si>
    <t>09/10/2025</t>
  </si>
  <si>
    <t>LA POSTE-COMMUNICATION-FACTURE-F002AA006516182</t>
  </si>
  <si>
    <t>FACT SGT</t>
  </si>
  <si>
    <t>SOCIETE FRANCAISE DU RADIOTELEPHONE   S F R-COMMUNICATION-FACTURE-B225-018558802</t>
  </si>
  <si>
    <t>ORANGE 02C625F553_25H5-1X10</t>
  </si>
  <si>
    <t>ABON CYBERPLUS ENT</t>
  </si>
  <si>
    <t>VIREMENT SUITE OUVERTURE LIVRET OPTI+</t>
  </si>
  <si>
    <t>OFFRE PROMOTIONNELLE / BIENVENUE PRO</t>
  </si>
  <si>
    <t>F FRAIS DE GARANTIE</t>
  </si>
  <si>
    <t>RETRO ABON CYBERPLUS</t>
  </si>
  <si>
    <t>COTIS RYTHMEO</t>
  </si>
  <si>
    <t>SOUS CAPITAL</t>
  </si>
  <si>
    <t>LA POSTE-COMMUNICATION-FACTURE-FBGP250000369636</t>
  </si>
  <si>
    <t>03/11/2025</t>
  </si>
  <si>
    <t xml:space="preserve">FRAIS CARTE UE HORS ZONE EURO </t>
  </si>
  <si>
    <t>08/11/2025</t>
  </si>
  <si>
    <t>BJT PARTNERS   RINGOVER GROUP-COMMUNICATION-FACTURE-MO5041519-2025404824</t>
  </si>
  <si>
    <t>13/11/2025</t>
  </si>
  <si>
    <t>SOCIETE FRANCAISE DU RADIOTELEPHONE   S F R-COMMUNICATION-FACTURE-B225-020557232</t>
  </si>
  <si>
    <t>COMMISSION. ÉCHÉANCE: 11/16/2025 PRÊT: EMPRUNT BPGO 10 624.67 € V2 PRÊTEUR: BANQ</t>
  </si>
  <si>
    <t>COMMISSION. ÉCHÉANCE: 11/16/2025 PRÊT: EMPRUNT BPGO 10K € PRÊTEUR: BANQUE POPULA</t>
  </si>
  <si>
    <t>18/11/2025</t>
  </si>
  <si>
    <t>LA POSTE-COMMUNICATION-FACTURE-FBGP250000402443</t>
  </si>
  <si>
    <t>BJT PARTNERS   RINGOVER GROUP-COMMUNICATION-FACTURE-CR5041519-2025414071</t>
  </si>
  <si>
    <t>BJT PARTNERS   RINGOVER GROUP-COMMUNICATION-FACTURE-MO5041519-2025415551</t>
  </si>
  <si>
    <t>12/12/2025</t>
  </si>
  <si>
    <t>13/12/2025</t>
  </si>
  <si>
    <t>SOCIETE FRANCAISE DU RADIOTELEPHONE   S F R-COMMUNICATION-FACTURE-B225-022482150</t>
  </si>
  <si>
    <t>COMMISSION. ÉCHÉANCE: 12/16/2025 PRÊT: EMPRUNT BPGO 10 624.67 € V2 PRÊTEUR: BANQ</t>
  </si>
  <si>
    <t>COMMISSION. ÉCHÉANCE: 12/16/2025 PRÊT: EMPRUNT BPGO 10K € PRÊTEUR: BANQUE POPULA</t>
  </si>
  <si>
    <t>62511000000</t>
  </si>
  <si>
    <t>PEAGES</t>
  </si>
  <si>
    <t>AUTOROUTES DU SUD DE LA FRANCE-COMMUNICATION-FACTURE-KL02647513</t>
  </si>
  <si>
    <t>EXTOURNE PEAGES 12.2024 2024</t>
  </si>
  <si>
    <t>62560000000</t>
  </si>
  <si>
    <t>MISSIONS</t>
  </si>
  <si>
    <t>HOTEL - 30.12.24 AU 02.01.25</t>
  </si>
  <si>
    <t>62510000000</t>
  </si>
  <si>
    <t>VOYAGES ET DEPLACEMENTS</t>
  </si>
  <si>
    <t>DECO AGENCE</t>
  </si>
  <si>
    <t xml:space="preserve">CARTE X7179 PARKING ENTRE-DEUX- </t>
  </si>
  <si>
    <t>62570000000</t>
  </si>
  <si>
    <t>RECEPTIONS</t>
  </si>
  <si>
    <t xml:space="preserve">NU / 2 REPAS </t>
  </si>
  <si>
    <t>HIPPOPOTAMUS / 2 REPAS</t>
  </si>
  <si>
    <t xml:space="preserve">CARTE X7179 HIPPOPOTAMUS SAINT </t>
  </si>
  <si>
    <t>09/01/2025</t>
  </si>
  <si>
    <t xml:space="preserve">CARTE X7179 RELAIS DE LA SARTHE </t>
  </si>
  <si>
    <t>60613200000</t>
  </si>
  <si>
    <t>ESSENCE SKODA GJ-472-DK</t>
  </si>
  <si>
    <t>MARKET-ESSENCE-FACTURE-2025-01-10-08:07:25-86.00</t>
  </si>
  <si>
    <t>VEHICULE GJ472DK</t>
  </si>
  <si>
    <t>60613210000</t>
  </si>
  <si>
    <t>ESSENCE CLIO FZ-325-SX</t>
  </si>
  <si>
    <t>VEHICULE FZ325SX</t>
  </si>
  <si>
    <t>3 BRASSEURS FRANCE-RESTAURANT-FACTURE-2025-01-16-14:23:19-41.04</t>
  </si>
  <si>
    <t>LIV -RESTAURANT-FACTURE-2025-01-16-20:33:00-46.00</t>
  </si>
  <si>
    <t>62410000000</t>
  </si>
  <si>
    <t>TRANSPORTS SUR ACHATS</t>
  </si>
  <si>
    <t>CHAISE DE BUREAU - FRAIS ENVOI</t>
  </si>
  <si>
    <t>FRANCKETTE</t>
  </si>
  <si>
    <t>19/01/2025</t>
  </si>
  <si>
    <t xml:space="preserve">LE ST PIERRE RESTAURANT / 3 COUVERTS </t>
  </si>
  <si>
    <t>21/01/2025</t>
  </si>
  <si>
    <t>TAXIS PARISIENS-TRANSPORT DE PERSONNES-FACTURE</t>
  </si>
  <si>
    <t>L'ARDOISE DU MO'MANS / 1 REPAS</t>
  </si>
  <si>
    <t>JARDIN GOURMAND-RESTAURANT-FACTURE-2025-01-22-13:46:00-15.90</t>
  </si>
  <si>
    <t>24/01/2025</t>
  </si>
  <si>
    <t>UBER-TRANSPORT DE PERSONNES-FACTURE</t>
  </si>
  <si>
    <t>TAXI PARIS</t>
  </si>
  <si>
    <t>CARTE X7179 ARC CLUB PARIS / SOIREE MIKIT COMMERCIAUX</t>
  </si>
  <si>
    <t>MINT FRANCE L ANNEXE-RESTAURANT-FACTURE-2025-01-24-112.80</t>
  </si>
  <si>
    <t>RESTO L'ATELIER D'OLIVIER / 5 COUVERTS / RENTREE FRANCHISE OUEST</t>
  </si>
  <si>
    <t xml:space="preserve">CARTE X7179 SUMUP *HAKIMA BEBAN </t>
  </si>
  <si>
    <t>3 BRASSEURS FRANCE-RESTAURANT-FACTURE-2025-01-27-13:05:33-19.98</t>
  </si>
  <si>
    <t>LA CABANE QUI FUME 2 REPAS</t>
  </si>
  <si>
    <t>L'ARDOISE DU MO'MANS / 2 REPAS</t>
  </si>
  <si>
    <t>NDF NADEGE BOUQUET</t>
  </si>
  <si>
    <t>LA RESERVE-RESTAURANT-FACTURE-2025-01-31-13:35:15-65.20</t>
  </si>
  <si>
    <t>AUTOROUTES DU SUD DE LA FRANCE-COMMUNICATION-FACTURE-LA02467931</t>
  </si>
  <si>
    <t xml:space="preserve">LA RESERVE/ 2 REPAS </t>
  </si>
  <si>
    <t>LA CABANE QUI FUME / 2 REPAS</t>
  </si>
  <si>
    <t>LES TERRASSES - GUERANDE / 5 REPAS</t>
  </si>
  <si>
    <t>TOTAL ENERGIE</t>
  </si>
  <si>
    <t>15/02/2025</t>
  </si>
  <si>
    <t>DKV EURO SERVICE / VEHICULE FZ325SX</t>
  </si>
  <si>
    <t>21/02/2025</t>
  </si>
  <si>
    <t>MCDO / 2 REPAS</t>
  </si>
  <si>
    <t>LES 3 BRASSEURS / 1 REPAS</t>
  </si>
  <si>
    <t>27/02/2025</t>
  </si>
  <si>
    <t>LE GRENIER A SEL</t>
  </si>
  <si>
    <t>NDF NADEGE BOUQUET IK</t>
  </si>
  <si>
    <t>LA RESERVE-RESTAURANT/ 2 REPAS COMPLET</t>
  </si>
  <si>
    <t>LECLERC - ESSENCE SKODA GJ-472-DK</t>
  </si>
  <si>
    <t>ULYS / AUTOROUTES</t>
  </si>
  <si>
    <t>LES 3 BRASSEURS / 2 REPAS</t>
  </si>
  <si>
    <t>SOC LIBERDIS 184852004351-241896-89070745</t>
  </si>
  <si>
    <t xml:space="preserve">EASYJET / VOYAGE A MARRAKECH POUR ? </t>
  </si>
  <si>
    <t>MOVENPICK HOTEL MANSOUR EDDAHBI MARRAKECH-HÉBERGEMENT-FACTURE-51933</t>
  </si>
  <si>
    <t>AEROPORT DE NANTES / PARKING AEROPORT PQ?</t>
  </si>
  <si>
    <t>AUCHAN COURSE POUR LE SALON</t>
  </si>
  <si>
    <t>LEPRINCE HOTEL   SPA-HÉBERGEMENT-FACTURE-09034586</t>
  </si>
  <si>
    <t>THIERY BRETON TRAITEUR / 1 MENU</t>
  </si>
  <si>
    <t>15/03/2025</t>
  </si>
  <si>
    <t>DKV</t>
  </si>
  <si>
    <t>FEUILLETTE / COURSE POUR LE SALON</t>
  </si>
  <si>
    <t>LA RESERVE - 5 REPAS</t>
  </si>
  <si>
    <t>16/03/2025</t>
  </si>
  <si>
    <t>19/03/2025</t>
  </si>
  <si>
    <t>LA CABANE QUI FUME / 5 PERSONNES</t>
  </si>
  <si>
    <t>CARREFOUR CITY / CAFE</t>
  </si>
  <si>
    <t>L'ECARLATE / 2 REPAS</t>
  </si>
  <si>
    <t>LA CABANE QUI FUME / 1 REPAS</t>
  </si>
  <si>
    <t>26/03/2025</t>
  </si>
  <si>
    <t>TOTALENERGIES MARKETING FRANCE 103000019382</t>
  </si>
  <si>
    <t xml:space="preserve">CARTE X7179 LA CABANE ST SATURN </t>
  </si>
  <si>
    <t>30/03/2025</t>
  </si>
  <si>
    <t>REPAS / ROISSY</t>
  </si>
  <si>
    <t>AEROPORTS DE PARIS-PARKING VOYAGE MARAKECH</t>
  </si>
  <si>
    <t>NOTE DE FRAIS BOUQUET / IK</t>
  </si>
  <si>
    <t>AUTOROUTES DU SUD DE LA FRANCE-COMMUNICATION-FACTURE-LC02486564</t>
  </si>
  <si>
    <t>03/04/2025</t>
  </si>
  <si>
    <t>GALERIA DE ARTE</t>
  </si>
  <si>
    <t>CARTE X7179 FINCA DEL MAR PANAM / TICKET PERDU PANAMA</t>
  </si>
  <si>
    <t>COFIROUTE 202504041519316154193</t>
  </si>
  <si>
    <t>WEB VINCENT PARADIS CRED NOTE D VPRDS HOME SOLUTIONS VINCENT PARADIS CREDIT AGRI</t>
  </si>
  <si>
    <t>09/04/2025</t>
  </si>
  <si>
    <t>3 BRASSEURS / 2 REPAS MERCREDI MIDI</t>
  </si>
  <si>
    <t>LA RESERVE C5-2-6685/ 2 COUVERTS JEUDI MIDI</t>
  </si>
  <si>
    <t>CMCP LE MANS 7337 / 2 COUVERTS LUNDI MIDI</t>
  </si>
  <si>
    <t>60613230000</t>
  </si>
  <si>
    <t>Carburant véhicule location</t>
  </si>
  <si>
    <t>DKV EURO SERVICE GMBH &amp; CO KG 25_643252498_001</t>
  </si>
  <si>
    <t>17/04/2025</t>
  </si>
  <si>
    <t>CMCP LE MANS 9219 / 2 COUVERTS JEUDI MIDI</t>
  </si>
  <si>
    <t>18/04/2025</t>
  </si>
  <si>
    <t xml:space="preserve">RYANAIR VOYAGER / SÉMINAIRE PANAMA </t>
  </si>
  <si>
    <t>CMCP LE MANS 122953 / 5 COUVERTS VENDREDI MIDI</t>
  </si>
  <si>
    <t>LA COTE ET LARETE / VENDREDI MIDI</t>
  </si>
  <si>
    <t>TCM A813727171037 / 2 REPAS LUNDI MIDI</t>
  </si>
  <si>
    <t>HANAMENU 004078 / 4 REPAS JEUDI SOIR</t>
  </si>
  <si>
    <t>LA COTE ET LARETE / 3 COUVERTS JEUDI MIDI</t>
  </si>
  <si>
    <t>RC TRAITEUR 202536 / RECEPTION? QUI?</t>
  </si>
  <si>
    <t>CMCP LE MANS 13294</t>
  </si>
  <si>
    <t>LA COTE ET LARETE / VENDREDI MIDI 2 COUVERTS</t>
  </si>
  <si>
    <t>DKV EURO SERVICE GMBH &amp; CO KG 25_643583660_00132 LITRE GAZOLE 0009 (IMMATRICULAT</t>
  </si>
  <si>
    <t>NOTE DE FRAIS IK BOUQUET</t>
  </si>
  <si>
    <t>LA RESERVE/ 3 REPAS MERCREDI MIDI</t>
  </si>
  <si>
    <t>AUTOROUTES DU SUD DE LA FRANCE-COMMUNICATION-FACTURE-LD02676745</t>
  </si>
  <si>
    <t xml:space="preserve">LECLERC / COURSE RECEPTION? </t>
  </si>
  <si>
    <t>LA COTE ET LARETE / 2 COUVERTS LUNDI MIDI</t>
  </si>
  <si>
    <t>LA COTE ET - 4 REPAS LE MIDI</t>
  </si>
  <si>
    <t>ETOILE BERBERE-RESTAURANT-FACTURE-2025-05-13-13:27:00-244.00</t>
  </si>
  <si>
    <t>DKV EURO SERVICE GMBH   CO KG-AUTRES CARBURANTS-FACTURE-2025-05-15-109.41</t>
  </si>
  <si>
    <t>60613220000</t>
  </si>
  <si>
    <t>ESSENCE HD-097-EZ</t>
  </si>
  <si>
    <t>TAXI</t>
  </si>
  <si>
    <t>SARL SEBLYNE-RESTAURANT 2 REPAS - VENDREDI MIDI</t>
  </si>
  <si>
    <t>TOTALENERGIES-RESTAURANT-FACTURE-2025-05-17-13:10:00-24.90</t>
  </si>
  <si>
    <t>19/05/2025</t>
  </si>
  <si>
    <t>CARTE X7179 LA LOGE REIMS / BOITE D ENUIT / BOUTEILLE</t>
  </si>
  <si>
    <t>LA COTE ET LARETE / 1 REPAS MERCREDI MIDI</t>
  </si>
  <si>
    <t>22/05/2025</t>
  </si>
  <si>
    <t>MCDO - JEUDI MIDI</t>
  </si>
  <si>
    <t>TOTALENERGIES-RESTAURANT-FACTURE-2025-05-23-12:49:00-24.80</t>
  </si>
  <si>
    <t>24/05/2025</t>
  </si>
  <si>
    <t>F L HOTELLERIE LIBOURNAISE-HÉBERGEMENT-FACTURE-171834</t>
  </si>
  <si>
    <t>NOVOTEL BORDEAUX - SAMEDI MIDI 2 REPAS</t>
  </si>
  <si>
    <t>DEL ARTE - 2 REPAS LE MIDI</t>
  </si>
  <si>
    <t>LIBERTA 2 REPAS - MERCREDI MIDI</t>
  </si>
  <si>
    <t>DKV EURO SERVICE GMBH &amp; CO KG 25_644251382_00134 LITRE GAZOLE POUR VEHICULE FZ-3</t>
  </si>
  <si>
    <t>DKV EURO SERVICE GMBH &amp; CO KG 25_644251382_00146 LITRE EURO 95 (SUPER) POUR VEHI</t>
  </si>
  <si>
    <t>NOTE DE FRAIS IK BESNARD ROMAIN</t>
  </si>
  <si>
    <t>AUTOROUTES DU SUD DE LA FRANCE-COMMUNICATION-FACTURE-LE02750417</t>
  </si>
  <si>
    <t>PETIT DEJ AEROPORT / CONVENTION TRAJET VOITURE ET PAS AVION</t>
  </si>
  <si>
    <t>AUTOROUTE ESTEREL COTE AZUR PROVENCE ALP 31272561472</t>
  </si>
  <si>
    <t>PARKING CONVENTION</t>
  </si>
  <si>
    <t>AUTOROUTE ESTEREL COTE AZUR PROVENCE ALP 33342527179</t>
  </si>
  <si>
    <t>LYRECO / CAFE</t>
  </si>
  <si>
    <t>L'EN K / 1 REPAS CONVENTION</t>
  </si>
  <si>
    <t>ARGEDIS 108000101054</t>
  </si>
  <si>
    <t>LE CENDRILLON / 2 REPAS CONVENTION</t>
  </si>
  <si>
    <t>REPAS EQUIPE</t>
  </si>
  <si>
    <t>LA RESERVE J5-2-3153</t>
  </si>
  <si>
    <t>LA RESERVE T5-2-12223 - 2 REPAS LE MIDI</t>
  </si>
  <si>
    <t>14/06/2025</t>
  </si>
  <si>
    <t>L'INDICE BAR ANGERS / MIKIT</t>
  </si>
  <si>
    <t>15/06/2025</t>
  </si>
  <si>
    <t>DKV EURO SERVICE GMBH   CO KG-AUTRES CARBURANTS-FACTURE-2025-06-15-115.89</t>
  </si>
  <si>
    <t>LA ROTISSERIE - 2 REPAS LE MIDI</t>
  </si>
  <si>
    <t>LE BRISTOL-PARKING-FACTURE-253.20</t>
  </si>
  <si>
    <t>CARTE X7179 LA RESERVE LE MANS / TICKET PERDUS</t>
  </si>
  <si>
    <t>DKV EURO SERVICE GMBH   CO KG-AUTRES CARBURANTS-FACTURE-2025-06-30-112.67</t>
  </si>
  <si>
    <t>NDF / BESNARD ROMAIN</t>
  </si>
  <si>
    <t>62512000000</t>
  </si>
  <si>
    <t>IK CVP</t>
  </si>
  <si>
    <t>PROVISION IK CVP JUN 2025</t>
  </si>
  <si>
    <t>EXTOURNE DKV EURO SERVICE GMBH &amp; CO KG 25_643252498_001</t>
  </si>
  <si>
    <t>ERREUR COMPTABILISATION NDF BOUQUET AVRIL 2025</t>
  </si>
  <si>
    <t>AUTOROUTES DU SUD DE LA FRANCE-COMMUNICATION-FACTURE-LF02731138</t>
  </si>
  <si>
    <t>EXTOURNE PROVISION IK CVP JUN 2025</t>
  </si>
  <si>
    <t>CMCP LE MANS 42133/ MARDI MIDI 2 REPAS</t>
  </si>
  <si>
    <t>LE CENDRILLON - 2 REPAS VENDREDI</t>
  </si>
  <si>
    <t>LA COTE DE LARETE / 2 REPAS</t>
  </si>
  <si>
    <t>L'EN K / 2 REPAS</t>
  </si>
  <si>
    <t>CMCP LE MANS 42595</t>
  </si>
  <si>
    <t>TRAIN PUB</t>
  </si>
  <si>
    <t>CMCP LE MANS 0019827_001</t>
  </si>
  <si>
    <t>DKV EURO SERVICE GMBH &amp; CO KG 25_644964591_00139 LITRE GAZOLE (FZ-325-SX) (ID 1)</t>
  </si>
  <si>
    <t>LA PLACE - 2 REPAS MARDI SOIR</t>
  </si>
  <si>
    <t>AUTOGRILL COTE FRANCE 60</t>
  </si>
  <si>
    <t>LA RESERVE C5-2-13701 / VENDREDI MIDI 2 REPAS</t>
  </si>
  <si>
    <t>SARL PETIT LEPRINCE / PORSCHE EXPERIENCE CENTER</t>
  </si>
  <si>
    <t>28/07/2025</t>
  </si>
  <si>
    <t>CMCP LE MANS 52999 LUNDI MIDI 2 REPAS</t>
  </si>
  <si>
    <t>LA RESERVE T5-2-15798 1 REPAS</t>
  </si>
  <si>
    <t>LA RESERVE T5-2-15798</t>
  </si>
  <si>
    <t>DKV EURO SERVICE GMBH   CO KG-AUTRES CARBURANTS-FACTURE-2025-07-31-114.40</t>
  </si>
  <si>
    <t>NOTE DE FRAIS BESNARD ROMAIN</t>
  </si>
  <si>
    <t>AUTOROUTES DU SUD DE LA FRANCE-COMMUNICATION-FACTURE-LG02933283</t>
  </si>
  <si>
    <t>LA COTE ET LARETTE / MERCREDI MIDI / 2 REPAS</t>
  </si>
  <si>
    <t>NESPRESSO FRANCE-BOISSON-FACTURE-213423215</t>
  </si>
  <si>
    <t>15/08/2025</t>
  </si>
  <si>
    <t>DKV EURO SERVICE GMBH   CO KG-AUTRES CARBURANTS-FACTURE-2025-08-15-216.13</t>
  </si>
  <si>
    <t>18/08/2025</t>
  </si>
  <si>
    <t>STADE MARIE MARVINGT LE MANS METROPOLE 3712272 UNITÉ LE MANS FC - MONTPELLIER HS</t>
  </si>
  <si>
    <t>22/08/2025</t>
  </si>
  <si>
    <t xml:space="preserve">SOC LIBERDIS </t>
  </si>
  <si>
    <t>LA COTE ET LARETE / 4 REPAS VENDREDI MIDI</t>
  </si>
  <si>
    <t>WESTOTEL POULIGUEN/ LA BAULE</t>
  </si>
  <si>
    <t>DKV EURO SERVICE GMBH &amp; CO KG 25_646129668_001</t>
  </si>
  <si>
    <t>NOTE DE FRAIS BESNARD ROMAIN - IK</t>
  </si>
  <si>
    <t>MIKIT FRANCE-AUTRE MARCHANDISE-FACTURE-FI04669</t>
  </si>
  <si>
    <t>3 BRASSEURS FRANCE 0297280_67/ 1 REPAS JEUDI MIDI</t>
  </si>
  <si>
    <t>PROMO CASH / THE/ CAFE/TOUILETTE/GOBELET</t>
  </si>
  <si>
    <t>SALA MARKET / BOISSONS</t>
  </si>
  <si>
    <t>E LECLERC 05_09_25_0_03FE_04E00/ FOIRE</t>
  </si>
  <si>
    <t>09/09/2025</t>
  </si>
  <si>
    <t>AUTOROUTES DU SUD DE LA FRANCE-COMMUNICATION-FACTURE-LH03117110</t>
  </si>
  <si>
    <t>BAR 2+2 / CONSOMMATION</t>
  </si>
  <si>
    <t>E LECLERC / COURSE FOIRE</t>
  </si>
  <si>
    <t>CMCP LE MANS 66654/ MERCREDI MIDI / 2 REPAS</t>
  </si>
  <si>
    <t>AUX SAVEURS D ANTAN 747/ 4 COUVERTS SAMEDI SOIR</t>
  </si>
  <si>
    <t>15/09/2025</t>
  </si>
  <si>
    <t>DKV EURO SERVICE GMBH &amp; CO KG 25_646409305_001</t>
  </si>
  <si>
    <t>18/09/2025</t>
  </si>
  <si>
    <t>CARTE  U EXPRESS LA BAZOGE / SJ / TIREUSE POUR 4JOURS DU MANS</t>
  </si>
  <si>
    <t>DKV EURO SERVICE GMBH &amp; CO KG 25_646823620_001</t>
  </si>
  <si>
    <t>NDF IK BESNARD ROMAIN</t>
  </si>
  <si>
    <t>RJLS GROUP 107464/ 2 REPAS MARDI SOIR</t>
  </si>
  <si>
    <t>AUTOROUTES DU SUD DE LA FRANCE-COMMUNICATION-FACTURE-LI02658578</t>
  </si>
  <si>
    <t>LES TABLES BARRIERE / 2 REPAS MECREDI SOIR</t>
  </si>
  <si>
    <t xml:space="preserve">CARTE X7179 UBER *TRIP HELP.UBE </t>
  </si>
  <si>
    <t>CARTE X7179 FOUQUET S PARIS / PAS DE JUSTIF</t>
  </si>
  <si>
    <t>RJLS GROUP 381 / 1 REPAS JEUDI SOIR</t>
  </si>
  <si>
    <t>LA COTE ET LARETE / 2 REPAS</t>
  </si>
  <si>
    <t>04/10/2025</t>
  </si>
  <si>
    <t>LA COTE ET LARETE / 3 REPAS</t>
  </si>
  <si>
    <t>62511200000</t>
  </si>
  <si>
    <t>TRANSPORTS SALARIE</t>
  </si>
  <si>
    <t>SETRAM / TRANSPORT JANDOT JENNIFER 50% / 01.09.25 AU 31.08.26</t>
  </si>
  <si>
    <t>LE MOULIN DES QUATRE SAISONS / 2 REPAS VENDREDI SOIR</t>
  </si>
  <si>
    <t>DKV EURO SERVICE GMBH   CO KG-AUTRES CARBURANTS-FACTURE-2025-10-15-165.30</t>
  </si>
  <si>
    <t xml:space="preserve">SUPER U / CARBURANT </t>
  </si>
  <si>
    <t>DEL ARTE / 2 REPAS SAMEDI MIDI</t>
  </si>
  <si>
    <t>22/10/2025</t>
  </si>
  <si>
    <t>LA CABANE QUI FUME / 2 REPAS MERCREDI MIDI</t>
  </si>
  <si>
    <t>LA RESERVE / 3 REPAS JEUDI MIDI</t>
  </si>
  <si>
    <t>LA CABANE QUI FUME/ 2 REPAS MERCREDI MIDI</t>
  </si>
  <si>
    <t xml:space="preserve">LA COTE ET LARETE / 1 COUVERT </t>
  </si>
  <si>
    <t>DKV EURO SERVICE GMBH &amp; CO KG 25_647428988_001</t>
  </si>
  <si>
    <t>MIKIT FRANCE-AUTRE MARCHANDISE-FACTURE-FI04754</t>
  </si>
  <si>
    <t>SMART PARK-PARKING- VOYAGE DU 08.11 AU 11.11 ? PRO?</t>
  </si>
  <si>
    <t>AUTOROUTES DU SUD DE LA FRANCE-DOCUMENTATION GÉNÉRALE-FACTURE-LJ02617487</t>
  </si>
  <si>
    <t>CJD LE MANS/ FORFAIT CHAMBRE + PETIT DEJEUNER CONGRES REGION 2025</t>
  </si>
  <si>
    <t>07/11/2025</t>
  </si>
  <si>
    <t>HOTEL AEROPORT ROISSY/ PQ?/ VENDREDI A SAMEDI</t>
  </si>
  <si>
    <t>UBER/ TRAJET PARIS</t>
  </si>
  <si>
    <t>HOTEL PQ? ANGLETERRE? / TVA INTRA A DECLARE ?</t>
  </si>
  <si>
    <t>UBER GBP 89.78</t>
  </si>
  <si>
    <t>15/11/2025</t>
  </si>
  <si>
    <t>DKV EURO SERVICE GMBH &amp; CO KG 25_647776426_001</t>
  </si>
  <si>
    <t>LE MANS COUNTRY / 5 PERSONNES ? NOEL SALARIE ?</t>
  </si>
  <si>
    <t>LA CABANE QUI FUME - 1 REPAS</t>
  </si>
  <si>
    <t>LA RESERVE / 3 REPAS LE MIDI</t>
  </si>
  <si>
    <t>LA RESERVE J5-2-5901/ 2 REPAS MARDI MIDI</t>
  </si>
  <si>
    <t>27/11/2025</t>
  </si>
  <si>
    <t>HIPPOPOTAMUS / 2 REPAS JEUDI MIDI</t>
  </si>
  <si>
    <t>28/11/2025</t>
  </si>
  <si>
    <t>KFC LE MIDI</t>
  </si>
  <si>
    <t>DKV EURO SERVICE GMBH   CO KG-AUTRES CARBURANTS-FACTURE-2025-11-30-165.40</t>
  </si>
  <si>
    <t xml:space="preserve">EASYJET / VOYAGES A LONDRES ? </t>
  </si>
  <si>
    <t>AUTOROUTES DU SUD DE LA FRANCE-COMMUNICATION-FACTURE-LK02476362</t>
  </si>
  <si>
    <t>LE PRESSOIR / 2 REPAS MERCREDI SOIR</t>
  </si>
  <si>
    <t>04/12/2025</t>
  </si>
  <si>
    <t>HOTEL LE DOMAINE DU LIZIEC</t>
  </si>
  <si>
    <t xml:space="preserve">HOTEL A VANNES / 1 NUIT </t>
  </si>
  <si>
    <t>TOTALENERGIES MARKETING FRANCE 10100001848244 LITRE DIESEL POMPE 01</t>
  </si>
  <si>
    <t>WEB VP LA CABANE QUI FUME 21.11.25 / PAS DE JUSTIF</t>
  </si>
  <si>
    <t>LEMY 2 REPAS / LUNDI MIDI</t>
  </si>
  <si>
    <t>NAUTILUS / 1 REPAS</t>
  </si>
  <si>
    <t>ARTISTIQUE D'ANIMATION / RECEPTION COCKTAILS</t>
  </si>
  <si>
    <t>3 BRASSEURS / 2 REPAS VENDREDI MIDI</t>
  </si>
  <si>
    <t>15/12/2025</t>
  </si>
  <si>
    <t>MIKIT FRANCE- REUNION GROUPE 10.12.25</t>
  </si>
  <si>
    <t>NESPRESSO FRANCE-BOISSON-FACTURE-216942647</t>
  </si>
  <si>
    <t>BISTRO LES TONTONS / 3 REPAS MERCREDI MIDI</t>
  </si>
  <si>
    <t>19/12/2025</t>
  </si>
  <si>
    <t>FROMAGE &amp; SES AMIS / REPAS NOEL</t>
  </si>
  <si>
    <t>21/12/2025</t>
  </si>
  <si>
    <t>BOUCHERIE DE LA CHASSE ROYALE- REPAS NOEL</t>
  </si>
  <si>
    <t>LE MANS COUNTRY CLUB- 5 PERSONNES? PQ ? CA FAIT BCP NON?</t>
  </si>
  <si>
    <t>ANNULATION DOUBLON FACT AVEC COUNTRY CLUB</t>
  </si>
  <si>
    <t>BOUCHERIEDELACHASSE / REPAS NOEL</t>
  </si>
  <si>
    <t>MIKIT FRANCE-AUTRE MARCHANDISE-FACTURE-FI04909</t>
  </si>
  <si>
    <t>FNP - IK CVP 2025</t>
  </si>
  <si>
    <t>06/01/2026</t>
  </si>
  <si>
    <t>SENS COLLECTION- PRO???</t>
  </si>
  <si>
    <t>12/01/2026</t>
  </si>
  <si>
    <t>REX ROTARY-FOURNITURE ADMINISTRATIVE-FACTURE-26-727322</t>
  </si>
  <si>
    <t>20/01/2026</t>
  </si>
  <si>
    <t>TOTALENERGIES ELECTRICITE ET GAZ FRANCE-ENERGIE-FACTURE-113005137363</t>
  </si>
  <si>
    <t>21/01/2026</t>
  </si>
  <si>
    <t>60900000000</t>
  </si>
  <si>
    <t>Rabais, remises et ristournes obtenus sur achats</t>
  </si>
  <si>
    <t>CJD DECOUVERTE PRO / CB PRO PERDUE</t>
  </si>
  <si>
    <t>31/01/2026</t>
  </si>
  <si>
    <t>DIGITAL CHARGING SOLUTIONS-FACTURE-BFR00958514</t>
  </si>
  <si>
    <t>02/02/2026</t>
  </si>
  <si>
    <t>CHARGEMAP-FACTURE-20260202-05934904</t>
  </si>
  <si>
    <t>20/02/2026</t>
  </si>
  <si>
    <t>TOTALENERGIES-FACTURE-121003113609</t>
  </si>
  <si>
    <t>16/03/2026</t>
  </si>
  <si>
    <t>DEFIGRAPH-FACTURE- PORTE CLÉ + FLYER + VALISETTE</t>
  </si>
  <si>
    <t>20/03/2026</t>
  </si>
  <si>
    <t>TOTALENERGIES ELECTRICITE ET GAZ FRANCE-FACTURE-119003268676</t>
  </si>
  <si>
    <t>25/03/2026</t>
  </si>
  <si>
    <t>CASTORAMA FRANCE- KARCHER</t>
  </si>
  <si>
    <t>01/01/2026</t>
  </si>
  <si>
    <t>VBGMB</t>
  </si>
  <si>
    <t>05/01/2026</t>
  </si>
  <si>
    <t>ASSURANCE. ÉCHÉANCE: 1/5/2026 PRÊT: EMPRUNT CIC 20 175 € PRÊTEUR: CIC</t>
  </si>
  <si>
    <t>13/01/2026</t>
  </si>
  <si>
    <t>ACM IARD SA ACM IARD SA FR74ZZZ008087 SEPA VPRDS HOME SOLUTIONS 306834819 ACM---</t>
  </si>
  <si>
    <t>ACM IARD SA ACM IARD SA FR74ZZZ008087 SEPA VPRDS HOME SOLUTIONS 306834383 ACM---</t>
  </si>
  <si>
    <t>16/01/2026</t>
  </si>
  <si>
    <t>ASSURANCE. ÉCHÉANCE: 1/16/2026 PRÊT: EMPRUNT BPGO 10 624.67 € V2 PRÊTEUR: BANQUE</t>
  </si>
  <si>
    <t>ASSURANCE. ÉCHÉANCE: 1/16/2026 PRÊT: EMPRUNT BPGO 10K € PRÊTEUR: BANQUE POPULAIR</t>
  </si>
  <si>
    <t>01/02/2026</t>
  </si>
  <si>
    <t>03/02/2026</t>
  </si>
  <si>
    <t>05/02/2026</t>
  </si>
  <si>
    <t>ASSURANCE. ÉCHÉANCE: 2/5/2026 PRÊT: EMPRUNT CIC 20 175 € PRÊTEUR: CIC</t>
  </si>
  <si>
    <t>11/02/2026</t>
  </si>
  <si>
    <t>ACM IARD SA ACM IARD SA FR74ZZZ008087 SEPA VPRDS HOME SOLUTIONS 309254687 ACM---</t>
  </si>
  <si>
    <t>ACM IARD SA ACM IARD SA FR74ZZZ008087 SEPA VPRDS HOME SOLUTIONS 309255143 ACM---</t>
  </si>
  <si>
    <t>16/02/2026</t>
  </si>
  <si>
    <t>ASSURANCE. ÉCHÉANCE: 2/16/2026 PRÊT: EMPRUNT BPGO 10 624.67 € V2 PRÊTEUR: BANQUE</t>
  </si>
  <si>
    <t>ASSURANCE. ÉCHÉANCE: 2/16/2026 PRÊT: EMPRUNT BPGO 10K € PRÊTEUR: BANQUE POPULAIR</t>
  </si>
  <si>
    <t>24/02/2026</t>
  </si>
  <si>
    <t>61630000000</t>
  </si>
  <si>
    <t>Assurance transport</t>
  </si>
  <si>
    <t>ASSURANCES DU CREDIT MUTUEL -IARD 20.01.2026.000003947</t>
  </si>
  <si>
    <t>01/03/2026</t>
  </si>
  <si>
    <t>VBGMBH F065346504</t>
  </si>
  <si>
    <t>03/03/2026</t>
  </si>
  <si>
    <t>05/03/2026</t>
  </si>
  <si>
    <t>ASSURANCE. ÉCHÉANCE: 3/5/2026 PRÊT: EMPRUNT CIC 20 175 € PRÊTEUR: CIC</t>
  </si>
  <si>
    <t>12/03/2026</t>
  </si>
  <si>
    <t xml:space="preserve">AUTOMOBILE - PRO AA11348581 </t>
  </si>
  <si>
    <t xml:space="preserve">AUTOMOBILE - PRO AA11655193 </t>
  </si>
  <si>
    <t xml:space="preserve">AUTOMOBILE - PRO AA11666872 </t>
  </si>
  <si>
    <t>ASSURANCE. ÉCHÉANCE: 3/16/2026 PRÊT: EMPRUNT BPGO 10 624.67 € V2 PRÊTEUR: BANQUE</t>
  </si>
  <si>
    <t>ASSURANCE. ÉCHÉANCE: 3/16/2026 PRÊT: EMPRUNT BPGO 10K € PRÊTEUR: BANQUE POPULAIR</t>
  </si>
  <si>
    <t>Pénalités et autres charges</t>
  </si>
  <si>
    <t>ÉCART DE RÈGLEMENT - EMPRUNTS</t>
  </si>
  <si>
    <t>26/01/2026</t>
  </si>
  <si>
    <t>ÉCART DE RÈGLEMENT - DIALLO</t>
  </si>
  <si>
    <t>06/03/2026</t>
  </si>
  <si>
    <t>INTÉRÊT. ÉCHÉANCE: 1/5/2026 PRÊT: EMPRUNT 20K€ PRÊTEUR: CRÉDIT AGRICOLE ANJOU MA</t>
  </si>
  <si>
    <t>INTÉRÊT. ÉCHÉANCE: 1/5/2026 PRÊT: EMPRUNT 47 304€ PRÊTEUR: CRÉDIT AGRICOLE ANJOU</t>
  </si>
  <si>
    <t>INTÉRÊT. ÉCHÉANCE: 1/5/2026 PRÊT: EMPRUNT CIC 20 175 € PRÊTEUR: CIC</t>
  </si>
  <si>
    <t>07/01/2026</t>
  </si>
  <si>
    <t>66160000000</t>
  </si>
  <si>
    <t>Intérêts bancaires et sur opérations de financement (escompte, ...)</t>
  </si>
  <si>
    <t>FRAIS ARRETE DE CPTE 4T25</t>
  </si>
  <si>
    <t>INTÉRÊT. ÉCHÉANCE: 1/16/2026 PRÊT: EMPRUNT BPGO 10 624.67 € V2 PRÊTEUR: BANQUE P</t>
  </si>
  <si>
    <t xml:space="preserve">INTÉRÊT. ÉCHÉANCE: 1/16/2026 PRÊT: EMPRUNT BPGO 10K € PRÊTEUR: BANQUE POPULAIRE </t>
  </si>
  <si>
    <t>INTÉRÊT. ÉCHÉANCE: 2/5/2026 PRÊT: EMPRUNT 20K€ PRÊTEUR: CRÉDIT AGRICOLE ANJOU MA</t>
  </si>
  <si>
    <t>INTÉRÊT. ÉCHÉANCE: 2/5/2026 PRÊT: EMPRUNT 47 304€ PRÊTEUR: CRÉDIT AGRICOLE ANJOU</t>
  </si>
  <si>
    <t>INTÉRÊT. ÉCHÉANCE: 2/5/2026 PRÊT: EMPRUNT CIC 20 175 € PRÊTEUR: CIC</t>
  </si>
  <si>
    <t>INTÉRÊT. ÉCHÉANCE: 2/16/2026 PRÊT: EMPRUNT BPGO 10 624.67 € V2 PRÊTEUR: BANQUE P</t>
  </si>
  <si>
    <t xml:space="preserve">INTÉRÊT. ÉCHÉANCE: 2/16/2026 PRÊT: EMPRUNT BPGO 10K € PRÊTEUR: BANQUE POPULAIRE </t>
  </si>
  <si>
    <t>INTÉRÊT. ÉCHÉANCE: 3/5/2026 PRÊT: EMPRUNT 20K€ PRÊTEUR: CRÉDIT AGRICOLE ANJOU MA</t>
  </si>
  <si>
    <t>INTÉRÊT. ÉCHÉANCE: 3/5/2026 PRÊT: EMPRUNT 47 304€ PRÊTEUR: CRÉDIT AGRICOLE ANJOU</t>
  </si>
  <si>
    <t>INTÉRÊT. ÉCHÉANCE: 3/5/2026 PRÊT: EMPRUNT CIC 20 175 € PRÊTEUR: CIC</t>
  </si>
  <si>
    <t>INTÉRÊT. ÉCHÉANCE: 3/16/2026 PRÊT: EMPRUNT BPGO 10 624.67 € V2 PRÊTEUR: BANQUE P</t>
  </si>
  <si>
    <t xml:space="preserve">INTÉRÊT. ÉCHÉANCE: 3/16/2026 PRÊT: EMPRUNT BPGO 10K € PRÊTEUR: BANQUE POPULAIRE </t>
  </si>
  <si>
    <t>08/01/2026</t>
  </si>
  <si>
    <t>SANTE AU TRAVAIL 72-MÉDECINE DU TRAVAIL-FACTURE-26001924</t>
  </si>
  <si>
    <t>CVP-CONSEIL-FACTURE-20263101</t>
  </si>
  <si>
    <t>SALAIRES 01/2026</t>
  </si>
  <si>
    <t>28/02/2026</t>
  </si>
  <si>
    <t>CVP-FACTURE-20260228</t>
  </si>
  <si>
    <t>SALAIRES 02/2026</t>
  </si>
  <si>
    <t>31/03/2026</t>
  </si>
  <si>
    <t>CVP-FACTURE-20260229</t>
  </si>
  <si>
    <t>SALAIRES 03/2026</t>
  </si>
  <si>
    <t>ALTONEO-HONORAIRE / ACPTE 2 CPTES ANNUELS</t>
  </si>
  <si>
    <t>ALTONEO-FACTURE-16260002723/ ACPTE 3 CPTES ANNUELS</t>
  </si>
  <si>
    <t>ALTONEO-FACTURE-16260002945/ ASSITANCE CONTROLE FISCAL</t>
  </si>
  <si>
    <t>ALTONEO-FACTURE-16260003656</t>
  </si>
  <si>
    <t>ALTONEO-FACTURE 1T26</t>
  </si>
  <si>
    <t xml:space="preserve">EXO TAXE D'APPRENTISSAGE </t>
  </si>
  <si>
    <t>03/01/2026</t>
  </si>
  <si>
    <t>61320000000</t>
  </si>
  <si>
    <t>LOGEFIM-LOCATION IMMOBILIÈRE-FACTURE-FAC000287</t>
  </si>
  <si>
    <t>LOGEFIM-FACTURE-FAC000289</t>
  </si>
  <si>
    <t>LOGEFIM-FACTURE-FAC000295</t>
  </si>
  <si>
    <t>VERISURE-RÉPARATION ET ENTRETIEN SUR IMMEUBLES-FACTURE-SDCF58710132</t>
  </si>
  <si>
    <t>61220000000</t>
  </si>
  <si>
    <t>Crédit-bail mobilier</t>
  </si>
  <si>
    <t xml:space="preserve">LOYER HT. ÉCHÉANCE: 06/01/2026 LOA: RENAULT CLIO FZ-325-SX BAILLEUR: </t>
  </si>
  <si>
    <t>VERISURE-FACTURE-SDCF59639938</t>
  </si>
  <si>
    <t>06/02/2026</t>
  </si>
  <si>
    <t xml:space="preserve">LOYER HT. ÉCHÉANCE: 06/02/2026 LOA: RENAULT CLIO FZ-325-SX BAILLEUR: </t>
  </si>
  <si>
    <t>VERISURE-FACTURE-SDCF60593535</t>
  </si>
  <si>
    <t xml:space="preserve">LOYER HT. ÉCHÉANCE: 06/03/2026 LOA: RENAULT CLIO FZ-325-SX BAILLEUR: </t>
  </si>
  <si>
    <t>27/03/2026</t>
  </si>
  <si>
    <t>61350000000</t>
  </si>
  <si>
    <t>Locations mobilières</t>
  </si>
  <si>
    <t>AL-FACTURE-YOL3NSYW-0001</t>
  </si>
  <si>
    <t>APPLE / CLOUD</t>
  </si>
  <si>
    <t>10/01/2026</t>
  </si>
  <si>
    <t>CANVA-LOGICIEL SAAS-FACTURE-04757-14470191-1</t>
  </si>
  <si>
    <t>29/01/2026</t>
  </si>
  <si>
    <t>9 PROPRETE CLEAN HYGIENE PROPRETE-FACTURE-0004</t>
  </si>
  <si>
    <t>EASY CLEAN SAINT SATURNIN 0007641</t>
  </si>
  <si>
    <t>09/02/2026</t>
  </si>
  <si>
    <t>APPLE ML4KG0F8Z4</t>
  </si>
  <si>
    <t>12/02/2026</t>
  </si>
  <si>
    <t>MAILPARSER-UNITED STATES DOLLAR-FACTURE-HRJYO7UX-0001</t>
  </si>
  <si>
    <t>MAILPARSER-UNITED STATES DOLLAR-FACTURE-HRJYO7UX-0002</t>
  </si>
  <si>
    <t>9 PROPRETE CLEAN HYGIENE PROPRETE-FACTURE-0030</t>
  </si>
  <si>
    <t>61500000000</t>
  </si>
  <si>
    <t>ENTRETIEN ET REPARATIONS</t>
  </si>
  <si>
    <t>DIGITAL CHARGING SOLUTIONS BFR00987640</t>
  </si>
  <si>
    <t>04/03/2026</t>
  </si>
  <si>
    <t>MAILPARSER-UNITED STATES DOLLAR-FACTURE-HRJYO7UX-0003</t>
  </si>
  <si>
    <t>09/03/2026</t>
  </si>
  <si>
    <t>MAILPARSER-UNITED STATES DOLLAR-FACTURE-HRJYO7UX-0004</t>
  </si>
  <si>
    <t>MAILPARSER-UNITED STATES DOLLAR-FACTURE-HRJYO7UX-0006</t>
  </si>
  <si>
    <t>MAILPARSER-UNITED STATES DOLLAR-FACTURE-HRJYO7UX-0005</t>
  </si>
  <si>
    <t>13/03/2026</t>
  </si>
  <si>
    <t>ÉCART DE CHANGE - MAILPARSER</t>
  </si>
  <si>
    <t>CHPROPRETE-FACTURE-0046</t>
  </si>
  <si>
    <t>02/01/2026</t>
  </si>
  <si>
    <t>UBIFLOW-ESPACE PUBLICITAIRE-FACTURE-F144324</t>
  </si>
  <si>
    <t>UBIFLOW-LOGICIEL SAAS-FACTURE-F143350</t>
  </si>
  <si>
    <t>AZUR CONSEIL-CONSEIL-FACTURE-FA2601-5331</t>
  </si>
  <si>
    <t>L ENCEINTE SPORTIVE- COACHING SANTE 12.2025</t>
  </si>
  <si>
    <t>S A S A-CONSEIL-FACTURE-FA001347</t>
  </si>
  <si>
    <t>S A S A-CONSEIL-FACTURE-FA001346</t>
  </si>
  <si>
    <t>19/01/2026</t>
  </si>
  <si>
    <t>MIKIT FRANCE- SEMINAIRE SENEGAL</t>
  </si>
  <si>
    <t>SCM LOCAL-FACTURE-5FR0857133</t>
  </si>
  <si>
    <t>AZUR CONSEIL-FACTURE-FA2601-5354</t>
  </si>
  <si>
    <t>27/01/2026</t>
  </si>
  <si>
    <t>UBIFLOW-LOGICIEL SAAS-AVOIR-F145569</t>
  </si>
  <si>
    <t>AGENCE BLVU-FACTURE-FAC00001104</t>
  </si>
  <si>
    <t>ADDITI MULTIMEDIA-FACTURE-260102060U</t>
  </si>
  <si>
    <t>UBIFLOW-FACTURE-F145789</t>
  </si>
  <si>
    <t>AZUR CONSEIL-FACTURE-FA2602-5358</t>
  </si>
  <si>
    <t>10/02/2026</t>
  </si>
  <si>
    <t>ZARA FRANCE-FACTURE-C9702 / 02 / 22852</t>
  </si>
  <si>
    <t>ZARA FRANCE-FACTURE-C9702 / 05 / 23179</t>
  </si>
  <si>
    <t>GIFTCARDS GROUP B V SY260117294</t>
  </si>
  <si>
    <t>GIFTCARDS GROUP B V SY260117320</t>
  </si>
  <si>
    <t>S A S A-FACTURE-FA001393 / DELAUNAY-BLET</t>
  </si>
  <si>
    <t>25/02/2026</t>
  </si>
  <si>
    <t>AZUR CONSEIL-FACTURE-FA2602-5381</t>
  </si>
  <si>
    <t>26/02/2026</t>
  </si>
  <si>
    <t>61810000000</t>
  </si>
  <si>
    <t>Documentation générale</t>
  </si>
  <si>
    <t>HESTI HABITAT-FACTURE/ FRAIS ORGA SEMINAIRE</t>
  </si>
  <si>
    <t>AGENCE BLVU-FACTURE-FAC00001148</t>
  </si>
  <si>
    <t>ADDITI MULTIMEDIA-FACTURE-260202107U</t>
  </si>
  <si>
    <t>02/03/2026</t>
  </si>
  <si>
    <t>UBIFLOW-FACTURE-F147448</t>
  </si>
  <si>
    <t>AZUR CONSEIL-FACTURE-FA2603-5384</t>
  </si>
  <si>
    <t>GIFTCARDS GROUP B V SY260189000</t>
  </si>
  <si>
    <t>GIFTCARDS GROUP B V SY260188995</t>
  </si>
  <si>
    <t>30/03/2026</t>
  </si>
  <si>
    <t>ETUDES ET APPLICATIONS ECONOMIQUES-FACTURE-F6A06742</t>
  </si>
  <si>
    <t>62780000000</t>
  </si>
  <si>
    <t>AUT FRAIS &amp; COMMISS SUR PREST</t>
  </si>
  <si>
    <t>SOCIETE FRANCAISE DU RADIOTELEPHONE   S F R-COMMUNICATION-FACTURE-B226-000784843</t>
  </si>
  <si>
    <t>ORANGE 02C625F553_26A3-1X01</t>
  </si>
  <si>
    <t>COMMISSION. ÉCHÉANCE: 1/16/2026 PRÊT: EMPRUNT BPGO 10 624.67 € V2 PRÊTEUR: BANQU</t>
  </si>
  <si>
    <t>COMMISSION. ÉCHÉANCE: 1/16/2026 PRÊT: EMPRUNT BPGO 10K € PRÊTEUR: BANQUE POPULAI</t>
  </si>
  <si>
    <t xml:space="preserve">COTISATION CARTE 513779XXXXX771 </t>
  </si>
  <si>
    <t>LA POSTE-FACTURE-FBGP260000049746</t>
  </si>
  <si>
    <t xml:space="preserve">FRAIS FACTURE CREDIT AGRICOLE 2 </t>
  </si>
  <si>
    <t>13/02/2026</t>
  </si>
  <si>
    <t>SOCIETE FRANCAISE DU RADIOTELEPHONE   S F R-FACTURE-B226-002732080</t>
  </si>
  <si>
    <t xml:space="preserve">FRAIS CARTE ETRANGER HORS UE </t>
  </si>
  <si>
    <t>COMMISSION. ÉCHÉANCE: 2/16/2026 PRÊT: EMPRUNT BPGO 10 624.67 € V2 PRÊTEUR: BANQU</t>
  </si>
  <si>
    <t>COMMISSION. ÉCHÉANCE: 2/16/2026 PRÊT: EMPRUNT BPGO 10K € PRÊTEUR: BANQUE POPULAI</t>
  </si>
  <si>
    <t>17/02/2026</t>
  </si>
  <si>
    <t>LA POSTE-FACTURE-FBGP260000086473</t>
  </si>
  <si>
    <t xml:space="preserve">AVOIR COTI CONTRAT PRO PROF LIB </t>
  </si>
  <si>
    <t xml:space="preserve">FRAIS CARTE A L ETRANGER HORS U </t>
  </si>
  <si>
    <t>10/03/2026</t>
  </si>
  <si>
    <t xml:space="preserve">FACT SGT26005270287716 DONT TVA 1 10EUR </t>
  </si>
  <si>
    <t>RED BY SFR-FACTURE-B226-004647656</t>
  </si>
  <si>
    <t>COMMISSION. ÉCHÉANCE: 3/16/2026 PRÊT: EMPRUNT BPGO 10 624.67 € V2 PRÊTEUR: BANQU</t>
  </si>
  <si>
    <t>COMMISSION. ÉCHÉANCE: 3/16/2026 PRÊT: EMPRUNT BPGO 10K € PRÊTEUR: BANQUE POPULAI</t>
  </si>
  <si>
    <t>AUTOROUTES DU SUD DE LA FRANCE-COMMUNICATION-FACTURE-LL02630232</t>
  </si>
  <si>
    <t>LIBERTA / 2 REPAS</t>
  </si>
  <si>
    <t>15/01/2026</t>
  </si>
  <si>
    <t>DKV EURO SERVICE GMBH &amp; CO KG 26_649135440_001</t>
  </si>
  <si>
    <t>WESTOTEL / 3 CONSO</t>
  </si>
  <si>
    <t>LA CABANE QUI FUME / 2 REPAS LE MIDI</t>
  </si>
  <si>
    <t>17/01/2026</t>
  </si>
  <si>
    <t>RACINES / 6 REPAS SAMEDI SOIR</t>
  </si>
  <si>
    <t>LA CABANE QUI FUME / 2 REPAS MECREDI MIDI</t>
  </si>
  <si>
    <t>DKV EURO SERVICE GMBH &amp; CO KG 26_649491812_001</t>
  </si>
  <si>
    <t>AUTOROUTES DU SUD DE LA FRANCE-FACTURE-MA02406136</t>
  </si>
  <si>
    <t>L UN DES SENS 2101 / 2REPAS</t>
  </si>
  <si>
    <t>CHEZ FLO / 6 CAFES</t>
  </si>
  <si>
    <t>14/02/2026</t>
  </si>
  <si>
    <t>DESIGN HOTEL-FACTURE-19265</t>
  </si>
  <si>
    <t>15/02/2026</t>
  </si>
  <si>
    <t>DKV EURO SERVICE GMBH &amp; CO KG 26_649701104_001</t>
  </si>
  <si>
    <t>18/02/2026</t>
  </si>
  <si>
    <t>CARREFOUR MARKET/ 6 CRISTALINE</t>
  </si>
  <si>
    <t>19/02/2026</t>
  </si>
  <si>
    <t>BRASSERIE MADELEINE / 2 REPAS</t>
  </si>
  <si>
    <t>PARIS-FACTURE-2623758/ PSG LDC CONTRE MONACO?</t>
  </si>
  <si>
    <t>ASIAN FUSION / 3 REPAS</t>
  </si>
  <si>
    <t>23/02/2026</t>
  </si>
  <si>
    <t>SHERATON PARIS CHARLES DE GAULLE 5301510892</t>
  </si>
  <si>
    <t>TRAIN PUB / 2 REPAS / ESPECES</t>
  </si>
  <si>
    <t>UBER</t>
  </si>
  <si>
    <t>DKV EURO SERVICE GMBH   CO KG-FACTURE-2026-02-28-162.86</t>
  </si>
  <si>
    <t>AUTOROUTES DU SUD DE LA FRANCE-FACTURE-MB02405617</t>
  </si>
  <si>
    <t>SHERATON ROISSY 9829</t>
  </si>
  <si>
    <t>SHERATON ROISSY 531</t>
  </si>
  <si>
    <t>11/03/2026</t>
  </si>
  <si>
    <t>SARL XP GOLF 234862</t>
  </si>
  <si>
    <t>15/03/2026</t>
  </si>
  <si>
    <t>DKV EURO SERVICE GMBH   CO KG-FACTURE-2026-03-15-261.81</t>
  </si>
  <si>
    <t>CMCP LE MANS 137077</t>
  </si>
  <si>
    <t>BV LMN 2641</t>
  </si>
  <si>
    <t>26/03/2026</t>
  </si>
  <si>
    <t>BEST WESTERN HOTEL GARDEN AND SPA</t>
  </si>
  <si>
    <t>FAIRWAY 34452</t>
  </si>
  <si>
    <t>28/03/2026</t>
  </si>
  <si>
    <t>MAC DO</t>
  </si>
  <si>
    <t>PV TTC</t>
  </si>
  <si>
    <t>PV TTC - SASA</t>
  </si>
  <si>
    <t>Acompte</t>
  </si>
  <si>
    <t>SASA</t>
  </si>
  <si>
    <t>OC</t>
  </si>
  <si>
    <t>Fondation</t>
  </si>
  <si>
    <t>Red fond</t>
  </si>
  <si>
    <t>Ass</t>
  </si>
  <si>
    <t>Murs</t>
  </si>
  <si>
    <t>HO</t>
  </si>
  <si>
    <t>Pub</t>
  </si>
  <si>
    <t>Kits</t>
  </si>
  <si>
    <t>Réception</t>
  </si>
  <si>
    <t>SDM</t>
  </si>
  <si>
    <t>Honor</t>
  </si>
  <si>
    <t>SS</t>
  </si>
  <si>
    <t>Chantier Humbertclaude / Bourmault Vivoin</t>
  </si>
  <si>
    <t>Chantier Jaccou / Nourry Coulans-sur-gée</t>
  </si>
  <si>
    <t>Chantier Neveu / Hlil Fyé</t>
  </si>
  <si>
    <t>Chantier Sall / Sall Champagné</t>
  </si>
  <si>
    <t>Chantier Qassid / La Suze s/ Sarthe</t>
  </si>
  <si>
    <t>Chantier Iratni / Iratni Valframbert</t>
  </si>
  <si>
    <t>Chantier Iratni Valframbert</t>
  </si>
  <si>
    <t>Chantier Delvart / Delvart Ecommoy</t>
  </si>
  <si>
    <t>Microsoft</t>
  </si>
  <si>
    <t>META</t>
  </si>
  <si>
    <t>BLVU</t>
  </si>
  <si>
    <t>Méthode VPRDS</t>
  </si>
  <si>
    <t>Méthode + prudente</t>
  </si>
  <si>
    <t>1. Acompte / Date signature contrat</t>
  </si>
  <si>
    <t>Plan</t>
  </si>
  <si>
    <t>2. Ouverture chantier</t>
  </si>
  <si>
    <t>PC</t>
  </si>
  <si>
    <t>Signature compromis</t>
  </si>
  <si>
    <t>Prêt bancaire</t>
  </si>
  <si>
    <t>6. Livraisons des Kits</t>
  </si>
  <si>
    <t>3. Achèvement des fondations</t>
  </si>
  <si>
    <t>Capital Social</t>
  </si>
  <si>
    <t>Réserve légale</t>
  </si>
  <si>
    <t>Report à nouveau</t>
  </si>
  <si>
    <t>Résultat de l'exercice</t>
  </si>
  <si>
    <t>Total capitaux propres</t>
  </si>
  <si>
    <t>Dividende versé</t>
  </si>
  <si>
    <t>Données prévisionnelles ou connues</t>
  </si>
  <si>
    <t>Factures en compta</t>
  </si>
  <si>
    <t>Sous-traitance</t>
  </si>
  <si>
    <t>% accomplissement</t>
  </si>
  <si>
    <t>Frais courtage HT CCA</t>
  </si>
  <si>
    <t>Marges S1 2024 HT</t>
  </si>
  <si>
    <t>CA S1 2024 HT</t>
  </si>
  <si>
    <t>Rest CA à comptabiliser € HT</t>
  </si>
  <si>
    <t>Rest marge à comptabiliser € HT</t>
  </si>
  <si>
    <t>Etude financement - Dépot PC</t>
  </si>
  <si>
    <t>Projet Attané / Attané Ecommoy</t>
  </si>
  <si>
    <t>Acompte / Date signature contrat</t>
  </si>
  <si>
    <t>Projet Humbertclaude / Bourmault Vivoin</t>
  </si>
  <si>
    <t>Projet Jaccou / Nourry Coulans-sur-gée</t>
  </si>
  <si>
    <t>Projet Kong / Luy Vivoin</t>
  </si>
  <si>
    <t>Projet Maweze Kimba / Maweze Kimba Alençon</t>
  </si>
  <si>
    <t>Projet Neveu / Hlil Fyé</t>
  </si>
  <si>
    <t>Projet Sall / Sall Champagné</t>
  </si>
  <si>
    <t>Projet Ségouin / Ségouin Vivoin</t>
  </si>
  <si>
    <t>Projet Zai / Zai Alencon</t>
  </si>
  <si>
    <t>Chantiers en cours</t>
  </si>
  <si>
    <t>Chantier Moussa / Mouhamadi Sidi Mari fercé-sur-Sarthe</t>
  </si>
  <si>
    <t>Achèvement des murs</t>
  </si>
  <si>
    <t>Mise hors d'eau</t>
  </si>
  <si>
    <t>Achèvement des fondations</t>
  </si>
  <si>
    <t>Chantier TESSIER - 72 LUCE SOUS BALLON</t>
  </si>
  <si>
    <t>Réception validée</t>
  </si>
  <si>
    <t>Chantier RIDONY / JEAN-CHARLES - 72 ECOMMOY</t>
  </si>
  <si>
    <t>Nombre</t>
  </si>
  <si>
    <t>Anicenne version</t>
  </si>
  <si>
    <t>Cloture 311223</t>
  </si>
  <si>
    <t>Cloture 3006</t>
  </si>
  <si>
    <t>Contrôle de gestion</t>
  </si>
  <si>
    <t>Ecart</t>
  </si>
  <si>
    <t>Commission</t>
  </si>
  <si>
    <t>Red fondation</t>
  </si>
  <si>
    <t>Red Pub</t>
  </si>
  <si>
    <t>Marge de prod</t>
  </si>
  <si>
    <t>Ecart compta/gestion</t>
  </si>
  <si>
    <t>CA</t>
  </si>
  <si>
    <t>Charges</t>
  </si>
  <si>
    <t>Commercial affecté</t>
  </si>
  <si>
    <t>Total projet (indicatif)</t>
  </si>
  <si>
    <t>Modèle de base</t>
  </si>
  <si>
    <t>Avoir</t>
  </si>
  <si>
    <t>Date et heure RM réalisé</t>
  </si>
  <si>
    <t>Date contrat</t>
  </si>
  <si>
    <t>Envoi pièces contractuelles LRAR</t>
  </si>
  <si>
    <t>GR délivrée</t>
  </si>
  <si>
    <t>Statut Demande De Plan</t>
  </si>
  <si>
    <t>Statut PC</t>
  </si>
  <si>
    <t>Nature PC</t>
  </si>
  <si>
    <t>Partenaire Bancaire Prop Principale</t>
  </si>
  <si>
    <t>Statut du financement</t>
  </si>
  <si>
    <t>Date de signature compromis</t>
  </si>
  <si>
    <t>Acte authentique</t>
  </si>
  <si>
    <t>Statut TDD</t>
  </si>
  <si>
    <t>PT-Date dossier complet</t>
  </si>
  <si>
    <t>GOC délivrée</t>
  </si>
  <si>
    <t>Date OC</t>
  </si>
  <si>
    <t>Peut être comptabilisé</t>
  </si>
  <si>
    <t>Montant encaissé</t>
  </si>
  <si>
    <t>Provision CA</t>
  </si>
  <si>
    <t>En cours sur avoir</t>
  </si>
  <si>
    <t>Sous-traitance MIKIT</t>
  </si>
  <si>
    <t>Rest CA 2024 € HT</t>
  </si>
  <si>
    <t>Marges chantier HT</t>
  </si>
  <si>
    <t>Marges comptabilisées HT</t>
  </si>
  <si>
    <t>Rest marge 2024 € HT</t>
  </si>
  <si>
    <t>Projet Moussa / Mouhamadi Sidi Mari fercé-sur-Sarthe</t>
  </si>
  <si>
    <t>Anaïs LAMARD</t>
  </si>
  <si>
    <t>Loelie 40 Nord</t>
  </si>
  <si>
    <t>26/10/2023</t>
  </si>
  <si>
    <t>27/10/2023</t>
  </si>
  <si>
    <t>07/11/2023</t>
  </si>
  <si>
    <t>Obtenu</t>
  </si>
  <si>
    <t>Déposé</t>
  </si>
  <si>
    <t>Standard</t>
  </si>
  <si>
    <t>CIC Le Mans République</t>
  </si>
  <si>
    <t>Accord principe</t>
  </si>
  <si>
    <t>10/01/2024</t>
  </si>
  <si>
    <t>Avril 2024 (prévisionnel)</t>
  </si>
  <si>
    <t>Y</t>
  </si>
  <si>
    <t>Projet Rajoel / Rojo Prévelle</t>
  </si>
  <si>
    <t>Mazarine MIREFLEUR</t>
  </si>
  <si>
    <t>Loelie 22</t>
  </si>
  <si>
    <t>14/06/2023</t>
  </si>
  <si>
    <t>16/06/2023</t>
  </si>
  <si>
    <t>10/07/2023</t>
  </si>
  <si>
    <t>Crédit Agricole Allonnes</t>
  </si>
  <si>
    <t>Offres renvoyées</t>
  </si>
  <si>
    <t>09/11/2023</t>
  </si>
  <si>
    <t>16/01/2024 (fixé)</t>
  </si>
  <si>
    <t>Transmis complet</t>
  </si>
  <si>
    <t>05/12/2023</t>
  </si>
  <si>
    <t>Janvier 2024 (prévisionnel)</t>
  </si>
  <si>
    <t>Projet Berthe / Evuort Vivoin</t>
  </si>
  <si>
    <t>Vincent PARADIS</t>
  </si>
  <si>
    <t>30/08/2023</t>
  </si>
  <si>
    <t>01/09/2023</t>
  </si>
  <si>
    <t>05/09/2023</t>
  </si>
  <si>
    <t>ABF</t>
  </si>
  <si>
    <t>22/12/2023</t>
  </si>
  <si>
    <t>16/01/2024 (prévisionnel)</t>
  </si>
  <si>
    <t>20/12/2023</t>
  </si>
  <si>
    <t>Février 2024 (prévisionnel)</t>
  </si>
  <si>
    <t>Projet Tamisier / Tronchet Neufchâtel-en-Saosnois</t>
  </si>
  <si>
    <t>23/11/2023</t>
  </si>
  <si>
    <t>30/11/2023</t>
  </si>
  <si>
    <t>En cours</t>
  </si>
  <si>
    <t>A réaliser</t>
  </si>
  <si>
    <t>26/12/2023</t>
  </si>
  <si>
    <t>Projet Garcia / Garcia La Suze sur Sarthe</t>
  </si>
  <si>
    <t>16/03/2023</t>
  </si>
  <si>
    <t>14/03/2023</t>
  </si>
  <si>
    <t>20/03/2023</t>
  </si>
  <si>
    <t>22/03/2023</t>
  </si>
  <si>
    <t>20/04/2023</t>
  </si>
  <si>
    <t>29/12/2023 (signé)</t>
  </si>
  <si>
    <t>19/12/2023</t>
  </si>
  <si>
    <t>Projet Vanier Breillon / Vanier Breillon La Chapelle d'Aligné</t>
  </si>
  <si>
    <t>19/10/2023</t>
  </si>
  <si>
    <t>20/10/2023</t>
  </si>
  <si>
    <t>25/10/2023</t>
  </si>
  <si>
    <t>03/01/2024</t>
  </si>
  <si>
    <t>Loelie 30 Nord</t>
  </si>
  <si>
    <t>Paiement comptant</t>
  </si>
  <si>
    <t>Validé</t>
  </si>
  <si>
    <t>Voir fiche renta</t>
  </si>
  <si>
    <t>Loelie 22 Nord</t>
  </si>
  <si>
    <t>Crédit Mutuel Mulsanne</t>
  </si>
  <si>
    <t>Marge moyenne € HT</t>
  </si>
  <si>
    <t>VPRDS HOME SOLUTIONS</t>
  </si>
  <si>
    <t>Période du 01/01/2025 au 31/12/2025  (édité le 17/04/2026)</t>
  </si>
  <si>
    <t>10130000000</t>
  </si>
  <si>
    <t>CAPITAL SOUSCRIT APPELE VERSE</t>
  </si>
  <si>
    <t>Débit</t>
  </si>
  <si>
    <t>Crédit</t>
  </si>
  <si>
    <t>Solde Débit</t>
  </si>
  <si>
    <t>Solde Crédit</t>
  </si>
  <si>
    <t>Lettre</t>
  </si>
  <si>
    <t>AN</t>
  </si>
  <si>
    <t>anouveaux-01-01-2025</t>
  </si>
  <si>
    <t>CAPITAL SOUSCRIT APPELE VERSE (31/12/2024)</t>
  </si>
  <si>
    <t>10610000000</t>
  </si>
  <si>
    <t>OA</t>
  </si>
  <si>
    <t>20250826075230</t>
  </si>
  <si>
    <t>AFFECTATION RESULTAT 31.12.2024</t>
  </si>
  <si>
    <t>10680000000</t>
  </si>
  <si>
    <t>Autres réserves</t>
  </si>
  <si>
    <t>11000000000</t>
  </si>
  <si>
    <t>Report à nouveau (solde créditeur ou débiteur)</t>
  </si>
  <si>
    <t>REPORT À NOUVEAU EN EUROS (31/12/2024)</t>
  </si>
  <si>
    <t>transfer-26-08-2025</t>
  </si>
  <si>
    <t>RCLST AN</t>
  </si>
  <si>
    <t>11900000000</t>
  </si>
  <si>
    <t>Report à nouveau débiteur</t>
  </si>
  <si>
    <t>12000000000</t>
  </si>
  <si>
    <t>Résultat de l'exercice (bénéfice ou perte)</t>
  </si>
  <si>
    <t>RÉSULTAT EN EUROS (31/12/2024)</t>
  </si>
  <si>
    <t>16410003000</t>
  </si>
  <si>
    <t>PRET 10002460003</t>
  </si>
  <si>
    <t>PRET 10002460003 (31/12/2024)</t>
  </si>
  <si>
    <t>EM</t>
  </si>
  <si>
    <t>20250219101550</t>
  </si>
  <si>
    <t>CAPITAL AMORTI. ÉCHÉANCE: 1/5/2025 PRÊT: EMPRUNT 20K€ PRÊTEUR: CRÉDIT AGRICOLE ANJOU MAINE</t>
  </si>
  <si>
    <t>CAPITAL AMORTI. ÉCHÉANCE: 2/5/2025 PRÊT: EMPRUNT 20K€ PRÊTEUR: CRÉDIT AGRICOLE ANJOU MAINE</t>
  </si>
  <si>
    <t>CAPITAL AMORTI. ÉCHÉANCE: 3/5/2025 PRÊT: EMPRUNT 20K€ PRÊTEUR: CRÉDIT AGRICOLE ANJOU MAINE</t>
  </si>
  <si>
    <t>CAPITAL AMORTI. ÉCHÉANCE: 4/5/2025 PRÊT: EMPRUNT 20K€ PRÊTEUR: CRÉDIT AGRICOLE ANJOU MAINE</t>
  </si>
  <si>
    <t>CAPITAL AMORTI. ÉCHÉANCE: 5/5/2025 PRÊT: EMPRUNT 20K€ PRÊTEUR: CRÉDIT AGRICOLE ANJOU MAINE</t>
  </si>
  <si>
    <t>CAPITAL AMORTI. ÉCHÉANCE: 6/5/2025 PRÊT: EMPRUNT 20K€ PRÊTEUR: CRÉDIT AGRICOLE ANJOU MAINE</t>
  </si>
  <si>
    <t>CAPITAL AMORTI. ÉCHÉANCE: 7/5/2025 PRÊT: EMPRUNT 20K€ PRÊTEUR: CRÉDIT AGRICOLE ANJOU MAINE</t>
  </si>
  <si>
    <t>CAPITAL AMORTI. ÉCHÉANCE: 8/5/2025 PRÊT: EMPRUNT 20K€ PRÊTEUR: CRÉDIT AGRICOLE ANJOU MAINE</t>
  </si>
  <si>
    <t>CAPITAL AMORTI. ÉCHÉANCE: 9/5/2025 PRÊT: EMPRUNT 20K€ PRÊTEUR: CRÉDIT AGRICOLE ANJOU MAINE</t>
  </si>
  <si>
    <t>CAPITAL AMORTI. ÉCHÉANCE: 10/5/2025 PRÊT: EMPRUNT 20K€ PRÊTEUR: CRÉDIT AGRICOLE ANJOU MAINE</t>
  </si>
  <si>
    <t>CAPITAL AMORTI. ÉCHÉANCE: 11/5/2025 PRÊT: EMPRUNT 20K€ PRÊTEUR: CRÉDIT AGRICOLE ANJOU MAINE</t>
  </si>
  <si>
    <t>CAPITAL AMORTI. ÉCHÉANCE: 12/5/2025 PRÊT: EMPRUNT 20K€ PRÊTEUR: CRÉDIT AGRICOLE ANJOU MAINE</t>
  </si>
  <si>
    <t>16410004000</t>
  </si>
  <si>
    <t>REAL PRET 10002460004</t>
  </si>
  <si>
    <t>REAL PRET 10002460004 (31/12/2024)</t>
  </si>
  <si>
    <t>20250219101609</t>
  </si>
  <si>
    <t>CAPITAL AMORTI. ÉCHÉANCE: 1/5/2025 PRÊT: EMPRUNT 47 304€ PRÊTEUR: CRÉDIT AGRICOLE ANJOU MAINE</t>
  </si>
  <si>
    <t>CAPITAL AMORTI. ÉCHÉANCE: 2/5/2025 PRÊT: EMPRUNT 47 304€ PRÊTEUR: CRÉDIT AGRICOLE ANJOU MAINE</t>
  </si>
  <si>
    <t>CAPITAL AMORTI. ÉCHÉANCE: 3/5/2025 PRÊT: EMPRUNT 47 304€ PRÊTEUR: CRÉDIT AGRICOLE ANJOU MAINE</t>
  </si>
  <si>
    <t>CAPITAL AMORTI. ÉCHÉANCE: 4/5/2025 PRÊT: EMPRUNT 47 304€ PRÊTEUR: CRÉDIT AGRICOLE ANJOU MAINE</t>
  </si>
  <si>
    <t>CAPITAL AMORTI. ÉCHÉANCE: 5/5/2025 PRÊT: EMPRUNT 47 304€ PRÊTEUR: CRÉDIT AGRICOLE ANJOU MAINE</t>
  </si>
  <si>
    <t>CAPITAL AMORTI. ÉCHÉANCE: 6/5/2025 PRÊT: EMPRUNT 47 304€ PRÊTEUR: CRÉDIT AGRICOLE ANJOU MAINE</t>
  </si>
  <si>
    <t>CAPITAL AMORTI. ÉCHÉANCE: 7/5/2025 PRÊT: EMPRUNT 47 304€ PRÊTEUR: CRÉDIT AGRICOLE ANJOU MAINE</t>
  </si>
  <si>
    <t>CAPITAL AMORTI. ÉCHÉANCE: 8/5/2025 PRÊT: EMPRUNT 47 304€ PRÊTEUR: CRÉDIT AGRICOLE ANJOU MAINE</t>
  </si>
  <si>
    <t>CAPITAL AMORTI. ÉCHÉANCE: 9/5/2025 PRÊT: EMPRUNT 47 304€ PRÊTEUR: CRÉDIT AGRICOLE ANJOU MAINE</t>
  </si>
  <si>
    <t>CAPITAL AMORTI. ÉCHÉANCE: 10/5/2025 PRÊT: EMPRUNT 47 304€ PRÊTEUR: CRÉDIT AGRICOLE ANJOU MAINE</t>
  </si>
  <si>
    <t>CAPITAL AMORTI. ÉCHÉANCE: 11/5/2025 PRÊT: EMPRUNT 47 304€ PRÊTEUR: CRÉDIT AGRICOLE ANJOU MAINE</t>
  </si>
  <si>
    <t>CAPITAL AMORTI. ÉCHÉANCE: 12/5/2025 PRÊT: EMPRUNT 47 304€ PRÊTEUR: CRÉDIT AGRICOLE ANJOU MAINE</t>
  </si>
  <si>
    <t>16410005000</t>
  </si>
  <si>
    <t>EMPRUNT BPGO 10K €</t>
  </si>
  <si>
    <t>20251218085800</t>
  </si>
  <si>
    <t>DÉBLOCAGE. PRÊT: EMPRUNT BPGO 10K € PRÊTEUR: BANQUE POPULAIRE GRAND OUEST</t>
  </si>
  <si>
    <t>CAPITAL AMORTI. ÉCHÉANCE: 11/16/2025 PRÊT: EMPRUNT BPGO 10K € PRÊTEUR: BANQUE POPULAIRE GRAND OUEST</t>
  </si>
  <si>
    <t>CAPITAL AMORTI. ÉCHÉANCE: 12/16/2025 PRÊT: EMPRUNT BPGO 10K € PRÊTEUR: BANQUE POPULAIRE GRAND OUEST</t>
  </si>
  <si>
    <t>16410006000</t>
  </si>
  <si>
    <t>EMPRUNT BPGO 10 624.67 €</t>
  </si>
  <si>
    <t>20251218085353</t>
  </si>
  <si>
    <t>DÉBLOCAGE. PRÊT: EMPRUNT BPGO 10 624.67 € V2 PRÊTEUR: BANQUE POPULAIRE GRAND OUEST</t>
  </si>
  <si>
    <t>CAPITAL AMORTI. ÉCHÉANCE: 11/16/2025 PRÊT: EMPRUNT BPGO 10 624.67 € V2 PRÊTEUR: BANQUE POPULAIRE GRAND OUEST</t>
  </si>
  <si>
    <t>CAPITAL AMORTI. ÉCHÉANCE: 12/16/2025 PRÊT: EMPRUNT BPGO 10 624.67 € V2 PRÊTEUR: BANQUE POPULAIRE GRAND OUEST</t>
  </si>
  <si>
    <t>16410007000</t>
  </si>
  <si>
    <t>CIC OUEST 20 175 €</t>
  </si>
  <si>
    <t>20251218084138</t>
  </si>
  <si>
    <t>DÉBLOCAGE. PRÊT: EMPRUNT CIC 20 175 € PRÊTEUR: CIC</t>
  </si>
  <si>
    <t>CAPITAL AMORTI. ÉCHÉANCE: 11/5/2025 PRÊT: EMPRUNT CIC 20 175 € PRÊTEUR: CIC</t>
  </si>
  <si>
    <t>CAPITAL AMORTI. ÉCHÉANCE: 12/5/2025 PRÊT: EMPRUNT CIC 20 175 € PRÊTEUR: CIC</t>
  </si>
  <si>
    <t>16480000000</t>
  </si>
  <si>
    <t>Intérêts courus sur emprunts auprès des établissements</t>
  </si>
  <si>
    <t>CO</t>
  </si>
  <si>
    <t>Intérêt couru non échu - Emprunt:EMPRUNT BPGO 10K € 2025</t>
  </si>
  <si>
    <t>B</t>
  </si>
  <si>
    <t>Intérêt couru non échu - Emprunt:EMPRUNT BPGO 10 624.67 € v2 2025</t>
  </si>
  <si>
    <t>A</t>
  </si>
  <si>
    <t>Intérêt couru non échu - Emprunt:EMPRUNT CIC 20 175 € 2025</t>
  </si>
  <si>
    <t>C</t>
  </si>
  <si>
    <t>16884000000</t>
  </si>
  <si>
    <t>Int.courus/emp.établ.crédit</t>
  </si>
  <si>
    <t>INT.COURUS/EMP.ÉTABL.CRÉDIT (31/12/2024)</t>
  </si>
  <si>
    <t>OD</t>
  </si>
  <si>
    <t>20250219102703</t>
  </si>
  <si>
    <t>20500000000</t>
  </si>
  <si>
    <t>Conces.brevet licences marques</t>
  </si>
  <si>
    <t>A-NOUVEAU CONCES.BREVET LICENCES MARQUES (01/01/2024)</t>
  </si>
  <si>
    <t>21810000000</t>
  </si>
  <si>
    <t>Installations générales</t>
  </si>
  <si>
    <t>A-NOUVEAU INSTALLATIONS GÉNÉRALES (01/01/2024)</t>
  </si>
  <si>
    <t>21830000000</t>
  </si>
  <si>
    <t>Mat bureaux informatique</t>
  </si>
  <si>
    <t>BOULANGER IPAD + CLAVIER (25/05/2024)</t>
  </si>
  <si>
    <t>A-NOUVEAU MAT BUREAUX INFORMATIQUE (01/01/2024)</t>
  </si>
  <si>
    <t>SORTIE MONITEUR PC SAMSUNG DEC 2024 (31/12/2024)</t>
  </si>
  <si>
    <t>SORTIE PC ACER + MONITEUR PC DEC 2024 (31/12/2024)</t>
  </si>
  <si>
    <t>SORTIE PC LENOVO DEC 2024 (31/12/2024)</t>
  </si>
  <si>
    <t>HA</t>
  </si>
  <si>
    <t>F2242211639-25-002</t>
  </si>
  <si>
    <t>PORTABLE MACBOOK PRO 14'</t>
  </si>
  <si>
    <t>SIT</t>
  </si>
  <si>
    <t>20250903072745</t>
  </si>
  <si>
    <t>SORTIE MACBOOK 13 POUCES JUIN 2025</t>
  </si>
  <si>
    <t>EXTOURNE SORTIE MACBOOK 13 POUCES JUIN 2025</t>
  </si>
  <si>
    <t>ua25800248</t>
  </si>
  <si>
    <t>APPLE IPHONE 17</t>
  </si>
  <si>
    <t>IM</t>
  </si>
  <si>
    <t>20260202113059</t>
  </si>
  <si>
    <t>SORTIE MACBOOK 13 POUCES DÉC. 2025</t>
  </si>
  <si>
    <t>21840000000</t>
  </si>
  <si>
    <t>Mobilier</t>
  </si>
  <si>
    <t>A-NOUVEAU MOBILIER (01/01/2024)</t>
  </si>
  <si>
    <t>AC</t>
  </si>
  <si>
    <t>20250619101228</t>
  </si>
  <si>
    <t>SKLUM - CANAPE</t>
  </si>
  <si>
    <t>SORTIE CANAPE LIT 2 PLACES EN TISSU ARUBA JUIN 2025</t>
  </si>
  <si>
    <t>EXTOURNE SORTIE CANAPE LIT 2 PLACES EN TISSU ARUBA JUIN 2025</t>
  </si>
  <si>
    <t>SORTIE CANAPE LIT 2 PLACES EN TISSU ARUBA DÉC. 2025</t>
  </si>
  <si>
    <t>26100000000</t>
  </si>
  <si>
    <t>Titres de participation</t>
  </si>
  <si>
    <t>BQ</t>
  </si>
  <si>
    <t>20251212112437</t>
  </si>
  <si>
    <t>PARTS SOC BP</t>
  </si>
  <si>
    <t>27500000000</t>
  </si>
  <si>
    <t>Dépôt cautionnements versés</t>
  </si>
  <si>
    <t>A-NOUVEAU DÉPÔT CAUTIONNEMENTS VERSÉS (01/01/2024)</t>
  </si>
  <si>
    <t>BQ52228107</t>
  </si>
  <si>
    <t>VIR INST VERS ALPHABET S.A.S. / REVOIR AVEC THOMAS</t>
  </si>
  <si>
    <t>28050000000</t>
  </si>
  <si>
    <t>Amort. concession brevet lic.</t>
  </si>
  <si>
    <t>A-NOUVEAU AMORT. CONCESSION BREVET LIC. (01/01/2024)</t>
  </si>
  <si>
    <t>DOTATION ÉCONOMIQUES DROIT D'INTEGRATION MIKIT DEC 2024 (31/12/2024)</t>
  </si>
  <si>
    <t>DOTATION ÉCONOMIQUES DROIT D'ENTREE MIKIT DEC 2024 (31/12/2024)</t>
  </si>
  <si>
    <t>28181000000</t>
  </si>
  <si>
    <t>Amort. inst.gle.agt.am</t>
  </si>
  <si>
    <t>A-NOUVEAU AMORT. INST.GLE.AGT.AM (01/01/2024)</t>
  </si>
  <si>
    <t>DOTATION ÉCONOMIQUES AGENCEMENT BUREAU SARTHE PEINTURE DEC 2024 (31/12/2024)</t>
  </si>
  <si>
    <t>DOTATION ÉCONOMIQUES CELL ENSEIGNE DEC 2024 (31/12/2024)</t>
  </si>
  <si>
    <t>28183000000</t>
  </si>
  <si>
    <t>Amort. mat bureau informatique</t>
  </si>
  <si>
    <t>A-NOUVEAU AMORT. MAT BUREAU INFORMATIQUE (01/01/2024)</t>
  </si>
  <si>
    <t>DOTATION ÉCONOMIQUES IPAD + CLAVIER DEC 2024 (31/12/2024)</t>
  </si>
  <si>
    <t>DOTATIONS EXCEPTIONNELLES MONITEUR PC SAMSUNG DEC 2024 (31/12/2024)</t>
  </si>
  <si>
    <t>DOTATION ÉCONOMIQUES MONITEUR PC SAMSUNG DEC 2024 (31/12/2024)</t>
  </si>
  <si>
    <t>DOTATION ÉCONOMIQUES IPHONE 14 RPO MAX DEC 2024 (31/12/2024)</t>
  </si>
  <si>
    <t>DOTATIONS EXCEPTIONNELLES PC ACER + MONITEUR PC DEC 2024 (31/12/2024)</t>
  </si>
  <si>
    <t>DOTATION ÉCONOMIQUES PC ACER + MONITEUR PC DEC 2024 (31/12/2024)</t>
  </si>
  <si>
    <t>DOTATIONS EXCEPTIONNELLES PC LENOVO DEC 2024 (31/12/2024)</t>
  </si>
  <si>
    <t>DOTATION ÉCONOMIQUES PC LENOVO DEC 2024 (31/12/2024)</t>
  </si>
  <si>
    <t>DOTATION ÉCONOMIQUES MACBOOK 13 POUCES DEC 2024 (31/12/2024)</t>
  </si>
  <si>
    <t>D</t>
  </si>
  <si>
    <t>E</t>
  </si>
  <si>
    <t>F</t>
  </si>
  <si>
    <t>28184000000</t>
  </si>
  <si>
    <t>Amort. mobilier</t>
  </si>
  <si>
    <t>A-NOUVEAU AMORT. MOBILIER (01/01/2024)</t>
  </si>
  <si>
    <t>DOTATION ÉCONOMIQUES MEUBLE IKEA DEC 2024 (31/12/2024)</t>
  </si>
  <si>
    <t>DOTATION ÉCONOMIQUES BUREAU EN BOIS TALUK DEC 2024 (31/12/2024)</t>
  </si>
  <si>
    <t>DOTATION ÉCONOMIQUES TV UHD 4K HISENSE DEC 2024 (31/12/2024)</t>
  </si>
  <si>
    <t>DOTATION ÉCONOMIQUES TV ANDROID TCL DEC 2024 (31/12/2024)</t>
  </si>
  <si>
    <t>DOTATION ÉCONOMIQUES CANAPE LIT 2 PLACES EN TISSU ARUBA DEC 2024 (31/12/2024)</t>
  </si>
  <si>
    <t>DOTATION ÉCONOMIQUES EXPRESSO PHILIPS DEC 2024 (31/12/2024)</t>
  </si>
  <si>
    <t>DOTATION ÉCONOMIQUES REFRIGERATEUR DEC 2024 (31/12/2024)</t>
  </si>
  <si>
    <t>DOTATION ÉCONOMIQUES MOBILIER SKLUM (BUREAU + TABLE + CHAISE) DEC 2024 (31/12/2024)</t>
  </si>
  <si>
    <t>I</t>
  </si>
  <si>
    <t>J</t>
  </si>
  <si>
    <t>K</t>
  </si>
  <si>
    <t>L</t>
  </si>
  <si>
    <t>G</t>
  </si>
  <si>
    <t>H</t>
  </si>
  <si>
    <t>M</t>
  </si>
  <si>
    <t>401ACHIBAT</t>
  </si>
  <si>
    <t>ACHIBAT</t>
  </si>
  <si>
    <t>1974</t>
  </si>
  <si>
    <t>BQ70624560</t>
  </si>
  <si>
    <t xml:space="preserve">VIR INST VERS ARCHIBAT S.A.S. VPRDS HOME SOLUTIONS ARCHIBAT FACTURE 1974 FACTURE 1974 PLANS F5F99796DB184B029159B2842376E58E FR7616275105010800019432979 </t>
  </si>
  <si>
    <t>401ACTIO</t>
  </si>
  <si>
    <t>ACTION</t>
  </si>
  <si>
    <t>4725101-10462197</t>
  </si>
  <si>
    <t>406510170490446</t>
  </si>
  <si>
    <t>BQ69291954</t>
  </si>
  <si>
    <t>ACTION / FOIRE</t>
  </si>
  <si>
    <t>ACTION/ FOIRE</t>
  </si>
  <si>
    <t>401ACTIONFRANCE</t>
  </si>
  <si>
    <t>ACTIONFRANCE</t>
  </si>
  <si>
    <t>20250311153001</t>
  </si>
  <si>
    <t>BQ50530822</t>
  </si>
  <si>
    <t xml:space="preserve">CARTE X7179 ACTION 4065 LE MANS </t>
  </si>
  <si>
    <t>401ADDITIMULTIMEDIA</t>
  </si>
  <si>
    <t>ADDITIMULTIMEDIA</t>
  </si>
  <si>
    <t>250804411U</t>
  </si>
  <si>
    <t>BQ68618040</t>
  </si>
  <si>
    <t xml:space="preserve">ADDITI MULTIMEDIA ADDITI MULTIMEDIA FR93ZZZ463548 SEPA VPRDS HOME SOLUTIONS 298338537 U-PR25011329-1 IM-AM016335 FRST FR7617906001129641663834646 </t>
  </si>
  <si>
    <t>250904458U</t>
  </si>
  <si>
    <t>BQ71673286</t>
  </si>
  <si>
    <t xml:space="preserve">ADDITI MULTIMEDIA ADDITI MULTIMEDIA FR93ZZZ463548 SEPA VPRDS HOME SOLUTIONS 300565045 U-PR25012521-1 IM-AM016335 RCUR FR7617906001129641663834646 </t>
  </si>
  <si>
    <t>251004506U</t>
  </si>
  <si>
    <t>251103126U</t>
  </si>
  <si>
    <t>BQ74860639</t>
  </si>
  <si>
    <t xml:space="preserve">ADDITI MULTIMEDIA ADDITI MULTIMEDIA FR93ZZZ463548 SEPA VPRDS HOME SOLUTIONS 302636241 U-PR25013711-1 IM-AM016335 RCUR FR7617906001129641663834646 </t>
  </si>
  <si>
    <t>251202085U</t>
  </si>
  <si>
    <t>401ALFFM</t>
  </si>
  <si>
    <t>ALFFM</t>
  </si>
  <si>
    <t>20250903114320</t>
  </si>
  <si>
    <t>20250903114151</t>
  </si>
  <si>
    <t>20250903114138</t>
  </si>
  <si>
    <t>BQ55875116</t>
  </si>
  <si>
    <t xml:space="preserve">ALPHABET FRANCE FLEET MANAGEMEN ALPHABET FRANCE FLEET MANAGEMENT FR70ZZZ242802 SEPA VPRDS HOME SOLUTIONS 287535192 OPEN AL00131191 RCUR FR7617906001129641663834646 </t>
  </si>
  <si>
    <t>20250903113710</t>
  </si>
  <si>
    <t>BQ58409315</t>
  </si>
  <si>
    <t xml:space="preserve">ALPHABET FRANCE FLEET MANAGEMEN ALPHABET FRANCE FLEET MANAGEMENT FR70ZZZ242802 SEPA VPRDS HOME SOLUTIONS 290031031 OPEN AL00131191 RCUR FR7617906001129641663834646 </t>
  </si>
  <si>
    <t>20250924121558</t>
  </si>
  <si>
    <t>BQ61261127</t>
  </si>
  <si>
    <t xml:space="preserve">ALPHABET FRANCE FLEET MANAGEMEN ALPHABET FRANCE FLEET MANAGEMENT FR70ZZZ242802 SEPA VPRDS HOME SOLUTIONS 292464784 OPEN AL00131191 RCUR FR7617906001129641663834646 </t>
  </si>
  <si>
    <t>20250924121609</t>
  </si>
  <si>
    <t>BQ64092179</t>
  </si>
  <si>
    <t xml:space="preserve">ALPHABET FRANCE FLEET MANAGEMEN ALPHABET FRANCE FLEET MANAGEMENT FR70ZZZ242802 SEPA VPRDS HOME SOLUTIONS 294619702 OPEN AL00131191 RCUR FR7617906001129641663834646 </t>
  </si>
  <si>
    <t>20251023093233</t>
  </si>
  <si>
    <t>BQ66504502</t>
  </si>
  <si>
    <t xml:space="preserve">ALPHABET FRANCE FLEET MANAGEMEN ALPHABET FRANCE FLEET MANAGEMENT FR70ZZZ242802 SEPA VPRDS HOME SOLUTIONS 296885166 OPEN AL00131191 RCUR FR7617906001129641663834646 </t>
  </si>
  <si>
    <t>20251023093240</t>
  </si>
  <si>
    <t>BQ69291949</t>
  </si>
  <si>
    <t xml:space="preserve">ALPHABET FRANCE FLEET MANAGEMEN ALPHABET FRANCE FLEET MANAGEMENT FR70ZZZ242802 SEPA VPRDS HOME SOLUTIONS 299063882 OPEN AL00131191 RCUR FR7617906001129641663834646 </t>
  </si>
  <si>
    <t>20251212164030</t>
  </si>
  <si>
    <t>BQ72372586</t>
  </si>
  <si>
    <t xml:space="preserve">ALPHABET FRANCE FLEET MANAGEMEN ALPHABET FRANCE FLEET MANAGEMENT FR70ZZZ242802 SEPA VPRDS HOME SOLUTIONS 301499519 OPEN AL00131191 RCUR FR7617906001129641663834646 </t>
  </si>
  <si>
    <t>20251212164038</t>
  </si>
  <si>
    <t>BQ75668119</t>
  </si>
  <si>
    <t xml:space="preserve">ALPHABET FRANCE FLEET MANAGEMEN ALPHABET FRANCE FLEET MANAGEMENT FR70ZZZ242802 SEPA VPRDS HOME SOLUTIONS 303828637 OPEN AL00131191 RCUR FR7617906001129641663834646 </t>
  </si>
  <si>
    <t>20260205103334</t>
  </si>
  <si>
    <t>ÉCART DE RÈGLEMENT - ALFFM</t>
  </si>
  <si>
    <t>401ALTONEO</t>
  </si>
  <si>
    <t>ALTONEO CONSEIL SAS</t>
  </si>
  <si>
    <t>ALTONEO-HONORAIRE LIBERAL-AVOIR-16250001406 (31/12/2024)</t>
  </si>
  <si>
    <t>ALTONEO-HONORAIRE LIBERAL-FACTURE-11250001938 (31/12/2024)</t>
  </si>
  <si>
    <t>ALTONEO-HONORAIRE LIBERAL-AVOIR-16250001811 (31/12/2024)</t>
  </si>
  <si>
    <t>BQ48592228</t>
  </si>
  <si>
    <t xml:space="preserve">ALTONEO CONSEIL ALTONEO CONSEIL FR33ZZZ410308 SEPA SAS VPRDS HOME SOLUTIONS P7024-72-CA 16250001406 RUM-010172-72MAN RCUR FR7617906001129641663834646 </t>
  </si>
  <si>
    <t>BQ48592229</t>
  </si>
  <si>
    <t xml:space="preserve">ALTONEO CONSEIL ALTONEO CONSEIL FR33ZZZ410308 SEPA SAS VPRDS HOME SOLUTIONS P7024-72-CA 11250001938 RUM-010172-72MAN RCUR FR7617906001129641663834646 </t>
  </si>
  <si>
    <t>16250002207</t>
  </si>
  <si>
    <t>BQ49848987</t>
  </si>
  <si>
    <t xml:space="preserve">ALTONEO CONSEIL ALTONEO CONSEIL FR33ZZZ410308 SEPA SAS VPRDS HOME SOLUTIONS P7058-72-CA 16250001811 RUM-010172-72MAN RCUR FR7617906001129641663834646 </t>
  </si>
  <si>
    <t>BQ50787227</t>
  </si>
  <si>
    <t xml:space="preserve">ALTONEO CONSEIL ALTONEO CONSEIL FR33ZZZ410308 SEPA SAS VPRDS HOME SOLUTIONS P7091-CA-72 16250002207 RUM-010172-72MAN RCUR FR7617906001129641663834646 </t>
  </si>
  <si>
    <t>16250002819</t>
  </si>
  <si>
    <t>16250002797</t>
  </si>
  <si>
    <t>16250002699</t>
  </si>
  <si>
    <t>BQ53034367</t>
  </si>
  <si>
    <t xml:space="preserve">ALTONEO CONSEIL ALTONEO CONSEIL FR33ZZZ410308 SEPA SAS VPRDS HOME SOLUTIONS P7168-CA-72 16250002699 RUM-010172-72MAN RCUR FR7617906001129641663834646 </t>
  </si>
  <si>
    <t>BQ53034368</t>
  </si>
  <si>
    <t xml:space="preserve">ALTONEO CONSEIL ALTONEO CONSEIL FR33ZZZ410308 SEPA SAS VPRDS HOME SOLUTIONS P7168-CA-72 16250002797 RUM-010172-72MAN RCUR FR7617906001129641663834646 </t>
  </si>
  <si>
    <t>BQ53034369</t>
  </si>
  <si>
    <t xml:space="preserve">ALTONEO CONSEIL ALTONEO CONSEIL FR33ZZZ410308 SEPA SAS VPRDS HOME SOLUTIONS P7168-CA-72 16250002819 RUM-010172-72MAN RCUR FR7617906001129641663834646 </t>
  </si>
  <si>
    <t>16250003725</t>
  </si>
  <si>
    <t>11250004057</t>
  </si>
  <si>
    <t>16250003429</t>
  </si>
  <si>
    <t>BQ55522752</t>
  </si>
  <si>
    <t xml:space="preserve">ALTONEO CONSEIL ALTONEO CONSEIL FR33ZZZ410308 SEPA SAS VPRDS HOME SOLUTIONS 287245075 T251190003414182 11250004057 RUM-010172-72MAN RCUR FR7617906001129641663834646 </t>
  </si>
  <si>
    <t>BQ55522753</t>
  </si>
  <si>
    <t xml:space="preserve">ALTONEO CONSEIL ALTONEO CONSEIL FR33ZZZ410308 SEPA SAS VPRDS HOME SOLUTIONS 287245075 T251190003414315 16250003429 RUM-010172-72MAN RCUR FR7617906001129641663834646 </t>
  </si>
  <si>
    <t>BQ55522754</t>
  </si>
  <si>
    <t xml:space="preserve">ALTONEO CONSEIL ALTONEO CONSEIL FR33ZZZ410308 SEPA SAS VPRDS HOME SOLUTIONS 287245075 T251190003414250 16250002819 RUM-010172-72MAN RCUR FR7617906001129641663834646 </t>
  </si>
  <si>
    <t>16250004686</t>
  </si>
  <si>
    <t>16250004661</t>
  </si>
  <si>
    <t>BQ56932483</t>
  </si>
  <si>
    <t xml:space="preserve">ALTONEO CONSEIL ALTONEO CONSEIL FR33ZZZ410308 SEPA SAS VPRDS HOME SOLUTIONS P7265-CA-72 16250003725 RUM-010172-72MAN RCUR FR7617906001129641663834646 </t>
  </si>
  <si>
    <t>16250005099</t>
  </si>
  <si>
    <t>BQ58013124</t>
  </si>
  <si>
    <t xml:space="preserve">ALTONEO CONSEIL ALTONEO CONSEIL FR33ZZZ410308 SEPA SAS VPRDS HOME SOLUTIONS P7307-CA-72 16250004686 RUM-010172-72MAN RCUR FR7617906001129641663834646 </t>
  </si>
  <si>
    <t>BQ58013125</t>
  </si>
  <si>
    <t xml:space="preserve">ALTONEO CONSEIL ALTONEO CONSEIL FR33ZZZ410308 SEPA SAS VPRDS HOME SOLUTIONS P7307-CA-72 16250004661 RUM-010172-72MAN RCUR FR7617906001129641663834646 </t>
  </si>
  <si>
    <t>BQ60477095</t>
  </si>
  <si>
    <t xml:space="preserve">ALTONEO CONSEIL ALTONEO CONSEIL FR33ZZZ410308 SEPA SAS VPRDS HOME SOLUTIONS P7360-CA-72 16250005099 RUM-010172-72MAN RCUR FR7617906001129641663834646 </t>
  </si>
  <si>
    <t>20250825123959</t>
  </si>
  <si>
    <t>N</t>
  </si>
  <si>
    <t>20250825124044</t>
  </si>
  <si>
    <t>BQ63643551</t>
  </si>
  <si>
    <t xml:space="preserve">ALTONEO CONSEIL ALTONEO CONSEIL FR33ZZZ410308 SEPA SAS VPRDS HOME SOLUTIONS P7437-CA-72 16250005705 RUM-010172-72MAN RCUR FR7617906001129641663834646 </t>
  </si>
  <si>
    <t>16250006918</t>
  </si>
  <si>
    <t>O</t>
  </si>
  <si>
    <t>BQ64923956</t>
  </si>
  <si>
    <t xml:space="preserve">ALTONEO CONSEIL ALTONEO CONSEIL FR33ZZZ410308 SEPA SAS VPRDS HOME SOLUTIONS P7460-72-CA 16250006305 RUM-010172-72MAN RCUR FR7617906001129641663834646 </t>
  </si>
  <si>
    <t>16250007162</t>
  </si>
  <si>
    <t>P</t>
  </si>
  <si>
    <t>BQ65951116</t>
  </si>
  <si>
    <t xml:space="preserve">ALTONEO CONSEIL ALTONEO CONSEIL FR33ZZZ410308 SEPA SAS VPRDS HOME SOLUTIONS P7482-CA-72 16250006918 RUM-010172-72MAN RCUR FR7617906001129641663834646 </t>
  </si>
  <si>
    <t>BQ68618041</t>
  </si>
  <si>
    <t xml:space="preserve">ALTONEO CONSEIL ALTONEO CONSEIL FR33ZZZ410308 SEPA SAS VPRDS HOME SOLUTIONS P7567-CA-72 16250007162 RUM-010172-72MAN RCUR FR7617906001129641663834646 </t>
  </si>
  <si>
    <t>16250007718</t>
  </si>
  <si>
    <t>R</t>
  </si>
  <si>
    <t>16250007745</t>
  </si>
  <si>
    <t>Q</t>
  </si>
  <si>
    <t>16250008089</t>
  </si>
  <si>
    <t>S</t>
  </si>
  <si>
    <t>11250007766</t>
  </si>
  <si>
    <t>V</t>
  </si>
  <si>
    <t>BQ71901761</t>
  </si>
  <si>
    <t xml:space="preserve">ALTONEO CONSEIL ALTONEO CONSEIL FR33ZZZ410308 SEPA SAS VPRDS HOME SOLUTIONS PR-7609-CA-72 16250007745 RUM-010172-72MAN RCUR FR7617906001129641663834646 </t>
  </si>
  <si>
    <t>BQ71901762</t>
  </si>
  <si>
    <t xml:space="preserve">ALTONEO CONSEIL ALTONEO CONSEIL FR33ZZZ410308 SEPA SAS VPRDS HOME SOLUTIONS PR-7609-CA-72 16250007718 RUM-010172-72MAN RCUR FR7617906001129641663834646 </t>
  </si>
  <si>
    <t>BQ71901763</t>
  </si>
  <si>
    <t xml:space="preserve">ALTONEO CONSEIL ALTONEO CONSEIL FR33ZZZ410308 SEPA SAS VPRDS HOME SOLUTIONS PR-7609-CA-72 11250007766 RUM-010172-72MAN RCUR FR7617906001129641663834646 </t>
  </si>
  <si>
    <t>16260000519</t>
  </si>
  <si>
    <t>T</t>
  </si>
  <si>
    <t>BQ73437481</t>
  </si>
  <si>
    <t xml:space="preserve">ALTONEO CONSEIL ALTONEO CONSEIL FR33ZZZ410308 SEPA SAS VPRDS HOME SOLUTIONS P7645-CA-72 16250008089 RUM-010172-72MAN RCUR FR7617906001129641663834646 </t>
  </si>
  <si>
    <t>16260001071</t>
  </si>
  <si>
    <t>U</t>
  </si>
  <si>
    <t>BQ74860641</t>
  </si>
  <si>
    <t xml:space="preserve">ALTONEO CONSEIL ALTONEO CONSEIL FR33ZZZ410308 SEPA SAS VPRDS HOME SOLUTIONS P7663-CA-72 16260000519 RUM-010172-72MAN RCUR FR7617906001129641663834646 </t>
  </si>
  <si>
    <t>BQ78105819</t>
  </si>
  <si>
    <t xml:space="preserve">ALTONEO CONSEIL ALTONEO CONSEIL FR33ZZZ410308 SEPA SAS VPRDS HOME SOLUTIONS P7708-72-CA 16260001071 RUM-010172-72MAN RCUR FR7617906001129641663834646 </t>
  </si>
  <si>
    <t>16260001904</t>
  </si>
  <si>
    <t>16260001311</t>
  </si>
  <si>
    <t>ALTONEO-HONORAIRE LIBERAL-FACTURE-16260001311</t>
  </si>
  <si>
    <t>401AMAZON</t>
  </si>
  <si>
    <t>AMAZON FRANCE</t>
  </si>
  <si>
    <t>fr514tclaeui</t>
  </si>
  <si>
    <t>ds-aeu-inv-fr-2025-3337981</t>
  </si>
  <si>
    <t>ds-aeu-inv-fr-2025-3337971</t>
  </si>
  <si>
    <t>fr50000awpvafi</t>
  </si>
  <si>
    <t>ds-aeu-inv-fr-2025-3530257</t>
  </si>
  <si>
    <t>fr5170haaeui</t>
  </si>
  <si>
    <t>FR50000AWPVAFI</t>
  </si>
  <si>
    <t>BQ46763836</t>
  </si>
  <si>
    <t xml:space="preserve">CARTE X7179 AMAZON PAYMENTS PAY </t>
  </si>
  <si>
    <t>DS-AEU-INV-FR-2025-40788225</t>
  </si>
  <si>
    <t>BQ51493928</t>
  </si>
  <si>
    <t>DS-AEU-INV-FR-2025-76259527</t>
  </si>
  <si>
    <t>BQ56343061</t>
  </si>
  <si>
    <t>BQ60719881</t>
  </si>
  <si>
    <t>20251121095517</t>
  </si>
  <si>
    <t>DS-AEU-INV-FR-2025-115749283</t>
  </si>
  <si>
    <t>BQ62120931</t>
  </si>
  <si>
    <t>DS-AEU-INV-FR-2025-115749283.</t>
  </si>
  <si>
    <t>BQ62128033</t>
  </si>
  <si>
    <t xml:space="preserve">CARTE X7179 AMAZON PAYMENT 13/0 </t>
  </si>
  <si>
    <t>20251121104122</t>
  </si>
  <si>
    <t>AMAZON FRANCE / CORNHOLE</t>
  </si>
  <si>
    <t>ds-aeu-inv-fr-2025-133670821</t>
  </si>
  <si>
    <t>AMAZON EU / SAC JEUX ENFANTS</t>
  </si>
  <si>
    <t>BQ64203878</t>
  </si>
  <si>
    <t>DS-AEU-INV-FR-2025-153806698</t>
  </si>
  <si>
    <t>BQ66632542</t>
  </si>
  <si>
    <t>FR529HC75AEUI</t>
  </si>
  <si>
    <t>BQ75949117</t>
  </si>
  <si>
    <t xml:space="preserve">CARTE X7179 AMAZON EU SARL PAYL </t>
  </si>
  <si>
    <t>401AMENDES</t>
  </si>
  <si>
    <t>AMENDES</t>
  </si>
  <si>
    <t>24720013200014250042038001</t>
  </si>
  <si>
    <t>BQ57645712</t>
  </si>
  <si>
    <t>BQ57645713</t>
  </si>
  <si>
    <t>BQ57645714</t>
  </si>
  <si>
    <t>24720015200014_25_0_192_023_001</t>
  </si>
  <si>
    <t>24720013200014_25_0_218_033_003</t>
  </si>
  <si>
    <t>220</t>
  </si>
  <si>
    <t>BQ69470133</t>
  </si>
  <si>
    <t xml:space="preserve">CARTE X7179 SITE WEB AMENDES 72 </t>
  </si>
  <si>
    <t>BQ69614542</t>
  </si>
  <si>
    <t>BQ69614543</t>
  </si>
  <si>
    <t>24720013200014_25_0_324_042_006</t>
  </si>
  <si>
    <t>BQ75949115</t>
  </si>
  <si>
    <t>401APPLE</t>
  </si>
  <si>
    <t>200905216787</t>
  </si>
  <si>
    <t>BQ48131476</t>
  </si>
  <si>
    <t>144918877281</t>
  </si>
  <si>
    <t>BQ50320810</t>
  </si>
  <si>
    <t>145925267213</t>
  </si>
  <si>
    <t>APPLE DISTRIBUTION INTERNATIONAL LTD -LOCATION SUR BIEN MOBILIER OU INCORPORELS-FACTURE-145925267213</t>
  </si>
  <si>
    <t>BQ51493927</t>
  </si>
  <si>
    <t>126932501909</t>
  </si>
  <si>
    <t>BQ52506715</t>
  </si>
  <si>
    <t>BQ53766730</t>
  </si>
  <si>
    <t>161937888681</t>
  </si>
  <si>
    <t>APPLE DISTRIBUTION INTERNATIONAL LTD -LOCATION SUR BIEN MOBILIER OU INCORPORELS-FACTURE-161937888681</t>
  </si>
  <si>
    <t>20250516122921</t>
  </si>
  <si>
    <t>BQ55032580</t>
  </si>
  <si>
    <t>1-11206950310</t>
  </si>
  <si>
    <t>BQ56343060</t>
  </si>
  <si>
    <t>192957260637</t>
  </si>
  <si>
    <t>BQ57536926</t>
  </si>
  <si>
    <t>20250825124234</t>
  </si>
  <si>
    <t>BQ58726364</t>
  </si>
  <si>
    <t>20250703134629</t>
  </si>
  <si>
    <t>BQ59924040</t>
  </si>
  <si>
    <t>20251121101029</t>
  </si>
  <si>
    <t>BQ61396056</t>
  </si>
  <si>
    <t>20251121103119</t>
  </si>
  <si>
    <t>BQ63029583</t>
  </si>
  <si>
    <t>259</t>
  </si>
  <si>
    <t>BQ64401867</t>
  </si>
  <si>
    <t>20251121084305</t>
  </si>
  <si>
    <t>BQ65383097</t>
  </si>
  <si>
    <t xml:space="preserve">CARTE X7179 APPLE.COM/BILL CORK </t>
  </si>
  <si>
    <t>20251121105527</t>
  </si>
  <si>
    <t>BQ68130524</t>
  </si>
  <si>
    <t>BQ68781797</t>
  </si>
  <si>
    <t xml:space="preserve">CARTE X7179 APPLE.COM/FR 0805-5 </t>
  </si>
  <si>
    <t>BQ68781798</t>
  </si>
  <si>
    <t>ml4k1klytv</t>
  </si>
  <si>
    <t>BQ69614549</t>
  </si>
  <si>
    <t>790033646244</t>
  </si>
  <si>
    <t>BQ70034775</t>
  </si>
  <si>
    <t>760039219892</t>
  </si>
  <si>
    <t>BQ71230251</t>
  </si>
  <si>
    <t>BQ72826834</t>
  </si>
  <si>
    <t>20251212162206</t>
  </si>
  <si>
    <t>20251121083931</t>
  </si>
  <si>
    <t>824053166326</t>
  </si>
  <si>
    <t>BQ74138397</t>
  </si>
  <si>
    <t>BQ75813683</t>
  </si>
  <si>
    <t>ml4k73g2d6</t>
  </si>
  <si>
    <t>20260112141431</t>
  </si>
  <si>
    <t>BQ77576800</t>
  </si>
  <si>
    <t>401AR24</t>
  </si>
  <si>
    <t>AR24</t>
  </si>
  <si>
    <t>2508008547</t>
  </si>
  <si>
    <t>BQ66310237</t>
  </si>
  <si>
    <t xml:space="preserve">CARTE X7179 AR24.FR IVRY-SUR-SE </t>
  </si>
  <si>
    <t>401ATLAS</t>
  </si>
  <si>
    <t>ATLAS (OPCO)</t>
  </si>
  <si>
    <t>20250311135315</t>
  </si>
  <si>
    <t>ATLAS (OPCO) / MASSE SALARIALE 2024</t>
  </si>
  <si>
    <t>BQ50116590</t>
  </si>
  <si>
    <t xml:space="preserve">WEB OPCO ATLAS ATLAS 9182497150 VPRDS HOME SOLUTIONS OPCO ATLAS ATLAS 91824971500015 ATLAS 91824971500015 AGRIFRPP879 EUR200000000002699 FR7630004028370001091627994 </t>
  </si>
  <si>
    <t>401AUCHA</t>
  </si>
  <si>
    <t>AUCHAN</t>
  </si>
  <si>
    <t>20250417081543</t>
  </si>
  <si>
    <t>BQ53034371</t>
  </si>
  <si>
    <t xml:space="preserve">WEB ANAIS LAMARD NOTE DE FRAIS VPRDS HOME SOLUTIONS ANAIS LAMARD NOTE DE FRAIS A LAMARD - DIVERS AGRIFRPP879 EUR200000000003344 FR7614445004000478625543876 </t>
  </si>
  <si>
    <t>401AUSADA</t>
  </si>
  <si>
    <t>AUSADA</t>
  </si>
  <si>
    <t>747</t>
  </si>
  <si>
    <t>BQ67332232</t>
  </si>
  <si>
    <t xml:space="preserve">CARTE X7179 LE PETIT BRETON PUT </t>
  </si>
  <si>
    <t>401AZUR</t>
  </si>
  <si>
    <t>AZUR CONSEIL</t>
  </si>
  <si>
    <t>FA2501-4770</t>
  </si>
  <si>
    <t>BQ46907094</t>
  </si>
  <si>
    <t xml:space="preserve">AZUR CONSEIL AZUR CONSEIL FR64ZZZ547587 SEPA S.A.S. VPRDS HOME SOLUTIONS 278114543 VPRDS 20221012A RCUR FR7617906001129641663834646 </t>
  </si>
  <si>
    <t>FA2501-4825</t>
  </si>
  <si>
    <t>BQ48241681</t>
  </si>
  <si>
    <t xml:space="preserve">AZUR CONSEIL AZUR CONSEIL FR64ZZZ547587 SEPA S.A.S. VPRDS HOME SOLUTIONS 279367552 VPRDS 20221012A RCUR FR7617906001129641663834646 </t>
  </si>
  <si>
    <t>FA2502-4829</t>
  </si>
  <si>
    <t>BQ49217666</t>
  </si>
  <si>
    <t xml:space="preserve">AZUR CONSEIL AZUR CONSEIL FR64ZZZ547587 SEPA S.A.S. VPRDS HOME SOLUTIONS 280765329 VPRDS 20221012A RCUR FR7617906001129641663834646 </t>
  </si>
  <si>
    <t>FA2502-4880</t>
  </si>
  <si>
    <t>BQ50620127</t>
  </si>
  <si>
    <t xml:space="preserve">AZUR CONSEIL AZUR CONSEIL FR64ZZZ547587 SEPA S.A.S. VPRDS HOME SOLUTIONS 282469268 VPRDS 20221012A RCUR FR7617906001129641663834646 </t>
  </si>
  <si>
    <t>FA2503-4884</t>
  </si>
  <si>
    <t>BQ51493925</t>
  </si>
  <si>
    <t xml:space="preserve">AZUR CONSEIL AZUR CONSEIL FR64ZZZ547587 SEPA S.A.S. VPRDS HOME SOLUTIONS 283429719 VPRDS 20221012A RCUR FR7617906001129641663834646 </t>
  </si>
  <si>
    <t>FA2503-4938</t>
  </si>
  <si>
    <t>BQ52781338</t>
  </si>
  <si>
    <t xml:space="preserve">AZUR CONSEIL AZUR CONSEIL FR64ZZZ547587 SEPA S.A.S. VPRDS HOME SOLUTIONS 284784738 VPRDS 20221012A RCUR FR7617906001129641663834646 </t>
  </si>
  <si>
    <t>FA2504-4939</t>
  </si>
  <si>
    <t>BQ54244140</t>
  </si>
  <si>
    <t xml:space="preserve">AZUR CONSEIL AZUR CONSEIL FR64ZZZ547587 SEPA S.A.S. VPRDS HOME SOLUTIONS 285879333 VPRDS 20221012A RCUR FR7617906001129641663834646 </t>
  </si>
  <si>
    <t>FA2504-4995</t>
  </si>
  <si>
    <t>BQ55520933</t>
  </si>
  <si>
    <t xml:space="preserve">AZUR CONSEIL AZUR CONSEIL FR64ZZZ547587 SEPA S.A.S. VPRDS HOME SOLUTIONS 287110367 VPRDS 20221012A RCUR FR7617906001129641663834646 </t>
  </si>
  <si>
    <t>FA2505-4996</t>
  </si>
  <si>
    <t>BQ56156933</t>
  </si>
  <si>
    <t xml:space="preserve">AZUR CONSEIL AZUR CONSEIL FR64ZZZ547587 SEPA S.A.S. VPRDS HOME SOLUTIONS 287833265 VPRDS 20221012A RCUR FR7617906001129641663834646 </t>
  </si>
  <si>
    <t>FA2505-5049</t>
  </si>
  <si>
    <t>BQ57731186</t>
  </si>
  <si>
    <t xml:space="preserve">AZUR CONSEIL AZUR CONSEIL FR64ZZZ547587 SEPA S.A.S. VPRDS HOME SOLUTIONS 289313617 VPRDS 20221012A RCUR FR7617906001129641663834646 </t>
  </si>
  <si>
    <t>FA2506-5051</t>
  </si>
  <si>
    <t>BQ58581246</t>
  </si>
  <si>
    <t xml:space="preserve">AZUR CONSEIL AZUR CONSEIL FR64ZZZ547587 SEPA S.A.S. VPRDS HOME SOLUTIONS 289866676 VPRDS 20221012A RCUR FR7617906001129641663834646 </t>
  </si>
  <si>
    <t>FA2506-5100</t>
  </si>
  <si>
    <t>BQ60308958</t>
  </si>
  <si>
    <t xml:space="preserve">AZUR CONSEIL AZUR CONSEIL FR64ZZZ547587 SEPA S.A.S. VPRDS HOME SOLUTIONS 291719573 VPRDS 20221012A RCUR FR7617906001129641663834646 </t>
  </si>
  <si>
    <t>FA2507-5101</t>
  </si>
  <si>
    <t>BQ61396054</t>
  </si>
  <si>
    <t xml:space="preserve">AZUR CONSEIL AZUR CONSEIL FR64ZZZ547587 SEPA S.A.S. VPRDS HOME SOLUTIONS 292592447 VPRDS 20221012A RCUR FR7617906001129641663834646 </t>
  </si>
  <si>
    <t>FA2507-5147</t>
  </si>
  <si>
    <t>BQ63307828</t>
  </si>
  <si>
    <t xml:space="preserve">AZUR CONSEIL AZUR CONSEIL FR64ZZZ547587 SEPA S.A.S. VPRDS HOME SOLUTIONS 293940175 VPRDS 20221012A RCUR FR7617906001129641663834646 </t>
  </si>
  <si>
    <t>FA2508-5149</t>
  </si>
  <si>
    <t>BQ64286221</t>
  </si>
  <si>
    <t xml:space="preserve">AZUR CONSEIL AZUR CONSEIL FR64ZZZ547587 SEPA S.A.S. VPRDS HOME SOLUTIONS 294817573 VPRDS 20221012A RCUR FR7617906001129641663834646 </t>
  </si>
  <si>
    <t>FA2508-5191</t>
  </si>
  <si>
    <t>BQ65580448</t>
  </si>
  <si>
    <t xml:space="preserve">AZUR CONSEIL AZUR CONSEIL FR64ZZZ547587 SEPA S.A.S. VPRDS HOME SOLUTIONS 296105942 VPRDS 20221012A RCUR FR7617906001129641663834646 </t>
  </si>
  <si>
    <t>FA2509-5194</t>
  </si>
  <si>
    <t>BQ66754111</t>
  </si>
  <si>
    <t xml:space="preserve">AZUR CONSEIL AZUR CONSEIL FR64ZZZ547587 SEPA S.A.S. VPRDS HOME SOLUTIONS 297157213 VPRDS 20221012A RCUR FR7617906001129641663834646 </t>
  </si>
  <si>
    <t>FA2509-5232</t>
  </si>
  <si>
    <t>BQ68476521</t>
  </si>
  <si>
    <t xml:space="preserve">AZUR CONSEIL AZUR CONSEIL FR64ZZZ547587 SEPA S.A.S. VPRDS HOME SOLUTIONS 298449337 VPRDS 20221012A RCUR FR7617906001129641663834646 </t>
  </si>
  <si>
    <t>FA2510-5234</t>
  </si>
  <si>
    <t>BQ69614537</t>
  </si>
  <si>
    <t xml:space="preserve">AZUR CONSEIL AZUR CONSEIL FR64ZZZ547587 SEPA S.A.S. VPRDS HOME SOLUTIONS 299293339 VPRDS 20221012A RCUR FR7617906001129641663834646 </t>
  </si>
  <si>
    <t>FA2510-5266</t>
  </si>
  <si>
    <t>BQ71563306</t>
  </si>
  <si>
    <t xml:space="preserve">AZUR CONSEIL AZUR CONSEIL FR64ZZZ547587 SEPA S.A.S. VPRDS HOME SOLUTIONS 300870764 VPRDS 20221012A RCUR FR7617906001129641663834646 </t>
  </si>
  <si>
    <t>FA2511-5268</t>
  </si>
  <si>
    <t>BQ72826831</t>
  </si>
  <si>
    <t xml:space="preserve">AZUR CONSEIL AZUR CONSEIL FR64ZZZ547587 SEPA S.A.S. VPRDS HOME SOLUTIONS 301872008 VPRDS 20221012A RCUR FR7617906001129641663834646 </t>
  </si>
  <si>
    <t>FA2511-5298</t>
  </si>
  <si>
    <t>X</t>
  </si>
  <si>
    <t>BQ74501969</t>
  </si>
  <si>
    <t xml:space="preserve">AZUR CONSEIL AZUR CONSEIL FR64ZZZ547587 SEPA S.A.S. VPRDS HOME SOLUTIONS 303080396 VPRDS 20221012A RCUR FR7617906001129641663834646 </t>
  </si>
  <si>
    <t>FA2512-5300</t>
  </si>
  <si>
    <t>W</t>
  </si>
  <si>
    <t>BQ75949110</t>
  </si>
  <si>
    <t xml:space="preserve">AZUR CONSEIL AZUR CONSEIL FR64ZZZ547587 SEPA S.A.S. VPRDS HOME SOLUTIONS 304128696 VPRDS 20221012A RCUR FR7617906001129641663834646 </t>
  </si>
  <si>
    <t>20260122103202</t>
  </si>
  <si>
    <t>BQ77989757</t>
  </si>
  <si>
    <t xml:space="preserve">AZUR CONSEIL AZUR CONSEIL FR64ZZZ547587 SEPA S.A.S. VPRDS HOME SOLUTIONS 305513005 VPRDS 20221012A RCUR FR7617906001129641663834646 </t>
  </si>
  <si>
    <t>401BACKMAR</t>
  </si>
  <si>
    <t>BACK MARKET</t>
  </si>
  <si>
    <t>045481454</t>
  </si>
  <si>
    <t>BQ55032582</t>
  </si>
  <si>
    <t xml:space="preserve">CARTE X7179 BACK MARKET PARIS </t>
  </si>
  <si>
    <t>401BAR</t>
  </si>
  <si>
    <t>BAR</t>
  </si>
  <si>
    <t>BQ66754117</t>
  </si>
  <si>
    <t xml:space="preserve">CARTE X7179 L S B A PARIS 14 </t>
  </si>
  <si>
    <t>20251022153732</t>
  </si>
  <si>
    <t>401BEBE9</t>
  </si>
  <si>
    <t>BEBE9</t>
  </si>
  <si>
    <t>153-250531-9805</t>
  </si>
  <si>
    <t>BQ60719880</t>
  </si>
  <si>
    <t>WEB VINCENT PARADIS CRED NOTE DE FRAIS / KDO CLIENT</t>
  </si>
  <si>
    <t>401BLVU</t>
  </si>
  <si>
    <t>ANNONCES &amp; INSERTIONS (31/12/2024)</t>
  </si>
  <si>
    <t>BQ46287786</t>
  </si>
  <si>
    <t xml:space="preserve">AGENCE BLVU AGENCE BLVU FR10ZZZ885E68 SEPA VPRDS HOME SOLUTIONS 276924793 T243590004797862 PRESTATION BLVU - DECEMBRE EDI2334917RU0000060 RCUR FR7617906001129641663834646 </t>
  </si>
  <si>
    <t>FAC00000758</t>
  </si>
  <si>
    <t>BQ48701780</t>
  </si>
  <si>
    <t xml:space="preserve">AGENCE BLVU AGENCE BLVU FR10ZZZ885E68 SEPA VPRDS HOME SOLUTIONS 280189923 T250310008070968 PRESTATIONS BLVU - JANVIER 2025 EDI2334917RU0000060 RCUR FR7617906001129641663834646 </t>
  </si>
  <si>
    <t>FAC00000763</t>
  </si>
  <si>
    <t>BQ50434112</t>
  </si>
  <si>
    <t xml:space="preserve">AGENCE BLVU AGENCE BLVU FR10ZZZ885E68 SEPA VPRDS HOME SOLUTIONS 282323589 T250550003641338 PRESTATIONS BLVU - SIGNALETIQUE EDI2334917RU0000060 RCUR FR7617906001129641663834646 </t>
  </si>
  <si>
    <t>FAC00000787</t>
  </si>
  <si>
    <t>BQ50898384</t>
  </si>
  <si>
    <t xml:space="preserve">AGENCE BLVU AGENCE BLVU FR10ZZZ885E68 SEPA VPRDS HOME SOLUTIONS 282790760 T250590008608369 PRESTATIONS BLVU - FEVRIER 2025 EDI2334917RU0000060 RCUR FR7617906001129641663834646 </t>
  </si>
  <si>
    <t>FAC00000821</t>
  </si>
  <si>
    <t>BQ53163239</t>
  </si>
  <si>
    <t xml:space="preserve">AGENCE BLVU AGENCE BLVU FR10ZZZ885E68 SEPA VPRDS HOME SOLUTIONS 285133287 T250900010833939 PRESTATIONS BLVU - MARS 25 EDI2334917RU0000060 RCUR FR7617906001129641663834646 </t>
  </si>
  <si>
    <t>FAC00000849</t>
  </si>
  <si>
    <t>BQ55740427</t>
  </si>
  <si>
    <t xml:space="preserve">AGENCE BLVU AGENCE BLVU FR10ZZZ885E68 SEPA VPRDS HOME SOLUTIONS 287423033 T251200008172583 PRESTATIONS BLVU - AVRIL 2025 EDI2334917RU0000060 RCUR FR7617906001129641663834646 </t>
  </si>
  <si>
    <t>FAC00000877</t>
  </si>
  <si>
    <t>BQ58163726</t>
  </si>
  <si>
    <t xml:space="preserve">AGENCE BLVU AGENCE BLVU FR10ZZZ885E68 SEPA VPRDS HOME SOLUTIONS 289723653 T251530000793924 PRESTATIONS BLVU - MAI 2025 EDI2334917RU0000060 RCUR FR7617906001129641663834646 </t>
  </si>
  <si>
    <t>20251121095636</t>
  </si>
  <si>
    <t>BQ60850845</t>
  </si>
  <si>
    <t xml:space="preserve">AGENCE BLVU AGENCE BLVU FR10ZZZ885E68 SEPA VPRDS HOME SOLUTIONS 292022923 T251810016284712 PRESTATIONS BLVU - JUIN 2025 EDI2334917RU0000060 RCUR FR7617906001129641663834646 </t>
  </si>
  <si>
    <t>FAC00000949</t>
  </si>
  <si>
    <t>BQ63921851</t>
  </si>
  <si>
    <t xml:space="preserve">AGENCE BLVU AGENCE BLVU FR10ZZZ885E68 SEPA VPRDS HOME SOLUTIONS 294416442 T252120012860720 PRESTATIONS BLVU - JUILLET 2025 EDI2334917RU0000060 RCUR FR7617906001129641663834646 </t>
  </si>
  <si>
    <t>FAC00000981</t>
  </si>
  <si>
    <t>FAC00000983</t>
  </si>
  <si>
    <t>BQ66094722</t>
  </si>
  <si>
    <t xml:space="preserve">AGENCE BLVU AGENCE BLVU FR10ZZZ885E68 SEPA VPRDS HOME SOLUTIONS 296565228 T252440005437872 PRESTATIONS BLVU - AOUT 2025 EDI2334917RU0000060 RCUR FR7617906001129641663834646 </t>
  </si>
  <si>
    <t>BQ66504501</t>
  </si>
  <si>
    <t xml:space="preserve">AGENCE BLVU AGENCE BLVU FR10ZZZ885E68 SEPA VPRDS HOME SOLUTIONS 296565809 T252440005435853 PRESTATIONS BLVU - EVENT EDI2334917RU0000060 RCUR FR7617906001129641663834646 </t>
  </si>
  <si>
    <t>FAC00000989</t>
  </si>
  <si>
    <t>BQ68929005</t>
  </si>
  <si>
    <t xml:space="preserve">AGENCE BLVU AGENCE BLVU FR10ZZZ885E68 SEPA VPRDS HOME SOLUTIONS 298744177 T252730013558955 PRESTATIONS BLVU - SEPTEMBRE 2025 EDI2334917RU0000060 RCUR FR7617906001129641663834646 </t>
  </si>
  <si>
    <t>FAC00001040</t>
  </si>
  <si>
    <t>BQ72207128</t>
  </si>
  <si>
    <t xml:space="preserve">AGENCE BLVU AGENCE BLVU FR10ZZZ885E68 SEPA VPRDS HOME SOLUTIONS 301293126 T253040020690593 PRESTATIONS BLVU - OCTOBRE 2025 EDI2334917RU0000060 RCUR FR7617906001129641663834646 </t>
  </si>
  <si>
    <t>FAC00001065</t>
  </si>
  <si>
    <t>BQ75080065</t>
  </si>
  <si>
    <t xml:space="preserve">AGENCE BLVU AGENCE BLVU FR10ZZZ885E68 SEPA VPRDS HOME SOLUTIONS 303387980 T253350001996298 PRESTATIONS BLVU - NOVEMBRE 2025 EDI2334917RU0000060 RCUR FR7617906001129641663834646 </t>
  </si>
  <si>
    <t>FAC00001092</t>
  </si>
  <si>
    <t>401BMW</t>
  </si>
  <si>
    <t>BMW</t>
  </si>
  <si>
    <t>2025/4303570</t>
  </si>
  <si>
    <t>BQ75949114</t>
  </si>
  <si>
    <t xml:space="preserve">CARTE X7179 LE MANS SUD AUTO </t>
  </si>
  <si>
    <t>401BNP</t>
  </si>
  <si>
    <t>BNP PARIBAS</t>
  </si>
  <si>
    <t>LOCATION COPIEUR (13/12/2024)</t>
  </si>
  <si>
    <t>BQ47120959</t>
  </si>
  <si>
    <t>BNP PARIBAS LEASE GROUP BNP PARIBAS LEASE GROUP FR17ZZZ100196 SEPA BNP PARIBAS LEASE GROUP 00000001 VPRDS HOME SOLUTIONS VPRDS HOME SOLUTIONS 14390650 278378513 BNP PARIBAS LEASE GROUP /A1M55163/.1A1M</t>
  </si>
  <si>
    <t>401BNPPARIBASLEASEGROUP</t>
  </si>
  <si>
    <t>BNPPARIBASLEASEGROUP</t>
  </si>
  <si>
    <t>FLG7G927818</t>
  </si>
  <si>
    <t>BQ54249337</t>
  </si>
  <si>
    <t>BNP PARIBAS LEASE GROUP BNP PARIBAS LEASE GROUP FR17ZZZ100196 SEPA BNP PARIBAS LEASE GROUP 00000001 VPRDS HOME SOLUTIONS VPRDS HOME SOLUTIONS 14390650 286245965 BNP PARIBAS LEASE GROUP /A1M55163/.1A1M</t>
  </si>
  <si>
    <t>FLG8G909826</t>
  </si>
  <si>
    <t>BNP PARIBAS LEASE GROUP-LOCATION MOBILIÈRE AVEC OPTION D'ACHAT-FACTURE-FLG8G909826</t>
  </si>
  <si>
    <t>BQ62128030</t>
  </si>
  <si>
    <t>BNP PARIBAS LEASE GROUP BNP PARIBAS LEASE GROUP FR17ZZZ100196 SEPA BNP PARIBAS LEASE GROUP 00000001 VPRDS HOME SOLUTIONS VPRDS HOME SOLUTIONS 14390650 293119577 BNP PARIBAS LEASE GROUP /A1M55163/.1A1M</t>
  </si>
  <si>
    <t>FLG9G877852</t>
  </si>
  <si>
    <t>BQ70034768</t>
  </si>
  <si>
    <t>BNP PARIBAS LEASE GROUP BNP PARIBAS LEASE GROUP FR17ZZZ100196 SEPA BNP PARIBAS LEASE GROUP 00000001 VPRDS HOME SOLUTIONS VPRDS HOME SOLUTIONS 14390650 299742603 BNP PARIBAS LEASE GROUP /A1M55163/.1A1M</t>
  </si>
  <si>
    <t>401BOCAG</t>
  </si>
  <si>
    <t>BOCAG</t>
  </si>
  <si>
    <t>132</t>
  </si>
  <si>
    <t>BQ57917560</t>
  </si>
  <si>
    <t xml:space="preserve">CARTE X7179 BOCAGE 02439 LE MAN </t>
  </si>
  <si>
    <t>401BOUCHERIEDELACHASSE</t>
  </si>
  <si>
    <t>BOUCHERIEDELACHASSE</t>
  </si>
  <si>
    <t>A1/1910</t>
  </si>
  <si>
    <t>20260112135650</t>
  </si>
  <si>
    <t>BQ77576801</t>
  </si>
  <si>
    <t xml:space="preserve">CARTE X7179 VIAND BOUCHERIE RAM </t>
  </si>
  <si>
    <t>401BOULANGER</t>
  </si>
  <si>
    <t>BOULANGER</t>
  </si>
  <si>
    <t>BQ47523049</t>
  </si>
  <si>
    <t xml:space="preserve">CARTE X7179 BOULANGER CHAPELLE </t>
  </si>
  <si>
    <t>401BRICODE</t>
  </si>
  <si>
    <t>BRICO DEPOT</t>
  </si>
  <si>
    <t>20251022073448</t>
  </si>
  <si>
    <t>BQ70714790</t>
  </si>
  <si>
    <t xml:space="preserve">CARTE X7179 BRICO DEPOT ALLONNES </t>
  </si>
  <si>
    <t>401BRICODEPOT</t>
  </si>
  <si>
    <t>BRICODEPOT</t>
  </si>
  <si>
    <t>7516616969</t>
  </si>
  <si>
    <t>BQ47120964</t>
  </si>
  <si>
    <t xml:space="preserve">CARTE X7179 BRICO DEPOT ALLONNE </t>
  </si>
  <si>
    <t>20250516122910</t>
  </si>
  <si>
    <t>BQ54247342</t>
  </si>
  <si>
    <t>05340519</t>
  </si>
  <si>
    <t>000235700041227</t>
  </si>
  <si>
    <t>BQ70714789</t>
  </si>
  <si>
    <t>BQ70714791</t>
  </si>
  <si>
    <t>000235700041753</t>
  </si>
  <si>
    <t xml:space="preserve">BRICO DEPOT / LAME TERRASSE ? </t>
  </si>
  <si>
    <t>BQ71337521</t>
  </si>
  <si>
    <t>20251121083920</t>
  </si>
  <si>
    <t>000235700043475</t>
  </si>
  <si>
    <t>BQ73437482</t>
  </si>
  <si>
    <t>BQ73437483</t>
  </si>
  <si>
    <t>401BRICOMA</t>
  </si>
  <si>
    <t>BRICOMA</t>
  </si>
  <si>
    <t>53040110582</t>
  </si>
  <si>
    <t>BRICOMARCHE / DIVERS MATERIAUX / PRO?</t>
  </si>
  <si>
    <t>BQ72035720</t>
  </si>
  <si>
    <t xml:space="preserve">CARTE X7179 BRICO BRILOIR 72 LA </t>
  </si>
  <si>
    <t>401CABINETLOISEAU</t>
  </si>
  <si>
    <t>CABINETLOISEAU</t>
  </si>
  <si>
    <t>BQ73592037</t>
  </si>
  <si>
    <t xml:space="preserve">VIR INST VERS CABINET LOISEAU - S.A.S. VPRDS HOME SOLUTIONS CABINET LOISEAU - GEOMETRE ACOMPE DEVIS D2511032 ACOMPTE GEOMETRE VIPA 83239EE5673C497BA7A811E86CA4B764 FR7613807007431072103403171 </t>
  </si>
  <si>
    <t>F2511093</t>
  </si>
  <si>
    <t>401CANVA</t>
  </si>
  <si>
    <t>CANVA</t>
  </si>
  <si>
    <t>04392-24644298</t>
  </si>
  <si>
    <t>BQ47120963</t>
  </si>
  <si>
    <t xml:space="preserve">CARTE X7179 CANVA* I04392-24644 </t>
  </si>
  <si>
    <t>04423-25238881</t>
  </si>
  <si>
    <t>BQ49472702</t>
  </si>
  <si>
    <t xml:space="preserve">CARTE X7179 CANVA* I04423-25238 </t>
  </si>
  <si>
    <t>04451-22846604-1</t>
  </si>
  <si>
    <t>BQ51610785</t>
  </si>
  <si>
    <t xml:space="preserve">CARTE X7179 CANVA* I04451-22846 </t>
  </si>
  <si>
    <t>04482-33227891</t>
  </si>
  <si>
    <t>BQ54247340</t>
  </si>
  <si>
    <t xml:space="preserve">CARTE X7179 CANVA* I04482-33227 </t>
  </si>
  <si>
    <t>04512-24366959-1</t>
  </si>
  <si>
    <t>BQ56454208</t>
  </si>
  <si>
    <t xml:space="preserve">CARTE X7179 CANVA* I04512-24366 </t>
  </si>
  <si>
    <t>04543-32381858-1</t>
  </si>
  <si>
    <t>BQ58989596</t>
  </si>
  <si>
    <t xml:space="preserve">CARTE X7179 CANVA* I04543-32381 </t>
  </si>
  <si>
    <t>04573-30843177-1</t>
  </si>
  <si>
    <t>BQ62125336</t>
  </si>
  <si>
    <t xml:space="preserve">CARTE X7179 CANVA* I04573-30843 </t>
  </si>
  <si>
    <t>04604-14967221-1</t>
  </si>
  <si>
    <t>BQ64496244</t>
  </si>
  <si>
    <t xml:space="preserve">CARTE X7179 CANVA* I04604-14967 </t>
  </si>
  <si>
    <t>04635-23283681-1</t>
  </si>
  <si>
    <t>BQ67048041</t>
  </si>
  <si>
    <t xml:space="preserve">CARTE X7179 CANVA* I04635-23283 </t>
  </si>
  <si>
    <t>04665-20524797-1</t>
  </si>
  <si>
    <t>BQ70034776</t>
  </si>
  <si>
    <t xml:space="preserve">CARTE X7179 CANVA* I04665-20524 </t>
  </si>
  <si>
    <t>04696-23253853-1</t>
  </si>
  <si>
    <t>BQ73014515</t>
  </si>
  <si>
    <t xml:space="preserve">CARTE X7179 CANVA* I04696-23253 </t>
  </si>
  <si>
    <t>04726-23328791-1</t>
  </si>
  <si>
    <t>BQ76260086</t>
  </si>
  <si>
    <t xml:space="preserve">CARTE X7179 CANVA* I04726-23328 </t>
  </si>
  <si>
    <t>401CASTORAMAFRANCE</t>
  </si>
  <si>
    <t>CASTORAMAFRANCE</t>
  </si>
  <si>
    <t>2090934677</t>
  </si>
  <si>
    <t>CASTORAMA/ ENDUIT DE FACADE + BAGUETTE D'ANGLE + DESSUS MURET</t>
  </si>
  <si>
    <t>BQ54249338</t>
  </si>
  <si>
    <t xml:space="preserve">CARTE X7179 CASTORAMA TEMPLEMAR </t>
  </si>
  <si>
    <t>2083382311</t>
  </si>
  <si>
    <t>CASTORAMA FRANCE-MATERIAU DE CONSTRUCTION-FACTURE-2083382311</t>
  </si>
  <si>
    <t>BQ55522755</t>
  </si>
  <si>
    <t>401CENTREDECONTROLEENAUTOMOBILESAIN</t>
  </si>
  <si>
    <t>CENTREDECONTROLEENAUTOMOBILESAIN</t>
  </si>
  <si>
    <t>372762</t>
  </si>
  <si>
    <t>BQ58275082</t>
  </si>
  <si>
    <t xml:space="preserve">CHEQUE NO 8141414 </t>
  </si>
  <si>
    <t>401CENTREDESEXPO</t>
  </si>
  <si>
    <t>CENTRE DES EXPOSITIONS LE MANS</t>
  </si>
  <si>
    <t>20250310114114</t>
  </si>
  <si>
    <t>BQ51392581</t>
  </si>
  <si>
    <t xml:space="preserve">CHEQUE NO 9976090/0000000/00000 </t>
  </si>
  <si>
    <t>1099165</t>
  </si>
  <si>
    <t>BQ58991438</t>
  </si>
  <si>
    <t xml:space="preserve">CHEQUE NO 8141415/0000000/00000 </t>
  </si>
  <si>
    <t>1099396</t>
  </si>
  <si>
    <t>BQ67894694</t>
  </si>
  <si>
    <t xml:space="preserve">CHEQUE NO 8141423/0000000/00000 </t>
  </si>
  <si>
    <t>401CHARGEMAP</t>
  </si>
  <si>
    <t>CHARGEMAP</t>
  </si>
  <si>
    <t>20250106-03584477</t>
  </si>
  <si>
    <t>BQ46673989</t>
  </si>
  <si>
    <t xml:space="preserve">CARTE X7179 CHARGEMAP 67200 STR </t>
  </si>
  <si>
    <t>2025-05-02-25.58</t>
  </si>
  <si>
    <t>BQ55875122</t>
  </si>
  <si>
    <t>20250602-04352313</t>
  </si>
  <si>
    <t>BQ58163730</t>
  </si>
  <si>
    <t>20250702-04525394</t>
  </si>
  <si>
    <t>BQ60977126</t>
  </si>
  <si>
    <t>20250802-04719783</t>
  </si>
  <si>
    <t>BQ63921856</t>
  </si>
  <si>
    <t>20250902-04928163</t>
  </si>
  <si>
    <t>BQ66205083</t>
  </si>
  <si>
    <t>20251002-05116971</t>
  </si>
  <si>
    <t>BQ69142541</t>
  </si>
  <si>
    <t>401CHPROPRETE</t>
  </si>
  <si>
    <t>0035</t>
  </si>
  <si>
    <t>BQ52920570</t>
  </si>
  <si>
    <t xml:space="preserve">CHEQUE NO 8141403 </t>
  </si>
  <si>
    <t>0048</t>
  </si>
  <si>
    <t>BQ56932484</t>
  </si>
  <si>
    <t xml:space="preserve">VIR INST VERS CH PROPRETE S.A.S. VPRDS HOME SOLUTIONS CH PROPRETE FACTURES MAI ET AVRIL CH PROPRETE C81794BEBB2A4852AF9B34BE3101C002 FR7615489048250009752110176 </t>
  </si>
  <si>
    <t>20250923152603</t>
  </si>
  <si>
    <t>BQ63525018</t>
  </si>
  <si>
    <t xml:space="preserve">VIR INST VERS CH PROPRETE S.A.S. VPRDS HOME SOLUTIONS CH PROPRETE FACTURE JUIN FACTURE JUIN AD56A096C71440E1A29DE3963DD1DDC5 FR7615489048250009752110176 </t>
  </si>
  <si>
    <t>BQ63525019</t>
  </si>
  <si>
    <t xml:space="preserve">VIR INST VERS CH PROPRETE S.A.S. VPRDS HOME SOLUTIONS CH PROPRETE FACTURE JUILLET FACTURE JUILLET 42F8123A7CA64BD8A94BABB811F0FFA3 FR7615489048250009752110176 </t>
  </si>
  <si>
    <t>0115</t>
  </si>
  <si>
    <t>0128</t>
  </si>
  <si>
    <t>BQ65951123</t>
  </si>
  <si>
    <t xml:space="preserve">VIR INST VERS CH PROPRETE S.A.S. VPRDS HOME SOLUTIONS CH PROPRETE 931E7D2EC3D94605B1254A6AC943C31C FR7615489048250009752110176 </t>
  </si>
  <si>
    <t>0131</t>
  </si>
  <si>
    <t>BQ71085302</t>
  </si>
  <si>
    <t xml:space="preserve">VIR INST VERS CH PROPRETE S.A.S. VPRDS HOME SOLUTIONS CH PROPRETE F5CC6B1BE93A489D9AC0B4190A4C7F9D FR7615489048250009752110176 </t>
  </si>
  <si>
    <t>0158</t>
  </si>
  <si>
    <t>BQ73819246</t>
  </si>
  <si>
    <t xml:space="preserve">VIR INST VERS CH PROPRETE S.A.S. VPRDS HOME SOLUTIONS CH PROPRETE FACTURE 0161 VPRDS FACTURE 0161 NOV 25 CBFF14F7F062431F988C3A5353EA3182 FR7615489048250009752110176 </t>
  </si>
  <si>
    <t>0161</t>
  </si>
  <si>
    <t>401CITY</t>
  </si>
  <si>
    <t>CITY</t>
  </si>
  <si>
    <t>20250417073516</t>
  </si>
  <si>
    <t>BQ52424100</t>
  </si>
  <si>
    <t xml:space="preserve">CARTE X7179 CARREFOUR CITY LE M </t>
  </si>
  <si>
    <t>401CJD</t>
  </si>
  <si>
    <t>CJD</t>
  </si>
  <si>
    <t>20251202090436</t>
  </si>
  <si>
    <t>BQ70034767</t>
  </si>
  <si>
    <t>CENTRE DES JEUNES DIRIGEANTS CENTRE DES JEUNES DIRIGEANTS FR25ZZZ86C772 SEPA PARADIS VINCENT 299567019 T252810008248314 CJD-2526-GE00010425-40679 CJD-11833-GE00010425-MANDAT RCUR FR7617906001129641663</t>
  </si>
  <si>
    <t>2025.11.34</t>
  </si>
  <si>
    <t>BQ76968549</t>
  </si>
  <si>
    <t>VIR INST VERS CENTRE DES JEUNES S.A.S. VPRDS HOME SOLUTIONS CENTRE DES JEUNES DIRIGEANTS D ENTREPRISE - LE MANS FACTURE N2025.11.34 - CONGRES CJD - V PARADIS FACTURE N2025.11.34 - V PARADIS AC3A6E1416</t>
  </si>
  <si>
    <t>401CMICOUR</t>
  </si>
  <si>
    <t>CMI COURTAGE ASSURANCES BERTHE (04/03/2024)</t>
  </si>
  <si>
    <t>CMI COURTAGE ASSURANCES MOUSSA NAIDA (05/04/2024)</t>
  </si>
  <si>
    <t>CMI COURTAGE ASSURANCES RENARD (19/06/2024)</t>
  </si>
  <si>
    <t>CMI COURTAGE MAWEZE KIMBA (22/08/2024)</t>
  </si>
  <si>
    <t>CMI COURTAGE KONG LUY (23/08/2024)</t>
  </si>
  <si>
    <t>QUITTANCE ASSURANCE ZAI SUZANNE (07/10/2024)</t>
  </si>
  <si>
    <t>ASSURANCE SEGOUIN ADELAIDE (06/11/2024)</t>
  </si>
  <si>
    <t>CPTE TIERS ASSURANCES - FURIA CEDRIC (16/12/2024)</t>
  </si>
  <si>
    <t>CPTE TIERS ASSURANCES - ATTANE (16/12/2024)</t>
  </si>
  <si>
    <t>20250213165239</t>
  </si>
  <si>
    <t>CPTE TIERS RENARD - PAIEMENT ASSURANCE</t>
  </si>
  <si>
    <t>20250213170238</t>
  </si>
  <si>
    <t>CPTE TIERS ASSURANCES - LEPTIT / MENAGE</t>
  </si>
  <si>
    <t>20250214112835</t>
  </si>
  <si>
    <t>CMI COURTAGE - ANNULATION ASSURANCE NOVEMBRE</t>
  </si>
  <si>
    <t>20250214125253</t>
  </si>
  <si>
    <t>CPTE TIERS ASSURANCES</t>
  </si>
  <si>
    <t>20250213162823</t>
  </si>
  <si>
    <t>SIDI MARI - APIEMENT ASSURANCE</t>
  </si>
  <si>
    <t>20250213151125</t>
  </si>
  <si>
    <t>CPTE TIERS BERTHE - PAIEMENT ASSURANCE</t>
  </si>
  <si>
    <t>20250417091332</t>
  </si>
  <si>
    <t>CPTE TIERS ASSURANCES - RENARD DORIAN</t>
  </si>
  <si>
    <t>BQ49217669</t>
  </si>
  <si>
    <t xml:space="preserve">VIR INST VERS CMI COURTAGE S.A.S. VPRDS HOME SOLUTIONS CMI COURTAGE GR POULIO GR POULIO 0DE25A774EA946F69AE2AE463BA849F4 FR7617515000920800235055725 </t>
  </si>
  <si>
    <t>BQ49217670</t>
  </si>
  <si>
    <t xml:space="preserve">VIR INST VERS CMI COURTAGE S.A.S. VPRDS HOME SOLUTIONS CMI COURTAGE GR HUET BUTET GR HUET BUTET 1AA3F61C63054937A2F9941427FD5667 FR7617515000920800235055725 </t>
  </si>
  <si>
    <t>BQ49348721</t>
  </si>
  <si>
    <t xml:space="preserve">VIR INST VERS CMI COURTAGE S.A.S. VPRDS HOME SOLUTIONS CMI COURTAGE GR GENOT GR GENOT E6EE568EFB2146F4825330205F8D31D5 FR7617515000920800235055725 </t>
  </si>
  <si>
    <t>20250311144702</t>
  </si>
  <si>
    <t>20250311144822</t>
  </si>
  <si>
    <t>BQ49574520</t>
  </si>
  <si>
    <t xml:space="preserve">VIR INST VERS CMI COURTAGE S.A.S. VPRDS HOME SOLUTIONS CMI COURTAGE GR DIALLO GR DIALLO 62C69C95A7784857A7DCFE3DF69839A4 FR7617515000920800235055725 </t>
  </si>
  <si>
    <t>20250311144858</t>
  </si>
  <si>
    <t>20250320113111</t>
  </si>
  <si>
    <t>KONG LUY - PAIEMENT ASSURANCE</t>
  </si>
  <si>
    <t>BQ51156950</t>
  </si>
  <si>
    <t>VIR INST VERS CMI COURTAGE S.A.S. CORDOLA OUVRARD</t>
  </si>
  <si>
    <t>20250311144615</t>
  </si>
  <si>
    <t>20250417075519</t>
  </si>
  <si>
    <t>20250619094057</t>
  </si>
  <si>
    <t>BQ51736693</t>
  </si>
  <si>
    <t xml:space="preserve">VIR INST VERS CMI COURTAGE S.A.S. VPRDS HOME SOLUTIONS CMI COURTAGE GR PAULINE FROGER GR PAULINE FROGER 512C82051EDF41828917E1E8F68C4702 FR7617515000920800235055725 </t>
  </si>
  <si>
    <t>20250417075452</t>
  </si>
  <si>
    <t>20250521125614</t>
  </si>
  <si>
    <t>CPTE TIERS ASSURANCES - FROGER PAULINE</t>
  </si>
  <si>
    <t>20250417130510</t>
  </si>
  <si>
    <t>MAWEZE KIMBA - PAIEMENT ASSURANCE</t>
  </si>
  <si>
    <t>BQ52506716</t>
  </si>
  <si>
    <t xml:space="preserve">VIR INST VERS CMI COURTAGE S.A.S. VPRDS HOME SOLUTIONS CMI COURTAGE GR ADAME SAID EED9133D3E764E358117EDDD6B99D3CD FR7617515000920800235055725 </t>
  </si>
  <si>
    <t>20250521131432</t>
  </si>
  <si>
    <t>CMI COURTAGE GENOT MYLENE</t>
  </si>
  <si>
    <t>Z</t>
  </si>
  <si>
    <t>20250617123353</t>
  </si>
  <si>
    <t>BQ54813459</t>
  </si>
  <si>
    <t xml:space="preserve">VIR INST VERS CMI COURTAGE S.A.S. VPRDS HOME SOLUTIONS CMI COURTAGE GR BERNARD GR BERNARD 8A127C5FD6AC4D619BB9240F93D72A2C FR7617515000920800235055725 </t>
  </si>
  <si>
    <t>BQ55029952</t>
  </si>
  <si>
    <t xml:space="preserve">VIR INST VERS CMI COURTAGE S.A.S. VPRDS HOME SOLUTIONS CMI COURTAGE GR PLUQUIN GR PLUQUIN B4FE42D59A534FF08311AE7583085E03 FR7617515000920800235055725 </t>
  </si>
  <si>
    <t>20250617123243</t>
  </si>
  <si>
    <t>20250617123418</t>
  </si>
  <si>
    <t>20250521141554</t>
  </si>
  <si>
    <t>CMI COURTAGE - REMB AV ASSURANCE / ATTANE</t>
  </si>
  <si>
    <t>20250617090412</t>
  </si>
  <si>
    <t>QUITTANCE ASSURANCE CORDOLA - CMI COURTAGE</t>
  </si>
  <si>
    <t>AR</t>
  </si>
  <si>
    <t>BQ56932480</t>
  </si>
  <si>
    <t xml:space="preserve">VIR INST VERS CMI COURTAGE S.A.S. VPRDS HOME SOLUTIONS CMI COURTAGE GR IKIA GR IKIA 331EB2BE265D46E9A1C86B5AD183001D FR7617515000920800235055725 </t>
  </si>
  <si>
    <t>20250619083721</t>
  </si>
  <si>
    <t>CMI COURTAGE / ZAI / PAIEMENT ASSURANCE</t>
  </si>
  <si>
    <t>20250617123317</t>
  </si>
  <si>
    <t>20250617093835</t>
  </si>
  <si>
    <t>QUITTANCE ASSURANCE SAID/ADAME - CMI COURTAGE</t>
  </si>
  <si>
    <t>20250708074413</t>
  </si>
  <si>
    <t>CMI COURTAGE / DIALLO</t>
  </si>
  <si>
    <t>AQ</t>
  </si>
  <si>
    <t>BQ59133112</t>
  </si>
  <si>
    <t xml:space="preserve">VIR INST VERS CMI COURTAGE S.A.S. VPRDS HOME SOLUTIONS CMI COURTAGE GR TILLIET GR TILLIET FC204EB11A2A49B991454D8ABCEBDBC3 FR7617515000920800235055725 </t>
  </si>
  <si>
    <t>20250703152453</t>
  </si>
  <si>
    <t>20250708085021</t>
  </si>
  <si>
    <t>CMI COURTAGE - REMB AV ASSURANCE / FURIA</t>
  </si>
  <si>
    <t>20250708091023</t>
  </si>
  <si>
    <t xml:space="preserve">CMI COURTAGE - REMB AV ASSURANCE / RENARD DORIAN </t>
  </si>
  <si>
    <t>20251121171713</t>
  </si>
  <si>
    <t>CMI COURTAGE / POULIO</t>
  </si>
  <si>
    <t>AG</t>
  </si>
  <si>
    <t>20250924104303</t>
  </si>
  <si>
    <t>CMI COURTAGE BERNARD</t>
  </si>
  <si>
    <t>BQ61261135</t>
  </si>
  <si>
    <t xml:space="preserve">VIR INST VERS CMI COURTAGE S.A.S. VPRDS HOME SOLUTIONS CMI COURTAGE GR CHAFIOL GR CHAFIOL 7DAE3F710C9B430EA6613EA4277E924C FR7617515000920800235055725 </t>
  </si>
  <si>
    <t>BQ62120932</t>
  </si>
  <si>
    <t xml:space="preserve">VIR INST VERS CMI COURTAGE S.A.S. VPRDS HOME SOLUTIONS CMI COURTAGE GR JOURNAUX THINARD GR JOURNAUX THINARD 48A434B6A74848BD9A34C8F4FE6B1A78 FR7617515000920800235055725 </t>
  </si>
  <si>
    <t>AA</t>
  </si>
  <si>
    <t>20250923152230</t>
  </si>
  <si>
    <t>20250923152140</t>
  </si>
  <si>
    <t>BQ62254238</t>
  </si>
  <si>
    <t xml:space="preserve">VIR INST VERS CMI COURTAGE S.A.S. VPRDS HOME SOLUTIONS CMI COURTAGE GR PARTAUD GR PARTAUD 63001FBA92234E569C4A26FCD0C2760A FR7617515000920800235055725 </t>
  </si>
  <si>
    <t>BQ62254239</t>
  </si>
  <si>
    <t xml:space="preserve">VIR INST VERS CMI COURTAGE S.A.S. VPRDS HOME SOLUTIONS CMI COURTAGE GR PROTIN GR PROTIN 290316D7DEAD4981957EA97526280E38 FR7617515000920800235055725 </t>
  </si>
  <si>
    <t>AD</t>
  </si>
  <si>
    <t>20250924105025</t>
  </si>
  <si>
    <t>CMI COURTAGE PLUQUIN</t>
  </si>
  <si>
    <t>20250923152115</t>
  </si>
  <si>
    <t>BQ62956357</t>
  </si>
  <si>
    <t xml:space="preserve">VIR INST VERS CMI COURTAGE S.A.S. VPRDS HOME SOLUTIONS CMI COURTAGE GR HUGOU GR HUGOU 3D6A25B327D545A39E8AF538D40AD30C FR7617515000920800235055725 </t>
  </si>
  <si>
    <t>AE</t>
  </si>
  <si>
    <t>20251023085315</t>
  </si>
  <si>
    <t>CMI COURTAGE - QUITTANCE HUET/BUTET</t>
  </si>
  <si>
    <t>BQ63029582</t>
  </si>
  <si>
    <t xml:space="preserve">VIR INST VERS CMI COURTAGE S.A.S. VPRDS HOME SOLUTIONS CMI COURTAGE GR HUGOU GR HUGOU 4902FB254B134F9FA058861095044D2D FR7617515000920800235055725 </t>
  </si>
  <si>
    <t>AB</t>
  </si>
  <si>
    <t>20250923152159</t>
  </si>
  <si>
    <t>20250923152050</t>
  </si>
  <si>
    <t>20251121155459</t>
  </si>
  <si>
    <t>CMI COURTAGE / DOSSIER HUGOU</t>
  </si>
  <si>
    <t>20250924082202</t>
  </si>
  <si>
    <t>CMI COURTAGE - REMB AV ASSURANCE / FROGER</t>
  </si>
  <si>
    <t>BQ64496243</t>
  </si>
  <si>
    <t xml:space="preserve">VIR INST VERS CMI COURTAGE S.A.S. VPRDS HOME SOLUTIONS CMI COURTAGE GR VIPA IMMO GR VIPA IMMO B37266362B27464D9428E5884C8F323B FR7617515000920800235055725 </t>
  </si>
  <si>
    <t>AF</t>
  </si>
  <si>
    <t>20250924091402</t>
  </si>
  <si>
    <t>CMI COURTAGE - REMB AV ASSURANCE / LEPETIT MENAGE</t>
  </si>
  <si>
    <t>20250924095207</t>
  </si>
  <si>
    <t>CMI COURTAGE - REMB AV ASSURANCE / SEGOUIN</t>
  </si>
  <si>
    <t>20250924095226</t>
  </si>
  <si>
    <t>ÉCART DE RÈGLEMENT - CMI COURTAGE</t>
  </si>
  <si>
    <t>20251023102632</t>
  </si>
  <si>
    <t>CMI COURTAGE/  DOSSIER TILLIET CHARLOTTE</t>
  </si>
  <si>
    <t>20251022163334</t>
  </si>
  <si>
    <t>20251121151639</t>
  </si>
  <si>
    <t>CMI COURTAGE / CHAFIOL</t>
  </si>
  <si>
    <t>20251121130143</t>
  </si>
  <si>
    <t>AI</t>
  </si>
  <si>
    <t>20251212154500</t>
  </si>
  <si>
    <t>CMI COURTAGE / BIGARET LUCIE</t>
  </si>
  <si>
    <t>20251121110241</t>
  </si>
  <si>
    <t>AJ</t>
  </si>
  <si>
    <t>20251121110302</t>
  </si>
  <si>
    <t>AK</t>
  </si>
  <si>
    <t>20251121110319</t>
  </si>
  <si>
    <t>AL</t>
  </si>
  <si>
    <t>20251121110333</t>
  </si>
  <si>
    <t>AM</t>
  </si>
  <si>
    <t>20251121110348</t>
  </si>
  <si>
    <t>20251121165444</t>
  </si>
  <si>
    <t>CMI COURTAGE / DOSSIER PARTAUD</t>
  </si>
  <si>
    <t>FQ029555</t>
  </si>
  <si>
    <t>AS</t>
  </si>
  <si>
    <t>20251218094528</t>
  </si>
  <si>
    <t>AP</t>
  </si>
  <si>
    <t>fq029551</t>
  </si>
  <si>
    <t>AH</t>
  </si>
  <si>
    <t>20251212155540</t>
  </si>
  <si>
    <t>CMI COURTAGE / PROTIN NICOLAS</t>
  </si>
  <si>
    <t>20251121154316</t>
  </si>
  <si>
    <t>CMI COURTAGE - REMB AV ASSURANCE / GENOT</t>
  </si>
  <si>
    <t>20251121172418</t>
  </si>
  <si>
    <t>CMI COURTAGE - REMB AV ASSURANCE / POULIO</t>
  </si>
  <si>
    <t>20260121144836</t>
  </si>
  <si>
    <t>CMI COURTAGE/ CARDOSO ADRIEN</t>
  </si>
  <si>
    <t>20251212155357</t>
  </si>
  <si>
    <t>CMI COURTAGE / JOURNAUX MELANIE</t>
  </si>
  <si>
    <t>20260217165245</t>
  </si>
  <si>
    <t>CPTE TIERS ASSURANCES / MOREAU KIMBERLY</t>
  </si>
  <si>
    <t>20251212150857</t>
  </si>
  <si>
    <t>MIKIT OUVRARD/CORDOLA - RBT AV ASSURANCE</t>
  </si>
  <si>
    <t>BQ76372802</t>
  </si>
  <si>
    <t xml:space="preserve">VIR INST VERS CMI COURTAGE S.A.S. VPRDS HOME SOLUTIONS CMI COURTAGE ASSURANCES GR ASSURANCES GR VPRDS EF1E7274EA5A4083A3F2E465B4371437 FR7617515000920800235055725 </t>
  </si>
  <si>
    <t>20260121151255</t>
  </si>
  <si>
    <t>MIKIT DIALLO - RBT AV ASSURANCE</t>
  </si>
  <si>
    <t>401CMLEM</t>
  </si>
  <si>
    <t>CMLEM</t>
  </si>
  <si>
    <t>7337</t>
  </si>
  <si>
    <t>BQ54358437</t>
  </si>
  <si>
    <t xml:space="preserve">CARTE X7179 LA COTE ET L AR SAI </t>
  </si>
  <si>
    <t>9219</t>
  </si>
  <si>
    <t>BQ54676478</t>
  </si>
  <si>
    <t>122953</t>
  </si>
  <si>
    <t>BQ54813456</t>
  </si>
  <si>
    <t>13294</t>
  </si>
  <si>
    <t>CMCP LE MANS 13294 / 1 REPAS MERCREDI MIDI</t>
  </si>
  <si>
    <t>BQ55289122</t>
  </si>
  <si>
    <t>2025-05-05-13:43:00-48.90</t>
  </si>
  <si>
    <t>BQ56033760</t>
  </si>
  <si>
    <t>2025-05-21-13:40:26-30.60</t>
  </si>
  <si>
    <t>BQ57323971</t>
  </si>
  <si>
    <t>401COFIROU</t>
  </si>
  <si>
    <t>COFIROUTE</t>
  </si>
  <si>
    <t>202504041519316154193</t>
  </si>
  <si>
    <t>BQ53627860</t>
  </si>
  <si>
    <t xml:space="preserve">CARTE X7179 COFIROUTE AUVOURS N </t>
  </si>
  <si>
    <t>401COMINGESPIECESAUTOSPARABREVIATIO</t>
  </si>
  <si>
    <t>COMINGESPIECESAUTOSPARABREVIATIO</t>
  </si>
  <si>
    <t>100298788</t>
  </si>
  <si>
    <t>BQ53766728</t>
  </si>
  <si>
    <t xml:space="preserve">CHEQUE NO 8141405 </t>
  </si>
  <si>
    <t>401CRCA</t>
  </si>
  <si>
    <t>CREDIT AGRICOLE</t>
  </si>
  <si>
    <t>BQ65951117</t>
  </si>
  <si>
    <t>0225403 CRCA DE L ANJOU ET DU M CRCA DE L ANJOU ET DU MAINE FR02ZZZ437638 SEPA VPRDS HOME SOLUTIONS PACIFICA87902254032P PACIFICA87902254032P CREDIT AGRICOLE ASSURANCE MULTIRISQUE PRO -ECHEANCE 09/202</t>
  </si>
  <si>
    <t>20251023082511</t>
  </si>
  <si>
    <t>BQ68781793</t>
  </si>
  <si>
    <t>0221878 CRCA DE L ANJOU ET DU M CRCA DE L ANJOU ET DU MAINE FR02ZZZ437638 SEPA VPRDS HOME SOLUTIONS PACIFICA87902218782P PACIFICA87902218782P CREDIT AGRICOLE ASSURANCE MULTIRISQUE PRO -ECHEANCE 10/202</t>
  </si>
  <si>
    <t>BQ72035712</t>
  </si>
  <si>
    <t>0228366 CRCA DE L ANJOU ET DU M CRCA DE L ANJOU ET DU MAINE FR02ZZZ437638 SEPA VPRDS HOME SOLUTIONS PACIFICA87902283662P PACIFICA87902283662P CREDIT AGRICOLE ASSURANCE MULTIRISQUE PRO -ECHEANCE 11/202</t>
  </si>
  <si>
    <t>BQ74860643</t>
  </si>
  <si>
    <t>0224628 CRCA DE L ANJOU ET DU M CRCA DE L ANJOU ET DU MAINE FR02ZZZ437638 SEPA VPRDS HOME SOLUTIONS PACIFICA87902246282P PACIFICA87902246282P CREDIT AGRICOLE ASSURANCE MULTIRISQUE PRO -ECHEANCE 12/202</t>
  </si>
  <si>
    <t>401CVP</t>
  </si>
  <si>
    <t>20250217090413</t>
  </si>
  <si>
    <t>BQ48701783</t>
  </si>
  <si>
    <t xml:space="preserve">WEB CVP FRAIS PRESIDENCE V PARA S.A.S. VPRDS HOME SOLUTIONS CVP FRAIS PRESIDENCE V PARADIS FRAIS PRESIDENCE V PARADIS AGRIFRPP879 EUR200000000708000 FR7617906001129643256986993 </t>
  </si>
  <si>
    <t>20250228</t>
  </si>
  <si>
    <t>BQ50898386</t>
  </si>
  <si>
    <t>20250331</t>
  </si>
  <si>
    <t>BQ53163241</t>
  </si>
  <si>
    <t>20250430</t>
  </si>
  <si>
    <t>BQ55740430</t>
  </si>
  <si>
    <t>20250531</t>
  </si>
  <si>
    <t>BQ58013128</t>
  </si>
  <si>
    <t>20250630</t>
  </si>
  <si>
    <t>BQ60719878</t>
  </si>
  <si>
    <t>20250731</t>
  </si>
  <si>
    <t>BQ63828379</t>
  </si>
  <si>
    <t>20250831</t>
  </si>
  <si>
    <t>BQ65951119</t>
  </si>
  <si>
    <t>20251022163138</t>
  </si>
  <si>
    <t>BQ68781795</t>
  </si>
  <si>
    <t>20253110</t>
  </si>
  <si>
    <t>BQ72035716</t>
  </si>
  <si>
    <t>20253011</t>
  </si>
  <si>
    <t>BQ74860645</t>
  </si>
  <si>
    <t>20253112</t>
  </si>
  <si>
    <t>401DARTY</t>
  </si>
  <si>
    <t>DARTY</t>
  </si>
  <si>
    <t>353809189</t>
  </si>
  <si>
    <t>BQ64401866</t>
  </si>
  <si>
    <t xml:space="preserve">CARTE X7179 DARTY LE MANS 957/ </t>
  </si>
  <si>
    <t>401DIGITALCHARGINGSOLUTIONS</t>
  </si>
  <si>
    <t>BFR00677642</t>
  </si>
  <si>
    <t>BQ56343059</t>
  </si>
  <si>
    <t xml:space="preserve">CARTE X7179 DIGITAL CHARGING SO </t>
  </si>
  <si>
    <t>bfr00708350</t>
  </si>
  <si>
    <t>BQ58726363</t>
  </si>
  <si>
    <t>BFR00739817</t>
  </si>
  <si>
    <t>BQ62120933</t>
  </si>
  <si>
    <t>20250923153608</t>
  </si>
  <si>
    <t>BQ64606661</t>
  </si>
  <si>
    <t>BFR00806936</t>
  </si>
  <si>
    <t>BQ66754116</t>
  </si>
  <si>
    <t xml:space="preserve">CARTE X7179 DIGITAL CHARGING BE </t>
  </si>
  <si>
    <t>bfr00839960</t>
  </si>
  <si>
    <t>BQ69614540</t>
  </si>
  <si>
    <t>bfr00869937</t>
  </si>
  <si>
    <t>BQ72522930</t>
  </si>
  <si>
    <t>bfr00899057</t>
  </si>
  <si>
    <t>BQ75668129</t>
  </si>
  <si>
    <t>20260205102404</t>
  </si>
  <si>
    <t>401DKV</t>
  </si>
  <si>
    <t>ESSENCE CLIO FZ-325-SX (31/12/2024)</t>
  </si>
  <si>
    <t>BQ47038530</t>
  </si>
  <si>
    <t>DKV EURO SERVICE GMB DKV EURO SERVICE GMB DE93ZZZ00000001787 SEPA VPRDS HOME SOLUTIONS 278299659 DDB250108KMVE02917700011489 OTHR /INV/640978460 31.12.2024 N00019368001 RCUR FR761790600112964166383464</t>
  </si>
  <si>
    <t>167.37</t>
  </si>
  <si>
    <t>DKV EURO SERVICE GMBH   CO KG-AUTRES CARBURANTS-FACTURE-167.37</t>
  </si>
  <si>
    <t>BQ48133605</t>
  </si>
  <si>
    <t xml:space="preserve">DKV EURO SERVICE GMBH CO DKV EURO SERVICE GMBH CO DE93ZZZ00000001787 SEPA VPRDS HOME SOLUTIONS 279395798 OTHR /INV/641388829 15.1.2025 N00019368001 RCUR FR7617906001129641663834646 </t>
  </si>
  <si>
    <t>20250213092655</t>
  </si>
  <si>
    <t>20250213132542</t>
  </si>
  <si>
    <t>BQ49472698</t>
  </si>
  <si>
    <t>DKV EURO SERVICE GMBH CO DKV EURO SERVICE GMBH CO DE93ZZZ00000001787 SEPA VPRDS HOME SOLUTIONS 281143032 01-000185402192052025 OTHR /INV/641733734 31.1.2025 N00019368001 RCUR FR76179060011296416638346</t>
  </si>
  <si>
    <t>25_641912288_001</t>
  </si>
  <si>
    <t>DKV EURO SERVICE GMBH &amp; CO KG 25_641912288_001</t>
  </si>
  <si>
    <t>BQ50434110</t>
  </si>
  <si>
    <t xml:space="preserve">DKV EURO SERVICE GMBH CO DKV EURO SERVICE GMBH CO DE93ZZZ00000001787 SEPA VPRDS HOME SOLUTIONS 282221799 OTHR /INV/641912288 15.2.2025 N00019368001 RCUR FR7617906001129641663834646 </t>
  </si>
  <si>
    <t>20250417121011</t>
  </si>
  <si>
    <t>20250417075712</t>
  </si>
  <si>
    <t>BQ52613195</t>
  </si>
  <si>
    <t xml:space="preserve">DKV EURO SERVICE GMBH CO DKV EURO SERVICE GMBH CO DE93ZZZ00000001787 SEPA VPRDS HOME SOLUTIONS 284602532 OTHR /INV/642605481 15.3.2025 N00019368001 RCUR FR7617906001129641663834646 </t>
  </si>
  <si>
    <t>20250417121015</t>
  </si>
  <si>
    <t>20250417074502</t>
  </si>
  <si>
    <t>BQ54246111</t>
  </si>
  <si>
    <t>DKV EURO SERVICE GMBH CO DKV EURO SERVICE GMBH CO DE93ZZZ00000001787 SEPA VPRDS HOME SOLUTIONS 285892803 COBADEFF080425038505210064329 OTHR /INV/642871338 31.3.2025 N00019368001 RCUR FR761790600112964</t>
  </si>
  <si>
    <t>25_643252498_001</t>
  </si>
  <si>
    <t>BQ55191755</t>
  </si>
  <si>
    <t xml:space="preserve">DKV EURO SERVICE GMBH CO DKV EURO SERVICE GMBH CO DE93ZZZ00000001787 SEPA VPRDS HOME SOLUTIONS 286899848 OTHR /INV/643252498 15.4.2025 N00019368001 RCUR FR7617906001129641663834646 </t>
  </si>
  <si>
    <t>20250516144256</t>
  </si>
  <si>
    <t>25_643583660_001</t>
  </si>
  <si>
    <t>DKV EURO SERVICE GMBH &amp; CO KG 25_643583660_001</t>
  </si>
  <si>
    <t>BQ56454206</t>
  </si>
  <si>
    <t xml:space="preserve">DKV EURO SERVICE GMBH CO DKV EURO SERVICE GMBH CO DE93ZZZ00000001787 SEPA VPRDS HOME SOLUTIONS 288122254 OTHR /INV/643583660 30.4.2025 N00019368001 RCUR FR7617906001129641663834646 </t>
  </si>
  <si>
    <t>2025-05-15-109.41</t>
  </si>
  <si>
    <t>BQ57536923</t>
  </si>
  <si>
    <t>DKV EURO SERVICE GMB DKV EURO SERVICE GMB DE93ZZZ00000001787 SEPA VPRDS HOME SOLUTIONS 289131873 DDB250522KMVE06122000011825 OTHR /INV/643863584 15.5.2025 N00019368001 RCUR FR7617906001129641663834646</t>
  </si>
  <si>
    <t>20250617154809</t>
  </si>
  <si>
    <t>25_644251382_001</t>
  </si>
  <si>
    <t>DKV EURO SERVICE GMBH &amp; CO KG 25_644251382_001</t>
  </si>
  <si>
    <t>BQ58726360</t>
  </si>
  <si>
    <t>DKV EURO SERVICE GMBH CO DKV EURO SERVICE GMBH CO DE93ZZZ00000001787 SEPA VPRDS HOME SOLUTIONS 290479707 COBADEFF060625118390210011866 OTHR /INV/644251382 31.5.2025 N00019368001 RCUR FR761790600112964</t>
  </si>
  <si>
    <t>2025-06-15-115.89</t>
  </si>
  <si>
    <t>BQ60175986</t>
  </si>
  <si>
    <t>DKV EURO SERVICE GMBH + CO.KG DKV EURO SERVICE GMBH + CO.KG DE93ZZZ00000001787 SEPA VPRDS HOME SOLUTIONS 291662854 01-000185424147512025 OTHR /INV/644561654 15.6.2025 N00019368001 RCUR FR7617906001129</t>
  </si>
  <si>
    <t>20250708100919</t>
  </si>
  <si>
    <t>2025-06-30-112.67</t>
  </si>
  <si>
    <t>BQ62122554</t>
  </si>
  <si>
    <t xml:space="preserve">DKV EURO SERVICE GMBH CO DKV EURO SERVICE GMBH CO DE93ZZZ00000001787 SEPA VPRDS HOME SOLUTIONS 292661723 OTHR /INV/644822514 30.6.2025 N00019368001 RCUR FR7617906001129641663834646 </t>
  </si>
  <si>
    <t>25_644964591_001</t>
  </si>
  <si>
    <t>DKV EURO SERVICE GMBH &amp; CO KG 25_644964591_001</t>
  </si>
  <si>
    <t>BQ63144791</t>
  </si>
  <si>
    <t xml:space="preserve">DKV EURO SERVICE GMBH CO DKV EURO SERVICE GMBH CO DE93ZZZ00000001787 SEPA VPRDS HOME SOLUTIONS 293756856 OTHR /INV/644964591 15.7.2025 N00019368001 RCUR FR7617906001129641663834646 </t>
  </si>
  <si>
    <t>20250924122024</t>
  </si>
  <si>
    <t>2025-07-31-114.40</t>
  </si>
  <si>
    <t>BQ64496240</t>
  </si>
  <si>
    <t>DKV EURO SERVICE GMB DKV EURO SERVICE GMB DE93ZZZ00000001787 SEPA VPRDS HOME SOLUTIONS 295137064 DDB250807KMVE03413200011883 OTHR /INV/645341518 31.7.2025 N00019368001 RCUR FR7617906001129641663834646</t>
  </si>
  <si>
    <t>2025-08-15-216.13</t>
  </si>
  <si>
    <t>BQ65490645</t>
  </si>
  <si>
    <t xml:space="preserve">DKV EURO SERVICE GMBH CO DKV EURO SERVICE GMBH CO DE93ZZZ00000001787 SEPA VPRDS HOME SOLUTIONS 296023961 OTHR /INV/645729275 15.8.2025 N00019368001 RCUR FR7617906001129641663834646 </t>
  </si>
  <si>
    <t>20250924122015</t>
  </si>
  <si>
    <t>25_646129668_001</t>
  </si>
  <si>
    <t>BQ66905032</t>
  </si>
  <si>
    <t>DKV EURO SERVICE GMBH CO DKV EURO SERVICE GMBH CO DE93ZZZ00000001787 SEPA VPRDS HOME SOLUTIONS 297174231 COBADEFF080925156760310024991 OTHR /INV/646129668 31.8.2025 N00019368001 RCUR FR761790600112964</t>
  </si>
  <si>
    <t>25_646409305_001</t>
  </si>
  <si>
    <t>BQ68225767</t>
  </si>
  <si>
    <t xml:space="preserve">DKV EURO SERVICE GMBH CO DKV EURO SERVICE GMBH CO DE93ZZZ00000001787 SEPA VPRDS HOME SOLUTIONS 298178441 OTHR /INV/646409305 15.9.2025 N00019368001 RCUR FR7617906001129641663834646 </t>
  </si>
  <si>
    <t>20251023094622</t>
  </si>
  <si>
    <t>25_646823620_001</t>
  </si>
  <si>
    <t>BQ69932315</t>
  </si>
  <si>
    <t>DKV EURO SERVICE GMB DKV EURO SERVICE GMB DE93ZZZ00000001787 SEPA VPRDS HOME SOLUTIONS 299620653 DDB251008KMVE04555800009782 OTHR /INV/646823620 30.9.2025 N00019368001 RCUR FR7617906001129641663834646</t>
  </si>
  <si>
    <t>2025-10-15-165.30</t>
  </si>
  <si>
    <t>BQ71337517</t>
  </si>
  <si>
    <t xml:space="preserve">DKV EURO SERVICE GMBH CO DKV EURO SERVICE GMBH CO DE93ZZZ00000001787 SEPA VPRDS HOME SOLUTIONS 300570477 OTHR /INV/647069335 15.10.2025 N00019368001 RCUR FR7617906001129641663834646 </t>
  </si>
  <si>
    <t>20260122100404</t>
  </si>
  <si>
    <t>25_647428988_001</t>
  </si>
  <si>
    <t>BQ73014512</t>
  </si>
  <si>
    <t>DKV EURO SERVICE GMB DKV EURO SERVICE GMB DE93ZZZ00000001787 SEPA VPRDS HOME SOLUTIONS 302082102 DDB251110KMVE06109100010241 OTHR /INV/647428988 31.10.2025 N00019368001 RCUR FR761790600112964166383464</t>
  </si>
  <si>
    <t>25_647776426_001</t>
  </si>
  <si>
    <t>BQ74290069</t>
  </si>
  <si>
    <t xml:space="preserve">DKV EURO SERVICE GMBH + CO. KG DKV EURO SERVICE GMBH + CO. KG DE93ZZZ00000001787 SEPA VPRDS HOME SOLUTIONS 302878063 OTHR /INV/647776426 15.11.2025 N00019368001 RCUR FR7617906001129641663834646 </t>
  </si>
  <si>
    <t>20260122100401</t>
  </si>
  <si>
    <t>2025-11-30-165.40</t>
  </si>
  <si>
    <t>BQ76114624</t>
  </si>
  <si>
    <t xml:space="preserve">DKV EURO SERVICE GMBH + CO. KG DKV EURO SERVICE GMBH + CO. KG DE93ZZZ00000001787 SEPA VPRDS HOME SOLUTIONS 304018429 OTHR /INV/648058790 30.11.2025 N00019368001 RCUR FR7617906001129641663834646 </t>
  </si>
  <si>
    <t>20260112140835</t>
  </si>
  <si>
    <t>BQ77837617</t>
  </si>
  <si>
    <t>DKV EURO SERVICE GMB DKV EURO SERVICE GMB DE93ZZZ00000001787 SEPA VPRDS HOME SOLUTIONS 305275036 DDB251222KMVE09882300010273 OTHR /INV/648439359 15.12.2025 N00019368001 RCUR FR761790600112964166383464</t>
  </si>
  <si>
    <t>20260122100358</t>
  </si>
  <si>
    <t>20260205102744</t>
  </si>
  <si>
    <t>401DYSON</t>
  </si>
  <si>
    <t>DYSON</t>
  </si>
  <si>
    <t>6234618753</t>
  </si>
  <si>
    <t>BQ57536928</t>
  </si>
  <si>
    <t xml:space="preserve">CARTE X7179 DYSON SAS PARIS </t>
  </si>
  <si>
    <t>401EASYCLE</t>
  </si>
  <si>
    <t>EASY CLEAN</t>
  </si>
  <si>
    <t>20250311154354</t>
  </si>
  <si>
    <t>ENTRETIEN SKODA GJ-472-DK/ JETON LAVAGE VEHICULE / PAS DE DETAIL DONC MIS SUR SKODA</t>
  </si>
  <si>
    <t>BQ50434113</t>
  </si>
  <si>
    <t xml:space="preserve">CARTE X7179 EASY CLEAN 1 ST SAT </t>
  </si>
  <si>
    <t>0006181</t>
  </si>
  <si>
    <t>BQ55522756</t>
  </si>
  <si>
    <t xml:space="preserve">CARTE X7179 EASY CLEAN SAINT ST </t>
  </si>
  <si>
    <t>0007433</t>
  </si>
  <si>
    <t>BQ63643553</t>
  </si>
  <si>
    <t>0007066</t>
  </si>
  <si>
    <t>0007785</t>
  </si>
  <si>
    <t>BQ70194739</t>
  </si>
  <si>
    <t>BQ70194740</t>
  </si>
  <si>
    <t>0007946</t>
  </si>
  <si>
    <t>BQ73819245</t>
  </si>
  <si>
    <t>401EASYJET</t>
  </si>
  <si>
    <t>EASYJET</t>
  </si>
  <si>
    <t>BQ51036947</t>
  </si>
  <si>
    <t xml:space="preserve">CARTE X7179 EASYJETK93N96X ROSS </t>
  </si>
  <si>
    <t>20250310114243</t>
  </si>
  <si>
    <t>BQ71673290</t>
  </si>
  <si>
    <t xml:space="preserve">CARTE X7179 EASYJETKBGXHNJ ROSS </t>
  </si>
  <si>
    <t>20251202090223</t>
  </si>
  <si>
    <t>401ELEC44</t>
  </si>
  <si>
    <t>ELEC44</t>
  </si>
  <si>
    <t>BQ50620131</t>
  </si>
  <si>
    <t xml:space="preserve">CARTE X7179 PPG*ELEC44 SAINT BR / JUSTE BON DE COMMANDE </t>
  </si>
  <si>
    <t>#FA831859</t>
  </si>
  <si>
    <t>401ENEDIS</t>
  </si>
  <si>
    <t>ENEDIS</t>
  </si>
  <si>
    <t>BQ59229583</t>
  </si>
  <si>
    <t>CHEQUE NO 8141413 / ENEDIS ACOMPTE</t>
  </si>
  <si>
    <t>3400022872</t>
  </si>
  <si>
    <t>401ETOPS</t>
  </si>
  <si>
    <t>ETOPS</t>
  </si>
  <si>
    <t>b0044</t>
  </si>
  <si>
    <t>BQ53034372</t>
  </si>
  <si>
    <t xml:space="preserve">CARTE X7179 RELAY ROISSY CDG </t>
  </si>
  <si>
    <t>401ETUDESETAPPLICATIONSECONOMIQUES</t>
  </si>
  <si>
    <t>ETUDESETAPPLICATIONSECONOMIQUES</t>
  </si>
  <si>
    <t>4306626</t>
  </si>
  <si>
    <t>BQ74860642</t>
  </si>
  <si>
    <t>ETAPE ETUDES ET APPLICATIONS EC ETAPE ETUDES ET APPLICATIONS ECONOMIQUES FR69ZZZ8A6A1E SEPA PARADIS VINCENT 303245598 T253310010425571 ETAPE-15471-1475 ETAPE-13966-GE00010425 RCUR FR761790600112964166</t>
  </si>
  <si>
    <t>401FINANCEPUBLIQUE</t>
  </si>
  <si>
    <t>FINANCE PUBLIQUE</t>
  </si>
  <si>
    <t>BQ58013130</t>
  </si>
  <si>
    <t xml:space="preserve">CARTE X7179 ALENCON TPT 61 SAIN </t>
  </si>
  <si>
    <t>20250617125942</t>
  </si>
  <si>
    <t>SERVICE DE VOIRIE</t>
  </si>
  <si>
    <t>401FRANCKETTE</t>
  </si>
  <si>
    <t>20250417082709</t>
  </si>
  <si>
    <t>BQ51885566</t>
  </si>
  <si>
    <t xml:space="preserve">WEB VINCENT PARADIS CRED NOTE D S.A.S. VPRDS HOME SOLUTIONS VINCENT PARADIS CREDIT AGRICOLE NOTE DE FRAIS FEVRIER 25 AGRIFRPP879 EUR200000000046500 FR7617906001129643379654066 </t>
  </si>
  <si>
    <t>401FROMAGE&amp;SESAMIS</t>
  </si>
  <si>
    <t>FROMAGE &amp; SES AMIS</t>
  </si>
  <si>
    <t>BQ77293809</t>
  </si>
  <si>
    <t xml:space="preserve">CARTE X7179 CHEESE YOUR LIFE LE </t>
  </si>
  <si>
    <t>401GALERIADEARTE</t>
  </si>
  <si>
    <t>20250516124526</t>
  </si>
  <si>
    <t>BQ53521785</t>
  </si>
  <si>
    <t xml:space="preserve">CARTE X7179 GALERIA DE ARTE IND </t>
  </si>
  <si>
    <t>401GEMYLEMANS-R</t>
  </si>
  <si>
    <t>GEMYLEMANS-R</t>
  </si>
  <si>
    <t>nº31-349006</t>
  </si>
  <si>
    <t>RENAULT DACIA   GEMY LE MANS-RÉPARATION ET ENTRETIEN SUR MATÉRIEL ET MOBILIER-FACTURE-Nº31-349006</t>
  </si>
  <si>
    <t>BQ54244142</t>
  </si>
  <si>
    <t xml:space="preserve">CARTE X7179 GEMY LE MANS - R </t>
  </si>
  <si>
    <t>401GTCLEMANS</t>
  </si>
  <si>
    <t>GTCLEMANS</t>
  </si>
  <si>
    <t>202503/7284</t>
  </si>
  <si>
    <t>GTC LE MANS-AUXILIAIRES DE JUSTICE-FACTURE-202503/7284</t>
  </si>
  <si>
    <t>BQ51493929</t>
  </si>
  <si>
    <t xml:space="preserve">CHEQUE NO 9976091 </t>
  </si>
  <si>
    <t>401HANAM</t>
  </si>
  <si>
    <t>HANAM</t>
  </si>
  <si>
    <t>004078</t>
  </si>
  <si>
    <t>BQ55191757</t>
  </si>
  <si>
    <t xml:space="preserve">CARTE X7179 SARL HANAMENU LE MA </t>
  </si>
  <si>
    <t>401HELIOS</t>
  </si>
  <si>
    <t>HELIOS</t>
  </si>
  <si>
    <t>BQ47038533</t>
  </si>
  <si>
    <t xml:space="preserve">VIR INST VERS HELIOS SARL S.A.S. VPRDS HOME SOLUTIONS HELIOS SARL DOSSIER HUGOU DOSSIER HUGOU 5CE2EA356D7D49058A117104489613F5 FR7630004002260000603071175 </t>
  </si>
  <si>
    <t>20250213090146</t>
  </si>
  <si>
    <t>COMMIS. COURTAGES S/VENTES</t>
  </si>
  <si>
    <t>BQ48973340</t>
  </si>
  <si>
    <t xml:space="preserve">CHEQUE NO 9976085 </t>
  </si>
  <si>
    <t>20250320085547</t>
  </si>
  <si>
    <t>HELIOS / DOSSIER RENARD</t>
  </si>
  <si>
    <t>20250311110235</t>
  </si>
  <si>
    <t>COMMIS. COURTAGES S/VENTES / DOSSIER POULIO</t>
  </si>
  <si>
    <t>BQ50012294</t>
  </si>
  <si>
    <t xml:space="preserve">VIR INST VERS HELIOS SARL S.A.S. VPRDS HOME SOLUTIONS HELIOS SARL DOSSIER POULIO DOSSIER POULIO 859C17BEB2F347EF9F6B1EB663560B33 FR7630004002260000603071175 </t>
  </si>
  <si>
    <t>20250417075045</t>
  </si>
  <si>
    <t>PRESTA COURTAGE HUET BUTET</t>
  </si>
  <si>
    <t>20250417075115</t>
  </si>
  <si>
    <t>PRESTA DE COURTAGE GENOT</t>
  </si>
  <si>
    <t>20250417075140</t>
  </si>
  <si>
    <t>PRESTA DE COURTAGE FROGER</t>
  </si>
  <si>
    <t>20250417075206</t>
  </si>
  <si>
    <t>PRESTA DE COURTAGE DIALLO</t>
  </si>
  <si>
    <t>BQ51885562</t>
  </si>
  <si>
    <t xml:space="preserve">VIR INST VERS HELIOS SARL S.A.S. VPRDS HOME SOLUTIONS HELIOS SARL DOSSIER HUET BUTET B719DE8C92144E54AE02D9B57C7CA870 FR7630004002260000603071175 </t>
  </si>
  <si>
    <t>BQ51885563</t>
  </si>
  <si>
    <t xml:space="preserve">VIR INST VERS HELIOS SARL S.A.S. VPRDS HOME SOLUTIONS HELIOS SARL DOSSIER GENOT 8E58F462D59741678D01DA020ABE3A9A FR7630004002260000603071175 </t>
  </si>
  <si>
    <t>BQ51885564</t>
  </si>
  <si>
    <t xml:space="preserve">VIR INST VERS HELIOS SARL S.A.S. VPRDS HOME SOLUTIONS HELIOS SARL DOSSIER FROGER 2E375643CCCA4711997D7CADD26D7217 FR7630004002260000603071175 </t>
  </si>
  <si>
    <t>BQ51885565</t>
  </si>
  <si>
    <t xml:space="preserve">VIR INST VERS HELIOS SARL S.A.S. VPRDS HOME SOLUTIONS HELIOS SARL DOSSIER DIALLO FDF06C77206F4F85ADDDBCFE4B75753C FR7630004002260000603071175 </t>
  </si>
  <si>
    <t>BQ52613197</t>
  </si>
  <si>
    <t xml:space="preserve">VIR INST VERS HELIOS SARL S.A.S. VPRDS HOME SOLUTIONS HELIOS SARL DOSSIER CORDOLA DOSSIER CORDOLA 63373B62C1E74E4CBB930DAEB0772A5F FR7630004002260000603071175 </t>
  </si>
  <si>
    <t>20250417075230</t>
  </si>
  <si>
    <t>PRESTA DE COURTAGE CORDOLLA</t>
  </si>
  <si>
    <t>fa_25-006</t>
  </si>
  <si>
    <t>HELIOS FA_25-006 / DOSSIER ADAME</t>
  </si>
  <si>
    <t>BQ54616905</t>
  </si>
  <si>
    <t xml:space="preserve">VIR INST VERS HELIOS SARL S.A.S. VPRDS HOME SOLUTIONS HELIOS SARL DOSSIER ADAME DOSSIER ADAME A2A1AE48CA2740D1B3392B514A26C347 FR7630004002260000603071175 </t>
  </si>
  <si>
    <t>BQ59494477</t>
  </si>
  <si>
    <t xml:space="preserve">VIR INST VERS HELIOS SARL S.A.S. VPRDS HOME SOLUTIONS HELIOS SARL DOSSIER PLUQUIN 979E7D01304A410FA048B7BF69213A0A FR7630004002260000603071175 </t>
  </si>
  <si>
    <t>BQ59494478</t>
  </si>
  <si>
    <t xml:space="preserve">VIR INST VERS HELIOS SARL S.A.S. VPRDS HOME SOLUTIONS HELIOS SARL DOSSIER BERNARD 1BD427A51C0641D28DC42D363B0170CC FR7630004002260000603071175 </t>
  </si>
  <si>
    <t>fa_25-004</t>
  </si>
  <si>
    <t>HELIOS FA_25-004 / DOSSIER PLUQUIN + BERNARD</t>
  </si>
  <si>
    <t>BQ67332229</t>
  </si>
  <si>
    <t xml:space="preserve">VIR INST VERS HELIOS SARL S.A.S. VPRDS HOME SOLUTIONS HELIOS SARL DOSSIER IKIA DOSSIER IKIA 8027863A51644892A1854DA4040C8C28 FR7630004002260000603071175 </t>
  </si>
  <si>
    <t>BQ67332230</t>
  </si>
  <si>
    <t xml:space="preserve">VIR INST VERS HELIOS SARL S.A.S. VPRDS HOME SOLUTIONS HELIOS SARL DOSSIER TILLIET DOSSIER TILLIET D30833B1C60641C8A2AA707B267BEE34 FR7630004002260000603071175 </t>
  </si>
  <si>
    <t>BQ67332231</t>
  </si>
  <si>
    <t xml:space="preserve">VIR INST VERS HELIOS SARL S.A.S. VPRDS HOME SOLUTIONS HELIOS SARL DOSSIER CHAFIOL DOSSIER CHAFIOL 245789CCF003493A86A634619334E79B FR7630004002260000603071175 </t>
  </si>
  <si>
    <t>FA 25-008</t>
  </si>
  <si>
    <t>SARL HELIOS- DOSSIER IKIA + TILLIET + CHAFIOL</t>
  </si>
  <si>
    <t>FA 25-014</t>
  </si>
  <si>
    <t>SARL HELIOS-/ DOSSIER JOURNAUX / BIGARET / PROTIN / PARTEAU</t>
  </si>
  <si>
    <t>BQ69470129</t>
  </si>
  <si>
    <t xml:space="preserve">WEB HELIOS SARL FACTURE MULTIPL S.A.S. VPRDS HOME SOLUTIONS HELIOS SARL FACTURE MULTIPLE DOSSIERS FACTURE MULTIPLE DOSSIERS AGRIFRPP879 EUR200000002400000 FR7630004002260000603071175 </t>
  </si>
  <si>
    <t>BQ70974512</t>
  </si>
  <si>
    <t xml:space="preserve">VIR INST VERS HELIOS SARL S.A.S. VPRDS HOME SOLUTIONS HELIOS SARL DOSSIER MOREAU DOSSIER MOREAU D334FE0DF03645BF9561918E6B574CB4 FR7630004002260000603071175 </t>
  </si>
  <si>
    <t>BQ70974513</t>
  </si>
  <si>
    <t xml:space="preserve">VIR INST VERS HELIOS SARL S.A.S. VPRDS HOME SOLUTIONS HELIOS SARL DOSSIER CARDOSO DOSSIER CARDOSO 13BA222C074945368ED46D495CB89200 FR7630004002260000603071175 </t>
  </si>
  <si>
    <t>fa_25-017</t>
  </si>
  <si>
    <t>HELIOS FA_25-017</t>
  </si>
  <si>
    <t>BQ74688770</t>
  </si>
  <si>
    <t xml:space="preserve">VIR INST VERS HELIOS S.A.S. VPRDS HOME SOLUTIONS HELIOS HELIOS - DOSSIER TOIN DOSSIER TOIN VPRDS 0074C1A6328B4BE6AEE33E13787DBF5C FR7630047146500002373820146 </t>
  </si>
  <si>
    <t>FA AV-0011</t>
  </si>
  <si>
    <t>SARL HELIOS-CONSEIL- DOSSIER TOUIN</t>
  </si>
  <si>
    <t>401HIPPOPO</t>
  </si>
  <si>
    <t>HIPPOPOTAMUS</t>
  </si>
  <si>
    <t>401HOTEL</t>
  </si>
  <si>
    <t>HOTEL</t>
  </si>
  <si>
    <t>261246</t>
  </si>
  <si>
    <t>LOUISE MGALLERY BRUSSELS-HÉBERGEMENT-FACTURE-261246</t>
  </si>
  <si>
    <t>BQ46432018</t>
  </si>
  <si>
    <t xml:space="preserve">CARTE X7179 LE LOUISE HOTEL BRU </t>
  </si>
  <si>
    <t>51933</t>
  </si>
  <si>
    <t>BQ51735697</t>
  </si>
  <si>
    <t xml:space="preserve">CARTE X7179 LODGING H MOVENPICK </t>
  </si>
  <si>
    <t>09034586</t>
  </si>
  <si>
    <t>BQ51885567</t>
  </si>
  <si>
    <t xml:space="preserve">CARTE X7179 LEPRINCE HOTEL LE M </t>
  </si>
  <si>
    <t>171834</t>
  </si>
  <si>
    <t>BQ57536930</t>
  </si>
  <si>
    <t xml:space="preserve">CARTE X7179 FL HOTELLERIE LIBOU </t>
  </si>
  <si>
    <t>BQ62122555</t>
  </si>
  <si>
    <t xml:space="preserve">CARTE X7179 WESTOTEL LE POUL LA </t>
  </si>
  <si>
    <t>fac2507-62485-0098</t>
  </si>
  <si>
    <t>BQ64707554</t>
  </si>
  <si>
    <t xml:space="preserve">WEB VINCENT PARADIS CRED NOTE D S.A.S. VPRDS HOME SOLUTIONS VINCENT PARADIS CREDIT AGRICOLE NOTE DE FRAIS JUILLET 25 NOTE DE FRAIS VP AGRIFRPP879 EUR200000000214030 FR7617906001129643379654066 </t>
  </si>
  <si>
    <t>20250923151141</t>
  </si>
  <si>
    <t>20260205141659</t>
  </si>
  <si>
    <t>BQ72035718</t>
  </si>
  <si>
    <t xml:space="preserve">CARTE X7179 NOVOTEL HOTELS LOND </t>
  </si>
  <si>
    <t>254125</t>
  </si>
  <si>
    <t>BQ72826837</t>
  </si>
  <si>
    <t xml:space="preserve">CARTE X7179 HOTEL MERCURE ROISS </t>
  </si>
  <si>
    <t>607797608</t>
  </si>
  <si>
    <t>20260205141950</t>
  </si>
  <si>
    <t>10592</t>
  </si>
  <si>
    <t>10591</t>
  </si>
  <si>
    <t>BQ75668128</t>
  </si>
  <si>
    <t xml:space="preserve">CARTE X7179 DOMAINE DU LIZIEC R </t>
  </si>
  <si>
    <t>BQ77293810</t>
  </si>
  <si>
    <t>45325</t>
  </si>
  <si>
    <t>HOTEL LAC D'ANNECY 2 PERSONNES / 26.12 AU 27.12 / PRO?</t>
  </si>
  <si>
    <t>BQ77837621</t>
  </si>
  <si>
    <t xml:space="preserve">CARTE X7179 LE SPLENDID ANNECY </t>
  </si>
  <si>
    <t>20260205142136</t>
  </si>
  <si>
    <t>COMPLEMENT DE RGLT PAR POINTS BONUS / HOTEL</t>
  </si>
  <si>
    <t>401ILOVEPD</t>
  </si>
  <si>
    <t>ILOVEPDF</t>
  </si>
  <si>
    <t>WEB-2025-1298628</t>
  </si>
  <si>
    <t>BQ63921854</t>
  </si>
  <si>
    <t xml:space="preserve">CARTE X7179 ILOVEPDF.COM 08028 </t>
  </si>
  <si>
    <t>401J2EINDUSTRIE</t>
  </si>
  <si>
    <t>J2E INDUSTRIE</t>
  </si>
  <si>
    <t>20250311154226</t>
  </si>
  <si>
    <t>ENTRETIEN SKODA GJ-472-DK/ LAVAGE VEHICULE/JETON / PAS DE DETAIL DONC MIS SUR SKODA</t>
  </si>
  <si>
    <t>BQ48701787</t>
  </si>
  <si>
    <t xml:space="preserve">CARTE X7179 J2E INDUSTRIE LE MA </t>
  </si>
  <si>
    <t>401JYSK</t>
  </si>
  <si>
    <t>JYSK</t>
  </si>
  <si>
    <t>401K2ALEMA</t>
  </si>
  <si>
    <t>K2ALEMA</t>
  </si>
  <si>
    <t>fa218171</t>
  </si>
  <si>
    <t>SALAH MARKET/ FOIRE</t>
  </si>
  <si>
    <t>401KARTBYTEEBEE</t>
  </si>
  <si>
    <t>KARTBYTEEBEE</t>
  </si>
  <si>
    <t>2025/F/216</t>
  </si>
  <si>
    <t>BATTLE KART POUR 5 PERSONNES PRO ? LUNDI APREM</t>
  </si>
  <si>
    <t>BQ74290072</t>
  </si>
  <si>
    <t xml:space="preserve">CARTE X7179 HPY*BATTLEKART NOTR </t>
  </si>
  <si>
    <t>20260112141313</t>
  </si>
  <si>
    <t xml:space="preserve">BATTLE KART / PRO? </t>
  </si>
  <si>
    <t>BQ77457628</t>
  </si>
  <si>
    <t xml:space="preserve">CARTE X7179 BATTLEKART NOTRE DA </t>
  </si>
  <si>
    <t>401L.C.R.(LOIRECHAUFFAGERENOVATION)</t>
  </si>
  <si>
    <t>L.C.R.(LOIRECHAUFFAGERENOVATION)</t>
  </si>
  <si>
    <t>202503479</t>
  </si>
  <si>
    <t>L C R   / VANNE + TUBE + COUDE + BOITE DERIVATION / PERSO OU SOUS TRAITANCE ?</t>
  </si>
  <si>
    <t>BQ58991436</t>
  </si>
  <si>
    <t xml:space="preserve">CHEQUE NO 8141416 </t>
  </si>
  <si>
    <t>401L'ENCEINTESPORTIVE</t>
  </si>
  <si>
    <t>L'ENCEINTESPORTIVE</t>
  </si>
  <si>
    <t>91114 1007</t>
  </si>
  <si>
    <t>L ENCEINTE SPORTIVE-FORMATION-FACTURE-91114 1007</t>
  </si>
  <si>
    <t>BQ69614545</t>
  </si>
  <si>
    <t xml:space="preserve">WEB L ENCEINTE SPORTIVE S.A.S. VPRDS HOME SOLUTIONS L ENCEINTE SPORTIVE AGRIFRPP879 EUR200000000090000 FR7617906001129643543481634 </t>
  </si>
  <si>
    <t>401LAPOSTE</t>
  </si>
  <si>
    <t>F002AA002260726</t>
  </si>
  <si>
    <t>BQ47120966</t>
  </si>
  <si>
    <t xml:space="preserve">CARTE X7179 LA POSTE 729220 LE </t>
  </si>
  <si>
    <t>F002AA002539903</t>
  </si>
  <si>
    <t>BQ48241683</t>
  </si>
  <si>
    <t xml:space="preserve">CARTE X7179 LA POSTE 729320 LE </t>
  </si>
  <si>
    <t>F002AA002565195</t>
  </si>
  <si>
    <t>BQ48316914</t>
  </si>
  <si>
    <t>F002AA002723680</t>
  </si>
  <si>
    <t>BQ49217668</t>
  </si>
  <si>
    <t>F002AA002892773</t>
  </si>
  <si>
    <t>BQ49916188</t>
  </si>
  <si>
    <t>F002AA003186041</t>
  </si>
  <si>
    <t>20250417081914</t>
  </si>
  <si>
    <t>BQ51392580</t>
  </si>
  <si>
    <t>20250417082736</t>
  </si>
  <si>
    <t>BQ53034370</t>
  </si>
  <si>
    <t xml:space="preserve">WEB NADEGE BOUQUET NOTES DE FRA VPRDS HOME SOLUTIONS NADEGE BOUQUET NOTES DE FRAIS N BOUQUET - DIVERS AGRIFRPP879 EUR200000000012490 FR7614445004000439250717608 </t>
  </si>
  <si>
    <t>F002AA003705152</t>
  </si>
  <si>
    <t>BQ53627862</t>
  </si>
  <si>
    <t xml:space="preserve">VIR INST VERS ANAIS LAMARD S.A.S. VPRDS HOME SOLUTIONS ANAIS LAMARD LRAR BEZAULT LRAR BEZAULT 138680B6A4F84546A35DAB3B9053245C FR7614445004000478625543876 </t>
  </si>
  <si>
    <t>F002AA003734500</t>
  </si>
  <si>
    <t>F002AA003847029</t>
  </si>
  <si>
    <t>BQ54358436</t>
  </si>
  <si>
    <t>F002AA003973254</t>
  </si>
  <si>
    <t>BQ56454205</t>
  </si>
  <si>
    <t>LE GROUPE LA POSTE LE GROUPE LA POSTE FR93COU111341 SEPA SAS VPRDS HOME SOLUTIONS 288039982 01-300020019078082025 FAC NFBGP250000147508 200190780825 CLT0005062047 RUMMCCOU6628270 MCCOU6628270 RCUR FR7</t>
  </si>
  <si>
    <t>FBGP250000184314</t>
  </si>
  <si>
    <t>BQ59494475</t>
  </si>
  <si>
    <t>LE GROUPE LA POSTE LE GROUPE LA POSTE FR93COU111341 SEPA SAS VPRDS HOME SOLUTIONS 291112431 01-300020024570082025 FAC NFBGP250000184314 200245700825 CLT0005062047 RUMMCCOU6628270 MCCOU6628270 RCUR FR7</t>
  </si>
  <si>
    <t>FBGP250000243268</t>
  </si>
  <si>
    <t>ABGP250000243267
FBGP250000147508</t>
  </si>
  <si>
    <t>20251023121516</t>
  </si>
  <si>
    <t>20260205132806</t>
  </si>
  <si>
    <t>20260205132917</t>
  </si>
  <si>
    <t>FACTURE LA POSTE DU 07/04/2025 / RGLT PERSO</t>
  </si>
  <si>
    <t>20260205132940</t>
  </si>
  <si>
    <t>FACTURE LA POSTE DU 04/04/2025 / RGLT PERSO</t>
  </si>
  <si>
    <t>BQ62128029</t>
  </si>
  <si>
    <t>LE GROUPE LA POSTE LE GROUPE LA POSTE FR93COU111341 SEPA SAS VPRDS HOME SOLUTIONS 293082359 01-300020028311142025 FAC NFBGP250000243268 200283111425 CLT0005062047 RUMMCCOU6628270 MCCOU6628270 RCUR FR7</t>
  </si>
  <si>
    <t>BQ62128034</t>
  </si>
  <si>
    <t xml:space="preserve">VIR LE GROUPE LA POSTE 20028566 LE GROUPE LA POSTE SAS VPRDS HOME SOLUTIONS COURRIER CLT0005062047 200285668825 AVOIRABGP250000243267 20028566882025 PSSTFRPPROU EUR200000000001045 </t>
  </si>
  <si>
    <t>FBGP250000278090</t>
  </si>
  <si>
    <t>BQ64707553</t>
  </si>
  <si>
    <t>LE GROUPE LA POSTE LE GROUPE LA POSTE FR93COU111341 SEPA SAS VPRDS HOME SOLUTIONS 295312402 01-300020030917702025 FAC NFBGP250000278090 200309177025 CLT0005062047 RUMMCCOU6628270 MCCOU6628270 RCUR FR7</t>
  </si>
  <si>
    <t>FBGP250000298521</t>
  </si>
  <si>
    <t>BQ67233903</t>
  </si>
  <si>
    <t>LE GROUPE LA POSTE LE GROUPE LA POSTE FR93COU111341 SEPA SAS VPRDS HOME SOLUTIONS 297473362 01-300020034953112025 FAC NFBGP250000298521 200349531125 CLT0005062047 RUMMCCOU6628270 MCCOU6628270 RCUR FR7</t>
  </si>
  <si>
    <t>FBGP250000328511</t>
  </si>
  <si>
    <t>LA POSTE-COMMUNICATION-FACTURE-FBGP250000328511</t>
  </si>
  <si>
    <t>F002AA006516182</t>
  </si>
  <si>
    <t>BQ70194733</t>
  </si>
  <si>
    <t>LE GROUPE LA POSTE LE GROUPE LA POSTE FR93COU111341 SEPA SAS VPRDS HOME SOLUTIONS 299818585 01-300020039208512025 FAC NFBGP250000328511 200392085125 CLT0005062047 RUMMCCOU6628270 MCCOU6628270 RCUR FR7</t>
  </si>
  <si>
    <t>FBGP250000369636</t>
  </si>
  <si>
    <t>BQ72372587</t>
  </si>
  <si>
    <t xml:space="preserve">WEB NADEGE BOUQUET NOTE DE FRAI S.A.S. VPRDS HOME SOLUTIONS NADEGE BOUQUET NOTE DE FRAIS N BOUQUET - OCT 25 NOTE DE FRAIS MIKIT - OCT 25 AGRIFRPP879 EUR200000000010028 FR7614445004000439250717608 </t>
  </si>
  <si>
    <t>BQ73120154</t>
  </si>
  <si>
    <t>LE GROUPE LA POSTE LE GROUPE LA POSTE FR93COU111341 SEPA SAS VPRDS HOME SOLUTIONS 302109203 01-300020042851302025 FAC NFBGP250000369636 200428513025 CLT0005062047 RUMMCCOU6628270 MCCOU6628270 RCUR FR7</t>
  </si>
  <si>
    <t>FBGP250000402443</t>
  </si>
  <si>
    <t>BQ76260082</t>
  </si>
  <si>
    <t>LE GROUPE LA POSTE LE GROUPE LA POSTE FR93COU111341 SEPA SAS VPRDS HOME SOLUTIONS 304349350 01-300020046182382025 FAC NFBGP250000402443 200461823825 CLT0005062047 RUMMCCOU6628270 MCCOU6628270 RCUR FR7</t>
  </si>
  <si>
    <t>401LATVGT</t>
  </si>
  <si>
    <t>LATVGT</t>
  </si>
  <si>
    <t>37</t>
  </si>
  <si>
    <t>BQ65103435</t>
  </si>
  <si>
    <t xml:space="preserve">CARTE X7179 ATELIER VEGETAL CER </t>
  </si>
  <si>
    <t>401LEBONCO</t>
  </si>
  <si>
    <t>SCM LOCAL-ESPACE PUBLICITAIRE-FACTURE-5FR0501107 (27/12/2024)</t>
  </si>
  <si>
    <t>5FR0524431</t>
  </si>
  <si>
    <t>BQ48410258</t>
  </si>
  <si>
    <t xml:space="preserve">SCM LOCAL SASU SCM LOCAL SASU FR74ZZZ594646 SEPA VPRDS HOME SOLUTIONS 279923121 01-103820000298512025 SF-ACC-000682378 FR05 1731581479757RCUR FR7617906001129641663834646 </t>
  </si>
  <si>
    <t>BQ50012293</t>
  </si>
  <si>
    <t xml:space="preserve">SCM LOCAL SASU SCM LOCAL SASU FR74ZZZ594646 SEPA VPRDS HOME SOLUTIONS 281862019 01-103820000542352025 SF-ACC-000682378 FR05 1731581479757RCUR FR7617906001129641663834646 </t>
  </si>
  <si>
    <t>5FR0555330</t>
  </si>
  <si>
    <t>5FR0582590</t>
  </si>
  <si>
    <t>BQ52705297</t>
  </si>
  <si>
    <t xml:space="preserve">SCM LOCAL SASU SCM LOCAL SASU FR74ZZZ594646 SEPA VPRDS HOME SOLUTIONS 284624699 01-103820000859472025 SF-ACC-000682378 FR05 1731581479757RCUR FR7617906001129641663834646 </t>
  </si>
  <si>
    <t>5FR0596007</t>
  </si>
  <si>
    <t>BQ54813455</t>
  </si>
  <si>
    <t xml:space="preserve">SCM LOCAL SASU SCM LOCAL SASU FR74ZZZ594646 SEPA VPRDS HOME SOLUTIONS 286691868 01-103820001161022025 SF-ACC-000682378 FR05 1731581479757RCUR FR7617906001129641663834646 </t>
  </si>
  <si>
    <t>5FR0631356</t>
  </si>
  <si>
    <t>BQ57452002</t>
  </si>
  <si>
    <t xml:space="preserve">SCM LOCAL SASU SCM LOCAL SASU FR74ZZZ594646 SEPA VPRDS HOME SOLUTIONS 289036759 01-103820001479792025 SF-ACC-000682378 FR05 1731581479757RCUR FR7617906001129641663834646 </t>
  </si>
  <si>
    <t>BQ59597273</t>
  </si>
  <si>
    <t xml:space="preserve">SCM LOCAL SASU SCM LOCAL SASU FR74ZZZ594646 SEPA VPRDS HOME SOLUTIONS 291214805 01-103820001789742025 SF-ACC-000682378 FR05 1731581479757RCUR FR7617906001129641663834646 </t>
  </si>
  <si>
    <t>5FR0657756</t>
  </si>
  <si>
    <t>BQ62745767</t>
  </si>
  <si>
    <t xml:space="preserve">SCM LOCAL SASU SCM LOCAL SASU FR74ZZZ594646 SEPA VPRDS HOME SOLUTIONS 293541183 01-103820002130572025 SF-ACC-000682378 FR05 1731581479757RCUR FR7617906001129641663834646 </t>
  </si>
  <si>
    <t>5FR0688599</t>
  </si>
  <si>
    <t>BQ65103432</t>
  </si>
  <si>
    <t xml:space="preserve">SCM LOCAL SASU SCM LOCAL SASU FR74ZZZ594646 SEPA VPRDS HOME SOLUTIONS 295671445 01-103820002432352025 SF-ACC-000682378 FR05 1731581479757RCUR FR7617906001129641663834646 </t>
  </si>
  <si>
    <t>20250923153424</t>
  </si>
  <si>
    <t>BQ67758781</t>
  </si>
  <si>
    <t xml:space="preserve">SCM LOCAL SASU SCM LOCAL SASU FR74ZZZ594646 SEPA VPRDS HOME SOLUTIONS 297927834 01-103820002743932025 SF-ACC-000682378 FR05 1731581479757RCUR FR7617906001129641663834646 </t>
  </si>
  <si>
    <t>5FR0740194</t>
  </si>
  <si>
    <t>B1</t>
  </si>
  <si>
    <t>20251212105141</t>
  </si>
  <si>
    <t>VIR INST LE BON COIN</t>
  </si>
  <si>
    <t>5FR0767540</t>
  </si>
  <si>
    <t>BQ70974511</t>
  </si>
  <si>
    <t xml:space="preserve">SCM LOCAL SASU SCM LOCAL SASU FR74ZZZ594646 SEPA VPRDS HOME SOLUTIONS 300437997 01-103820003050772025 SF-ACC-000682378 FR05 1731581479757RCUR FR7617906001129641663834646 </t>
  </si>
  <si>
    <t>5FR0776068</t>
  </si>
  <si>
    <t>5FR0794788</t>
  </si>
  <si>
    <t>BQ74290071</t>
  </si>
  <si>
    <t xml:space="preserve">SCM LOCAL SASU SCM LOCAL SASU FR74ZZZ594646 SEPA VPRDS HOME SOLUTIONS 302952318 01-103820003345752025 SF-ACC-000682378 FR05 1731581479757RCUR FR7617906001129641663834646 </t>
  </si>
  <si>
    <t>5FR0803115</t>
  </si>
  <si>
    <t>20260112115006</t>
  </si>
  <si>
    <t>VIR INST 5FR0803115</t>
  </si>
  <si>
    <t>5FR0819280</t>
  </si>
  <si>
    <t>BQ77989758</t>
  </si>
  <si>
    <t xml:space="preserve">SCM LOCAL SASU SCM LOCAL SASU FR74ZZZ594646 SEPA VPRDS HOME SOLUTIONS 305513004 01-103820004064472025 SF-ACC-000682378 FR05 1731581479757RCUR FR7617906001129641663834646 </t>
  </si>
  <si>
    <t>5FR0830161</t>
  </si>
  <si>
    <t>401LEBRISTOL</t>
  </si>
  <si>
    <t>LE BRISOL</t>
  </si>
  <si>
    <t>transfer-25-08-2025</t>
  </si>
  <si>
    <t>RCLST PAIEMENT CB PERSO</t>
  </si>
  <si>
    <t>BQ57024891</t>
  </si>
  <si>
    <t xml:space="preserve">CARTE X7179 BRISTOL REIMS </t>
  </si>
  <si>
    <t>253.20</t>
  </si>
  <si>
    <t>401LECLERC</t>
  </si>
  <si>
    <t>LECLERC</t>
  </si>
  <si>
    <t>20250417080435</t>
  </si>
  <si>
    <t>BQ50898389</t>
  </si>
  <si>
    <t xml:space="preserve">CARTE X7179 LECLERC LA FLECHE </t>
  </si>
  <si>
    <t>20250617151111</t>
  </si>
  <si>
    <t>BQ55875123</t>
  </si>
  <si>
    <t xml:space="preserve">CARTE X7179 E.LECLERC ALLONNES </t>
  </si>
  <si>
    <t>016-0250</t>
  </si>
  <si>
    <t>E LECLERC 016-0250 / COURSE + APERO</t>
  </si>
  <si>
    <t>BQ64923957</t>
  </si>
  <si>
    <t>05_09_25_0_03fe_04e00</t>
  </si>
  <si>
    <t>20251022073440</t>
  </si>
  <si>
    <t>BQ69291953</t>
  </si>
  <si>
    <t xml:space="preserve">WEB ANAIS LAMARD NOTE DE FRAIS S.A.S. VPRDS HOME SOLUTIONS ANAIS LAMARD NOTE DE FRAIS FOIRE - A LAMARD NOTE DE FRAIS - MIKIT - SEPT 25 AGRIFRPP879 EUR200000000002726 FR7614445004000478625543876 </t>
  </si>
  <si>
    <t>LECLERC/ FOIRE</t>
  </si>
  <si>
    <t>401LECLUSEAUTOMOBILESLEMANS</t>
  </si>
  <si>
    <t>LECLUSEAUTOMOBILESLEMANS</t>
  </si>
  <si>
    <t>20250619094526</t>
  </si>
  <si>
    <t>573689</t>
  </si>
  <si>
    <t>BQ54813460</t>
  </si>
  <si>
    <t xml:space="preserve">CHEQUE NO 8141407/0000000/00000 </t>
  </si>
  <si>
    <t>BQ55522758</t>
  </si>
  <si>
    <t xml:space="preserve">CARTE X7179 AUTORELLI LE MANS </t>
  </si>
  <si>
    <t>401LEMANSCOUNTRYCLUB</t>
  </si>
  <si>
    <t>LE MANS COUNTRY CLUB</t>
  </si>
  <si>
    <t>BQ73592034</t>
  </si>
  <si>
    <t xml:space="preserve">VIR INST VERS LE MANS COUNTRY C S.A.S. VPRDS HOME SOLUTIONS LE MANS COUNTRY CLUB ACOMPTE DEVIS 079980 ACOMPTE LE MANS COUNTRY CLUB 81B3450D27B9496C8F6E1B0B748934FF FR7630003030990002001678832 </t>
  </si>
  <si>
    <t>079980</t>
  </si>
  <si>
    <t>BQ77457627</t>
  </si>
  <si>
    <t xml:space="preserve">CARTE X7179 LEMANS COUNTRY CLUB </t>
  </si>
  <si>
    <t>401LEMANSEVENEMENTS</t>
  </si>
  <si>
    <t>LEMANSEVENEMENTS</t>
  </si>
  <si>
    <t>BQ51885568</t>
  </si>
  <si>
    <t xml:space="preserve">CARTE X7179 CENTRE DES EXPO LE </t>
  </si>
  <si>
    <t>1098876</t>
  </si>
  <si>
    <t>401LEMANSFC</t>
  </si>
  <si>
    <t>LE MANS FC</t>
  </si>
  <si>
    <t>371227</t>
  </si>
  <si>
    <t>STADE MARIE MARVINGT LE MANS METROPOLE 371227</t>
  </si>
  <si>
    <t>BQ65020784</t>
  </si>
  <si>
    <t xml:space="preserve">CARTE X7179 TICK LIVE IVRY SUR </t>
  </si>
  <si>
    <t>401LEMANSM</t>
  </si>
  <si>
    <t>LE MANS METROPOLE</t>
  </si>
  <si>
    <t>LE MANS METROPOLE COMMUNAUTE URBAINE-ENERGIE-FACTURE-50/0 2400500003905 (17/12/2024)</t>
  </si>
  <si>
    <t>BQ48241682</t>
  </si>
  <si>
    <t>SGC LE MANS METROPOLE ET AMENDE SGC LE MANS METROPOLE ET AMENDES FR81ZZZ102148 SEPA LE MANS METROPOLE-EAU 50101 PARADIS VINCENT 279618090 25024-5376-PSR-SDD-CORE-01-00040873 FACTURE2400500003905MANDAT</t>
  </si>
  <si>
    <t>401LEMANSMETROPOLECOMMUNAUTEURBAINE</t>
  </si>
  <si>
    <t>LEMANSMETROPOLECOMMUNAUTEURBAINE</t>
  </si>
  <si>
    <t>17/0 2500170003913</t>
  </si>
  <si>
    <t>BQ63307827</t>
  </si>
  <si>
    <t>SGC LE MANS METROPOLE ET AMENDE SGC LE MANS METROPOLE ET AMENDES FR81ZZZ102148 SEPA LE MANS METROPOLE-EAU 50101 PARADIS VINCENT 293905449 25205-5376-PSR-SDD-CORE-01-00047072 FACTURE2500170003913MANDAT</t>
  </si>
  <si>
    <t>41/0 2500410003703 F/JM</t>
  </si>
  <si>
    <t>401LEPTITEBOUTIQUE</t>
  </si>
  <si>
    <t>LA PETITE BOUTIQUE</t>
  </si>
  <si>
    <t>20250617150741</t>
  </si>
  <si>
    <t>BQ57024889</t>
  </si>
  <si>
    <t xml:space="preserve">CARTE X7179 SUMUP *LA PETITE BO </t>
  </si>
  <si>
    <t>401LEROYMERLINFRANCE</t>
  </si>
  <si>
    <t>LEROYMERLINFRANCE</t>
  </si>
  <si>
    <t>20250709082953</t>
  </si>
  <si>
    <t>BQ55032581</t>
  </si>
  <si>
    <t>CARTE X7179 LEROY MERLIN FR / TICKET EN ATTENTE</t>
  </si>
  <si>
    <t>20250617144238</t>
  </si>
  <si>
    <t>LEROY MERLIN FRANCE-MATERIAU DE CONSTRUCTION-FACTURE</t>
  </si>
  <si>
    <t>BQ56343062</t>
  </si>
  <si>
    <t xml:space="preserve">CARTE X7179 LEROY MERLIN MULSAN </t>
  </si>
  <si>
    <t>20250923134328</t>
  </si>
  <si>
    <t>LEROY MERLIN FRANCE- TUYAU AROSAGE</t>
  </si>
  <si>
    <t>BQ62128032</t>
  </si>
  <si>
    <t xml:space="preserve">CARTE X7179 ADEO*LEROY MERLIN M </t>
  </si>
  <si>
    <t>990022</t>
  </si>
  <si>
    <t>BQ62745770</t>
  </si>
  <si>
    <t>CARTE X7179 LEROY MERLIN FR RON / TICKET PERDU</t>
  </si>
  <si>
    <t>401LESEQUOIA</t>
  </si>
  <si>
    <t>SEQUOIA</t>
  </si>
  <si>
    <t>25003173_n1</t>
  </si>
  <si>
    <t>BQ58726367</t>
  </si>
  <si>
    <t>262.50</t>
  </si>
  <si>
    <t>20260205143743</t>
  </si>
  <si>
    <t>401LINDICE</t>
  </si>
  <si>
    <t>L'INDICE</t>
  </si>
  <si>
    <t>29046</t>
  </si>
  <si>
    <t>BQ59229584</t>
  </si>
  <si>
    <t xml:space="preserve">CARTE X7179 L INDICE ANGERS </t>
  </si>
  <si>
    <t>401LINKEDI</t>
  </si>
  <si>
    <t>LINKEDIN</t>
  </si>
  <si>
    <t>78165260745</t>
  </si>
  <si>
    <t>BQ47523048</t>
  </si>
  <si>
    <t xml:space="preserve">CARTE X7179 LINKEDINPRE *750614 </t>
  </si>
  <si>
    <t>78173578703</t>
  </si>
  <si>
    <t>BQ49848988</t>
  </si>
  <si>
    <t xml:space="preserve">CARTE X7179 LINKEDINPRE *283764 </t>
  </si>
  <si>
    <t>401LIXXBAI</t>
  </si>
  <si>
    <t>LIXXBAIL</t>
  </si>
  <si>
    <t>BQ46562044</t>
  </si>
  <si>
    <t xml:space="preserve">LIXXBAIL LIXXBAIL FR32ZZZ159484 SEPA VPRDS HOME SOLUTIONS 277061942 EM002116895378436VM0 47328668 378436VM02023404732 RCUR FR7617906001129641663834646 </t>
  </si>
  <si>
    <t>CB</t>
  </si>
  <si>
    <t>20250219144820</t>
  </si>
  <si>
    <t xml:space="preserve">TEMPORAIRE. ÉCHÉANCE: 06/01/2025 LOA: RENAULT CLIO FZ-325-SX BAILLEUR: </t>
  </si>
  <si>
    <t>BQ46763834</t>
  </si>
  <si>
    <t xml:space="preserve">LIXXBAIL LIXXBAIL FR32ZZZ159484 SEPA VPRDS HOME SOLUTIONS 277308567 EM002116895330349VM0 47339710 330349VM02022384833 RCUR FR7617906001129641663834646 </t>
  </si>
  <si>
    <t>20250827083224</t>
  </si>
  <si>
    <t xml:space="preserve">TEMPORAIRE. ÉCHÉANCE: 08/01/2025 LOA: SKODA SUPERB GJ-472-DK BAILLEUR: </t>
  </si>
  <si>
    <t>bfn6611829</t>
  </si>
  <si>
    <t>BQ49083304</t>
  </si>
  <si>
    <t xml:space="preserve">LIXXBAIL LIXXBAIL FR32ZZZ159484 SEPA VPRDS HOME SOLUTIONS 280048547 EM002116895378436VM0 47545033 378436VM02023404732 RCUR FR7617906001129641663834646 </t>
  </si>
  <si>
    <t xml:space="preserve">TEMPORAIRE. ÉCHÉANCE: 06/02/2025 LOA: RENAULT CLIO FZ-325-SX BAILLEUR: </t>
  </si>
  <si>
    <t xml:space="preserve">TEMPORAIRE. ÉCHÉANCE: 08/02/2025 LOA: SKODA SUPERB GJ-472-DK BAILLEUR: </t>
  </si>
  <si>
    <t>BQ49348715</t>
  </si>
  <si>
    <t xml:space="preserve">LIXXBAIL LIXXBAIL FR32ZZZ159484 SEPA VPRDS HOME SOLUTIONS 280311848 EM002116895330349VM0 47555181 330349VM02022384833 RCUR FR7617906001129641663834646 </t>
  </si>
  <si>
    <t>BQ49348716</t>
  </si>
  <si>
    <t xml:space="preserve">LIXXBAIL LIXXBAIL FR32ZZZ159484 SEPA VPRDS HOME SOLUTIONS 280659749 EM002116895330349VM0 47572683 330349VM02022384833 RCUR FR7617906001129641663834646 </t>
  </si>
  <si>
    <t xml:space="preserve">TEMPORAIRE. ÉCHÉANCE: 06/03/2025 LOA: RENAULT CLIO FZ-325-SX BAILLEUR: </t>
  </si>
  <si>
    <t>BQ51253950</t>
  </si>
  <si>
    <t xml:space="preserve">LIXXBAIL LIXXBAIL FR32ZZZ159484 SEPA VPRDS HOME SOLUTIONS 282601553 EM002116895378436VM0 47747287 378436VM02023404732 RCUR FR7617906001129641663834646 </t>
  </si>
  <si>
    <t xml:space="preserve">TEMPORAIRE. ÉCHÉANCE: 08/03/2025 LOA: SKODA SUPERB GJ-472-DK BAILLEUR: </t>
  </si>
  <si>
    <t>BQ51493924</t>
  </si>
  <si>
    <t xml:space="preserve">LIXXBAIL LIXXBAIL FR32ZZZ159484 SEPA VPRDS HOME SOLUTIONS 282922085 EM002116895330349VM0 47757796 330349VM02022384833 RCUR FR7617906001129641663834646 </t>
  </si>
  <si>
    <t xml:space="preserve">TEMPORAIRE. ÉCHÉANCE: 06/04/2025 LOA: RENAULT CLIO FZ-325-SX BAILLEUR: </t>
  </si>
  <si>
    <t>BQ53627852</t>
  </si>
  <si>
    <t xml:space="preserve">LIXXBAIL LIXXBAIL FR32ZZZ159484 SEPA VPRDS HOME SOLUTIONS 285106711 EM002116895378436VM0 47967835 378436VM02023404732 RCUR FR7617906001129641663834646 </t>
  </si>
  <si>
    <t>BQ53766724</t>
  </si>
  <si>
    <t xml:space="preserve">LIXXBAIL LIXXBAIL FR32ZZZ159484 SEPA VPRDS HOME SOLUTIONS 285203049 EM002116895330349VM0 47977341 330349VM02022384833 RCUR FR7617906001129641663834646 </t>
  </si>
  <si>
    <t>BQ55029953</t>
  </si>
  <si>
    <t xml:space="preserve">VIR LIXXBAIL 48124711 250423 LIXXBAIL VPRDS HOME SOLUTIONS EM002116895330349VM0 48124711 48124711 250423 BSUIFRPPXXX EUR200000000079246 </t>
  </si>
  <si>
    <t xml:space="preserve">TEMPORAIRE. ÉCHÉANCE: 06/05/2025 LOA: RENAULT CLIO FZ-325-SX BAILLEUR: </t>
  </si>
  <si>
    <t>BQ56033755</t>
  </si>
  <si>
    <t xml:space="preserve">LIXXBAIL LIXXBAIL FR32ZZZ159484 SEPA VPRDS HOME SOLUTIONS 287136917 EM002116895378436VM0 48178004 378436VM02023404732 RCUR FR7617906001129641663834646 </t>
  </si>
  <si>
    <t xml:space="preserve">TEMPORAIRE. ÉCHÉANCE: 06/06/2025 LOA: RENAULT CLIO FZ-325-SX BAILLEUR: </t>
  </si>
  <si>
    <t>BQ58581245</t>
  </si>
  <si>
    <t xml:space="preserve">LIXXBAIL LIXXBAIL FR32ZZZ159484 SEPA VPRDS HOME SOLUTIONS 289666355 EM002116895378436VM0 48382267 378436VM02023404732 RCUR FR7617906001129641663834646 </t>
  </si>
  <si>
    <t xml:space="preserve">TEMPORAIRE. ÉCHÉANCE: 06/07/2025 LOA: RENAULT CLIO FZ-325-SX BAILLEUR: </t>
  </si>
  <si>
    <t>BQ61261125</t>
  </si>
  <si>
    <t xml:space="preserve">LIXXBAIL LIXXBAIL FR32ZZZ159484 SEPA VPRDS HOME SOLUTIONS 291961064 EM002116895378436VM0 48600005 378436VM02023404732 RCUR FR7617906001129641663834646 </t>
  </si>
  <si>
    <t xml:space="preserve">TEMPORAIRE. ÉCHÉANCE: 06/08/2025 LOA: RENAULT CLIO FZ-325-SX BAILLEUR: </t>
  </si>
  <si>
    <t>BQ64203877</t>
  </si>
  <si>
    <t xml:space="preserve">LIXXBAIL LIXXBAIL FR32ZZZ159484 SEPA VPRDS HOME SOLUTIONS 294383452 EM002116895378436VM0 48813177 378436VM02023404732 RCUR FR7617906001129641663834646 </t>
  </si>
  <si>
    <t xml:space="preserve">TEMPORAIRE. ÉCHÉANCE: 06/09/2025 LOA: RENAULT CLIO FZ-325-SX BAILLEUR: </t>
  </si>
  <si>
    <t>BQ66632541</t>
  </si>
  <si>
    <t xml:space="preserve">LIXXBAIL LIXXBAIL FR32ZZZ159484 SEPA VPRDS HOME SOLUTIONS 296543331 EM002116895378436VM0 49015720 378436VM02023404732 RCUR FR7617906001129641663834646 </t>
  </si>
  <si>
    <t xml:space="preserve">TEMPORAIRE. ÉCHÉANCE: 06/10/2025 LOA: RENAULT CLIO FZ-325-SX BAILLEUR: </t>
  </si>
  <si>
    <t>BQ69291947</t>
  </si>
  <si>
    <t xml:space="preserve">LIXXBAIL LIXXBAIL FR32ZZZ159484 SEPA VPRDS HOME SOLUTIONS 298580339 EM002116895378436VM0 49233800 378436VM02023404732 RCUR FR7617906001129641663834646 </t>
  </si>
  <si>
    <t xml:space="preserve">TEMPORAIRE. ÉCHÉANCE: 06/11/2025 LOA: RENAULT CLIO FZ-325-SX BAILLEUR: </t>
  </si>
  <si>
    <t>BQ72522928</t>
  </si>
  <si>
    <t xml:space="preserve">LIXXBAIL LIXXBAIL FR32ZZZ159484 SEPA VPRDS HOME SOLUTIONS 301136617 EM002116895378436VM0 49448252 378436VM02023404732 RCUR FR7617906001129641663834646 </t>
  </si>
  <si>
    <t xml:space="preserve">TEMPORAIRE. ÉCHÉANCE: 06/12/2025 LOA: RENAULT CLIO FZ-325-SX BAILLEUR: </t>
  </si>
  <si>
    <t>BQ75813678</t>
  </si>
  <si>
    <t xml:space="preserve">LIXXBAIL LIXXBAIL FR32ZZZ159484 SEPA VPRDS HOME SOLUTIONS 303442589 EM002116895378436VM0 49651453 378436VM02023404732 RCUR FR7617906001129641663834646 </t>
  </si>
  <si>
    <t>401LOGEFIM</t>
  </si>
  <si>
    <t>LOGEFIM</t>
  </si>
  <si>
    <t>FAC000214</t>
  </si>
  <si>
    <t>LOGEFIM-LOCATION IMMOBILIÈRE-FACTURE-FAC000214</t>
  </si>
  <si>
    <t>BQ46562049</t>
  </si>
  <si>
    <t xml:space="preserve">WEB LOGEFIM S.A.S. VPRDS HOME SOLUTIONS LOGEFIM S.A.S. VPRDS HOME SOLUTIONS LOYER - LOGEFIM AGRIFRPP879 EUR200000000141800 FR7610207001212321605005253 </t>
  </si>
  <si>
    <t>FAC000222</t>
  </si>
  <si>
    <t>BQ48973339</t>
  </si>
  <si>
    <t>FAC000224</t>
  </si>
  <si>
    <t>BQ51156945</t>
  </si>
  <si>
    <t>FAC000230</t>
  </si>
  <si>
    <t>BQ53627856</t>
  </si>
  <si>
    <t>FAC000235</t>
  </si>
  <si>
    <t>BQ55875119</t>
  </si>
  <si>
    <t>FAC000243</t>
  </si>
  <si>
    <t>BQ58409317</t>
  </si>
  <si>
    <t>FAC000245</t>
  </si>
  <si>
    <t>BQ60977125</t>
  </si>
  <si>
    <t xml:space="preserve">WEB LOGEFIM S.A.S. VPRDS HOME SOLUTIONS LOGEFIM S.A.S. VPRDS HOME SOLUTIONS LOYER VPRDS LE MANS LOCAL COMMER AGRIFRPP879 EUR200000000152600 FR7610207001212321605005253 </t>
  </si>
  <si>
    <t>FAC000255</t>
  </si>
  <si>
    <t>BQ63921852</t>
  </si>
  <si>
    <t>FAC000257</t>
  </si>
  <si>
    <t>BQ66205082</t>
  </si>
  <si>
    <t>20251218103030</t>
  </si>
  <si>
    <t>BQ69142540</t>
  </si>
  <si>
    <t>FAC000270</t>
  </si>
  <si>
    <t>BQ72035717</t>
  </si>
  <si>
    <t>FAC000279</t>
  </si>
  <si>
    <t>BQ75254114</t>
  </si>
  <si>
    <t>401LOYER</t>
  </si>
  <si>
    <t>LOYER</t>
  </si>
  <si>
    <t>20250213135716</t>
  </si>
  <si>
    <t>BQ46562048</t>
  </si>
  <si>
    <t xml:space="preserve">WEB VINCENT PARADIS LOCATION BU S.A.S. VPRDS HOME SOLUTIONS VINCENT PARADIS LOCATION BUREAU LOCATION BUREAU AGRIFRPP879 EUR200000000032200 FR7630087336580003790070772 </t>
  </si>
  <si>
    <t>20250213135733</t>
  </si>
  <si>
    <t>BQ48811467</t>
  </si>
  <si>
    <t>20250417104936</t>
  </si>
  <si>
    <t>BQ51156947</t>
  </si>
  <si>
    <t xml:space="preserve">WEB VINCENT PARADIS CRED LOCATI S.A.S. VPRDS HOME SOLUTIONS VINCENT PARADIS CREDIT LOCATION BUREAU LOCATION BUREAU AGRIFRPP879 EUR200000000032200 FR7617906001129643379654066 </t>
  </si>
  <si>
    <t>20250417104944</t>
  </si>
  <si>
    <t>BQ53627858</t>
  </si>
  <si>
    <t>20250617154003</t>
  </si>
  <si>
    <t>BQ55875121</t>
  </si>
  <si>
    <t>20250617154011</t>
  </si>
  <si>
    <t>BQ58409319</t>
  </si>
  <si>
    <t>20251104094300</t>
  </si>
  <si>
    <t>BQ61261130</t>
  </si>
  <si>
    <t>20251104094324</t>
  </si>
  <si>
    <t>BQ64092182</t>
  </si>
  <si>
    <t>20251023094942</t>
  </si>
  <si>
    <t>BQ66504505</t>
  </si>
  <si>
    <t>20251023094950</t>
  </si>
  <si>
    <t>BQ69291956</t>
  </si>
  <si>
    <t>20251212170323</t>
  </si>
  <si>
    <t>BQ72372591</t>
  </si>
  <si>
    <t>20251212170333</t>
  </si>
  <si>
    <t>BQ75668122</t>
  </si>
  <si>
    <t>401LYRECO</t>
  </si>
  <si>
    <t>LYRECO</t>
  </si>
  <si>
    <t>5660371763</t>
  </si>
  <si>
    <t>LYRECO FRANCE-FOURNITURE ADMINISTRATIVE-FACTURE-5660371763</t>
  </si>
  <si>
    <t>BQ58409321</t>
  </si>
  <si>
    <t xml:space="preserve">CARTE X7179 LYRECO FRANCE MARLY </t>
  </si>
  <si>
    <t>5660378133</t>
  </si>
  <si>
    <t>BQ76114627</t>
  </si>
  <si>
    <t>401MAKEME</t>
  </si>
  <si>
    <t>MAKE ME BEAUTIFUL</t>
  </si>
  <si>
    <t>20250218102658</t>
  </si>
  <si>
    <t>BQ47306880</t>
  </si>
  <si>
    <t xml:space="preserve">CARTE X7179 MAKE ME BEAUTIFUL 7 </t>
  </si>
  <si>
    <t>401MARKET</t>
  </si>
  <si>
    <t>MARKET</t>
  </si>
  <si>
    <t>2025-01-10-08:07:25-86.00</t>
  </si>
  <si>
    <t>BQ47120965</t>
  </si>
  <si>
    <t xml:space="preserve">CARTE X7179 CARREFOUR MARKET LE </t>
  </si>
  <si>
    <t>401MEDIALEX</t>
  </si>
  <si>
    <t>MEDIALEX</t>
  </si>
  <si>
    <t>50361970</t>
  </si>
  <si>
    <t>BQ52920571</t>
  </si>
  <si>
    <t xml:space="preserve">CHEQUE NO 8141404 </t>
  </si>
  <si>
    <t>401META</t>
  </si>
  <si>
    <t>10096159587167719</t>
  </si>
  <si>
    <t>BQ60719879</t>
  </si>
  <si>
    <t xml:space="preserve">CARTE X7179 FACEBK *META VERIFI </t>
  </si>
  <si>
    <t>20251126093105</t>
  </si>
  <si>
    <t>fbads-654-104658101</t>
  </si>
  <si>
    <t>20251121100545</t>
  </si>
  <si>
    <t>BQ61261131</t>
  </si>
  <si>
    <t xml:space="preserve">CARTE X7179 FACEBK *34KMBUGKT2 </t>
  </si>
  <si>
    <t>BQ61261132</t>
  </si>
  <si>
    <t xml:space="preserve">CARTE X7179 FACEBK *TEMP HOLD 6 </t>
  </si>
  <si>
    <t>BQ63643555</t>
  </si>
  <si>
    <t>24355886694101775</t>
  </si>
  <si>
    <t>BQ65951120</t>
  </si>
  <si>
    <t xml:space="preserve">CARTE X7179 METAPAY*META VERIFI </t>
  </si>
  <si>
    <t>BQ68618045</t>
  </si>
  <si>
    <t>24798334939856947</t>
  </si>
  <si>
    <t>BQ71673291</t>
  </si>
  <si>
    <t>24959836797040089</t>
  </si>
  <si>
    <t>401MICROSO</t>
  </si>
  <si>
    <t>FR-TI2500014431</t>
  </si>
  <si>
    <t>BQ46562050</t>
  </si>
  <si>
    <t xml:space="preserve">CARTE X7179 MICROSOFT G07207033 </t>
  </si>
  <si>
    <t>BQ48973341</t>
  </si>
  <si>
    <t xml:space="preserve">CARTE X7179 MICROSOFT-G07617934 </t>
  </si>
  <si>
    <t>fr-ti2500137814</t>
  </si>
  <si>
    <t>fr-ti2500419163</t>
  </si>
  <si>
    <t>BQ53627859</t>
  </si>
  <si>
    <t xml:space="preserve">CARTE X7179 MICROSOFT G08549530 </t>
  </si>
  <si>
    <t>g090134651</t>
  </si>
  <si>
    <t>MICROSOFT FRANCE G0901346511 UNITÉ POWER AUTOMATE PER USER PLAN - ONE-YEAR COMMITMENT FOR MONTHLY YEARLY BILLING (ID 0)</t>
  </si>
  <si>
    <t>BQ56033759</t>
  </si>
  <si>
    <t xml:space="preserve">CARTE X7179 MICROSOFT G09013465 </t>
  </si>
  <si>
    <t>20250709082820</t>
  </si>
  <si>
    <t>BQ58409320</t>
  </si>
  <si>
    <t xml:space="preserve">CARTE X7179 MICROSOFT-G09474350 </t>
  </si>
  <si>
    <t>BQ66504510</t>
  </si>
  <si>
    <t xml:space="preserve">CARTE X7179 MICROSOFT-G11078222 </t>
  </si>
  <si>
    <t>g110782228</t>
  </si>
  <si>
    <t>g115486355</t>
  </si>
  <si>
    <t>BQ68476522</t>
  </si>
  <si>
    <t xml:space="preserve">CARTE X7179 MICROSOFT G11548635 </t>
  </si>
  <si>
    <t>401MICROSOFTFRANCE</t>
  </si>
  <si>
    <t>20250422095230</t>
  </si>
  <si>
    <t>BQ51253952</t>
  </si>
  <si>
    <t xml:space="preserve">CARTE X7179 MICROSOFT G08073562 </t>
  </si>
  <si>
    <t>401MIKIT</t>
  </si>
  <si>
    <t>REDEVANCE INFORMATIQUE  (31/12/2024)</t>
  </si>
  <si>
    <t>REMISE 2024 - SOUTIENT CONTEXTE ECO  (31/12/2024)</t>
  </si>
  <si>
    <t>MIKIT FRANCE-ESPACE PUBLICITAIRE-FACTURE-FI04023 (02/12/2024)</t>
  </si>
  <si>
    <t>FOURNITURES DIVERSES (30/11/2024)</t>
  </si>
  <si>
    <t>FOURNITURES DIVERSES (02/12/2024)</t>
  </si>
  <si>
    <t>PLANS PROJET PLUQUIN  (30/11/2024)</t>
  </si>
  <si>
    <t>PLANS PROJET LEMAIRE (30/11/2024)</t>
  </si>
  <si>
    <t>MODIF 3 ABF ARCHI CONSEIL  (30/11/2024)</t>
  </si>
  <si>
    <t>PLANS PROJET BERNARD (30/11/2024)</t>
  </si>
  <si>
    <t>PLANS PROJET IKIA (30/11/2024)</t>
  </si>
  <si>
    <t>PLANS PROJET FROGER (30/11/2024)</t>
  </si>
  <si>
    <t>MODIF 1 PLU PROJET POULIO (30/11/2024)</t>
  </si>
  <si>
    <t>MODIF 1 PLU PROJET DE FONSECA (30/11/2024)</t>
  </si>
  <si>
    <t>20250422100500</t>
  </si>
  <si>
    <t>20250422100907</t>
  </si>
  <si>
    <t>20250422100945</t>
  </si>
  <si>
    <t>FI04104</t>
  </si>
  <si>
    <t>REDEVANCE CEDREO 2025</t>
  </si>
  <si>
    <t>BQ48410259</t>
  </si>
  <si>
    <t xml:space="preserve">MKT PROMOTION MKT PROMOTION FR38ZZZ645637 SEPA VPRDS HOME SOLUTION 72AI 279909482 T250290000055443 FACT VPRDS HOME SOLUTION 72AIE RCUR FR7617906001129641663834646 </t>
  </si>
  <si>
    <t>27022</t>
  </si>
  <si>
    <t>27024</t>
  </si>
  <si>
    <t>27031</t>
  </si>
  <si>
    <t>27037</t>
  </si>
  <si>
    <t>BQ48701782</t>
  </si>
  <si>
    <t xml:space="preserve">VIR MIKIT FRANCE AVOIR A302006- MIKIT FRANCE VPRDS VPRDS AVOIR A302006-FI04023-FI04029 ET 30 CEPAFRPP751 EUR200000001184189 </t>
  </si>
  <si>
    <t>FI04228</t>
  </si>
  <si>
    <t>BQ50620128</t>
  </si>
  <si>
    <t xml:space="preserve">MIKIT FRANCE MIKIT FRANCE FR74ZZZ498131 SEPA VPRDS HOME SOLUTIONS 72AI 282470077 T250570000427567 FACTURE VPRDS HOME SOLUTIONS 72AIE RCUR FR7617906001129641663834646 </t>
  </si>
  <si>
    <t>BQ50620129</t>
  </si>
  <si>
    <t xml:space="preserve">MKT PROMOTION MKT PROMOTION FR38ZZZ645637 SEPA VPRDS HOME SOLUTION 72AI 282470077 T250570000324109 FACT VPRDS HOME SOLUTION 72AIE RCUR FR7617906001129641663834646 </t>
  </si>
  <si>
    <t>FI04278</t>
  </si>
  <si>
    <t>27181</t>
  </si>
  <si>
    <t>27167</t>
  </si>
  <si>
    <t>27175</t>
  </si>
  <si>
    <t>27173</t>
  </si>
  <si>
    <t>27161</t>
  </si>
  <si>
    <t>BQ52920568</t>
  </si>
  <si>
    <t xml:space="preserve">MIKIT FRANCE MIKIT FRANCE FR74ZZZ498131 SEPA VPRDS HOME SOLUTIONS 72AI 284865211 T250860000315712 FACTURE VPRDS HOME SOLUTIONS 72AIE RCUR FR7617906001129641663834646 </t>
  </si>
  <si>
    <t>BQ52920569</t>
  </si>
  <si>
    <t xml:space="preserve">MKT PROMOTION MKT PROMOTION FR38ZZZ645637 SEPA VPRDS HOME SOLUTION 72AI 284865211 T250860000522837 FACT VPRDS HOME SOLUTION 72AIE RCUR FR7617906001129641663834646 </t>
  </si>
  <si>
    <t>FI04315</t>
  </si>
  <si>
    <t>27345</t>
  </si>
  <si>
    <t>27342</t>
  </si>
  <si>
    <t>BQ55520931</t>
  </si>
  <si>
    <t xml:space="preserve">MIKIT FRANCE MIKIT FRANCE FR74ZZZ498131 SEPA VPRDS HOME SOLUTIONS 72AI 287111632 T251180000035474 FACTURE VPRDS HOME SOLUTIONS 72AIE RCUR FR7617906001129641663834646 </t>
  </si>
  <si>
    <t>BQ55520932</t>
  </si>
  <si>
    <t xml:space="preserve">MKT PROMOTION MKT PROMOTION FR38ZZZ645637 SEPA VPRDS HOME SOLUTION 72AI 287111632 T251180000035230 FACT VPRDS HOME SOLUTION 72AIE RCUR FR7617906001129641663834646 </t>
  </si>
  <si>
    <t>27511</t>
  </si>
  <si>
    <t>27518</t>
  </si>
  <si>
    <t>27502</t>
  </si>
  <si>
    <t>FI04404</t>
  </si>
  <si>
    <t>BQ57645710</t>
  </si>
  <si>
    <t xml:space="preserve">MIKIT FRANCE MIKIT FRANCE FR74ZZZ498131 SEPA VPRDS HOME SOLUTIONS 72AI 289271620 T251460000222733 FACTURE VPRDS HOME SOLUTIONS 72AIE RCUR FR7617906001129641663834646 </t>
  </si>
  <si>
    <t>BQ57645711</t>
  </si>
  <si>
    <t xml:space="preserve">MKT PROMOTION MKT PROMOTION FR38ZZZ645637 SEPA VPRDS HOME SOLUTION 72AI 289271620 T251460000221019 FACT VPRDS HOME SOLUTION 72AIE RCUR FR7617906001129641663834646 </t>
  </si>
  <si>
    <t>BQ60308956</t>
  </si>
  <si>
    <t xml:space="preserve">MKT PROMOTION MKT PROMOTION FR38ZZZ645637 SEPA VPRDS HOME SOLUTION 72AI 291723900 T251770000327161 FACT VPRDS HOME SOLUTION 72AIE RCUR FR7617906001129641663834646 </t>
  </si>
  <si>
    <t>BQ60308957</t>
  </si>
  <si>
    <t>MIKIT FRANCE MIKIT FRANCE FR74ZZZ498131 SEPA VPRDS HOME SOLUTIONS/ FACTURE N°FI04404</t>
  </si>
  <si>
    <t>20250903072227</t>
  </si>
  <si>
    <t>REDEVANCE INFORMATIQUE</t>
  </si>
  <si>
    <t>27654</t>
  </si>
  <si>
    <t>20250923142529</t>
  </si>
  <si>
    <t>20250923142757</t>
  </si>
  <si>
    <t>27649</t>
  </si>
  <si>
    <t>27647</t>
  </si>
  <si>
    <t>27645</t>
  </si>
  <si>
    <t>27655</t>
  </si>
  <si>
    <t>27636</t>
  </si>
  <si>
    <t>27635</t>
  </si>
  <si>
    <t>27858</t>
  </si>
  <si>
    <t>27800</t>
  </si>
  <si>
    <t>27798</t>
  </si>
  <si>
    <t>27867</t>
  </si>
  <si>
    <t>27808</t>
  </si>
  <si>
    <t>27802</t>
  </si>
  <si>
    <t>BQ63525016</t>
  </si>
  <si>
    <t xml:space="preserve">MKT PROMOTION MKT PROMOTION FR38ZZZ645637 SEPA VPRDS HOME SOLUTION 72AI 294119168 T252100000066450 FACT VPRDS HOME SOLUTION 72AIE RCUR FR7617906001129641663834646 </t>
  </si>
  <si>
    <t>28087</t>
  </si>
  <si>
    <t>28091</t>
  </si>
  <si>
    <t>28072</t>
  </si>
  <si>
    <t>28069</t>
  </si>
  <si>
    <t>28089</t>
  </si>
  <si>
    <t>28076</t>
  </si>
  <si>
    <t>28084</t>
  </si>
  <si>
    <t>28079</t>
  </si>
  <si>
    <t>28066</t>
  </si>
  <si>
    <t>28068</t>
  </si>
  <si>
    <t>BQ65804545</t>
  </si>
  <si>
    <t xml:space="preserve">MKT PROMOTION MKT PROMOTION FR38ZZZ645637 SEPA VPRDS HOME SOLUTION 72AI 296304081 T252400000191184 FACT VPRDS HOME SOLUTION 72AIE RCUR FR7617906001129641663834646 </t>
  </si>
  <si>
    <t>BQ65804546</t>
  </si>
  <si>
    <t xml:space="preserve">MIKIT FRANCE MIKIT FRANCE FR74ZZZ498131 SEPA VPRDS HOME SOLUTIONS 72AI 296304081 T252400000190418 FACTURE VPRDS HOME SOLUTIONS 72AIE RCUR FR7617906001129641663834646 </t>
  </si>
  <si>
    <t>FI04669</t>
  </si>
  <si>
    <t>28195</t>
  </si>
  <si>
    <t>20251121164322</t>
  </si>
  <si>
    <t>MIKIT HUET/BUTET - FRAIS DE DOSSIER RGLT</t>
  </si>
  <si>
    <t>BQ68476520</t>
  </si>
  <si>
    <t xml:space="preserve">MKT PROMOTION MKT PROMOTION FR38ZZZ645637 SEPA VPRDS HOME SOLUTION 72AI 298448837 T252690000607964 FACT VPRDS HOME SOLUTION 72AIE RCUR FR7617906001129641663834646 </t>
  </si>
  <si>
    <t>28328</t>
  </si>
  <si>
    <t>28336</t>
  </si>
  <si>
    <t>28249</t>
  </si>
  <si>
    <t>FI04697</t>
  </si>
  <si>
    <t>BQ71673287</t>
  </si>
  <si>
    <t xml:space="preserve">MIKIT FRANCE MIKIT FRANCE FR74ZZZ498131 SEPA VPRDS HOME SOLUTIONS 72AI 301003310 T253020000501641 FACTURE VPRDS HOME SOLUTIONS 72AIE RCUR FR7617906001129641663834646 </t>
  </si>
  <si>
    <t>FI04754</t>
  </si>
  <si>
    <t>FI04765</t>
  </si>
  <si>
    <t>28500</t>
  </si>
  <si>
    <t>28495</t>
  </si>
  <si>
    <t>28505</t>
  </si>
  <si>
    <t>28499</t>
  </si>
  <si>
    <t>28506</t>
  </si>
  <si>
    <t>28509</t>
  </si>
  <si>
    <t>28508</t>
  </si>
  <si>
    <t>BQ74688766</t>
  </si>
  <si>
    <t xml:space="preserve">MKT PROMOTION MKT PROMOTION FR38ZZZ645637 SEPA VPRDS HOME SOLUTION 72AI 303163774 T253310000696246 FACT VPRDS HOME SOLUTION 72AIE RCUR FR7617906001129641663834646 </t>
  </si>
  <si>
    <t>BQ74688767</t>
  </si>
  <si>
    <t xml:space="preserve">MIKIT FRANCE MIKIT FRANCE FR74ZZZ498131 SEPA VPRDS HOME SOLUTIONS 72AI 303163774 T253310000697231 FACTURE VPRDS HOME SOLUTIONS 72AIE RCUR FR7617906001129641663834646 </t>
  </si>
  <si>
    <t>FI04798</t>
  </si>
  <si>
    <t>FI04860</t>
  </si>
  <si>
    <t>BQ77837618</t>
  </si>
  <si>
    <t xml:space="preserve">MIKIT FRANCE MIKIT FRANCE FR74ZZZ498131 SEPA VPRDS HOME SOLUTIONS 72AI 305361872 T253580001156754 FACTURE VPRDS HOME SOLUTIONS 72AIE RCUR FR7617906001129641663834646 </t>
  </si>
  <si>
    <t>BQ77837619</t>
  </si>
  <si>
    <t xml:space="preserve">MKT PROMOTION MKT PROMOTION FR38ZZZ645637 SEPA VPRDS HOME SOLUTION 72AI 305361872 T253580000732302 FACT VPRDS HOME SOLUTION 72AIE RCUR FR7617906001129641663834646 </t>
  </si>
  <si>
    <t>FI04909</t>
  </si>
  <si>
    <t>401MKT01</t>
  </si>
  <si>
    <t>MIKIT RENARD</t>
  </si>
  <si>
    <t>MIKIT RENARD REDEVANCES PUB NAT MIKIT (30/06/2024)</t>
  </si>
  <si>
    <t>26931</t>
  </si>
  <si>
    <t>MIKIT SOUS TRAITANCE - RENARD</t>
  </si>
  <si>
    <t>26957</t>
  </si>
  <si>
    <t>SOUS TRAITANCE HONORAIRES MIKIT - RENARD</t>
  </si>
  <si>
    <t>20250213171204</t>
  </si>
  <si>
    <t>MIKIT RENARD - PAIEMENT SOUS TRAIATNCE</t>
  </si>
  <si>
    <t>MIKIT RENARD - PAIMENT HONORAIRES MIKIT</t>
  </si>
  <si>
    <t>MIKIT RENARD - PAIEMENT REDEVANCE PUB</t>
  </si>
  <si>
    <t>401MKT011</t>
  </si>
  <si>
    <t>MIKIT MAWEZE KIMBA</t>
  </si>
  <si>
    <t>MIKIT REDEVANCES PUB NAT MIKIT (31/08/2024)</t>
  </si>
  <si>
    <t>27234</t>
  </si>
  <si>
    <t>MIKIT SOUS TRAITANCE - MAWEZE KIMBA</t>
  </si>
  <si>
    <t>27227</t>
  </si>
  <si>
    <t>20250417130701</t>
  </si>
  <si>
    <t>MAWEZE - REDEVANCE</t>
  </si>
  <si>
    <t>20250417130839</t>
  </si>
  <si>
    <t>MAWEZE - HONORAIRE</t>
  </si>
  <si>
    <t>20250417130930</t>
  </si>
  <si>
    <t>VIR SOLDE ST1</t>
  </si>
  <si>
    <t>401MKT013</t>
  </si>
  <si>
    <t>MIKIT KONG/ DARY LUY</t>
  </si>
  <si>
    <t>MIKIT KONG/ DARY LUY REDEVANCES FONCT. MIKIT (31/08/2024)</t>
  </si>
  <si>
    <t>27081</t>
  </si>
  <si>
    <t>MIKIT SOUS TRAITANCE - KING/LUY</t>
  </si>
  <si>
    <t>27082</t>
  </si>
  <si>
    <t>MIKIT SOUS TRAITANCE - KING LUY</t>
  </si>
  <si>
    <t>transfer-20-03-2025</t>
  </si>
  <si>
    <t>HONON + REDEVANCE</t>
  </si>
  <si>
    <t>401MKT014</t>
  </si>
  <si>
    <t>MIKIT ZAI</t>
  </si>
  <si>
    <t>MIKIT FRANCE-SERVICE COMMERCIAL-FACTURE-F623750 (31/10/2024)</t>
  </si>
  <si>
    <t>27546</t>
  </si>
  <si>
    <t>MKT PROMOTION-MATERIAU DE CONSTRUCTION-FACTURE-27546</t>
  </si>
  <si>
    <t>27548</t>
  </si>
  <si>
    <t>MKT PROMOTION-TRAVAUX DU BATIMENT-FACTURE-27548</t>
  </si>
  <si>
    <t>20250617102453</t>
  </si>
  <si>
    <t>MIKIT ZAI - PAIMENT REDEVANCE PUB</t>
  </si>
  <si>
    <t>20250617102611</t>
  </si>
  <si>
    <t>MIKIT ZAI - PAIMENT SOUS-TRAITANCE</t>
  </si>
  <si>
    <t>20250617102641</t>
  </si>
  <si>
    <t>MIKIT ZAI - PAIMENT HONORAIRES MIKIT</t>
  </si>
  <si>
    <t>401MKT015</t>
  </si>
  <si>
    <t>MIKIT SEGOUIN</t>
  </si>
  <si>
    <t>RDEVANCE PUBLICITE OCTOBRE 2024 - SEGOUIN (04/11/2024)</t>
  </si>
  <si>
    <t>27901</t>
  </si>
  <si>
    <t>SOUS TRIATANCE HONO MKT - CHANTIER SEGOUIN</t>
  </si>
  <si>
    <t>27898</t>
  </si>
  <si>
    <t>SOUS TRAITANCE FACTURE ST1 - CHANTIER SEGOUIN</t>
  </si>
  <si>
    <t>20250924095935</t>
  </si>
  <si>
    <t>MIKIT FROGER PAULINE - PAIEMENT REDEVANCE PUB</t>
  </si>
  <si>
    <t>20250924100021</t>
  </si>
  <si>
    <t>MIKIT FROGER PAULINE - PAIEMENT HONO MKT</t>
  </si>
  <si>
    <t>20250924100042</t>
  </si>
  <si>
    <t>MIKIT FROGER PAULINE - PAIEMENT FACTURE ST1</t>
  </si>
  <si>
    <t>27948</t>
  </si>
  <si>
    <t>SOUS TRAITANCE FACTURE ST1 - CHANTIER SEGOUIN/ AVOIR PORTE DE GARAGE</t>
  </si>
  <si>
    <t>20250924100103</t>
  </si>
  <si>
    <t>MIKIT FROGER PAULINE - PAIEMENT FACTURE ST2</t>
  </si>
  <si>
    <t>401MKT016</t>
  </si>
  <si>
    <t>MUKIT FURIA</t>
  </si>
  <si>
    <t>MUKIT FURIA (31/12/2024)</t>
  </si>
  <si>
    <t>20250313094414</t>
  </si>
  <si>
    <t>MIKIT / PAIEMENT REDEVANCE</t>
  </si>
  <si>
    <t>27704</t>
  </si>
  <si>
    <t>MKT FURIA / HONO SOUS TRAITANCE</t>
  </si>
  <si>
    <t>27700</t>
  </si>
  <si>
    <t>MKT FURIA - SOUS TRAITANCE FACTURE CHANTIER</t>
  </si>
  <si>
    <t>20250708083126</t>
  </si>
  <si>
    <t>MIKIT FURIA - PAIMENT SOUS-TRAITANCE</t>
  </si>
  <si>
    <t>20250708083232</t>
  </si>
  <si>
    <t>MIKIT FURIA - PAIMENT REDEVANCE PUB</t>
  </si>
  <si>
    <t>20250708083328</t>
  </si>
  <si>
    <t>MIKIT FURIA - PAIMENT HONORAIRES MIKIT</t>
  </si>
  <si>
    <t>401MKT017</t>
  </si>
  <si>
    <t>MIKIT ATTANE</t>
  </si>
  <si>
    <t>MIKIT ATTANE (31/12/2024)</t>
  </si>
  <si>
    <t>20250218093647</t>
  </si>
  <si>
    <t>MIKIT ATTANE - PAIEMENT REDEVANCE</t>
  </si>
  <si>
    <t>27387</t>
  </si>
  <si>
    <t>MKT PROMOTION-TRAVAUX DU BATIMENT-FACTURE-27387</t>
  </si>
  <si>
    <t>27382</t>
  </si>
  <si>
    <t>MKT PROMOTION- SOUS TRAITANCE</t>
  </si>
  <si>
    <t>20250521121157</t>
  </si>
  <si>
    <t>MIKIT ATTANE - PAIMENT HONORAIRES MIKIT</t>
  </si>
  <si>
    <t>20250521121402</t>
  </si>
  <si>
    <t>MIKIT ATTANE - PAIMENT SOUS-TRAITANCE</t>
  </si>
  <si>
    <t>20250521121425</t>
  </si>
  <si>
    <t>MIKIT ATTANE - PAIMENT REDEVANCE PUB</t>
  </si>
  <si>
    <t>401MKT018</t>
  </si>
  <si>
    <t>CHANTIER MENAGE / LEPETIT</t>
  </si>
  <si>
    <t>F623879</t>
  </si>
  <si>
    <t>REDEVANCE PUBLICITE LEPETIT - MENAGE</t>
  </si>
  <si>
    <t>F239451</t>
  </si>
  <si>
    <t>REDEVANCE MIKIT LEPTIT / MENAGE</t>
  </si>
  <si>
    <t>20250313093818</t>
  </si>
  <si>
    <t>MIKIT MENAGE / PAIEMENT REDEVANCE</t>
  </si>
  <si>
    <t>SOLDE REDEVANCE PUBN MENAGE</t>
  </si>
  <si>
    <t>20250826101201</t>
  </si>
  <si>
    <t>HONORAIRES MKT MENAGE</t>
  </si>
  <si>
    <t>20250826101322</t>
  </si>
  <si>
    <t>SOUS TRAITANCE CHANTIER MENAGE</t>
  </si>
  <si>
    <t>FACTURE MENAGE</t>
  </si>
  <si>
    <t>401MKT019</t>
  </si>
  <si>
    <t>MIKIT RENARD DORIAN</t>
  </si>
  <si>
    <t>F239526</t>
  </si>
  <si>
    <t>REDEVANCE MIKIT RENARD DORIAN</t>
  </si>
  <si>
    <t>F623911</t>
  </si>
  <si>
    <t>REDEVANCE PUB MKT RENARD DORIAN</t>
  </si>
  <si>
    <t>20250417090251</t>
  </si>
  <si>
    <t>MIKIT RENARD DORIAN - PAIEMENT REDEVANCE</t>
  </si>
  <si>
    <t>20250708090819</t>
  </si>
  <si>
    <t>MIKIT RENARD DORIAN - PAIMENT SOUS-TRAITANCE</t>
  </si>
  <si>
    <t>20250708090852</t>
  </si>
  <si>
    <t>MIKIT RENARD DORIAN - PAIMENT HONORAIRES MIKIT</t>
  </si>
  <si>
    <t>20250708090921</t>
  </si>
  <si>
    <t>MIKIT RENARD DORIAN - PAIMENT REDEVANCE PUB</t>
  </si>
  <si>
    <t>20250903070351</t>
  </si>
  <si>
    <t>MIKIT RENARD DORIAN HONORAIRE MKT</t>
  </si>
  <si>
    <t>20250903070634</t>
  </si>
  <si>
    <t>MIKIT RENARD DORIAN SOUS TRAITANCE</t>
  </si>
  <si>
    <t>401MKT02</t>
  </si>
  <si>
    <t>MIKIT FORGER PAULINE</t>
  </si>
  <si>
    <t>F623968</t>
  </si>
  <si>
    <t>REDEVANCE PUB MIKIT FROGER</t>
  </si>
  <si>
    <t>F239617</t>
  </si>
  <si>
    <t>REDEVANCE DE FONCTIONNEMENT MIKIT - FROGER</t>
  </si>
  <si>
    <t>20250521124615</t>
  </si>
  <si>
    <t>MIKIT FROGER PAULINE - PAIEMENT REDEVANCE</t>
  </si>
  <si>
    <t>27913</t>
  </si>
  <si>
    <t>SOUS TRAITANCE FACTURES ST1 - CHANTIER FROGER</t>
  </si>
  <si>
    <t>27931</t>
  </si>
  <si>
    <t>SOUS TRAITANCE HONORIARES MKT - CHANTIER FROGER</t>
  </si>
  <si>
    <t>20250924081409</t>
  </si>
  <si>
    <t>20250924081431</t>
  </si>
  <si>
    <t>MIKIT FROGER PAULINE - PAIEMENT HONO MIKIT</t>
  </si>
  <si>
    <t>20250924081456</t>
  </si>
  <si>
    <t>401MKT021</t>
  </si>
  <si>
    <t>MIKIT GENOT MYLENE</t>
  </si>
  <si>
    <t>F624002</t>
  </si>
  <si>
    <t>REDEVANCE PUB MIKIT GENOT MYLENE</t>
  </si>
  <si>
    <t>F239696</t>
  </si>
  <si>
    <t>REDEVANCES FONCT. MIKIT - GENOT MYLENE</t>
  </si>
  <si>
    <t>FI04384</t>
  </si>
  <si>
    <t>REDEVANCE MIKIT GENOT</t>
  </si>
  <si>
    <t>FI04444</t>
  </si>
  <si>
    <t xml:space="preserve">MIKIT FRANCE MIKIT FRANCE FR74ZZZ498131 SEPA VPRDS HOME SOLUTIONS 72AI 291723900 T251770000096313 FACTURE VPRDS HOME SOLUTIONS 72AIE RCUR FR7617906001129641663834646 </t>
  </si>
  <si>
    <t>BQ63525015</t>
  </si>
  <si>
    <t xml:space="preserve">MIKIT FRANCE MIKIT FRANCE FR74ZZZ498131 SEPA VPRDS HOME SOLUTIONS 72AI 294119168 T252100000067208 FACTURE VPRDS HOME SOLUTIONS 72AIE RCUR FR7617906001129641663834646 </t>
  </si>
  <si>
    <t>28209</t>
  </si>
  <si>
    <t>SOUS TRAITANCE FACTURE ST1 - CHANTIER GENOT</t>
  </si>
  <si>
    <t>28216</t>
  </si>
  <si>
    <t>SOUS TRAITANCE HONO MKT - GENOT</t>
  </si>
  <si>
    <t>20251121153849</t>
  </si>
  <si>
    <t>MIKIT GENOT - PAIMENT REDEVANCE PUB</t>
  </si>
  <si>
    <t>20251121154016</t>
  </si>
  <si>
    <t>MIKIT GENOT - PAIMENT HONORAIRES MIKIT</t>
  </si>
  <si>
    <t>20251121154101</t>
  </si>
  <si>
    <t>MIKIT GENOT - PAIMENT SOUS-TRAITANCE ST1</t>
  </si>
  <si>
    <t>401MKT022</t>
  </si>
  <si>
    <t>MIKIT OUVRARD/CORDOLA</t>
  </si>
  <si>
    <t>F624003</t>
  </si>
  <si>
    <t>MIKIT FRANCE-SERVICE COMMERCIAL-FACTURE-F624003</t>
  </si>
  <si>
    <t>F239697</t>
  </si>
  <si>
    <t>MIKIT FRANCE-REDEVANCE-FACTURE-F239697</t>
  </si>
  <si>
    <t>20250617085002</t>
  </si>
  <si>
    <t>MIKIT OUVRARD/CORDOLA/ PAIEMENT REDEVANCE</t>
  </si>
  <si>
    <t>28604</t>
  </si>
  <si>
    <t>MKT PROMOTION-TRAVAUX DU BATIMENT-FACTURE-28604</t>
  </si>
  <si>
    <t>28608</t>
  </si>
  <si>
    <t>MKT PROMOTION-TRAVAUX DU BATIMENT-FACTURE-28608</t>
  </si>
  <si>
    <t>20251212150413</t>
  </si>
  <si>
    <t>MIKIT OUVRARD/CORDOLA - PAIMENT REDEVANCE PUB</t>
  </si>
  <si>
    <t>20251212150522</t>
  </si>
  <si>
    <t>OUVRARD/CORDOLA  - PAIMENT SOUS-TRAITANCE</t>
  </si>
  <si>
    <t>20251212150733</t>
  </si>
  <si>
    <t>MIKIT OUVRARD/CORDOLA - PAIMENT FACT ST1</t>
  </si>
  <si>
    <t>401MKT023</t>
  </si>
  <si>
    <t>MIKIT SAID/ADAME</t>
  </si>
  <si>
    <t>F239771</t>
  </si>
  <si>
    <t>MIKIT FRANCE-REDEVANCE-FACTURE-F239771</t>
  </si>
  <si>
    <t>F624031</t>
  </si>
  <si>
    <t>MIKIT FRANCE-SERVICE COMMERCIAL-FACTURE-F624031</t>
  </si>
  <si>
    <t>20250617095041</t>
  </si>
  <si>
    <t>MIKIT SAID/ADAME - PAIEMENT REDEVANCE</t>
  </si>
  <si>
    <t>28762</t>
  </si>
  <si>
    <t>MKT PROMOTION-TRAVAUX DU BATIMENT-FACTURE-28762</t>
  </si>
  <si>
    <t>28761</t>
  </si>
  <si>
    <t>MKT PROMOTION-TRAVAUX DU BATIMENT-FACTURE-28761</t>
  </si>
  <si>
    <t>20260121154050</t>
  </si>
  <si>
    <t>MIKIT ADAME - PAIEMENT FACTURE ST1</t>
  </si>
  <si>
    <t>20260121154221</t>
  </si>
  <si>
    <t>MIKIT ADAME - PAIEMENT REDEVANCE PUB</t>
  </si>
  <si>
    <t>20260121154313</t>
  </si>
  <si>
    <t>MIKIT ADAME - PAIEMENT HONO MKT</t>
  </si>
  <si>
    <t>401MKT024</t>
  </si>
  <si>
    <t>MIKIT / DIALLO</t>
  </si>
  <si>
    <t>F239772</t>
  </si>
  <si>
    <t>MIKIT FRANCE-REDEVANCE-FACTURE-F239772</t>
  </si>
  <si>
    <t>F624030</t>
  </si>
  <si>
    <t>MIKIT FRANCE/ DIALLO REDEVANCE PUB</t>
  </si>
  <si>
    <t>20250708074546</t>
  </si>
  <si>
    <t>28791</t>
  </si>
  <si>
    <t>MKT PROMOTION-TRAVAUX DU BATIMENT-FACTURE-28791</t>
  </si>
  <si>
    <t>28792</t>
  </si>
  <si>
    <t>MKT PROMOTION-TRAVAUX DU BATIMENT-FACTURE-28792</t>
  </si>
  <si>
    <t>20260216101511</t>
  </si>
  <si>
    <t>MIKIT DIALLO - PAIEMENT HONO MKT</t>
  </si>
  <si>
    <t>20260216101640</t>
  </si>
  <si>
    <t>MIKIT DIALLO - PAIEMENT REDEVANCE PUB</t>
  </si>
  <si>
    <t>20260216101734</t>
  </si>
  <si>
    <t>MIKIT DIALLO - FACTURE ST1</t>
  </si>
  <si>
    <t>401MKT025</t>
  </si>
  <si>
    <t>PAULIO</t>
  </si>
  <si>
    <t>20250826145909</t>
  </si>
  <si>
    <t>REDEVANCE MKT POULIO</t>
  </si>
  <si>
    <t>20250826145958</t>
  </si>
  <si>
    <t>REDEVANCE PUB POULIO</t>
  </si>
  <si>
    <t>REDEVANCE POULIO</t>
  </si>
  <si>
    <t>28394</t>
  </si>
  <si>
    <t>MKT PROMOTION-TRAVAUX DU BATIMENT-FACTURE-28394/ POULIO</t>
  </si>
  <si>
    <t>28403</t>
  </si>
  <si>
    <t>MKT PROMOTION-TRAVAUX DU BATIMENT-FACTURE-28403/ POULIO</t>
  </si>
  <si>
    <t>20251121172139</t>
  </si>
  <si>
    <t>20251121172239</t>
  </si>
  <si>
    <t>HONO MIKIT POULIO</t>
  </si>
  <si>
    <t>20251121172301</t>
  </si>
  <si>
    <t>FACT ST1 POULIO</t>
  </si>
  <si>
    <t>401MKT026</t>
  </si>
  <si>
    <t>MIKIT BERNARD</t>
  </si>
  <si>
    <t>20250924104039</t>
  </si>
  <si>
    <t>MIKIT BERNARD REDEVANCE PUB</t>
  </si>
  <si>
    <t>20250924104150</t>
  </si>
  <si>
    <t>MIKIT BERNARD / REDEVANCE NATIONALE</t>
  </si>
  <si>
    <t>transfer-18-02-2026</t>
  </si>
  <si>
    <t>REDEVANCE MIKIT BERNARD</t>
  </si>
  <si>
    <t>401MKT027</t>
  </si>
  <si>
    <t>MIKIT PLUQUIN</t>
  </si>
  <si>
    <t>F624122</t>
  </si>
  <si>
    <t>MIKIT PLUQUIN - REDEVANCE PUB</t>
  </si>
  <si>
    <t>F239929</t>
  </si>
  <si>
    <t xml:space="preserve">MIKIT PLUQIN - REDEVANCE </t>
  </si>
  <si>
    <t>20260121152504</t>
  </si>
  <si>
    <t>REDEVANCE MIKIT PLUQUIN</t>
  </si>
  <si>
    <t>401MKT028</t>
  </si>
  <si>
    <t>MIKIT HUET/BUTET</t>
  </si>
  <si>
    <t>F624121</t>
  </si>
  <si>
    <t>REDEVANCE PUB MIKIT - HUET/BUTET</t>
  </si>
  <si>
    <t>F239928</t>
  </si>
  <si>
    <t>REDEVANCE MIKIT HUET/BUTET</t>
  </si>
  <si>
    <t>20251121150037</t>
  </si>
  <si>
    <t>MIKIT HUET/BUTET - PAIEMENT REDEVANCE</t>
  </si>
  <si>
    <t>401MKT029</t>
  </si>
  <si>
    <t>MIKIT - TILLIER/PECQUEUR</t>
  </si>
  <si>
    <t>F239990</t>
  </si>
  <si>
    <t>MIKIT FRANCE-REDEVANCE-FACTURE-F239990</t>
  </si>
  <si>
    <t>F624138</t>
  </si>
  <si>
    <t>MIKIT FRANCE-SERVICE COMMERCIAL-FACTURE-F624138</t>
  </si>
  <si>
    <t>REDEVANCE MIKIT TILLIER</t>
  </si>
  <si>
    <t>401MKT031</t>
  </si>
  <si>
    <t>MIKIT - CHAFIOL</t>
  </si>
  <si>
    <t>F624263</t>
  </si>
  <si>
    <t>MIKIT FRANCE-SERVICE COMMERCIAL-FACTURE-F624263</t>
  </si>
  <si>
    <t>F240190</t>
  </si>
  <si>
    <t>MIKIT FRANCE-REDEVANCE-FACTURE-F240190</t>
  </si>
  <si>
    <t>20260218153641</t>
  </si>
  <si>
    <t xml:space="preserve">MIKIT CHAFIOL - PAIMENT REDEVANCE </t>
  </si>
  <si>
    <t>401MKT032</t>
  </si>
  <si>
    <t>MIKIT - HUGOU</t>
  </si>
  <si>
    <t>F239927</t>
  </si>
  <si>
    <t>MIKIT FRANCE-REDEVANCE-FACTURE-F239927</t>
  </si>
  <si>
    <t>F624123</t>
  </si>
  <si>
    <t>MIKIT FRANCE-SERVICE COMMERCIAL-FACTURE-F624123</t>
  </si>
  <si>
    <t>20260218143523</t>
  </si>
  <si>
    <t>REDEVANCE MIKIT HUGOU</t>
  </si>
  <si>
    <t>401MKT033</t>
  </si>
  <si>
    <t>MIKIT - PARTAUD</t>
  </si>
  <si>
    <t>F240191</t>
  </si>
  <si>
    <t>MIKIT FRANCE-REDEVANCE-FACTURE-F240191</t>
  </si>
  <si>
    <t>F624260</t>
  </si>
  <si>
    <t>MIKIT FRANCE-SERVICE COMMERCIAL-FACTURE-F624260</t>
  </si>
  <si>
    <t>transfer-16-03-2026</t>
  </si>
  <si>
    <t>PAIMENT REDEVANCE MIKIT</t>
  </si>
  <si>
    <t>401MKT035</t>
  </si>
  <si>
    <t>MIKIT PROTIN/SUBRANNE</t>
  </si>
  <si>
    <t>F240193</t>
  </si>
  <si>
    <t>MIKIT FRANCE-REDEVANCE-FACTURE-F240193</t>
  </si>
  <si>
    <t>F624262</t>
  </si>
  <si>
    <t>MIKIT FRANCE-SERVICE COMMERCIAL-FACTURE-F624262</t>
  </si>
  <si>
    <t>20251212133817</t>
  </si>
  <si>
    <t>REDEVANCE MIKIT PROTIN/SUBRANNE</t>
  </si>
  <si>
    <t>401MKT036</t>
  </si>
  <si>
    <t>MIKIT THINARD/JOURNAUX</t>
  </si>
  <si>
    <t>F624322</t>
  </si>
  <si>
    <t>MIKIT FRANCE-SERVICE COMMERCIAL-FACTURE-F624322</t>
  </si>
  <si>
    <t>F240284</t>
  </si>
  <si>
    <t>MIKIT FRANCE-REDEVANCE-FACTURE-F240284</t>
  </si>
  <si>
    <t>20251212134550</t>
  </si>
  <si>
    <t>REDEVANCE MIKIT THINARD/JOURNAUX</t>
  </si>
  <si>
    <t>401MKT037</t>
  </si>
  <si>
    <t>MIKIT BIGARET/CHENIOUR</t>
  </si>
  <si>
    <t>F624261</t>
  </si>
  <si>
    <t>MIKIT FRANCE-SERVICE COMMERCIAL-FACTURE-F624261</t>
  </si>
  <si>
    <t>F240192</t>
  </si>
  <si>
    <t>MIKIT FRANCE-REDEVANCE-FACTURE-F240192</t>
  </si>
  <si>
    <t>20251212140449</t>
  </si>
  <si>
    <t>MIKIT BIGARET/CHENIOUR - PAIEMENT REDEVANCE</t>
  </si>
  <si>
    <t>401MKT038</t>
  </si>
  <si>
    <t>MIKIT - CARDOSO</t>
  </si>
  <si>
    <t>F240285</t>
  </si>
  <si>
    <t>MIKIT FRANCE-REDEVANCE-FACTURE-F240285</t>
  </si>
  <si>
    <t>F624320</t>
  </si>
  <si>
    <t>MIKIT FRANCE-SERVICE COMMERCIAL-FACTURE-F624320</t>
  </si>
  <si>
    <t>20260121145322</t>
  </si>
  <si>
    <t>REDEVANCE MIKIT CARDOSO</t>
  </si>
  <si>
    <t>401MKT039</t>
  </si>
  <si>
    <t>MIKIT - MOREAU</t>
  </si>
  <si>
    <t>F240286</t>
  </si>
  <si>
    <t>MIKIT FRANCE-REDEVANCE-FACTURE-F240286</t>
  </si>
  <si>
    <t>F624321</t>
  </si>
  <si>
    <t>MIKIT FRANCE-SERVICE COMMERCIAL-FACTURE-F624321</t>
  </si>
  <si>
    <t>401NDF</t>
  </si>
  <si>
    <t>Note de frais</t>
  </si>
  <si>
    <t>BQ46287790</t>
  </si>
  <si>
    <t xml:space="preserve">VIR INST VERS VINCENT PARADIS S.A.S. VPRDS HOME SOLUTIONS VINCENT PARADIS NOTE DE FRAIS MIKIT DEC 24 NOTE DE FRAIS V PARADIS DEC 24 8F611FFC06CD4982A069126306D8E2B9 FR7630087336580003790070772 </t>
  </si>
  <si>
    <t>VOITURE PERSO - NDF N.BOUQUET 1646KM (31/12/2024)</t>
  </si>
  <si>
    <t>REPAS DE NOEL  (31/12/2024)</t>
  </si>
  <si>
    <t>BQ46432015</t>
  </si>
  <si>
    <t xml:space="preserve">WEB NADEGE BOUQUET NOTE DE FRAI VPRDS HOME SOLUTIONS NADEGE BOUQUET NOTE DE FRAIS MIKIT DEC 24 NOTE DE FRAIS BOUQUET DEC 24 AGRIFRPP879 EUR200000000099748 FR7614445004000439250717608 </t>
  </si>
  <si>
    <t>n117032.44890</t>
  </si>
  <si>
    <t>103</t>
  </si>
  <si>
    <t>2025-01-24-112.80</t>
  </si>
  <si>
    <t>20250213132826</t>
  </si>
  <si>
    <t>19</t>
  </si>
  <si>
    <t>20250213132306</t>
  </si>
  <si>
    <t>BQ48701785</t>
  </si>
  <si>
    <t xml:space="preserve">VIR INST VERS VINCENT PARADIS S.A.S. VPRDS HOME SOLUTIONS VINCENT PARADIS NOTE DE FRAIS VP JAN 25 11892222A24A446FB69219536D790B27 FR7630087336580003790070772 </t>
  </si>
  <si>
    <t>BQ49083306</t>
  </si>
  <si>
    <t xml:space="preserve">VIR INST VERS NADEGE BOUQUET S.A.S. VPRDS HOME SOLUTIONS NADEGE BOUQUET NOTES DE FRAIS NB JAN 25 A912533DAF7B49BAA72593E44C5D26E6 FR7614445004000439250717608 </t>
  </si>
  <si>
    <t>BQ49083307</t>
  </si>
  <si>
    <t xml:space="preserve">VIR INST VERS ANAIS LAMARD S.A.S. VPRDS HOME SOLUTIONS ANAIS LAMARD NOTES DE FRAIS AL JAN 25 A6BB9DA6AF244E7B967A7512272E23BD FR7614445004000478625543876 </t>
  </si>
  <si>
    <t>20250422095055</t>
  </si>
  <si>
    <t>BQ51156951</t>
  </si>
  <si>
    <t xml:space="preserve">VIR INST VERS NADEGE BOUQUET S.A.S. VPRDS HOME SOLUTIONS NADEGE BOUQUET NOTE DE FRAIS MIKIT FEV 25 NOTE DE FRAIS BOUQUET FEV 25 17221C12FA594BA48DA6D359C3CB9FBE FR7614445004000439250717608 </t>
  </si>
  <si>
    <t>20250417081242</t>
  </si>
  <si>
    <t>BQ53627863</t>
  </si>
  <si>
    <t xml:space="preserve">VIR INST VERS NADEGE BOUQUET S.A.S. VPRDS HOME SOLUTIONS NADEGE BOUQUET IK N BOUQUET MARS 25 IK N BOUQUET MARS 25 B4688CF2C6A04C7E8817902CB2E6EDB7 FR7614445004000439250717608 </t>
  </si>
  <si>
    <t>20250617151346</t>
  </si>
  <si>
    <t>BQ55875118</t>
  </si>
  <si>
    <t xml:space="preserve">WEB NADEGE BOUQUET NOTE DE FRAI S.A.S. VPRDS HOME SOLUTIONS NADEGE BOUQUET NOTE DE FRAIS N BOUQUET AVRIL 25 NOTE DE FRAIS N BOUQUET AVRIL 25 AGRIFRPP879 EUR200000000168803 FR7614445004000439250717608 </t>
  </si>
  <si>
    <t>20250617151234</t>
  </si>
  <si>
    <t>BQ58013131</t>
  </si>
  <si>
    <t xml:space="preserve">VIR INST VERS ROMAIN BESNARD S.A.S. VPRDS HOME SOLUTIONS ROMAIN BESNARD IK R BESNARD MAI 25 IK R BESNARD MAI 25 97882F8632C040EE8E9DF8B727D71B6E FR7614445004000472479179034 </t>
  </si>
  <si>
    <t>20250703152157</t>
  </si>
  <si>
    <t>BQ60850846</t>
  </si>
  <si>
    <t xml:space="preserve">VIR INST VERS ROMAIN BESNARD S.A.S. VPRDS HOME SOLUTIONS ROMAIN BESNARD NOTE DE FRAIS MIKIT JUIN 25 NOTE DE FRAIS R BESNARD JUIN 25 F26647EF731741B1AEB545EFB176A653 FR7614445004000472479179034 </t>
  </si>
  <si>
    <t>20250825130952</t>
  </si>
  <si>
    <t>ÉCART DE RÈGLEMENT - NOTE DE FRAIS</t>
  </si>
  <si>
    <t>20250923154204</t>
  </si>
  <si>
    <t>BQ63828380</t>
  </si>
  <si>
    <t xml:space="preserve">VIR INST VERS ROMAIN BESNARD S.A.S. VPRDS HOME SOLUTIONS ROMAIN BESNARD NOTE DE FRAIS R BESNARD JUIL 25 NOTE DE FRAIS MIKIT JUIL 25 924B0AB7916844B6B16624B843E08649 FR7614445004000472479179034 </t>
  </si>
  <si>
    <t>20251022162244</t>
  </si>
  <si>
    <t>BQ66504509</t>
  </si>
  <si>
    <t xml:space="preserve">VIR INST VERS ROMAIN BESNARD S.A.S. VPRDS HOME SOLUTIONS ROMAIN BESNARD NOTE DE FRAIS MIKIT AOUT 25 NOTE DE FRAIS R BESNARD AOUT 25 F6A4FA06E5BE47A2B0530AC5D98BEEAD FR7614445004000472479179034 </t>
  </si>
  <si>
    <t>20251022162319</t>
  </si>
  <si>
    <t>BQ69470130</t>
  </si>
  <si>
    <t xml:space="preserve">VIR INST VERS ROMAIN BESNARD S.A.S. VPRDS HOME SOLUTIONS ROMAIN BESNARD NOTE DE FRAIS MIKIT SEPT 25 NOTE DE FRAIS R BESNARD SEPT 25 18C8B914AA4A4BD9B1CD31B69B5C3A2B FR7614445004000472479179034 </t>
  </si>
  <si>
    <t>401NESPRES</t>
  </si>
  <si>
    <t>NESPRESSO</t>
  </si>
  <si>
    <t>BQ64707555</t>
  </si>
  <si>
    <t xml:space="preserve">CARTE X7179 NESPRESSO PARIS </t>
  </si>
  <si>
    <t>213423215</t>
  </si>
  <si>
    <t>BQ76682238</t>
  </si>
  <si>
    <t>216942647</t>
  </si>
  <si>
    <t>401NKCAMP</t>
  </si>
  <si>
    <t>NK CAMP</t>
  </si>
  <si>
    <t>BQ71471829</t>
  </si>
  <si>
    <t xml:space="preserve">WEB NK CAMP S.A.S. VPRDS HOME SOLUTIONS NK CAMP AGRIFRPP879 EUR200000000100000 FR7617906001129638549660219 </t>
  </si>
  <si>
    <t>20251121111248</t>
  </si>
  <si>
    <t>401NORDVPN</t>
  </si>
  <si>
    <t>NORD VPN</t>
  </si>
  <si>
    <t>20250213084832</t>
  </si>
  <si>
    <t>BQ48410260</t>
  </si>
  <si>
    <t xml:space="preserve">CARTE X7179 NORDVPN S.A. AMSTER </t>
  </si>
  <si>
    <t>NRDCH-383119</t>
  </si>
  <si>
    <t>BQ50898391</t>
  </si>
  <si>
    <t>20250516122911</t>
  </si>
  <si>
    <t>BQ53281088</t>
  </si>
  <si>
    <t xml:space="preserve">CARTE X7179 CKN.NORD FRED. ROES </t>
  </si>
  <si>
    <t>20250516141009</t>
  </si>
  <si>
    <t>401OCEANEDEZALAY</t>
  </si>
  <si>
    <t>OCEANEDEZALAY</t>
  </si>
  <si>
    <t>25/070050</t>
  </si>
  <si>
    <t>BQ70624559</t>
  </si>
  <si>
    <t xml:space="preserve">VIR INST VERS MAITRE MILON S.A.S. VPRDS HOME SOLUTIONS MAITRE MILON FACTURE 25/070050 VPRDS LE MANS MIKIT FACTURE AVOCAT BEZAULT SOUCHU 54581B0EE8484C2AA87434D4C4D1DF4D FR7615489048070002578320343 </t>
  </si>
  <si>
    <t>401OKAMAC</t>
  </si>
  <si>
    <t>OKAMAC</t>
  </si>
  <si>
    <t>f185904</t>
  </si>
  <si>
    <t>BQ74501970</t>
  </si>
  <si>
    <t xml:space="preserve">VIR INST VERS SENS TECHNOLOGIES S.A.S. VPRDS HOME SOLUTIONS SENS TECHNOLOGIES F185904 - OKAMAC F185904 - OKAMAC F88397C46C0446CDBEC79E49EECBD169 FR7630047142930002022650193 </t>
  </si>
  <si>
    <t>401OPENAI</t>
  </si>
  <si>
    <t>OPENAI</t>
  </si>
  <si>
    <t>BQ48592231</t>
  </si>
  <si>
    <t xml:space="preserve">CARTE X7179 OPENAI *CHATGPT SUB </t>
  </si>
  <si>
    <t>3009BEE6-0007</t>
  </si>
  <si>
    <t>20250218103410</t>
  </si>
  <si>
    <t>3009BEE6-0008</t>
  </si>
  <si>
    <t>BQ50898387</t>
  </si>
  <si>
    <t>20250417110801</t>
  </si>
  <si>
    <t>BQ53034373</t>
  </si>
  <si>
    <t>3009BEE6-0009</t>
  </si>
  <si>
    <t>20250516140928</t>
  </si>
  <si>
    <t>BQ55522757</t>
  </si>
  <si>
    <t>3009BEE6-0010</t>
  </si>
  <si>
    <t>3009BEE6-0011</t>
  </si>
  <si>
    <t>BQ58013129</t>
  </si>
  <si>
    <t>20250709102322</t>
  </si>
  <si>
    <t>BQ60477099</t>
  </si>
  <si>
    <t>3009BEE6-0012</t>
  </si>
  <si>
    <t>BQ63643556</t>
  </si>
  <si>
    <t>3009BEE6-0013</t>
  </si>
  <si>
    <t>20260122102903</t>
  </si>
  <si>
    <t>3009BEE6-0014</t>
  </si>
  <si>
    <t>BQ65951121</t>
  </si>
  <si>
    <t>BQ68618044</t>
  </si>
  <si>
    <t>3009BEE6-0015</t>
  </si>
  <si>
    <t>BQ71901766</t>
  </si>
  <si>
    <t>3009bee6-0016</t>
  </si>
  <si>
    <t>20260122102855</t>
  </si>
  <si>
    <t>3009BEE6-0017</t>
  </si>
  <si>
    <t>BQ74860646</t>
  </si>
  <si>
    <t>20260122102858</t>
  </si>
  <si>
    <t>401ORANGE</t>
  </si>
  <si>
    <t>02C625F553 25A3- 1X01</t>
  </si>
  <si>
    <t>BQ48133604</t>
  </si>
  <si>
    <t xml:space="preserve">ORANGE SA ORANGE SA FR18ZZZ002305 SEPA SAS VPRDS HOME SOLUTIONS 279368059 R0002559163302 VOTRE ABONNEMENT FIBRE (FACTURE XXXXX5535A3) - P M0062129688 RCUR FR7617906001129641663834646 </t>
  </si>
  <si>
    <t>02c625f55325b1-1x02</t>
  </si>
  <si>
    <t>BQ50434108</t>
  </si>
  <si>
    <t xml:space="preserve">ORANGE SA ORANGE SA FR18ZZZ002305 SEPA SAS VPRDS HOME SOLUTIONS 282063550 R0002585059737 VOTRE ABONNEMENT FIBRE (FACTURE XXXXX5535B1) - P M0062129688 RCUR FR7617906001129641663834646 </t>
  </si>
  <si>
    <t>20250422094813</t>
  </si>
  <si>
    <t>BQ52613193</t>
  </si>
  <si>
    <t xml:space="preserve">ORANGE SA ORANGE SA FR18ZZZ002305 SEPA SAS VPRDS HOME SOLUTIONS 284462966 R0002610509535 VOTRE ABONNEMENT FIBRE (FACTURE XXXXX5535B9) - P M0062129688 RCUR FR7617906001129641663834646 </t>
  </si>
  <si>
    <t>20250516125507</t>
  </si>
  <si>
    <t>BQ55191753</t>
  </si>
  <si>
    <t xml:space="preserve">ORANGE SA ORANGE SA FR18ZZZ002305 SEPA SAS VPRDS HOME SOLUTIONS 286767168 R0002633965370 VOTRE ABONNEMENT FIBRE (FACTURE XXXXX5535C7) - P M0062129688 RCUR FR7617906001129641663834646 </t>
  </si>
  <si>
    <t>20250619101033</t>
  </si>
  <si>
    <t>BQ57536921</t>
  </si>
  <si>
    <t xml:space="preserve">ORANGE SA ORANGE SA FR18ZZZ002305 SEPA SAS VPRDS HOME SOLUTIONS 288967416 2C625F553C625F5535D544E VOTRE ABONNEMENT FIBRE (FACTURE XXXXX5535D5) - P M0062129688 RCUR FR7617906001129641663834646 </t>
  </si>
  <si>
    <t>02c625f55325e3-1x06</t>
  </si>
  <si>
    <t>BQ60070313</t>
  </si>
  <si>
    <t xml:space="preserve">ORANGE SA ORANGE SA FR18ZZZ002305 SEPA SAS VPRDS HOME SOLUTIONS 291479956 2C625F553C625F5535E344E VOTRE ABONNEMENT FIBRE (FACTURE XXXXX5535E3) - P M0062129688 RCUR FR7617906001129641663834646 </t>
  </si>
  <si>
    <t>02c625f55325f1-1x07</t>
  </si>
  <si>
    <t>BQ63144790</t>
  </si>
  <si>
    <t xml:space="preserve">ORANGE SA ORANGE SA FR18ZZZ002305 SEPA SAS VPRDS HOME SOLUTIONS 293698574 2C625F553C625F5535F144E VOTRE ABONNEMENT FIBRE (FACTURE XXXXX5535F1) - P M0062129688 RCUR FR7617906001129641663834646 </t>
  </si>
  <si>
    <t>02c625f55325f9-1x08</t>
  </si>
  <si>
    <t>BQ65383095</t>
  </si>
  <si>
    <t xml:space="preserve">ORANGE SA ORANGE SA FR18ZZZ002305 SEPA SAS VPRDS HOME SOLUTIONS 295836500 2C625F553C625F5535F944E VOTRE ABONNEMENT FIBRE (FACTURE XXXXX5535F9) - P M0062129688 RCUR FR7617906001129641663834646 </t>
  </si>
  <si>
    <t>02c625f553_25g7-1x09</t>
  </si>
  <si>
    <t>BQ68225766</t>
  </si>
  <si>
    <t xml:space="preserve">ORANGE SA ORANGE SA FR18ZZZ002305 SEPA SAS VPRDS HOME SOLUTIONS 298129480 2C625F553C625F5535G744E VOTRE ABONNEMENT FIBRE (FACTURE XXXXX5535G7) - P M0062129688 RCUR FR7617906001129641663834646 </t>
  </si>
  <si>
    <t>02c625f553_25h5-1x10</t>
  </si>
  <si>
    <t>BQ71337516</t>
  </si>
  <si>
    <t xml:space="preserve">ORANGE SA ORANGE SA FR18ZZZ002305 SEPA SAS VPRDS HOME SOLUTIONS 300510780 2C625F553C625F5535H544E VOTRE ABONNEMENT FIBRE (FACTURE XXXXX5535H5) - P M0062129688 RCUR FR7617906001129641663834646 </t>
  </si>
  <si>
    <t>20260122100835</t>
  </si>
  <si>
    <t>BQ74290067</t>
  </si>
  <si>
    <t xml:space="preserve">ORANGE SA ORANGE SA FR18ZZZ002305 SEPA SAS VPRDS HOME SOLUTIONS 302738013 2C625F553C625F5535I344E VOTRE ABONNEMENT FIBRE (FACTURE XXXXX5535I3) - P M0062129688 RCUR FR7617906001129641663834646 </t>
  </si>
  <si>
    <t>20260112141819</t>
  </si>
  <si>
    <t>BQ77837615</t>
  </si>
  <si>
    <t xml:space="preserve">ORANGE SA ORANGE SA FR18ZZZ002305 SEPA SAS VPRDS HOME SOLUTIONS 305169410 2C625F553C625F5535J144E VOTRE ABONNEMENT FIBRE (FACTURE XXXXX5535J1) - P M0062129688 RCUR FR7617906001129641663834646 </t>
  </si>
  <si>
    <t>401PARKING</t>
  </si>
  <si>
    <t>PARKING</t>
  </si>
  <si>
    <t>88</t>
  </si>
  <si>
    <t>BQ51735698</t>
  </si>
  <si>
    <t xml:space="preserve">CARTE X7179 AEROPORT GDOUEST BO </t>
  </si>
  <si>
    <t>2025-03-30-125.10</t>
  </si>
  <si>
    <t>BQ53034374</t>
  </si>
  <si>
    <t xml:space="preserve">CARTE X7179 PARIS AEROPORT TREM </t>
  </si>
  <si>
    <t>068327</t>
  </si>
  <si>
    <t>BQ58726369</t>
  </si>
  <si>
    <t>2025-11-01-16:46:00-128.00</t>
  </si>
  <si>
    <t>BQ72035719</t>
  </si>
  <si>
    <t xml:space="preserve">CARTE X7179 ECTOR PARKING  5JF3 </t>
  </si>
  <si>
    <t>401PEAGE</t>
  </si>
  <si>
    <t>PEAGE</t>
  </si>
  <si>
    <t>31272561472</t>
  </si>
  <si>
    <t>33342527179</t>
  </si>
  <si>
    <t>BQ58275083</t>
  </si>
  <si>
    <t xml:space="preserve">CARTE X7179 ESCOTA LA CIOTAT 06 </t>
  </si>
  <si>
    <t>BQ58275084</t>
  </si>
  <si>
    <t xml:space="preserve">CARTE X7179 ESCOTA BANDOL 06211 </t>
  </si>
  <si>
    <t>401PIXARTPRINTINGSPA</t>
  </si>
  <si>
    <t>PIXARTPRINTINGSPA</t>
  </si>
  <si>
    <t>7251335513</t>
  </si>
  <si>
    <t>PIXARTPRINTING SPA-IMPRIMÉ PUBLICITAIRE-FACTURE-7251335513</t>
  </si>
  <si>
    <t>BQ55740431</t>
  </si>
  <si>
    <t xml:space="preserve">CARTE X7179 PIXARTPRINTING QUAR </t>
  </si>
  <si>
    <t>401PLY</t>
  </si>
  <si>
    <t>G4ZLPUKN-0001</t>
  </si>
  <si>
    <t>BQ57917558</t>
  </si>
  <si>
    <t xml:space="preserve">CARTE X7179 PLY.IO WILMINGTON </t>
  </si>
  <si>
    <t>20250619124356</t>
  </si>
  <si>
    <t>G4ZLPUKN-0002</t>
  </si>
  <si>
    <t>BQ60477098</t>
  </si>
  <si>
    <t>20250708101727</t>
  </si>
  <si>
    <t>BQ63408157</t>
  </si>
  <si>
    <t>G4ZLPUKN-0003</t>
  </si>
  <si>
    <t>20250924122402</t>
  </si>
  <si>
    <t>BQ65804547</t>
  </si>
  <si>
    <t>20250923150916</t>
  </si>
  <si>
    <t>20250924122407</t>
  </si>
  <si>
    <t>BQ68476523</t>
  </si>
  <si>
    <t>G4ZLPUKN-0005</t>
  </si>
  <si>
    <t>20260205093013</t>
  </si>
  <si>
    <t>BQ71563309</t>
  </si>
  <si>
    <t>g4zlpukn-0006</t>
  </si>
  <si>
    <t>401PROTESS-72</t>
  </si>
  <si>
    <t>PROTESS-72</t>
  </si>
  <si>
    <t>390173</t>
  </si>
  <si>
    <t>BQ66754115</t>
  </si>
  <si>
    <t xml:space="preserve">VIR INST VERS NADEGE BOUQUET S.A.S. VPRDS HOME SOLUTIONS NADEGE BOUQUET FACTURE PROMOCASH FACTURE PROMOCASH FC44901CC1DB4536A728839609A78B48 FR7614445004000439250717608 </t>
  </si>
  <si>
    <t>401RCTRAITEUR</t>
  </si>
  <si>
    <t>RC TRAITEUR</t>
  </si>
  <si>
    <t>BQ55032583</t>
  </si>
  <si>
    <t xml:space="preserve">WEB RC TRAITEUR FACTURE TRAITEU S.A.S. VPRDS HOME SOLUTIONS RC TRAITEUR FACTURE RC TRAITEUR FACTURE TRAITEUR AGRIFRPP879 EUR200000000036624 FR7617906001129643258969091 </t>
  </si>
  <si>
    <t>202536</t>
  </si>
  <si>
    <t>401REACTEUR</t>
  </si>
  <si>
    <t>REACTEUR</t>
  </si>
  <si>
    <t>20250923151619</t>
  </si>
  <si>
    <t>F1000193</t>
  </si>
  <si>
    <t>20251202085530</t>
  </si>
  <si>
    <t>BQ62745769</t>
  </si>
  <si>
    <t>PISP-FINTE REACTEUR REF(WSMSNUW S.A.S. VPRDS HOME SOLUTIONS REACTEUR REF(WSMSNUW7TS) - F1000192 C42436BD7E484F44B344675DE926B0FB 3B8EB1077C3C408E9D13DE0CE603C612 AGRIFRPP879 EUR200000000240000 FR76138</t>
  </si>
  <si>
    <t>BQ62957185</t>
  </si>
  <si>
    <t>GOCARDLESS GOCARDLESS FR9300085966A SEPA VPRDS HOME SOLUTIONS MIKIT LE MANS EUSEPADT-000VNFT0ZVP5 SEPA 293729819 EUSEPADR-003GMH1Y6TJG REACTEUR - VPRDS HOME SOLUTIONS MIKIT LE MANS (F1000193) RACTEUR-</t>
  </si>
  <si>
    <t>BQ71085301</t>
  </si>
  <si>
    <t xml:space="preserve">VIR INST VERS SARL REACTEUR S.A.S. VPRDS HOME SOLUTIONS SARL REACTEUR A2DBC112508C4378B4511D62B97542B8 FR7613807006273002154019075 </t>
  </si>
  <si>
    <t>401RENAULT</t>
  </si>
  <si>
    <t>RENAULT</t>
  </si>
  <si>
    <t>RENAULT ENTRET. RÉP. MATÉRIEL TRANSP. (04/07/2024)</t>
  </si>
  <si>
    <t>WEB ANAIS LAMARD NOTES DE FRAI WEB ANAIS LAMARD NOTES DE FRAI (17/07/2024)</t>
  </si>
  <si>
    <t>401RESTAUR</t>
  </si>
  <si>
    <t>RESTAURANT</t>
  </si>
  <si>
    <t>2025-01-16-14:23:19-41.04</t>
  </si>
  <si>
    <t>2025-01-16-20:33:00-46.00</t>
  </si>
  <si>
    <t>BQ47523050</t>
  </si>
  <si>
    <t xml:space="preserve">CARTE X7179 LE VAUD LE MANS </t>
  </si>
  <si>
    <t>BQ47523051</t>
  </si>
  <si>
    <t xml:space="preserve">CARTE X7179 3B LE MANS ST SATUR </t>
  </si>
  <si>
    <t>2025-01-22-13:46:00-15.90</t>
  </si>
  <si>
    <t>L'ARDOISE DU MO'MANS</t>
  </si>
  <si>
    <t>BQ48130198</t>
  </si>
  <si>
    <t xml:space="preserve">CARTE X7179 JARDIN GOURMAND YVR </t>
  </si>
  <si>
    <t>2025-01-27-13:05:33-19.98</t>
  </si>
  <si>
    <t>BQ48241684</t>
  </si>
  <si>
    <t>2025-01-31-13:35:15-65.20</t>
  </si>
  <si>
    <t>BQ48701784</t>
  </si>
  <si>
    <t xml:space="preserve">CARTE X7179 LA RESERVE LE MANS </t>
  </si>
  <si>
    <t>2025-02-05-13:26:59-65.20</t>
  </si>
  <si>
    <t>BQ49083305</t>
  </si>
  <si>
    <t>20250311154312</t>
  </si>
  <si>
    <t>BQ50530823</t>
  </si>
  <si>
    <t>2025-02-28-13:44:14-68.10</t>
  </si>
  <si>
    <t>BQ50898388</t>
  </si>
  <si>
    <t>20250417101338</t>
  </si>
  <si>
    <t>BQ52003489</t>
  </si>
  <si>
    <t>1_1</t>
  </si>
  <si>
    <t>BQ52424101</t>
  </si>
  <si>
    <t xml:space="preserve">CARTE X7179 L ECARLATE TRANGE </t>
  </si>
  <si>
    <t>BQ52920572</t>
  </si>
  <si>
    <t>BQ53766729</t>
  </si>
  <si>
    <t xml:space="preserve">WEB VINCENT PARADIS CRED NOTE D VPRDS HOME SOLUTIONS VINCENT PARADIS CREDIT AGRICOLE NOTE DE FRAIS MARS 25 VP NOTE DE FRAIS MARS 25 VP AGRIFRPP879 EUR200000000063263 FR7617906001129643379654066 </t>
  </si>
  <si>
    <t>2025-04-09-14:18:45-45.60</t>
  </si>
  <si>
    <t>c5-2-6685</t>
  </si>
  <si>
    <t>BQ54247341</t>
  </si>
  <si>
    <t>2025-04-18-14:07:00-133.20</t>
  </si>
  <si>
    <t>2025-04-24-13:38:32-77.00</t>
  </si>
  <si>
    <t>20250617150244</t>
  </si>
  <si>
    <t>2025-04-30-13:29:40-75.85</t>
  </si>
  <si>
    <t>BQ55740432</t>
  </si>
  <si>
    <t>0013799_002</t>
  </si>
  <si>
    <t>BQ56156936</t>
  </si>
  <si>
    <t xml:space="preserve">WEB VINCENT PARADIS CREDIT A S.A.S. VPRDS HOME SOLUTIONS VINCENT PARADIS CREDIT AGRICOLE AGRIFRPP879 EUR200000000031590 FR7617906001129643379654066 </t>
  </si>
  <si>
    <t>2025-05-13-13:27:00-244.00</t>
  </si>
  <si>
    <t>BQ56932481</t>
  </si>
  <si>
    <t xml:space="preserve">CARTE X7179 ETOILE BERBERE LE M </t>
  </si>
  <si>
    <t>BQ56934346</t>
  </si>
  <si>
    <t xml:space="preserve">CARTE X7179 AGIP VILLAINES LA G </t>
  </si>
  <si>
    <t>2025-05-16-12:44:11-33.00</t>
  </si>
  <si>
    <t>2025-05-17-13:10:00-24.90</t>
  </si>
  <si>
    <t>BQ57024892</t>
  </si>
  <si>
    <t xml:space="preserve">CARTE X7179 RELAIS BUSSY ST </t>
  </si>
  <si>
    <t>2025-05-22-14:31:24-17.30</t>
  </si>
  <si>
    <t>BQ57452005</t>
  </si>
  <si>
    <t xml:space="preserve">CARTE X7179 MAC DONALD S SOLESM </t>
  </si>
  <si>
    <t>2025-05-23-12:49:00-24.80</t>
  </si>
  <si>
    <t>2025-05-24-14:16:56-38.50</t>
  </si>
  <si>
    <t>BQ57536927</t>
  </si>
  <si>
    <t xml:space="preserve">CARTE X7179 RELAIS DU POITOU RO </t>
  </si>
  <si>
    <t>BQ57536929</t>
  </si>
  <si>
    <t xml:space="preserve">CARTE X7179 HOTELDOMERGUE SC BO </t>
  </si>
  <si>
    <t>1020</t>
  </si>
  <si>
    <t>2025-05-28-13:51:32-37.50</t>
  </si>
  <si>
    <t>BQ57917561</t>
  </si>
  <si>
    <t xml:space="preserve">CARTE X7179 LIBERTA LE MANS </t>
  </si>
  <si>
    <t>j1-1-51</t>
  </si>
  <si>
    <t>BQ58275085</t>
  </si>
  <si>
    <t xml:space="preserve">CARTE X7179 SC  SANARY SUSHI </t>
  </si>
  <si>
    <t>170</t>
  </si>
  <si>
    <t>BQ58726368</t>
  </si>
  <si>
    <t xml:space="preserve">CARTE X7179 LE CENDRILLON CASSI </t>
  </si>
  <si>
    <t>j5-2-3153</t>
  </si>
  <si>
    <t>BQ58991437</t>
  </si>
  <si>
    <t>t5-2-12223</t>
  </si>
  <si>
    <t>0042421_001</t>
  </si>
  <si>
    <t>WEB VINCENT PARADIS CRED NOTE D S.A.S. VPRDS HOME SOLUTIONS VINCENT PARADIS CREDIT AGRICOLE NOTE DE FRAIS VP JUIN 25 NOTE DE FRAIS MIKIT JUIN 25 AGRIFRPP879 EUR200000000180415 FR7617906001129643379654</t>
  </si>
  <si>
    <t xml:space="preserve">WEB VINCENT PARADIS CRED NOTE DE FRAIS </t>
  </si>
  <si>
    <t>42133</t>
  </si>
  <si>
    <t>20250923142503</t>
  </si>
  <si>
    <t>20250923144735</t>
  </si>
  <si>
    <t>20250923144838</t>
  </si>
  <si>
    <t>BQ60850847</t>
  </si>
  <si>
    <t>42595</t>
  </si>
  <si>
    <t>CMCP LE MANS 42595 MERCREDI MIDI 1 REPAS</t>
  </si>
  <si>
    <t>BQ60977131</t>
  </si>
  <si>
    <t>20250923143413</t>
  </si>
  <si>
    <t>0019827_001</t>
  </si>
  <si>
    <t>LA COTE ET LARETE / 2 REPAS VENDREDI MIDI</t>
  </si>
  <si>
    <t>1002654</t>
  </si>
  <si>
    <t>60</t>
  </si>
  <si>
    <t>BQ62254241</t>
  </si>
  <si>
    <t xml:space="preserve">CARTE X7179 AUTOGRILL GASVIL </t>
  </si>
  <si>
    <t>BQ62389811</t>
  </si>
  <si>
    <t xml:space="preserve">CARTE X7179 REST RJLS RUEIL MAL </t>
  </si>
  <si>
    <t>c5-2-13701</t>
  </si>
  <si>
    <t>BQ62745768</t>
  </si>
  <si>
    <t>52999</t>
  </si>
  <si>
    <t>BQ63408156</t>
  </si>
  <si>
    <t>t5-2-15798</t>
  </si>
  <si>
    <t>BQ63643557</t>
  </si>
  <si>
    <t>55960</t>
  </si>
  <si>
    <t>2025-08-22-13:50:17-85.70</t>
  </si>
  <si>
    <t>BQ65383099</t>
  </si>
  <si>
    <t>0297280_67</t>
  </si>
  <si>
    <t>BQ66504511</t>
  </si>
  <si>
    <t>66654</t>
  </si>
  <si>
    <t>BQ67048042</t>
  </si>
  <si>
    <t>107464</t>
  </si>
  <si>
    <t>BQ68781800</t>
  </si>
  <si>
    <t xml:space="preserve">CARTE X7179 SC-REST RJLS RUEIL </t>
  </si>
  <si>
    <t>20251121111010</t>
  </si>
  <si>
    <t>20260205104758</t>
  </si>
  <si>
    <t>LES TABLES BARRIERE / 2 REPAS MECREDI SOIR / RGLT PERSO</t>
  </si>
  <si>
    <t>381</t>
  </si>
  <si>
    <t>73806</t>
  </si>
  <si>
    <t>284</t>
  </si>
  <si>
    <t>REPAS / FORMATION</t>
  </si>
  <si>
    <t>BQ69291957</t>
  </si>
  <si>
    <t>BQ69291967</t>
  </si>
  <si>
    <t>t4-1-3419</t>
  </si>
  <si>
    <t>BQ70034777</t>
  </si>
  <si>
    <t xml:space="preserve">CARTE X7179 MOULIN 4 SAISONS LA </t>
  </si>
  <si>
    <t>1015</t>
  </si>
  <si>
    <t>BQ70714792</t>
  </si>
  <si>
    <t xml:space="preserve">CARTE X7179 PIZZA DEL ARTE ST S </t>
  </si>
  <si>
    <t>289</t>
  </si>
  <si>
    <t>BQ71085304</t>
  </si>
  <si>
    <t xml:space="preserve">CARTE X7179 LA CABANE QUI FUME </t>
  </si>
  <si>
    <t>j5-2-5313</t>
  </si>
  <si>
    <t>BQ71230252</t>
  </si>
  <si>
    <t>0014752_001</t>
  </si>
  <si>
    <t>318</t>
  </si>
  <si>
    <t>0015725_002</t>
  </si>
  <si>
    <t>BQ73819247</t>
  </si>
  <si>
    <t>313</t>
  </si>
  <si>
    <t>BQ74044297</t>
  </si>
  <si>
    <t>j5-2-5901</t>
  </si>
  <si>
    <t>BQ74405946</t>
  </si>
  <si>
    <t>315</t>
  </si>
  <si>
    <t>BQ74688769</t>
  </si>
  <si>
    <t>i5itv000601_4</t>
  </si>
  <si>
    <t>AO</t>
  </si>
  <si>
    <t>BQ75378726</t>
  </si>
  <si>
    <t xml:space="preserve">CARTE X7179 LE PRESSOIR SAINT A </t>
  </si>
  <si>
    <t>BQ75813682</t>
  </si>
  <si>
    <t xml:space="preserve">WEB VINCENT PARADIS S.A.S. VPRDS HOME SOLUTIONS VINCENT PARADIS AGRIFRPP879 EUR200000000107820 FR7617906001129643379654066 </t>
  </si>
  <si>
    <t>t60611</t>
  </si>
  <si>
    <t>BQ75949116</t>
  </si>
  <si>
    <t xml:space="preserve">CARTE X7179 CARNIVAL LE MANS </t>
  </si>
  <si>
    <t>d6b3-865</t>
  </si>
  <si>
    <t>BQ76260087</t>
  </si>
  <si>
    <t xml:space="preserve">CARTE X7179 SOC ARTISTIQUE D PA </t>
  </si>
  <si>
    <t>BQ76260088</t>
  </si>
  <si>
    <t xml:space="preserve">CARTE X7179 NAUTILUS PARIS </t>
  </si>
  <si>
    <t>20260121140519</t>
  </si>
  <si>
    <t>0316442_66</t>
  </si>
  <si>
    <t>BQ76513306</t>
  </si>
  <si>
    <t>076987</t>
  </si>
  <si>
    <t>BQ76968548</t>
  </si>
  <si>
    <t xml:space="preserve">CARTE X7179 LES TONTONS LE MANS </t>
  </si>
  <si>
    <t>401RESTAURANT</t>
  </si>
  <si>
    <t>2025-02-08-14:39:05-135.40</t>
  </si>
  <si>
    <t>BQ49348720</t>
  </si>
  <si>
    <t xml:space="preserve">CARTE X7179 LES TERRASSES GUERA </t>
  </si>
  <si>
    <t>2025-02-21-12:29:50-32.50</t>
  </si>
  <si>
    <t>BQ50320811</t>
  </si>
  <si>
    <t xml:space="preserve">CARTE X7179 MC DONALD S U LE MA </t>
  </si>
  <si>
    <t>2025-11-28-13:07:00-21.55</t>
  </si>
  <si>
    <t>BQ74860647</t>
  </si>
  <si>
    <t xml:space="preserve">CARTE X7179 KFC ST SATURNIN </t>
  </si>
  <si>
    <t>401REXROTA</t>
  </si>
  <si>
    <t>REX.ROTARY</t>
  </si>
  <si>
    <t>25-436403</t>
  </si>
  <si>
    <t>BQ49348717</t>
  </si>
  <si>
    <t xml:space="preserve">REX ROTARY REX ROTARY REX ROTARY REX ROTARY FR74REX401131 SEPA VPRDS HOME SOLUTIONS 281003418 FR25020775016561 480599 RCUR FR7617906001129641663834646 </t>
  </si>
  <si>
    <t>25-512622</t>
  </si>
  <si>
    <t>BQ56343056</t>
  </si>
  <si>
    <t xml:space="preserve">REX ROTARY REX ROTARY REX ROTARY REX ROTARY FR74REX401131 SEPA VPRDS HOME SOLUTIONS 288068252 FR25050865002863 480599 RCUR FR7617906001129641663834646 </t>
  </si>
  <si>
    <t>25-586934</t>
  </si>
  <si>
    <t>BQ64496241</t>
  </si>
  <si>
    <t xml:space="preserve">REX ROTARY REX ROTARY REX ROTARY REX ROTARY FR74REX401131 SEPA VPRDS HOME SOLUTIONS 295137019 FR25080856445665 480599 RCUR FR7617906001129641663834646 </t>
  </si>
  <si>
    <t>25-654840</t>
  </si>
  <si>
    <t>25-T49800</t>
  </si>
  <si>
    <t>BQ72826832</t>
  </si>
  <si>
    <t xml:space="preserve">REX ROTARY REX ROTARY REX ROTARY REX ROTARY FR74REX401131 SEPA VPRDS HOME SOLUTIONS 302000166 FR25110745304525 480599 RCUR FR7617906001129641663834646 </t>
  </si>
  <si>
    <t>BQ74688768</t>
  </si>
  <si>
    <t xml:space="preserve">REX ROTARY REX ROTARY REX ROTARY REX ROTARY FR74REX401131 SEPA VPRDS HOME SOLUTIONS 303158725 FR25112757780749 480599 RCUR FR7617906001129641663834646 </t>
  </si>
  <si>
    <t>401RINGOVE</t>
  </si>
  <si>
    <t>RINGOVER</t>
  </si>
  <si>
    <t>MO5041519-2025296213</t>
  </si>
  <si>
    <t>OS5041519-2025296350</t>
  </si>
  <si>
    <t>BQ46907095</t>
  </si>
  <si>
    <t xml:space="preserve">BJT PARTNERS BJT PARTNERS BE39ZZZCITD000000037 SEPA MIKIT LE MANS SUD 278174334 CITISEPA080125001540910005946 RINGOVER DJ8QCM4 RCUR FR7617906001129641663834646 </t>
  </si>
  <si>
    <t>BQ47038529</t>
  </si>
  <si>
    <t xml:space="preserve">BJT PARTNERS BJT PARTNERS BE39ZZZCITD000000037 SEPA MIKIT LE MANS SUD 278232011 CITISEPA080125005755110004791 RINGOVER DJ8QCM4 RCUR FR7617906001129641663834646 </t>
  </si>
  <si>
    <t>OS5041519-2025301169</t>
  </si>
  <si>
    <t>BQ48131475</t>
  </si>
  <si>
    <t xml:space="preserve">BJT PARTNERS BJT PARTNERS BE39ZZZCITD000000037 SEPA MIKIT LE MANS SUD 279414155 CITISEPA220125002960410004033 RINGOVER DJ8QCM4 RCUR FR7617906001129641663834646 </t>
  </si>
  <si>
    <t>m05041519-2025307020</t>
  </si>
  <si>
    <t>BQ49472699</t>
  </si>
  <si>
    <t xml:space="preserve">BJT PARTNERS BJT PARTNERS BE39ZZZCITD000000037 SEPA MIKIT LE MANS SUD 281169758 CITISEPA100225002155510060615 RINGOVER DJ8QCM4 RCUR FR7617906001129641663834646 </t>
  </si>
  <si>
    <t>CR5041519-2025313250</t>
  </si>
  <si>
    <t>BQ50620130</t>
  </si>
  <si>
    <t xml:space="preserve">CARTE X7179 RINGOVER 92120 MONT </t>
  </si>
  <si>
    <t>MO5041519-2025317473</t>
  </si>
  <si>
    <t>BQ51610782</t>
  </si>
  <si>
    <t xml:space="preserve">RINGOVER RINGOVER BE39ZZZCITD000000037 SEPA MIKIT LE MANS SUD 283778790 CITISEPA100325001795610010459 RINGOVER DJ8QCM4 RCUR FR7617906001129641663834646 </t>
  </si>
  <si>
    <t>MO5041519-2025328188</t>
  </si>
  <si>
    <t>BQ54244141</t>
  </si>
  <si>
    <t xml:space="preserve">RINGOVER RINGOVER BE39ZZZCITD000000037 SEPA MIKIT LE MANS SUD 285928332 CITISEPA080425001490410011049 RINGOVER DJ8QCM4 RCUR FR7617906001129641663834646 </t>
  </si>
  <si>
    <t>MO5041519-2025338937</t>
  </si>
  <si>
    <t>BQ56343057</t>
  </si>
  <si>
    <t xml:space="preserve">RINGOVER RINGOVER BE39ZZZCITD000000037 SEPA MIKIT LE MANS SUD 288121381 CITISEPA080525001281010006497 RINGOVER DJ8QCM4 RCUR FR7617906001129641663834646 </t>
  </si>
  <si>
    <t>CR5041519-2025345724</t>
  </si>
  <si>
    <t>BQ57731188</t>
  </si>
  <si>
    <t>BQ58726362</t>
  </si>
  <si>
    <t xml:space="preserve">RINGOVER RINGOVER BE39ZZZCITD000000037 SEPA MIKIT LE MANS SUD 290575217 CITISEPA090625001680610013394 RINGOVER DJ8QCM4 RCUR FR7617906001129641663834646 </t>
  </si>
  <si>
    <t>20251126093418</t>
  </si>
  <si>
    <t>MO5041519-2025360895</t>
  </si>
  <si>
    <t>BQ62120930</t>
  </si>
  <si>
    <t xml:space="preserve">RINGOVER RINGOVER BE39ZZZCITD000000037 SEPA MIKIT LE MANS SUD 292778867 CITISEPA080725001711110024340 RINGOVER DJ8QCM4 RCUR FR7617906001129641663834646 </t>
  </si>
  <si>
    <t>MO5041519-2025371761</t>
  </si>
  <si>
    <t>BQ64496242</t>
  </si>
  <si>
    <t xml:space="preserve">RINGOVER RINGOVER BE39ZZZCITD000000037 SEPA MIKIT LE MANS SUD 295176016 CITISEPA080825001730410015262 RINGOVER DJ8QCM4 RCUR FR7617906001129641663834646 </t>
  </si>
  <si>
    <t>CR5041519-2025376089</t>
  </si>
  <si>
    <t>BQ65277133</t>
  </si>
  <si>
    <t>MO5041519-2025382317</t>
  </si>
  <si>
    <t>BQ66754112</t>
  </si>
  <si>
    <t xml:space="preserve">RINGOVER RINGOVER BE39ZZZCITD000000037 SEPA MIKIT LE MANS SUD 297204553 CITISEPA080925001900510090939 RINGOVER DJ8QCM4 RCUR FR7617906001129641663834646 </t>
  </si>
  <si>
    <t>MO5041519-2025393548</t>
  </si>
  <si>
    <t>BQ69697897</t>
  </si>
  <si>
    <t xml:space="preserve">RINGOVER RINGOVER BE39ZZZCITD000000037 SEPA MIKIT LE MANS SUD 299501106 CITISEPA081025001546210009717 RINGOVER DJ8QCM4 RCUR FR7617906001129641663834646 </t>
  </si>
  <si>
    <t>MO5041519-2025404824</t>
  </si>
  <si>
    <t>BQ73014510</t>
  </si>
  <si>
    <t xml:space="preserve">RINGOVER RINGOVER BE39ZZZCITD000000037 SEPA MIKIT LE MANS SUD 302068399 CITISEPA101125001435510002525 RINGOVER DJ8QCM4 RCUR FR7617906001129641663834646 </t>
  </si>
  <si>
    <t>CR5041519-2025414071</t>
  </si>
  <si>
    <t>BQ75378727</t>
  </si>
  <si>
    <t>MO5041519-2025415551</t>
  </si>
  <si>
    <t>BQ75949111</t>
  </si>
  <si>
    <t xml:space="preserve">RINGOVER RINGOVER BE39ZZZCITD000000037 SEPA MIKIT LE MANS SUD 304173219 CITISEPA081225001760110010779 RINGOVER DJ8QCM4 RCUR FR7617906001129641663834646 </t>
  </si>
  <si>
    <t>401RYANAIR</t>
  </si>
  <si>
    <t>RYANAIR</t>
  </si>
  <si>
    <t>1003265779</t>
  </si>
  <si>
    <t>BQ55029951</t>
  </si>
  <si>
    <t xml:space="preserve">CARTE X7179 RYANAIR224ZL2KPR PA </t>
  </si>
  <si>
    <t>401SAAUT</t>
  </si>
  <si>
    <t>SAAUT</t>
  </si>
  <si>
    <t>25004520</t>
  </si>
  <si>
    <t>BQ47619447</t>
  </si>
  <si>
    <t xml:space="preserve">CHEQUE NO 9976084 </t>
  </si>
  <si>
    <t>401SANTE72</t>
  </si>
  <si>
    <t>SANTE 72</t>
  </si>
  <si>
    <t>SANTE 72 MÉDECINE TRAVAIL PHARMACIE (26/01/2024)</t>
  </si>
  <si>
    <t>BQ52705299</t>
  </si>
  <si>
    <t xml:space="preserve">VIR INST VERS ST72 S.A.S. VPRDS HOME SOLUTIONS ST72 0243740404 - 52712.1 0243740404 - 52712.1 A01864E9684E4F9CA37FA95413906C60 FR7613807007446101902552813 </t>
  </si>
  <si>
    <t>401SASA</t>
  </si>
  <si>
    <t>WEB SASA SASA 0850 HUET VPRDS HOME SOLUTIONS SASA SASA 0850 HUET SASA 0850 HUET AGRIFRPP879 EUR200000000005336 FR7610207000902321549336060  (15/11/2024)</t>
  </si>
  <si>
    <t>WEB SASA COMPLEMENT SASA HUET VPRDS HOME SOLUTIONS SASA COMPLEMENT SASA HUET COMPLEMENT SASA HUET AGRIFRPP879 EUR200000000012664 FR7610207000902321549336060  (19/11/2024)</t>
  </si>
  <si>
    <t>SASA FRAIS DE GESTION HUET (15/11/2024)</t>
  </si>
  <si>
    <t>BQ50012299</t>
  </si>
  <si>
    <t xml:space="preserve">VIR INST VERS SASA S.A.S. VPRDS HOME SOLUTIONS SASA SASA 0958 PAULINE FROGER SASA 0958 PAULINE FROGER E37DFF9E15BF4454A351E4AC98ED9EF0 FR7610207000902321549336060 </t>
  </si>
  <si>
    <t>FA001021</t>
  </si>
  <si>
    <t>BQ51156948</t>
  </si>
  <si>
    <t xml:space="preserve">VIR INST VERS SASA S.A.S. VPRDS HOME SOLUTIONS SASA SASA GENOT 0967 SASA GENOT 0967 3C58EABADC5D4E3FB524689DABBB3CAA FR7610207000902321549336060 </t>
  </si>
  <si>
    <t>BQ51156949</t>
  </si>
  <si>
    <t xml:space="preserve">VIR INST VERS SASA S.A.S. VPRDS HOME SOLUTIONS SASA SASA 0969 POULIO SASA 0969 POULIO 725BF3BDB3114FB7A8840045B15DC3E5 FR7610207000902321549336060 </t>
  </si>
  <si>
    <t>FA001032</t>
  </si>
  <si>
    <t>FA001033</t>
  </si>
  <si>
    <t>BQ53627861</t>
  </si>
  <si>
    <t xml:space="preserve">VIR INST VERS SASA S.A.S. VPRDS HOME SOLUTIONS SASA SASA CORDOLA SASA CORDOLA 2AC9880FD99B4154AFB5FA0F43EC6AD2 FR7610207000902321549336060 </t>
  </si>
  <si>
    <t>FA001052</t>
  </si>
  <si>
    <t>BQ56932485</t>
  </si>
  <si>
    <t xml:space="preserve">VIR INST VERS SASA S.A.S. VPRDS HOME SOLUTIONS SASA SASA MOREAU SASA MOREAU D7A67F837F164CE2B3B31E4784FCAF2B FR7610207000902321549336060 </t>
  </si>
  <si>
    <t>FA001074</t>
  </si>
  <si>
    <t>BQ57234669</t>
  </si>
  <si>
    <t xml:space="preserve">VIR INST VERS SASA S.A.S. VPRDS HOME SOLUTIONS SASA SASA 1097 SASA 1097 E9F63B7D8E284804B79CC9A5BAEA28B3 FR7610207000902321549336060 </t>
  </si>
  <si>
    <t>BQ57234670</t>
  </si>
  <si>
    <t xml:space="preserve">VIR INST VERS SASA S.A.S. VPRDS HOME SOLUTIONS SASA SASA 1098 BFE4F02CF4B440648D8969761A0583D2 FR7610207000902321549336060 </t>
  </si>
  <si>
    <t>FA001088</t>
  </si>
  <si>
    <t>FA001089</t>
  </si>
  <si>
    <t>BQ59229582</t>
  </si>
  <si>
    <t xml:space="preserve">VIR INST VERS SASA S.A.S. VPRDS HOME SOLUTIONS SASA SASA 1131 PLUQUIN SASA 1131 PLUQUIN F90938B3389F4CDEAB9C0C5819744839 FR7610207000902321549336060 </t>
  </si>
  <si>
    <t>FA001110</t>
  </si>
  <si>
    <t>BQ60070315</t>
  </si>
  <si>
    <t xml:space="preserve">VIR INST VERS SASA S.A.S. VPRDS HOME SOLUTIONS SASA SASA-1147 BERNARD SASA-1147 BERNARD C752F798C5FA4B168CF5CDDE30C943ED FR7610207000902321549336060 </t>
  </si>
  <si>
    <t>FA001131</t>
  </si>
  <si>
    <t>BQ60977127</t>
  </si>
  <si>
    <t xml:space="preserve">VIR INST VERS SASA S.A.S. VPRDS HOME SOLUTIONS SASA SASA-1165 PROTIN SASA-1165 PROTIN 16DB8A9954534E54BA067BA2BD4F47F6 FR7610207000902321549336060 </t>
  </si>
  <si>
    <t>BQ60977128</t>
  </si>
  <si>
    <t xml:space="preserve">VIR INST VERS SASA S.A.S. VPRDS HOME SOLUTIONS SASA SASA-1166 BIGARET SASA-1166 BIGARET 4F54499FC8614094BBB6AEBA473C8CC8 FR7610207000902321549336060 </t>
  </si>
  <si>
    <t>FA001146</t>
  </si>
  <si>
    <t>FA001145</t>
  </si>
  <si>
    <t>BQ62122556</t>
  </si>
  <si>
    <t xml:space="preserve">VIR INST VERS SASA S.A.S. VPRDS HOME SOLUTIONS SASA SASA 1170 TILLIET SASA 1170 TILLIET 15B265AF27B248DE98C036750FC3568C FR7610207000902321549336060 </t>
  </si>
  <si>
    <t>FA001152</t>
  </si>
  <si>
    <t>BQ62254240</t>
  </si>
  <si>
    <t xml:space="preserve">VIR INST VERS SASA S.A.S. VPRDS HOME SOLUTIONS SASA SASA 1992 SASA 1192 15E67B93046C4AA698AC8FC3EA3D5783 FR7610207000902321549336060 </t>
  </si>
  <si>
    <t>FA001158</t>
  </si>
  <si>
    <t>FA001159</t>
  </si>
  <si>
    <t>BQ63525020</t>
  </si>
  <si>
    <t xml:space="preserve">VIR INST VERS SASA S.A.S. VPRDS HOME SOLUTIONS SASA SASA 1225 SASA 1225 CCD61B1A90AE43E3B98E25D6D7718E37 FR7610207000902321549336060 </t>
  </si>
  <si>
    <t>FA001187</t>
  </si>
  <si>
    <t>BQ63643554</t>
  </si>
  <si>
    <t xml:space="preserve">VIR INST VERS SASA S.A.S. VPRDS HOME SOLUTIONS SASA SASA 1228 SASA 1228 E64C65C771DC463F8BDB9CA8F6CD4537 FR7610207000902321549336060 </t>
  </si>
  <si>
    <t>FA001153</t>
  </si>
  <si>
    <t>BQ66094725</t>
  </si>
  <si>
    <t xml:space="preserve">VIR INST VERS SASA S.A.S. VPRDS HOME SOLUTIONS SASA SASA 1251 CHAFIOL SASA 1251 A17996D227B14638828C7256176C1527 FR7610207000902321549336060 </t>
  </si>
  <si>
    <t>FA001210</t>
  </si>
  <si>
    <t>FA001212</t>
  </si>
  <si>
    <t>BQ66310238</t>
  </si>
  <si>
    <t xml:space="preserve">VIR INST VERS SASA S.A.S. VPRDS HOME SOLUTIONS SASA SASA 1254 TRIDON SASA 1254 418A3C7D85764056A8B9CAB51B8E49DA FR7610207000902321549336060 </t>
  </si>
  <si>
    <t>FA001214</t>
  </si>
  <si>
    <t>BQ67048043</t>
  </si>
  <si>
    <t xml:space="preserve">VIR INST VERS SASA S.A.S. VPRDS HOME SOLUTIONS SASA SASA 1191 SASA 1191 58661B37283E422E95B83C9946771D1C FR7610207000902321549336060 </t>
  </si>
  <si>
    <t>BQ67048044</t>
  </si>
  <si>
    <t xml:space="preserve">VIR INST VERS SASA S.A.S. VPRDS HOME SOLUTIONS SASA SASA 1259 SASA 1259 B69A7E780A1247B28CDB470E103698C0 FR7610207000902321549336060 </t>
  </si>
  <si>
    <t>BQ69470134</t>
  </si>
  <si>
    <t xml:space="preserve">VIR INST VERS SASA S.A.S. VPRDS HOME SOLUTIONS SASA SASA 1298 LESIMPLE SASA LESIMPLE E39EED6608EF43AF855F6B558AF7168F FR7610207000902321549336060 </t>
  </si>
  <si>
    <t>FA001272</t>
  </si>
  <si>
    <t>FA001273</t>
  </si>
  <si>
    <t>BQ71230246</t>
  </si>
  <si>
    <t xml:space="preserve">VIR INST VERS SASA S.A.S. VPRDS HOME SOLUTIONS SASA SASA 1326 ET SASA 1327 61629B11DEB84B6EBAAC9966711D8B6F FR7610207000902321549336060 </t>
  </si>
  <si>
    <t>BQ75254115</t>
  </si>
  <si>
    <t xml:space="preserve">VIR INST VERS SASA S.A.S. VPRDS HOME SOLUTIONS SASA SASA-1375 SASA-1375 E8E0E28534744EBDBB1D9101A7B7DEDB FR7610207000902321549336060 </t>
  </si>
  <si>
    <t>FA001305</t>
  </si>
  <si>
    <t>BQ76847744</t>
  </si>
  <si>
    <t xml:space="preserve">VIR INST VERS SARL SOCIETE POUR S.A.S. VPRDS HOME SOLUTIONS SARL SOCIETE POUR L AIDE SPECIALE D ACCESSI SASA-1330 SASA-1330 F3A4A3232DBB4A27993C77D42F07A86F FR7610207000902321549336060 </t>
  </si>
  <si>
    <t>FA001325</t>
  </si>
  <si>
    <t>401SCPMAILLARD</t>
  </si>
  <si>
    <t>SCP MAILLARD</t>
  </si>
  <si>
    <t>102514</t>
  </si>
  <si>
    <t>BQ72207131</t>
  </si>
  <si>
    <t xml:space="preserve">VIR INST VERS SCP MALLARD ET RA S.A.S. VPRDS HOME SOLUTIONS SCP MALLARD ET RADONDE C064402 VPRDS HOME SOLUTIONS C064402 F2CDFD9E40E24FB2BC4C78395140BF10 FR6840031000010000145814T16 </t>
  </si>
  <si>
    <t>401SETRAM</t>
  </si>
  <si>
    <t>SETRAM</t>
  </si>
  <si>
    <t>BQ69614544</t>
  </si>
  <si>
    <t xml:space="preserve">VIR INST VERS JENIFER JANDOT S.A.S. VPRDS HOME SOLUTIONS JENIFER JANDOT RBSMT TRANSPOTS J JANDOT PRISE EN CHARGE TRANSPORT MIKIT 73859F490B0040BDAF50BD03561DDE8C FR9820041010111538798R03294 </t>
  </si>
  <si>
    <t>20251202090811</t>
  </si>
  <si>
    <t>BQ72372592</t>
  </si>
  <si>
    <t>WEB JENIFER JANDOT PRISE EN CHA S.A.S. VPRDS HOME SOLUTIONS JENIFER JANDOT PRISE EN CHARGE TRANSPORT J JANDOT PRISE EN CHARGE TRANSPORT MIKIT AGRIFRPP879 EUR200000000000840 FR9820041010111538798R03294</t>
  </si>
  <si>
    <t>BQ75668123</t>
  </si>
  <si>
    <t>401SFR</t>
  </si>
  <si>
    <t>610522421476</t>
  </si>
  <si>
    <t>BQ59229580</t>
  </si>
  <si>
    <t xml:space="preserve">CARTE X7179 ACHAT SFRENLIGNE PA </t>
  </si>
  <si>
    <t>BQ59494476</t>
  </si>
  <si>
    <t xml:space="preserve">SFR SFR FR44ZZZ332801 SEPA VPRDS HOME SOLUTIONS 291175493 02-003270681495 SFR PRLVT SEPA 99-O2DTAM-01 003270681495 GP202506120289378355 FRST FR7617906001129641663834646 </t>
  </si>
  <si>
    <t>20250709082646</t>
  </si>
  <si>
    <t>B225-012786984</t>
  </si>
  <si>
    <t>BQ62956356</t>
  </si>
  <si>
    <t xml:space="preserve">SFR SFR FR44ZZZ332801 SEPA VPRDS HOME SOLUTIONS 293653863 02-003990929417 SFR PRLVT SEPA 99-O2DTAM-01 003990929417 GP202506120289378355 RCUR FR7617906001129641663834646 </t>
  </si>
  <si>
    <t>b225-014562309</t>
  </si>
  <si>
    <t>SFDR-S B225-014562309</t>
  </si>
  <si>
    <t>BQ65020783</t>
  </si>
  <si>
    <t xml:space="preserve">SFR SFR FR44ZZZ332801 SEPA VPRDS HOME SOLUTIONS 295716188 02-003232090812 SFR PRLVT SEPA 99-O2DTAM-01 003232090812 GP202506120289378355 RCUR FR7617906001129641663834646 </t>
  </si>
  <si>
    <t>B225-016591203</t>
  </si>
  <si>
    <t>BQ67758783</t>
  </si>
  <si>
    <t xml:space="preserve">SFR SFR FR44ZZZ332801 SEPA VPRDS HOME SOLUTIONS 297969033 02-003592439925 SFR PRLVT SEPA 99-O2DTAM-01 003592439925 GP202506120289378355 RCUR FR7617906001129641663834646 </t>
  </si>
  <si>
    <t>B225-018558802</t>
  </si>
  <si>
    <t>BQ70714788</t>
  </si>
  <si>
    <t xml:space="preserve">SFR SFR FR44ZZZ332801 SEPA VPRDS HOME SOLUTIONS 300310680 02-003313373468 SFR PRLVT SEPA 99-O2DTAM-01 003313373468 GP202506120289378355 RCUR FR7617906001129641663834646 </t>
  </si>
  <si>
    <t>B225-020557232</t>
  </si>
  <si>
    <t>BQ73684080</t>
  </si>
  <si>
    <t xml:space="preserve">SFR SFR FR44ZZZ332801 SEPA VPRDS HOME SOLUTIONS 302617806 02-003393921281 SFR PRLVT SEPA 99-O2DTAM-01 003393921281 GP202506120289378355 RCUR FR7617906001129641663834646 </t>
  </si>
  <si>
    <t>B225-022482150</t>
  </si>
  <si>
    <t>BQ77161625</t>
  </si>
  <si>
    <t xml:space="preserve">SFR SFR FR44ZZZ332801 SEPA VPRDS HOME SOLUTIONS 305005869 02-003594407591 SFR PRLVT SEPA 99-O2DTAM-01 003594407591 GP202506120289378355 RCUR FR7617906001129641663834646 </t>
  </si>
  <si>
    <t>401SKLUM</t>
  </si>
  <si>
    <t>SKLUM BENIARJO</t>
  </si>
  <si>
    <t>BQ46673992</t>
  </si>
  <si>
    <t xml:space="preserve">CARTE X7179 SKLUM VILLALONGA </t>
  </si>
  <si>
    <t>20250213090030</t>
  </si>
  <si>
    <t>BQ55191759</t>
  </si>
  <si>
    <t>20260205154606</t>
  </si>
  <si>
    <t>401SNCF</t>
  </si>
  <si>
    <t>SNCF</t>
  </si>
  <si>
    <t>20250218102744</t>
  </si>
  <si>
    <t>BQ47826826</t>
  </si>
  <si>
    <t xml:space="preserve">CARTE X7179 SNCF-VOYAGEURS PARI </t>
  </si>
  <si>
    <t>401SOCIETESPORTIVEPROFESSIONNELLEDE</t>
  </si>
  <si>
    <t>SOCIETESPORTIVEPROFESSIONNELLEDE</t>
  </si>
  <si>
    <t>20250617081344</t>
  </si>
  <si>
    <t>BQ58726365</t>
  </si>
  <si>
    <t xml:space="preserve">CARTE X7179 ECOMMERCE SSP LE MA </t>
  </si>
  <si>
    <t>20250703134612</t>
  </si>
  <si>
    <t>BQ61151811</t>
  </si>
  <si>
    <t>401SPORBAR</t>
  </si>
  <si>
    <t>SPORBAR</t>
  </si>
  <si>
    <t>00015111</t>
  </si>
  <si>
    <t>SARL SPORT BAR/ ENTREE BOITE  DE NUIT / PERSO</t>
  </si>
  <si>
    <t>BQ68929006</t>
  </si>
  <si>
    <t xml:space="preserve">CARTE X7179 SPORT BAR 75 PARIS </t>
  </si>
  <si>
    <t>401SPORTBAR</t>
  </si>
  <si>
    <t>SPORT BAR</t>
  </si>
  <si>
    <t>20251022153244</t>
  </si>
  <si>
    <t>SPORT BAR/ CONSOMMATIONS PERSO / BOITE DE NUIT</t>
  </si>
  <si>
    <t>BQ68781799</t>
  </si>
  <si>
    <t xml:space="preserve">CARTE X7179 SPORT BAR PARIS </t>
  </si>
  <si>
    <t>401SSPPR</t>
  </si>
  <si>
    <t>SSPPR</t>
  </si>
  <si>
    <t>0007-0257941</t>
  </si>
  <si>
    <t>BQ58275081</t>
  </si>
  <si>
    <t xml:space="preserve">CARTE X7179 PRET A MANGER BOUGU </t>
  </si>
  <si>
    <t>401SUPERU</t>
  </si>
  <si>
    <t>SUPER U</t>
  </si>
  <si>
    <t>184852004351-241896-89070745</t>
  </si>
  <si>
    <t>BQ51392579</t>
  </si>
  <si>
    <t xml:space="preserve">CARTE X7179 SUPER U LIBERATION </t>
  </si>
  <si>
    <t>BQ63408158</t>
  </si>
  <si>
    <t xml:space="preserve">CARTE X7179 UEP*ALIM SUPER U LE </t>
  </si>
  <si>
    <t>201752004951-263817-39292491</t>
  </si>
  <si>
    <t>BQ65383098</t>
  </si>
  <si>
    <t>FALOC3526625-000677</t>
  </si>
  <si>
    <t>BQ67532808</t>
  </si>
  <si>
    <t>FALOC3526625-000737</t>
  </si>
  <si>
    <t>20251121110046</t>
  </si>
  <si>
    <t>33464-1</t>
  </si>
  <si>
    <t xml:space="preserve">SUPER U </t>
  </si>
  <si>
    <t>BQ77161626</t>
  </si>
  <si>
    <t xml:space="preserve">CARTE X7179 SUPER U 72 RUAUDIN </t>
  </si>
  <si>
    <t>401TAXICONTACT</t>
  </si>
  <si>
    <t>TAXI CONTACT</t>
  </si>
  <si>
    <t>20250213110755</t>
  </si>
  <si>
    <t>BQ48131477</t>
  </si>
  <si>
    <t xml:space="preserve">CARTE X7179 TAXI PARISIEN COLOM </t>
  </si>
  <si>
    <t>401TAXIJACQUAIN</t>
  </si>
  <si>
    <t>TAXI JACQUIN</t>
  </si>
  <si>
    <t>20250617150703</t>
  </si>
  <si>
    <t>BQ57024890</t>
  </si>
  <si>
    <t xml:space="preserve">CARTE X7179 SUMUP *TAXI JACQUAI </t>
  </si>
  <si>
    <t>401TCMMM</t>
  </si>
  <si>
    <t>TCMMM</t>
  </si>
  <si>
    <t>a813727171037</t>
  </si>
  <si>
    <t>BQ55029954</t>
  </si>
  <si>
    <t xml:space="preserve">CARTE X7179 LE VENEZ LE MANS </t>
  </si>
  <si>
    <t>401THIERRYBRETON</t>
  </si>
  <si>
    <t>THIERY BRETON TRAITEUR</t>
  </si>
  <si>
    <t>401TOTAL</t>
  </si>
  <si>
    <t>TOTAL DIRECT ENERGIE</t>
  </si>
  <si>
    <t>TOTALENERGIES ELECTRICITE ET GAZ FRANCE-ENERGIE-FACTURE-120002460005 (20/12/2024)</t>
  </si>
  <si>
    <t>BQ46562045</t>
  </si>
  <si>
    <t>TOTALENERGIES ELECTRICITE ET GA TOTALENERGIES ELECTRICITE ET GAZ FRANCE FR03ZZZ488157 SEPA VPRDS HOME SOLUTIONS 277640373 02-222003261791-------------------- PRELEVEMENT TOTALENERGIES ELECTRICITE ET G</t>
  </si>
  <si>
    <t>111004734709</t>
  </si>
  <si>
    <t>BQ48811466</t>
  </si>
  <si>
    <t>TOTALENERGIES ELECTRICITE ET GA TOTALENERGIES ELECTRICITE ET GAZ FRANCE FR03ZZZ488157 SEPA VPRDS HOME SOLUTIONS 280290202 02-204512954535-------------------- PRELEVEMENT TOTALENERGIES ELECTRICITE ET G</t>
  </si>
  <si>
    <t>2025-02-11-13:45:00-88.01</t>
  </si>
  <si>
    <t>BQ49574519</t>
  </si>
  <si>
    <t>117002706565</t>
  </si>
  <si>
    <t>BQ51392577</t>
  </si>
  <si>
    <t>TOTALENERGIES ELECTRICITE ET GA TOTALENERGIES ELECTRICITE ET GAZ FRANCE FR03ZZZ488157 SEPA VPRDS HOME SOLUTIONS 283382957 02-221203669530-------------------- PRELEVEMENT TOTALENERGIES ELECTRICITE ET G</t>
  </si>
  <si>
    <t>120002608662</t>
  </si>
  <si>
    <t>BQ53521784</t>
  </si>
  <si>
    <t>TOTALENERGIES ELECTRICITE ET GA TOTALENERGIES ELECTRICITE ET GAZ FRANCE FR03ZZZ488157 SEPA VPRDS HOME SOLUTIONS 285409900 02-204513191544-------------------- PRELEVEMENT TOTALENERGIES ELECTRICITE ET G</t>
  </si>
  <si>
    <t>112004757729</t>
  </si>
  <si>
    <t>BQ55875117</t>
  </si>
  <si>
    <t>TOTALENERGIES ELECTRICITE ET GA TOTALENERGIES ELECTRICITE ET GAZ FRANCE FR03ZZZ488157 SEPA VPRDS HOME SOLUTIONS 287533641 02-221903297303-------------------- PRELEVEMENT TOTALENERGIES ELECTRICITE ET G</t>
  </si>
  <si>
    <t>108005293548</t>
  </si>
  <si>
    <t>BQ58275079</t>
  </si>
  <si>
    <t>TOTALENERGIES ELECTRICITE ET GA TOTALENERGIES ELECTRICITE ET GAZ FRANCE FR03ZZZ488157 SEPA VPRDS HOME SOLUTIONS 289861096 02-223303600481-------------------- PRELEVEMENT TOTALENERGIES ELECTRICITE ET G</t>
  </si>
  <si>
    <t>103006084478</t>
  </si>
  <si>
    <t>BQ61261126</t>
  </si>
  <si>
    <t>TOTALENERGIES ELECTRICITE ET GA TOTALENERGIES ELECTRICITE ET GAZ FRANCE FR03ZZZ488157 SEPA VPRDS HOME SOLUTIONS 292450113 02-221303328719-------------------- PRELEVEMENT TOTALENERGIES ELECTRICITE ET G</t>
  </si>
  <si>
    <t>106005713493</t>
  </si>
  <si>
    <t>106005767054</t>
  </si>
  <si>
    <t>BQ66310236</t>
  </si>
  <si>
    <t>TOTALENERGIES ELECTRICITE ET GA TOTALENERGIES ELECTRICITE ET GAZ FRANCE FR03ZZZ488157 SEPA VPRDS HOME SOLUTIONS 296733344 02-222503866094-------------------- PRELEVEMENT TOTALENERGIES ELECTRICITE ET G</t>
  </si>
  <si>
    <t>108005508149</t>
  </si>
  <si>
    <t>BQ69291948</t>
  </si>
  <si>
    <t>TOTALENERGIES ELECTRICITE ET GA TOTALENERGIES ELECTRICITE ET GAZ FRANCE FR03ZZZ488157 SEPA VPRDS HOME SOLUTIONS 299047886 02-222004082949-------------------- PRELEVEMENT TOTALENERGIES ELECTRICITE ET G</t>
  </si>
  <si>
    <t>129002465850</t>
  </si>
  <si>
    <t>BQ72207129</t>
  </si>
  <si>
    <t>TOTALENERGIES ELECTRICITE ET GA TOTALENERGIES ELECTRICITE ET GAZ FRANCE FR03ZZZ488157 SEPA VPRDS HOME SOLUTIONS 301335744 02-223804005422-------------------- PRELEVEMENT TOTALENERGIES ELECTRICITE ET G</t>
  </si>
  <si>
    <t>126002731570</t>
  </si>
  <si>
    <t>BQ74405945</t>
  </si>
  <si>
    <t>TOTALENERGIES ELECTRICITE ET GA TOTALENERGIES ELECTRICITE ET GAZ FRANCE FR03ZZZ488157 SEPA VPRDS HOME SOLUTIONS 303001930 02-223804111918-------------------- PRELEVEMENT TOTALENERGIES ELECTRICITE ET G</t>
  </si>
  <si>
    <t>BQ75668120</t>
  </si>
  <si>
    <t>TOTALENERGIES ELECTRICITE ET GA TOTALENERGIES ELECTRICITE ET GAZ FRANCE FR03ZZZ488157 SEPA VPRDS HOME SOLUTIONS 303815779 02-202513514762-------------------- PRELEVEMENT TOTALENERGIES ELECTRICITE ET G</t>
  </si>
  <si>
    <t>113005084269</t>
  </si>
  <si>
    <t>401TOTALEN</t>
  </si>
  <si>
    <t>TOTAL ENERGIES</t>
  </si>
  <si>
    <t>103000019382</t>
  </si>
  <si>
    <t>BQ52781339</t>
  </si>
  <si>
    <t>108000101054</t>
  </si>
  <si>
    <t>BQ58726366</t>
  </si>
  <si>
    <t xml:space="preserve">CARTE X7179 RELAIS DE BOLMON MA </t>
  </si>
  <si>
    <t>101000018482</t>
  </si>
  <si>
    <t>TOTALENERGIES MARKETING FRANCE 101000018482</t>
  </si>
  <si>
    <t>BQ75949113</t>
  </si>
  <si>
    <t>401UBER</t>
  </si>
  <si>
    <t>241</t>
  </si>
  <si>
    <t>BQ72826835</t>
  </si>
  <si>
    <t>298</t>
  </si>
  <si>
    <t>BQ73014516</t>
  </si>
  <si>
    <t>20260112114635</t>
  </si>
  <si>
    <t>20260205104035</t>
  </si>
  <si>
    <t>UBER / RGLT PERSO</t>
  </si>
  <si>
    <t>401UBIFLOW</t>
  </si>
  <si>
    <t>UBIFLOW</t>
  </si>
  <si>
    <t>F122638</t>
  </si>
  <si>
    <t>BQ47619444</t>
  </si>
  <si>
    <t xml:space="preserve">SAS UBIFLOW SAS UBIFLOW FR29ZZZ451023 SEPA HOME SOLUTIONS 278262364 122638-2025-01-06T16 05 59 ABONNEMENT MENSUEL UBIFLOW MONO DIFFUSION AG720965 RCUR FR7617906001129641663834646 </t>
  </si>
  <si>
    <t>F125050</t>
  </si>
  <si>
    <t>BQ50116588</t>
  </si>
  <si>
    <t xml:space="preserve">SAS UBIFLOW SAS UBIFLOW FR29ZZZ451023 SEPA HOME SOLUTIONS 281261720 125050-2025-02-06T09 48 40 ABONNEMENT MENSUEL UBIFLOW MONO DIFFUSION AG720965 RCUR FR7617906001129641663834646 </t>
  </si>
  <si>
    <t>F125880</t>
  </si>
  <si>
    <t>BQ52314301</t>
  </si>
  <si>
    <t xml:space="preserve">SAS UBIFLOW SAS UBIFLOW FR29ZZZ451023 SEPA HOME SOLUTIONS 283840670 125880-2025-03-06T15 35 11 ABONNEMENT MENSUEL UBIFLOW MONO DIFFUSION AG720965 RCUR FR7617906001129641663834646 </t>
  </si>
  <si>
    <t>F126956</t>
  </si>
  <si>
    <t>BQ54813453</t>
  </si>
  <si>
    <t xml:space="preserve">SAS UBIFLOW SAS UBIFLOW FR29ZZZ451023 SEPA HOME SOLUTIONS 286622684 126956-2025-04-08T14 50 32 ABONNEMENT MENSUEL UBIFLOW MONO DIFFUSION AG720965 RCUR FR7617906001129641663834646 </t>
  </si>
  <si>
    <t>F129282</t>
  </si>
  <si>
    <t>BQ56343055</t>
  </si>
  <si>
    <t xml:space="preserve">SAS UBIFLOW SAS UBIFLOW FR29ZZZ451023 SEPA HOME SOLUTIONS 287967697 129282-2025-05-05T14 42 54 ABONNEMENT MENSUEL UBIFLOW MONO DIFFUSION AG720965 RCUR FR7617906001129641663834646 </t>
  </si>
  <si>
    <t>F130343</t>
  </si>
  <si>
    <t>BQ58409314</t>
  </si>
  <si>
    <t xml:space="preserve">SAS UBIFLOW SAS UBIFLOW FR29ZZZ451023 SEPA HOME SOLUTIONS 289972786 130343-2025-06-03T14 30 53 ABONNEMENT MENSUEL UBIFLOW MONO DIFFUSION AG720965 RCUR FR7617906001129641663834646 </t>
  </si>
  <si>
    <t>F131543</t>
  </si>
  <si>
    <t>BQ62125335</t>
  </si>
  <si>
    <t xml:space="preserve">SAS UBIFLOW SAS UBIFLOW FR29ZZZ451023 SEPA HOME SOLUTIONS 293097506 131543-2025-07-10T08 20 03 ABONNEMENT MENSUEL UBIFLOW MONO DIFFUSION AG720965 RCUR FR7617906001129641663834646 </t>
  </si>
  <si>
    <t>F134009</t>
  </si>
  <si>
    <t>BQ64401865</t>
  </si>
  <si>
    <t xml:space="preserve">SAS UBIFLOW SAS UBIFLOW FR29ZZZ451023 SEPA HOME SOLUTIONS 295073450 134009-2025-08-05T11 47 44 ABONNEMENT MENSUEL UBIFLOW MONO DIFFUSION AG720965 RCUR FR7617906001129641663834646 </t>
  </si>
  <si>
    <t>F135635</t>
  </si>
  <si>
    <t>BQ66754113</t>
  </si>
  <si>
    <t xml:space="preserve">SAS UBIFLOW SAS UBIFLOW FR29ZZZ451023 SEPA HOME SOLUTIONS 297246851 135635-2025-09-05T14 21 31 ABONNEMENT MENSUEL UBIFLOW MONO DIFFUSION AG720965 RCUR FR7617906001129641663834646 </t>
  </si>
  <si>
    <t>F137458</t>
  </si>
  <si>
    <t>BQ69614539</t>
  </si>
  <si>
    <t xml:space="preserve">SAS UBIFLOW SAS UBIFLOW FR29ZZZ451023 SEPA HOME SOLUTIONS 299420722 137458-2025-10-06T12 02 41 ABONNEMENT MENSUEL UBIFLOW MONO DIFFUSION AG720965 RCUR FR7617906001129641663834646 </t>
  </si>
  <si>
    <t>F139894</t>
  </si>
  <si>
    <t>BQ72522929</t>
  </si>
  <si>
    <t xml:space="preserve">SAS UBIFLOW SAS UBIFLOW FR29ZZZ451023 SEPA HOME SOLUTIONS 301701979 139894-2025-11-04T15 15 15 ABONNEMENT MENSUEL UBIFLOW MONO DIFFUSION AG720965 RCUR FR7617906001129641663834646 </t>
  </si>
  <si>
    <t>F141324</t>
  </si>
  <si>
    <t>20251212110553</t>
  </si>
  <si>
    <t>PRLV SEPA UBIFLOX FACT NOV 25</t>
  </si>
  <si>
    <t>F141580</t>
  </si>
  <si>
    <t>20260123161832</t>
  </si>
  <si>
    <t>BQ75813679</t>
  </si>
  <si>
    <t xml:space="preserve">SAS UBIFLOW SAS UBIFLOW FR29ZZZ451023 SEPA HOME SOLUTIONS 304050535 141580-2025-12-04T15 48 38 ABONNEMENT MENSUEL UBIFLOW MONO DIFFUSION AG720965 RCUR FR7617906001129641663834646 </t>
  </si>
  <si>
    <t>20260112115037</t>
  </si>
  <si>
    <t>PRLV SEPA UBIFLOW</t>
  </si>
  <si>
    <t>401ULYS</t>
  </si>
  <si>
    <t>ULYS</t>
  </si>
  <si>
    <t>KL02647513</t>
  </si>
  <si>
    <t>BQ47619445</t>
  </si>
  <si>
    <t>AUTOROUTES DU SUD DE LA FRANCE AUTOROUTES DU SUD DE LA FRANCE FR94ZZZ007048 SEPA VPRDS HOME SOLUTIONS 279052594 0000000 KL026475130047070978 122024 2500470709788701709 RCUR FR7617906001129641663834646</t>
  </si>
  <si>
    <t>LA02467931</t>
  </si>
  <si>
    <t>BQ50116589</t>
  </si>
  <si>
    <t>AUTOROUTES DU SUD DE LA FRANCE AUTOROUTES DU SUD DE LA FRANCE FR94ZZZ007048 SEPA VPRDS HOME SOLUTIONS 281992604 0000000 LA024679310047070978 012025 2500470709788701709 RCUR FR7617906001129641663834646</t>
  </si>
  <si>
    <t>20250310113325</t>
  </si>
  <si>
    <t>BQ52314302</t>
  </si>
  <si>
    <t>AUTOROUTES DU SUD DE LA FRANCE AUTOROUTES DU SUD DE LA FRANCE FR94ZZZ007048 SEPA VPRDS HOME SOLUTIONS 284408543 0000000 LB024869580047070978 022025 2500470709788701709 RCUR FR7617906001129641663834646</t>
  </si>
  <si>
    <t>LC02486564</t>
  </si>
  <si>
    <t>BQ54813454</t>
  </si>
  <si>
    <t>AUTOROUTES DU SUD DE LA FRANCE AUTOROUTES DU SUD DE LA FRANCE FR94ZZZ007048 SEPA VPRDS HOME SOLUTIONS 286655554 0000000 LC024865640047070978 032025 2500470709788701709 RCUR FR7617906001129641663834646</t>
  </si>
  <si>
    <t>LD02676745</t>
  </si>
  <si>
    <t>BQ57120345</t>
  </si>
  <si>
    <t>AUTOROUTES DU SUD DE LA FRANCE AUTOROUTES DU SUD DE LA FRANCE FR94ZZZ007048 SEPA VPRDS HOME SOLUTIONS 288828326 0000000 LD026767450047070978 042025 2500470709788701709 RCUR FR7617906001129641663834646</t>
  </si>
  <si>
    <t>LE02750417</t>
  </si>
  <si>
    <t>BQ59735062</t>
  </si>
  <si>
    <t>AUTOROUTES DU SUD DE LA FRANCE AUTOROUTES DU SUD DE LA FRANCE FR94ZZZ007048 SEPA VPRDS HOME SOLUTIONS 291341053 0000000 LE027504170047070978 052025 2500470709788701709 RCUR FR7617906001129641663834646</t>
  </si>
  <si>
    <t>LF02731138</t>
  </si>
  <si>
    <t>BQ62743944</t>
  </si>
  <si>
    <t>AUTOROUTES DU SUD DE LA FRANCE AUTOROUTES DU SUD DE LA FRANCE FR94ZZZ007048 SEPA VPRDS HOME SOLUTIONS 293474364 0000000 LF027311380047070978 062025 2500470709788701709 RCUR FR7617906001129641663834646</t>
  </si>
  <si>
    <t>LG02933283</t>
  </si>
  <si>
    <t>BQ65103433</t>
  </si>
  <si>
    <t>AUTOROUTES DU SUD DE LA FRANCE AUTOROUTES DU SUD DE LA FRANCE FR94ZZZ007048 SEPA VPRDS HOME SOLUTIONS 295764739 0000000 LG029332830047070978 072025 2500470709788701709 RCUR FR7617906001129641663834646</t>
  </si>
  <si>
    <t>LH03117110</t>
  </si>
  <si>
    <t>BQ67758782</t>
  </si>
  <si>
    <t>AUTOROUTES DU SUD DE LA FRANCE AUTOROUTES DU SUD DE LA FRANCE FR94ZZZ007048 SEPA VPRDS HOME SOLUTIONS 297945784 0000000 LH031171100047070978 082025 2500470709788701709 RCUR FR7617906001129641663834646</t>
  </si>
  <si>
    <t>LI02658578</t>
  </si>
  <si>
    <t>BQ70714787</t>
  </si>
  <si>
    <t>AUTOROUTES DU SUD DE LA FRANCE AUTOROUTES DU SUD DE LA FRANCE FR94ZZZ007048 SEPA VPRDS HOME SOLUTIONS 300291639 0000000 LI026585780047070978 092025 2500470709788701709 RCUR FR7617906001129641663834646</t>
  </si>
  <si>
    <t>LJ02617487</t>
  </si>
  <si>
    <t>BQ73819244</t>
  </si>
  <si>
    <t>AUTOROUTES DU SUD DE LA FRANCE AUTOROUTES DU SUD DE LA FRANCE FR94ZZZ007048 SEPA VPRDS HOME SOLUTIONS 302682113 0000000 LJ026174870047070978 102025 2500470709788701709 RCUR FR7617906001129641663834646</t>
  </si>
  <si>
    <t>LK02476362</t>
  </si>
  <si>
    <t>BQ77161624</t>
  </si>
  <si>
    <t>AUTOROUTES DU SUD DE LA FRANCE AUTOROUTES DU SUD DE LA FRANCE FR94ZZZ007048 SEPA VPRDS HOME SOLUTIONS 304972837 0000000 LK024763620047070978 112025 2500470709788701709 RCUR FR7617906001129641663834646</t>
  </si>
  <si>
    <t>401USGUECELARD</t>
  </si>
  <si>
    <t>US GUECELARD</t>
  </si>
  <si>
    <t>BQ56934345</t>
  </si>
  <si>
    <t xml:space="preserve">VIR INST VERS US GUECELARD S.A.S. VPRDS HOME SOLUTIONS US GUECELARD PARTENARIAT GUECECUP PARTENARIAT GUECECUP 1F4F8940836640668C42DF71208889C8 FR7615489048010003099234004 </t>
  </si>
  <si>
    <t>20250617121905</t>
  </si>
  <si>
    <t>401VBGMB</t>
  </si>
  <si>
    <t>f062674743</t>
  </si>
  <si>
    <t>f062675378</t>
  </si>
  <si>
    <t>BQ56156934</t>
  </si>
  <si>
    <t>VW BANK FRANCE VW BANK FRANCE FR51ZZZ487778 SEPA STE VRPDS HOME SOLUTION 287863503 01-416E53006845822025 25499752LL25499752LL R061424352 FSP416E1206460011799641F6638300 FRST FR761790600112964166383464</t>
  </si>
  <si>
    <t>f062893932</t>
  </si>
  <si>
    <t>BQ58013123</t>
  </si>
  <si>
    <t>VW BANK FRANCE VW BANK FRANCE FR51ZZZ487778 SEPA STE VRPDS HOME SOLUTION 289392154 01-416E53007499622025 25499752LL25499752LL R061545619 FSP416E1206460011799641F6638300 RCUR FR761790600112964166383464</t>
  </si>
  <si>
    <t>BQ60719874</t>
  </si>
  <si>
    <t>VW BANK FRANCE VW BANK FRANCE FR51ZZZ487778 SEPA STE VRPDS HOME SOLUTION 291534694 01-416E53009778382025 25499752LL25499752LL R061759526 FSP416E1206460011799641F6638300 RCUR FR761790600112964166383464</t>
  </si>
  <si>
    <t>F063164463</t>
  </si>
  <si>
    <t>BQ63828375</t>
  </si>
  <si>
    <t>VW BANK FRANCE VW BANK FRANCE FR51ZZZ487778 SEPA STE VRPDS HOME SOLUTION 294009630 01-416E53011444602025 25499752LL25499752LL R061988692 FSP416E1206460011799641F6638300 RCUR FR761790600112964166383464</t>
  </si>
  <si>
    <t>20251023123521</t>
  </si>
  <si>
    <t>BQ65951115</t>
  </si>
  <si>
    <t>VW BANK FRANCE VW BANK FRANCE FR51ZZZ487778 SEPA STE VRPDS HOME SOLUTION 296121156 01-416E53013058242025 25499752LL25499752LL R062208014 FSP416E1206460011799641F6638300 RCUR FR761790600112964166383464</t>
  </si>
  <si>
    <t>F063690683</t>
  </si>
  <si>
    <t>VOLKSWAGEN BANK GESELLSCHAFT MIT BESCHRAENKTER HAFTUNG-LOCATION MOBILIÈRE AVEC OPTION D'ACHAT-FACTURE-F063690683</t>
  </si>
  <si>
    <t>BQ68781792</t>
  </si>
  <si>
    <t>VW BANK FRANCE VW BANK FRANCE FR51ZZZ487778 SEPA STE VRPDS HOME SOLUTION 298444864 01-416E53014729082025 25499752LL25499752LL R062440760 FSP416E1206460011799641F6638300 RCUR FR761790600112964166383464</t>
  </si>
  <si>
    <t>f063344388</t>
  </si>
  <si>
    <t>f064213040</t>
  </si>
  <si>
    <t>BQ72035711</t>
  </si>
  <si>
    <t>VW BANK FRANCE VW BANK FRANCE FR51ZZZ487778 SEPA STE VRPDS HOME SOLUTION 300847767 01-416E53016444702025 25499752LL25499752LL R062674687 FSP416E1206460011799641F6638300 RCUR FR761790600112964166383464</t>
  </si>
  <si>
    <t>BQ74860640</t>
  </si>
  <si>
    <t>VW BANK FRANCE VW BANK FRANCE FR51ZZZ487778 SEPA STE VRPDS HOME SOLUTION 302967668 01-416E53018155722025 25499752LL25499752LL R062906349 FSP416E1206460011799641F6638300 RCUR FR761790600112964166383464</t>
  </si>
  <si>
    <t>f064492989</t>
  </si>
  <si>
    <t>401VERISUR</t>
  </si>
  <si>
    <t>VERISURE</t>
  </si>
  <si>
    <t>SDCF47936559</t>
  </si>
  <si>
    <t>BQ46763835</t>
  </si>
  <si>
    <t xml:space="preserve">VERISURE VERISURE FR93ZZZ324159 SEPA VINCENT PARADIS 277922174 80831105 1505118 RCUR FR7617906001129641663834646 </t>
  </si>
  <si>
    <t>SDCF48746826</t>
  </si>
  <si>
    <t>BQ49217665</t>
  </si>
  <si>
    <t xml:space="preserve">VERISURE VERISURE FR93ZZZ324159 SEPA VINCENT PARADIS 280704150 81729464 1505118 RCUR FR7617906001129641663834646 </t>
  </si>
  <si>
    <t>SDCF49681907</t>
  </si>
  <si>
    <t>BQ51392576</t>
  </si>
  <si>
    <t xml:space="preserve">VERISURE VERISURE FR93ZZZ324159 SEPA VINCENT PARADIS 283279363 82746686 1505118 RCUR FR7617906001129641663834646 </t>
  </si>
  <si>
    <t>SDCF50458613</t>
  </si>
  <si>
    <t>BQ54244139</t>
  </si>
  <si>
    <t xml:space="preserve">VERISURE VERISURE FR93ZZZ324159 SEPA VINCENT PARADIS 285849266 83627243 1505118 RCUR FR7617906001129641663834646 </t>
  </si>
  <si>
    <t>SDCF51301166</t>
  </si>
  <si>
    <t>BQ56343054</t>
  </si>
  <si>
    <t xml:space="preserve">VERISURE VERISURE FR93ZZZ324159 SEPA VINCENT PARADIS 287886689 84560998 1505118 RCUR FR7617906001129641663834646 </t>
  </si>
  <si>
    <t>SDCF52283718</t>
  </si>
  <si>
    <t>BQ58726359</t>
  </si>
  <si>
    <t xml:space="preserve">VERISURE VERISURE FR93ZZZ324159 SEPA VINCENT PARADIS 290342864 85614548 1505118 RCUR FR7617906001129641663834646 </t>
  </si>
  <si>
    <t>SDCF53057321</t>
  </si>
  <si>
    <t>BQ62120929</t>
  </si>
  <si>
    <t xml:space="preserve">VERISURE VERISURE FR93ZZZ324159 SEPA VINCENT PARADIS 292692464 86487495 1505118 RCUR FR7617906001129641663834646 </t>
  </si>
  <si>
    <t>SDCF53904171</t>
  </si>
  <si>
    <t>BQ64286220</t>
  </si>
  <si>
    <t xml:space="preserve">VERISURE VERISURE FR93ZZZ324159 SEPA VINCENT PARADIS 294811707 87419823 1505118 RCUR FR7617906001129641663834646 </t>
  </si>
  <si>
    <t>SDCF54903028</t>
  </si>
  <si>
    <t>BQ66754110</t>
  </si>
  <si>
    <t xml:space="preserve">VERISURE VERISURE FR93ZZZ324159 SEPA VINCENT PARADIS 297093077 88490093 1505118 RCUR FR7617906001129641663834646 </t>
  </si>
  <si>
    <t>SDCF55894904</t>
  </si>
  <si>
    <t>BQ69614538</t>
  </si>
  <si>
    <t xml:space="preserve">VERISURE VERISURE FR93ZZZ324159 SEPA VINCENT PARADIS 299294918 89569011 1505118 RCUR FR7617906001129641663834646 </t>
  </si>
  <si>
    <t>SDCF56746141</t>
  </si>
  <si>
    <t>BQ72713397</t>
  </si>
  <si>
    <t xml:space="preserve">VERISURE VERISURE FR93ZZZ324159 SEPA VINCENT PARADIS 301713302 90511696 1505118 RCUR FR7617906001129641663834646 </t>
  </si>
  <si>
    <t>SDCF57686960</t>
  </si>
  <si>
    <t>BQ75949109</t>
  </si>
  <si>
    <t xml:space="preserve">VERISURE VERISURE FR93ZZZ324159 SEPA VINCENT PARADIS 304074310 91550998 1505118 RCUR FR7617906001129641663834646 </t>
  </si>
  <si>
    <t>401VISTAPR</t>
  </si>
  <si>
    <t>VISTAPRINT</t>
  </si>
  <si>
    <t>VISTAPRINT ANNONCES &amp; INSERTIONS (22/09/2024)</t>
  </si>
  <si>
    <t>RCLST PAIEMENT PERSO (22/09/2024)</t>
  </si>
  <si>
    <t>0225095706</t>
  </si>
  <si>
    <t>BQ49916189</t>
  </si>
  <si>
    <t xml:space="preserve">CARTE X7179 VISTAPRINT VENLO </t>
  </si>
  <si>
    <t>40810000000</t>
  </si>
  <si>
    <t>Frs fact non parvenues</t>
  </si>
  <si>
    <t>MISSION COMPTES ANNUELS 2024</t>
  </si>
  <si>
    <t>MISSION JURIDIQUE ANNUEL 2024</t>
  </si>
  <si>
    <t>APPELS OBTINEO 12/24 2024</t>
  </si>
  <si>
    <t>PEAGES 12.2024 2024</t>
  </si>
  <si>
    <t>REDEVANCES MIKIT CHANTIERS 2024</t>
  </si>
  <si>
    <t>EXTOURNE REDEVANCES MIKIT CHANTIERS 2024</t>
  </si>
  <si>
    <t>REDEVANCES PUB MIKIT CHANTIERS 2024</t>
  </si>
  <si>
    <t>EXTOURNE REDEVANCES PUB MIKIT CHANTIERS 2024</t>
  </si>
  <si>
    <t>SOUS TRAITANCE CHANTIERS 2024</t>
  </si>
  <si>
    <t>EXTOURNE SOUS TRAITANCE CHANTIERS 2024</t>
  </si>
  <si>
    <t>HONORAIRES MIKIT CHANTIERS 2024</t>
  </si>
  <si>
    <t>EXTOURNE HONORAIRES MIKIT CHANTIERS 2024</t>
  </si>
  <si>
    <t>MISSION COMPTES ANNUELS 2024 (31/12/2024)</t>
  </si>
  <si>
    <t>MISSION JURIDIQUE ANNUEL 2024 (31/12/2024)</t>
  </si>
  <si>
    <t>APPELS OBTINEO 12/24 2024 (31/12/2024)</t>
  </si>
  <si>
    <t>PEAGES 12.2024 2024 (31/12/2024)</t>
  </si>
  <si>
    <t>SOUS TRAITANCE CHANTIERS 2024 (31/12/2024)</t>
  </si>
  <si>
    <t>HONORAIRES MIKIT CHANTIERS 2024 (31/12/2024)</t>
  </si>
  <si>
    <t>REDEVANCES MIKIT CHANTIERS 2024 (31/12/2024)</t>
  </si>
  <si>
    <t>REDEVANCES PUB MIKIT CHANTIERS 2024 (31/12/2024)</t>
  </si>
  <si>
    <t>MISSION TENUE + CPTES ANNUELS 30.06 Jun 2025</t>
  </si>
  <si>
    <t>MISSION JURIDIQUE ANNUEL Jun 2025</t>
  </si>
  <si>
    <t>SITUATION 30.06.25 Jun 2025</t>
  </si>
  <si>
    <t>BLVU 06.25 Jun 2025</t>
  </si>
  <si>
    <t>AZUR CONSEIL 06.25 Jun 2025</t>
  </si>
  <si>
    <t>REDEVANCES PUB MIKIT CHANTIERS Jun 2025</t>
  </si>
  <si>
    <t>REDEVANCES PUB MIKIT CHANTIERS JUN 2025</t>
  </si>
  <si>
    <t>REDEVANCES MIKIT CHANTIERS Jun 2025</t>
  </si>
  <si>
    <t>REDEVANCES MIKIT CHANTIERS JUN 2025</t>
  </si>
  <si>
    <t>SOUS TRAITANCE CHANTIERS Jun 2025</t>
  </si>
  <si>
    <t>SOUS TRAITANCE CHANTIERS JUN 2025</t>
  </si>
  <si>
    <t>HONORAIRES MIKIT CHANTIERS Jun 2025</t>
  </si>
  <si>
    <t>HONORAIRES MIKIT CHANTIERS JUN 2025</t>
  </si>
  <si>
    <t>PROVISION IK CVP Jun 2025</t>
  </si>
  <si>
    <t>EXTOURNE REDEVANCES PUB MIKIT CHANTIERS JUN 2025</t>
  </si>
  <si>
    <t>EXTOURNE REDEVANCES MIKIT CHANTIERS JUN 2025</t>
  </si>
  <si>
    <t>EXTOURNE HONORAIRES MIKIT CHANTIERS JUN 2025</t>
  </si>
  <si>
    <t>EXTOURNE SOUS TRAITANCE CHANTIERS JUN 2025</t>
  </si>
  <si>
    <t>20260206101608</t>
  </si>
  <si>
    <t>20260206103541</t>
  </si>
  <si>
    <t>20260226100809</t>
  </si>
  <si>
    <t>FNP SOUS-TRAITANCE MIKIT 2025</t>
  </si>
  <si>
    <t>FNP HONORAIRES MIKIT 2025</t>
  </si>
  <si>
    <t>FNP REDEVANCE FONCTIONNEMENT MIKIT 2025</t>
  </si>
  <si>
    <t>FNP REDEVANCE PUB MIKIT 2025</t>
  </si>
  <si>
    <t>411ATTANE</t>
  </si>
  <si>
    <t>CHANTIER ATTANE</t>
  </si>
  <si>
    <t>BQ46673990</t>
  </si>
  <si>
    <t xml:space="preserve">ADF 2 OUVERTURE CHANTIER ATTANE ATTANE ROMAIN VRPDS HOME SOLUTIONS LOT 36 ECOMMOY ADF 2 OUVERTURE CHANTIER ATTANE AGRIFRPP879 EUR200000002135520 FR7617906001129641663834646 </t>
  </si>
  <si>
    <t>20250213142524</t>
  </si>
  <si>
    <t>CHANTIER ATTANE - ACHEVEMENT FONDATIONS</t>
  </si>
  <si>
    <t>BQ48133610</t>
  </si>
  <si>
    <t xml:space="preserve">CHEQUE NO 8577624 </t>
  </si>
  <si>
    <t>VT</t>
  </si>
  <si>
    <t>AVO01</t>
  </si>
  <si>
    <t>MI IT-CONSEIL-AVOIR-AVO01 / DOSSIER ATANE / AVOIR COMMERCIAL</t>
  </si>
  <si>
    <t>20250311161044</t>
  </si>
  <si>
    <t>CHANTIER ATTANE - ACHEVEMENT MURS</t>
  </si>
  <si>
    <t>20250417084128</t>
  </si>
  <si>
    <t>CHANTIER ATTANE - MISE HORS D'EAU</t>
  </si>
  <si>
    <t>20250521115512</t>
  </si>
  <si>
    <t>CHANTIER ATTANE - LIVRAISON DE KITS ET RAVALEMENT</t>
  </si>
  <si>
    <t>20250521115553</t>
  </si>
  <si>
    <t>CHANTIER ATTANE - RECEPTION</t>
  </si>
  <si>
    <t>20250521123328</t>
  </si>
  <si>
    <t>FACT FINALE ATTANE CONSTRUCTION</t>
  </si>
  <si>
    <t>20250521140805</t>
  </si>
  <si>
    <t>ÉCART DE RÈGLEMENT - CHANTIER ATTANE</t>
  </si>
  <si>
    <t>411BERNARD</t>
  </si>
  <si>
    <t>CHANTIER BERNARD</t>
  </si>
  <si>
    <t>BQ64203879</t>
  </si>
  <si>
    <t xml:space="preserve">BERNARD EDDY MR ET MME BERNARD M.OU MME BERNARD EDDY S.A.S. VPRDS HOME SOLUTIONS MR ET MME BERNARD MEURCE AGRIFRPP879 EUR200000005334820 FR7617906001129641663834646 </t>
  </si>
  <si>
    <t>BQ65653254</t>
  </si>
  <si>
    <t xml:space="preserve">CHEQUE NO 8141420 </t>
  </si>
  <si>
    <t>AVO10</t>
  </si>
  <si>
    <t xml:space="preserve">MIKI AVOIR COMMERCIAL /  DOSSIER EDDY BERNARD </t>
  </si>
  <si>
    <t>20251212141516</t>
  </si>
  <si>
    <t>CHANTIER BERNARD - ACHEVEMENT MURS</t>
  </si>
  <si>
    <t>20260121142720</t>
  </si>
  <si>
    <t>CHANTIER BERNARD - MISE HORS D'EAU</t>
  </si>
  <si>
    <t>transfer-17-03-2026</t>
  </si>
  <si>
    <t>RCLST ACOMPTES BERNARD</t>
  </si>
  <si>
    <t>411BERTHE</t>
  </si>
  <si>
    <t>BERTHE EVUOR</t>
  </si>
  <si>
    <t>A-NOUVEAU BERTHE / EVUORT BERTHE MELINE- (01/01/2024)</t>
  </si>
  <si>
    <t>BERTHE MELINE OU RUE DU VERGER BERTHE MELINE OU RUE DU VERGER (15/03/2024)</t>
  </si>
  <si>
    <t>FONDATIONS ENCAISSSEMNET MKT ENCAISSEMENT MKT (18/03/2024)</t>
  </si>
  <si>
    <t>FONDATIONS ENCAISSSEMNET MKT MURS (27/05/2024)</t>
  </si>
  <si>
    <t>FHORS D'EAU MKT MURS (03/07/2024)</t>
  </si>
  <si>
    <t>LIVRAISON KIT ET RAVALEMENT MURS (09/10/2024)</t>
  </si>
  <si>
    <t>RECEPTION MURS (09/10/2024)</t>
  </si>
  <si>
    <t>BERTHE EVUOR AVANCE (31/12/2024)</t>
  </si>
  <si>
    <t>BERTHE EVUOR (16/09/2024)</t>
  </si>
  <si>
    <t>20250313141855</t>
  </si>
  <si>
    <t>BERTHE EVUOR AVANCE</t>
  </si>
  <si>
    <t>VE</t>
  </si>
  <si>
    <t>20250213145218</t>
  </si>
  <si>
    <t xml:space="preserve">BERTHE - EVUORT TOTAL CONSTRUCTION </t>
  </si>
  <si>
    <t>411BIGARET/CHENIOUR</t>
  </si>
  <si>
    <t>BIGARET/CHENIOUR</t>
  </si>
  <si>
    <t>BQ72522931</t>
  </si>
  <si>
    <t xml:space="preserve">DE MME BIGARET OU MME CHEN MME BIGARET OU MME CHEN VPRDS HOME SOLUTIONS AGRIFRPP879 EUR200000002482020 FR7617906001129641663834646 </t>
  </si>
  <si>
    <t>20251212135919</t>
  </si>
  <si>
    <t>BIGARET/CHENIOUR - ACHEVEMENT FONDATIONS</t>
  </si>
  <si>
    <t>RCLST ACOMPTES BIGARET/CHENIOUR</t>
  </si>
  <si>
    <t>BQ73437485</t>
  </si>
  <si>
    <t xml:space="preserve">CHEQUE NO 8141419 </t>
  </si>
  <si>
    <t>AVO19</t>
  </si>
  <si>
    <t>MME SARAH CHENIOUR MME LUCIE BIGARET-AVOIR-AVO19</t>
  </si>
  <si>
    <t>411CARDOSO/RYCKEWAERT</t>
  </si>
  <si>
    <t>CARDOSO / RYCKEWAERT</t>
  </si>
  <si>
    <t>BQ76114625</t>
  </si>
  <si>
    <t xml:space="preserve">MR ET MME CARDOSO M.OU MME CARD M.OU MME CARDOSO ADRIEN VPRDS HOME SOLUTIONS MR ET MME CARDOSO AGRIFRPP879 EUR200000002487915 FR7617906001129641663834646 </t>
  </si>
  <si>
    <t>20260121143748</t>
  </si>
  <si>
    <t>CHANTIER CARDOSO - ACHEVEMENT FONDATIONS</t>
  </si>
  <si>
    <t>RCLST ACOMPTES CARDOSO/RYCKEWAERT</t>
  </si>
  <si>
    <t>BQ77576802</t>
  </si>
  <si>
    <t xml:space="preserve">CHEQUE NO 8141421 </t>
  </si>
  <si>
    <t>AVO14</t>
  </si>
  <si>
    <t>MIKIT-CONSEIL-AVOIR-COMMERCIAL AVO14</t>
  </si>
  <si>
    <t>411CHAFIOL</t>
  </si>
  <si>
    <t>CHANTIER CHAFIOL</t>
  </si>
  <si>
    <t>BQ70873523</t>
  </si>
  <si>
    <t>STADE 2  4 OUVERTURE CHANTIER M MADAME CHAFIOL FLORIANE OU MONSIEUR CHAFIOL LUDOVIC VPRDS HOME SOLUTIONS STADE 2 OUVERTURE DE CHANTIER ET STADE 4 ASSURANCES MAISON CHAFIOL STADE 2 4 OUVERTURE CHANTIER</t>
  </si>
  <si>
    <t>20251121150624</t>
  </si>
  <si>
    <t>CHANTIER CHAFIOL - ACHEVEMENT FONDATIONS</t>
  </si>
  <si>
    <t>BQ71563308</t>
  </si>
  <si>
    <t xml:space="preserve">CHEQUE NO 8141425 </t>
  </si>
  <si>
    <t>AVO17</t>
  </si>
  <si>
    <t>M LUDOVIC CHAFIOL MME FLORIANE CHAFIOL-AVOIR-AVO17</t>
  </si>
  <si>
    <t>20260220100131</t>
  </si>
  <si>
    <t>CHANTIER CHAFIOL - ACHEVEMENT MURS</t>
  </si>
  <si>
    <t>RCLST ACOMPTES CHAFIOL</t>
  </si>
  <si>
    <t>411CVP</t>
  </si>
  <si>
    <t>20250217085655</t>
  </si>
  <si>
    <t>LOYER SKODA JANVIER 2025</t>
  </si>
  <si>
    <t>CVP-LOCATION SKODA FEVRIER 2025</t>
  </si>
  <si>
    <t>CVP-LOCATION SKODA</t>
  </si>
  <si>
    <t>CVP-LOCATION SUR BIEN MOBILIER OU INCORPORELS-FACTURE-20250430</t>
  </si>
  <si>
    <t>CVP-LOCATION SUR BIEN MOBILIER OU INCORPORELS-FACTURE-20250531</t>
  </si>
  <si>
    <t>CVP-LOCATION SUR BIEN MOBILIER OU INCORPORELS-FACTURE-20250630</t>
  </si>
  <si>
    <t>20250919152938</t>
  </si>
  <si>
    <t>CVP- ERREUR FACTURE 05.2025</t>
  </si>
  <si>
    <t>20250919153024</t>
  </si>
  <si>
    <t>CVP-LOCATION -FACTURE-20250531 REFAITE</t>
  </si>
  <si>
    <t>CVP-LOCATION SUR BIEN MOBILIER OU INCORPORELS-FACTURE-20250731</t>
  </si>
  <si>
    <t>CVP-LOCATION SUR BIEN MOBILIER OU INCORPORELS-FACTURE-20250831</t>
  </si>
  <si>
    <t>20250930</t>
  </si>
  <si>
    <t>CVP-LOCATION SUR BIEN MOBILIER OU INCORPORELS-FACTURE-20250930</t>
  </si>
  <si>
    <t>RCLST FACTURES 01 AU 09</t>
  </si>
  <si>
    <t>20251031</t>
  </si>
  <si>
    <t>CVP-LOCATION SUR BIEN MOBILIER OU INCORPORELS-FACTURE-20251031</t>
  </si>
  <si>
    <t>CVP-LOCATION SUR BIEN MOBILIER OU INCORPORELS-FACTURE-20253011</t>
  </si>
  <si>
    <t>CVP-LOCATION SUR BIEN MOBILIER OU INCORPORELS-FACTURE-20253112</t>
  </si>
  <si>
    <t>411DELVART</t>
  </si>
  <si>
    <t>DELVART</t>
  </si>
  <si>
    <t>BQ53766727</t>
  </si>
  <si>
    <t xml:space="preserve">REMISE CHQ 7605704 </t>
  </si>
  <si>
    <t>transfer-19-03-2026</t>
  </si>
  <si>
    <t>RCLST SORTIE PROTOCOLE ACCORD DELVART</t>
  </si>
  <si>
    <t>411DIALLO</t>
  </si>
  <si>
    <t>DIALLO</t>
  </si>
  <si>
    <t>BQ60308959</t>
  </si>
  <si>
    <t>DIALLO MOUSTAPHA M.OU MME DIALLO OUVERTURE CHANTIER</t>
  </si>
  <si>
    <t>DIALLO MOUSTAPHA M.OU MME DIALLO ACHEVEMENT FONDATIONS</t>
  </si>
  <si>
    <t>BQ61151810</t>
  </si>
  <si>
    <t xml:space="preserve">CHEQUE NO 9976083 </t>
  </si>
  <si>
    <t>AVO12</t>
  </si>
  <si>
    <t>MI IT-CONSEIL-AVOIR-AVO12 / DOSSIER DIALLO / AVOIR COMMERCIAL</t>
  </si>
  <si>
    <t>20250924072838</t>
  </si>
  <si>
    <t>CHANTIER DIALLO - ACHEVEMENT MURS</t>
  </si>
  <si>
    <t>20260121145859</t>
  </si>
  <si>
    <t>CHANTIER DIALLO - MISE HORS D'EAU</t>
  </si>
  <si>
    <t>RCLST ACOMPTES DIALLO</t>
  </si>
  <si>
    <t>411FROGERPAULINE</t>
  </si>
  <si>
    <t>FROGER PAULINE</t>
  </si>
  <si>
    <t>BQ53281087</t>
  </si>
  <si>
    <t xml:space="preserve">STADE 2 OUVERTURE CHANTIER MADA MADAME FROGER PAULINE VPRDS HOME SOLUTIONS STADE 2 OUVERTURE CHANTIER AGRIFRPP879 EUR200000002298945 FR7617906001129641663834646 </t>
  </si>
  <si>
    <t>20250521124019</t>
  </si>
  <si>
    <t>CHANTIER FROGER PAULINE - ACHEVEMENT FONDATIONS</t>
  </si>
  <si>
    <t>BQ55740433</t>
  </si>
  <si>
    <t xml:space="preserve">CHEQUE NO 9976089 </t>
  </si>
  <si>
    <t>AVO05</t>
  </si>
  <si>
    <t>MI IT-CONSEIL-AVOIR-AVO05 / AVOIR COMMERCIAL FROGER PAULINE</t>
  </si>
  <si>
    <t>20250707153707</t>
  </si>
  <si>
    <t>20250924073502</t>
  </si>
  <si>
    <t>CHANTIER FROGER - MISE HORS D'EAU</t>
  </si>
  <si>
    <t>20250924073556</t>
  </si>
  <si>
    <t>CHANTIER FROGER - LIVRAISON DE KITS ET RAVALEMENT</t>
  </si>
  <si>
    <t>20250924100534</t>
  </si>
  <si>
    <t>CHANTIER FROGER - RECEPTION</t>
  </si>
  <si>
    <t>20250924080639</t>
  </si>
  <si>
    <t>FROGER PAULINE / FACTURES FINALE CONSTRUCTION</t>
  </si>
  <si>
    <t>411FURIA</t>
  </si>
  <si>
    <t>CHANTIER FURIA</t>
  </si>
  <si>
    <t>BQ48701786</t>
  </si>
  <si>
    <t>REMISE CHQ 2318791</t>
  </si>
  <si>
    <t>BQ48973342</t>
  </si>
  <si>
    <t xml:space="preserve">VPRDS HOME SOLUTIONS FURIA CEDR FURIA CEDRIC VPRDS HOME SOLUTIONS SITUATION D AVANCEMENT DES TRAVAUX VPRDS HOME SOLUTIONS AGRIFRPP879 EUR200000003035945 FR7617906001129641663834646 </t>
  </si>
  <si>
    <t>20250311161300</t>
  </si>
  <si>
    <t>CHANTIER FURIA - ACHEVEMENT FONDATIONS</t>
  </si>
  <si>
    <t>BQ50787228</t>
  </si>
  <si>
    <t xml:space="preserve">CHEQUE NO 9976080 </t>
  </si>
  <si>
    <t>AVO03</t>
  </si>
  <si>
    <t>MI IT-CONSEIL-AVOIR-AVO03 / DOSSIER FURIA / AVOIR COMMERCIAL</t>
  </si>
  <si>
    <t>20250521130102</t>
  </si>
  <si>
    <t>CHANTIER FURIA - ACHEVEMENT MURS</t>
  </si>
  <si>
    <t>20250707153919</t>
  </si>
  <si>
    <t>CHANTIER FURIA - MISE HORS D'EAU</t>
  </si>
  <si>
    <t>20250708084155</t>
  </si>
  <si>
    <t>CHANTIER FURIA - RECEPTION</t>
  </si>
  <si>
    <t>20250707154036</t>
  </si>
  <si>
    <t>CHANTIER FURIA - LIVRAISON DE KITS ET RAVALEMENT</t>
  </si>
  <si>
    <t>20250708082026</t>
  </si>
  <si>
    <t>FACT FINALE FURIA CONSTRUCTION</t>
  </si>
  <si>
    <t>411GENOTMYLENE</t>
  </si>
  <si>
    <t>GENOT MYLENE</t>
  </si>
  <si>
    <t>BQ54813457</t>
  </si>
  <si>
    <t xml:space="preserve">N DU PRET NL7549 GENOT MYLENE GENOT MYLENE VPRDS HOME SOLUTIONS APPEL DE FOND OUVERTURE DECHANTIER N DU PRET NL7549 AGRIFRPP879 EUR200000001914135 FR7617906001129641663834646 </t>
  </si>
  <si>
    <t>20250521130747</t>
  </si>
  <si>
    <t>CHANTIER GENOT MYLENE - ACHEVEMENT FONDATIONS</t>
  </si>
  <si>
    <t>BQ55740434</t>
  </si>
  <si>
    <t xml:space="preserve">CHEQUE NO 9976092 </t>
  </si>
  <si>
    <t>AVO06</t>
  </si>
  <si>
    <t>MI IT-CONSEIL-AVOIR-AVO06 / GENOT MYLENE AVOIR COMMERCIAL</t>
  </si>
  <si>
    <t>BQ56343058</t>
  </si>
  <si>
    <t xml:space="preserve">VIR MKT PROMOTION VPRDS MKT PROMOTION VPRDS VIR ADF3 GENOT/POULIO VPRDS CEPAFRPP751 EUR200000001098148 </t>
  </si>
  <si>
    <t>20250924083559</t>
  </si>
  <si>
    <t>CHANTIER GENOT - ACHEVEMENT MURS</t>
  </si>
  <si>
    <t>20251121154732</t>
  </si>
  <si>
    <t>ERREUR AFFECTATION VIREMENT / GENOT MYLENE</t>
  </si>
  <si>
    <t>20250924083727</t>
  </si>
  <si>
    <t>CHANTIER GENOT - MISE HORD D'EAU</t>
  </si>
  <si>
    <t>20251121151027</t>
  </si>
  <si>
    <t>CHANTIER GENOT - LIVRAISON DE KITS ET RAVALEMENT</t>
  </si>
  <si>
    <t>20251121151113</t>
  </si>
  <si>
    <t>CHANTIER GENOT- RECEPTION</t>
  </si>
  <si>
    <t>20251121152330</t>
  </si>
  <si>
    <t>FACT FINALE GENOT CONSTRUCTION</t>
  </si>
  <si>
    <t>411HUETBUTET</t>
  </si>
  <si>
    <t>HUET / BUTET</t>
  </si>
  <si>
    <t>20251023084011</t>
  </si>
  <si>
    <t>CHANTIER BUTET/HUET - ACHEVEMENT FONDATIONS</t>
  </si>
  <si>
    <t>20251023084124</t>
  </si>
  <si>
    <t>CHANTIER BUTET/HUET - OUVERTURE CHANTIER</t>
  </si>
  <si>
    <t>BQ68781796</t>
  </si>
  <si>
    <t xml:space="preserve">BUTET HUGO OU MONSIEUR BUTET HUGO OU S.A.S. VPRDS HOME SOLUTIONS AGRIFRPP879 EUR200000002323220 FR7617906001129641663834646 </t>
  </si>
  <si>
    <t>BQ69291961</t>
  </si>
  <si>
    <t xml:space="preserve">VIR INST VERS MKT PROMOTION S.A.S. VPRDS HOME SOLUTIONS MKT PROMOTION TROP PERCU HUET BUTET TROP PERCU HUET BUTET C283E868B86B449EBECD6FB1A432EDD4 FR7610207000902221679944237 </t>
  </si>
  <si>
    <t>BQ71085303</t>
  </si>
  <si>
    <t xml:space="preserve">CHEQUE NO 9976079 </t>
  </si>
  <si>
    <t>AVO16</t>
  </si>
  <si>
    <t>M HUGO BUTET MME ALEXIA HUET-AVOIR-AVO16</t>
  </si>
  <si>
    <t>20251121145531</t>
  </si>
  <si>
    <t>CHANTIER BUTET/HUET - ACHEVEMENT MURS</t>
  </si>
  <si>
    <t>20260121143026</t>
  </si>
  <si>
    <t>CHANTIER BUTET/HUET - MISE HORS D'EAU</t>
  </si>
  <si>
    <t>RCLST ACOMPTES HUET/BUTET</t>
  </si>
  <si>
    <t>411HUGOU</t>
  </si>
  <si>
    <t>CHANTIER HUGOU</t>
  </si>
  <si>
    <t>BQ69291951</t>
  </si>
  <si>
    <t xml:space="preserve">DE M.OU MME HUGOU STEPHANE M.OU MME HUGOU STEPHANE MIKIT AGRIFRPP879 EUR200000005399150 FR7617906001129641663834646 </t>
  </si>
  <si>
    <t>BQ69291952</t>
  </si>
  <si>
    <t xml:space="preserve">DE M.OU MME HUGOU STEPHANE M.OU MME HUGOU STEPHANE MIKIT AGRIFRPP879 EUR200000002603100 FR7617906001129641663834646 </t>
  </si>
  <si>
    <t>RCLST ACOMPTES HUGOU</t>
  </si>
  <si>
    <t>BQ71230247</t>
  </si>
  <si>
    <t>CHEQUE NO 8141406 HUGOU</t>
  </si>
  <si>
    <t>BQ71230248</t>
  </si>
  <si>
    <t>CHEQUE NO 9976073 HUGOU</t>
  </si>
  <si>
    <t>AVO21</t>
  </si>
  <si>
    <t>M STEPHANE HUGOU MME AMANDINE HUGOU-AVOIR-AVO21</t>
  </si>
  <si>
    <t>411KONGLUI</t>
  </si>
  <si>
    <t>CHANTIER KONG LUI</t>
  </si>
  <si>
    <t>STADE 2 OUVERTURE DE CHANTIER STADE 2 OUVERTURE DE CHANTIER (15/10/2024)</t>
  </si>
  <si>
    <t>FONDATION KONG LUI (23/10/2024)</t>
  </si>
  <si>
    <t>ACHEVEMENT DES MURS KONG LUI (13/11/2024)</t>
  </si>
  <si>
    <t>CHANTIER KONG LUI AVANCE (31/12/2024)</t>
  </si>
  <si>
    <t>20250313141910</t>
  </si>
  <si>
    <t>CHANTIER KONG LUI AVANCE</t>
  </si>
  <si>
    <t>20250213142800</t>
  </si>
  <si>
    <t>CHANTIER KONG LUI - MISE HORSS D'EAU</t>
  </si>
  <si>
    <t>20250320102842</t>
  </si>
  <si>
    <t>CHANTIER KONG LUI - KITS</t>
  </si>
  <si>
    <t>20250311161458</t>
  </si>
  <si>
    <t>CHANTIER KONG / LUY - RECEPTION</t>
  </si>
  <si>
    <t>20250320113754</t>
  </si>
  <si>
    <t>KONG / LUY - FACT FINALE CONSTRUCTION</t>
  </si>
  <si>
    <t>411LEMAIRE</t>
  </si>
  <si>
    <t>LEMAIRE / GUERANGER</t>
  </si>
  <si>
    <t>BQ51253951</t>
  </si>
  <si>
    <t>REMISE CHQ 7605549 - PROJET LEMAIRE / GUERANGER</t>
  </si>
  <si>
    <t>REMISE CHQ 7605704 PROJET LEMAIRE / GUERANGER</t>
  </si>
  <si>
    <t>BQ56343063</t>
  </si>
  <si>
    <t>REMISE CHQ 7605705 PROJET LEMAIRE / GUERANGER</t>
  </si>
  <si>
    <t>BQ58163731</t>
  </si>
  <si>
    <t>REMISE CHQ 7605707 PROJET LEMAIRE / GUERANGER</t>
  </si>
  <si>
    <t>RCLST SORTIE PROTOCOLE ACCORD LEMAIRE GUERANGER</t>
  </si>
  <si>
    <t>411MAWEZE</t>
  </si>
  <si>
    <t>MAWEZE KIMBA</t>
  </si>
  <si>
    <t>MAWEZE KIMBA ARSENE CHANTIER M MAWEZE KIMBA ARSENE CHANTIER M (12/09/2024)</t>
  </si>
  <si>
    <t>FONDATION FONDATION (13/09/2024)</t>
  </si>
  <si>
    <t>ACHEVEMNT MUR MAWEZE (07/11/2024)</t>
  </si>
  <si>
    <t>MAWEZE KIMBA - ENCAISSEMENT MISE HORS D'EAU (23/12/2024)</t>
  </si>
  <si>
    <t>MAWEZE KIMBA AVANCE (31/12/2024)</t>
  </si>
  <si>
    <t>20250313141925</t>
  </si>
  <si>
    <t>MAWEZE KIMBA AVANCE</t>
  </si>
  <si>
    <t>20250521132313</t>
  </si>
  <si>
    <t>CHANTIER MAWEZE - RECEPTION</t>
  </si>
  <si>
    <t>20250417084240</t>
  </si>
  <si>
    <t>MAWEZE KIMBA - LIVRAISON KIT ET RAVALEMENT</t>
  </si>
  <si>
    <t>20250417094056</t>
  </si>
  <si>
    <t>MAWEZE KIMBA - FACTURE FINALE DE CONSTRUCTION</t>
  </si>
  <si>
    <t>20250521132355</t>
  </si>
  <si>
    <t>ÉCART DE RÈGLEMENT - MAWEZE KIMBA</t>
  </si>
  <si>
    <t>411MENAGELEPETIT</t>
  </si>
  <si>
    <t>MENAGE LEPETIT</t>
  </si>
  <si>
    <t>BQ49739115</t>
  </si>
  <si>
    <t xml:space="preserve">OUVERTURE DE CHANTIER MENAGE EN MENAGE ENZO OU MLE MIKIT OUVERTURE DE CHANTIER AGRIFRPP879 EUR200000002580390 FR7617906001129641663834646 </t>
  </si>
  <si>
    <t>20250311161802</t>
  </si>
  <si>
    <t>CHANTIER MENAGE - ACHEVEMENT FONDATIONS</t>
  </si>
  <si>
    <t>BQ50787229</t>
  </si>
  <si>
    <t xml:space="preserve">CHEQUE NO 9976082 </t>
  </si>
  <si>
    <t>BQ50787230</t>
  </si>
  <si>
    <t xml:space="preserve">CHEQUE NO 9976088 </t>
  </si>
  <si>
    <t>AVO04</t>
  </si>
  <si>
    <t>MI IT-SERVICE COMMERCIAL-AVOIR-AVO04 / DOSSIER LEPETIT / AVOIR COMMERCIAL</t>
  </si>
  <si>
    <t>20250521133246</t>
  </si>
  <si>
    <t>CHANTIER MENAGE/LEPETIT - ACHEVEMENT MURS</t>
  </si>
  <si>
    <t>20250617082511</t>
  </si>
  <si>
    <t>CHANTIER MENAGE/LEPETIT - HORS D'EAU</t>
  </si>
  <si>
    <t>20250924085633</t>
  </si>
  <si>
    <t>CHANTIER MENAGE/LEPETIT - LIVRAISON DE KITS ET RAVALEMENT</t>
  </si>
  <si>
    <t>20250924085737</t>
  </si>
  <si>
    <t>CHANTIER MENAGE/LEPETEIT - RECEPTION</t>
  </si>
  <si>
    <t>20250924091111</t>
  </si>
  <si>
    <t>MENAGE LEPETIT / FACTURE FINALE DE CONSTRUCTION</t>
  </si>
  <si>
    <t>411OUVRARD/CORDOLA</t>
  </si>
  <si>
    <t>OUVRARD / CORDOLA</t>
  </si>
  <si>
    <t>BQ57452004</t>
  </si>
  <si>
    <t>OUVERTURE DE CHANTIER MONSIEUR MONSIEUR OUVRARD KEVIN OU MADAME CORDOLA MARGOT VPRDS HOME SOLUTIONS OUVERTURE DE CHANTIER OUVERTURE DE CHANTIER AGRIFRPP879 EUR200000002151345 FR76179060011296416638346</t>
  </si>
  <si>
    <t>20250617084448</t>
  </si>
  <si>
    <t>CHANTIER OUVRARD/CORDOLA - ACHEVEMENT FONDATIONS</t>
  </si>
  <si>
    <t>BQ59735063</t>
  </si>
  <si>
    <t xml:space="preserve">CHEQUE NO 9976070 </t>
  </si>
  <si>
    <t>AVO09</t>
  </si>
  <si>
    <t>MI IT-CONSEIL-AVOIR-AVO09</t>
  </si>
  <si>
    <t>20250924092734</t>
  </si>
  <si>
    <t>CHANTIER OUVRARD CORDOLA - ACHEVEMENT MURS</t>
  </si>
  <si>
    <t>20251121160235</t>
  </si>
  <si>
    <t>CHANTIER OUVRARD - MISE HORS D'EAU</t>
  </si>
  <si>
    <t>20251212142022</t>
  </si>
  <si>
    <t>CHANTIER OUVRARD/CORDOLLA - LIVRAISON DE KITS ET RAVALEMENT</t>
  </si>
  <si>
    <t>20251212142108</t>
  </si>
  <si>
    <t>CHANTIER OUVRARD/CORDOLLA - RECEPTION</t>
  </si>
  <si>
    <t>20251212150133</t>
  </si>
  <si>
    <t>FACT FINALE CORDOLA/OUVRARD</t>
  </si>
  <si>
    <t>411PARTAUD</t>
  </si>
  <si>
    <t>CHANTIER PARTAUD</t>
  </si>
  <si>
    <t>BQ71901764</t>
  </si>
  <si>
    <t xml:space="preserve">STADE 2 PARTAUD M.OU MME PARTAU M.OU MME PARTAUD FREDERIC VPRDS HOME SOLUTIONS STADE 2 PARTAUD AGRIFRPP879 EUR200000002110770 FR7617906001129641663834646 </t>
  </si>
  <si>
    <t>20251121164706</t>
  </si>
  <si>
    <t>CHANTIER PARTAUD - ACHEVEMENT FONDATIONS</t>
  </si>
  <si>
    <t>RCLST ACOMPTES PARTAUD</t>
  </si>
  <si>
    <t>BQ73437484</t>
  </si>
  <si>
    <t xml:space="preserve">CHEQUE NO 8141412 </t>
  </si>
  <si>
    <t>AVO18</t>
  </si>
  <si>
    <t>M FREDERIC PARTAUD MME CYNTHIA PARTAUD-AVOIR-AVO18</t>
  </si>
  <si>
    <t>411PECQUEUR</t>
  </si>
  <si>
    <t>CHANTIER PECQUEUR TILLIET</t>
  </si>
  <si>
    <t>BQ68618043</t>
  </si>
  <si>
    <t>PECQUEUR GREGORY OU TILLIET/PEC MONSIEUR PECQUEUR GREGORY OU S.A.S. VPRDS HOME SOLUTIONS TILLIET/PECQUEUR ASSURANCE FONDATIONS OUVERTURE DE CHANTIER AGRIFRPP879 EUR200000005422256 FR761790600112964166</t>
  </si>
  <si>
    <t>BQ69614546</t>
  </si>
  <si>
    <t xml:space="preserve">CHEQUE NO 8141417 </t>
  </si>
  <si>
    <t>AVO15</t>
  </si>
  <si>
    <t>M GREGORY PECQUEUR MME CHARLOTTE TILLIET-AVOIR-AVO15</t>
  </si>
  <si>
    <t>BQ71563307</t>
  </si>
  <si>
    <t>APPEL DE FONDS N 5 MIKIT MONSIE MONSIEUR PECQUEUR GREGORY OU MADAME TILLIET CHARLOTTE VPRDS HOME SOLUTIONS APPEL DE FONFS N 5 MIKIT APPEL DE FONDS N 5 MIKIT AGRIFRPP879 EUR200000002740092 FR7617906001</t>
  </si>
  <si>
    <t>BQ71673289</t>
  </si>
  <si>
    <t>VIR INST VERS SARL MKT PROMOTIO S.A.S. VPRDS HOME SOLUTIONS SARL MKT PROMOTION ADF 5 TILLIET - REVERSEMENT MKT ADF 5 TILLIET - REVERSEMENT VPRDS 144F5772DF864FBCAC988A85C138937D FR76102070009022216799</t>
  </si>
  <si>
    <t>20251121165750</t>
  </si>
  <si>
    <t>CHANTIER PECQUEUR - ACHEVEMENT MURS</t>
  </si>
  <si>
    <t>RCLST ACOMPTES PECQUEUR TILLIET</t>
  </si>
  <si>
    <t>411PLUQUIN</t>
  </si>
  <si>
    <t>CHANTIER PLUQUIN</t>
  </si>
  <si>
    <t>BQ64092183</t>
  </si>
  <si>
    <t xml:space="preserve">DE MONSIEUR PLUQUIN CHRISTOPHER MONSIEUR PLUQUIN CHRISTOPHER OU MADAME GIRARD CELINE VRPDS HOME SOLUTIONS AGRIFRPP879 EUR200000002552610 FR7617906001129641663834646 </t>
  </si>
  <si>
    <t>20250924104746</t>
  </si>
  <si>
    <t>CHANTIER PLUQUIN - ACHEVEMENT FONDATIONS</t>
  </si>
  <si>
    <t>BQ65653255</t>
  </si>
  <si>
    <t xml:space="preserve">CHEQUE NO 9976071 </t>
  </si>
  <si>
    <t>AVO11</t>
  </si>
  <si>
    <t>MIKIT AVOIR COMMERCIAL-AVOIR-AVO11/ DOSSIER PLUQUIN</t>
  </si>
  <si>
    <t>20260121151842</t>
  </si>
  <si>
    <t>CHANTIER PLUQUIN - ACHEVEMENT MURS</t>
  </si>
  <si>
    <t>RCLST ACOMPTES PLUQUIN</t>
  </si>
  <si>
    <t>411POULIO</t>
  </si>
  <si>
    <t>POULIO WILLIAM</t>
  </si>
  <si>
    <t>BQ55289121</t>
  </si>
  <si>
    <t xml:space="preserve">POULIO W OUVERTURE CHANTIER STA POULIO WILLIAM VPRDS HOME SOLUTION POULIO W OUVERTURE CHANTIER STADE 2 AGRIFRPP879 EUR200000001933920 FR7617906001129641663834646 </t>
  </si>
  <si>
    <t>20250521134842</t>
  </si>
  <si>
    <t>CHANTIER POULIO - ACHEVEMENT MURS</t>
  </si>
  <si>
    <t>AVO07</t>
  </si>
  <si>
    <t>MIIT-CONSEIL-AVOIR-AVO07 / WILLIAM POULIO AVOIR COMMERCIAL</t>
  </si>
  <si>
    <t>20250924093323</t>
  </si>
  <si>
    <t>20250924093408</t>
  </si>
  <si>
    <t>CHANTIER POULIO - MISE HORS D'EAU</t>
  </si>
  <si>
    <t>20251121171040</t>
  </si>
  <si>
    <t>CHANTIER POULIO - LIVRAISON DE KITS ET RAVALEMENT</t>
  </si>
  <si>
    <t>20251121171131</t>
  </si>
  <si>
    <t>CHANTIER POULIO - RECEPTION</t>
  </si>
  <si>
    <t>20251121171845</t>
  </si>
  <si>
    <t>FCAT FINALE CONSTRUCTION POULIO</t>
  </si>
  <si>
    <t>411PROTIN/SUBRANNE</t>
  </si>
  <si>
    <t>PROTIN/SUBRANNE</t>
  </si>
  <si>
    <t>BQ74044298</t>
  </si>
  <si>
    <t xml:space="preserve">OUVERTURE CHANTIER MR PROTIN OU MR PROTIN OU MME SUBRAN VPRDS HOME SOLUTIONS APPEL DE FONDS OUVERTURE CHANTIER AGRIFRPP879 EUR200000002827575 FR7617906001129641663834646 </t>
  </si>
  <si>
    <t>20251212133524</t>
  </si>
  <si>
    <t>CHANTIER PROTIN- ACHEVEMENT FONDATIONS</t>
  </si>
  <si>
    <t>RCLST ACOMPTES PROTIN/SUBRANNE</t>
  </si>
  <si>
    <t>BQ74688771</t>
  </si>
  <si>
    <t xml:space="preserve">CHEQUE NO 8141418 </t>
  </si>
  <si>
    <t>AVO20</t>
  </si>
  <si>
    <t>M NICOLAS PROTIN MME MELISSA SUBRANNE-AVOIR-AVO20</t>
  </si>
  <si>
    <t>411RENARD</t>
  </si>
  <si>
    <t>MME RENARD</t>
  </si>
  <si>
    <t>REMISE CHQ 5350159 REMISE CHQ 5350159 (06/07/2024)</t>
  </si>
  <si>
    <t>OUVERTURE DE CHANTIER RENARD J OUVERTURE DE CHANTIER RENARD J (14/07/2024)</t>
  </si>
  <si>
    <t>FONDATIONS RENARD JEREMY FONDATIONS RENARD JEREMY (15/07/2024)</t>
  </si>
  <si>
    <t>MURS MURS (11/09/2024)</t>
  </si>
  <si>
    <t>MISE HORS D'EAU (11/11/2024)</t>
  </si>
  <si>
    <t>LIVRAISON KITS ET RAVALEMENTS (26/12/2024)</t>
  </si>
  <si>
    <t>MME RENARD AVANCE (31/12/2024)</t>
  </si>
  <si>
    <t>20250213164220</t>
  </si>
  <si>
    <t>RENARD - CONSTRUCTION FINALE</t>
  </si>
  <si>
    <t>20250213143021</t>
  </si>
  <si>
    <t>MME RENARD - RÉCEPTION</t>
  </si>
  <si>
    <t>20250213164338</t>
  </si>
  <si>
    <t>ÉCART DE RÈGLEMENT - MME RENARD</t>
  </si>
  <si>
    <t>20250313141938</t>
  </si>
  <si>
    <t>MME RENARD AVANCE</t>
  </si>
  <si>
    <t>411RENARDDORIAN</t>
  </si>
  <si>
    <t>RENARD DORIAN</t>
  </si>
  <si>
    <t>BQ51036943</t>
  </si>
  <si>
    <t xml:space="preserve">RENARD DORIAN OUVERTURE DE CHAN M. RENARD DORIAN S.A.S. VPRDS HOME SOLUTIONS OUVERTURE DE CHANTIER RENARD DORIAN AGRIFRPP879 EUR200000002108570 FR7617906001129641663834646 </t>
  </si>
  <si>
    <t>20250417084027</t>
  </si>
  <si>
    <t>CHANTIER - RENARD DORIAN / ACHEVEMENT FONDATIONS</t>
  </si>
  <si>
    <t xml:space="preserve">REMISE CHQ 7605705 </t>
  </si>
  <si>
    <t>20250617091346</t>
  </si>
  <si>
    <t>CHANTIER RENARD - ACHEVEMENT MURS</t>
  </si>
  <si>
    <t>20250617091457</t>
  </si>
  <si>
    <t>CHANTIER RENARD DORIAN - HORS D'EAU</t>
  </si>
  <si>
    <t>20250707154245</t>
  </si>
  <si>
    <t>CHANTIER RENARD DORIAN - LIVRAISON DE KITS ET RAVALEMENT</t>
  </si>
  <si>
    <t>20250708090637</t>
  </si>
  <si>
    <t>FACTURE FINALE CONSTRUCTION / RENARD DORIAN</t>
  </si>
  <si>
    <t>20250708092020</t>
  </si>
  <si>
    <t>CHANTIER RENARD DORIAN - RECEPTION</t>
  </si>
  <si>
    <t>411SAID/ADAME</t>
  </si>
  <si>
    <t>SAID/ADAME</t>
  </si>
  <si>
    <t>BQ57536925</t>
  </si>
  <si>
    <t xml:space="preserve">OUVERTURE DE CHANTIER M.OU MME M.OU MME SAID EL-KARIM VPRDS HOME SOLUTIONS OUVERTURE DE CHANTIER AGRIFRPP879 EUR200000002473575 FR7617906001129641663834646 </t>
  </si>
  <si>
    <t>20250617092854</t>
  </si>
  <si>
    <t>CHANTIER SAID/ADAME - ACHEVEMENT FONDATIONS</t>
  </si>
  <si>
    <t>BQ58726370</t>
  </si>
  <si>
    <t xml:space="preserve">CHEQUE NO 9976077 </t>
  </si>
  <si>
    <t>AVO08</t>
  </si>
  <si>
    <t>MI IT-SERVICE COMMERCIAL-AVOIR-AVO08</t>
  </si>
  <si>
    <t>20251121172814</t>
  </si>
  <si>
    <t>CHANTIER SAID/ADAME - ACHEVEMENT DES MURS</t>
  </si>
  <si>
    <t>20251121172844</t>
  </si>
  <si>
    <t>CHANTIER SAID/ADAME - MISE HORS D'EAU</t>
  </si>
  <si>
    <t>20260121155100</t>
  </si>
  <si>
    <t>CHANTIER SAID/ADAME - LIVRAISON KIT ET RAVALEMENT</t>
  </si>
  <si>
    <t>RCLST ACOMPTES SAID/ADAME</t>
  </si>
  <si>
    <t>411SEGOUIN</t>
  </si>
  <si>
    <t>SEGOUIN ANTHONY</t>
  </si>
  <si>
    <t>20250313141952</t>
  </si>
  <si>
    <t>SEGOUIN ANTHONY AVANCE</t>
  </si>
  <si>
    <t>AVO02</t>
  </si>
  <si>
    <t>MME ADELAIDE SEGOUIN M ANTHONY SEGOUIN-SERVICE COMMERCIAL-AVOIR-AVO02</t>
  </si>
  <si>
    <t>BQ47405551</t>
  </si>
  <si>
    <t xml:space="preserve">CHEQUE NO 8577621 </t>
  </si>
  <si>
    <t>20250521133957</t>
  </si>
  <si>
    <t>CHANTIER SEGOUIN - ACHEVEMENT MURS</t>
  </si>
  <si>
    <t>20250708092519</t>
  </si>
  <si>
    <t>CHANTIER SEGOUIN - HORS D'EAU</t>
  </si>
  <si>
    <t>20250924093729</t>
  </si>
  <si>
    <t>CHANTIER SEGOUIN - LIVRAISON DE KITS ET RAVALEMENT</t>
  </si>
  <si>
    <t>20250924095556</t>
  </si>
  <si>
    <t>CHANTIER SEGOUIN - RECEPTION</t>
  </si>
  <si>
    <t>20250924094918</t>
  </si>
  <si>
    <t>SEGOUIN ANTHONY / FACT FINALE CONSTRUCTION</t>
  </si>
  <si>
    <t>20250924095740</t>
  </si>
  <si>
    <t>ÉCART DE RÈGLEMENT - SEGOUIN ANTHONY</t>
  </si>
  <si>
    <t>411SIDIMAR</t>
  </si>
  <si>
    <t>SIDI MARI</t>
  </si>
  <si>
    <t>A-NOUVEAU VIR INST DE MR SIDI MARI MOUHA (01/01/2024)</t>
  </si>
  <si>
    <t>VIR CIC LE MANS CENTRE I26D241 VIR CIC LE MANS CENTRE I26D241 (29/04/2024)</t>
  </si>
  <si>
    <t>ENCAISSEMENT FONDATION ENCAISSEMENT SIDI MARI (29/04/2024)</t>
  </si>
  <si>
    <t>MURS SIDI MARI (10/06/2024)</t>
  </si>
  <si>
    <t>HORS D'EAU SIDI MARI (22/07/2024)</t>
  </si>
  <si>
    <t>KITS KITS (19/09/2024)</t>
  </si>
  <si>
    <t>RECEPTION RECEPTION (23/09/2024)</t>
  </si>
  <si>
    <t>SIDI MARI AVANCE (31/12/2024)</t>
  </si>
  <si>
    <t>20250213161917</t>
  </si>
  <si>
    <t xml:space="preserve">SIDI MARI TOTAL CONSTRUCTION </t>
  </si>
  <si>
    <t>20250313142013</t>
  </si>
  <si>
    <t>SIDI MARI AVANCE</t>
  </si>
  <si>
    <t>411SOUCHU</t>
  </si>
  <si>
    <t>SOUCHU / BEZAULT</t>
  </si>
  <si>
    <t>BQ54616904</t>
  </si>
  <si>
    <t>IMPAYE CHEQUE NO   0000161 / SANS PROVISION</t>
  </si>
  <si>
    <t xml:space="preserve">REMISE CHQ 7605707 </t>
  </si>
  <si>
    <t>BQ58409316</t>
  </si>
  <si>
    <t>IMPAYE CHEQUE CAM NO   5596377 / PERDUS PAR LE CLIENT</t>
  </si>
  <si>
    <t>411THINARD</t>
  </si>
  <si>
    <t>THINARD</t>
  </si>
  <si>
    <t>BQ74405947</t>
  </si>
  <si>
    <t>JOURNAUX MELANIE OUVERTURE DE CHANTIER</t>
  </si>
  <si>
    <t>JOURNAUX MELANIE ACHEVEMENT FONDATIONS</t>
  </si>
  <si>
    <t>RCLST ACOMPTES THINARD</t>
  </si>
  <si>
    <t>BQ75668124</t>
  </si>
  <si>
    <t xml:space="preserve">CHEQUE NO 8141422 </t>
  </si>
  <si>
    <t>AVO13</t>
  </si>
  <si>
    <t>MIKIT-SERVICE COMMERCIAL-AVOIR-AVO13</t>
  </si>
  <si>
    <t>411ZAI</t>
  </si>
  <si>
    <t>CHANTIER ZAI</t>
  </si>
  <si>
    <t>ZAI FONDATIONS ET OUVERTURE CHANTIER (18/10/2024)</t>
  </si>
  <si>
    <t>CHANTIER ZAI - FONDATION MUR (18/12/2024)</t>
  </si>
  <si>
    <t>CHANTIER ZAI AVANCE (31/12/2024)</t>
  </si>
  <si>
    <t>20250213143118</t>
  </si>
  <si>
    <t>CHANTIER ZAI - MISE HORS D'EAU</t>
  </si>
  <si>
    <t>20250313142026</t>
  </si>
  <si>
    <t>CHANTIER ZAI AVANCE</t>
  </si>
  <si>
    <t>20250617095721</t>
  </si>
  <si>
    <t>CHANTIER ZAI - LIVRAISON DE KITS ET RAVALEMENT</t>
  </si>
  <si>
    <t>20250617095808</t>
  </si>
  <si>
    <t>CHANTIER ZAI - RECEPTION</t>
  </si>
  <si>
    <t>20250617101519</t>
  </si>
  <si>
    <t>FACT FINALE ZAI CONSTRUCTION</t>
  </si>
  <si>
    <t>41810000000</t>
  </si>
  <si>
    <t>Clients fact à établir</t>
  </si>
  <si>
    <t>FRAIS DOSSIERS ASSURANCES 2024</t>
  </si>
  <si>
    <t>EXTOURNE FRAIS DOSSIERS ASSURANCES 2024</t>
  </si>
  <si>
    <t>SASA EN COURS 2024</t>
  </si>
  <si>
    <t>EXTOURNE SASA EN COURS 2024</t>
  </si>
  <si>
    <t>CHANTIERS EN COURS 2024</t>
  </si>
  <si>
    <t>EXTOURNE CHANTIERS EN COURS 2024</t>
  </si>
  <si>
    <t>FRAIS DOSSIERS ASSURANCES 2024 (31/12/2024)</t>
  </si>
  <si>
    <t>SASA EN COURS 2024 (31/12/2024)</t>
  </si>
  <si>
    <t>CHANTIERS EN COURS 2024 (31/12/2024)</t>
  </si>
  <si>
    <t>CHANTIERS EN COURS Jun 2025</t>
  </si>
  <si>
    <t>CHANTIERS EN COURS JUN 2025</t>
  </si>
  <si>
    <t>FRAIS DOSSIERS ASSURANCES Jun 2025</t>
  </si>
  <si>
    <t>FRAIS DOSSIERS ASSURANCES JUN 2025</t>
  </si>
  <si>
    <t>SASA EN COURS Jun 2025</t>
  </si>
  <si>
    <t>SASA EN COURS JUN 2025</t>
  </si>
  <si>
    <t>LEMAITRE GURANGER PROTOCOLE ACCORD Jun 2025</t>
  </si>
  <si>
    <t>LEMAITRE GURANGER PROTOCOLE ACCORD JUN 2025</t>
  </si>
  <si>
    <t>SOLDE LOCATION + FRAIS VEHICULE 30.06 Jun 2025</t>
  </si>
  <si>
    <t>SOLDE LOCATION + FRAIS VEHICULE 30.06 JUN 2025</t>
  </si>
  <si>
    <t>EXTOURNE CHANTIERS EN COURS JUN 2025</t>
  </si>
  <si>
    <t>EXTOURNE FRAIS DOSSIERS ASSURANCES JUN 2025</t>
  </si>
  <si>
    <t>EXTOURNE SASA EN COURS JUN 2025</t>
  </si>
  <si>
    <t>EXTOURNE LEMAITRE GURANGER PROTOCOLE ACCORD JUN 2025</t>
  </si>
  <si>
    <t>EXTOURNE SOLDE LOCATION + FRAIS VEHICULE 30.06 JUN 2025</t>
  </si>
  <si>
    <t>FAE CHANTIERS 2025 2025</t>
  </si>
  <si>
    <t>FAE - SASA 2025 2025</t>
  </si>
  <si>
    <t>FAE - FRAIS DOSSIERS ASSURANCES 2025</t>
  </si>
  <si>
    <t>FAE - REFACTURATION FRAIS VEHICULE 2025</t>
  </si>
  <si>
    <t>41910000000</t>
  </si>
  <si>
    <t>Clients avances acpte / cdes</t>
  </si>
  <si>
    <t>SEGOUIN ANTHONY AVANCE (31/12/2024)</t>
  </si>
  <si>
    <t>41980000000</t>
  </si>
  <si>
    <t>Rabais, remises, ristournes à accorder et autres avoirs à établir</t>
  </si>
  <si>
    <t>AAE - SASA 2025 2025</t>
  </si>
  <si>
    <t>42110000000</t>
  </si>
  <si>
    <t>Personnel rémunérations dûes</t>
  </si>
  <si>
    <t>BQ46287789</t>
  </si>
  <si>
    <t xml:space="preserve">VIR INST VERS VINCENT PARADIS S.A.S. VPRDS HOME SOLUTIONS VINCENT PARADIS SALAIRE MIKIT DEC 24 SALAIRE V PARADIS DECEMBRE 24 3C1C0F63D2E343438E8772E52DFAFA2C FR7630087336580003790070772 </t>
  </si>
  <si>
    <t>SALAIRES 12/2024 (31/12/2024)</t>
  </si>
  <si>
    <t>BQ46287791</t>
  </si>
  <si>
    <t xml:space="preserve">WEB NADEGE BOUQUET SALAIRE N BO VPRDS HOME SOLUTIONS NADEGE BOUQUET SALAIRE MIKIT DEC 24 SALAIRE N BOUQUET DEC 24 AGRIFRPP879 EUR200000000157651 FR7614445004000439250717608 </t>
  </si>
  <si>
    <t>BQ46287792</t>
  </si>
  <si>
    <t xml:space="preserve">WEB ANAIS LAMARD SALAIRE A LAMA VPRDS HOME SOLUTIONS ANAIS LAMARD SALAIRE MIKIT DEC 24 SALAIRE A LAMARD DEC 24 AGRIFRPP879 EUR200000000230860 FR7614445004000478625543876 </t>
  </si>
  <si>
    <t>20250221101112</t>
  </si>
  <si>
    <t>PA</t>
  </si>
  <si>
    <t>BQ48811468</t>
  </si>
  <si>
    <t xml:space="preserve">VIR INST VERS ANAIS LAMARD S.A.S. VPRDS HOME SOLUTIONS ANAIS LAMARD SALAIRE MIKIT JAN 25 SALAIRE A LAMARD JAN 25 B3B880873866451FBBB256D9E3A473D3 FR7614445004000478625543876 </t>
  </si>
  <si>
    <t>BQ48811471</t>
  </si>
  <si>
    <t xml:space="preserve">WEB NADEGE BOUQUET SALAIRE N BO VPRDS HOME SOLUTIONS NADEGE BOUQUET SALAIRE MIKIT JAN 25 SALAIRE N BOUQUET JAN 25 AGRIFRPP879 EUR200000000195060 FR7614445004000439250717608 </t>
  </si>
  <si>
    <t>20250310132235</t>
  </si>
  <si>
    <t>BQ51036945</t>
  </si>
  <si>
    <t xml:space="preserve">VIR INST VERS NADEGE BOUQUET S.A.S. VPRDS HOME SOLUTIONS NADEGE BOUQUET SALAIRE MIKIT FEVRIER 25 SALAIRE N BOUQUET FEV 25 60FA0C810B6245D585E5745DEB664BBD FR7614445004000439250717608 </t>
  </si>
  <si>
    <t>BQ51036946</t>
  </si>
  <si>
    <t xml:space="preserve">VIR INST VERS ANAIS LAMARD S.A.S. VPRDS HOME SOLUTIONS ANAIS LAMARD SALAIRE MIKIT FEVRIER 25 SALAIRE A LAMARD FEV 25 59825A28DBFF44A39D4F3D8BD60F11E4 FR7614445004000478625543876 </t>
  </si>
  <si>
    <t>20250617134435</t>
  </si>
  <si>
    <t>BQ53521787</t>
  </si>
  <si>
    <t xml:space="preserve">VIR INST VERS NADEGE BOUQUET S.A.S. VPRDS HOME SOLUTIONS NADEGE BOUQUET SALAIRE MIKIT MARS 25 SALAIRE N BOUQUET MARS 25 74C81492351049C98FC7221958949900 FR7614445004000439250717608 </t>
  </si>
  <si>
    <t>BQ53521788</t>
  </si>
  <si>
    <t xml:space="preserve">VIR INST VERS ANAIS LAMARD S.A.S. VPRDS HOME SOLUTIONS ANAIS LAMARD SALAIRE MIKIT MARS 25 SALAIRE A LAMARD MARS 25 29988CB5D30C4EB5840C3728CF9ED7DA FR7614445004000478625543876 </t>
  </si>
  <si>
    <t>20250617140538</t>
  </si>
  <si>
    <t>BQ56033757</t>
  </si>
  <si>
    <t xml:space="preserve">VIR INST VERS NADEGE BOUQUET S.A.S. VPRDS HOME SOLUTIONS NADEGE BOUQUET SALAIRE MIKIT AVRIL 25 SALAIRE N BOUQUET AVRIL 25 6DE06AD031D8479C94E18680D36BCE04 FR7614445004000439250717608 </t>
  </si>
  <si>
    <t>BQ56033758</t>
  </si>
  <si>
    <t xml:space="preserve">VIR INST VERS ANAIS LAMARD S.A.S. VPRDS HOME SOLUTIONS ANAIS LAMARD SALAIRE MIKIT AVRIL 25 SALAIRE A LAMARD AVRIL 25 CAE9AA0556C44A4A903CF580B95F83E2 FR7614445004000478625543876 </t>
  </si>
  <si>
    <t>20250617141526</t>
  </si>
  <si>
    <t>BQ58581247</t>
  </si>
  <si>
    <t xml:space="preserve">VIR INST VERS ANAIS LAMARD S.A.S. VPRDS HOME SOLUTIONS ANAIS LAMARD SALAIRE MIKIT MAI 25 SALAIRE A LAMARD MAI 25 23140610B0C44D2AAD5D8A71BDC6E68C FR7614445004000478625543876 </t>
  </si>
  <si>
    <t>BQ58581248</t>
  </si>
  <si>
    <t xml:space="preserve">VIR INST VERS NADEGE BOUQUET S.A.S. VPRDS HOME SOLUTIONS NADEGE BOUQUET SALAIRE N BOUQUET MAI 25 SALAIRE N BOUQUET MAI 25 691FFF031E7448E3B60B44DBEAB3E9EE FR7614445004000439250717608 </t>
  </si>
  <si>
    <t>20250708095109</t>
  </si>
  <si>
    <t>BQ60977129</t>
  </si>
  <si>
    <t xml:space="preserve">VIR INST VERS ANAIS LAMARD S.A.S. VPRDS HOME SOLUTIONS ANAIS LAMARD SALAIRE A LAMARD JUIN 25 SALAIRE MIKIT JUIN 25 9C06FDD5E5CE4BCFB6B16F0886859E04 FR7614445004000478625543876 </t>
  </si>
  <si>
    <t>BQ60977130</t>
  </si>
  <si>
    <t xml:space="preserve">VIR INST VERS NADEGE BOUQUET S.A.S. VPRDS HOME SOLUTIONS NADEGE BOUQUET SALAIRE N BOUQUET JUIN 25 SALAIRE MIKIT JUIN 25 2DC9A00154CB46F780BE99C1870A0A79 FR7614445004000439250717608 </t>
  </si>
  <si>
    <t>20251023090233</t>
  </si>
  <si>
    <t>BQ64092185</t>
  </si>
  <si>
    <t xml:space="preserve">VIR INST VERS ANAIS LAMARD S.A.S. VPRDS HOME SOLUTIONS ANAIS LAMARD SALAIRE A LAMARD - JUILLET 25 SALAIRE MIKIT JUILLET 25 01065744CDDF4E2189502754DF819FA5 FR7614445004000478625543876 </t>
  </si>
  <si>
    <t>BQ64092186</t>
  </si>
  <si>
    <t xml:space="preserve">VIR INST VERS NADEGE BOUQUET S.A.S. VPRDS HOME SOLUTIONS NADEGE BOUQUET SALAIRE N BOUQUET JUILLET 25 SALAIRE MIKIT JUILLET 25 C4F02EC721BC4CD88F8610672A95E834 FR7614445004000439250717608 </t>
  </si>
  <si>
    <t>20251023090618</t>
  </si>
  <si>
    <t>BQ66504506</t>
  </si>
  <si>
    <t xml:space="preserve">VIR INST VERS NADEGE BOUQUET S.A.S. VPRDS HOME SOLUTIONS NADEGE BOUQUET SALAIRE MIKIT AOUT 25 SALAIRE N BOUQUET AOUT 25 5FEF0F0BECCF4DB2B7001DC7839322D4 FR7614445004000439250717608 </t>
  </si>
  <si>
    <t>BQ66504507</t>
  </si>
  <si>
    <t xml:space="preserve">VIR INST VERS ANAIS LAMARD S.A.S. VPRDS HOME SOLUTIONS ANAIS LAMARD SALAIRE MIKIT AOUT 25 SALAIRE A LAMARD AOUT 25 D645C02E66794C06A4EC36D2E79D2916 FR7614445004000478625543876 </t>
  </si>
  <si>
    <t>BQ66504508</t>
  </si>
  <si>
    <t xml:space="preserve">VIR INST VERS ROMAIN BESNARD S.A.S. VPRDS HOME SOLUTIONS ROMAIN BESNARD SALAIRE MIKIT AOUT 25 SALAIRE R BESNARD AOUT 25 020B9F5615A3465A96EE106B212C816C FR7614445004000472479179034 </t>
  </si>
  <si>
    <t>20251023092152</t>
  </si>
  <si>
    <t>BQ69291962</t>
  </si>
  <si>
    <t xml:space="preserve">VIR INST VERS ANAIS LAMARD S.A.S. VPRDS HOME SOLUTIONS ANAIS LAMARD SALAIRE A LAMARD - SEPT 25 SALAIRE MIKIT - SEPT 25 C299CFE184F24D0E849C40A7F97977CF FR7614445004000478625543876 </t>
  </si>
  <si>
    <t>BQ69291963</t>
  </si>
  <si>
    <t xml:space="preserve">VIR INST VERS JENIFER JANDOT S.A.S. VPRDS HOME SOLUTIONS JENIFER JANDOT SALAIRE J JANDOT - SEPT 25 SALAIRE MIKIT - SEPT 25 3FE67496305C4275A446CE1470A19296 FR9820041010111538798R03294 </t>
  </si>
  <si>
    <t>BQ69291964</t>
  </si>
  <si>
    <t xml:space="preserve">VIR INST VERS ROMAIN BESNARD S.A.S. VPRDS HOME SOLUTIONS ROMAIN BESNARD SALAIRE R BESNARD - SEPT 25 SALAIRE MIKIT - SEPT 25 AF8D0D350E8644FE971D57CCC4B67C92 FR7614445004000472479179034 </t>
  </si>
  <si>
    <t>BQ69291965</t>
  </si>
  <si>
    <t xml:space="preserve">VIR INST VERS NADEGE BOUQUET S.A.S. VPRDS HOME SOLUTIONS NADEGE BOUQUET SALAIRE N BOUQUET - SEPT 25 SALAIRE MIKIT - SEPT 25 9DB5E91D59EA458BBF09AA1DDE11FE37 FR7614445004000439250717608 </t>
  </si>
  <si>
    <t>20260122084717</t>
  </si>
  <si>
    <t>BQ72372593</t>
  </si>
  <si>
    <t xml:space="preserve">VIR INST VERS ROMAIN BESNARD S.A.S. VPRDS HOME SOLUTIONS ROMAIN BESNARD SALAIRE R BESNARD - OCT 25 SALAIRE MIKIT OCT 25 63C14CFDEF0D491E816AB1D05B0F733F FR7614445004000472479179034 </t>
  </si>
  <si>
    <t>BQ72372594</t>
  </si>
  <si>
    <t xml:space="preserve">VIR INST VERS NADEGE BOUQUET S.A.S. VPRDS HOME SOLUTIONS NADEGE BOUQUET SALAIRE N BOUQUET - OCT 25 SALAIRE MIKIT OCT 25 C853D77BDCBF4EE5B351C2DBA3D000CB FR7614445004000439250717608 </t>
  </si>
  <si>
    <t>BQ72372595</t>
  </si>
  <si>
    <t xml:space="preserve">VIR INST VERS JENIFER JANDOT S.A.S. VPRDS HOME SOLUTIONS JENIFER JANDOT SALAIRE J JANDOT - OCT 25 SALAIRE MIKIT OCT 25 396D9818C87945A491AA0FBC10DB04E7 FR9820041010111538798R03294 </t>
  </si>
  <si>
    <t>BQ73120155</t>
  </si>
  <si>
    <t xml:space="preserve">CHEQUE NO 8141428 </t>
  </si>
  <si>
    <t>20260122085107</t>
  </si>
  <si>
    <t>BQ75668125</t>
  </si>
  <si>
    <t xml:space="preserve">VIR INST VERS ROMAIN BESNARD S.A.S. VPRDS HOME SOLUTIONS ROMAIN BESNARD SALAIRE R BESNARD NOV 25 SALAIRE MIKIT - NOV 25 C5292F05F6314CCEB985B400B257B690 FR7614445004000472479179034 </t>
  </si>
  <si>
    <t>BQ75668126</t>
  </si>
  <si>
    <t xml:space="preserve">VIR INST VERS NADEGE BOUQUET S.A.S. VPRDS HOME SOLUTIONS NADEGE BOUQUET SALAIRE N BOUQUET NOV 25 SALAIRE MIKIT - NOV 25 001A4D84013B49E48206440186B65EB1 FR7614445004000439250717608 </t>
  </si>
  <si>
    <t>BQ75668127</t>
  </si>
  <si>
    <t xml:space="preserve">VIR INST VERS JENIFER JANDOT S.A.S. VPRDS HOME SOLUTIONS JENIFER JANDOT SALAIRE J JANDOT - NOV 25 SALAIRE MIKIT - NOV 25 8B79817756CC4C79A530E0833848493F FR9820041010111538798R03294 </t>
  </si>
  <si>
    <t>20260122085852</t>
  </si>
  <si>
    <t>42500000000</t>
  </si>
  <si>
    <t>Personnel Avances et acomptes</t>
  </si>
  <si>
    <t>BQ48811469</t>
  </si>
  <si>
    <t xml:space="preserve">WEB ANAIS LAMARD PPV A LAMARD 2 VPRDS HOME SOLUTIONS ANAIS LAMARD PPV MIKIT 2025 PPV A LAMARD 2025 AGRIFRPP879 EUR200000000250000 FR7614445004000478625543876 </t>
  </si>
  <si>
    <t>BQ48811470</t>
  </si>
  <si>
    <t xml:space="preserve">VIR INST VERS NADEGE BOUQUET S.A.S. VPRDS HOME SOLUTIONS NADEGE BOUQUET PPV MIKIT 2025 PPV N BOUQUET 2025 00383BB8B7ED4512B6A5D32A4C52F828 FR7614445004000439250717608 </t>
  </si>
  <si>
    <t>42700000000</t>
  </si>
  <si>
    <t>Personnel oppositions</t>
  </si>
  <si>
    <t>PERSONNEL OPPOSITIONS (31/12/2024)</t>
  </si>
  <si>
    <t>RCLST SALARIE SORTI 2023</t>
  </si>
  <si>
    <t>42860000000</t>
  </si>
  <si>
    <t>Autres charges à payer</t>
  </si>
  <si>
    <t>AUTRES CHARGES À PAYER (31/12/2024)</t>
  </si>
  <si>
    <t>20250224135650</t>
  </si>
  <si>
    <t>20250826065605</t>
  </si>
  <si>
    <t>20260202140929</t>
  </si>
  <si>
    <t>43100000000</t>
  </si>
  <si>
    <t>SECURITE SOCIALE</t>
  </si>
  <si>
    <t>12/2024 - URSSAF DES PAYS DE LA LOIRE (527000000255480022) (31/12/2024)</t>
  </si>
  <si>
    <t>BQ47405550</t>
  </si>
  <si>
    <t>URSSAF PAYS DE LOIRE URSSAF PAYS DE LOIRE FR57ZZZ113735 SEPA SAS VPRDS HOME SOLUTIONS 278871949 BQE152725015072150RCUR000056399---- UR 527000000255480022 DEC 24535104756000150125 T11373591824971500000</t>
  </si>
  <si>
    <t>20250221101830</t>
  </si>
  <si>
    <t>01/2025 - URSSAF DES PAYS DE LA LOIRE (527000000255480022)</t>
  </si>
  <si>
    <t>BQ49916187</t>
  </si>
  <si>
    <t>URSSAF PAYS DE LOIRE URSSAF PAYS DE LOIRE FR57ZZZ113735 SEPA SAS VPRDS HOME SOLUTIONS 281801706 BQE152725048072219RCUR000022330---- UR 527000000255480022 JANV25535104756000170225 T11373591824971500000</t>
  </si>
  <si>
    <t>20250617141858</t>
  </si>
  <si>
    <t>SALAIRES 02/2025 / URSSAF</t>
  </si>
  <si>
    <t>BQ52152435</t>
  </si>
  <si>
    <t xml:space="preserve">URSSAF PAYS DE LOIRE URSSAF PAYS DE LOIRE FR57ZZZ113735 SEPA SAS VPRDS HOME SOLUTIONS 284263983 T250760002812645 UR 527000000255480022 FEV 25535104756000170325 T1137359182497150000073094805340470RCUR </t>
  </si>
  <si>
    <t>20250417122819</t>
  </si>
  <si>
    <t>BQ54616903</t>
  </si>
  <si>
    <t xml:space="preserve">URSSAF PAYS DE LOIRE URSSAF PAYS DE LOIRE FR57ZZZ113735 SEPA SAS VPRDS HOME SOLUTIONS 286489739 T251050003002660 UR 527000000255480022 MARS25535104756000150425 T1137359182497150000073094805340470RCUR </t>
  </si>
  <si>
    <t>20250617141902</t>
  </si>
  <si>
    <t>SALAIRES 04/2025 URSSAF</t>
  </si>
  <si>
    <t>20250617141946</t>
  </si>
  <si>
    <t>TA SOLDE VERSEMENT LIB</t>
  </si>
  <si>
    <t>BQ56934344</t>
  </si>
  <si>
    <t xml:space="preserve">URSSAF PAYS DE LOIRE URSSAF PAYS DE LOIRE FR57ZZZ113735 SEPA SAS VPRDS HOME SOLUTIONS 288661766 T251350002795195 UR 527000000255480022 AVR 25535104756000150525 T1137359182497150000073094805340470RCUR </t>
  </si>
  <si>
    <t>20250617142013</t>
  </si>
  <si>
    <t>SALAIRES 05/2025 URSSAF</t>
  </si>
  <si>
    <t>BQ59376839</t>
  </si>
  <si>
    <t xml:space="preserve">URSSAF PAYS DE LOIRE URSSAF PAYS DE LOIRE FR57ZZZ113735 SEPA SAS VPRDS HOME SOLUTIONS 291102352 T251670002754579 UR 527000000255480022 MAI 25535104756000160625 T1137359182497150000073094805340470RCUR </t>
  </si>
  <si>
    <t>20250618080618</t>
  </si>
  <si>
    <t>SALAIRES 06/2025 URSSAF</t>
  </si>
  <si>
    <t>BQ62254237</t>
  </si>
  <si>
    <t>URSSAF PAYS DE LOIRE URSSAF PAYS DE LOIRE FR57ZZZ113735 SEPA SAS VPRDS HOME SOLUTIONS 293324041 BQE152725196072207RCUR000051391 UR 527000000255480022 JUIN25535104756000150725 T113735918249715000007309</t>
  </si>
  <si>
    <t>20251023085522</t>
  </si>
  <si>
    <t>BQ65020782</t>
  </si>
  <si>
    <t>URSSAF PAYS DE LOIRE URSSAF PAYS DE LOIRE FR57ZZZ113735 SEPA SAS VPRDS HOME SOLUTIONS 295710611 BQE152725230072156RCUR000026751 UR 527000000255480022 JUIL25535104756000180825 T113735918249715000007309</t>
  </si>
  <si>
    <t>20251023092236</t>
  </si>
  <si>
    <t>BQ67471456</t>
  </si>
  <si>
    <t>URSSAF PAYS DE LOIRE URSSAF PAYS DE LOIRE FR57ZZZ113735 SEPA SAS VPRDS HOME SOLUTIONS 297751319 BQE152725258072242RCUR000034271 UR 527000000255480022 AOUT25535104756000150925 T113735918249715000007309</t>
  </si>
  <si>
    <t>20251023092241</t>
  </si>
  <si>
    <t>BQ70474174</t>
  </si>
  <si>
    <t>URSSAF PAYS DE LOIRE URSSAF PAYS DE LOIRE FR57ZZZ113735 SEPA SAS VPRDS HOME SOLUTIONS 300102996 BQE152725288072235RCUR000033826 UR 527000000255480022 SEPT25535104756000151025 T113735918249715000007309</t>
  </si>
  <si>
    <t>20251023092245</t>
  </si>
  <si>
    <t>BQ73592033</t>
  </si>
  <si>
    <t>URSSAF PAYS DE LOIRE URSSAF PAYS DE LOIRE FR57ZZZ113735 SEPA SAS VPRDS HOME SOLUTIONS 302531929 BQE152725321072221RCUR000031136 UR 527000000255480022 OCT 25535104756000171125 T113735918249715000007309</t>
  </si>
  <si>
    <t>BQ76682237</t>
  </si>
  <si>
    <t>URSSAF PAYS DE LOIRE URSSAF PAYS DE LOIRE FR57ZZZ113735 SEPA SAS VPRDS HOME SOLUTIONS 304724703 BQE152725349072223RCUR000026703 UR 527000000255480022 NOV 25535104756000151225 T113735918249715000007309</t>
  </si>
  <si>
    <t>20260122085131</t>
  </si>
  <si>
    <t>43702000000</t>
  </si>
  <si>
    <t>HUMANIS PREVOYANCE</t>
  </si>
  <si>
    <t>SALAIRES 10/2024 (31/10/2024)</t>
  </si>
  <si>
    <t>SALAIRES 11/2024 (30/11/2024)</t>
  </si>
  <si>
    <t>12/2024 - COMPTE PAR DÉFAUT PRÉVOYANCES (31/12/2024)</t>
  </si>
  <si>
    <t>BQ48130197</t>
  </si>
  <si>
    <t>HUMANIS PREVOYANCE PLEIADE HUMANIS PREVOYANCE PLEIADE FR33ZZZ589176 SEPA MIKIT 279321304 2025-01-20-15.41.09.779260 501942618065 COTISATIONS PLE-TRG-20231115205513-266709 RCUR FR7617906001129641663834</t>
  </si>
  <si>
    <t>SALAIRES 02/2025 / PREV</t>
  </si>
  <si>
    <t>BQ55032579</t>
  </si>
  <si>
    <t>HUMANIS PREVOYANCE PLEIADE HUMANIS PREVOYANCE PLEIADE FR33ZZZ589176 SEPA MIKIT 286828309 2025-04-17-09.26.32.689522 510726408487 COTISATIONS PLE-TRG-20231115205513-266709 RCUR FR7617906001129641663834</t>
  </si>
  <si>
    <t>BQ62956355</t>
  </si>
  <si>
    <t>HUMANIS PREVOYANCE PLEIADE HUMANIS PREVOYANCE PLEIADE FR33ZZZ589176 SEPA MIKIT 293607044 2025-07-17-13.11.43.797962 519813707255 COTISATIONS PLE-TRG-20231115205513-266709 RCUR FR7617906001129641663834</t>
  </si>
  <si>
    <t>SALAIRES 08/2025PREV</t>
  </si>
  <si>
    <t>SALAIRES 09/2025PREV</t>
  </si>
  <si>
    <t>BQ71085300</t>
  </si>
  <si>
    <t>HUMANIS PREVOYANCE PLEIADE HUMANIS PREVOYANCE PLEIADE FR33ZZZ589176 SEPA MIKIT 300502148 2025-10-21-15.11.01.087151 529146808342 COTISATIONS PLE-TRG-20231115205513-266709 RCUR FR7617906001129641663834</t>
  </si>
  <si>
    <t>43703000000</t>
  </si>
  <si>
    <t>AESIO MUTUELLE</t>
  </si>
  <si>
    <t>BQ70873522</t>
  </si>
  <si>
    <t xml:space="preserve">VIR INST VERS AESIO MUTUELLE S.A.S. VPRDS HOME SOLUTIONS AESIO MUTUELLE AESIO VPRDS HOME SOLUTIONS AESIO VPRDS HOME SOLUTIONS 67425088F34A44F6A2854C21AD25C1D5 FR7610107002280085291161070 </t>
  </si>
  <si>
    <t>BQ77837620</t>
  </si>
  <si>
    <t>AESIO MUTUELLE AESIO MUTUELLE FR29ADR004338 SEPA VPRDS HOME SOLUTIONS 305373351 20251228GROUPE-AESIO--078448293---- INSU 20251228GROUPE AESIO 078448293 8D705DC598DA4D6B8452BA8E786C9948 FRST FR76179060</t>
  </si>
  <si>
    <t>43720000000</t>
  </si>
  <si>
    <t>CAISSE DES FRAIS DE SANTE</t>
  </si>
  <si>
    <t>SALAIRES 02/2025 CONTRIB ADESATT</t>
  </si>
  <si>
    <t>20260204135423</t>
  </si>
  <si>
    <t>43730000000</t>
  </si>
  <si>
    <t>Caisse retraite complémentaire</t>
  </si>
  <si>
    <t>BQ48133608</t>
  </si>
  <si>
    <t>MALAKOFF HUMANIS MALAKOFF HUMANIS FR14ZZZ85F970 SEPA VPRDS HOME SOLUTIONS 279563121 I0000985869056 RETRAITE - MALAKOFF HUMANIS - 202412M - SIRET 91824971500015 -AG033000 022578452 SCG033URAE001117479W</t>
  </si>
  <si>
    <t>BQ50434109</t>
  </si>
  <si>
    <t>MALAKOFF HUMANIS MALAKOFF HUMANIS FR14ZZZ85F970 SEPA VPRDS HOME SOLUTIONS 282160072 I0000996249852 RETRAITE - MALAKOFF HUMANIS - 202501M - SIRET 91824971500015 -AG033000 022783790 SCG033URAE001117479W</t>
  </si>
  <si>
    <t>SALAIRES 02/2025 / RETRAITE</t>
  </si>
  <si>
    <t>BQ52613194</t>
  </si>
  <si>
    <t>MALAKOFF HUMANIS MALAKOFF HUMANIS FR14ZZZ85F970 SEPA VPRDS HOME SOLUTIONS 284541010 I0001005745168 RETRAITE - MALAKOFF HUMANIS - 202502M - SIRET 91824971500015 -AG033000 023175187 SCG033URAE001117479W</t>
  </si>
  <si>
    <t>BQ55191756</t>
  </si>
  <si>
    <t>MALAKOFF HUMANIS MALAKOFF HUMANIS FR14ZZZ85F970 SEPA VPRDS HOME SOLUTIONS 286980270 I0001023365153 RETRAITE - MALAKOFF HUMANIS - 202503M - SIRET 91824971500015 -AG033000 023396961 SCG033URAE001117479W</t>
  </si>
  <si>
    <t>BQ57536922</t>
  </si>
  <si>
    <t>MALAKOFF HUMANIS MALAKOFF HUMANIS FR14ZZZ85F970 SEPA VPRDS HOME SOLUTIONS 289076643 I0001025981246 RETRAITE - MALAKOFF HUMANIS - 202504M - SIRET 91824971500015 -AG033000 023857898 SCG033URAE001117479W</t>
  </si>
  <si>
    <t>BQ60070314</t>
  </si>
  <si>
    <t>MALAKOFF HUMANIS MALAKOFF HUMANIS FR14ZZZ85F970 SEPA VPRDS HOME SOLUTIONS 291555695 I0001035574479 RETRAITE - MALAKOFF HUMANIS - 202505M - SIRET 91824971500015 -AG033000 024118090 SCG033URAE001117479W</t>
  </si>
  <si>
    <t>BQ63144792</t>
  </si>
  <si>
    <t>MALAKOFF HUMANIS MALAKOFF HUMANIS FR14ZZZ85F970 SEPA VPRDS HOME SOLUTIONS 293780582 I0001046064518 RETRAITE - MALAKOFF HUMANIS - 202506M - SIRET 91824971500015 -AG033000 024458930 SCG033URAE001117479W</t>
  </si>
  <si>
    <t>BQ65383096</t>
  </si>
  <si>
    <t>MALAKOFF HUMANIS MALAKOFF HUMANIS FR14ZZZ85F970 SEPA VPRDS HOME SOLUTIONS 295945432 I0001055409708 RETRAITE - MALAKOFF HUMANIS - 202507M - SIRET 91824971500015 -AG033000 024712260 SCG033URAE001117479W</t>
  </si>
  <si>
    <t>BQ68225768</t>
  </si>
  <si>
    <t>MALAKOFF HUMANIS MALAKOFF HUMANIS FR14ZZZ85F970 SEPA VPRDS HOME SOLUTIONS 298198062 I0001064734395 RETRAITE - MALAKOFF HUMANIS - 202508M - SIRET 91824971500015 -AG033000 025073575 SCG033URAE001117479W</t>
  </si>
  <si>
    <t>BQ71337518</t>
  </si>
  <si>
    <t>MALAKOFF HUMANIS MALAKOFF HUMANIS FR14ZZZ85F970 SEPA VPRDS HOME SOLUTIONS 300680346 I0001075075665 RETRAITE - MALAKOFF HUMANIS - 202509M - SIRET 91824971500015 -AG033000 025388528 SCG033URAE001117479W</t>
  </si>
  <si>
    <t>BQ74290068</t>
  </si>
  <si>
    <t>MALAKOFF HUMANIS MALAKOFF HUMANIS FR14ZZZ85F970 SEPA VPRDS HOME SOLUTIONS 302812916 I0001084855641 RETRAITE - MALAKOFF HUMANIS - 202510M - SIRET 91824971500015 -AG033000 025725503 SCG033URAE001117479W</t>
  </si>
  <si>
    <t>BQ77837616</t>
  </si>
  <si>
    <t>MALAKOFF HUMANIS MALAKOFF HUMANIS FR14ZZZ85F970 SEPA VPRDS HOME SOLUTIONS 305255540 I0001101916720 RETRAITE - MALAKOFF HUMANIS - 202511M - SIRET 91824971500015 -AG033000 026027125 SCG033URAE001117479W</t>
  </si>
  <si>
    <t>SALAIRES 12/2025  RETRAITE</t>
  </si>
  <si>
    <t>43860000000</t>
  </si>
  <si>
    <t>44210000000</t>
  </si>
  <si>
    <t>Prélèvements à la source - IR</t>
  </si>
  <si>
    <t>BQ47826825</t>
  </si>
  <si>
    <t>B2B DGFIP DGFIP FR46ZZZ005002 SEPA DGFIP IMPOT SAS VPRDS HOME SOLUTIONS 918249715-01-11 279223975 25020-5337-PSR-B2I-01-00756844 PASDSN15012025-122024-91824971500015 NN918249715DGFIP2023663364LLM8LG4O</t>
  </si>
  <si>
    <t>20250221103828</t>
  </si>
  <si>
    <t>BQ50434111</t>
  </si>
  <si>
    <t>B2B DGFIP DGFIP FR46ZZZ005002 SEPA DGFIP IMPOT SAS VPRDS HOME SOLUTIONS 918249715-01-11 282221598 25052-5337-PSR-B2I-01-00637207 PASDSN17022025-012025-91824971500015 NN918249715DGFIP2023663364LLM8LG4O</t>
  </si>
  <si>
    <t>BQ52613196</t>
  </si>
  <si>
    <t>B2B DGFIP DGFIP FR46ZZZ005002 SEPA DGFIP IMPOT SAS VPRDS HOME SOLUTIONS 918249715-01-11 284597284 25080-5337-PSR-B2I-01-00640257 PASDSN17032025-022025-91824971500015 NN918249715DGFIP2023663364LLM8LG4O</t>
  </si>
  <si>
    <t>20250417122756</t>
  </si>
  <si>
    <t>BQ55032578</t>
  </si>
  <si>
    <t>B2B DGFIP DGFIP FR46ZZZ005002 SEPA DGFIP IMPOT SAS VPRDS HOME SOLUTIONS 918249715-01-11 286812240 25112-5337-PSR-B2I-01-00748543 PASDSN15042025-032025-91824971500015 NN918249715DGFIP2023663364LLM8LG4O</t>
  </si>
  <si>
    <t>20250617142417</t>
  </si>
  <si>
    <t>BQ57234667</t>
  </si>
  <si>
    <t>B2B DGFIP DGFIP FR46ZZZ005002 SEPA DGFIP IMPOT SAS VPRDS HOME SOLUTIONS 918249715-01-11 288879408 25139-5337-PSR-B2I-01-00645579 PASDSN15052025-042025-91824971500015 NN918249715DGFIP2023663364LLM8LG4O</t>
  </si>
  <si>
    <t>20250617142448</t>
  </si>
  <si>
    <t>BQ59924039</t>
  </si>
  <si>
    <t>B2B DGFIP DGFIP FR46ZZZ005002 SEPA DGFIP IMPOT SAS VPRDS HOME SOLUTIONS 918249715-01-11 291452304 25171-5337-PSR-B2I-01-00648957 PASDSN16062025-052025-91824971500015 NN918249715DGFIP2023663364LLM8LG4O</t>
  </si>
  <si>
    <t>20250826070557</t>
  </si>
  <si>
    <t>BQ62957184</t>
  </si>
  <si>
    <t>B2B DGFIP DGFIP FR46ZZZ005002 SEPA DGFIP IMPOT SAS VPRDS HOME SOLUTIONS 918249715-01-11 293717710 25202-5337-PSR-B2I-01-00755156 PASDSN15072025-062025-91824971500015 NN918249715DGFIP2023663364LLM8LG4O</t>
  </si>
  <si>
    <t>BQ65490646</t>
  </si>
  <si>
    <t>B2B DGFIP DGFIP FR46ZZZ005002 SEPA DGFIP IMPOT SAS VPRDS HOME SOLUTIONS 918249715-01-11 296026192 25234-5337-PSR-B2I-01-00645094 PASDSN18082025-072025-91824971500015 NN918249715DGFIP2023663364LLM8LG4O</t>
  </si>
  <si>
    <t>BQ68020681</t>
  </si>
  <si>
    <t>B2B DGFIP DGFIP FR46ZZZ005002 SEPA DGFIP IMPOT SAS VPRDS HOME SOLUTIONS 918249715-01-11 298079367 25262-5337-PSR-B2I-01-00641525 PASDSN15092025-082025-91824971500015 NN918249715DGFIP2023663364LLM8LG4O</t>
  </si>
  <si>
    <t>BQ70974510</t>
  </si>
  <si>
    <t>B2B DGFIP DGFIP FR46ZZZ005002 SEPA DGFIP IMPOT SAS VPRDS HOME SOLUTIONS 918249715-01-11 300413908 25293-5337-PSR-B2I-01-00741299 PASDSN15102025-092025-91824971500015 NN918249715DGFIP2023663364LLM8LG4O</t>
  </si>
  <si>
    <t>20251023092225</t>
  </si>
  <si>
    <t>BQ74290070</t>
  </si>
  <si>
    <t>B2B DGFIP DGFIP FR46ZZZ005002 SEPA DGFIP IMPOT SAS VPRDS HOME SOLUTIONS 918249715-01-11 302870248 25325-5337-PSR-B2I-01-00603343 PASDSN17112025-102025-91824971500015 NN918249715DGFIP2023663364LLM8LG4O</t>
  </si>
  <si>
    <t>BQ77457626</t>
  </si>
  <si>
    <t>B2B DGFIP DGFIP FR46ZZZ005002 SEPA DGFIP IMPOT SAS VPRDS HOME SOLUTIONS 918249715-01-11 305186669 25353-5337-PSR-B2I-01-00630624 PASDSN15122025-112025-91824971500015 NN918249715DGFIP2023663364LLM8LG4O</t>
  </si>
  <si>
    <t>20260122095519</t>
  </si>
  <si>
    <t>44400000000</t>
  </si>
  <si>
    <t>Etat Impôts sur les bénéfices</t>
  </si>
  <si>
    <t>MECENAT 2024 (31/12/2024)</t>
  </si>
  <si>
    <t>IS 31.12.2024 (31/12/2024)</t>
  </si>
  <si>
    <t>BQ56932482</t>
  </si>
  <si>
    <t>B2B DGFIP DGFIP FR46ZZZ005002 SEPA DGFIP IMPOT VPRDS HOME SOLUTIONS 918249715 288475684 25133-5337-PSR-B2B-01-00303739 IS1-052025-2572 NN918249715DGFIP2023663364LLM8LG4O RCUR FR76179060011296416638346</t>
  </si>
  <si>
    <t>20250825170225</t>
  </si>
  <si>
    <t>20260204142250</t>
  </si>
  <si>
    <t>20260319161225</t>
  </si>
  <si>
    <t>44520000000</t>
  </si>
  <si>
    <t>TVA intracommunautaire</t>
  </si>
  <si>
    <t>ANNUL ECRITURE 15.06 DOUBLON 3X787263 DKV ESSENCE SKODA GJ-472-DK (15/06/2024)</t>
  </si>
  <si>
    <t>OD_MTVA_012025</t>
  </si>
  <si>
    <t>TVA INTRACOMMUNAUTAIRE - 3310CA3-2025 - 01/01/2025 - 31/01/2025</t>
  </si>
  <si>
    <t>156914332742</t>
  </si>
  <si>
    <t>20250320134342</t>
  </si>
  <si>
    <t>TVA 02.2025 / IMPORTATIONS</t>
  </si>
  <si>
    <t>20250422103704</t>
  </si>
  <si>
    <t>TVA 03.2025 / IMPORTATIONS</t>
  </si>
  <si>
    <t>20250523132836</t>
  </si>
  <si>
    <t>TVA 04.2025 / IMPORTATIONS</t>
  </si>
  <si>
    <t>DKV EURO SERVICE GMBH &amp; CO KG 25_643583660_00132 LITRE GAZOLE 0009 (IMMATRICULATION FZ-325-SX, CLIENT ANAIS LAMARD) (ID 1)</t>
  </si>
  <si>
    <t>DKV EURO SERVICE GMBH &amp; CO KG 25_644251382_00146 LITRE EURO 95 (SUPER) POUR VEHICULE HD-097-EZ, CLIENT NADEGE BOUQUET (ID 2)</t>
  </si>
  <si>
    <t>20250624082217</t>
  </si>
  <si>
    <t>TVA 05.2025 / IMPORTATIONS</t>
  </si>
  <si>
    <t>20250710152855</t>
  </si>
  <si>
    <t>TVA 06.2025 / IMPORTATIONS</t>
  </si>
  <si>
    <t>20250924150043</t>
  </si>
  <si>
    <t>TVA 08.2025 / IMPORTATIONS</t>
  </si>
  <si>
    <t>20251024083026</t>
  </si>
  <si>
    <t>TVA 09.2025 / IMPORTATIONS</t>
  </si>
  <si>
    <t>20251124102017</t>
  </si>
  <si>
    <t>TVA 10.2025 / IMPORTATIONS</t>
  </si>
  <si>
    <t>20251218105625</t>
  </si>
  <si>
    <t>TVA 11.2025 / IMPORTATIONS</t>
  </si>
  <si>
    <t>20260122113827</t>
  </si>
  <si>
    <t>TVA 12.2025 / IMPORTATIONS</t>
  </si>
  <si>
    <t>44524200000</t>
  </si>
  <si>
    <t>TVA AUTOLIQ P SERV SS TRAIT TN</t>
  </si>
  <si>
    <t>TVA COLLECTÉE 20% - 3310CA3-2025 - 01/01/2025 - 31/01/2025</t>
  </si>
  <si>
    <t>TVA 02.2025 / TVA SOUS TRAITANCE</t>
  </si>
  <si>
    <t>TVA 03.2025 / TVA SOUS TRAITANCE</t>
  </si>
  <si>
    <t>44528000000</t>
  </si>
  <si>
    <t>TVA DUE SUR IMPORTATIONS</t>
  </si>
  <si>
    <t>MICROSOFT MAINTENANCE (05/07/2024)</t>
  </si>
  <si>
    <t>NORD VPN MAINTENANCE (29/07/2024)</t>
  </si>
  <si>
    <t>OPENAI CHAT GPT (31/07/2024)</t>
  </si>
  <si>
    <t>AMAZON FRANCE FOUR PT EQUIP. OUTILLAGE (01/08/2024)</t>
  </si>
  <si>
    <t>AMAZON FOUR PT EQUIP. OUTILLAGE (01/08/2024)</t>
  </si>
  <si>
    <t>MICROSOFT MAINTENANCE (05/08/2024)</t>
  </si>
  <si>
    <t>CANVA ANNONCES &amp; INSERTIONS (10/08/2024)</t>
  </si>
  <si>
    <t>NORD VPN MAINTENANCE (29/08/2024)</t>
  </si>
  <si>
    <t>OPENAI CHAT GPT (31/08/2024)</t>
  </si>
  <si>
    <t>MICROSOFT MAINTENANCE (05/09/2024)</t>
  </si>
  <si>
    <t>OD DECL. TVA AU 31/08/2024 Q5 - 20% - TVA DUE IMPORTATION (31/08/2024)</t>
  </si>
  <si>
    <t>OD DECL. TVA AU 30/09/2024 Q5 - 20% - TVA DUE IMPORTATION (30/09/2024)</t>
  </si>
  <si>
    <t>44551000000</t>
  </si>
  <si>
    <t>TVA à décaisser</t>
  </si>
  <si>
    <t>TVA À DÉCAISSER - 3310CA3-2024 - 01/12/2024 - 31/12/2024 (31/12/2024)</t>
  </si>
  <si>
    <t>BQ48133606</t>
  </si>
  <si>
    <t>B2B DGFIP DGFIP FR46ZZZ005002 SEPA DGFIP IMPOT VPRDS HOME SOLUTIONS 918249715 279504964 25023-5337-PSR-B2B-01-00045328 TVA1-012025-3310CA3 NN918249715DGFIP2023663364LLM8LG4O RCUR FR7617906001129641663</t>
  </si>
  <si>
    <t>BQ48133607</t>
  </si>
  <si>
    <t>B2B DGFIP DGFIP FR46ZZZ005002 SEPA DGFIP IMPOT VPRDS HOME SOLUTIONS 918249715 279504964 25023-5337-PSR-B2B-01-00045285 TVA1-012025-3310CA3 NN918249715DGFIP2023663364LLM8LG4O RCUR FR7617906001129641663</t>
  </si>
  <si>
    <t>BQ48592230</t>
  </si>
  <si>
    <t xml:space="preserve">VIR SIE LE MANS 120720580DAA534 SIE LE MANS SAS VPRDS HOME SOLUTIONS SAS VPRDS HOME SOLUTIONS REMB. DGFIP - TROP PERCU TVA 12/24 120720580DAA534-2025 BDFEFRPP EUR200000001951000 </t>
  </si>
  <si>
    <t>TVA À DÉCAISSER - 3310CA3-2025 - 01/01/2025 - 31/01/2025</t>
  </si>
  <si>
    <t>BQ50620126</t>
  </si>
  <si>
    <t>B2B DGFIP DGFIP FR46ZZZ005002 SEPA DGFIP IMPOT VPRDS HOME SOLUTIONS 918249715 282411645 25056-5337-PSR-B2B-01-00073208 TVA1-022025-3310CA3 NN918249715DGFIP2023663364LLM8LG4O RCUR FR7617906001129641663</t>
  </si>
  <si>
    <t>TVA 02.2025</t>
  </si>
  <si>
    <t>BQ52705298</t>
  </si>
  <si>
    <t>B2B DGFIP DGFIP FR46ZZZ005002 SEPA DGFIP IMPOT VPRDS HOME SOLUTIONS 918249715 284674975 25083-5337-PSR-B2B-01-00217147 TVA1-032025-3310CA3 NN918249715DGFIP2023663364LLM8LG4O RCUR FR7617906001129641663</t>
  </si>
  <si>
    <t>TVA 03.2025</t>
  </si>
  <si>
    <t>BQ55191754</t>
  </si>
  <si>
    <t>B2B DGFIP DGFIP FR46ZZZ005002 SEPA DGFIP IMPOT VPRDS HOME SOLUTIONS 918249715 286886445 25113-5337-PSR-B2B-01-00245750 TVA1-042025-3310CA3 NN918249715DGFIP2023663364LLM8LG4O RCUR FR7617906001129641663</t>
  </si>
  <si>
    <t>TVA 04.2025</t>
  </si>
  <si>
    <t>BQ57731187</t>
  </si>
  <si>
    <t>B2B DGFIP DGFIP FR46ZZZ005002 SEPA DGFIP IMPOT VPRDS HOME SOLUTIONS 918249715 289334754 25146-5337-PSR-B2B-01-00161024 TVA1-052025-3310CA3 NN918249715DGFIP2023663364LLM8LG4O RCUR FR7617906001129641663</t>
  </si>
  <si>
    <t>BQ60308955</t>
  </si>
  <si>
    <t>B2B DGFIP DGFIP FR46ZZZ005002 SEPA DGFIP IMPOT VPRDS HOME SOLUTIONS 918249715 291683732 25176-5337-PSR-B2B-01-00071928 TVA1-062025-3310CA3 NN918249715DGFIP2023663364LLM8LG4O RCUR FR7617906001129641663</t>
  </si>
  <si>
    <t>BQ63029581</t>
  </si>
  <si>
    <t>B2B DGFIP DGFIP FR46ZZZ005002 SEPA DGFIP IMPOT VPRDS HOME SOLUTIONS 918249715 293746568 25203-5337-PSR-B2B-01-00381533 TVA1-072025-3310CA3 NN918249715DGFIP2023663364LLM8LG4O RCUR FR7617906001129641663</t>
  </si>
  <si>
    <t>20250924130911</t>
  </si>
  <si>
    <t>ÉCART DE RÈGLEMENT - TVA À DÉCAISSER</t>
  </si>
  <si>
    <t>20250730141621</t>
  </si>
  <si>
    <t>TVA 07.2025</t>
  </si>
  <si>
    <t>BQ65580449</t>
  </si>
  <si>
    <t>B2B DGFIP DGFIP FR46ZZZ005002 SEPA DGFIP IMPOT VPRDS HOME SOLUTIONS 918249715 296107941 25237-5337-PSR-B2B-01-00175534 TVA1-082025-3310CA3 NN918249715DGFIP2023663364LLM8LG4O RCUR FR7617906001129641663</t>
  </si>
  <si>
    <t xml:space="preserve">TVA 08.2025 </t>
  </si>
  <si>
    <t>BQ68476519</t>
  </si>
  <si>
    <t>B2B DGFIP DGFIP FR46ZZZ005002 SEPA DGFIP IMPOT VPRDS HOME SOLUTIONS 918249715 298413073 25268-5337-PSR-B2B-01-00065235 TVA1-092025-3310CA3 NN918249715DGFIP2023663364LLM8LG4O RCUR FR7617906001129641663</t>
  </si>
  <si>
    <t xml:space="preserve">TVA 09.2025 </t>
  </si>
  <si>
    <t>BQ71563305</t>
  </si>
  <si>
    <t>B2B DGFIP DGFIP FR46ZZZ005002 SEPA DGFIP IMPOT VPRDS HOME SOLUTIONS 918249715 300879816 25300-5337-PSR-B2B-01-00058182 TVA1-102025-3310CA3 NN918249715DGFIP2023663364LLM8LG4O RCUR FR7617906001129641663</t>
  </si>
  <si>
    <t xml:space="preserve">TVA 10.2025 </t>
  </si>
  <si>
    <t>BQ74501968</t>
  </si>
  <si>
    <t>B2B DGFIP DGFIP FR46ZZZ005002 SEPA DGFIP IMPOT VPRDS HOME SOLUTIONS 918249715 303033545 25329-5337-PSR-B2B-01-00085766 TVA1-112025-3310CA3 NN918249715DGFIP2023663364LLM8LG4O RCUR FR7617906001129641663</t>
  </si>
  <si>
    <t>TVA 11.2025</t>
  </si>
  <si>
    <t>BQ77576799</t>
  </si>
  <si>
    <t>B2B DGFIP DGFIP FR46ZZZ005002 SEPA DGFIP IMPOT VPRDS HOME SOLUTIONS 918249715 305223473 25356-5337-PSR-B2B-01-00400527 TVA1-122025-3310CA3 NN918249715DGFIP2023663364LLM8LG4O RCUR FR7617906001129641663</t>
  </si>
  <si>
    <t>TVA 12.2025 TVA</t>
  </si>
  <si>
    <t>44558000000</t>
  </si>
  <si>
    <t>Taxes assimilées à la TVA</t>
  </si>
  <si>
    <t>TAXES ASSIMILÉES À LA TVA (31/12/2024)</t>
  </si>
  <si>
    <t>44562000000</t>
  </si>
  <si>
    <t>TVA sur immobilisations</t>
  </si>
  <si>
    <t>TVA SUR IMMOBILISATIONS - 3310CA3-2025 - 01/01/2025 - 31/01/2025</t>
  </si>
  <si>
    <t>20250313095746</t>
  </si>
  <si>
    <t>ÉCART DE RÈGLEMENT - TVA SUR IMMOBILISATIONS</t>
  </si>
  <si>
    <t>44566000000</t>
  </si>
  <si>
    <t>TVA déductible abs</t>
  </si>
  <si>
    <t>LOGEFIM LOYERS (01/01/2024)</t>
  </si>
  <si>
    <t>VERISURE MAINTENANCE (01/01/2024)</t>
  </si>
  <si>
    <t>CARBURANTS DIVERS ESSENCE VEHICULE TOURISME (01/01/2024)</t>
  </si>
  <si>
    <t>ASF PEAGES (01/01/2024)</t>
  </si>
  <si>
    <t>MIKIT REDEVANCEINFORMATIQUE (01/01/2024)</t>
  </si>
  <si>
    <t>MIKIT REDEVANCE CEDERO (01/01/2024)</t>
  </si>
  <si>
    <t>MIKIT RIDONY FRAIS DOSSIER RIDONY (01/01/2024)</t>
  </si>
  <si>
    <t>MIKIT SOUSTRAITANCE MIKIT (01/01/2024)</t>
  </si>
  <si>
    <t>MIKIT MODIF 3 ABF ARCHI CONSEILPROJ (01/01/2024)</t>
  </si>
  <si>
    <t>MIKIT RIDONY SOUSTRAITANCE MIKIT (01/01/2024)</t>
  </si>
  <si>
    <t>MIKIT PLANS PROJET RAJOEL ROJO PREV (01/01/2024)</t>
  </si>
  <si>
    <t>MIKIT BBIO (01/01/2024)</t>
  </si>
  <si>
    <t>SUPER U ESSENCE VEHICULE TOURISME (03/01/2024)</t>
  </si>
  <si>
    <t>NOTE DE FRAIS ESSENCE VEHICULE TOURISME (03/01/2024)</t>
  </si>
  <si>
    <t>AZUR CONSEIL SER211000062 TRAITEMENT DES D (05/01/2024)</t>
  </si>
  <si>
    <t>AZUR CONSEIL SER220500067 REMISE BONUS PAL (05/01/2024)</t>
  </si>
  <si>
    <t>LE QG CLUB FRAIS MISSIONS (05/01/2024)</t>
  </si>
  <si>
    <t>VISTAPRINT ANNONCES &amp; INSERTIONS (08/01/2024)</t>
  </si>
  <si>
    <t>RINGOVER MAINTENANCE (08/01/2024)</t>
  </si>
  <si>
    <t>LIBERTA FRAIS RÉCEPTIONS (10/01/2024)</t>
  </si>
  <si>
    <t>LA TAVERNE MISSIONS (11/01/2024)</t>
  </si>
  <si>
    <t>COPIEURS MULTIFONCTION - A1M55 LOY. COPIEURS MULTIFONCTION (12/01/2024)</t>
  </si>
  <si>
    <t>REX.ROTARY FOURNITURES ADMINISTRATIVES (12/01/2024)</t>
  </si>
  <si>
    <t>CARREFOUR ESSENCE VEHICULE TOURISME (13/01/2024)</t>
  </si>
  <si>
    <t>ASF PEAGES (13/01/2024)</t>
  </si>
  <si>
    <t>ASF PEAGES (14/01/2024)</t>
  </si>
  <si>
    <t>ORANGE FRAIS DE TÉLÉCOMMUNICATION (15/01/2024)</t>
  </si>
  <si>
    <t>SANTE 72 MÉDECINE TRAVAIL PHARMACIE (16/01/2024)</t>
  </si>
  <si>
    <t>V AND B CADEAUX CLIENTÈLE (17/01/2024)</t>
  </si>
  <si>
    <t>BOULANGER FOURNITURES ADMINISTRATIVES (17/01/2024)</t>
  </si>
  <si>
    <t>LIDL FOUR PT EQUIP. OUTILLAGE (17/01/2024)</t>
  </si>
  <si>
    <t>LA BROCHETTE DU BOUCHER FRAIS RÉCEPTIONS (18/01/2024)</t>
  </si>
  <si>
    <t>ELECTRO DEPOT MACHINE A GLACON (19/01/2024)</t>
  </si>
  <si>
    <t>LE MAIL RESTAURANT FRAIS RÉCEPTIONS (20/01/2024)</t>
  </si>
  <si>
    <t>INTERMARCHE ESSENCE VEHICULE TOURISME (20/01/2024)</t>
  </si>
  <si>
    <t>TOTAL DIRECT ENERGIE ELECTRICITE (20/01/2024)</t>
  </si>
  <si>
    <t>IBUREAU FOURNITURES ADMINISTRATIVES (22/01/2024)</t>
  </si>
  <si>
    <t>RINGOVER FRAIS DE TÉLÉCOMMUNICATION (23/01/2024)</t>
  </si>
  <si>
    <t>MY FYT 13 CADEAUX CLIENTÈLE (23/01/2024)</t>
  </si>
  <si>
    <t>LOCATION 3 NUMEROS (25/01/2024)</t>
  </si>
  <si>
    <t>LA TAVERNE MISSIONS (25/01/2024)</t>
  </si>
  <si>
    <t>SASA CONCOURS DIVERS (COTISATIONS) (25/01/2024)</t>
  </si>
  <si>
    <t>SASA FRAIS DE GESTION MOSSA SIDI MA (25/01/2024)</t>
  </si>
  <si>
    <t>SASA FRAIS DE GESTION TAMISIER (25/01/2024)</t>
  </si>
  <si>
    <t>APRR PEAGES (26/01/2024)</t>
  </si>
  <si>
    <t>ASF PEAGES (26/01/2024)</t>
  </si>
  <si>
    <t>INTERMARCHE ESSENCE VEHICULE TOURISME (26/01/2024)</t>
  </si>
  <si>
    <t>SUPER U ESSENCE VEHICULE TOURISME (26/01/2024)</t>
  </si>
  <si>
    <t>APRR VOYAGES ET DEPLACEMENTS (26/01/2024)</t>
  </si>
  <si>
    <t>APRR PEAGES (27/01/2024)</t>
  </si>
  <si>
    <t>ASF PEAGES (27/01/2024)</t>
  </si>
  <si>
    <t>INTERMARCHE ESSENCE VEHICULE TOURISME (27/01/2024)</t>
  </si>
  <si>
    <t>STATION AVIA ESSENCE VEHICULE TOURISME (30/01/2024)</t>
  </si>
  <si>
    <t>VINCI PEAGES (30/01/2024)</t>
  </si>
  <si>
    <t>APRR VOYAGES ET DEPLACEMENTS (30/01/2024)</t>
  </si>
  <si>
    <t>LA RESERVE RECEPTIONS (31/01/2024)</t>
  </si>
  <si>
    <t>MIKIT RAJOEL REDEVANCE PUBLICITE JANVIER 24 (31/01/2024)</t>
  </si>
  <si>
    <t>ALTONÉO CONSEIL HONORAIRES (31/01/2024)</t>
  </si>
  <si>
    <t>MIKIT PLANS PROJET TAMISIER (31/01/2024)</t>
  </si>
  <si>
    <t>MIKIT REDEVANCE RAJOEL / ROJO (01/02/2024)</t>
  </si>
  <si>
    <t>BLVU ANNONCES &amp; INSERTIONS (01/02/2024)</t>
  </si>
  <si>
    <t>LOGEFIM LOYERS (01/02/2024)</t>
  </si>
  <si>
    <t>VERISURE MAINTENANCE (01/02/2024)</t>
  </si>
  <si>
    <t>STATION U ESSENCE VEHICULE TOURISME (01/02/2024)</t>
  </si>
  <si>
    <t>EASY CLEAN ENTRETIEN MAT DE TRANSPORT (02/02/2024)</t>
  </si>
  <si>
    <t>NOTE DE FRAIS ESSENCE CLIO FZ-325-SX (03/02/2024)</t>
  </si>
  <si>
    <t>AZUR CONSEIL SER220200065 APPELS OBTINEO A (05/02/2024)</t>
  </si>
  <si>
    <t>LA RESERVE FRAIS MISSIONS (06/02/2024)</t>
  </si>
  <si>
    <t>RINGOVER MAINTENANCE (08/02/2024)</t>
  </si>
  <si>
    <t>LA RESERVE RECEPTIONS (10/02/2024)</t>
  </si>
  <si>
    <t>MAISON NIPA FRAIS RÉCEPTIONS (12/02/2024)</t>
  </si>
  <si>
    <t>ORANGE FRAIS DE TÉLÉCOMMUNICATION (13/02/2024)</t>
  </si>
  <si>
    <t>STATION U ESSENCE VEHICULE TOURISME (14/02/2024)</t>
  </si>
  <si>
    <t>LA TAVERNE FRAIS RÉCEPTIONS (20/02/2024)</t>
  </si>
  <si>
    <t>TOTAL DIRECT ENERGIE ELECTRICITE (20/02/2024)</t>
  </si>
  <si>
    <t>VNB CADEAUX CLIENTÈLE (21/02/2024)</t>
  </si>
  <si>
    <t>MCDONALD FRAIS RÉCEPTIONS (22/02/2024)</t>
  </si>
  <si>
    <t>SASA DOSSIER BEAUJON (23/02/2024)</t>
  </si>
  <si>
    <t>AZUR CONSEIL SER220200065 APPELS OBTINEO A (25/02/2024)</t>
  </si>
  <si>
    <t>CAFE D'ITALIE FRAIS RÉCEPTIONS (25/02/2024)</t>
  </si>
  <si>
    <t>PARKING VOYAGES ET DÉPLACEMENTS (25/02/2024)</t>
  </si>
  <si>
    <t>LE GRAND CORONA FRAIS RÉCEPTIONS (25/02/2024)</t>
  </si>
  <si>
    <t>ASF PEAGES (25/02/2024)</t>
  </si>
  <si>
    <t>SUPER U ESSENCE VEHICULE TOURISME (25/02/2024)</t>
  </si>
  <si>
    <t>ASF PEAGES (26/02/2024)</t>
  </si>
  <si>
    <t>SETIN FOUR PT EQUIP. OUTILLAGE (26/02/2024)</t>
  </si>
  <si>
    <t>ASF PEAGES (27/02/2024)</t>
  </si>
  <si>
    <t>ATLAS (OPCO) FORMATION PRO. CONTINUE (ORG) (29/02/2024)</t>
  </si>
  <si>
    <t>ALTONÉO CONSEIL HONORAIRES MISSION COMPTABLE (29/02/2024)</t>
  </si>
  <si>
    <t>MIKIT REDEVANCES PUB NAT MIKIT (29/02/2024)</t>
  </si>
  <si>
    <t>MKT GARCIA REDEVANCES FONCT. MIKIT (29/02/2024)</t>
  </si>
  <si>
    <t>MIKIT FOUR PT EQUIP. OUTILLAGE (29/02/2024)</t>
  </si>
  <si>
    <t>MIKIT BEAUJEON BLOT PLAN BEAUJEON BLOT (29/02/2024)</t>
  </si>
  <si>
    <t>LOGEFIM LOYERS (01/03/2024)</t>
  </si>
  <si>
    <t>PEAGE VOYAGES ET DÉPLACEMENTS (01/03/2024)</t>
  </si>
  <si>
    <t>VERISURE LOCATION ALARME (01/03/2024)</t>
  </si>
  <si>
    <t>BLVU ANNONCES &amp; INSERTIONS (01/03/2024)</t>
  </si>
  <si>
    <t>PARKING VOYAGES ET DÉPLACEMENTS (02/03/2024)</t>
  </si>
  <si>
    <t>ASF PEAGES (02/03/2024)</t>
  </si>
  <si>
    <t>SUPER U ESSENCE VEHICULE TOURISME (02/03/2024)</t>
  </si>
  <si>
    <t>E.LECLERC CADEAUX CLIENTÈLE (03/03/2024)</t>
  </si>
  <si>
    <t>AZUR CONSEIL SER220200065 APPELS OBTINEO A (05/03/2024)</t>
  </si>
  <si>
    <t>LE VENEZ MISSIONS (06/03/2024)</t>
  </si>
  <si>
    <t>LE VENEZ FRAIS MISSIONS (06/03/2024)</t>
  </si>
  <si>
    <t>LA RESERVE RECEPTIONS (07/03/2024)</t>
  </si>
  <si>
    <t>LA TAVERNE FRAIS RÉCEPTIONS (08/03/2024)</t>
  </si>
  <si>
    <t>RINGOVER MAINTENANCE (08/03/2024)</t>
  </si>
  <si>
    <t>V AND B CADEAUX CLIENTÈLE (09/03/2024)</t>
  </si>
  <si>
    <t>LIBERTA FRAIS RÉCEPTIONS (13/03/2024)</t>
  </si>
  <si>
    <t>ORANGE FRAIS DE TÉLÉCOMMUNICATION (13/03/2024)</t>
  </si>
  <si>
    <t>LA RESERVE RECEPTIONS (14/03/2024)</t>
  </si>
  <si>
    <t>BURGER KING FRAIS RÉCEPTIONS (16/03/2024)</t>
  </si>
  <si>
    <t>HIPPOPOTAMUS RECEPTIONS (18/03/2024)</t>
  </si>
  <si>
    <t>VENTE PRIVEE FOUR PT EQUIP. OUTILLAGE (18/03/2024)</t>
  </si>
  <si>
    <t>SASA DOSSIER RENARD (19/03/2024)</t>
  </si>
  <si>
    <t>LA TAVERNE FRAIS RÉCEPTIONS (20/03/2024)</t>
  </si>
  <si>
    <t>TOTAL DIRECT ENERGIE ELECTRICITE (20/03/2024)</t>
  </si>
  <si>
    <t>AMAZON FRANCE PS5 POUR JEU CONCOURS (20/03/2024)</t>
  </si>
  <si>
    <t>LIBERTA FRAIS RÉCEPTIONS (21/03/2024)</t>
  </si>
  <si>
    <t>MC DONALD'S FRAIS RÉCEPTIONS (24/03/2024)</t>
  </si>
  <si>
    <t>AZUR CONSEIL SER220500067 REMISE BONUS PAL (25/03/2024)</t>
  </si>
  <si>
    <t>COURMAYEUR PARKING (25/03/2024)</t>
  </si>
  <si>
    <t>REFUGE DES AIGLONS 1 REPAS (27/03/2024)</t>
  </si>
  <si>
    <t>CARREFOUR ESSENCE SKODA GJ-472-DK (27/03/2024)</t>
  </si>
  <si>
    <t>M2S FRAIS COLLOQUES SEMIN CONFER (29/03/2024)</t>
  </si>
  <si>
    <t>PARKING VOYAGES ET DÉPLACEMENTS (31/03/2024)</t>
  </si>
  <si>
    <t>MIKIT BERTHE EVUORT REDEVANCE PUBLICITE JANVIER 24 (31/03/2024)</t>
  </si>
  <si>
    <t>MIKIT BREILLON VANNIER REDEVANCES FONCT. MIKIT (31/03/2024)</t>
  </si>
  <si>
    <t>MIKIT VANIER BREILLON EMELINE VANIE (31/03/2024)</t>
  </si>
  <si>
    <t>MIKIT REDEVANCES PUB NAT MIKIT (31/03/2024)</t>
  </si>
  <si>
    <t>ALTONEO HONORAIRES MISSION JURIDIQUE (31/03/2024)</t>
  </si>
  <si>
    <t>ALTONEO HONORAIRES MISSION SOCIALE (31/03/2024)</t>
  </si>
  <si>
    <t>MIKIT MAWEZE KIMBA PLANS PROJET MAWEZE KIMBA (31/03/2024)</t>
  </si>
  <si>
    <t>MIKIT RENARD PLANS PROJET RENARD (31/03/2024)</t>
  </si>
  <si>
    <t>MIKIT ZAI ALENCON PLANS PROJET ZAI ALENCON (31/03/2024)</t>
  </si>
  <si>
    <t>LOGEFIM LOYERS (01/04/2024)</t>
  </si>
  <si>
    <t>VERISURE LOCATION ALARME (01/04/2024)</t>
  </si>
  <si>
    <t>PEAGE VOYAGES ET DÉPLACEMENTS (01/04/2024)</t>
  </si>
  <si>
    <t>MEDIMMOCONSO ADHESION MEDIATION (02/04/2024)</t>
  </si>
  <si>
    <t>BLVU ANNONCES &amp; INSERTIONS (02/04/2024)</t>
  </si>
  <si>
    <t>AZUR CONSEIL SER220200065 APPELS OBTINEO A (05/04/2024)</t>
  </si>
  <si>
    <t>4 MURS FOIRES ET EXPOSITIONS (05/04/2024)</t>
  </si>
  <si>
    <t>CHARGEMAP ELECTRICITE VEHICULES (05/04/2024)</t>
  </si>
  <si>
    <t>LA TAVERNE FRAIS RÉCEPTIONS (05/04/2024)</t>
  </si>
  <si>
    <t>BOULANGER FOUR PT EQUIP. OUTILLAGE (05/04/2024)</t>
  </si>
  <si>
    <t>RINGOVER FRAIS DE TÉLÉCOMMUNICATION (08/04/2024)</t>
  </si>
  <si>
    <t>LA RESERVE RECEPTIONS (11/04/2024)</t>
  </si>
  <si>
    <t>COPIEURS MULTIFONCTION - A1M55 LOY. COPIEURS MULTIFONCTION (12/04/2024)</t>
  </si>
  <si>
    <t>LA TAVERNE FRAIS RÉCEPTIONS (12/04/2024)</t>
  </si>
  <si>
    <t>LEROY MERLIN FOUR PT EQUIP. OUTILLAGE (12/04/2024)</t>
  </si>
  <si>
    <t>REX.ROTARY FOURNITURES ADMINISTRATIVES (12/04/2024)</t>
  </si>
  <si>
    <t>DKV ESSENCE SKODA GJ-472-DK (15/04/2024)</t>
  </si>
  <si>
    <t>LE VENEZ MISSIONS (15/04/2024)</t>
  </si>
  <si>
    <t>ORANGE FRAIS DE TÉLÉCOMMUNICATION (15/04/2024)</t>
  </si>
  <si>
    <t>RINGOVER FRAIS DE TÉLÉCOMMUNICATION (16/04/2024)</t>
  </si>
  <si>
    <t>LA RESERVE RECEPTIONS (17/04/2024)</t>
  </si>
  <si>
    <t>CLE SERRURE FOUR PT EQUIP. OUTILLAGE (17/04/2024)</t>
  </si>
  <si>
    <t>LA TAVERNE FRAIS RÉCEPTIONS (18/04/2024)</t>
  </si>
  <si>
    <t>LE ST LAZARE FRAIS MISSIONS (19/04/2024)</t>
  </si>
  <si>
    <t>TOTAL DIRECT ENERGIE ELECTRICITE (20/04/2024)</t>
  </si>
  <si>
    <t>LIBERTA FRAIS RÉCEPTIONS (22/04/2024)</t>
  </si>
  <si>
    <t>AZUR CONSEIL SER220200065 APPELS OBTINEO A (25/04/2024)</t>
  </si>
  <si>
    <t>MC DONALD'S FRAIS MISSIONS (25/04/2024)</t>
  </si>
  <si>
    <t>LA RESERVE RECEPTIONS (25/04/2024)</t>
  </si>
  <si>
    <t>RESTAURANT FRAIS MISSIONS (27/04/2024)</t>
  </si>
  <si>
    <t>NORD VPN MAINTENANCE (29/04/2024)</t>
  </si>
  <si>
    <t>LA TAVERNE MISSIONS (30/04/2024)</t>
  </si>
  <si>
    <t>ALTONEO HONORAIRES MISSION JURIDIQUE (30/04/2024)</t>
  </si>
  <si>
    <t>MIKIT MOUSSA SIDI MARI REDEVANCE PUBLICITE (30/04/2024)</t>
  </si>
  <si>
    <t>MIKIT TAMISIER TRONCHET REDEVANCES FONCT. MIKIT (30/04/2024)</t>
  </si>
  <si>
    <t>MIKIT REDEVANCES PUB NAT MIKIT (30/04/2024)</t>
  </si>
  <si>
    <t>MIKIT MOUSSA REDEVANCES FONCT. MIKIT (30/04/2024)</t>
  </si>
  <si>
    <t>VERISURE MAINTENANCE (01/05/2024)</t>
  </si>
  <si>
    <t>LOGEFIM LOYERS (01/05/2024)</t>
  </si>
  <si>
    <t>BLVU ANNONCES &amp; INSERTIONS (01/05/2024)</t>
  </si>
  <si>
    <t>NESPRESSO FRAIS RÉCEPTIONS (02/05/2024)</t>
  </si>
  <si>
    <t>MC DONALD'S FRAIS RÉCEPTIONS (03/05/2024)</t>
  </si>
  <si>
    <t>AZUR CONSEIL SER220200065 APPELS OBTINEO A (05/05/2024)</t>
  </si>
  <si>
    <t>HIPPOPOTAMUS RECEPTIONS (06/05/2024)</t>
  </si>
  <si>
    <t>CASTORAMA FOUR PT EQUIP. OUTILLAGE (07/05/2024)</t>
  </si>
  <si>
    <t>RINGOVER MAINTENANCE (08/05/2024)</t>
  </si>
  <si>
    <t>ULYS VOYAGES ET DÉPLACEMENTS (08/05/2024)</t>
  </si>
  <si>
    <t>P.H.A. GRAND PRIX 2 PLACES 24H PART DEDUCTIBLE (10/05/2024)</t>
  </si>
  <si>
    <t>P.H.A. GRAND PRIX FRAIS GESTION PLACES (10/05/2024)</t>
  </si>
  <si>
    <t>AMAZON FRANCE ACHATS MARCHANDISES (10/05/2024)</t>
  </si>
  <si>
    <t>LE TABLIER DE JAURES FRAIS MISSIONS (11/05/2024)</t>
  </si>
  <si>
    <t>BOULANGER FOUR PT EQUIP. OUTILLAGE (13/05/2024)</t>
  </si>
  <si>
    <t>DKV ESSENCE SKODA GJ-472-DK (15/05/2024)</t>
  </si>
  <si>
    <t>IBUREAU ALLONNES FOURNITURES ADMINISTRATIVES (15/05/2024)</t>
  </si>
  <si>
    <t>LA TAVERNE FRAIS RÉCEPTIONS (15/05/2024)</t>
  </si>
  <si>
    <t>ORANGE FRAIS DE TÉLÉCOMMUNICATION (15/05/2024)</t>
  </si>
  <si>
    <t>CHEZ VICTOR FRAIS MISSIONS (17/05/2024)</t>
  </si>
  <si>
    <t>LE CAFE DU JET D'EAU FRAIS MISSIONS (18/05/2024)</t>
  </si>
  <si>
    <t>BELUGA MISSIONS (18/05/2024)</t>
  </si>
  <si>
    <t>LA RESERVE RECEPTIONS (18/05/2024)</t>
  </si>
  <si>
    <t>TOTAL DIRECT ENERGIE ELECTRICITE (20/05/2024)</t>
  </si>
  <si>
    <t>MAC DONALDS MISSIONS (20/05/2024)</t>
  </si>
  <si>
    <t>SASA DOSSIER KONG - LUY (21/05/2024)</t>
  </si>
  <si>
    <t>SASA DOSSIER SEGOUIN (21/05/2024)</t>
  </si>
  <si>
    <t>RITUALS LE MANS AUSHOPPING DOCUMENTATION GÉNÉRALE (21/05/2024)</t>
  </si>
  <si>
    <t>LE GLOBE FRAIS MISSIONS (21/05/2024)</t>
  </si>
  <si>
    <t>LA RESERVE RECEPTIONS (22/05/2024)</t>
  </si>
  <si>
    <t>SASA DOSSIER JACCOU NOURRY (23/05/2024)</t>
  </si>
  <si>
    <t>AZUR CONSEIL SER220200065 APPELS OBTINEO A (25/05/2024)</t>
  </si>
  <si>
    <t>LOCATION 3 NUMEROS  (25/05/2024)</t>
  </si>
  <si>
    <t>CHEZ LULU FRAIS MISSIONS (28/05/2024)</t>
  </si>
  <si>
    <t>NORD VPN MAINTENANCE (29/05/2024)</t>
  </si>
  <si>
    <t>LA PLACE MISSIONS (29/05/2024)</t>
  </si>
  <si>
    <t>TRAIN PUB RECEPTIONS (30/05/2024)</t>
  </si>
  <si>
    <t>TRAIN PUB FRAIS RÉCEPTIONS (30/05/2024)</t>
  </si>
  <si>
    <t>CASTORAMA FOUR PT EQUIP. OUTILLAGE (31/05/2024)</t>
  </si>
  <si>
    <t>CARREFO ESSENCE VEHICULE TOURISME (31/05/2024)</t>
  </si>
  <si>
    <t>MIKIT BEAUJEON BLOT REDEVANCES FONCT. MIKIT (31/05/2024)</t>
  </si>
  <si>
    <t>MIKIT BEAUJEON BLOT REDEVANCES PUB NAT MIKIT (31/05/2024)</t>
  </si>
  <si>
    <t>LYRECO FOURNITURES ADMINISTRATIVES (31/05/2024)</t>
  </si>
  <si>
    <t>ALTONEO CONSEIL SAS MISSION TENUE 1 (31/05/2024)</t>
  </si>
  <si>
    <t>LOGEFIM LOYERS (01/06/2024)</t>
  </si>
  <si>
    <t>VERISURE MAINTENANCE (01/06/2024)</t>
  </si>
  <si>
    <t>PEAGE VOYAGES ET DÉPLACEMENTS (01/06/2024)</t>
  </si>
  <si>
    <t>BLVU ANNONCES &amp; INSERTIONS (03/06/2024)</t>
  </si>
  <si>
    <t>AZUR CONSEIL SER220200065 APPELS OBTINEO A (05/06/2024)</t>
  </si>
  <si>
    <t>RINGOVER MAINTENANCE (08/06/2024)</t>
  </si>
  <si>
    <t>24H LE MANS 1 BILLET 24H (70€TTC DEDUCTIB) (10/06/2024)</t>
  </si>
  <si>
    <t>MONCEAU FLEURS CADEAUX CLIENTÈLE (10/06/2024)</t>
  </si>
  <si>
    <t>SASA DOSSIER NEUVEU HLIL (11/06/2024)</t>
  </si>
  <si>
    <t>SASA ATTANE FRAIS DE GESTION (11/06/2024)</t>
  </si>
  <si>
    <t>BRICO DEPOT ACHATS MAT 1È FOURNITURES (12/06/2024)</t>
  </si>
  <si>
    <t>LA MER A BOIRE FRAIS RÉCEPTIONS (12/06/2024)</t>
  </si>
  <si>
    <t>VNB CADEAUX CLIENTÈLE (12/06/2024)</t>
  </si>
  <si>
    <t>TOTIN LLL FRAIS MISSIONS (13/06/2024)</t>
  </si>
  <si>
    <t>LA TAVERNE FRAIS RÉCEPTIONS (13/06/2024)</t>
  </si>
  <si>
    <t>MONALBUMPHOTO CADEAUX CLIENTÈLE (13/06/2024)</t>
  </si>
  <si>
    <t>ORANGE FRAIS DE TÉLÉCOMMUNICATION (13/06/2024)</t>
  </si>
  <si>
    <t>DOMINOS PIZZA FRAIS RÉCEPTIONS (17/06/2024)</t>
  </si>
  <si>
    <t>O'BISTRO FRAIS MISSIONS (19/06/2024)</t>
  </si>
  <si>
    <t>TOTAL DIRECT ENERGIE ELECTRICITE (20/06/2024)</t>
  </si>
  <si>
    <t>LEBONCOIN ANNONCES &amp; INSERTIONS (20/06/2024)</t>
  </si>
  <si>
    <t>UBIFLOW ANNONCES &amp; INSERTIONS (21/06/2024)</t>
  </si>
  <si>
    <t>HIPPOPOTAMUS RECEPTIONS (24/06/2024)</t>
  </si>
  <si>
    <t>NEWREST WAGON LIST FRAIS MISSIONS (25/06/2024)</t>
  </si>
  <si>
    <t>LES GUSTAVES FRAIS MISSIONS (25/06/2024)</t>
  </si>
  <si>
    <t>AZUR CONSEIL SER220200065 APPELS OBTINEO A (25/06/2024)</t>
  </si>
  <si>
    <t>LE MANS METROPOLE EAU (25/06/2024)</t>
  </si>
  <si>
    <t>APPLE FOUR PT EQUIP. OUTILLAGE (28/06/2024)</t>
  </si>
  <si>
    <t>YAK THAI FRAIS MISSIONS (28/06/2024)</t>
  </si>
  <si>
    <t>SAS CHOUTEAU FOUR PT EQUIP. OUTILLAGE (28/06/2024)</t>
  </si>
  <si>
    <t>NORD VPN MAINTENANCE (29/06/2024)</t>
  </si>
  <si>
    <t>MIKIT RENARD REDEVANCES FONCT. MIKIT (30/06/2024)</t>
  </si>
  <si>
    <t>ALTONEO CONSEIL SAS MISSION TENUE 2 (30/06/2024)</t>
  </si>
  <si>
    <t>ALTONEO CONSEIL SAS MISSION SOCIALE 2T (30/06/2024)</t>
  </si>
  <si>
    <t>MIKIT BEAUJEON BLOT REDEVANCE INFORMATIQUE (30/06/2024)</t>
  </si>
  <si>
    <t>MY FYT 13 ANNONCES &amp; INSERTIONS (01/07/2024)</t>
  </si>
  <si>
    <t>LOGEFIM LOYERS (01/07/2024)</t>
  </si>
  <si>
    <t>VERISURE MAINTENANCE (01/07/2024)</t>
  </si>
  <si>
    <t>PEAGE VOYAGES ET DÉPLACEMENTS (01/07/2024)</t>
  </si>
  <si>
    <t>UBIFLOW ANNONCES &amp; INSERTIONS (02/07/2024)</t>
  </si>
  <si>
    <t>BLVU ANNONCES &amp; INSERTIONS (02/07/2024)</t>
  </si>
  <si>
    <t>MIKIT SOUSTRAITANCE MIKIT (05/07/2024)</t>
  </si>
  <si>
    <t>AZUR CONSEIL SER220200065 APPELS OBTINEO A (05/07/2024)</t>
  </si>
  <si>
    <t>VNB CADEAUX CLIENTÈLE (05/07/2024)</t>
  </si>
  <si>
    <t>ECTOR SMART PARK VOYAGES ET DEPLACEMENTS (07/07/2024)</t>
  </si>
  <si>
    <t>RINGOVER MAINTENANCE (08/07/2024)</t>
  </si>
  <si>
    <t>REX.ROTARY FOURNITURES ADMINISTRATIVES (11/07/2024)</t>
  </si>
  <si>
    <t>COPIEURS MULTIFONCTION - A1M55 LOY. COPIEURS MULTIFONCTION (12/07/2024)</t>
  </si>
  <si>
    <t>ORANGE FRAIS DE TÉLÉCOMMUNICATION (15/07/2024)</t>
  </si>
  <si>
    <t>LUMINAIRE.FR FOUR PT EQUIP. OUTILLAGE (16/07/2024)</t>
  </si>
  <si>
    <t>LEROY MERLIN ACHATS MAT 1È FOURNITURES (16/07/2024)</t>
  </si>
  <si>
    <t>HOPS STORE FRAIS RÉCEPTIONS (16/07/2024)</t>
  </si>
  <si>
    <t>LA RESERVE FRAIS MISSIONS (17/07/2024)</t>
  </si>
  <si>
    <t>EASY CLEAN ENTRETIEN MAT DE TRANSPORT (18/07/2024)</t>
  </si>
  <si>
    <t>TOTAL DIRECT ENERGIE ELECTRICITE (20/07/2024)</t>
  </si>
  <si>
    <t>VISTAPRINT ANNONCES &amp; INSERTIONS (22/07/2024)</t>
  </si>
  <si>
    <t>BISTRO LES TONTONS FRAIS RÉCEPTIONS (22/07/2024)</t>
  </si>
  <si>
    <t>LEBONCOIN ANNONCES &amp; INSERTIONS (22/07/2024)</t>
  </si>
  <si>
    <t>LA TAVERNE FRAIS RÉCEPTIONS (23/07/2024)</t>
  </si>
  <si>
    <t>SASA MAWEZE (23/07/2024)</t>
  </si>
  <si>
    <t>TOTAL DIRECT ENERGIE ELECTRICITE (24/07/2024)</t>
  </si>
  <si>
    <t>MAC DONALDS MISSIONS (24/07/2024)</t>
  </si>
  <si>
    <t>LE SEGUOIA RECEPTIONS (27/07/2024)</t>
  </si>
  <si>
    <t>ALTONÉO CONSEIL HONORAIRES MISSION COMPTABLE (31/07/2024)</t>
  </si>
  <si>
    <t>MIKIT REDEVANCES FONCT. MIKIT (31/07/2024)</t>
  </si>
  <si>
    <t>BLVU ANNONCES &amp; INSERTIONS (01/08/2024)</t>
  </si>
  <si>
    <t>LOGEFIM LOYERS (01/08/2024)</t>
  </si>
  <si>
    <t>VERISURE MAINTENANCE (01/08/2024)</t>
  </si>
  <si>
    <t>CIBOULETTE FRAIS RÉCEPTIONS (01/08/2024)</t>
  </si>
  <si>
    <t>RINGOVER FRAIS DE TÉLÉCOMMUNICATION (01/08/2024)</t>
  </si>
  <si>
    <t>UBIFLOW ANNONCES &amp; INSERTIONS (02/08/2024)</t>
  </si>
  <si>
    <t>AZUR CONSEIL SER220200065 APPELS OBTINEO A (05/08/2024)</t>
  </si>
  <si>
    <t>O'BISTRO FRAIS MISSIONS (06/08/2024)</t>
  </si>
  <si>
    <t>PEAGE VOYAGES ET DÉPLACEMENTS (08/08/2024)</t>
  </si>
  <si>
    <t>RINGOVER MAINTENANCE (08/08/2024)</t>
  </si>
  <si>
    <t>LA TAVERNE FRAIS RÉCEPTIONS (09/08/2024)</t>
  </si>
  <si>
    <t>VALLUET JM FRAIS MISSIONS (10/08/2024)</t>
  </si>
  <si>
    <t>VALLUET JM CADEAUX CLIENTÈLE (10/08/2024)</t>
  </si>
  <si>
    <t>BELUGA MISSIONS (12/08/2024)</t>
  </si>
  <si>
    <t>BELUGA MISSIONS (13/08/2024)</t>
  </si>
  <si>
    <t>ORANGE FRAIS DE TÉLÉCOMMUNICATION (13/08/2024)</t>
  </si>
  <si>
    <t>TOTAL DIRECT ENERGIE ELECTRICITE (20/08/2024)</t>
  </si>
  <si>
    <t>LEBONCOIN ANNONCES &amp; INSERTIONS (20/08/2024)</t>
  </si>
  <si>
    <t>GREFFE FRAIS ACTES CONTENTIEUX (23/08/2024)</t>
  </si>
  <si>
    <t>AZUR CONSEIL SER220200065 APPELS OBTINEO A (26/08/2024)</t>
  </si>
  <si>
    <t>MC DONALD'S FRAIS RÉCEPTIONS (31/08/2024)</t>
  </si>
  <si>
    <t>ALTONÉO CONSEIL HONORAIRES MISSION COMPTABLE (31/08/2024)</t>
  </si>
  <si>
    <t>MIKIT KONG / DARY LUY REDEVANCES FONCT. MIKIT (31/08/2024)</t>
  </si>
  <si>
    <t>MIKIT MAWEZE REDEVANCES FONCT. MIKIT (31/08/2024)</t>
  </si>
  <si>
    <t>LOGEFIM LOYERS (01/09/2024)</t>
  </si>
  <si>
    <t>VERISURE MAINTENANCE (01/09/2024)</t>
  </si>
  <si>
    <t>PEAGE VOYAGES ET DÉPLACEMENTS (01/09/2024)</t>
  </si>
  <si>
    <t>BLVU ANNONCES &amp; INSERTIONS (02/09/2024)</t>
  </si>
  <si>
    <t>UBIFLOW ANNONCES &amp; INSERTIONS (02/09/2024)</t>
  </si>
  <si>
    <t>CASTORAMA FOUR PT EQUIP. OUTILLAGE (03/09/2024)</t>
  </si>
  <si>
    <t>LES 3 BRASSEURS FRAIS MISSIONS (03/09/2024)</t>
  </si>
  <si>
    <t>AMAZON FRANCE AMPOULE LED (04/09/2024)</t>
  </si>
  <si>
    <t>SASA DOSSIER SALL (04/09/2024)</t>
  </si>
  <si>
    <t>AZUR CONSEIL SER220200065 APPELS OBTINEO A (05/09/2024)</t>
  </si>
  <si>
    <t>CHARGEMAP ELECTRICITE VEHICULES (05/09/2024)</t>
  </si>
  <si>
    <t>IKEA FOUR PT EQUIP. OUTILLAGE (06/09/2024)</t>
  </si>
  <si>
    <t>CASTORAMA FOUR PT EQUIP. OUTILLAGE (06/09/2024)</t>
  </si>
  <si>
    <t>V AND B FRAIS RÉCEPTIONS (06/09/2024)</t>
  </si>
  <si>
    <t>RINGOVER MAINTENANCE (08/09/2024)</t>
  </si>
  <si>
    <t>AU FIL DES FLEURS CADEAUX CLIENTÈLE (10/09/2024)</t>
  </si>
  <si>
    <t>JARDIN GOURMAND FRAIS MISSIONS (10/09/2024)</t>
  </si>
  <si>
    <t>LES 3 BRASSEURS FRAIS MISSIONS (11/09/2024)</t>
  </si>
  <si>
    <t>ORANGE FRAIS DE TÉLÉCOMMUNICATION (15/09/2024)</t>
  </si>
  <si>
    <t>CARREFOUR ESSENCE VEHICULE TOURISME (15/09/2024)</t>
  </si>
  <si>
    <t>PROVOLET FOUR PT EQUIP. OUTILLAGE (15/09/2024)</t>
  </si>
  <si>
    <t>SASA DOSSIER HUGOU (17/09/2024)</t>
  </si>
  <si>
    <t>SASA DOSSIER ZAI (17/09/2024)</t>
  </si>
  <si>
    <t>SASA DOSSIER DA FONSECA (17/09/2024)</t>
  </si>
  <si>
    <t>SASA DOSSIER BAUJARD (17/09/2024)</t>
  </si>
  <si>
    <t>SASA DOSSIER IRATNI MBAREK (17/09/2024)</t>
  </si>
  <si>
    <t>SASA DOSSIER DELVART (17/09/2024)</t>
  </si>
  <si>
    <t>SASA DOSSIER IRATNI (17/09/2024)</t>
  </si>
  <si>
    <t>NOTE DE FRAIS LAMARD ANAIS FOUR PT EQUIP. OUTILLAGE (18/09/2024)</t>
  </si>
  <si>
    <t>LEBONCOIN ANNONCES &amp; INSERTIONS (20/09/2024)</t>
  </si>
  <si>
    <t>LIBERTA FRAIS RÉCEPTIONS (20/09/2024)</t>
  </si>
  <si>
    <t>TOTAL DIRECT ENERGIE ELECTRICITE (20/09/2024)</t>
  </si>
  <si>
    <t>CIBOULETTE FRAIS RÉCEPTIONS (23/09/2024)</t>
  </si>
  <si>
    <t>IKEA FOUR PT EQUIP. OUTILLAGE (24/09/2024)</t>
  </si>
  <si>
    <t>EASY CLEAN ENTRETIEN MAT DE TRANSPORT (24/09/2024)</t>
  </si>
  <si>
    <t>AZUR CONSEIL SER220200065 APPELS OBTINEO A (25/09/2024)</t>
  </si>
  <si>
    <t>BOULANGER FOUR PT EQUIP. OUTILLAGE (26/09/2024)</t>
  </si>
  <si>
    <t>YAK THAI FRAIS RÉCEPTIONS (28/09/2024)</t>
  </si>
  <si>
    <t>AUBERGE MATFEUX (DES) FRAIS RÉCEPTIONS (28/09/2024)</t>
  </si>
  <si>
    <t>SASA DOSSIER QASSID (01/10/2024)</t>
  </si>
  <si>
    <t>COPIEURS MULTIFONCTION - A1M55 LOY. COPIEURS MULTIFONCTION (12/10/2024)</t>
  </si>
  <si>
    <t>A-NOUVEAU TVA DÉDUCTIBLE ABS (01/01/2024)</t>
  </si>
  <si>
    <t>FRAIS FRAIS VIREMENT SEPA INST FRAIS FRAIS VIREMENT SEPA INST (03/01/2024)</t>
  </si>
  <si>
    <t>FRAIS FRAIS VIREMENT SEPA INST FRAIS FRAIS VIREMENT SEPA INST (05/03/2024)</t>
  </si>
  <si>
    <t>FRAIS FRAIS VIREMENT SEPA INST FRAIS FRAIS VIREMENT SEPA INST (11/04/2024)</t>
  </si>
  <si>
    <t>FRAIS FRAIS VIREMENT SEPA INST FRAIS FRAIS VIREMENT SEPA INST (09/07/2024)</t>
  </si>
  <si>
    <t>FRAIS FRAIS VIREMENT SEPA INST FRAIS FRAIS VIREMENT SEPA INST (05/09/2024)</t>
  </si>
  <si>
    <t>FRAIS FRAIS VIREMENT SEPA INST FRAIS FRAIS VIREMENT SEPA INST (26/09/2024)</t>
  </si>
  <si>
    <t>FRAIS FRAIS VIREMENT SEPA INST FRAIS FRAIS VIREMENT SEPA INST (28/10/2024)</t>
  </si>
  <si>
    <t>TVA SUR ABS TVA A REGULARISER (01/01/2024)</t>
  </si>
  <si>
    <t>CADRAGE MODULE TVA CADRAGE MODULE TVA (01/02/2024)</t>
  </si>
  <si>
    <t>CADRAGE MODULE TVA NEGATIF CADRAGE MODULE TVA (01/02/2024)</t>
  </si>
  <si>
    <t>ENTRETIEN SKODA RCLST TVA (02/02/2024)</t>
  </si>
  <si>
    <t>REJET RBT TVA RCLST TVA (04/06/2024)</t>
  </si>
  <si>
    <t>OD DECL. TVA AU 31/01/2024 A - 0% - TVA DEDUCTIBLE AUTRES (31/01/2024)</t>
  </si>
  <si>
    <t>OD DECL. TVA AU 31/01/2024 A2 - 5,5% - TVA DEDUCTIBLE AUT (31/01/2024)</t>
  </si>
  <si>
    <t>OD DECL. TVA AU 31/01/2024 A5 - 20% - TVA DEDUCTIBLE AUT (31/01/2024)</t>
  </si>
  <si>
    <t>OD DECL. TVA AU 31/01/2024 A6 - 10% - TVA DEDUCTIBLE AUT (31/01/2024)</t>
  </si>
  <si>
    <t>OD DECL. TVA AU 31/01/2024 AG - 15,39% - TVA DED GAZOLE V (31/01/2024)</t>
  </si>
  <si>
    <t>OD DECL. TVA AU 31/01/2024 AP - 15,39% - TVA/ ESSENCE VP (31/01/2024)</t>
  </si>
  <si>
    <t>OD DECL. TVA AU 31/01/2024 B - 0% - TVA DED PREST SERV (31/01/2024)</t>
  </si>
  <si>
    <t>OD DECL. TVA AU 31/01/2024 B5 - 20% - TVA DED PREST SERV (31/01/2024)</t>
  </si>
  <si>
    <t>OD DECL. TVA AU 29/02/2024 A - 0% - TVA DEDUCTIBLE AUTRES (29/02/2024)</t>
  </si>
  <si>
    <t>OD DECL. TVA AU 29/02/2024 A5 - 20% - TVA DEDUCTIBLE AUT (29/02/2024)</t>
  </si>
  <si>
    <t>OD DECL. TVA AU 29/02/2024 A6 - 10% - TVA DEDUCTIBLE AUT (29/02/2024)</t>
  </si>
  <si>
    <t>OD DECL. TVA AU 29/02/2024 AG - 15,39% - TVA DED GAZOLE V (29/02/2024)</t>
  </si>
  <si>
    <t>OD DECL. TVA AU 29/02/2024 B - 0% - TVA DED PREST SERV (29/02/2024)</t>
  </si>
  <si>
    <t>OD DECL. TVA AU 29/02/2024 B5 - 20% - TVA DED PREST SERV (29/02/2024)</t>
  </si>
  <si>
    <t>OD DECL. TVA AU 29/02/2024 TVA ANTÉRIEUREMENT DÉDUITE À R (29/02/2024)</t>
  </si>
  <si>
    <t>OD DECL. TVA AU 31/03/2024 A - 0% - TVA DEDUCTIBLE AUTRES (31/03/2024)</t>
  </si>
  <si>
    <t>OD DECL. TVA AU 31/03/2024 A2 - 5,5% - TVA DEDUCTIBLE AUT (31/03/2024)</t>
  </si>
  <si>
    <t>OD DECL. TVA AU 31/03/2024 A5 - 20% - TVA DEDUCTIBLE AUT (31/03/2024)</t>
  </si>
  <si>
    <t>OD DECL. TVA AU 31/03/2024 A6 - 10% - TVA DEDUCTIBLE AUT (31/03/2024)</t>
  </si>
  <si>
    <t>OD DECL. TVA AU 31/03/2024 AG - 15,39% - TVA DED GAZOLE V (31/03/2024)</t>
  </si>
  <si>
    <t>OD DECL. TVA AU 31/03/2024 AP - 15,39% - TVA/ ESSENCE VP (31/03/2024)</t>
  </si>
  <si>
    <t>OD DECL. TVA AU 31/03/2024 B5 - 20% - TVA DED PREST SERV (31/03/2024)</t>
  </si>
  <si>
    <t>OD DECL. TVA AU 30/04/2024 A - 0% - TVA DEDUCTIBLE AUTRES (30/04/2024)</t>
  </si>
  <si>
    <t>OD DECL. TVA AU 30/04/2024 A2 - 5,5% - TVA DEDUCTIBLE AUT (30/04/2024)</t>
  </si>
  <si>
    <t>OD DECL. TVA AU 30/04/2024 A5 - 20% - TVA DEDUCTIBLE AUT (30/04/2024)</t>
  </si>
  <si>
    <t>OD DECL. TVA AU 30/04/2024 A6 - 10% - TVA DEDUCTIBLE AUT (30/04/2024)</t>
  </si>
  <si>
    <t>OD DECL. TVA AU 30/04/2024 AP - 15,39% - TVA/ ESSENCE VP (30/04/2024)</t>
  </si>
  <si>
    <t>OD DECL. TVA AU 30/04/2024 B5 - 20% - TVA DED PREST SERV (30/04/2024)</t>
  </si>
  <si>
    <t>OD DECL. TVA AU 31/05/2024 A - 0% - TVA DEDUCTIBLE AUTRES (31/05/2024)</t>
  </si>
  <si>
    <t>OD DECL. TVA AU 31/05/2024 A2 - 5,5% - TVA DEDUCTIBLE AUT (31/05/2024)</t>
  </si>
  <si>
    <t>OD DECL. TVA AU 31/05/2024 A5 - 20% - TVA DEDUCTIBLE AUT (31/05/2024)</t>
  </si>
  <si>
    <t>OD DECL. TVA AU 31/05/2024 A6 - 10% - TVA DEDUCTIBLE AUT (31/05/2024)</t>
  </si>
  <si>
    <t>OD DECL. TVA AU 31/05/2024 AG - 15,39% - TVA DED GAZOLE V (31/05/2024)</t>
  </si>
  <si>
    <t>OD DECL. TVA AU 31/05/2024 B5 - 20% - TVA DED PREST SERV (31/05/2024)</t>
  </si>
  <si>
    <t>OD DECL. TVA AU 30/06/2024 A - 0% - TVA DEDUCTIBLE AUTRES (30/06/2024)</t>
  </si>
  <si>
    <t>OD DECL. TVA AU 30/06/2024 A2 - 5,5% - TVA DEDUCTIBLE AUT (30/06/2024)</t>
  </si>
  <si>
    <t>OD DECL. TVA AU 30/06/2024 A5 - 20% - TVA DEDUCTIBLE AUT (30/06/2024)</t>
  </si>
  <si>
    <t>OD DECL. TVA AU 30/06/2024 A6 - 10% - TVA DEDUCTIBLE AUT (30/06/2024)</t>
  </si>
  <si>
    <t>OD DECL. TVA AU 30/06/2024 AG - 15,39% - TVA DED GAZOLE V (30/06/2024)</t>
  </si>
  <si>
    <t>OD DECL. TVA AU 30/06/2024 B5 - 20% - TVA DED PREST SERV (30/06/2024)</t>
  </si>
  <si>
    <t>OD DECL. TVA AU 31/08/2024 A - 0% - TVA DEDUCTIBLE AUTRES (31/08/2024)</t>
  </si>
  <si>
    <t>OD DECL. TVA AU 31/08/2024 A2 - 5,5% - TVA DEDUCTIBLE AUT (31/08/2024)</t>
  </si>
  <si>
    <t>OD DECL. TVA AU 31/08/2024 A5 - 20% - TVA DEDUCTIBLE AUT (31/08/2024)</t>
  </si>
  <si>
    <t>OD DECL. TVA AU 31/08/2024 A6 - 10% - TVA DEDUCTIBLE AUT (31/08/2024)</t>
  </si>
  <si>
    <t>OD DECL. TVA AU 31/08/2024 B5 - 20% - TVA DED PREST SERV (31/08/2024)</t>
  </si>
  <si>
    <t>OD DECL. TVA AU 30/09/2024 A - 0% - TVA DEDUCTIBLE AUTRES (30/09/2024)</t>
  </si>
  <si>
    <t>OD DECL. TVA AU 30/09/2024 A2 - 5,5% - TVA DEDUCTIBLE AUT (30/09/2024)</t>
  </si>
  <si>
    <t>OD DECL. TVA AU 30/09/2024 A5 - 20% - TVA DEDUCTIBLE AUT (30/09/2024)</t>
  </si>
  <si>
    <t>OD DECL. TVA AU 30/09/2024 A6 - 10% - TVA DEDUCTIBLE AUT (30/09/2024)</t>
  </si>
  <si>
    <t>OD DECL. TVA AU 30/09/2024 AG - 15,39% - TVA DED GAZOLE V (30/09/2024)</t>
  </si>
  <si>
    <t>OD DECL. TVA AU 30/09/2024 B5 - 20% - TVA DED PREST SERV (30/09/2024)</t>
  </si>
  <si>
    <t>AZUR CONSEIL-CONSEIL-FACTURE-FA2410-4644 (25/10/2024)</t>
  </si>
  <si>
    <t>AGENCE BLVU-CONSEIL-FACTURE-FAC00000638 (01/10/2024)</t>
  </si>
  <si>
    <t>APPELS OBTINEO SEPTEMBRE 2024 (05/10/2024)</t>
  </si>
  <si>
    <t>LOGEFIM-LOCATION IMMOBILIÈRE-FACTURE-FAC000198 (01/10/2024)</t>
  </si>
  <si>
    <t>PAP BLANC A4 (04/10/2024)</t>
  </si>
  <si>
    <t>SCM LOCAL-ESPACE PUBLICITAIRE-FACTURE-5FR0443157 (21/10/2024)</t>
  </si>
  <si>
    <t>BJT PARTNERS   RINGOVER GROUP-COMMUNICATION-FACTURE-CR5041519-2024271411 (23/10/2024)</t>
  </si>
  <si>
    <t>LICENCE POWER * 4  (08/10/2024)</t>
  </si>
  <si>
    <t>SUPER U TRAITEUR - LAMARD (28/09/2024)</t>
  </si>
  <si>
    <t>VERISURE LOCATION ALARME (01/10/2024)</t>
  </si>
  <si>
    <t>VISTAPRINT-IMPRIMÉ PUBLICITAIRE-FACTURE-0220938442 (02/10/2024)</t>
  </si>
  <si>
    <t>UBIFLOW-ESPACE PUBLICITAIRE-FACTURE-F118582 (02/10/2024)</t>
  </si>
  <si>
    <t>ORANGE-COMMUNICATION-FACTURE-02C625F553 24H5- 1X10 (15/10/2024)</t>
  </si>
  <si>
    <t>SEINE 2000-RESTAURANT-TICKET DE CAISSE-2024-10-01-21:40:45-27.88 (01/10/2024)</t>
  </si>
  <si>
    <t>AUTOROUTES DU SUD DE LA FRANCE-DOCUMENTATION GÉNÉRALE-FACTURE-KI02586782 (08/10/2024)</t>
  </si>
  <si>
    <t>REX ROTARY-FOURNITURE ADMINISTRATIVE-FACTURE-24-364043 (11/10/2024)</t>
  </si>
  <si>
    <t>OCEANE-RESTAURANT-TICKET DE CAISSE-2024-10-28-12:27:02-32.60 (28/10/2024)</t>
  </si>
  <si>
    <t>SEINE 2000-RESTAURANT-TICKET DE CAISSE-2024-10-01-20:05:16-48.00 (01/10/2024)</t>
  </si>
  <si>
    <t>SEINE 2000-RESTAURANT-TICKET DE CAISSE-2024-10-02-20:44:45-27.63 (02/10/2024)</t>
  </si>
  <si>
    <t>SEINE 2000-RESTAURANT-TICKET DE CAISSE-2024-10-30-22:49:32-29.70 (30/10/2024)</t>
  </si>
  <si>
    <t>LA RESERVE-RESTAURANT-FACTURE-2024-10-25-13:53:20-67.00 (25/10/2024)</t>
  </si>
  <si>
    <t>GRIKOS-RESTAURANT-TICKET DE CAISSE-2024-10-29-22:50:09-454.50 (29/10/2024)</t>
  </si>
  <si>
    <t>CASPER CORNELIUS-RESTAURANT-TICKET DE CAISSE-2024-10-18-14:20:00-93.20 (18/10/2024)</t>
  </si>
  <si>
    <t>TAXI CONTACT (29/10/2024)</t>
  </si>
  <si>
    <t>CADEAUX CLIENTÈLE (27/10/2024)</t>
  </si>
  <si>
    <t>2 REPAS (25/10/2024)</t>
  </si>
  <si>
    <t>ALTONEO-HONORAIRE LIBERAL-FACTURE-16250000221 (31/10/2024)</t>
  </si>
  <si>
    <t>MICROSOFT FRANCE-LOGICIEL SAAS-FACTURE-FR-TI2400849943 (05/10/2024)</t>
  </si>
  <si>
    <t>MODIF 8 AUTRE PROJET BOURMAULT VIVOIN (31/07/2024)</t>
  </si>
  <si>
    <t>PLAN PROJET ADAME (31/08/2024)</t>
  </si>
  <si>
    <t>MODIF 1 PLU PROJET DENIS LIBERGE VIBRAYE (31/01/2024)</t>
  </si>
  <si>
    <t>PLAN PROJET KONG LUY (30/04/2024)</t>
  </si>
  <si>
    <t>PLAN PROJET SEGOUIN (30/04/2024)</t>
  </si>
  <si>
    <t>PLANS PROJET NEVEU  (31/05/2024)</t>
  </si>
  <si>
    <t>MKT PROMOTION-TRAVAUX DU BATIMENT-FACTURE-26107 (30/06/2024)</t>
  </si>
  <si>
    <t>MODIF 8 AUTRE PROJET JACCOU (30/06/2024)</t>
  </si>
  <si>
    <t>MODIF 4 DMDE FRANCHISE PROJET RENARD (31/03/2024)</t>
  </si>
  <si>
    <t>MODIF 2 PROJET TAMISIER TRONCHET (29/02/2024)</t>
  </si>
  <si>
    <t>MODIF 3 ABF ARCHI CONSEILS PROJET ZAI (31/05/2024)</t>
  </si>
  <si>
    <t>MKT PROMOTION-CONSEIL-FACTURE-26112 (30/06/2024)</t>
  </si>
  <si>
    <t>PLANS PROJET SALL  (30/06/2024)</t>
  </si>
  <si>
    <t>PLANS PROJET ATTANE  (31/05/2024)</t>
  </si>
  <si>
    <t>PLANS PROJET JACCOU (30/06/2024)</t>
  </si>
  <si>
    <t>PARKING + VOITURIER (09/10/2024)</t>
  </si>
  <si>
    <t>BOULANGER (25/10/2024)</t>
  </si>
  <si>
    <t>PREMIUM ONE APPLE (23/10/2024)</t>
  </si>
  <si>
    <t>AMAZON FOURNITURES ADMINISTRATIVES (17/10/2024)</t>
  </si>
  <si>
    <t>TVA DÉDUCTIBLE ABS - 3310CA3-2024 - 01/10/2024 - 31/10/2024 (31/10/2024)</t>
  </si>
  <si>
    <t>TVA 5.5% (04/11/2024)</t>
  </si>
  <si>
    <t>TVA 20% (04/11/2024)</t>
  </si>
  <si>
    <t>WEB SASA SASA 0872 FURIA VPRDS HOME SOLUTIONS SASA SASA 0872 FURIA SASA 0872 FURIA AGRIFRPP879 EUR200000000018000 FR7610207000902321549336060  (09/12/2024)</t>
  </si>
  <si>
    <t>WEB SASA SASA 0859 IKIA VPRDS HOME SOLUTIONS SASA SASA 0859 IKIA SASA 0859 IKIA AGRIFRPP879 EUR200000000018000 FR7610207000902321549336060  (09/12/2024)</t>
  </si>
  <si>
    <t>WEB SASA SASA 0874 LEPETIT VPRDS HOME SOLUTIONS SASA SASA 0874 LEPETIT SASA 0874 LEPETIT AGRIFRPP879 EUR200000000018000 FR7610207000902321549336060  (12/12/2024)</t>
  </si>
  <si>
    <t>WEB SASA SASA 0877 DIALLO VPRDS HOME SOLUTIONS SASA SASA 0877 DIALLO SASA 0877 DIALLO AGRIFRPP879 EUR200000000018000 FR7610207000902321549336060  (12/12/2024)</t>
  </si>
  <si>
    <t>APPELS OBTINEO (05/11/2024)</t>
  </si>
  <si>
    <t>LOCATION TROIS NUMERO EN 09 (D2CEMBRE 2024) (25/11/2024)</t>
  </si>
  <si>
    <t>AGENCE BLVU-CONSEIL-FACTURE-FAC00000671 (01/11/2024)</t>
  </si>
  <si>
    <t>LOYER NOVEMBRE 2024 (01/11/2024)</t>
  </si>
  <si>
    <t>SCM LOCAL-01.06.24 AU 31.10.24-AVOIR (29/11/2024)</t>
  </si>
  <si>
    <t>ANNONCE MODIF DE SOCIÉTÉ  (14/11/2024)</t>
  </si>
  <si>
    <t>LYRECO FRANCE-FOURNITURE ADMINISTRATIVE-FACTURE-5660365979 (30/11/2024)</t>
  </si>
  <si>
    <t>TOTALENERGIES ELECTRICITE ET GAZ FRANCE-ENERGIE-FACTURE-126002188329 (20/11/2024)</t>
  </si>
  <si>
    <t>PROVISION SUR HONORAIRE  (12/11/2024)</t>
  </si>
  <si>
    <t>UBIFLOW-ESPACE PUBLICITAIRE-FACTURE-F120880 (02/11/2024)</t>
  </si>
  <si>
    <t>MICROSOFT FRANCE-LOGICIEL SAAS-FACTURE-FR-TI2400908730 (05/11/2024)</t>
  </si>
  <si>
    <t>AUTOROUTES DU SUD DE LA FRANCE-PÉAGE-FACTURE-154.74 (01/12/2024)</t>
  </si>
  <si>
    <t>AUTOROUTES DU SUD DE LA FRANCE-DOCUMENTATION GÉNÉRALE-FACTURE-KJ02537655 (01/11/2024)</t>
  </si>
  <si>
    <t>VERISURE-RÉPARATION ET ENTRETIEN SUR IMMEUBLES-FACTURE-SDCF46953245 (01/12/2024)</t>
  </si>
  <si>
    <t>UBIFLOW-ESPACE PUBLICITAIRE-FACTURE-F121637 (02/12/2024)</t>
  </si>
  <si>
    <t>VERISURE-RÉPARATION ET ENTRETIEN SUR IMMEUBLES-FACTURE-SDCF46227047 (01/11/2024)</t>
  </si>
  <si>
    <t>APPELES BOTINEO - NOVEMBRE 2024 (05/12/2024)</t>
  </si>
  <si>
    <t>SAEM EXPLOITATION STATIONNEM VILLE PARIS-PARKING-FACTURE-2024-11-02-11:30:00-15.60 (02/11/2024)</t>
  </si>
  <si>
    <t>BRASSERIE MADELEINE-RESTAURANT-FACTURE-2024-11-05-20:39:00-53.50 (05/11/2024)</t>
  </si>
  <si>
    <t>L ANNEXE-RESTAURANT-FACTURE-2024-11-05-36.90 (05/11/2024)</t>
  </si>
  <si>
    <t>ITALY AND MAURE-RESTAURANT-FACTURE-2024-11-08-13:40:55-53.30 (08/11/2024)</t>
  </si>
  <si>
    <t>BIRKA LGE-RESTAURANT-FACTURE-2024-11-12-13:52:21-33.50 (12/11/2024)</t>
  </si>
  <si>
    <t>JULIEN THIBAULT RESTAURATION-RESTAURANT-FACTURE-2024-11-19-13:39:55-47.00 (19/11/2024)</t>
  </si>
  <si>
    <t>3 BRASSEURS FRANCE-RESTAURANT-FACTURE-2024-11-21-13:49:31-19.20 (21/11/2024)</t>
  </si>
  <si>
    <t>L ALSACE LGE-RESTAURANT-FACTURE-2024-11-12-22:07:50-99.80 (12/11/2024)</t>
  </si>
  <si>
    <t>ESSENCE SKODA GJ472DK (21/11/2024)</t>
  </si>
  <si>
    <t>ESSENCE SKODA GJ472DK (27/11/2024)</t>
  </si>
  <si>
    <t>RJLS GROUP-RESTAURANT-FACTURE-2024-11-14-01:26:00-59.40 (14/11/2024)</t>
  </si>
  <si>
    <t>SEINE 2000-RESTAURANT-FACTURE-2024-11-13-22:53:29-52.16 (13/11/2024)</t>
  </si>
  <si>
    <t>BA 72-RESTAURANT-FACTURE-2024-11-26-13:35:55-67.60 (26/11/2024)</t>
  </si>
  <si>
    <t>MONCEAU FLEURS-PLANTE-FACTURE (15/11/2024)</t>
  </si>
  <si>
    <t>EMINZA 6794459-1 (17/11/2024)</t>
  </si>
  <si>
    <t>HU INVEST-RESTAURANT-FACTURE-241100007 (07/11/2024)</t>
  </si>
  <si>
    <t>LE GRAND CORONA LB-RESTAURANT-TICKET DE CAISSE-184952 (02/11/2024)</t>
  </si>
  <si>
    <t>ACHATS POUR DECORATION NOEL - BOUTIQUE (23/11/2024)</t>
  </si>
  <si>
    <t>TAXI (12/11/2024)</t>
  </si>
  <si>
    <t>CADEAUX CLIENT BERTHE - IPS INTERIEUR (02/11/2024)</t>
  </si>
  <si>
    <t>ALTONEO-HONORAIRE LIBERAL-AVOIR-11250000720 (30/11/2024)</t>
  </si>
  <si>
    <t>HONORAIRES MISSION SOCIALE - 3ÈME TRIMESTRE (30/09/2024)</t>
  </si>
  <si>
    <t>MIKIT FRANCE-REDEVANCE-FACTURE-F239225 (31/10/2024)</t>
  </si>
  <si>
    <t>ENLEVEMENT DE TERRE / TRAITEMENT DECHET (10/10/2024)</t>
  </si>
  <si>
    <t>ARCOTEL-HÉBERGEMENT-FACTURE-26178 (01/11/2024)</t>
  </si>
  <si>
    <t>BJT PARTNERS   RINGOVER GROUP-COMMUNICATION-FACTURE-MO5041519-2024276144 (08/11/2024)</t>
  </si>
  <si>
    <t>LINKEDIN IRELAND UNLIMITED COMPANY-LOGICIEL SAAS-FACTURE-78149533102 (16/11/2024)</t>
  </si>
  <si>
    <t>ORANGE-COMMUNICATION-FACTURE-02C625F553 24I3- 1X11 (14/11/2024)</t>
  </si>
  <si>
    <t>APPLE ONE PREMIUM (23/11/2024)</t>
  </si>
  <si>
    <t>PLAN PROJET IRATNI VALFRAMBERT - DDP6415 (30/09/2024)</t>
  </si>
  <si>
    <t>PLANS PROJET LEPETI MENAGE DDP6416 (30/09/2024)</t>
  </si>
  <si>
    <t>PLANS PROJET IRATNI VALFRAMBERT DDP6414 (30/09/2024)</t>
  </si>
  <si>
    <t>PLANS PROJET RENARD DDP6446 (30/09/2024)</t>
  </si>
  <si>
    <t>PLAN PROJET POULIO DDP6485 (30/09/2024)</t>
  </si>
  <si>
    <t>PLANS PROJET BAUJARD DDP6447 (30/09/2024)</t>
  </si>
  <si>
    <t>PLAN PROJETS QASSID DDP6417 (30/09/2024)</t>
  </si>
  <si>
    <t>DMDE FRANCHISE PROJET RENARD DMPC6231 (30/09/2024)</t>
  </si>
  <si>
    <t>PLANS PROJET DELVART (30/09/2024)</t>
  </si>
  <si>
    <t>TVA COLLECTÉEAUTOLIQUIDATION 20% - 3310CA3-2024 - 01/11/2024 - 30/11/2024 (30/11/2024)</t>
  </si>
  <si>
    <t>EMINZA-AUTRE MARCHANDISE-AVOIR-Nº6794459 - 372448 (17/12/2024)</t>
  </si>
  <si>
    <t>AGENCE BLVU-CONSEIL-FACTURE-FAC00000697 (02/12/2024)</t>
  </si>
  <si>
    <t>HOTEL REUNION DE GROUPE (03/12/2024)</t>
  </si>
  <si>
    <t>PREMIUM BUSINESS LIKEDIN (16/12/2024)</t>
  </si>
  <si>
    <t>LOGEFIM-LOCATION IMMOBILIÈRE-FACTURE-FAC000209 (01/12/2024)</t>
  </si>
  <si>
    <t>NESPRESSO FRANCE-BOISSON-FACTURE-207525162 (21/12/2024)</t>
  </si>
  <si>
    <t>ORANGE-COMMUNICATION-FACTURE-02C625F553 24J1- 1×12 (13/12/2024)</t>
  </si>
  <si>
    <t>BJT PARTNERS   RINGOVER GROUP-COMMUNICATION-FACTURE-MO5041519-2024286274 (08/12/2024)</t>
  </si>
  <si>
    <t>ESPACE EXPANSION-PARKING-FACTURE-2024-12-08-11:07:44-35.00 (08/12/2024)</t>
  </si>
  <si>
    <t>3 BRASSEURS FRANCE-RESTAURANT-FACTURE-2024-12-19-14:09:33-16.00 (19/12/2024)</t>
  </si>
  <si>
    <t>SSP PARIS-RESTAURANT-FACTURE-2024-12-07-18:46:00-56.65 (07/12/2024)</t>
  </si>
  <si>
    <t>TRIO-RESTAURANT-FACTURE-2024-12-29-12:09:27-30.00 (29/12/2024)</t>
  </si>
  <si>
    <t>ARTISTIQUE D ANIMATION-RESTAURANT-FACTURE-2024-12-03-260.00 (03/12/2024)</t>
  </si>
  <si>
    <t>PUB SAINT SATURNIN 72-RESTAURANT-FACTURE-2024-12-09-14:15:09-49.60 (09/12/2024)</t>
  </si>
  <si>
    <t>APPLE PREMIUM (23/12/2024)</t>
  </si>
  <si>
    <t>ESSENCE SKODA GJ-472-DK (30/12/2024)</t>
  </si>
  <si>
    <t>CADEAUX CLIENTÈLE (12/12/2024)</t>
  </si>
  <si>
    <t>AOP CHAMPAGNE (16/12/2024)</t>
  </si>
  <si>
    <t>LOCATION 3 NUMEROS (JANVIER 2025) (27/12/2024)</t>
  </si>
  <si>
    <t>REDEVANCE PUB FURIA (31/12/2024)</t>
  </si>
  <si>
    <t>MIKIT FRANCE-REDEVANCE-FACTURE-F239392 (31/12/2024)</t>
  </si>
  <si>
    <t>REDEVANCE PUB MIKIT ATTANE (31/12/2024)</t>
  </si>
  <si>
    <t>MIKIT FRANCE-REDEVANCE-FACTURE-F239224 (31/10/2024)</t>
  </si>
  <si>
    <t>SARL PETIT LEPRINCE HOTEL (20/12/2024)</t>
  </si>
  <si>
    <t>ALTONEO-HONORAIRE LIBERAL-FACTURE-11250001154 (30/11/2024)</t>
  </si>
  <si>
    <t>ALTONEO-HONORAIRE LIBERAL-AVOIR-16250000378 (31/10/2024)</t>
  </si>
  <si>
    <t>PLANS PROJET HUGOU  (31/10/2024)</t>
  </si>
  <si>
    <t>PLANS PROJET GENOT (31/10/2024)</t>
  </si>
  <si>
    <t>PLANS PROJET BARRIER - MEDARD (31/10/2024)</t>
  </si>
  <si>
    <t>PLANS PROJET COTIGNY (31/10/2024)</t>
  </si>
  <si>
    <t>MODIF 1 PLU - PROJET BAUJARD (31/10/2024)</t>
  </si>
  <si>
    <t>MODIF 2 CLIENT - PROJET CORDOLA (31/10/2024)</t>
  </si>
  <si>
    <t>PLANS PROJET DA FONSECA (31/10/2024)</t>
  </si>
  <si>
    <t>PLANS PROJET CORDOLA - DDP-6488 (31/10/2024)</t>
  </si>
  <si>
    <t>MODIF 3 ABF - CONSEIL - PROJET SALL (31/10/2024)</t>
  </si>
  <si>
    <t>PLANS PROJET HUET  (31/10/2024)</t>
  </si>
  <si>
    <t>MEUBLES IKEA FRANCE FRINV25000001299360 (22/12/2024)</t>
  </si>
  <si>
    <t>REDEVANCES FONCT. MIKIT - ATTANE (31/12/2024)</t>
  </si>
  <si>
    <t>TVA DÉDUCTIBLE ABS - 3310CA3-2024 - 01/12/2024 - 31/12/2024 (31/12/2024)</t>
  </si>
  <si>
    <t>ALTONEO-HONORAIRE LIBERAL-FACTURE-16240005521 (30/09/2024)</t>
  </si>
  <si>
    <t>AJUSTEMENT TVA (31/12/2024)</t>
  </si>
  <si>
    <t>PLANS DENIS (01/01/2024)</t>
  </si>
  <si>
    <t>PLANS KIKI DIT PUKO (01/01/2024)</t>
  </si>
  <si>
    <t>TVA SUR ABS A REGUL (31/12/2024)</t>
  </si>
  <si>
    <t xml:space="preserve">TVA LOYER. ÉCHÉANCE: 08/01/2025 LOA: SKODA SUPERB GJ-472-DK BAILLEUR: </t>
  </si>
  <si>
    <t>TVA DÉDUCTIBLE SUR IMPORTATIONS - 3310CA3-2025 - 01/01/2025 - 31/01/2025</t>
  </si>
  <si>
    <t>TVA DUE SUR IMPORTATIONS - 3310CA3-2025 - 01/01/2025 - 31/01/2025/ C'ETAIT EN 445798 ??</t>
  </si>
  <si>
    <t>TVA DÉDUCTIBLE ABS - 3310CA3-2025 - 01/01/2025 - 31/01/2025</t>
  </si>
  <si>
    <t xml:space="preserve">TVA LOYER. ÉCHÉANCE: 08/02/2025 LOA: SKODA SUPERB GJ-472-DK BAILLEUR: </t>
  </si>
  <si>
    <t xml:space="preserve">TVA LOYER. ÉCHÉANCE: 08/03/2025 LOA: SKODA SUPERB GJ-472-DK BAILLEUR: </t>
  </si>
  <si>
    <t>0014521_002</t>
  </si>
  <si>
    <t>20250903082249</t>
  </si>
  <si>
    <t>TVA 05.2025 DU MKT</t>
  </si>
  <si>
    <t>TVA 06.2025 DU MKT</t>
  </si>
  <si>
    <t>20250903081733</t>
  </si>
  <si>
    <t>20260122114420</t>
  </si>
  <si>
    <t>OD POUR LETTRAGE IMPOSSIBLE AVANT SITUATION</t>
  </si>
  <si>
    <t>TVA 08.2025</t>
  </si>
  <si>
    <t>TVA 08.2025 DU MKT</t>
  </si>
  <si>
    <t>TVA 09.2025</t>
  </si>
  <si>
    <t>TVA 09.2025 DU MKT</t>
  </si>
  <si>
    <t>20251212105351</t>
  </si>
  <si>
    <t>TVA 10.2025</t>
  </si>
  <si>
    <t>TVA 10.2025 DU MKT</t>
  </si>
  <si>
    <t>20251212110452</t>
  </si>
  <si>
    <t>TVA 11.2025 DU MKT</t>
  </si>
  <si>
    <t>20260112114927</t>
  </si>
  <si>
    <t>TVA 12.2025</t>
  </si>
  <si>
    <t>TVA 12.2025 DU MKT</t>
  </si>
  <si>
    <t>20260204145728</t>
  </si>
  <si>
    <t>TVA DEDUCTIBLE A REGULARISER</t>
  </si>
  <si>
    <t>TVA DEDUCTIBLE DU MKT PRESTA</t>
  </si>
  <si>
    <t>20260206114218</t>
  </si>
  <si>
    <t>44566600000</t>
  </si>
  <si>
    <t>TVA DEDUCTIBLE ABS INTRA</t>
  </si>
  <si>
    <t>TVA INTRACOMMUNAUTAIRE SUR AUTRES BIENS ET SERVICES - 3310CA3-2025 - 01/01/2025 - 31/01/2025</t>
  </si>
  <si>
    <t>44566620000</t>
  </si>
  <si>
    <t>TVA DED PREST SERV SS TRAIT</t>
  </si>
  <si>
    <t>44566800000</t>
  </si>
  <si>
    <t>TVA déductible abs import</t>
  </si>
  <si>
    <t>AMAZON FOUR PT EQUIP. OUTILLAGE (26/07/2024)</t>
  </si>
  <si>
    <t>AMAZON FRANCE FOUR PT EQUIP. OUTILLAGE (31/07/2024)</t>
  </si>
  <si>
    <t>OD DECL. TVA AU 31/08/2024 D5 - 20% - TVA DED IMPORTATION (31/08/2024)</t>
  </si>
  <si>
    <t>OD DECL. TVA AU 30/09/2024 D5 - 20% - TVA DED IMPORTATION (30/09/2024)</t>
  </si>
  <si>
    <t>44571251000</t>
  </si>
  <si>
    <t>TVA COLL PREST SERV TN</t>
  </si>
  <si>
    <t>TVA COLL PREST SERV TN (31/12/2024)</t>
  </si>
  <si>
    <t>20250213164521</t>
  </si>
  <si>
    <t>FRAIS DOSSIER RENARD</t>
  </si>
  <si>
    <t>20250213162539</t>
  </si>
  <si>
    <t>FRAIS DE DOSSIER</t>
  </si>
  <si>
    <t>20250213145838</t>
  </si>
  <si>
    <t>FRAIS DE DOSSIER - BERTHE / EVUORT</t>
  </si>
  <si>
    <t>20250320112137</t>
  </si>
  <si>
    <t>FRAIS DE DOSSIER - KONG / LUY</t>
  </si>
  <si>
    <t>24</t>
  </si>
  <si>
    <t>FRAIS DE DOSSIER - MAWEZE KIMBA</t>
  </si>
  <si>
    <t>20250521122226</t>
  </si>
  <si>
    <t>FRAIS DE DOSSIER - ATTANE</t>
  </si>
  <si>
    <t>20250617101730</t>
  </si>
  <si>
    <t>FRAIS DE DOSSIER - ZAI</t>
  </si>
  <si>
    <t>20250708081509</t>
  </si>
  <si>
    <t>FACT FINALE ASS FURIA - FRAIS DOSSIER</t>
  </si>
  <si>
    <t>20250708090132</t>
  </si>
  <si>
    <t>FACTURE FINALE ASSURANCE / RENARD DORIAN</t>
  </si>
  <si>
    <t>20250924090951</t>
  </si>
  <si>
    <t>MENAGE LEPETIT - FACTURE FINALE ASSURANCE</t>
  </si>
  <si>
    <t>20250924095038</t>
  </si>
  <si>
    <t>FACTURE FINALE ASSURANCE SEGOUIN</t>
  </si>
  <si>
    <t>20250924080901</t>
  </si>
  <si>
    <t>FACTURES FINALE ASSURANCE / PAULINE FROGER</t>
  </si>
  <si>
    <t>20251121152720</t>
  </si>
  <si>
    <t>FRAIS DE DOSSIER - GENOT</t>
  </si>
  <si>
    <t>42</t>
  </si>
  <si>
    <t>FACT FINALE ASS POULIO</t>
  </si>
  <si>
    <t>44</t>
  </si>
  <si>
    <t>OUVRARD/CORDOLA - FACT FINALE ASS</t>
  </si>
  <si>
    <t>44581000000</t>
  </si>
  <si>
    <t>Acomptes Régime simplifié d'imposition</t>
  </si>
  <si>
    <t>44583100000</t>
  </si>
  <si>
    <t>TVA à régulariser - à reverser</t>
  </si>
  <si>
    <t>TVA COLLECTEE 20 % A REGULARISER (31/12/2024)</t>
  </si>
  <si>
    <t xml:space="preserve">TVA 03.2025 </t>
  </si>
  <si>
    <t>44583200000</t>
  </si>
  <si>
    <t>TVA à régulariser - à déduire</t>
  </si>
  <si>
    <t>44586000000</t>
  </si>
  <si>
    <t>TVA s/fact non parvenues</t>
  </si>
  <si>
    <t>44587000000</t>
  </si>
  <si>
    <t>TVA s/fact à établir</t>
  </si>
  <si>
    <t>A-NOUVEAU FACTURES À ÉTABLIR-EN COURS SU (01/01/2024)</t>
  </si>
  <si>
    <t>A-NOUVEAU FACTURES À ÉTABLIR-CHANTIERS 3 (01/01/2024)</t>
  </si>
  <si>
    <t>FACTURES À ÉTABLIR EN COURS SUR AVOIR CHANTIERS 3 (01/01/2024)</t>
  </si>
  <si>
    <t>FACTURES À ÉTABLIR CHANTIERS 31.12.2023 (01/01/2024)</t>
  </si>
  <si>
    <t>44860000000</t>
  </si>
  <si>
    <t>Etat charges à payer</t>
  </si>
  <si>
    <t>SALAIRES 01/2024 TAXE D'APPRENTISSAGE LIBERATOI (31/01/2024)</t>
  </si>
  <si>
    <t>SALAIRES 01/2024 FORMATION CONTINUE (31/01/2024)</t>
  </si>
  <si>
    <t>SALAIRES 02/2024 TAXE D'APPRENTISSAGE LIBERATOI (29/02/2024)</t>
  </si>
  <si>
    <t>SALAIRES 02/2024 FORMATION CONTINUE (29/02/2024)</t>
  </si>
  <si>
    <t>SALAIRES 03/2024 TAXE D'APPRENTISSAGE LIBERATOI (31/03/2024)</t>
  </si>
  <si>
    <t>SALAIRES 03/2024 FORMATION CONTINUE (31/03/2024)</t>
  </si>
  <si>
    <t>SALAIRES 04/2024 TAXE D'APPRENTISSAGE LIBERATOI (30/04/2024)</t>
  </si>
  <si>
    <t>SALAIRES 04/2024 FORMATION CONTINUE (30/04/2024)</t>
  </si>
  <si>
    <t>SALAIRES 05/2024 TAXE D'APPRENTISSAGE LIBERATOI (31/05/2024)</t>
  </si>
  <si>
    <t>SALAIRES 05/2024 FORMATION CONTINUE (31/05/2024)</t>
  </si>
  <si>
    <t>SALAIRES 06/2024 TAXE D'APPRENTISSAGE LIBERATOI (30/06/2024)</t>
  </si>
  <si>
    <t>SALAIRES 06/2024 FORMATION CONTINUE (30/06/2024)</t>
  </si>
  <si>
    <t>SALAIRES 07/2024 TAXE D'APPRENTISSAGE LIBERATOI (31/07/2024)</t>
  </si>
  <si>
    <t>SALAIRES 07/2024 FORMATION CONTINUE (31/07/2024)</t>
  </si>
  <si>
    <t>SALAIRES 08/2024 TAXE D'APPRENTISSAGE LIBERATOI (31/08/2024)</t>
  </si>
  <si>
    <t>SALAIRES 08/2024 FORMATION CONTINUE (31/08/2024)</t>
  </si>
  <si>
    <t>SALAIRES 09/2024 TAXE D'APPRENTISSAGE LIBERATOI (30/09/2024)</t>
  </si>
  <si>
    <t>SALAIRES 09/2024 FORMATION CONTINUE (30/09/2024)</t>
  </si>
  <si>
    <t>10/2024 - TAXE D'APPRENTISSAGE LIBÉRATOIRE (31/10/2024)</t>
  </si>
  <si>
    <t>11/2024 - TAXE D'APPRENTISSAGE LIBÉRATOIRE (30/11/2024)</t>
  </si>
  <si>
    <t>12/2024 - TAXE D'APPRENTISSAGE LIBÉRATOIRE (31/12/2024)</t>
  </si>
  <si>
    <t>ADESATT (31/12/2024)</t>
  </si>
  <si>
    <t>01/2025 - TAXE D'APPRENTISSAGE LIBÉRATOIRE</t>
  </si>
  <si>
    <t>BQ50116591</t>
  </si>
  <si>
    <t xml:space="preserve">WEB ADESATT 250179246 ADESATT V VPRDS HOME SOLUTIONS ADESATT 250179246 ADESATT VPRDS HOME SOLUTI 250179246 ADESATT VPRDS HOME SOLUTI AGRIFRPP879 EUR200000000000900 FR7630003033830005009962344 </t>
  </si>
  <si>
    <t>SALAIRES 02/2025 / TA LIBERATOIRE</t>
  </si>
  <si>
    <t>SALAIRES 02/2025 / OPCO ATLAS</t>
  </si>
  <si>
    <t>SALAIRES 04/2025 OPCO</t>
  </si>
  <si>
    <t>SALAIRES 05/2025 OPCO</t>
  </si>
  <si>
    <t>SALAIRES 06/2025 OPCO</t>
  </si>
  <si>
    <t>CFE 1S 2025 Jun 2025</t>
  </si>
  <si>
    <t>PROV TVS 2 VEHICULES 1S 2025 Jun 2025</t>
  </si>
  <si>
    <t>20260204141032</t>
  </si>
  <si>
    <t>ETAT CHARGES À PAYER / REAFFECTATION DE COMPTE</t>
  </si>
  <si>
    <t>44860100000</t>
  </si>
  <si>
    <t>ETAT - CHARGES A PAYER</t>
  </si>
  <si>
    <t>SALAIRES 08/2025OPCO</t>
  </si>
  <si>
    <t>SALAIRES 09/2025OPCO</t>
  </si>
  <si>
    <t>SALAIRES 10/2025 OPCO</t>
  </si>
  <si>
    <t>SALAIRES 11/2025 OPCO</t>
  </si>
  <si>
    <t>SALAIRES 12/2025 OPCO</t>
  </si>
  <si>
    <t>20260319161920</t>
  </si>
  <si>
    <t>44870100000</t>
  </si>
  <si>
    <t>PRODUITS A RECEVOIR</t>
  </si>
  <si>
    <t>20260204170840</t>
  </si>
  <si>
    <t>AIDE APPRENTIS / 12.2025</t>
  </si>
  <si>
    <t>45110000000</t>
  </si>
  <si>
    <t>C/C CVP</t>
  </si>
  <si>
    <t>C/C CVP (31/12/2024)</t>
  </si>
  <si>
    <t>transfer-03-03-2025</t>
  </si>
  <si>
    <t>RCLST CC</t>
  </si>
  <si>
    <t>BQ65103434</t>
  </si>
  <si>
    <t xml:space="preserve">WEB CVP APPORT HEVI S.A.S. VPRDS HOME SOLUTIONS CVP APPORT HEVI APPORT HEVI AGRIFRPP879 EUR200000001000000 FR7617906001129643256986993 </t>
  </si>
  <si>
    <t>BQ68020682</t>
  </si>
  <si>
    <t xml:space="preserve">TRESORERIE S.A.R.L. CVP S.A.R.L. CVP VPRDS HOME SOLUTIONS TRESORERIE TRESORERIE AGRIFRPP879 EUR200000001000000 FR7617906001129641663834646 </t>
  </si>
  <si>
    <t>BQ69291959</t>
  </si>
  <si>
    <t xml:space="preserve">WEB CVP AVANCE TRESORERIE RETOU S.A.S. VPRDS HOME SOLUTIONS CVP AVANCE TRESORERIE RETOUR AVANCE TRESORERIE RETOUR AGRIFRPP879 EUR200000001000000 FR7617906001129643256986993 </t>
  </si>
  <si>
    <t>BQ70624561</t>
  </si>
  <si>
    <t>VIR INST VERS YOUCEF ISSOLAH AR / POUR VIPA IMMO</t>
  </si>
  <si>
    <t>RCLST CC PARADIS VINCENT</t>
  </si>
  <si>
    <t>45500000000</t>
  </si>
  <si>
    <t>CPTE COURANT ASSOCIE 1</t>
  </si>
  <si>
    <t>20250903071552</t>
  </si>
  <si>
    <t>20250213081222</t>
  </si>
  <si>
    <t>20250903071711</t>
  </si>
  <si>
    <t>BQ55740429</t>
  </si>
  <si>
    <t xml:space="preserve">WEB VINCENT PARADIS NOTE DE FRA S.A.S. VPRDS HOME SOLUTIONS VINCENT PARADIS NOTE DE FRAIS VP NOTE DE FRAIS VP AGRIFRPP879 EUR200000000031590 FR7630087336580003790070772 </t>
  </si>
  <si>
    <t>BQ55875124</t>
  </si>
  <si>
    <t xml:space="preserve">REJET RECU VIRT SEPA VINCENT PA S.A.S. VPRDS HOME SOLUTIONS VINCENT PARADIS NOTE DE FRAIS VP NOTE DE FRAIS VP AC04 COMPTE CLOTURE EUR200000000031590 FR7630087336580003790070772 </t>
  </si>
  <si>
    <t>20260206083340</t>
  </si>
  <si>
    <t>20260206083355</t>
  </si>
  <si>
    <t>BQ63921853</t>
  </si>
  <si>
    <t>CARTE X7179 IZIVIA COURBEVOIE / NE SAIT PAS</t>
  </si>
  <si>
    <t>BQ63921855</t>
  </si>
  <si>
    <t>CARTE X7179 MAC DONALD / JUSTIF PERDU</t>
  </si>
  <si>
    <t>BQ64923958</t>
  </si>
  <si>
    <t>CARTE X7179 LEROY MERLIN MULSAN / JUSTIF PERDU</t>
  </si>
  <si>
    <t>BQ65580450</t>
  </si>
  <si>
    <t>CARTE X7179 APPLE.COM/BILL 0805 / REMB HP?</t>
  </si>
  <si>
    <t>BQ66632543</t>
  </si>
  <si>
    <t>CARTE X7179 APPLE CORK / REMB HP?</t>
  </si>
  <si>
    <t>BQ66905033</t>
  </si>
  <si>
    <t>20260206083412</t>
  </si>
  <si>
    <t>BQ69291958</t>
  </si>
  <si>
    <t xml:space="preserve">CARTE X7179 CARREFOUR CERANS </t>
  </si>
  <si>
    <t>BQ69470132</t>
  </si>
  <si>
    <t xml:space="preserve">REMBOURSEMENT FRAIS PERSO M. M. PARADIS VINCENT VPRDS HOME SOLUTIONS REMBOURSEMENT FRAIS PERSO REMBOURSEMENT FRAIS PERSO AGRIFRPP879 EUR200000000002176 FR7617906001129641663834646 </t>
  </si>
  <si>
    <t>BQ69614547</t>
  </si>
  <si>
    <t xml:space="preserve">WEB NICOLAS PROTIN - CRE AVANCE S.A.S. VPRDS HOME SOLUTIONS NICOLAS PROTIN - CREDIT AGRICOLE AVANCE GEOMETRE AVANCE GEOMETRE AGRIFRPP879 EUR200000000078000 FR7617906001129643722931440 </t>
  </si>
  <si>
    <t>BQ71563310</t>
  </si>
  <si>
    <t>CARTE X7179 LA RESERVE LE MANS / TICKET PERDU</t>
  </si>
  <si>
    <t>20260206083437</t>
  </si>
  <si>
    <t>BQ74044299</t>
  </si>
  <si>
    <t xml:space="preserve">GEOMETRE MR PROTIN OU MME SUBRA MR PROTIN OU MME SUBRAN VPRDS HOME SOLUTIONS REMBOURSEMENT GEOMETRE AGRIFRPP879 EUR200000000078000 FR7617906001129641663834646 </t>
  </si>
  <si>
    <t>20260206083513</t>
  </si>
  <si>
    <t xml:space="preserve">VIR ELEC S2 2025 VOITURE/ REVOIR AVEC TABLEUR EXCEL </t>
  </si>
  <si>
    <t>SUPER / COURSE APERO + SIEGE DE BAIN</t>
  </si>
  <si>
    <t>20260206083531</t>
  </si>
  <si>
    <t>46700000000</t>
  </si>
  <si>
    <t>Autres comptes débiteurs ou créditeurs</t>
  </si>
  <si>
    <t>20260204170438</t>
  </si>
  <si>
    <t>INDEMNISATION ACCORD SORTIS CHANTIER/ RENARD DORIAN</t>
  </si>
  <si>
    <t>46701000000</t>
  </si>
  <si>
    <t>MR PARADIS VINCENT</t>
  </si>
  <si>
    <t>MR PARADIS VINCENT (31/12/2024)</t>
  </si>
  <si>
    <t>46702000000</t>
  </si>
  <si>
    <t>PRET D'HONNEUR</t>
  </si>
  <si>
    <t>PRET D'HONNEUR (31/12/2024)</t>
  </si>
  <si>
    <t>BQ46562047</t>
  </si>
  <si>
    <t>WEB VINCENT PARADIS RBT ECH PRE S.A.S. VPRDS HOME SOLUTIONS VINCENT PARADIS RBT ECH PRET D HONNEUR RESEAU ENTREPRENDRE RBT ECH PRET D HONNEUR AGRIFRPP879 EUR200000000050000 FR7630087336580003790070772</t>
  </si>
  <si>
    <t>BQ48973338</t>
  </si>
  <si>
    <t>BQ51156946</t>
  </si>
  <si>
    <t>WEB VINCENT PARADIS CRED RBT EC S.A.S. VPRDS HOME SOLUTIONS VINCENT PARADIS CREDIT RBT ECH PRET D HONNEUR RESEAU ENTREPRENDRE RBT ECH PRET D HONNEUR AGRIFRPP879 EUR200000000050000 FR761790600112964337</t>
  </si>
  <si>
    <t>BQ53627857</t>
  </si>
  <si>
    <t>BQ55875120</t>
  </si>
  <si>
    <t>BQ58409318</t>
  </si>
  <si>
    <t>20260204160135</t>
  </si>
  <si>
    <t>46702100000</t>
  </si>
  <si>
    <t>PRETS D'HONNEUR</t>
  </si>
  <si>
    <t>BQ61261129</t>
  </si>
  <si>
    <t>BQ64092181</t>
  </si>
  <si>
    <t>BQ66504504</t>
  </si>
  <si>
    <t>BQ69291955</t>
  </si>
  <si>
    <t>BQ72372590</t>
  </si>
  <si>
    <t>BQ75668121</t>
  </si>
  <si>
    <t>46710005000</t>
  </si>
  <si>
    <t>CPTE TIERS BERTHE</t>
  </si>
  <si>
    <t>VIR MKT PROMOTION VPRDS VIR MKT PROMOTION VPRDS (21/10/2024)</t>
  </si>
  <si>
    <t>HONORAIRES MIKIT BERTHE EVUORT (30/09/2024)</t>
  </si>
  <si>
    <t>MIKIT BERTHE EVUORT (30/09/2024)</t>
  </si>
  <si>
    <t>REDEVANCE PUB BERTHE (31/03/2024)</t>
  </si>
  <si>
    <t>46710007000</t>
  </si>
  <si>
    <t>VIR MKT PROMOTION VRI SLD MG VIR MKT PROMOTION VRI SLD MG (30/09/2024)</t>
  </si>
  <si>
    <t>FACTURE ST1 FACTURE ST 1 (11/09/2024)</t>
  </si>
  <si>
    <t>HONNORAIRE MKT HONNORAIRE MKT (11/09/2024)</t>
  </si>
  <si>
    <t>REDEVANCE PUB REDEVANCE PUB (11/09/2024)</t>
  </si>
  <si>
    <t>46710010000</t>
  </si>
  <si>
    <t>CPTE TIERS RENARD</t>
  </si>
  <si>
    <t>CPTE TIERS RENARD (31/12/2024)</t>
  </si>
  <si>
    <t>BQ47619446</t>
  </si>
  <si>
    <t xml:space="preserve">VIR MKT PROMOTION VPRDS MKT PROMOTION VPRDS VIR SLD MG RENARD VPRDS CEPAFRPP751 EUR200000002174598 </t>
  </si>
  <si>
    <t>20250214093545</t>
  </si>
  <si>
    <t>COMPTE TIERS ZAI</t>
  </si>
  <si>
    <t>COMPTE TIERS ZAI (31/12/2024)</t>
  </si>
  <si>
    <t>BQ58989595</t>
  </si>
  <si>
    <t xml:space="preserve">VIR MKT PROMOTION VPRDS MKT PROMOTION VPRDS VIR ADF3 SAID-OUVRARD SLD MG ZAI VPRDS CEPAFRPP751 EUR200000002529219 </t>
  </si>
  <si>
    <t>46710011000</t>
  </si>
  <si>
    <t>CPTE TIERS MAWEZE KIMBA</t>
  </si>
  <si>
    <t>BQ53627855</t>
  </si>
  <si>
    <t xml:space="preserve">VIR MKT PROMOTION REF 00000 04- MKT PROMOTION VPRDS VIR SLD MG MAWEZE KIMBA REF 00000 04-04-2025 CEPAFRPP751 EUR200000002177396 </t>
  </si>
  <si>
    <t>20250521132518</t>
  </si>
  <si>
    <t>46710012000</t>
  </si>
  <si>
    <t>CPTE TIERS KONG LUI</t>
  </si>
  <si>
    <t>BQ50898385</t>
  </si>
  <si>
    <t xml:space="preserve">VIR MKT PROMOTION VPRDS MKT PROMOTION VPRDS SLD MG KONG VPRDS CEPAFRPP751 EUR200000001570888 </t>
  </si>
  <si>
    <t>46710013000</t>
  </si>
  <si>
    <t>COMPTE TIERS SEGOUIN</t>
  </si>
  <si>
    <t>BQ63307829</t>
  </si>
  <si>
    <t xml:space="preserve">VIR MKT PROMOTION VIR AVANCE SL MKT PROMOTION VPRDS VPRDS VIR AVANCE SLD MG FROGER ET SEGOUI CEPAFRPP751 EUR200000002170000 </t>
  </si>
  <si>
    <t>BQ65490647</t>
  </si>
  <si>
    <t xml:space="preserve">VIR MKT PROMOTION VPRDS MKT PROMOTION VPRDS ADF3 PLUQUIN SLD MG SEGOUIN ET FROG VPRDS CEPAFRPP751 EUR200000002501750 </t>
  </si>
  <si>
    <t>46710014000</t>
  </si>
  <si>
    <t>COMPTE TIERS ATTANE</t>
  </si>
  <si>
    <t>BQ47120962</t>
  </si>
  <si>
    <t xml:space="preserve">VIR MKT PROMOTION VPRDS MKT PROMOTION VPRDS VIR ADF3 ATTANE VPRDS CEPAFRPP751 EUR200000000605472 </t>
  </si>
  <si>
    <t>BQ55191758</t>
  </si>
  <si>
    <t xml:space="preserve">VIR MKT PROMOTION SDM ATTANE MKT PROMOTION VPRDS -SDM ATTANE SDM ATTANE CCBPFRPPMTG EUR200000002003643 </t>
  </si>
  <si>
    <t>20250521141654</t>
  </si>
  <si>
    <t>46710015</t>
  </si>
  <si>
    <t>COMPTE TIERS MENAGE</t>
  </si>
  <si>
    <t>BQ50320809</t>
  </si>
  <si>
    <t xml:space="preserve">VIR MKT PROMOTION VPRDS MKT PROMOTION VPRDS VIR ADF3 MENAGE VPRDS CEPAFRPP751 EUR200000000733104 </t>
  </si>
  <si>
    <t>BQ62128031</t>
  </si>
  <si>
    <t xml:space="preserve">VIR MKT PROMOTION VPRDS MKT PROMOTION VPRDS VIR SLD MG MENAGE VPRDS CEPAFRPP751 EUR200000002323905 </t>
  </si>
  <si>
    <t>46710016</t>
  </si>
  <si>
    <t>COMPTE TIERS - FURIA</t>
  </si>
  <si>
    <t>BQ49348718</t>
  </si>
  <si>
    <t xml:space="preserve">VIR MKT PROMOTION VPRDS MKT PROMOTION VPRDS VIR ADF3 FURIA VPRDS CEPAFRPP751 EUR200000000629732 </t>
  </si>
  <si>
    <t>BQ61261128</t>
  </si>
  <si>
    <t xml:space="preserve">VIR MKT PROMOTION VPRDS MKT PROMOTION VPRDS VIR SLD MG FURIA ET RENARD VPRDS CEPAFRPP751 EUR200000003783922 </t>
  </si>
  <si>
    <t>46710017</t>
  </si>
  <si>
    <t>COMPTE TIERS - RENARD DORIAN</t>
  </si>
  <si>
    <t>BQ51493926</t>
  </si>
  <si>
    <t xml:space="preserve">VIR MKT PROMOTION VPRDS MKT PROMOTION VPRDS VIR ADF3 RENARD VPRDS CEPAFRPP751 EUR200000000588952 </t>
  </si>
  <si>
    <t>46710018</t>
  </si>
  <si>
    <t>COMPTE TIERS - FROGER PAULINE</t>
  </si>
  <si>
    <t>BQ55029950</t>
  </si>
  <si>
    <t xml:space="preserve">VIR MKT PROMOTION VPRDS MKT PROMOTION VPRDS VIR ADF3 FROGER VPRDS CEPAFRPP751 EUR200000000649052 </t>
  </si>
  <si>
    <t>46710019</t>
  </si>
  <si>
    <t>COMPTE TIERS GENOT MYLENE</t>
  </si>
  <si>
    <t>BQ71337520</t>
  </si>
  <si>
    <t xml:space="preserve">VIR MKT PROMOTION VPRDS MKT PROMOTION VPRDS VIR SLD MG GENOT VPRDS CEPAFRPP751 EUR200000002061843 </t>
  </si>
  <si>
    <t>46710020</t>
  </si>
  <si>
    <t>COMPTE TIERS POULIO</t>
  </si>
  <si>
    <t>BQ72035715</t>
  </si>
  <si>
    <t xml:space="preserve">VIR MKT PROMOTION VPRDS MKT PROMOTION VPRDS VIR SLD MG POULIO VPRDS CEPAFRPP751 EUR200000001779387 </t>
  </si>
  <si>
    <t>46710021</t>
  </si>
  <si>
    <t>COMPTE TIERS - OUVRARD/CORDOLA</t>
  </si>
  <si>
    <t>BQ75813680</t>
  </si>
  <si>
    <t xml:space="preserve">VIR MKT PROMOTION VPRDS MKT PROMOTION VPRDS VIR SLD MG OUVRARD VPRDS CEPAFRPP751 EUR200000002104392 </t>
  </si>
  <si>
    <t>46710022000</t>
  </si>
  <si>
    <t>COMPTE TIERS - SAID/ADAME</t>
  </si>
  <si>
    <t>46710023000</t>
  </si>
  <si>
    <t>COMPTE TIERS - DIALLO</t>
  </si>
  <si>
    <t>46710026000</t>
  </si>
  <si>
    <t>COMPTE TIERS - BERNARD</t>
  </si>
  <si>
    <t>BQ69470128</t>
  </si>
  <si>
    <t xml:space="preserve">WEB MKT PROMOTION REDEVANCES DO S.A.S. VPRDS HOME SOLUTIONS MKT PROMOTION REDEVANCES DOSSIER BERNARD REDEVANCES DOSSIER BERNARD AGRIFRPP879 EUR200000000982530 FR7610207000902221679944237 </t>
  </si>
  <si>
    <t>46710027000</t>
  </si>
  <si>
    <t>COMPTE TIERS - PLUQUIN</t>
  </si>
  <si>
    <t>VIR MKT PROMOTION VPRDS MKT PROMOTION VPRDS  PLUQUIN</t>
  </si>
  <si>
    <t>46710028000</t>
  </si>
  <si>
    <t>COMPTE TIERS - BUTET/HUET</t>
  </si>
  <si>
    <t>BQ67048040</t>
  </si>
  <si>
    <t xml:space="preserve">VIR MKT PROMOTION VIR AVANCE VP MKT PROMOTION VPRDS VIR AVANCE VPRDS OC HUET CEPAFRPP751 EUR200000002000000 </t>
  </si>
  <si>
    <t>BQ70034772</t>
  </si>
  <si>
    <t xml:space="preserve">VIR MKT PROMOTION VPRDS MKT PROMOTION VPRDS VIR ADF3 BUTET VPRDS CEPAFRPP751 EUR200000000627316 </t>
  </si>
  <si>
    <t>46710029000</t>
  </si>
  <si>
    <t>COMPTE TIERS - CHAFIOL</t>
  </si>
  <si>
    <t>BQ72826833</t>
  </si>
  <si>
    <t xml:space="preserve">VIR MKT PROMOTION VPRDS MKT PROMOTION VPRDS ADF3 CHAFIOL PARTAUD BIGARET VPRDS CEPAFRPP751 EUR200000001736239 </t>
  </si>
  <si>
    <t>46710032</t>
  </si>
  <si>
    <t>COMPTE TIERS - HUGOU</t>
  </si>
  <si>
    <t>BQ69291960</t>
  </si>
  <si>
    <t xml:space="preserve">VIR INST VERS MKT PROMOTION S.A.S. VPRDS HOME SOLUTIONS MKT PROMOTION REDEVANCES ADF3 - HUGOU REDEVANCES ADF3 - HUGOU 557F4FCD48844BFE996CA34062CCE7A9 FR7610207000902221679944237 </t>
  </si>
  <si>
    <t>46710033000</t>
  </si>
  <si>
    <t>COMPTE TIERS - PARTAUD</t>
  </si>
  <si>
    <t>46710034000</t>
  </si>
  <si>
    <t>COMPTE TIERS PECQUEUR/TILLIET</t>
  </si>
  <si>
    <t>BQ69470131</t>
  </si>
  <si>
    <t xml:space="preserve">VIR INST VERS MKT PROMOTION S.A.S. VPRDS HOME SOLUTIONS MKT PROMOTION REDEVANCES TILLIET PECQUEUR REDEVANCES TILLIET PECQUEUR 5562DD64DAEA4DDD9D32DA0643798FE3 FR7610207000902221679944237 </t>
  </si>
  <si>
    <t>46710035000</t>
  </si>
  <si>
    <t>COMPTE TIERS PROTIN/SUBRANNE</t>
  </si>
  <si>
    <t>BQ74860644</t>
  </si>
  <si>
    <t xml:space="preserve">VIR MKT PROMOTION VPRDS MKT PROMOTION VPRDS VIR ADF3 PROTIN VPRDS CEPAFRPP751 EUR200000000698767 </t>
  </si>
  <si>
    <t>46710036</t>
  </si>
  <si>
    <t>COMPTE TIERS THINARD/JOURNAUX</t>
  </si>
  <si>
    <t>BQ75813681</t>
  </si>
  <si>
    <t xml:space="preserve">VIR INST VERS SARL MKT PROMOTIO S.A.S. VPRDS HOME SOLUTIONS SARL MKT PROMOTION REDEVANACES JOURNAUX VPRDS REDEVANCES JOURNAUX THINARD 7142F39D106B4863BE243791A08930E1 FR7610207000902221679944237 </t>
  </si>
  <si>
    <t>46710037</t>
  </si>
  <si>
    <t>COMPTE TIERS BIGARET/CHENIOUR</t>
  </si>
  <si>
    <t>46710038</t>
  </si>
  <si>
    <t>COMPTE TIERS CARDOSO/RYCKEWAERT</t>
  </si>
  <si>
    <t>BQ76513305</t>
  </si>
  <si>
    <t xml:space="preserve">VIR MKT PROMOTION VPRDS MKT PROMOTION VPRDS VIR ADF3 CARDOSO VPRDS CEPAFRPP751 EUR200000000619513 </t>
  </si>
  <si>
    <t>46710616000</t>
  </si>
  <si>
    <t>20260204164929</t>
  </si>
  <si>
    <t xml:space="preserve">RECLASSEMENT DE COMPTE </t>
  </si>
  <si>
    <t>ASSURANCE NON SOUMISES - GENOT</t>
  </si>
  <si>
    <t>46711616000</t>
  </si>
  <si>
    <t>CPTE DEBOURS ASSURANCES</t>
  </si>
  <si>
    <t>ASSURANCES RENARD JEREMY ASSURANCES RENARD JEREMY (15/07/2024)</t>
  </si>
  <si>
    <t>ASSURANCE LUY DA (15/10/2024)</t>
  </si>
  <si>
    <t>ZAI ASSURANCES (18/10/2024)</t>
  </si>
  <si>
    <t>RECLASSEMENT PAIEMENT ASSURANC MAWEZE KIMBA ARSENE CHANTIER M (12/09/2024)</t>
  </si>
  <si>
    <t>SEGOUIN ANTHONY APPEL DE FONDS - ASSURANCE  (06/12/2024)</t>
  </si>
  <si>
    <t>BQ46673991</t>
  </si>
  <si>
    <t xml:space="preserve">ADF 4 ASSURANCES ATTANE ATTANE ATTANE ROMAIN VRPDS HOME SOLUTIONS LOT 36 ECOMMOY ADF 4 ASSURANCES ATTANE AGRIFRPP879 EUR200000000871650 FR7617906001129641663834646 </t>
  </si>
  <si>
    <t>BQ49739116</t>
  </si>
  <si>
    <t xml:space="preserve">ASSURANCES MENAGE ENZO OU MLE MENAGE ENZO OU MLE ASSURANCES MIKIT ASSURANCES AGRIFRPP879 EUR200000001044270 FR7617906001129641663834646 </t>
  </si>
  <si>
    <t>BQ51036944</t>
  </si>
  <si>
    <t xml:space="preserve">RENARD DORIAN ASURANCES M. RENARD DORIAN S.A.S. VPRDS HOME SOLUTIONS ASURANCES RENARD DORIAN AGRIFRPP879 EUR200000000915120 FR7617906001129641663834646 </t>
  </si>
  <si>
    <t>BQ53281086</t>
  </si>
  <si>
    <t xml:space="preserve">STADE 4   ASSURANCES MADAME   F MADAME FROGER PAULINE VPRDS HOME SOLUTIONS FROGER PAULINE STADE 4 ASSURANCES AGRIFRPP879 EUR200000000982845 FR7617906001129641663834646 </t>
  </si>
  <si>
    <t>BQ54813458</t>
  </si>
  <si>
    <t xml:space="preserve">N DU PRET NL7549 GENOT MYLENE GENOT MYLENE VPRDS HOME SOLUTIONS APPEL DE FONDS ASSURANCES N DU PRET NL7549 AGRIFRPP879 EUR200000000820305 FR7617906001129641663834646 </t>
  </si>
  <si>
    <t>BQ55289120</t>
  </si>
  <si>
    <t xml:space="preserve">POULIO W ASSURANCES POULIO WILL POULIO WILLIAM VPRDS HOME SOLUTION PAIEMENT ASSURANCES POULIO W ASSURANCES AGRIFRPP879 EUR200000000833220 FR7617906001129641663834646 </t>
  </si>
  <si>
    <t>BQ57452003</t>
  </si>
  <si>
    <t xml:space="preserve">ASSURANCES LONGNE MONSIEUR OUVR MONSIEUR OUVRARD KEVIN OU MADAME CORDOLA MARGOT VPRDS HOME SOLUTIONS ASSURANCES LONGNE ASSURANCES LONGNE AGRIFRPP879 EUR200000000923995 FR7617906001129641663834646 </t>
  </si>
  <si>
    <t>BQ57536924</t>
  </si>
  <si>
    <t xml:space="preserve">ASSURANCES M.OU MME SAID EL-KAR M.OU MME SAID EL-KARIM VPRDS HOME SOLUTIONS ASSURANCES AGRIFRPP879 EUR200000001058815 FR7617906001129641663834646 </t>
  </si>
  <si>
    <t>DIALLO MOUSTAPHA M.OU MME DIALLO ASSURANCES</t>
  </si>
  <si>
    <t>20260204165648</t>
  </si>
  <si>
    <t>46720000000</t>
  </si>
  <si>
    <t>DEBOURS SASA</t>
  </si>
  <si>
    <t>BQ47306879</t>
  </si>
  <si>
    <t xml:space="preserve">VIR ML JACCOU TIPHAINE OU M NOU ML JACCOU TIPHAINE OU M NOURRY Y SASA VIREMENT DE ML JACCOU TIPHAINE OU M NOURRY Y VIREMENT DE ML JACCOU TIPHAINE OU M CEPAFRPP444 EUR200000000190000 </t>
  </si>
  <si>
    <t>BQ50012295</t>
  </si>
  <si>
    <t xml:space="preserve">VIR INST VERS SASA S.A.S. VPRDS HOME SOLUTIONS SASA REMBOURSEMENT SASA IRATNI 1 E663C8EA4C3A49A1BAC9A75DB9AC8767 FR7610207000902321549336060 </t>
  </si>
  <si>
    <t>BQ50012296</t>
  </si>
  <si>
    <t xml:space="preserve">VIR INST VERS SASA S.A.S. VPRDS HOME SOLUTIONS SASA REMBOURSEMENT SASA IRATNI 2 A2EA88F584EF40AAA4975D2D1DDAFE74 FR7610207000902321549336060 </t>
  </si>
  <si>
    <t>BQ50012297</t>
  </si>
  <si>
    <t xml:space="preserve">VIR INST VERS SASA S.A.S. VPRDS HOME SOLUTIONS SASA REMBOURSEMENT SASA JACCOU B020583D285F40F0B592DE2345712AAD FR7610207000902321549336060 </t>
  </si>
  <si>
    <t>BQ50012298</t>
  </si>
  <si>
    <t xml:space="preserve">VIR INST VERS SASA S.A.S. VPRDS HOME SOLUTIONS SASA REMBOURSEMENT SASA NEVEU HLIL DA741CE486BF4112AA644D36BC7E0B9C FR7610207000902321549336060 </t>
  </si>
  <si>
    <t>BQ50898390</t>
  </si>
  <si>
    <t>DOSSIER DELVART DELVART BENOIT DELVART / REVOIR AVEC CLIENT</t>
  </si>
  <si>
    <t>BQ53766726</t>
  </si>
  <si>
    <t xml:space="preserve">VIR SASA VIR VENTE CORDOLA SASA VPRDS VIR VENTE CORDOLA CCBPFRPPMTG EUR200000000600000 </t>
  </si>
  <si>
    <t>BQ54358438</t>
  </si>
  <si>
    <t>WEB M OU MME CORDOLA OUV SUBVEN VPRDS HOME SOLUTIONS M OU MME CORDOLA OUVRARD SUBVENTION SASA CORDOLA OUVRARD SUBVENTION SASA CORDOLA OUVRARD AGRIFRPP879 EUR200000000600000 FR7617906001129643431993229</t>
  </si>
  <si>
    <t>BQ55520934</t>
  </si>
  <si>
    <t xml:space="preserve">VIR INST VERS SASA S.A.S. VPRDS HOME SOLUTIONS SASA RETOUR SASA DELVART RETOUR SASA DELVART 8F14E1839B3F4000B246FA6EEB93F853 FR7610207000902321549336060 </t>
  </si>
  <si>
    <t>BQ57234668</t>
  </si>
  <si>
    <t xml:space="preserve">VIR SASA VIR VENTE MOREAU SASA VPRDS VIR VENTE MOREAU CCBPFRPPMTG EUR200000000175000 </t>
  </si>
  <si>
    <t>BQ57323968</t>
  </si>
  <si>
    <t xml:space="preserve">VIR SASA VIR SASA WARNET SASA VPRDS VIR SASA WARNET CCBPFRPPMTG EUR200000000185000 </t>
  </si>
  <si>
    <t>BQ57323969</t>
  </si>
  <si>
    <t xml:space="preserve">VIR SASA VIR SASA PARTAUD SASA VPRDS VIR SASA PARTAUD CCBPFRPPMTG EUR200000000232000 </t>
  </si>
  <si>
    <t>BQ57323970</t>
  </si>
  <si>
    <t>WEB KIMBERLEY MOREAU AVANCE COM S.A.S. VPRDS HOME SOLUTIONS KIMBERLEY MOREAU ACOMPTE COMPROMIS NOTAIRE MIKIT AVANCE COMPROMIS NOTAIRE MOREAU / FLUX DE TRESORERIE ?</t>
  </si>
  <si>
    <t>BQ57917556</t>
  </si>
  <si>
    <t xml:space="preserve">WEB M ET MME PARTAUD SASA PARTA VPRDS HOME SOLUTIONS M ET MME PARTAUD SASA PARTAUD AVANCE SUBVENTION AGRIFRPP879 EUR200000000232000 FR7630003012200005096482511 </t>
  </si>
  <si>
    <t>BQ57917557</t>
  </si>
  <si>
    <t xml:space="preserve">WEB EDWIGE WARNET SASA WARNET A VPRDS HOME SOLUTIONS EDWIGE WARNET SASA WARNET AVANCE SUBVENTION AGRIFRPP879 EUR200000000185000 FR7630003021630005601219991 </t>
  </si>
  <si>
    <t>BQ59229581</t>
  </si>
  <si>
    <t>VIR INST DE MLLE EDWIGE WARNET MLLE EDWIGE WARNET MIKIT LE MANS RETOUR AVANCE COMPROMIS BRIF-WARN 032025167904667460000001 5F010000516C510006000000404D5347 3A0F577041024C538FF288921423F265 FR761790600</t>
  </si>
  <si>
    <t>BQ60477096</t>
  </si>
  <si>
    <t xml:space="preserve">VIR INST VERS SARAH CHENIOUR S.A.S. VPRDS HOME SOLUTIONS SARAH CHENIOUR AVANCE SUBVENTION SASA ACOMPTE SUBVENTION SASA D3CC6AB1290446428151511E2965F2D3 FR7640618803990004016864294 </t>
  </si>
  <si>
    <t>BQ60477097</t>
  </si>
  <si>
    <t xml:space="preserve">VIR INST VERS NICOLAS PROTIN S.A.S. VPRDS HOME SOLUTIONS NICOLAS PROTIN AVANCE SUBVENTION SASA PROTIN ACOMPTE SUBVENTION SASA B9E4111DFBAC48F4987DC5D71C3723C3 FR2330002086000000767359K88 </t>
  </si>
  <si>
    <t>20260204161904</t>
  </si>
  <si>
    <t>BQ61261133</t>
  </si>
  <si>
    <t xml:space="preserve">VIR SASA VIR PREMIER DEBLOCAGE SASA VPRDS VIR PREMIER DEBLOCAGE PROTIN VPRDS CCBPFRPPMTG EUR200000000153240 </t>
  </si>
  <si>
    <t>BQ61261134</t>
  </si>
  <si>
    <t xml:space="preserve">VIR SASA VIR BIGARET PREMIER DE SASA VPRDS VIR BIGARET PREMIER DEBLOCAGE VPRDS CCBPFRPPMTG EUR200000000199000 </t>
  </si>
  <si>
    <t>46720010000</t>
  </si>
  <si>
    <t xml:space="preserve">IRATNI VIR INST VERS SASA S.A.S. VPRDS HOME SOLUTIONS SASA REMBOURSEMENT SASA  1 E663C8EA4C3A49A1BAC9A75DB9AC8767 FR7610207000902321549336060 </t>
  </si>
  <si>
    <t xml:space="preserve">IRATNI VIR INST VERS SASA S.A.S. VPRDS HOME SOLUTIONS SASA REMBOURSEMENT SASA IRATNI 2 A2EA88F584EF40AAA4975D2D1DDAFE74 FR7610207000902321549336060 </t>
  </si>
  <si>
    <t xml:space="preserve">NEVEU HLIL VIR INST VERS SASA S.A.S. VPRDS HOME SOLUTIONS SASA REMBOURSEMENT SASA NEVEU HLIL DA741CE486BF4112AA644D36BC7E0B9C FR7610207000902321549336060 </t>
  </si>
  <si>
    <t>BQ62389810</t>
  </si>
  <si>
    <t xml:space="preserve">VIR SASA VENTE CARDOSO/RYCKEWAE SASA VPRDS VENTE CARDOSO/RYCKEWAERT 1ER DEBLOC CCBPFRPPMTG EUR200000000081000 </t>
  </si>
  <si>
    <t>BQ62743945</t>
  </si>
  <si>
    <t xml:space="preserve">VIR INST VERS CARDOSO RYCKEWAER S.A.S. VPRDS HOME SOLUTIONS CARDOSO RYCKEWAERT AVANCE SUBVENTION AVANCE SUBVENTION 8E4FE4E028754990B568B9AEB6B632E7 FR7614505000020410395794364 </t>
  </si>
  <si>
    <t>BQ63643552</t>
  </si>
  <si>
    <t xml:space="preserve">VIR SASA VIR SASA TOLUAFE 1ER D SASA VPRDS VIR SASA TOLUAFE 1ER DEBLOCAGE CCBPFRPPMTG EUR200000000215000 </t>
  </si>
  <si>
    <t>BQ63828378</t>
  </si>
  <si>
    <t xml:space="preserve">VIR SASA VIR SASA DALLE 1ER DEB SASA VPRDS VIR SASA DALLE 1ER DEBLOCAGE CCBPFRPPMTG EUR200000000249500 </t>
  </si>
  <si>
    <t>BQ65951122</t>
  </si>
  <si>
    <t xml:space="preserve">VIR INST VERS LAURA CORVASIER S.A.S. VPRDS HOME SOLUTIONS LAURA CORVASIER AVANCE SUBVENTION AVANCE SUBVENTION 625E3D0E14A541A399FA5CC9039568BC FR7615489048050008363520168 </t>
  </si>
  <si>
    <t>BQ66094724</t>
  </si>
  <si>
    <t xml:space="preserve">VIR SASA SASA IKIA SASA VPRDS SASA IKIA CCBPFRPPMTG EUR200000000390500 </t>
  </si>
  <si>
    <t>BQ66504503</t>
  </si>
  <si>
    <t xml:space="preserve">VIR SASA VIR SASA TRIDONT 1ER D SASA VPRDS VIR SASA TRIDONT 1ER DEBLOCAGE CCBPFRPPMTG EUR200000000274500 </t>
  </si>
  <si>
    <t>BQ69142539</t>
  </si>
  <si>
    <t xml:space="preserve">VIR SASA VENTE LESIMPLE SASA VPRDS VENTE LESIMPLE CCBPFRPPMTG EUR200000000329500 </t>
  </si>
  <si>
    <t>BQ69291966</t>
  </si>
  <si>
    <t xml:space="preserve">VIR INST VERS TRIDON / TRANCHAR S.A.S. VPRDS HOME SOLUTIONS TRIDON / TRANCHARD AVANCE SUBVENTION SASA SASA AVANCE SUBVENTION 818562EBF4D34A55867C37C091C2D451 FR7614445004000432717494941 </t>
  </si>
  <si>
    <t>BQ69697898</t>
  </si>
  <si>
    <t xml:space="preserve">VIR SASA VENTE SERAFIN SASA VPRDS VENTE SERAFIN CCBPFRPPMTG EUR200000000270400 </t>
  </si>
  <si>
    <t>BQ70328572</t>
  </si>
  <si>
    <t xml:space="preserve">VIR INST VERS ENZO SERAFIN S.A.S. VPRDS HOME SOLUTIONS ENZO SERAFIN MIKIT - AVANCE SUBVENTION SASA SERAFIN - AVANCE SUBVENTION 9139F95009ED48D2B55AC3A35F31224D FR7628233000015680486592392 </t>
  </si>
  <si>
    <t>BQ71230249</t>
  </si>
  <si>
    <t xml:space="preserve">VIR SASA VENTE CLEMENT CLERC SASA VPRDS VENTE CLEMENT CLERC CCBPFRPPMTG EUR200000000170000 </t>
  </si>
  <si>
    <t>BQ71230250</t>
  </si>
  <si>
    <t xml:space="preserve">VIR SASA VIR VPRDS VENTE CIMOLI SASA VPRDS VIR VPRDS VENTE CIMOLI-GRENIER CCBPFRPPMTG EUR200000000126675 </t>
  </si>
  <si>
    <t>BQ71337519</t>
  </si>
  <si>
    <t xml:space="preserve">VIR INST VERS PIERRE GRENIER S.A.S. VPRDS HOME SOLUTIONS PIERRE GRENIER MIKIT - AVANCE SUBVENTION MIKIT - AVANCE SUBVENTION GRENIE 42AE6CD5F1A2459F821E508B3FDDCBC6 FR9830002086350000116918Z58 </t>
  </si>
  <si>
    <t>BQ75254116</t>
  </si>
  <si>
    <t xml:space="preserve">VIR SASA SASA TOUATI SASA VPRDS SASA TOUATI CCBPFRPPMTG EUR200000000123000 </t>
  </si>
  <si>
    <t>BQ76968550</t>
  </si>
  <si>
    <t xml:space="preserve">VIR INST VERS CHARLIE CHEVEREAU S.A.S. VPRDS HOME SOLUTIONS CHARLIE CHEVEREAU AVANCE SUBVENTION - CHEVEREAU PICHARD AVANCE SUBVENTION SASA DD83BA82E0684538920AED556257AA9F FR7617598000010003048899948 </t>
  </si>
  <si>
    <t>BQ76968551</t>
  </si>
  <si>
    <t xml:space="preserve">VIR SASA VIR SASA VPRDS CHEVERE SASA VPRDS VIR SASA VPRDS CHEVEREAU-PICHARD CCBPFRPPMTG EUR200000000452595 </t>
  </si>
  <si>
    <t>BQ77161627</t>
  </si>
  <si>
    <t xml:space="preserve">VIR INST VERS KARIM TOUATI S.A.S. VPRDS HOME SOLUTIONS KARIM TOUATI AVANCE SUBVENTION AVANCE SUBVENTION TOUATI 6C30F7CFE8DC4640A5173282EB4D1648 FR9620041010141255999V03536 </t>
  </si>
  <si>
    <t>46720616000</t>
  </si>
  <si>
    <t xml:space="preserve">	CPTE TIERS ASSURANCES - FROGER PAULINE</t>
  </si>
  <si>
    <t xml:space="preserve">	QUITTANCE ASSURANCE CORDOLA - CMI COURTAGE</t>
  </si>
  <si>
    <t>20250924095300</t>
  </si>
  <si>
    <t>ÉCART DE RÈGLEMENT - CPTE TIERS ASSURANCES</t>
  </si>
  <si>
    <t>46721616000</t>
  </si>
  <si>
    <t xml:space="preserve">	DIALLO MOUSTAPHA M.OU MME DIALLO ASSURANCES</t>
  </si>
  <si>
    <t>BQ64092184</t>
  </si>
  <si>
    <t xml:space="preserve">DE MONSIEUR PLUQUIN CHRISTOPHER MONSIEUR PLUQUIN CHRISTOPHER OU MADAME GIRARD CELINE VRPDS HOME SOLUTIONS AGRIFRPP879 EUR200000001093465 FR7617906001129641663834646 </t>
  </si>
  <si>
    <t>BQ71901765</t>
  </si>
  <si>
    <t xml:space="preserve">STADE 4 ASSURANCE PARTAUD M.OU M.OU MME PARTAUD FREDERIC VPRDS HOME SOLUTIONS STADE 4 ASSURANCE PARTAUD AGRIFRPP879 EUR200000000903205 FR7617906001129641663834646 </t>
  </si>
  <si>
    <t>BQ72522932</t>
  </si>
  <si>
    <t xml:space="preserve">DE MME BIGARET OU MME CHEN MME BIGARET OU MME CHEN VPRDS HOME SOLUTIONS AGRIFRPP879 EUR200000001061965 FR7617906001129641663834646 </t>
  </si>
  <si>
    <t>BQ74138396</t>
  </si>
  <si>
    <t xml:space="preserve">ASSURANCES MR PROTIN OU MME SUB MR PROTIN OU MME SUBRAN VPRDS HOME SOLUTIONS ASSURANCES AGRIFRPP879 EUR200000001206865 FR7617906001129641663834646 </t>
  </si>
  <si>
    <t>JOURNAUX MELANIE ASSURANCE</t>
  </si>
  <si>
    <t>BQ76114626</t>
  </si>
  <si>
    <t xml:space="preserve">MR ET MME CARDOSO M.OU MME CARD M.OU MME CARDOSO ADRIEN VPRDS HOME SOLUTIONS MR ET MME CARDOSO AGRIFRPP879 EUR200000001059445 FR7617906001129641663834646 </t>
  </si>
  <si>
    <t>46800000000</t>
  </si>
  <si>
    <t>Divers Charges à payer et produits à recevoir</t>
  </si>
  <si>
    <t>Prime d'assurance courue non échue - Emprunt:EMPRUNT BPGO 10K € 2025</t>
  </si>
  <si>
    <t>Prime d'assurance courue non échue - Emprunt:EMPRUNT BPGO 10 624.67 € v2 2025</t>
  </si>
  <si>
    <t>Prime d'assurance courue non échue - Emprunt:EMPRUNT CIC 20 175 € 2025</t>
  </si>
  <si>
    <t>Divers comptes créditeurs et charges à payer</t>
  </si>
  <si>
    <t>48600000000</t>
  </si>
  <si>
    <t>Charges constatées avance</t>
  </si>
  <si>
    <t>CCA SUR ACHATS ET CHGES EXTERN ASSURANCE GAN 2024</t>
  </si>
  <si>
    <t>CCA SUR ACHATS ET CHGES EXTERN ASSURANCE BPI 2024</t>
  </si>
  <si>
    <t>LOCATION 3 NUMEROS (JANVIER 2025) 2024</t>
  </si>
  <si>
    <t>LOCATION COPIEUR 2024</t>
  </si>
  <si>
    <t>OD CHARGES LOY. LEASING SKODA GJ-472-DK (31/12/2024)</t>
  </si>
  <si>
    <t>OD CHARGES LOY. LEASING CLIO FZ-325-SX (31/12/2024)</t>
  </si>
  <si>
    <t>OD CHARGES LOY. COPIEURS MULTIFONCTION (31/12/2024)</t>
  </si>
  <si>
    <t>CCA SUR ACHATS ET CHGES EXTERN ASSURANCE GAN 2024 (31/12/2024)</t>
  </si>
  <si>
    <t>CCA SUR ACHATS ET CHGES EXTERN ASSURANCE BPI 2024 (31/12/2024)</t>
  </si>
  <si>
    <t>LOCATION 3 NUMEROS (JANVIER 2025) 2024 (31/12/2024)</t>
  </si>
  <si>
    <t>CCA REDEVANCES MIKIT CHANTIERS (31/12/2024)</t>
  </si>
  <si>
    <t>CCA REDEVANCES PUB MIKIT CHANTIERS (31/12/2024)</t>
  </si>
  <si>
    <t>LOCATION COPIEUR 2024 (31/12/2024)</t>
  </si>
  <si>
    <t>20250219143756</t>
  </si>
  <si>
    <t>EXTOURNE OD CHARGES LOY. LEASING SKODA GJ-472-DK</t>
  </si>
  <si>
    <t>20250219144951</t>
  </si>
  <si>
    <t>EXTOURNE OD CHARGES LOY. LEASING CLIO FZ-325-SX</t>
  </si>
  <si>
    <t>20250219150316</t>
  </si>
  <si>
    <t>EXTOURNE OD CHARGES LOY. COPIEURS MULTIFONCTION</t>
  </si>
  <si>
    <t>20250219171127</t>
  </si>
  <si>
    <t>EXTOURNE CCA REDEVANCES MIKIT CHANTIERS</t>
  </si>
  <si>
    <t>20250219173201</t>
  </si>
  <si>
    <t>EXTOURNE CCA REDEVANCES PUB MIKIT CHANTIERS</t>
  </si>
  <si>
    <t>BNP PARIBAS LEASE GROUP / LOC COPIEUR MULTIFONCTION Jun 2025</t>
  </si>
  <si>
    <t>BNP PARIBAS LEASE GROUP-LOCATION MOBILIÈRE AVEC OPTION D'ACHAT-FACTURE-FLG8G909826 Jun 2025</t>
  </si>
  <si>
    <t>BNP PARIBAS LEASE GROUP-LOCATION MOBILIÈRE AVEC OPTION D'ACHAT-FACTURE-FLG8G909826 JUN 2025</t>
  </si>
  <si>
    <t>CCA SUR ACHATS ET CHGES EXTERN ASSURANCE GAN Jun 2025</t>
  </si>
  <si>
    <t>CCA SUR ACHATS ET CHGES EXTERN ASSURANCE BPI Jun 2025</t>
  </si>
  <si>
    <t>AZUR CONSEIL-CONSEIL-FACTURE-FA2506-5100 Jun 2025</t>
  </si>
  <si>
    <t>LE MANS EVENEMENTS-EXPOSANT-FACTURE-1099165 Jun 2025</t>
  </si>
  <si>
    <t>SANTE AU TRAVAIL 72 25004520 Jun 2025</t>
  </si>
  <si>
    <t>20250827093329</t>
  </si>
  <si>
    <t>CCA REDEVANCE MIKIT</t>
  </si>
  <si>
    <t>CCA REDEVANCE PUB MIKIT</t>
  </si>
  <si>
    <t>REDEVANCE CEDREO 2025 Jun 2025</t>
  </si>
  <si>
    <t>REDEVANCE CEDREO 2025 JUN 2025</t>
  </si>
  <si>
    <t>REDEVANCE INFORMATIQUE Jun 2025</t>
  </si>
  <si>
    <t>REDEVANCE INFORMATIQUE JUN 2025</t>
  </si>
  <si>
    <t>EXTOURNE BNP PARIBAS LEASE GROUP-LOCATION MOBILIÈRE AVEC OPTION D'ACHAT-FACTURE-FLG8G909826 JUN 2025</t>
  </si>
  <si>
    <t>LOCATION 3 NUMEROS (JANVIER 2025) Jun 2025</t>
  </si>
  <si>
    <t>EXTOURNE REDEVANCE CEDREO 2025 JUN 2025</t>
  </si>
  <si>
    <t>EXTOURNE REDEVANCE INFORMATIQUE JUN 2025</t>
  </si>
  <si>
    <t>EXTOURNE CCA REDEVANCE MIKIT</t>
  </si>
  <si>
    <t>EXTOURNE CCA REDEVANCE PUB MIKIT</t>
  </si>
  <si>
    <t>20260206093311</t>
  </si>
  <si>
    <t>20260206095039</t>
  </si>
  <si>
    <t>20260206103429</t>
  </si>
  <si>
    <t>20260206134735</t>
  </si>
  <si>
    <t>20260310142652</t>
  </si>
  <si>
    <t>CCA- REDEVANCE FONCTIONNEMENT MIKIT</t>
  </si>
  <si>
    <t>20260310150448</t>
  </si>
  <si>
    <t>51210000000</t>
  </si>
  <si>
    <t>Crédit agricole</t>
  </si>
  <si>
    <t>CRÉDIT AGRICOLE (31/12/2024)</t>
  </si>
  <si>
    <t>BQ46287787</t>
  </si>
  <si>
    <t>0227236 CRCA DE L ANJOU ET DU M CRCA DE L ANJOU ET DU MAINE FR02ZZZ437638 SEPA VPRDS HOME SOLUTIONS PACIFICA87902272362P PACIFICA87902272362P CREDIT AGRICOLE ASSURANCE MULTIRISQUE PRO -ECHEANCE 01/202</t>
  </si>
  <si>
    <t>BQ46432013</t>
  </si>
  <si>
    <t>BQ46432014</t>
  </si>
  <si>
    <t>BQ46432016</t>
  </si>
  <si>
    <t>BQ46432017</t>
  </si>
  <si>
    <t>BQ46562046</t>
  </si>
  <si>
    <t>BQ46673983</t>
  </si>
  <si>
    <t xml:space="preserve">10002460003 05/01/25 INTERETS </t>
  </si>
  <si>
    <t>BQ46673984</t>
  </si>
  <si>
    <t xml:space="preserve">10002460003 05/01/25 CAPITAL </t>
  </si>
  <si>
    <t>BQ46673985</t>
  </si>
  <si>
    <t xml:space="preserve">10002460004 05/01/25 INTERETS </t>
  </si>
  <si>
    <t>BQ46673986</t>
  </si>
  <si>
    <t xml:space="preserve">10002460004 05/01/25 CAPITAL </t>
  </si>
  <si>
    <t>BQ46673987</t>
  </si>
  <si>
    <t>BQ46673988</t>
  </si>
  <si>
    <t>BQ46763837</t>
  </si>
  <si>
    <t>BQ46907096</t>
  </si>
  <si>
    <t>BQ47038531</t>
  </si>
  <si>
    <t>BQ47038532</t>
  </si>
  <si>
    <t>BQ47120960</t>
  </si>
  <si>
    <t xml:space="preserve">ACM-IARD SA ACM-IARD SA FR74ZZZ008087 SEPA VPRDS HOME SOLUTIONS 278517921 ACM---2500000----BFC140------------ AUTOMOBILE - PRO AA11348581 GI20230105163016063084 RCUR FR7617906001129641663834646 </t>
  </si>
  <si>
    <t>BQ47120961</t>
  </si>
  <si>
    <t xml:space="preserve">ACM-IARD SA ACM-IARD SA FR74ZZZ008087 SEPA VPRDS HOME SOLUTIONS 278513560 ACM---2500000----BFC140------------ AUTOMOBILE - PRO AA11313754 GI20220916170507989638 RCUR FR7617906001129641663834646 </t>
  </si>
  <si>
    <t>BQ48131478</t>
  </si>
  <si>
    <t>BQ48133609</t>
  </si>
  <si>
    <t>BQ48316913</t>
  </si>
  <si>
    <t>BQ48701781</t>
  </si>
  <si>
    <t>BQ48701779</t>
  </si>
  <si>
    <t>0222566 CRCA DE L ANJOU ET DU M CRCA DE L ANJOU ET DU MAINE FR02ZZZ437638 SEPA VPRDS HOME SOLUTIONS PACIFICA87902225662P PACIFICA87902225662P CREDIT AGRICOLE ASSURANCE MULTIRISQUE PRO -ECHEANCE 02/202</t>
  </si>
  <si>
    <t>REMISE CHQ 2318791 / PQ ICI ? REVOIR AVEC LE CLIENT</t>
  </si>
  <si>
    <t>BQ48973337</t>
  </si>
  <si>
    <t>BQ48973333</t>
  </si>
  <si>
    <t xml:space="preserve">10002460003 05/02/25 INTERETS </t>
  </si>
  <si>
    <t>BQ48973334</t>
  </si>
  <si>
    <t xml:space="preserve">10002460003 05/02/25 CAPITAL </t>
  </si>
  <si>
    <t>BQ48973335</t>
  </si>
  <si>
    <t xml:space="preserve">10002460004 05/02/25 INTERETS </t>
  </si>
  <si>
    <t>BQ48973336</t>
  </si>
  <si>
    <t xml:space="preserve">10002460004 05/02/25 CAPITAL </t>
  </si>
  <si>
    <t>BQ49217667</t>
  </si>
  <si>
    <t>BQ49348719</t>
  </si>
  <si>
    <t>BQ49472700</t>
  </si>
  <si>
    <t xml:space="preserve">ACM IARD SA ACM IARD SA FR74ZZZ008087 SEPA VPRDS HOME SOLUTIONS 281167812 ACM---2500000----BFC140------------ AUTOMOBILE - PRO AA11348581 GI20230105163016063084 RCUR FR7617906001129641663834646 </t>
  </si>
  <si>
    <t>BQ49472701</t>
  </si>
  <si>
    <t xml:space="preserve">ACM IARD SA ACM IARD SA FR74ZZZ008087 SEPA VPRDS HOME SOLUTIONS 281167810 ACM---2500000----BFC140------------ AUTOMOBILE - PRO AA11313754 GI20220916170507989638 RCUR FR7617906001129641663834646 </t>
  </si>
  <si>
    <t>BQ50012300</t>
  </si>
  <si>
    <t>BQ50530821</t>
  </si>
  <si>
    <t>BQ50898383</t>
  </si>
  <si>
    <t>0228737 CRCA DE L ANJOU ET DU M CRCA DE L ANJOU ET DU MAINE FR02ZZZ437638 SEPA VPRDS HOME SOLUTIONS PACIFICA87902287372P PACIFICA87902287372P CREDIT AGRICOLE ASSURANCE MULTIRISQUE PRO -ECHEANCE 03/202</t>
  </si>
  <si>
    <t>BQ51036942</t>
  </si>
  <si>
    <t>BQ51156944</t>
  </si>
  <si>
    <t>BQ51156940</t>
  </si>
  <si>
    <t xml:space="preserve">10002460003 05/03/25 INTERETS </t>
  </si>
  <si>
    <t>BQ51156941</t>
  </si>
  <si>
    <t xml:space="preserve">10002460003 05/03/25 CAPITAL </t>
  </si>
  <si>
    <t>BQ51156942</t>
  </si>
  <si>
    <t xml:space="preserve">10002460004 05/03/25 INTERETS </t>
  </si>
  <si>
    <t>BQ51156943</t>
  </si>
  <si>
    <t xml:space="preserve">10002460004 05/03/25 CAPITAL </t>
  </si>
  <si>
    <t>BQ51392578</t>
  </si>
  <si>
    <t>BQ51610783</t>
  </si>
  <si>
    <t xml:space="preserve">ACM IARD SA ACM IARD SA FR74ZZZ008087 SEPA VPRDS HOME SOLUTIONS 283774394 ACM---2500000----BFC140------------ AUTOMOBILE - PRO AA11348581 GI20230105163016063084 RCUR FR7617906001129641663834646 </t>
  </si>
  <si>
    <t>BQ51610784</t>
  </si>
  <si>
    <t xml:space="preserve">ACM IARD SA ACM IARD SA FR74ZZZ008087 SEPA VPRDS HOME SOLUTIONS 283774394 ACM---2500000----BFC140------------ AUTOMOBILE - PRO AA11313754 GI20220916170507989638 RCUR FR7617906001129641663834646 </t>
  </si>
  <si>
    <t>BQ51736692</t>
  </si>
  <si>
    <t>BQ52705300</t>
  </si>
  <si>
    <t>BQ53163240</t>
  </si>
  <si>
    <t>BQ53163238</t>
  </si>
  <si>
    <t>0225429 CRCA DE L ANJOU ET DU M CRCA DE L ANJOU ET DU MAINE FR02ZZZ437638 SEPA VPRDS HOME SOLUTIONS PACIFICA87902254292P PACIFICA87902254292P CREDIT AGRICOLE ASSURANCE MULTIRISQUE PRO -ECHEANCE 04/202</t>
  </si>
  <si>
    <t>BQ53387114</t>
  </si>
  <si>
    <t>BQ53521786</t>
  </si>
  <si>
    <t>BQ53627853</t>
  </si>
  <si>
    <t>BQ53627854</t>
  </si>
  <si>
    <t>BQ53627848</t>
  </si>
  <si>
    <t xml:space="preserve">10002460003 05/04/25 INTERETS </t>
  </si>
  <si>
    <t>BQ53627849</t>
  </si>
  <si>
    <t xml:space="preserve">10002460003 05/04/25 CAPITAL </t>
  </si>
  <si>
    <t>BQ53627850</t>
  </si>
  <si>
    <t xml:space="preserve">10002460004 05/04/25 INTERETS </t>
  </si>
  <si>
    <t>BQ53627851</t>
  </si>
  <si>
    <t xml:space="preserve">10002460004 05/04/25 CAPITAL </t>
  </si>
  <si>
    <t>BQ53766725</t>
  </si>
  <si>
    <t>BQ54247337</t>
  </si>
  <si>
    <t xml:space="preserve">ACM IARD SA ACM IARD SA FR74ZZZ008087 SEPA VPRDS HOME SOLUTIONS 286187793 ACM---2500000----BFC140------------ AUTOMOBILE - PRO AA11313754 GI20220916170507989638 RCUR FR7617906001129641663834646 </t>
  </si>
  <si>
    <t>BQ54247338</t>
  </si>
  <si>
    <t xml:space="preserve">ACM IARD SA ACM IARD SA FR74ZZZ008087 SEPA VPRDS HOME SOLUTIONS 286187793 ACM---2500000----BFC140------------ AUTOMOBILE - PRO AA11655193 GI20250328151622158466 RCUR FR7617906001129641663834646 </t>
  </si>
  <si>
    <t>BQ54247339</t>
  </si>
  <si>
    <t xml:space="preserve">ACM IARD SA ACM IARD SA FR74ZZZ008087 SEPA VPRDS HOME SOLUTIONS 286191809 ACM---2500000----BFC140------------ AUTOMOBILE - PRO AA11348581 GI20230105163016063084 RCUR FR7617906001129641663834646 </t>
  </si>
  <si>
    <t>BQ55522759</t>
  </si>
  <si>
    <t xml:space="preserve">CARTE X7179 CASTORAMA      29/0 </t>
  </si>
  <si>
    <t>BQ55740428</t>
  </si>
  <si>
    <t>BQ55740426</t>
  </si>
  <si>
    <t>0221664 CRCA DE L ANJOU ET DU M CRCA DE L ANJOU ET DU MAINE FR02ZZZ437638 SEPA VPRDS HOME SOLUTIONS PACIFICA87902216642P PACIFICA87902216642P CREDIT AGRICOLE ASSURANCE MULTIRISQUE PRO -ECHEANCE 05/202</t>
  </si>
  <si>
    <t>BQ56033751</t>
  </si>
  <si>
    <t xml:space="preserve">10002460003 05/05/25 INTERETS </t>
  </si>
  <si>
    <t>BQ56033752</t>
  </si>
  <si>
    <t xml:space="preserve">10002460003 05/05/25 CAPITAL </t>
  </si>
  <si>
    <t>BQ56033753</t>
  </si>
  <si>
    <t xml:space="preserve">10002460004 05/05/25 INTERETS </t>
  </si>
  <si>
    <t>BQ56033754</t>
  </si>
  <si>
    <t xml:space="preserve">10002460004 05/05/25 CAPITAL </t>
  </si>
  <si>
    <t>BQ56033756</t>
  </si>
  <si>
    <t>BQ56156935</t>
  </si>
  <si>
    <t>BQ56454207</t>
  </si>
  <si>
    <t>BQ56565444</t>
  </si>
  <si>
    <t xml:space="preserve">ACM IARD SA ACM IARD SA FR74ZZZ008087 SEPA VPRDS HOME SOLUTIONS 288366635 ACM---2500000----BFC140------------ AUTOMOBILE - PRO AA11666872 GI20250429095702227450 RCUR FR7617906001129641663834646 </t>
  </si>
  <si>
    <t>BQ56565445</t>
  </si>
  <si>
    <t xml:space="preserve">ACM IARD SA ACM IARD SA FR74ZZZ008087 SEPA VPRDS HOME SOLUTIONS 288367125 ACM---2500000----BFC140------------ AUTOMOBILE - PRO AA11348581 GI20230105163016063084 RCUR FR7617906001129641663834646 </t>
  </si>
  <si>
    <t>BQ56565446</t>
  </si>
  <si>
    <t xml:space="preserve">ACM IARD SA ACM IARD SA FR74ZZZ008087 SEPA VPRDS HOME SOLUTIONS 288366635 ACM---2500000----BFC140------------ AUTOMOBILE - PRO AA11313754 GI20220916170507989638 RCUR FR7617906001129641663834646 </t>
  </si>
  <si>
    <t>BQ56565447</t>
  </si>
  <si>
    <t xml:space="preserve">ACM IARD SA ACM IARD SA FR74ZZZ008087 SEPA VPRDS HOME SOLUTIONS 288366635 ACM---2500000----BFC140------------ AUTOMOBILE - PRO AA11655193 GI20250328151622158466 RCUR FR7617906001129641663834646 </t>
  </si>
  <si>
    <t>BQ57024893</t>
  </si>
  <si>
    <t>BQ57120346</t>
  </si>
  <si>
    <t>BQ57917559</t>
  </si>
  <si>
    <t>BQ58013127</t>
  </si>
  <si>
    <t>BQ58013126</t>
  </si>
  <si>
    <t>0226822 CRCA DE L ANJOU ET DU M CRCA DE L ANJOU ET DU MAINE FR02ZZZ437638 SEPA VPRDS HOME SOLUTIONS PACIFICA87902268222P PACIFICA87902268222P CREDIT AGRICOLE ASSURANCE MULTIRISQUE PRO -ECHEANCE 06/202</t>
  </si>
  <si>
    <t>BQ58163728</t>
  </si>
  <si>
    <t>BQ58275080</t>
  </si>
  <si>
    <t>BQ58409310</t>
  </si>
  <si>
    <t xml:space="preserve">10002460003 05/06/25 INTERETS </t>
  </si>
  <si>
    <t>BQ58409311</t>
  </si>
  <si>
    <t xml:space="preserve">10002460003 05/06/25 CAPITAL </t>
  </si>
  <si>
    <t>BQ58409312</t>
  </si>
  <si>
    <t xml:space="preserve">10002460004 05/06/25 INTERETS </t>
  </si>
  <si>
    <t>BQ58409313</t>
  </si>
  <si>
    <t xml:space="preserve">10002460004 05/06/25 CAPITAL </t>
  </si>
  <si>
    <t>BQ58726361</t>
  </si>
  <si>
    <t>BQ58989591</t>
  </si>
  <si>
    <t xml:space="preserve">ACM IARD SA ACM IARD SA FR74ZZZ008087 SEPA VPRDS HOME SOLUTIONS 290660747 ACM---2500000----BFC140------------ AUTOMOBILE - PRO AA11655193 GI20250328151622158466 RCUR FR7617906001129641663834646 </t>
  </si>
  <si>
    <t>BQ58989592</t>
  </si>
  <si>
    <t xml:space="preserve">ACM IARD SA ACM IARD SA FR74ZZZ008087 SEPA VPRDS HOME SOLUTIONS 290660753 ACM---2500000----BFC140------------ AUTOMOBILE - PRO AA11348581 GI20230105163016063084 RCUR FR7617906001129641663834646 </t>
  </si>
  <si>
    <t>BQ58989593</t>
  </si>
  <si>
    <t xml:space="preserve">ACM IARD SA ACM IARD SA FR74ZZZ008087 SEPA VPRDS HOME SOLUTIONS 290661412 ACM---2500000----BFC140------------ AUTOMOBILE - PRO AA11666872 GI20250429095702227450 RCUR FR7617906001129641663834646 </t>
  </si>
  <si>
    <t>BQ58989594</t>
  </si>
  <si>
    <t xml:space="preserve">ACM IARD SA ACM IARD SA FR74ZZZ008087 SEPA VPRDS HOME SOLUTIONS 290660753 ACM---2500000----BFC140------------ AUTOMOBILE - PRO AA11313754 GI20220916170507989638 RCUR FR7617906001129641663834646 </t>
  </si>
  <si>
    <t>BQ59735064</t>
  </si>
  <si>
    <t xml:space="preserve">DIALLO MOUSTAPHA M.OU MME DIALLO MOUSTAPHA S.A.S. VPRDS HOME SOLUTIONS AGRIFRPP879 EUR200000004280935 FR7617906001129641663834646 </t>
  </si>
  <si>
    <t>BQ60719876</t>
  </si>
  <si>
    <t>BQ60719877</t>
  </si>
  <si>
    <t>BQ60719875</t>
  </si>
  <si>
    <t>0222569 CRCA DE L ANJOU ET DU M CRCA DE L ANJOU ET DU MAINE FR02ZZZ437638 SEPA VPRDS HOME SOLUTIONS PACIFICA87902225692P PACIFICA87902225692P CREDIT AGRICOLE ASSURANCE MULTIRISQUE PRO -ECHEANCE 07/202</t>
  </si>
  <si>
    <t>BQ60977124</t>
  </si>
  <si>
    <t>BQ61261121</t>
  </si>
  <si>
    <t xml:space="preserve">10002460003 05/07/25 INTERETS </t>
  </si>
  <si>
    <t>BQ61261122</t>
  </si>
  <si>
    <t xml:space="preserve">10002460003 05/07/25 CAPITAL </t>
  </si>
  <si>
    <t>BQ61261123</t>
  </si>
  <si>
    <t xml:space="preserve">10002460004 05/07/25 INTERETS </t>
  </si>
  <si>
    <t>BQ61261124</t>
  </si>
  <si>
    <t xml:space="preserve">10002460004 05/07/25 CAPITAL </t>
  </si>
  <si>
    <t>BQ61396055</t>
  </si>
  <si>
    <t>BQ62125331</t>
  </si>
  <si>
    <t xml:space="preserve">ACM IARD SA ACM IARD SA FR74ZZZ008087 SEPA VPRDS HOME SOLUTIONS 293056716 ACM---2500000----BFC140------------ AUTOMOBILE - PRO AA11655193 GI20250328151622158466 RCUR FR7617906001129641663834646 </t>
  </si>
  <si>
    <t>BQ62125332</t>
  </si>
  <si>
    <t xml:space="preserve">ACM IARD SA ACM IARD SA FR74ZZZ008087 SEPA VPRDS HOME SOLUTIONS 293058944 ACM---2500000----BFC140------------ AUTOMOBILE - PRO AA11348581 GI20230105163016063084 RCUR FR7617906001129641663834646 </t>
  </si>
  <si>
    <t>BQ62125333</t>
  </si>
  <si>
    <t xml:space="preserve">ACM IARD SA ACM IARD SA FR74ZZZ008087 SEPA VPRDS HOME SOLUTIONS 293056716 ACM---2500000----BFC140------------ AUTOMOBILE - PRO AA11313754 GI20220916170507989638 RCUR FR7617906001129641663834646 </t>
  </si>
  <si>
    <t>BQ62125334</t>
  </si>
  <si>
    <t xml:space="preserve">ACM IARD SA ACM IARD SA FR74ZZZ008087 SEPA VPRDS HOME SOLUTIONS 293056435 ACM---2500000----BFC140------------ AUTOMOBILE - PRO AA11666872 GI20250429095702227450 RCUR FR7617906001129641663834646 </t>
  </si>
  <si>
    <t>BQ62956358</t>
  </si>
  <si>
    <t>BQ63525017</t>
  </si>
  <si>
    <t>BQ63828377</t>
  </si>
  <si>
    <t>BQ63828376</t>
  </si>
  <si>
    <t>0229108 CRCA DE L ANJOU ET DU M CRCA DE L ANJOU ET DU MAINE FR02ZZZ437638 SEPA VPRDS HOME SOLUTIONS PACIFICA87902291082P PACIFICA87902291082P CREDIT AGRICOLE ASSURANCE MULTIRISQUE PRO -ECHEANCE 08/202</t>
  </si>
  <si>
    <t>BQ64092180</t>
  </si>
  <si>
    <t>BQ64092175</t>
  </si>
  <si>
    <t xml:space="preserve">10002460003 05/08/25 INTERETS </t>
  </si>
  <si>
    <t>BQ64092176</t>
  </si>
  <si>
    <t xml:space="preserve">10002460003 05/08/25 CAPITAL </t>
  </si>
  <si>
    <t>BQ64092177</t>
  </si>
  <si>
    <t xml:space="preserve">10002460004 05/08/25 INTERETS </t>
  </si>
  <si>
    <t>BQ64092178</t>
  </si>
  <si>
    <t xml:space="preserve">10002460004 05/08/25 CAPITAL </t>
  </si>
  <si>
    <t>BQ64286222</t>
  </si>
  <si>
    <t>BQ64606657</t>
  </si>
  <si>
    <t xml:space="preserve">ACM IARD SA ACM IARD SA FR74ZZZ008087 SEPA VPRDS HOME SOLUTIONS 295284515 ACM---2500000----BFC140------------ AUTOMOBILE - PRO AA11348581 GI20230105163016063084 RCUR FR7617906001129641663834646 </t>
  </si>
  <si>
    <t>BQ64606658</t>
  </si>
  <si>
    <t xml:space="preserve">ACM IARD SA ACM IARD SA FR74ZZZ008087 SEPA VPRDS HOME SOLUTIONS 295284520 ACM---2500000----BFC140------------ AUTOMOBILE - PRO AA11313754 GI20220916170507989638 RCUR FR7617906001129641663834646 </t>
  </si>
  <si>
    <t>BQ64606659</t>
  </si>
  <si>
    <t xml:space="preserve">ACM IARD SA ACM IARD SA FR74ZZZ008087 SEPA VPRDS HOME SOLUTIONS 295284520 ACM---2500000----BFC140------------ AUTOMOBILE - PRO AA11666872 GI20250429095702227450 RCUR FR7617906001129641663834646 </t>
  </si>
  <si>
    <t>BQ64606660</t>
  </si>
  <si>
    <t xml:space="preserve">ACM IARD SA ACM IARD SA FR74ZZZ008087 SEPA VPRDS HOME SOLUTIONS 295284404 ACM---2500000----BFC140------------ AUTOMOBILE - PRO AA11655193 GI20250328151622158466 RCUR FR7617906001129641663834646 </t>
  </si>
  <si>
    <t>BQ64787335</t>
  </si>
  <si>
    <t xml:space="preserve">VIR PAYS DELA LOIRE 00494059A1F PAYS DELA LOIRE VPRDS HOME SOLUTIO FRANCE TRAVAIL PAYS DELA LOIRE BESNARD 00494059A1F CMCIFRPPCOR EUR200000000210000 </t>
  </si>
  <si>
    <t>BQ65951118</t>
  </si>
  <si>
    <t>BQ66094723</t>
  </si>
  <si>
    <t>BQ66205081</t>
  </si>
  <si>
    <t>BQ66504497</t>
  </si>
  <si>
    <t xml:space="preserve">10002460003 05/09/25 INTERETS </t>
  </si>
  <si>
    <t>BQ66504498</t>
  </si>
  <si>
    <t xml:space="preserve">10002460003 05/09/25 CAPITAL </t>
  </si>
  <si>
    <t>BQ66504499</t>
  </si>
  <si>
    <t xml:space="preserve">10002460004 05/09/25 INTERETS </t>
  </si>
  <si>
    <t>BQ66504500</t>
  </si>
  <si>
    <t xml:space="preserve">10002460004 05/09/25 CAPITAL </t>
  </si>
  <si>
    <t>BQ66754114</t>
  </si>
  <si>
    <t>BQ66905034</t>
  </si>
  <si>
    <t xml:space="preserve">VIR ACM IARD SA RMS252521312776 ACM IARD SA VPRDS HOME SOLUTIONS AUTOMOBILE - PRO AA11313754 RMS25252131277681GI CMCIFR2AXXX EUR200000000035729 </t>
  </si>
  <si>
    <t>BQ67048037</t>
  </si>
  <si>
    <t xml:space="preserve">ACM IARD SA ACM IARD SA FR74ZZZ008087 SEPA VPRDS HOME SOLUTIONS 297454489 ACM---2500000----BFC140------------ AUTOMOBILE - PRO AA11666872 GI20250429095702227450 RCUR FR7617906001129641663834646 </t>
  </si>
  <si>
    <t>BQ67048038</t>
  </si>
  <si>
    <t xml:space="preserve">ACM IARD SA ACM IARD SA FR74ZZZ008087 SEPA VPRDS HOME SOLUTIONS 297454489 ACM---2500000----BFC140------------ AUTOMOBILE - PRO AA11348581 GI20230105163016063084 RCUR FR7617906001129641663834646 </t>
  </si>
  <si>
    <t>BQ67048039</t>
  </si>
  <si>
    <t xml:space="preserve">ACM IARD SA ACM IARD SA FR74ZZZ008087 SEPA VPRDS HOME SOLUTIONS 297451240 ACM---2500000----BFC140------------ AUTOMOBILE - PRO AA11655193 GI20250328151622158466 RCUR FR7617906001129641663834646 </t>
  </si>
  <si>
    <t>BQ67532807</t>
  </si>
  <si>
    <t>VIR ASP AGENCE COMPTABLE 1D0750 ASP AGENCE COMPTABLE S.A.S. VPRDS HOME SOLUTI VPRDS HOME SOLUTIONS 154020448 AUEA AUEA04108563080 MINISTERE DU TRAVAIL AIDE UNIQUE APPREN TI VPRDS HOME SOLUTIONS 1D0750</t>
  </si>
  <si>
    <t>BQ67594268</t>
  </si>
  <si>
    <t>BQ68383940</t>
  </si>
  <si>
    <t xml:space="preserve">VIR INST VERS COMPTE PRO CIC S.A.S. VPRDS HOME SOLUTIONS COMPTE PRO CIC 930079E5D50444DD80EA528480D08976 FR7630047142080002084530193 </t>
  </si>
  <si>
    <t>BQ68618042</t>
  </si>
  <si>
    <t>BQ68781794</t>
  </si>
  <si>
    <t>BQ68929007</t>
  </si>
  <si>
    <t>BQ68929008</t>
  </si>
  <si>
    <t>BQ69142538</t>
  </si>
  <si>
    <t>BQ69291950</t>
  </si>
  <si>
    <t>BQ69470123</t>
  </si>
  <si>
    <t xml:space="preserve">10002460003 05/10/25 INTERETS </t>
  </si>
  <si>
    <t>BQ69470124</t>
  </si>
  <si>
    <t xml:space="preserve">10002460003 05/10/25 CAPITAL </t>
  </si>
  <si>
    <t>BQ69470125</t>
  </si>
  <si>
    <t xml:space="preserve">10002460004 05/10/25 INTERETS </t>
  </si>
  <si>
    <t>BQ69470126</t>
  </si>
  <si>
    <t xml:space="preserve">10002460004 05/10/25 CAPITAL </t>
  </si>
  <si>
    <t>WEB NADEGE BOUQUET NOTE DE FRAI S.A.S. VPRDS HOME SOLUTIONS NADEGE BOUQUET NOTE DE FRAIS - N BOUQUET - SEPT 25 NOTE DE FRAIS - MIKIT - SEPT 25 AGRIFRPP879 EUR200000000020182 FR761444500400043925071760</t>
  </si>
  <si>
    <t>BQ69470127</t>
  </si>
  <si>
    <t>BQ69614541</t>
  </si>
  <si>
    <t>BQ69614548</t>
  </si>
  <si>
    <t xml:space="preserve">VIR INST VERS VPRDS BPGO S.A.S. VPRDS HOME SOLUTIONS VPRDS BPGO OUVERTURE COMPTE OUVERTURE COMPTE 37C38AF911DE4F7E876E4728782FFF6B FR7613807007453492142108639 </t>
  </si>
  <si>
    <t>BQ70034769</t>
  </si>
  <si>
    <t xml:space="preserve">ACM IARD SA ACM IARD SA FR74ZZZ008087 SEPA VPRDS HOME SOLUTIONS 299791995 ACM---2500000----BFC140------------ AUTOMOBILE - PRO AA11655193 GI20250328151622158466 RCUR FR7617906001129641663834646 </t>
  </si>
  <si>
    <t>BQ70034770</t>
  </si>
  <si>
    <t xml:space="preserve">ACM IARD SA ACM IARD SA FR74ZZZ008087 SEPA VPRDS HOME SOLUTIONS 299791995 ACM---2500000----BFC140------------ AUTOMOBILE - PRO AA11666872 GI20250429095702227450 RCUR FR7617906001129641663834646 </t>
  </si>
  <si>
    <t>BQ70034771</t>
  </si>
  <si>
    <t xml:space="preserve">ACM IARD SA ACM IARD SA FR74ZZZ008087 SEPA VPRDS HOME SOLUTIONS 299793991 ACM---2500000----BFC140------------ AUTOMOBILE - PRO AA11348581 GI20230105163016063084 RCUR FR7617906001129641663834646 </t>
  </si>
  <si>
    <t>BQ70034773</t>
  </si>
  <si>
    <t>BQ70034774</t>
  </si>
  <si>
    <t>BQ71673288</t>
  </si>
  <si>
    <t>BQ71901767</t>
  </si>
  <si>
    <t>BQ72035713</t>
  </si>
  <si>
    <t>BQ72035714</t>
  </si>
  <si>
    <t>BQ72207130</t>
  </si>
  <si>
    <t>BQ72372588</t>
  </si>
  <si>
    <t>BQ72372582</t>
  </si>
  <si>
    <t xml:space="preserve">10002460003 05/11/25 INTERETS </t>
  </si>
  <si>
    <t>BQ72372583</t>
  </si>
  <si>
    <t xml:space="preserve">10002460003 05/11/25 CAPITAL </t>
  </si>
  <si>
    <t>BQ72372584</t>
  </si>
  <si>
    <t xml:space="preserve">10002460004 05/11/25 INTERETS </t>
  </si>
  <si>
    <t>BQ72372585</t>
  </si>
  <si>
    <t xml:space="preserve">10002460004 05/11/25 CAPITAL </t>
  </si>
  <si>
    <t>BQ72372589</t>
  </si>
  <si>
    <t>VIR ASP AGENCE COMPTABLE 1D0750 ASP AGENCE COMPTABLE S.A.S. VPRDS HOME SOLUTI VPRDS HOME SOLUTIONS 155176555 AUEA AUEA04108563080 MINISTERE DU TRAVAIL AIDE UNIQUE APPREN TI VPRDS HOME SOLUTIONS 1D0750</t>
  </si>
  <si>
    <t>BQ72713398</t>
  </si>
  <si>
    <t>BQ72826836</t>
  </si>
  <si>
    <t>BQ73014511</t>
  </si>
  <si>
    <t xml:space="preserve">ACM IARD SA ACM IARD SA FR74ZZZ008087 SEPA VPRDS HOME SOLUTIONS 302086185 ACM---2500000----BFC140------------ AUTOMOBILE - PRO AA11655193 GI20250328151622158466 RCUR FR7617906001129641663834646 </t>
  </si>
  <si>
    <t>BQ73014513</t>
  </si>
  <si>
    <t xml:space="preserve">ACM IARD SA ACM IARD SA FR74ZZZ008087 SEPA VPRDS HOME SOLUTIONS 302080037 ACM---2500000----BFC140------------ AUTOMOBILE - PRO AA11348581 GI20230105163016063084 RCUR FR7617906001129641663834646 </t>
  </si>
  <si>
    <t>BQ73014514</t>
  </si>
  <si>
    <t xml:space="preserve">ACM IARD SA ACM IARD SA FR74ZZZ008087 SEPA VPRDS HOME SOLUTIONS 302080037 ACM---2500000----BFC140------------ AUTOMOBILE - PRO AA11666872 GI20250429095702227450 RCUR FR7617906001129641663834646 </t>
  </si>
  <si>
    <t>BQ73325770</t>
  </si>
  <si>
    <t xml:space="preserve">CARTE X7179 AMAZON PAYMENT 13/1 </t>
  </si>
  <si>
    <t>BQ73592035</t>
  </si>
  <si>
    <t xml:space="preserve">VIR INST VERS LE MANS COUNTRY C </t>
  </si>
  <si>
    <t>BQ73592036</t>
  </si>
  <si>
    <t xml:space="preserve">WEB LE MANS COUNTRY CLUB ACOMPT S.A.S. VPRDS HOME SOLUTIONS LE MANS COUNTRY CLUB ACOMPTE DEVIS 079980 ACOMPTE LE MANS COUNTRY CLUB AGRIFRPP879 EUR200000000026250 FR7630003030990002001678832 </t>
  </si>
  <si>
    <t xml:space="preserve">JOURNAUX MELANIE OU MADAME JOURNAUX MELANIE OU S.A.S. VPRDS HOME SOLUTIONS AGRIFRPP879 EUR200000005155365 FR7617906001129641663834646 </t>
  </si>
  <si>
    <t>BQ75080066</t>
  </si>
  <si>
    <t>BQ75254113</t>
  </si>
  <si>
    <t>BQ75378725</t>
  </si>
  <si>
    <t>VIR ASP AGENCE COMPTABLE 1D0750 ASP AGENCE COMPTABLE S.A.S. VPRDS HOME SOLUTI VPRDS HOME SOLUTIONS 155941470 AUEA AUEA04108563080 MINISTERE DU TRAVAIL AIDE UNIQUE APPREN TI VPRDS HOME SOLUTIONS 1D0750</t>
  </si>
  <si>
    <t>BQ75668115</t>
  </si>
  <si>
    <t xml:space="preserve">10002460003 05/12/25 INTERETS </t>
  </si>
  <si>
    <t>BQ75668116</t>
  </si>
  <si>
    <t xml:space="preserve">10002460003 05/12/25 CAPITAL </t>
  </si>
  <si>
    <t>BQ75668117</t>
  </si>
  <si>
    <t xml:space="preserve">10002460004 05/12/25 INTERETS </t>
  </si>
  <si>
    <t>BQ75668118</t>
  </si>
  <si>
    <t xml:space="preserve">10002460004 05/12/25 CAPITAL </t>
  </si>
  <si>
    <t>BQ75949112</t>
  </si>
  <si>
    <t>BQ76260083</t>
  </si>
  <si>
    <t xml:space="preserve">ACM IARD SA ACM IARD SA FR74ZZZ008087 SEPA VPRDS HOME SOLUTIONS 304437480 ACM---2500000----BFC140------------ AUTOMOBILE - PRO AA11666872 GI20250429095702227450 RCUR FR7617906001129641663834646 </t>
  </si>
  <si>
    <t>BQ76260084</t>
  </si>
  <si>
    <t xml:space="preserve">ACM IARD SA ACM IARD SA FR74ZZZ008087 SEPA VPRDS HOME SOLUTIONS 304437480 ACM---2500000----BFC140------------ AUTOMOBILE - PRO AA11655193 GI20250328151622158466 RCUR FR7617906001129641663834646 </t>
  </si>
  <si>
    <t>BQ76260085</t>
  </si>
  <si>
    <t xml:space="preserve">ACM IARD SA ACM IARD SA FR74ZZZ008087 SEPA VPRDS HOME SOLUTIONS 304437480 ACM---2500000----BFC140------------ AUTOMOBILE - PRO AA11348581 GI20230105163016063084 RCUR FR7617906001129641663834646 </t>
  </si>
  <si>
    <t>BQ77837614</t>
  </si>
  <si>
    <t>DIRECTION GENERALE DES FINANCES DIRECTION GENERALE DES FINANCES PUBLIQUES FR46ZZZ005002 SEPA D.G.F.I.P. IMPOT 72058 SAS VPRDS HOME SOLUTIONS 304896959 25350-5376-PSR-SDD-IMPO-02-00895196 7205891824971</t>
  </si>
  <si>
    <t>51220000000</t>
  </si>
  <si>
    <t>CIC 5301</t>
  </si>
  <si>
    <t>20251212104902</t>
  </si>
  <si>
    <t>VIR INST SAS VPRDS HOME SOLUTION</t>
  </si>
  <si>
    <t>20251212105306</t>
  </si>
  <si>
    <t>20251212105431</t>
  </si>
  <si>
    <t>DEBLOCAGE PRET</t>
  </si>
  <si>
    <t>20251212105519</t>
  </si>
  <si>
    <t>20251212105556</t>
  </si>
  <si>
    <t>20251212105636</t>
  </si>
  <si>
    <t>20251212110312</t>
  </si>
  <si>
    <t>20251212110424</t>
  </si>
  <si>
    <t>ECH PRET</t>
  </si>
  <si>
    <t>20260112114846</t>
  </si>
  <si>
    <t>20260112114909</t>
  </si>
  <si>
    <t>51230000000</t>
  </si>
  <si>
    <t>BPO 1086</t>
  </si>
  <si>
    <t>20251212111704</t>
  </si>
  <si>
    <t>VIR INST SAS VPRDS / OUVERTURE COMPTE</t>
  </si>
  <si>
    <t>20251212112409</t>
  </si>
  <si>
    <t>20251212112523</t>
  </si>
  <si>
    <t>20251212112644</t>
  </si>
  <si>
    <t>20251212112752</t>
  </si>
  <si>
    <t>20251212112843</t>
  </si>
  <si>
    <t>20251212113113</t>
  </si>
  <si>
    <t>REALISAT PRET</t>
  </si>
  <si>
    <t>20251212113130</t>
  </si>
  <si>
    <t>20251212113200</t>
  </si>
  <si>
    <t>20251212113208</t>
  </si>
  <si>
    <t>20251212113249</t>
  </si>
  <si>
    <t>20251212113304</t>
  </si>
  <si>
    <t>20251212113344</t>
  </si>
  <si>
    <t>20251212113349</t>
  </si>
  <si>
    <t>20251212113440</t>
  </si>
  <si>
    <t>20251212113510</t>
  </si>
  <si>
    <t>ECHEANCE PRET</t>
  </si>
  <si>
    <t>20251212113519</t>
  </si>
  <si>
    <t>20260112115109</t>
  </si>
  <si>
    <t>20260112115118</t>
  </si>
  <si>
    <t>20260112115125</t>
  </si>
  <si>
    <t>58000000000</t>
  </si>
  <si>
    <t>Virements internes</t>
  </si>
  <si>
    <t>581EMPRUNTS</t>
  </si>
  <si>
    <t>EMPRUNTS</t>
  </si>
  <si>
    <t>TEMPORAIRE. ÉCHÉANCE: 1/5/2025 PRÊT: EMPRUNT 20K€ PRÊTEUR: CRÉDIT AGRICOLE ANJOU MAINE</t>
  </si>
  <si>
    <t>TEMPORAIRE. ÉCHÉANCE: 1/5/2025 PRÊT: EMPRUNT 47 304€ PRÊTEUR: CRÉDIT AGRICOLE ANJOU MAINE</t>
  </si>
  <si>
    <t>TEMPORAIRE. ÉCHÉANCE: 2/5/2025 PRÊT: EMPRUNT 20K€ PRÊTEUR: CRÉDIT AGRICOLE ANJOU MAINE</t>
  </si>
  <si>
    <t>TEMPORAIRE. ÉCHÉANCE: 2/5/2025 PRÊT: EMPRUNT 47 304€ PRÊTEUR: CRÉDIT AGRICOLE ANJOU MAINE</t>
  </si>
  <si>
    <t>TEMPORAIRE. ÉCHÉANCE: 3/5/2025 PRÊT: EMPRUNT 20K€ PRÊTEUR: CRÉDIT AGRICOLE ANJOU MAINE</t>
  </si>
  <si>
    <t>TEMPORAIRE. ÉCHÉANCE: 3/5/2025 PRÊT: EMPRUNT 47 304€ PRÊTEUR: CRÉDIT AGRICOLE ANJOU MAINE</t>
  </si>
  <si>
    <t>TEMPORAIRE. ÉCHÉANCE: 4/5/2025 PRÊT: EMPRUNT 20K€ PRÊTEUR: CRÉDIT AGRICOLE ANJOU MAINE</t>
  </si>
  <si>
    <t>TEMPORAIRE. ÉCHÉANCE: 4/5/2025 PRÊT: EMPRUNT 47 304€ PRÊTEUR: CRÉDIT AGRICOLE ANJOU MAINE</t>
  </si>
  <si>
    <t>TEMPORAIRE. ÉCHÉANCE: 5/5/2025 PRÊT: EMPRUNT 20K€ PRÊTEUR: CRÉDIT AGRICOLE ANJOU MAINE</t>
  </si>
  <si>
    <t>TEMPORAIRE. ÉCHÉANCE: 5/5/2025 PRÊT: EMPRUNT 47 304€ PRÊTEUR: CRÉDIT AGRICOLE ANJOU MAINE</t>
  </si>
  <si>
    <t>TEMPORAIRE. ÉCHÉANCE: 6/5/2025 PRÊT: EMPRUNT 20K€ PRÊTEUR: CRÉDIT AGRICOLE ANJOU MAINE</t>
  </si>
  <si>
    <t>TEMPORAIRE. ÉCHÉANCE: 6/5/2025 PRÊT: EMPRUNT 47 304€ PRÊTEUR: CRÉDIT AGRICOLE ANJOU MAINE</t>
  </si>
  <si>
    <t>TEMPORAIRE. ÉCHÉANCE: 7/5/2025 PRÊT: EMPRUNT 20K€ PRÊTEUR: CRÉDIT AGRICOLE ANJOU MAINE</t>
  </si>
  <si>
    <t>TEMPORAIRE. ÉCHÉANCE: 7/5/2025 PRÊT: EMPRUNT 47 304€ PRÊTEUR: CRÉDIT AGRICOLE ANJOU MAINE</t>
  </si>
  <si>
    <t>TEMPORAIRE. ÉCHÉANCE: 8/5/2025 PRÊT: EMPRUNT 20K€ PRÊTEUR: CRÉDIT AGRICOLE ANJOU MAINE</t>
  </si>
  <si>
    <t>TEMPORAIRE. ÉCHÉANCE: 8/5/2025 PRÊT: EMPRUNT 47 304€ PRÊTEUR: CRÉDIT AGRICOLE ANJOU MAINE</t>
  </si>
  <si>
    <t>TEMPORAIRE. ÉCHÉANCE: 9/5/2025 PRÊT: EMPRUNT 20K€ PRÊTEUR: CRÉDIT AGRICOLE ANJOU MAINE</t>
  </si>
  <si>
    <t>TEMPORAIRE. ÉCHÉANCE: 9/5/2025 PRÊT: EMPRUNT 47 304€ PRÊTEUR: CRÉDIT AGRICOLE ANJOU MAINE</t>
  </si>
  <si>
    <t>TEMPORAIRE. ÉCHÉANCE: 10/5/2025 PRÊT: EMPRUNT 20K€ PRÊTEUR: CRÉDIT AGRICOLE ANJOU MAINE</t>
  </si>
  <si>
    <t>TEMPORAIRE. ÉCHÉANCE: 10/5/2025 PRÊT: EMPRUNT 47 304€ PRÊTEUR: CRÉDIT AGRICOLE ANJOU MAINE</t>
  </si>
  <si>
    <t>TEMPORAIRE. DÉBLOCAGE. PRÊT: EMPRUNT CIC 20 175 € PRÊTEUR: CIC</t>
  </si>
  <si>
    <t>TEMPORAIRE. DÉBLOCAGE. PRÊT: EMPRUNT BPGO 10 624.67 € V2 PRÊTEUR: BANQUE POPULAIRE GRAND OUEST</t>
  </si>
  <si>
    <t>TEMPORAIRE. DÉBLOCAGE. PRÊT: EMPRUNT BPGO 10K € PRÊTEUR: BANQUE POPULAIRE GRAND OUEST</t>
  </si>
  <si>
    <t>TEMPORAIRE. ÉCHÉANCE: 11/5/2025 PRÊT: EMPRUNT 20K€ PRÊTEUR: CRÉDIT AGRICOLE ANJOU MAINE</t>
  </si>
  <si>
    <t>TEMPORAIRE. ÉCHÉANCE: 11/5/2025 PRÊT: EMPRUNT 47 304€ PRÊTEUR: CRÉDIT AGRICOLE ANJOU MAINE</t>
  </si>
  <si>
    <t>TEMPORAIRE. ÉCHÉANCE: 11/5/2025 PRÊT: EMPRUNT CIC 20 175 € PRÊTEUR: CIC</t>
  </si>
  <si>
    <t>TEMPORAIRE. ÉCHÉANCE: 11/16/2025 PRÊT: EMPRUNT BPGO 10 624.67 € V2 PRÊTEUR: BANQUE POPULAIRE GRAND OUEST</t>
  </si>
  <si>
    <t>TEMPORAIRE. ÉCHÉANCE: 11/16/2025 PRÊT: EMPRUNT BPGO 10K € PRÊTEUR: BANQUE POPULAIRE GRAND OUEST</t>
  </si>
  <si>
    <t>TEMPORAIRE. ÉCHÉANCE: 12/5/2025 PRÊT: EMPRUNT 20K€ PRÊTEUR: CRÉDIT AGRICOLE ANJOU MAINE</t>
  </si>
  <si>
    <t>TEMPORAIRE. ÉCHÉANCE: 12/5/2025 PRÊT: EMPRUNT 47 304€ PRÊTEUR: CRÉDIT AGRICOLE ANJOU MAINE</t>
  </si>
  <si>
    <t>TEMPORAIRE. ÉCHÉANCE: 12/5/2025 PRÊT: EMPRUNT CIC 20 175 € PRÊTEUR: CIC</t>
  </si>
  <si>
    <t>TEMPORAIRE. ÉCHÉANCE: 12/16/2025 PRÊT: EMPRUNT BPGO 10 624.67 € V2 PRÊTEUR: BANQUE POPULAIRE GRAND OUEST</t>
  </si>
  <si>
    <t>TEMPORAIRE. ÉCHÉANCE: 12/16/2025 PRÊT: EMPRUNT BPGO 10K € PRÊTEUR: BANQUE POPULAIRE GRAND OUEST</t>
  </si>
  <si>
    <t>20260122095147</t>
  </si>
  <si>
    <t>60401000000</t>
  </si>
  <si>
    <t>SOUS TRAITANCE SUR CHANTIERS</t>
  </si>
  <si>
    <t>60410000000</t>
  </si>
  <si>
    <t>Soustraitance MIKIT</t>
  </si>
  <si>
    <t>DKV EURO SERVICE GMBH &amp; CO KG 25_644251382_00134 LITRE GAZOLE POUR VEHICULE FZ-325-SX, CLIENT ANAIS LAMARD (ID 1)</t>
  </si>
  <si>
    <t>20260206091310</t>
  </si>
  <si>
    <t>20260206135031</t>
  </si>
  <si>
    <t>20260206112725</t>
  </si>
  <si>
    <t>transfer-10-03-2026</t>
  </si>
  <si>
    <t>ASSURANCE. ÉCHÉANCE: 11/16/2025 PRÊT: EMPRUNT BPGO 10 624.67 € V2 PRÊTEUR: BANQUE POPULAIRE GRAND OUEST</t>
  </si>
  <si>
    <t>ASSURANCE. ÉCHÉANCE: 11/16/2025 PRÊT: EMPRUNT BPGO 10K € PRÊTEUR: BANQUE POPULAIRE GRAND OUEST</t>
  </si>
  <si>
    <t>ASSURANCE. ÉCHÉANCE: 12/16/2025 PRÊT: EMPRUNT BPGO 10 624.67 € V2 PRÊTEUR: BANQUE POPULAIRE GRAND OUEST</t>
  </si>
  <si>
    <t>ASSURANCE. ÉCHÉANCE: 12/16/2025 PRÊT: EMPRUNT BPGO 10K € PRÊTEUR: BANQUE POPULAIRE GRAND OUEST</t>
  </si>
  <si>
    <t>62220000000</t>
  </si>
  <si>
    <t>Commis. courtages s/ventes</t>
  </si>
  <si>
    <t>HELIOS FA_25-017 / DOSSIER MOREAU + CARDOSO</t>
  </si>
  <si>
    <t>62221100000</t>
  </si>
  <si>
    <t>STADE MARIE MARVINGT LE MANS METROPOLE 3712272 UNITÉ LE MANS FC - MONTPELLIER HSC - ZONE 314A - TARIF PLEIN (28.00 E) (ID 1)</t>
  </si>
  <si>
    <t>COMMISSION. ÉCHÉANCE: 11/16/2025 PRÊT: EMPRUNT BPGO 10 624.67 € V2 PRÊTEUR: BANQUE POPULAIRE GRAND OUEST</t>
  </si>
  <si>
    <t>COMMISSION. ÉCHÉANCE: 11/16/2025 PRÊT: EMPRUNT BPGO 10K € PRÊTEUR: BANQUE POPULAIRE GRAND OUEST</t>
  </si>
  <si>
    <t>COMMISSION. ÉCHÉANCE: 12/16/2025 PRÊT: EMPRUNT BPGO 10 624.67 € V2 PRÊTEUR: BANQUE POPULAIRE GRAND OUEST</t>
  </si>
  <si>
    <t>COMMISSION. ÉCHÉANCE: 12/16/2025 PRÊT: EMPRUNT BPGO 10K € PRÊTEUR: BANQUE POPULAIRE GRAND OUEST</t>
  </si>
  <si>
    <t>20260202144102</t>
  </si>
  <si>
    <t>20260202144131</t>
  </si>
  <si>
    <t>65100000000</t>
  </si>
  <si>
    <t>Redevances MIKIT</t>
  </si>
  <si>
    <t>65110000000</t>
  </si>
  <si>
    <t>Redevances fonct. MIKIT</t>
  </si>
  <si>
    <t>65112000000</t>
  </si>
  <si>
    <t>Redevances pub nat MIKIT</t>
  </si>
  <si>
    <t>20260204154920</t>
  </si>
  <si>
    <t>65801000000</t>
  </si>
  <si>
    <t>CHARGES DIVERSES DE GESTION COURANTE</t>
  </si>
  <si>
    <t>65802100000</t>
  </si>
  <si>
    <t>ACCORD SORTIS CHANTIER DE CLIENT</t>
  </si>
  <si>
    <t>20260204160539</t>
  </si>
  <si>
    <t>20260204155857</t>
  </si>
  <si>
    <t>INTÉRÊT. ÉCHÉANCE: 1/5/2025 PRÊT: EMPRUNT 20K€ PRÊTEUR: CRÉDIT AGRICOLE ANJOU MAINE</t>
  </si>
  <si>
    <t>INTÉRÊT. ÉCHÉANCE: 1/5/2025 PRÊT: EMPRUNT 47 304€ PRÊTEUR: CRÉDIT AGRICOLE ANJOU MAINE</t>
  </si>
  <si>
    <t>INTÉRÊT. ÉCHÉANCE: 2/5/2025 PRÊT: EMPRUNT 20K€ PRÊTEUR: CRÉDIT AGRICOLE ANJOU MAINE</t>
  </si>
  <si>
    <t>INTÉRÊT. ÉCHÉANCE: 2/5/2025 PRÊT: EMPRUNT 47 304€ PRÊTEUR: CRÉDIT AGRICOLE ANJOU MAINE</t>
  </si>
  <si>
    <t>INTÉRÊT. ÉCHÉANCE: 3/5/2025 PRÊT: EMPRUNT 20K€ PRÊTEUR: CRÉDIT AGRICOLE ANJOU MAINE</t>
  </si>
  <si>
    <t>INTÉRÊT. ÉCHÉANCE: 3/5/2025 PRÊT: EMPRUNT 47 304€ PRÊTEUR: CRÉDIT AGRICOLE ANJOU MAINE</t>
  </si>
  <si>
    <t>INTÉRÊT. ÉCHÉANCE: 4/5/2025 PRÊT: EMPRUNT 20K€ PRÊTEUR: CRÉDIT AGRICOLE ANJOU MAINE</t>
  </si>
  <si>
    <t>INTÉRÊT. ÉCHÉANCE: 4/5/2025 PRÊT: EMPRUNT 47 304€ PRÊTEUR: CRÉDIT AGRICOLE ANJOU MAINE</t>
  </si>
  <si>
    <t>INTÉRÊT. ÉCHÉANCE: 5/5/2025 PRÊT: EMPRUNT 20K€ PRÊTEUR: CRÉDIT AGRICOLE ANJOU MAINE</t>
  </si>
  <si>
    <t>INTÉRÊT. ÉCHÉANCE: 5/5/2025 PRÊT: EMPRUNT 47 304€ PRÊTEUR: CRÉDIT AGRICOLE ANJOU MAINE</t>
  </si>
  <si>
    <t>INTÉRÊT. ÉCHÉANCE: 6/5/2025 PRÊT: EMPRUNT 20K€ PRÊTEUR: CRÉDIT AGRICOLE ANJOU MAINE</t>
  </si>
  <si>
    <t>INTÉRÊT. ÉCHÉANCE: 6/5/2025 PRÊT: EMPRUNT 47 304€ PRÊTEUR: CRÉDIT AGRICOLE ANJOU MAINE</t>
  </si>
  <si>
    <t>INTÉRÊT. ÉCHÉANCE: 7/5/2025 PRÊT: EMPRUNT 20K€ PRÊTEUR: CRÉDIT AGRICOLE ANJOU MAINE</t>
  </si>
  <si>
    <t>INTÉRÊT. ÉCHÉANCE: 7/5/2025 PRÊT: EMPRUNT 47 304€ PRÊTEUR: CRÉDIT AGRICOLE ANJOU MAINE</t>
  </si>
  <si>
    <t>INTÉRÊT. ÉCHÉANCE: 8/5/2025 PRÊT: EMPRUNT 20K€ PRÊTEUR: CRÉDIT AGRICOLE ANJOU MAINE</t>
  </si>
  <si>
    <t>INTÉRÊT. ÉCHÉANCE: 8/5/2025 PRÊT: EMPRUNT 47 304€ PRÊTEUR: CRÉDIT AGRICOLE ANJOU MAINE</t>
  </si>
  <si>
    <t>INTÉRÊT. ÉCHÉANCE: 9/5/2025 PRÊT: EMPRUNT 20K€ PRÊTEUR: CRÉDIT AGRICOLE ANJOU MAINE</t>
  </si>
  <si>
    <t>INTÉRÊT. ÉCHÉANCE: 9/5/2025 PRÊT: EMPRUNT 47 304€ PRÊTEUR: CRÉDIT AGRICOLE ANJOU MAINE</t>
  </si>
  <si>
    <t>INTÉRÊT. ÉCHÉANCE: 10/5/2025 PRÊT: EMPRUNT 20K€ PRÊTEUR: CRÉDIT AGRICOLE ANJOU MAINE</t>
  </si>
  <si>
    <t>INTÉRÊT. ÉCHÉANCE: 10/5/2025 PRÊT: EMPRUNT 47 304€ PRÊTEUR: CRÉDIT AGRICOLE ANJOU MAINE</t>
  </si>
  <si>
    <t>INTÉRÊT. ÉCHÉANCE: 11/5/2025 PRÊT: EMPRUNT 20K€ PRÊTEUR: CRÉDIT AGRICOLE ANJOU MAINE</t>
  </si>
  <si>
    <t>INTÉRÊT. ÉCHÉANCE: 11/5/2025 PRÊT: EMPRUNT 47 304€ PRÊTEUR: CRÉDIT AGRICOLE ANJOU MAINE</t>
  </si>
  <si>
    <t>INTÉRÊT. ÉCHÉANCE: 11/16/2025 PRÊT: EMPRUNT BPGO 10 624.67 € V2 PRÊTEUR: BANQUE POPULAIRE GRAND OUEST</t>
  </si>
  <si>
    <t>INTÉRÊT. ÉCHÉANCE: 11/16/2025 PRÊT: EMPRUNT BPGO 10K € PRÊTEUR: BANQUE POPULAIRE GRAND OUEST</t>
  </si>
  <si>
    <t>INTÉRÊT. ÉCHÉANCE: 12/5/2025 PRÊT: EMPRUNT 20K€ PRÊTEUR: CRÉDIT AGRICOLE ANJOU MAINE</t>
  </si>
  <si>
    <t>INTÉRÊT. ÉCHÉANCE: 12/5/2025 PRÊT: EMPRUNT 47 304€ PRÊTEUR: CRÉDIT AGRICOLE ANJOU MAINE</t>
  </si>
  <si>
    <t>INTÉRÊT. ÉCHÉANCE: 12/16/2025 PRÊT: EMPRUNT BPGO 10 624.67 € V2 PRÊTEUR: BANQUE POPULAIRE GRAND OUEST</t>
  </si>
  <si>
    <t>INTÉRÊT. ÉCHÉANCE: 12/16/2025 PRÊT: EMPRUNT BPGO 10K € PRÊTEUR: BANQUE POPULAIRE GRAND OUEST</t>
  </si>
  <si>
    <t>70600500000</t>
  </si>
  <si>
    <t>PRESTATIONS SERVICES TN</t>
  </si>
  <si>
    <t>THINARD MIKIT-SERVICE COMMERCIAL-AVOIR-AVO13</t>
  </si>
  <si>
    <t>CARDOSO MIKIT-CONSEIL-AVOIR-COMMERCIAL AVO14</t>
  </si>
  <si>
    <t>70800000000</t>
  </si>
  <si>
    <t>Produits des activités annexes</t>
  </si>
  <si>
    <t>70800500000</t>
  </si>
  <si>
    <t>PRODUITS DES ACTIV. ANNEXES TN</t>
  </si>
  <si>
    <t>70830000000</t>
  </si>
  <si>
    <t>LOCATION SKODA GJ - 472 - DK</t>
  </si>
  <si>
    <t>70831000000</t>
  </si>
  <si>
    <t>FRAIS ANNEXES VEHICULES</t>
  </si>
  <si>
    <t>75800000000</t>
  </si>
  <si>
    <t>Prod divers gestion courante</t>
  </si>
  <si>
    <t>20260204161401</t>
  </si>
  <si>
    <t>Indemnités et autres produits</t>
  </si>
  <si>
    <t>ÉCART DE RÈGLEMENT - CB BMW</t>
  </si>
  <si>
    <t>75800100000</t>
  </si>
  <si>
    <t xml:space="preserve">TVA 12.2025 </t>
  </si>
  <si>
    <t>75801000000</t>
  </si>
  <si>
    <t>AIDE APPRENTIS</t>
  </si>
  <si>
    <t>75802000000</t>
  </si>
  <si>
    <t>INDEMNISATION ACCORD SORTIS CHANTIER</t>
  </si>
  <si>
    <t>76600000000</t>
  </si>
  <si>
    <t>Gains de change financiers</t>
  </si>
  <si>
    <t>Période du 01/01/2026 au 31/03/2026  (édité le 17/04/2026)</t>
  </si>
  <si>
    <t>anouveaux-01-01-2026</t>
  </si>
  <si>
    <t>ANOUVEAUX-01-01-2026</t>
  </si>
  <si>
    <t>CAPITAL AMORTI. ÉCHÉANCE: 1/5/2026 PRÊT: EMPRUNT 20K€ PRÊTEUR: CRÉDIT AGRICOLE ANJOU MAINE</t>
  </si>
  <si>
    <t>CAPITAL AMORTI. ÉCHÉANCE: 2/5/2026 PRÊT: EMPRUNT 20K€ PRÊTEUR: CRÉDIT AGRICOLE ANJOU MAINE</t>
  </si>
  <si>
    <t>CAPITAL AMORTI. ÉCHÉANCE: 3/5/2026 PRÊT: EMPRUNT 20K€ PRÊTEUR: CRÉDIT AGRICOLE ANJOU MAINE</t>
  </si>
  <si>
    <t>CAPITAL AMORTI. ÉCHÉANCE: 1/5/2026 PRÊT: EMPRUNT 47 304€ PRÊTEUR: CRÉDIT AGRICOLE ANJOU MAINE</t>
  </si>
  <si>
    <t>CAPITAL AMORTI. ÉCHÉANCE: 2/5/2026 PRÊT: EMPRUNT 47 304€ PRÊTEUR: CRÉDIT AGRICOLE ANJOU MAINE</t>
  </si>
  <si>
    <t>CAPITAL AMORTI. ÉCHÉANCE: 3/5/2026 PRÊT: EMPRUNT 47 304€ PRÊTEUR: CRÉDIT AGRICOLE ANJOU MAINE</t>
  </si>
  <si>
    <t>CAPITAL AMORTI. ÉCHÉANCE: 1/16/2026 PRÊT: EMPRUNT BPGO 10K € PRÊTEUR: BANQUE POPULAIRE GRAND OUEST</t>
  </si>
  <si>
    <t>CAPITAL AMORTI. ÉCHÉANCE: 2/16/2026 PRÊT: EMPRUNT BPGO 10K € PRÊTEUR: BANQUE POPULAIRE GRAND OUEST</t>
  </si>
  <si>
    <t>CAPITAL AMORTI. ÉCHÉANCE: 3/16/2026 PRÊT: EMPRUNT BPGO 10K € PRÊTEUR: BANQUE POPULAIRE GRAND OUEST</t>
  </si>
  <si>
    <t>CAPITAL AMORTI. ÉCHÉANCE: 1/16/2026 PRÊT: EMPRUNT BPGO 10 624.67 € V2 PRÊTEUR: BANQUE POPULAIRE GRAND OUEST</t>
  </si>
  <si>
    <t>CAPITAL AMORTI. ÉCHÉANCE: 2/16/2026 PRÊT: EMPRUNT BPGO 10 624.67 € V2 PRÊTEUR: BANQUE POPULAIRE GRAND OUEST</t>
  </si>
  <si>
    <t>CAPITAL AMORTI. ÉCHÉANCE: 3/16/2026 PRÊT: EMPRUNT BPGO 10 624.67 € V2 PRÊTEUR: BANQUE POPULAIRE GRAND OUEST</t>
  </si>
  <si>
    <t>CAPITAL AMORTI. ÉCHÉANCE: 1/5/2026 PRÊT: EMPRUNT CIC 20 175 € PRÊTEUR: CIC</t>
  </si>
  <si>
    <t>CAPITAL AMORTI. ÉCHÉANCE: 2/5/2026 PRÊT: EMPRUNT CIC 20 175 € PRÊTEUR: CIC</t>
  </si>
  <si>
    <t>CAPITAL AMORTI. ÉCHÉANCE: 3/5/2026 PRÊT: EMPRUNT CIC 20 175 € PRÊTEUR: CIC</t>
  </si>
  <si>
    <t>16260003656</t>
  </si>
  <si>
    <t>11260004215</t>
  </si>
  <si>
    <t>ml4kg0f8z4</t>
  </si>
  <si>
    <t>401BOOKING</t>
  </si>
  <si>
    <t>BOOKING.COM</t>
  </si>
  <si>
    <t>20260416093100</t>
  </si>
  <si>
    <t xml:space="preserve"> BOOKING.COM TAXE SEJOUR RGLT SUR PLACE</t>
  </si>
  <si>
    <t>402</t>
  </si>
  <si>
    <t>BQ88847994</t>
  </si>
  <si>
    <t xml:space="preserve">CARTE X7711 BOOKING.COM AMSTERD </t>
  </si>
  <si>
    <t>0046</t>
  </si>
  <si>
    <t>401CIC</t>
  </si>
  <si>
    <t>CIC ASSURANCE</t>
  </si>
  <si>
    <t>20.01.2026.000003947</t>
  </si>
  <si>
    <t>20260416083557</t>
  </si>
  <si>
    <t>COMPTE TIERS ASS - IKIA</t>
  </si>
  <si>
    <t>20260320150955</t>
  </si>
  <si>
    <t>CMI COURTAGE / VIPA IMMO</t>
  </si>
  <si>
    <t>BQ78352985</t>
  </si>
  <si>
    <t>0221141 CRCA DE L ANJOU ET DU M CRCA DE L ANJOU ET DU MAINE FR02ZZZ437638 SEPA VPRDS HOME SOLUTIONS PACIFICA87902211412P PACIFICA87902211412P CREDIT AGRICOLE ASSURANCE MULTIRISQUE PRO -ECHEANCE 01/202</t>
  </si>
  <si>
    <t>BQ82222597</t>
  </si>
  <si>
    <t>0226826 CRCA DE L ANJOU ET DU M CRCA DE L ANJOU ET DU MAINE FR02ZZZ437638 SEPA VPRDS HOME SOLUTIONS PACIFICA87902268262P PACIFICA87902268262P CREDIT AGRICOLE ASSURANCE MULTIRISQUE PRO -ECHEANCE 02/202</t>
  </si>
  <si>
    <t>BQ85718203</t>
  </si>
  <si>
    <t>0223110 CRCA DE L ANJOU ET DU M CRCA DE L ANJOU ET DU MAINE FR02ZZZ437638 SEPA VPRDS HOME SOLUTIONS PACIFICA87902231102P PACIFICA87902231102P CREDIT AGRICOLE ASSURANCE MULTIRISQUE PRO -ECHEANCE 03/202</t>
  </si>
  <si>
    <t>BQ89022099</t>
  </si>
  <si>
    <t xml:space="preserve">MKT PROMOTION MKT PROMOTION FR38ZZZ645637 SEPA VPRDS HOME SOLUTION 72AI 313047884 T260860000703895 FACT VPRDS HOME SOLUTION 72AIE RCUR FR7617906001129641663834646 </t>
  </si>
  <si>
    <t>20260416091042</t>
  </si>
  <si>
    <t>HONORAIRES MIKIT PLUQUIN - RGLT</t>
  </si>
  <si>
    <t>20260416091134</t>
  </si>
  <si>
    <t>FACTURE ST1 MIKIT PLUQUIN - RGLT</t>
  </si>
  <si>
    <t>28955</t>
  </si>
  <si>
    <t>MKT PROMOTION-TRAVAUX DU BATIMENT-FACTURE-28955</t>
  </si>
  <si>
    <t>28954</t>
  </si>
  <si>
    <t>MKT PROMOTION-TRAVAUX DU BATIMENT-FACTURE-28954</t>
  </si>
  <si>
    <t>transfer-16-04-2026</t>
  </si>
  <si>
    <t>MOREAU MIKIT - RGLT REDEVANCE</t>
  </si>
  <si>
    <t>20260416085339</t>
  </si>
  <si>
    <t>MIKIT - MOREAU - SOLDE AD3</t>
  </si>
  <si>
    <t>401MKT041</t>
  </si>
  <si>
    <t>MIKIT TOIN</t>
  </si>
  <si>
    <t>F624415</t>
  </si>
  <si>
    <t>MIKIT FRANCE-FACTURE-F624415</t>
  </si>
  <si>
    <t>401MKT042</t>
  </si>
  <si>
    <t>MIKIT VIPA IMMO</t>
  </si>
  <si>
    <t>F624414</t>
  </si>
  <si>
    <t>MIKIT FRANCE-FACTURE-F624414</t>
  </si>
  <si>
    <t>401MKT043</t>
  </si>
  <si>
    <t>MIKIT- BERNARD</t>
  </si>
  <si>
    <t>F624416</t>
  </si>
  <si>
    <t xml:space="preserve">MIKIT FRANCE-REDEVANCE PUB </t>
  </si>
  <si>
    <t>F240453</t>
  </si>
  <si>
    <t xml:space="preserve">MIKIT FRANCE-REDEVANCE NATIONALE </t>
  </si>
  <si>
    <t>20260416083819</t>
  </si>
  <si>
    <t>MIKIT IKIA - SOLDE ADF3</t>
  </si>
  <si>
    <t>BQ89022101</t>
  </si>
  <si>
    <t xml:space="preserve">WEB VINCENT PARADIS NOTE DE FRA S.A.S. VPRDS HOME SOLUTIONS VINCENT PARADIS NOTE DE FRAIS VP - MARS 26 NOTE DE FRAIS MIKIT - MARS 26 AGRIFRPP879 EUR200000000100000 FR7617906001129643379654066 </t>
  </si>
  <si>
    <t>BQ86843398</t>
  </si>
  <si>
    <t xml:space="preserve">RINGOVER RINGOVER BE39ZZZCITD000000037 SEPA MIKIT LE MANS SUD 311558658 CITISEPA090326001750110001001 RINGOVER DJ8QCM4 RCUR FR7617906001129641663834646 </t>
  </si>
  <si>
    <t>BQ78504813</t>
  </si>
  <si>
    <t>BQ82797521</t>
  </si>
  <si>
    <t>BQ86421479</t>
  </si>
  <si>
    <t>BQ86692347</t>
  </si>
  <si>
    <t>TOTALENERGIES ELECTRICITE ET GA TOTALENERGIES ELECTRICITE ET GAZ FRANCE FR03ZZZ488157 SEPA VPRDS HOME SOLUTIONS 311369563 02-221504285906-------------------- PRELEVEMENT TOTALENERGIES ELECTRICITE ET G</t>
  </si>
  <si>
    <t>121003113609</t>
  </si>
  <si>
    <t>377</t>
  </si>
  <si>
    <t>BQ86695274</t>
  </si>
  <si>
    <t xml:space="preserve">CARTE X7711 UBER  TRIP AMSTERDA </t>
  </si>
  <si>
    <t>20260320160023</t>
  </si>
  <si>
    <t>CHANTIER BERNARD - KITS</t>
  </si>
  <si>
    <t>20260320154516</t>
  </si>
  <si>
    <t>CHANTIER BERNARD / FACTURE FINALE</t>
  </si>
  <si>
    <t>20260416065139</t>
  </si>
  <si>
    <t>CHANTIER BERNARD - RECEPTION</t>
  </si>
  <si>
    <t>20260217154049</t>
  </si>
  <si>
    <t>BIGARET/CHENIOUR - ACHEVEMENT MURS</t>
  </si>
  <si>
    <t>20260416070012</t>
  </si>
  <si>
    <t>BIGARET/CHENIOUR - HORS EAU</t>
  </si>
  <si>
    <t>20260217161341</t>
  </si>
  <si>
    <t>CHANTIER CARDOSO - ACHEVEMENT MURS</t>
  </si>
  <si>
    <t>20260416070544</t>
  </si>
  <si>
    <t>CHANTIER CARDOSO - HORS EAU</t>
  </si>
  <si>
    <t>20260323084253</t>
  </si>
  <si>
    <t>CHANTIER CHAFIOL - MISE HORS D'EAU</t>
  </si>
  <si>
    <t>55</t>
  </si>
  <si>
    <t>CHANTIER CHAFIOL / FACTURE FINALE</t>
  </si>
  <si>
    <t>20260416071727</t>
  </si>
  <si>
    <t>CHANTIER CHAFIOL - KITS</t>
  </si>
  <si>
    <t>20263101</t>
  </si>
  <si>
    <t>CVP-LOCATION SUR BIEN MOBILIER OU INCORPORELS-FACTURE-20263101</t>
  </si>
  <si>
    <t>20262802</t>
  </si>
  <si>
    <t>CVP-FACTURE-20262802</t>
  </si>
  <si>
    <t>20260331</t>
  </si>
  <si>
    <t>CVP-FACTURE-20260331</t>
  </si>
  <si>
    <t>20260217155101</t>
  </si>
  <si>
    <t>CHANTIER BUTET/HUET - LIVRAISON KITS ET RAVALEMENT</t>
  </si>
  <si>
    <t>20260217155513</t>
  </si>
  <si>
    <t>HUET / BUTET FINALE CONSTRUCTION</t>
  </si>
  <si>
    <t>20260323082839</t>
  </si>
  <si>
    <t>CHANTIER HUET/BUTTET - RECEPTION</t>
  </si>
  <si>
    <t>BQ80876664</t>
  </si>
  <si>
    <t xml:space="preserve">DE M.OU MME HUGOU STEPHANE M.OU MME HUGOU STEPHANE MIKIT AGRIFRPP879 EUR200000003489304 FR7617906001129641663834646 </t>
  </si>
  <si>
    <t>20260416074919</t>
  </si>
  <si>
    <t>CHANTIER HUGOU - RECEPTION</t>
  </si>
  <si>
    <t>20260416074937</t>
  </si>
  <si>
    <t>CHANTIER HUGOU - KITS</t>
  </si>
  <si>
    <t>411IKIA</t>
  </si>
  <si>
    <t>IKIA</t>
  </si>
  <si>
    <t>BQ85956360</t>
  </si>
  <si>
    <t xml:space="preserve">FACTURE CHANTIER MADAME   IKIA MADAME IKIA TITELCHA VPRDS HOME SOLUTIONS APPEL DE FONDS MIKIT FACTURE CHANTIER AGRIFRPP879 EUR200000001883175 FR7617906001129641663834646 </t>
  </si>
  <si>
    <t>20260416082421</t>
  </si>
  <si>
    <t>IKIA - FONDATIONS</t>
  </si>
  <si>
    <t>BQ89022102</t>
  </si>
  <si>
    <t xml:space="preserve">VIR MKT PROMOTION VPRDS MKT PROMOTION VPRDS VIR ADF3 IKIA VPRDS CEPAFRPP751 EUR200000000478408 </t>
  </si>
  <si>
    <t>IKIA - ACHEVEMENTS MURS</t>
  </si>
  <si>
    <t>411MOREAU</t>
  </si>
  <si>
    <t>MOREAU</t>
  </si>
  <si>
    <t>BQ78504808</t>
  </si>
  <si>
    <t xml:space="preserve">APPEL DE FONDS   ASSURANCES   - M.OU MME MOREAU MATHIEU VPRDS HOME SOLUTIONS APPEL DE FONDS ASSURANCES - DOSSIER MOREAU AGRIFRPP879 EUR200000001160245 FR7617906001129641663834646 </t>
  </si>
  <si>
    <t>20260217164139</t>
  </si>
  <si>
    <t>CHANTIER MOREAU - ACHEVEMENT FONDATIONS</t>
  </si>
  <si>
    <t>BQ78504809</t>
  </si>
  <si>
    <t xml:space="preserve">APPEL DE FOND - OUVERTURE DE CH M.OU MME MOREAU MATHIEU VPRDS HOME SOLUTIONS APPEL DE FOND - OUVERTURE DE CHANTIER - DOSSIER MOREAU AGRIFRPP879 EUR200000002731200 FR7617906001129641663834646 </t>
  </si>
  <si>
    <t>BQ79605786</t>
  </si>
  <si>
    <t xml:space="preserve">VIR MKT PROMOTION VPRDS MKT PROMOTION VPRDS ADF3 MOREAU SLD MG SAID VPRDS CEPAFRPP751 EUR200000003005155 </t>
  </si>
  <si>
    <t>20260416084727</t>
  </si>
  <si>
    <t>CHANTIER MOREAU -  ACHEVEMENTS MURS</t>
  </si>
  <si>
    <t>20260217165930</t>
  </si>
  <si>
    <t>CHANTIER PARTAUD - ACHEVEMENT MURS</t>
  </si>
  <si>
    <t>20260217170014</t>
  </si>
  <si>
    <t>CHANTIER PARTAUD - MISE HORS D'EAU</t>
  </si>
  <si>
    <t>20260217171508</t>
  </si>
  <si>
    <t>CHANTIER PECQUEUR/TILLIET - MISE HORS D'EAU</t>
  </si>
  <si>
    <t>20260323090255</t>
  </si>
  <si>
    <t>CHANTIER PECQUEUR/TILLET - LIVRAISON DE KITS ET RAVALEMENT</t>
  </si>
  <si>
    <t>20260323091414</t>
  </si>
  <si>
    <t>CHANTIER PECQUEUR TILLIET/ FACT FINALE</t>
  </si>
  <si>
    <t>20260416090244</t>
  </si>
  <si>
    <t>CHANTIER PECQUEUR/TILLET - RECEPTION</t>
  </si>
  <si>
    <t>20260218083851</t>
  </si>
  <si>
    <t>CHANTIER PLUQUIN - MISE HORS D'EAU</t>
  </si>
  <si>
    <t>20260416090752</t>
  </si>
  <si>
    <t>CHANTIER PLUQUIN - KITS</t>
  </si>
  <si>
    <t>20260416090817</t>
  </si>
  <si>
    <t>CHANTIER PLUQUIN - RECEPTION</t>
  </si>
  <si>
    <t>20260218084546</t>
  </si>
  <si>
    <t>CHANTIER PROTIN- ACHEVEMENT DES MURS</t>
  </si>
  <si>
    <t>20260323085853</t>
  </si>
  <si>
    <t>CHANTIER PROTIN SUBRANNE - MISE HORS D'EAU</t>
  </si>
  <si>
    <t>20260121153812</t>
  </si>
  <si>
    <t>FACTURE FINALE ADAME</t>
  </si>
  <si>
    <t>20260416091652</t>
  </si>
  <si>
    <t>JOURNAUX MELANIE ACHEVEMENT MURS</t>
  </si>
  <si>
    <t>411TOIN</t>
  </si>
  <si>
    <t>CHANTIER TOIN</t>
  </si>
  <si>
    <t>BQ84405223</t>
  </si>
  <si>
    <t>M. TOIN DANIEL OU MLE TRAVAUX M M. TOIN DANIEL OU MLE VPRDS HOME SOLUTIONS TRAVAUX MR TOIN (OUVERTURE CHANTIER-ASSURANCES) TRAVAUX TOIN (OUVERTURE-ASSURANCE) AGRIFRPP879 EUR200000003041620 FR761790600</t>
  </si>
  <si>
    <t>20260320145138</t>
  </si>
  <si>
    <t>CHANTIER TOIN - ACHEVEMENT FONDATIONS</t>
  </si>
  <si>
    <t>411VIPAIMMO</t>
  </si>
  <si>
    <t>CHANTIER VIPA IMMO</t>
  </si>
  <si>
    <t>BQ82797524</t>
  </si>
  <si>
    <t xml:space="preserve">VIR VIPA IMMO ADF2 </t>
  </si>
  <si>
    <t xml:space="preserve">VIR VIPA IMMO / ADF 3 </t>
  </si>
  <si>
    <t>20260320150553</t>
  </si>
  <si>
    <t>CHANTIER VIPA IMMO - OUVERTURE CHANTIER</t>
  </si>
  <si>
    <t>01/2026 - URSSAF DES PAYS DE LA LOIRE (527000000255480022)</t>
  </si>
  <si>
    <t>01/2026 - TAXE D'APPRENTISSAGE LIBÉRATOIRE</t>
  </si>
  <si>
    <t>BQ84405220</t>
  </si>
  <si>
    <t>URSSAF PAYS DE LOIRE URSSAF PAYS DE LOIRE FR57ZZZ113735 SEPA SAS VPRDS HOME SOLUTIONS 309764260 BQE152726047072508RCUR000043108 UR 527000000255480022 JANV26535104756000160226 T113735918249715000007309</t>
  </si>
  <si>
    <t>02/2026 - URSSAF DES PAYS DE LA LOIRE (527000000255480022)</t>
  </si>
  <si>
    <t>02/2026 - TAXE D'APPRENTISSAGE LIBÉRATOIRE</t>
  </si>
  <si>
    <t>BQ87786534</t>
  </si>
  <si>
    <t xml:space="preserve">URSSAF PAYS DE LOIRE URSSAF PAYS DE LOIRE FR57ZZZ113735 SEPA SAS VPRDS HOME SOLUTIONS 312226588 T260750002830224 UR 527000000255480022 FEV 26535104756000160326 T1137359182497150000073094805340470RCUR </t>
  </si>
  <si>
    <t>03/2026 - URSSAF DES PAYS DE LA LOIRE (527000000255480022)</t>
  </si>
  <si>
    <t>03/2026 - TAXE D'APPRENTISSAGE LIBÉRATOIRE</t>
  </si>
  <si>
    <t>01/2026 - MALAKOFF HUMANIS PREVOYANCE (24106436)</t>
  </si>
  <si>
    <t>01/2026 - AESIO MUTUELLE (EX ADREA MUTUELLE) - SIÈGE (91988325)</t>
  </si>
  <si>
    <t>02/2026 - MALAKOFF HUMANIS PREVOYANCE (24106436)</t>
  </si>
  <si>
    <t>03/2026 - MALAKOFF HUMANIS PREVOYANCE (24106436)</t>
  </si>
  <si>
    <t>03/2026 - AESIO MUTUELLE (EX ADREA MUTUELLE) - SIÈGE (91988325)</t>
  </si>
  <si>
    <t>43861</t>
  </si>
  <si>
    <t>FORMATION CONTINUE</t>
  </si>
  <si>
    <t>2026-03-15-261.81</t>
  </si>
  <si>
    <t>20260416143443</t>
  </si>
  <si>
    <t>CA3 03/26</t>
  </si>
  <si>
    <t>04757-14470191-1</t>
  </si>
  <si>
    <t>20260323111332</t>
  </si>
  <si>
    <t xml:space="preserve">TVA 02.2026 </t>
  </si>
  <si>
    <t>BQ89020478</t>
  </si>
  <si>
    <t>B2B DGFIP DGFIP FR46ZZZ005002 SEPA DGFIP IMPOT VPRDS HOME SOLUTIONS 918249715 312854416 26083-5337-PSR-B2B-01-00172788 TVA1-032026-3310CA3 NN918249715DGFIP2023663364LLM8LG4O RCUR FR7617906001129641663</t>
  </si>
  <si>
    <t>16260002334</t>
  </si>
  <si>
    <t>FAC00001104</t>
  </si>
  <si>
    <t>260102060U</t>
  </si>
  <si>
    <t>MIKIT FRANCE-REDEVANCE PUB</t>
  </si>
  <si>
    <t>MIKIT FRANCE-REDEVANCE NATIONALE</t>
  </si>
  <si>
    <t>16260002723</t>
  </si>
  <si>
    <t>16260002945</t>
  </si>
  <si>
    <t>20260228</t>
  </si>
  <si>
    <t>260202107U</t>
  </si>
  <si>
    <t>TVA 02.2026 TVA DU MKT</t>
  </si>
  <si>
    <t>TVA 02.2026 ERREUR AFFECTATION CPTE DE TVA INTRA</t>
  </si>
  <si>
    <t>MB02405617</t>
  </si>
  <si>
    <t>SDCF60593535</t>
  </si>
  <si>
    <t>FAC000295</t>
  </si>
  <si>
    <t>f065346504</t>
  </si>
  <si>
    <t>F147448</t>
  </si>
  <si>
    <t>9829</t>
  </si>
  <si>
    <t>531</t>
  </si>
  <si>
    <t>FA2603-5384</t>
  </si>
  <si>
    <t>BQ86840872</t>
  </si>
  <si>
    <t>234862</t>
  </si>
  <si>
    <t>B226-004647656</t>
  </si>
  <si>
    <t>4631470</t>
  </si>
  <si>
    <t>119003268676</t>
  </si>
  <si>
    <t>137077</t>
  </si>
  <si>
    <t>140900102363</t>
  </si>
  <si>
    <t>2641</t>
  </si>
  <si>
    <t>34452</t>
  </si>
  <si>
    <t>2026-03-28-12:43:53-37.90</t>
  </si>
  <si>
    <t>F6A06742</t>
  </si>
  <si>
    <t>20260229</t>
  </si>
  <si>
    <t>46</t>
  </si>
  <si>
    <t>MME NOUDHOURATI ADAME M  EL KARIM SAID-ASSURANCE MULTIRISQUES-FACTURE-46</t>
  </si>
  <si>
    <t>20260218164250</t>
  </si>
  <si>
    <t>TVA 01.2026</t>
  </si>
  <si>
    <t>48</t>
  </si>
  <si>
    <t>MME ALEXIA HUET M  HUGO BUTET-ASSURANCE MULTIRISQUES-FACTURE-48</t>
  </si>
  <si>
    <t>50</t>
  </si>
  <si>
    <t>M  MOUSTAPHA DIALLO MME ELISA DIALLO-ASSURANCE MULTIRISQUES-FACTURE-50</t>
  </si>
  <si>
    <t>49</t>
  </si>
  <si>
    <t>DIALLO / FACT FINALE CONSTRUCTION</t>
  </si>
  <si>
    <t>52</t>
  </si>
  <si>
    <t>M  EDDY BERNARD MME REBECCA BERNARD-FACTURE-52</t>
  </si>
  <si>
    <t>54</t>
  </si>
  <si>
    <t>MME CHARLOTTE TILLIET M GREGORY PECQUEUR-FACTURE-54</t>
  </si>
  <si>
    <t>FRINV26000001573135</t>
  </si>
  <si>
    <t>MEUBLES IKEA / PQ??</t>
  </si>
  <si>
    <t>BQ80216540</t>
  </si>
  <si>
    <t>CARTE X7179 WESTOTEL LA CHAPELL/ REMB DEJA EN NDF</t>
  </si>
  <si>
    <t>FRINV26000001721322</t>
  </si>
  <si>
    <t>BQ82797522</t>
  </si>
  <si>
    <t>VIR INST VERS AESIO MUTUELLE CO S.A.S. VPRDS HOME SOLUTIONS AESIO MUTUELLE CONTENTIEUX VPRDS HOME SOLUTIONS - SOLDE VPRDS - MUTUELLE ENTREPRISE 842F74E82CBC4EBD9C156E067B0AA303 FR761426500600080041228</t>
  </si>
  <si>
    <t>BQ84021804</t>
  </si>
  <si>
    <t xml:space="preserve">CARTE X7711 APPLE.COM/BILL 13/0 </t>
  </si>
  <si>
    <t>BQ78504810</t>
  </si>
  <si>
    <t>BQ82797519</t>
  </si>
  <si>
    <t>BQ86421477</t>
  </si>
  <si>
    <t>BQ87663518</t>
  </si>
  <si>
    <t xml:space="preserve">VIR MKT PROMOTION VPRDS MKT PROMOTION VPRDS VIR SLD MG BERNARD ET PECQUEUR VPRDS CEPAFRPP751 EUR200000004288950 </t>
  </si>
  <si>
    <t>BQ88220613</t>
  </si>
  <si>
    <t xml:space="preserve">VIR MKT PROMOTION VPRDS MKT PROMOTION VPRDS VIR SDL MG PLUQUIN VPRDS CEPAFRPP751 EUR200000002860894 </t>
  </si>
  <si>
    <t>20260121155704</t>
  </si>
  <si>
    <t>MIKIT ADAME - RBT AV ASSURANCE</t>
  </si>
  <si>
    <t>20260320155112</t>
  </si>
  <si>
    <t>MIKIT BERNARD - PAIMENT SOUS-TRAITANCE</t>
  </si>
  <si>
    <t>20260320155207</t>
  </si>
  <si>
    <t>MIKIT BERNARD - HONO MIKIT</t>
  </si>
  <si>
    <t>20260320155241</t>
  </si>
  <si>
    <t>MIKIT BERNARD - REDEVANCE PUB</t>
  </si>
  <si>
    <t>20260320155549</t>
  </si>
  <si>
    <t>MIKIT BERNARD - RBT AV ASSURANCE</t>
  </si>
  <si>
    <t>20260416091006</t>
  </si>
  <si>
    <t>REDEVANCE MIKIT PLUQUIN - RGLT</t>
  </si>
  <si>
    <t>46710030</t>
  </si>
  <si>
    <t>COMPTE TIERS - IKIA</t>
  </si>
  <si>
    <t>20260217163720</t>
  </si>
  <si>
    <t>CHANTIER HUGOU - ACHEVEMENT MURS</t>
  </si>
  <si>
    <t>20260323085513</t>
  </si>
  <si>
    <t>CHANTIER HUGOU - MISE HORS D'EAU</t>
  </si>
  <si>
    <t>MIKIT HUGOU - PAIEMENT FACTURE ST1</t>
  </si>
  <si>
    <t>MIKIT HUGOU - PAIEMENT HONORAIRES MKT</t>
  </si>
  <si>
    <t>MIKIT HUGOU - PAIEMENT REDEVANCE PUB N</t>
  </si>
  <si>
    <t>HUGOU - RBT AV ASS</t>
  </si>
  <si>
    <t>20260323090624</t>
  </si>
  <si>
    <t>MIKIT PECQUEUR  - PAIEMENT ST1</t>
  </si>
  <si>
    <t>20260323090725</t>
  </si>
  <si>
    <t>MIKIT PECQUEUR  - PAIEMENT HONO MKT</t>
  </si>
  <si>
    <t>20260323090754</t>
  </si>
  <si>
    <t>MIKIT PECQUEUR  - REDEVANCE PUB</t>
  </si>
  <si>
    <t>20260323091029</t>
  </si>
  <si>
    <t>MIKIT PECQUEUR/TILLET - RBT AV ASSURANCE</t>
  </si>
  <si>
    <t>46710039</t>
  </si>
  <si>
    <t>COMPTE TIERS - MOREAU</t>
  </si>
  <si>
    <t>46710042</t>
  </si>
  <si>
    <t>COMPTE TIERS VIPA IMMO</t>
  </si>
  <si>
    <t>20260320151145</t>
  </si>
  <si>
    <t>REDEVANCE MIKIT VIPA IMMO</t>
  </si>
  <si>
    <t>VIR VIPA IMMO ASSURANCE</t>
  </si>
  <si>
    <t>BQ78893060</t>
  </si>
  <si>
    <t xml:space="preserve">VIR M CARMAGNAC KEVIN ZZ1JPO2KF M CARMAGNAC KEVIN SAS VPRDS HOME SOLUTIONS REMBOURSEMENT ZZ1JPO2KFHAC4TLWC BNPAFRPPXXX EUR200000000016700 </t>
  </si>
  <si>
    <t>BQ82797518</t>
  </si>
  <si>
    <t xml:space="preserve">VIR M CARMAGNAC KEVIN ZZ1JVT3BA M CARMAGNAC KEVIN SAS VPRDS HOME SOLUTIONS VIREMENT DE M. CARMAGNAC KEVIN ZZ1JVT3BA3NAAJMOE BNPAFRPPXXX EUR200000000016700 </t>
  </si>
  <si>
    <t>BQ86421476</t>
  </si>
  <si>
    <t xml:space="preserve">VIR M CARMAGNAC KEVIN ZZ1K1PGMS M CARMAGNAC KEVIN SAS VPRDS HOME SOLUTIONS REMBOURSEMENT LITIGES ZZ1K1PGMSMANAGI68 BNPAFRPPXXX EUR200000000016700 </t>
  </si>
  <si>
    <t>BQ86843400</t>
  </si>
  <si>
    <t xml:space="preserve">VIR INST VERS ALEXIS LECHAT S.A.S. VPRDS HOME SOLUTIONS ALEXIS LECHAT AVANCE SUBVENTION SASA AVANCE SUBVENTION SASA 8697C6859D084B22A84289D7EECB0DFD FR7615489048090006172540465 </t>
  </si>
  <si>
    <t>BQ87004798</t>
  </si>
  <si>
    <t xml:space="preserve">VIR SASA VIR SASA MANCON SASA VPRDS VIR SASA MANCON CCBPFRPPMTG EUR200000000650000 </t>
  </si>
  <si>
    <t>BQ87786535</t>
  </si>
  <si>
    <t xml:space="preserve">VIR SASA VIR SASA SOUEF SASA VPRDS VIR SASA SOUEF CCBPFRPPMTG EUR200000000310000 </t>
  </si>
  <si>
    <t>BQ88216057</t>
  </si>
  <si>
    <t xml:space="preserve">WEB CHARLOTTE SOUEF DALI AVANCE S.A.S. VPRDS HOME SOLUTIONS CHARLOTTE SOUEF DALIGAULT AVANCE SUBVENTION MIKIT AVANCE SUBVENTION MIKIT AGRIFRPP879 EUR200000000310000 FR7617906000909641318549993 </t>
  </si>
  <si>
    <t>BQ85956361</t>
  </si>
  <si>
    <t xml:space="preserve">FACTURE CHANTIER MADAME   IKIA MADAME IKIA TITELCHA VPRDS HOME SOLUTIONS APPEL DE FOND MIKIT FACTURE CHANTIER AGRIFRPP879 EUR200000000809934 FR7617906001129641663834646 </t>
  </si>
  <si>
    <t>47100000000</t>
  </si>
  <si>
    <t>COMPTE D'ATTENTE</t>
  </si>
  <si>
    <t>BQ78352989</t>
  </si>
  <si>
    <t>BQ78504814</t>
  </si>
  <si>
    <t xml:space="preserve">CARTE X7179 SPOTIFY P3E089D405 </t>
  </si>
  <si>
    <t>BQ78504820</t>
  </si>
  <si>
    <t xml:space="preserve">CARTE X7179 PPG*ELEC44 SAINT BR </t>
  </si>
  <si>
    <t>BQ79038777</t>
  </si>
  <si>
    <t>BQ79038778</t>
  </si>
  <si>
    <t xml:space="preserve">VIR INST VERS GEMY LE MANS - R S.A.S. VPRDS HOME SOLUTIONS GEMY LE MANS - R DEVIS 24002 - REPARATIONS CLIO DEVIS 24002 - CLIO FZ325SX 3073151B550445B3B1D006230F182745 FR7615489003810009473220259 </t>
  </si>
  <si>
    <t>BQ79235512</t>
  </si>
  <si>
    <t xml:space="preserve">RINGOVER RINGOVER BE39ZZZCITD000000037 SEPA MIKIT LE MANS SUD 306505101 CITISEPA080126001090110010790 RINGOVER DJ8QCM4 RCUR FR7617906001129641663834646 </t>
  </si>
  <si>
    <t>BQ79397426</t>
  </si>
  <si>
    <t>BNP PARIBAS LEASE GROUP BNP PARIBAS LEASE GROUP FR17ZZZ100196 SEPA BNP PARIBAS LEASE GROUP 00000001 VPRDS HOME SOLUTIONS VPRDS HOME SOLUTIONS 14390650 306622525 BNP PARIBAS LEASE GROUP /A1M55163/.1A1M</t>
  </si>
  <si>
    <t>BQ79397429</t>
  </si>
  <si>
    <t xml:space="preserve">CARTE X7179 SP JOURNEY AMSTERDA </t>
  </si>
  <si>
    <t>BQ79980315</t>
  </si>
  <si>
    <t>LE GROUPE LA POSTE LE GROUPE LA POSTE FR93COU111341 SEPA SAS VPRDS HOME SOLUTIONS 306958829 01-300020000717962026 FAC NFBGP260000011128 200007179626 CLT0005062047 RUMMCCOU6628270 MCCOU6628270 RCUR FR7</t>
  </si>
  <si>
    <t>BQ80216539</t>
  </si>
  <si>
    <t xml:space="preserve">CARTE X7179 TESLA CHAMBOURCY </t>
  </si>
  <si>
    <t>BQ80431530</t>
  </si>
  <si>
    <t xml:space="preserve">VIR INST VERS ALC AVOCATS S.A.S. VPRDS HOME SOLUTIONS ALC AVOCATS 2026-01-007 ALC AVOCATS 2026-01-007 ALC AVOCATS 291E1223CDF94C45B5F1D290BF8F4D03 FR7614445202000800293710686 </t>
  </si>
  <si>
    <t>BQ81109293</t>
  </si>
  <si>
    <t xml:space="preserve">CHEQUE NO 8141410 </t>
  </si>
  <si>
    <t>BQ81801234</t>
  </si>
  <si>
    <t xml:space="preserve">MKT PROMOTION MKT PROMOTION FR38ZZZ645637 SEPA VPRDS HOME SOLUTION 72AI 307961420 T260280000212871 FACT VPRDS HOME SOLUTION 72AIE RCUR FR7617906001129641663834646 </t>
  </si>
  <si>
    <t>BQ81801236</t>
  </si>
  <si>
    <t xml:space="preserve">CARTE X7711 APPLE.COM/BILL CORK </t>
  </si>
  <si>
    <t>BQ82443583</t>
  </si>
  <si>
    <t xml:space="preserve">CHEQUE NO 8141433 </t>
  </si>
  <si>
    <t>BQ82616681</t>
  </si>
  <si>
    <t>VIR INST VERS SARL SOCIETE POUR S.A.S. VPRDS HOME SOLUTIONS SARL SOCIETE POUR L AIDE SPECIALE D ACCESSI SASA RETOURS BAUJARD SALL WARNET SASA RETOURS BAUJARD SALL WARNET 5C4520CE2BAF41D19F540CA332E2C8</t>
  </si>
  <si>
    <t>BQ82616684</t>
  </si>
  <si>
    <t>VIR INST VERS CABINET LOISEAU - S.A.S. VPRDS HOME SOLUTIONS CABINET LOISEAU - GEOMETRE F2512094 - SOLDE DOSSIER 19257 F2512094 - SOLDE DOSSIER 19257 EAEAA005400A4FB0AA9A70C5EFBCCA91 FR7613807007431072</t>
  </si>
  <si>
    <t>BQ83348856</t>
  </si>
  <si>
    <t xml:space="preserve">RINGOVER RINGOVER BE39ZZZCITD000000037 SEPA MIKIT LE MANS SUD 309148487 CITISEPA090226001490110016754 RINGOVER DJ8QCM4 RCUR FR7617906001129641663834646 </t>
  </si>
  <si>
    <t>BQ83510512</t>
  </si>
  <si>
    <t xml:space="preserve">CARTE X7711 AMAZON PAYMENTS PAY </t>
  </si>
  <si>
    <t>BQ83640070</t>
  </si>
  <si>
    <t xml:space="preserve">VIR SASA VIR SASA ATTOUMANI SASA VPRDS VIR SASA ATTOUMANI CCBPFRPPMTG EUR200000000100000 </t>
  </si>
  <si>
    <t>BQ84021807</t>
  </si>
  <si>
    <t xml:space="preserve">CARTE X7711 SPOTIFY P3F56B916A </t>
  </si>
  <si>
    <t>BQ84405221</t>
  </si>
  <si>
    <t xml:space="preserve">VIR INST VERS CENTRE D AFFAIRES S.A.S. VPRDS HOME SOLUTIONS CENTRE D AFFAIRES IDF INSTITUTIONS 91824971500015 8D62BC0E92DD454CA1E1475A94D90CDB FR7630004028370001091627994 </t>
  </si>
  <si>
    <t>BQ84405222</t>
  </si>
  <si>
    <t xml:space="preserve">VIR INST VERS ADESATT S.A.S. VPRDS HOME SOLUTIONS ADESATT 260263303 0B4DDCB706994AC3BC31F0CBFAFC90EE FR7630003033830005009962344 </t>
  </si>
  <si>
    <t>BQ84688082</t>
  </si>
  <si>
    <t>VIR INST VERS SARL SOCIETE POUR S.A.S. VPRDS HOME SOLUTIONS SARL SOCIETE POUR L AIDE SPECIALE D ACCESSI SASA MACE MILLARD ATTOUMANI DELAUNAY SASA MACE MILLARD ATTOUMANI DELA BDD349D68F0441B284AFA487C7</t>
  </si>
  <si>
    <t>BQ85011534</t>
  </si>
  <si>
    <t xml:space="preserve">VIR MKT VPRDS VIR ADF3 TOIN ET SLD MG BUTET VPRDS CEPAFRPP751 EUR200000002536057 </t>
  </si>
  <si>
    <t>BQ85011536</t>
  </si>
  <si>
    <t xml:space="preserve">CARTE X7711 AMAZON EU SARL PAYL </t>
  </si>
  <si>
    <t>BQ85011537</t>
  </si>
  <si>
    <t xml:space="preserve">CHEQUE NO 8141429 </t>
  </si>
  <si>
    <t>BQ86847831</t>
  </si>
  <si>
    <t>BQ86847833</t>
  </si>
  <si>
    <t xml:space="preserve">CARTE X7711 RINGOVER 92120 MONT </t>
  </si>
  <si>
    <t>BQ85241277</t>
  </si>
  <si>
    <t xml:space="preserve">PRLV SEPA ORANGE SA VOTRE ABONNEMENT FIBRE (FACTURE </t>
  </si>
  <si>
    <t>BQ86695273</t>
  </si>
  <si>
    <t xml:space="preserve">CARTE X7711 ECTOR PARKING  6CZQ </t>
  </si>
  <si>
    <t>BQ85692931</t>
  </si>
  <si>
    <t xml:space="preserve">MIKIT FRANCE MIKIT FRANCE FR74ZZZ498131 SEPA VPRDS HOME SOLUTIONS 72AI 310484103 T260570000112467 FACTURE VPRDS HOME SOLUTIONS 72AIE RCUR FR7617906001129641663834646 </t>
  </si>
  <si>
    <t>BQ85692932</t>
  </si>
  <si>
    <t xml:space="preserve">MKT PROMOTION MKT PROMOTION FR38ZZZ645637 SEPA VPRDS HOME SOLUTION 72AI 310484103 T260570000119875 FACT VPRDS HOME SOLUTION 72AIE RCUR FR7617906001129641663834646 </t>
  </si>
  <si>
    <t>BQ85681701</t>
  </si>
  <si>
    <t xml:space="preserve">VIR INST LEBONCOIN COMPTE PRO I26V26060L000999 </t>
  </si>
  <si>
    <t>BQ85681704</t>
  </si>
  <si>
    <t xml:space="preserve">PRLV SEPA VW BANK FRANCE 25499752LL25499752LL R063638520 </t>
  </si>
  <si>
    <t>BQ85956358</t>
  </si>
  <si>
    <t xml:space="preserve">CARTE X7711 SPOTIFY P3FF0FBA2E </t>
  </si>
  <si>
    <t>BQ85956359</t>
  </si>
  <si>
    <t>REMISE CHQ 7605709 / DOSSIER JULIEN EN ANNULATION</t>
  </si>
  <si>
    <t>BQ86136278</t>
  </si>
  <si>
    <t xml:space="preserve">CARTE X7711 522104 STARBUCKS OR </t>
  </si>
  <si>
    <t>BQ86293802</t>
  </si>
  <si>
    <t xml:space="preserve">PRLV SEPA ALPHABET FRANCE FLEET OPEN </t>
  </si>
  <si>
    <t>BQ86692350</t>
  </si>
  <si>
    <t xml:space="preserve">VIR SASA SASA SERRANO-LECHAT SASA VPRDS SASA SERRANO-LECHAT CCBPFRPPMTG EUR200000000131295 </t>
  </si>
  <si>
    <t>BQ86843401</t>
  </si>
  <si>
    <t xml:space="preserve">CARTE X7711 MAILPARSER.IO EDINA </t>
  </si>
  <si>
    <t>BQ86997398</t>
  </si>
  <si>
    <t xml:space="preserve">PRLV SEPA SAS UBIFLOW ABONNEMENT MENSUEL MONO DIFFU </t>
  </si>
  <si>
    <t>BQ87265671</t>
  </si>
  <si>
    <t xml:space="preserve">CHEQUE NO 8141424 </t>
  </si>
  <si>
    <t>BQ87896633</t>
  </si>
  <si>
    <t>VIR OEM CONNERRE LECOMTE RIVIER OEM CONNERRE LECOMTE RIVIERRE SAS VPRDS HOME SOULTIONS VIR SOLDE CAUTION SALL VTE SARTHE HABITAT A SAS VPRDS HOME SOULTIONS 0720330118035 CDCGFRPPXXX EUR200000000068316</t>
  </si>
  <si>
    <t>BQ87906018</t>
  </si>
  <si>
    <t>BQ88220615</t>
  </si>
  <si>
    <t xml:space="preserve">VIR INST VERS HPLZ S.A.S. VPRDS HOME SOLUTIONS HPLZ FACTURE 25-12-1 0DE30340C396444A8800AADCE2766626 FR7630047142080002084280321 </t>
  </si>
  <si>
    <t>BQ88375723</t>
  </si>
  <si>
    <t>BQ88507995</t>
  </si>
  <si>
    <t>BQ88649828</t>
  </si>
  <si>
    <t xml:space="preserve">VIR M TRIDON LUDOVIC OU MME TRA M TRIDON LUDOVIC OU MME TRANCHAR SAS VPRDS HOME SOLUTIONS VIR. DE M TRIDON LUDOVIC OU MME TRANCHAR VIR. DE M TRIDON LUDOVIC OU MME TRA CEPAFRPP444 EUR200000000271595 </t>
  </si>
  <si>
    <t>BQ89020480</t>
  </si>
  <si>
    <t>BQ88746103</t>
  </si>
  <si>
    <t xml:space="preserve">PRLV SEPA AZUR CONSEIL </t>
  </si>
  <si>
    <t>BQ88847990</t>
  </si>
  <si>
    <t xml:space="preserve">CARTE X7711 OPENAI  CHATGPT SUB </t>
  </si>
  <si>
    <t>BQ88847993</t>
  </si>
  <si>
    <t xml:space="preserve">VIR SASA VIR SASA CHOPLIN-CLAVE SASA VPRDS VIR SASA CHOPLIN-CLAVEAU CCBPFRPPMTG EUR200000000176120 </t>
  </si>
  <si>
    <t>BQ89187731</t>
  </si>
  <si>
    <t xml:space="preserve">CARTE X7711 SHOPSYSTEM 08020 BA </t>
  </si>
  <si>
    <t>47200000000</t>
  </si>
  <si>
    <t>Comptes d'attente</t>
  </si>
  <si>
    <t>BQ79397428</t>
  </si>
  <si>
    <t>REMISE CHQ 7605719 / ACPTE DAVID ALGOURDIN SUITE LITIGE</t>
  </si>
  <si>
    <t>BQ81538838</t>
  </si>
  <si>
    <t xml:space="preserve">VIR INST VERS CMI COURTAGE S.A.S. VPRDS HOME SOLUTIONS CMI COURTAGE GR DELAUNAY MANCON BLANCHARD GR DELAUNAY MANCON BLANCHARD 1239E125F368462784B5FA30E8C70A8A FR7617515000920800235055725 </t>
  </si>
  <si>
    <t>BQ82616682</t>
  </si>
  <si>
    <t xml:space="preserve">VIR INST VERS CMI COURTAGE S.A.S. VPRDS HOME SOLUTIONS CMI COURTAGE GR CIMOLI GRENIER GR CIMOLI GRENIER EF648AFA7F0B467385381D41A319C216 FR7617515000920800235055725 </t>
  </si>
  <si>
    <t>BQ82616683</t>
  </si>
  <si>
    <t xml:space="preserve">VIR INST VERS CMI COURTAGE S.A.S. VPRDS HOME SOLUTIONS CMI COURTAGE GR MILLARD LEBEAU GR MILLARD LEBEAU A6D681A26ECC4F7C8128EA7FB24232C1 FR7617515000920800235055725 </t>
  </si>
  <si>
    <t>BQ82797523</t>
  </si>
  <si>
    <t xml:space="preserve">VIR INST VERS CMI COURTAGE S.A.S. VPRDS HOME SOLUTIONS CMI COURTAGE GR CHARLONG GR CHARLONG 5EF1F46BCEF2441B916D60000B979A6D FR7617515000920800235055725 </t>
  </si>
  <si>
    <t>BQ83042356</t>
  </si>
  <si>
    <t xml:space="preserve">VIR INST VERS CMI COURTAGE S.A.S. VPRDS HOME SOLUTIONS CMI COURTAGE GR CHEVEREAU PICHARD GR CHEVEREAU PICHARD D63DB1B41A1E4C4887C12664C0F79224 FR7617515000920800235055725 </t>
  </si>
  <si>
    <t>BQ85011538</t>
  </si>
  <si>
    <t xml:space="preserve">VIR INST VERS CMI COURTAGE S.A.S. VPRDS HOME SOLUTIONS CMI COURTAGE GR MACE GR MACE C6ED4E680FF04AC2A02CE0901A7BE95F FR7617515000920800235055725 </t>
  </si>
  <si>
    <t>BQ78352984</t>
  </si>
  <si>
    <t>VW BANK FRANCE VW BANK FRANCE FR51ZZZ487778 SEPA STE VRPDS HOME SOLUTION 305656415 01-416E53020125562025 25499752LL25499752LL R063152301 FSP416E1206460011799641F6638300 RCUR FR761790600112964166383464</t>
  </si>
  <si>
    <t>BQ78352986</t>
  </si>
  <si>
    <t xml:space="preserve">AGENCE BLVU AGENCE BLVU FR10ZZZ885E68 SEPA VPRDS HOME SOLUTIONS 305792822 T253650007116864 PRESTATIONS BLVU - DECEMBRE 2025 EDI2334917RU0000060 RCUR FR7617906001129641663834646 </t>
  </si>
  <si>
    <t>BQ78352987</t>
  </si>
  <si>
    <t>VIR ASP AGENCE COMPTABLE 1D0750 ASP AGENCE COMPTABLE S.A.S. VPRDS HOME SOLUTI VPRDS HOME SOLUTIONS 156771453 AUEA AUEA04108563080 MINISTERE DU TRAVAIL AIDE UNIQUE APPREN TI VPRDS HOME SOLUTIONS 1D0750</t>
  </si>
  <si>
    <t>BQ78352988</t>
  </si>
  <si>
    <t>BQ78504807</t>
  </si>
  <si>
    <t>BQ78504805</t>
  </si>
  <si>
    <t xml:space="preserve">ALPHABET FRANCE FLEET MANAGEMEN ALPHABET FRANCE FLEET MANAGEMENT FR70ZZZ242802 SEPA VPRDS HOME SOLUTIONS 305916585 OPEN AL00131191 RCUR FR7617906001129641663834646 </t>
  </si>
  <si>
    <t>BQ78504806</t>
  </si>
  <si>
    <t>TOTALENERGIES ELECTRICITE ET GA TOTALENERGIES ELECTRICITE ET GAZ FRANCE FR03ZZZ488157 SEPA VPRDS HOME SOLUTIONS 305895052 02-223203964129-------------------- PRELEVEMENT TOTALENERGIES ELECTRICITE ET G</t>
  </si>
  <si>
    <t>BQ78504811</t>
  </si>
  <si>
    <t>BQ78504812</t>
  </si>
  <si>
    <t>BQ78504815</t>
  </si>
  <si>
    <t xml:space="preserve">CARTE X7179 IKEA CSC E COMM PLA </t>
  </si>
  <si>
    <t>BQ78504816</t>
  </si>
  <si>
    <t xml:space="preserve">VIR INST VERS JENIFER JANDOT S.A.S. VPRDS HOME SOLUTIONS JENIFER JANDOT SALAIRE J JANDOT DECEMBRE 25 SALAIRE MIKIT DEC 25 FA77B2D5D33C4A00B7E727E582C6FCB5 FR9820041010111538798R03294 </t>
  </si>
  <si>
    <t>BQ78504817</t>
  </si>
  <si>
    <t xml:space="preserve">VIR INST VERS ROMAIN BESNARD S.A.S. VPRDS HOME SOLUTIONS ROMAIN BESNARD SALAIRE R BESNARD DEC 25 SALAIRE MIKIT DEC 25 678A0E0D46724CCC816683C0AD0DA21E FR7614445004000472479179034 </t>
  </si>
  <si>
    <t>BQ78504818</t>
  </si>
  <si>
    <t xml:space="preserve">VIR INST VERS NADEGE BOUQUET S.A.S. VPRDS HOME SOLUTIONS NADEGE BOUQUET SALAIRE N BOUQUET DEC 25 SALAIRE MIKIT DEC 25 138F432D260747D58295F7460CD8C857 FR7614445004000439250717608 </t>
  </si>
  <si>
    <t>BQ78504819</t>
  </si>
  <si>
    <t xml:space="preserve">VIR INST VERS LOGEFIM S.A.S. VPRDS HOME SOLUTIONS LOGEFIM COMPLEMENT LOYER LOGEFIM COMPLEMENT LOYER VPRDS BC566933DFF64FD6910BB322C8828FA0 FR7610207001212321605005253 </t>
  </si>
  <si>
    <t>BQ78733765</t>
  </si>
  <si>
    <t xml:space="preserve">10002460003 05/01/26 INTERETS </t>
  </si>
  <si>
    <t>BQ78733766</t>
  </si>
  <si>
    <t xml:space="preserve">10002460003 05/01/26 CAPITAL </t>
  </si>
  <si>
    <t>BQ78733767</t>
  </si>
  <si>
    <t xml:space="preserve">10002460004 05/01/26 INTERETS </t>
  </si>
  <si>
    <t>BQ78733768</t>
  </si>
  <si>
    <t xml:space="preserve">10002460004 05/01/26 CAPITAL </t>
  </si>
  <si>
    <t>BQ78733770</t>
  </si>
  <si>
    <t>BQ78733769</t>
  </si>
  <si>
    <t xml:space="preserve">LIXXBAIL LIXXBAIL FR32ZZZ159484 SEPA VPRDS HOME SOLUTIONS 305542337 EM002116895378436VM0 49867912 378436VM02023404732 RCUR FR7617906001129641663834646 </t>
  </si>
  <si>
    <t>BQ78893059</t>
  </si>
  <si>
    <t>BQ78893058</t>
  </si>
  <si>
    <t xml:space="preserve">VERISURE VERISURE FR93ZZZ324159 SEPA VINCENT PARADIS 306142311 92680843 1505118 RCUR FR7617906001129641663834646 </t>
  </si>
  <si>
    <t>BQ78893061</t>
  </si>
  <si>
    <t>BQ78893062</t>
  </si>
  <si>
    <t>BQ79038776</t>
  </si>
  <si>
    <t xml:space="preserve">CARTE X7179 PAYPAL *PEPINIERESP </t>
  </si>
  <si>
    <t>BQ79038779</t>
  </si>
  <si>
    <t xml:space="preserve">VIR INST VERS ST72 S.A.S. VPRDS HOME SOLUTIONS ST72 ADH 52712.1 - SANTE AU TRAVAIL 72 - EFFECTIF ADH 52712.1 0B7520CD2D114EBD8B13EB56DE9A8EEC FR7613807007446101902552813 </t>
  </si>
  <si>
    <t>BQ79038780</t>
  </si>
  <si>
    <t xml:space="preserve">WEB L ENCEINTE SPORTIVE FACTURE S.A.S. VPRDS HOME SOLUTIONS L ENCEINTE SPORTIVE COACHING EN ENTREPRISE FACTURE 91114 1192 AGRIFRPP879 EUR200000000180000 FR7617906001129643543481634 </t>
  </si>
  <si>
    <t>BQ79038781</t>
  </si>
  <si>
    <t>BQ79235511</t>
  </si>
  <si>
    <t xml:space="preserve">AZUR CONSEIL AZUR CONSEIL FR64ZZZ547587 SEPA S.A.S. VPRDS HOME SOLUTIONS 306333365 VPRDS 20221012A RCUR FR7617906001129641663834646 </t>
  </si>
  <si>
    <t>BQ79235513</t>
  </si>
  <si>
    <t>BQ79397427</t>
  </si>
  <si>
    <t>DKV EURO SERVICE GMB DKV EURO SERVICE GMB DE93ZZZ00000001787 SEPA VPRDS HOME SOLUTIONS 306658574 DDB260108KMVE02720900015862 OTHR /INV/648761468 31.12.2025 N00019368001 RCUR FR761790600112964166383464</t>
  </si>
  <si>
    <t>BQ79397430</t>
  </si>
  <si>
    <t xml:space="preserve">VIR INST VERS SARL MKT PROMOTIO S.A.S. VPRDS HOME SOLUTIONS SARL MKT PROMOTION ADF5 HUGOU VPRDS ADF5 HUGOU F6DCAA6F0D6C4D0C80BBA17C1A056BA9 FR7610207000902221679944237 </t>
  </si>
  <si>
    <t>BQ79397431</t>
  </si>
  <si>
    <t xml:space="preserve">CARTE X7179 CANVA* I04757-14470 </t>
  </si>
  <si>
    <t>BQ79605782</t>
  </si>
  <si>
    <t xml:space="preserve">ACM IARD SA ACM IARD SA FR74ZZZ008087 SEPA VPRDS HOME SOLUTIONS 306834819 ACM---2500000----BFC140------------ AUTOMOBILE - PRO AA11666872 GI20250429095702227450 RCUR FR7617906001129641663834646 </t>
  </si>
  <si>
    <t>BQ79605783</t>
  </si>
  <si>
    <t xml:space="preserve">ACM IARD SA ACM IARD SA FR74ZZZ008087 SEPA VPRDS HOME SOLUTIONS 306834819 ACM---2500000----BFC140------------ AUTOMOBILE - PRO AA11348581 GI20230105163016063084 RCUR FR7617906001129641663834646 </t>
  </si>
  <si>
    <t>BQ79605784</t>
  </si>
  <si>
    <t xml:space="preserve">ACM IARD SA ACM IARD SA FR74ZZZ008087 SEPA VPRDS HOME SOLUTIONS 306834383 ACM---2500000----BFC140------------ AUTOMOBILE - PRO AA11655193 GI20250328151622158466 RCUR FR7617906001129641663834646 </t>
  </si>
  <si>
    <t>BQ79605785</t>
  </si>
  <si>
    <t xml:space="preserve">SAS UBIFLOW SAS UBIFLOW FR29ZZZ451023 SEPA HOME SOLUTIONS 306857968 143350-2026-01-09T14 18 08 ABONNEMENT MENSUEL UBIFLOW MONO DIFFUSION AG720965 RCUR FR7617906001129641663834646 </t>
  </si>
  <si>
    <t>BQ79605787</t>
  </si>
  <si>
    <t xml:space="preserve">VIR INST VERS SARL SOCIETE POUR S.A.S. VPRDS HOME SOLUTIONS SARL SOCIETE POUR L AIDE SPECIALE D ACCESSI SASA 1431 SASA 1431 2024D59B022949439553D3C7C50684E6 FR7610207000902321549336060 </t>
  </si>
  <si>
    <t>BQ79802397</t>
  </si>
  <si>
    <t xml:space="preserve">ADDITI MULTIMEDIA ADDITI MULTIMEDIA FR93ZZZ463548 SEPA VPRDS HOME SOLUTIONS 306881186 U-PR26001137-1 IM-AM016335 RCUR FR7617906001129641663834646 </t>
  </si>
  <si>
    <t>BQ79802398</t>
  </si>
  <si>
    <t xml:space="preserve">VIR SASA VIR SASA MACE SASA VPRDS VIR SASA MACE CCBPFRPPMTG EUR200000000161000 </t>
  </si>
  <si>
    <t>BQ79802399</t>
  </si>
  <si>
    <t xml:space="preserve">VIR INST VERS M FLORIAN MACE S.A.S. VPRDS HOME SOLUTIONS M FLORIAN MACE AVANCE SUBVENTION SASA AVANCE SUBVENTION SASA MACE DF94C5F4A22F4ED899271DBE2969AEF2 FR7615489048170003414840142 </t>
  </si>
  <si>
    <t>BQ80216537</t>
  </si>
  <si>
    <t>URSSAF PAYS DE LOIRE URSSAF PAYS DE LOIRE FR57ZZZ113735 SEPA SAS VPRDS HOME SOLUTIONS 307141473 BQE152726015072550RCUR000025740 UR 527000000255480022 DEC 25535104756000150126 T113735918249715000007309</t>
  </si>
  <si>
    <t>BQ80216538</t>
  </si>
  <si>
    <t xml:space="preserve">VIR SASA VIR SASA MILLARD LEBEA SASA VPRDS VIR SASA MILLARD LEBEAU CCBPFRPPMTG EUR200000000129000 </t>
  </si>
  <si>
    <t>BQ80431528</t>
  </si>
  <si>
    <t xml:space="preserve">CARTE X7179 RACINE LE MANS </t>
  </si>
  <si>
    <t>BQ80431529</t>
  </si>
  <si>
    <t xml:space="preserve">WEB LAURA MILLARD AVANCE SUBVEN S.A.S. VPRDS HOME SOLUTIONS LAURA MILLARD AVANCE SUBVENTION SASA MILARD LEBEAU AVANCE SUBVENTION SASA AGRIFRPP879 EUR200000000129000 FR7617906001129639020766036 </t>
  </si>
  <si>
    <t>BQ80585544</t>
  </si>
  <si>
    <t>AUTOROUTES DU SUD DE LA FRANCE AUTOROUTES DU SUD DE LA FRANCE FR94ZZZ007048 SEPA VPRDS HOME SOLUTIONS 307328619 0000000 LL026302320047070978 122025 2500470709788701709 RCUR FR7617906001129641663834646</t>
  </si>
  <si>
    <t>BQ80585545</t>
  </si>
  <si>
    <t xml:space="preserve">SFR SFR FR44ZZZ332801 SEPA VPRDS HOME SOLUTIONS 307350688 02-003475055992 SFR PRLVT SEPA 99-O2DTAM-01 003475055992 GP202506120289378355 RCUR FR7617906001129641663834646 </t>
  </si>
  <si>
    <t>BQ80746417</t>
  </si>
  <si>
    <t>B2B DGFIP DGFIP FR46ZZZ005002 SEPA DGFIP IMPOT SAS VPRDS HOME SOLUTIONS 918249715-01-11 307385243 26019-5337-PSR-B2I-01-00731431 PASDSN15012026-122025-91824971500015 NN918249715DGFIP2023663364LLM8LG4O</t>
  </si>
  <si>
    <t>BQ80876660</t>
  </si>
  <si>
    <t>HUMANIS PREVOYANCE PLEIADE HUMANIS PREVOYANCE PLEIADE FR33ZZZ589176 SEPA MIKIT 307465562 2026-01-19-09.11.25.554932 601814805436 COTISATIONS PLE-TRG-20231115205513-266709 RCUR FR7617906001129641663834</t>
  </si>
  <si>
    <t>BQ80876661</t>
  </si>
  <si>
    <t xml:space="preserve">SCM LOCAL SASU SCM LOCAL SASU FR74ZZZ594646 SEPA VPRDS HOME SOLUTIONS 307458076 01-103820000160342026 SF-ACC-000682378 FR05 1731581479757RCUR FR7617906001129641663834646 </t>
  </si>
  <si>
    <t>BQ80876662</t>
  </si>
  <si>
    <t xml:space="preserve">CARTE X7179 IKEA CSC E COM 20/0 </t>
  </si>
  <si>
    <t>BQ80876663</t>
  </si>
  <si>
    <t xml:space="preserve">CARTE X7711 LA CABANE QUI FUME </t>
  </si>
  <si>
    <t>BQ81109292</t>
  </si>
  <si>
    <t>SGC LE MANS METROPOLE ET AMENDE SGC LE MANS METROPOLE ET AMENDES FR81ZZZ102148 SEPA LE MANS METROPOLE-EAU 50101 PARADIS VINCENT 307565383 26021-5376-PSR-SDD-CORE-01-00028321 FACTURE2500410003703MANDAT</t>
  </si>
  <si>
    <t>BQ81219721</t>
  </si>
  <si>
    <t xml:space="preserve">ORANGE SA ORANGE SA FR18ZZZ002305 SEPA SAS VPRDS HOME SOLUTIONS 307519829 2C625F553C625F5536A344E VOTRE ABONNEMENT FIBRE (FACTURE XXXXX5536A3) - P M0062129688 RCUR FR7617906001129641663834646 </t>
  </si>
  <si>
    <t>BQ81219722</t>
  </si>
  <si>
    <t>MALAKOFF HUMANIS MALAKOFF HUMANIS FR14ZZZ85F970 SEPA VPRDS HOME SOLUTIONS 307664550 I0001105089125 RETRAITE - MALAKOFF HUMANIS - 202512M - SIRET 91824971500015 -AG033000 026329753 SCG033URAE001117479W</t>
  </si>
  <si>
    <t>BQ81219723</t>
  </si>
  <si>
    <t xml:space="preserve">DKV EURO SERVICE GMBH + CO. KG DKV EURO SERVICE GMBH + CO. KG DE93ZZZ00000001787 SEPA VPRDS HOME SOLUTIONS 307719264 OTHR /INV/649135440 15.1.2026 N00019368001 RCUR FR7617906001129641663834646 </t>
  </si>
  <si>
    <t>BQ81219724</t>
  </si>
  <si>
    <t xml:space="preserve">VIR MKT PROMOTION VPRDS MKT PROMOTION VPRDS VIR SLD MG DIALLO VPRDS CEPAFRPP751 EUR200000001372374 </t>
  </si>
  <si>
    <t>BQ81412813</t>
  </si>
  <si>
    <t xml:space="preserve">CARTE X7711 LA COTE ET L AR SAI </t>
  </si>
  <si>
    <t>BQ81412814</t>
  </si>
  <si>
    <t xml:space="preserve">WEB VINCENT PARADIS NOTE DE FRA S.A.S. VPRDS HOME SOLUTIONS VINCENT PARADIS NOTE DE FRAIS JANVIER NOTE DE FRAIS JANVIER AGRIFRPP879 EUR200000000089942 FR7617906001129643379654066 </t>
  </si>
  <si>
    <t>BQ81538837</t>
  </si>
  <si>
    <t>BQ81538834</t>
  </si>
  <si>
    <t xml:space="preserve">AZUR CONSEIL AZUR CONSEIL FR64ZZZ547587 SEPA S.A.S. VPRDS HOME SOLUTIONS 307847705 VPRDS 20221012A RCUR FR7617906001129641663834646 </t>
  </si>
  <si>
    <t>BQ81538835</t>
  </si>
  <si>
    <t>B2B DGFIP DGFIP FR46ZZZ005002 SEPA DGFIP IMPOT VPRDS HOME SOLUTIONS 918249715 307827283 26026-5337-PSR-B2B-01-00211601 TVA1-012026-3310CA3 NN918249715DGFIP2023663364LLM8LG4O RCUR FR7617906001129641663</t>
  </si>
  <si>
    <t>BQ81538836</t>
  </si>
  <si>
    <t>AESIO MUTUELLE AESIO MUTUELLE FR29ADR004338 SEPA VPRDS HOME SOLUTIONS 307881846 20260128GROUPE-AESIO--079142487---- INSU 20260128GROUPE AESIO 079142487 8D705DC598DA4D6B8452BA8E786C9948 RCUR FR76179060</t>
  </si>
  <si>
    <t>BQ81538839</t>
  </si>
  <si>
    <t xml:space="preserve">VIR INST VERS SAS MIKIT FRANCE S.A.S. VPRDS HOME SOLUTIONS SAS MIKIT FRANCE SEMINAIRE SENEGAL SEMINAIRE SENEGAL VPRDS 723096E9351C4CB78DEFEA981BD158E9 FR7610207000902221279943106 </t>
  </si>
  <si>
    <t>BQ81801235</t>
  </si>
  <si>
    <t xml:space="preserve">MIKIT FRANCE MIKIT FRANCE FR74ZZZ498131 SEPA VPRDS HOME SOLUTIONS 72AI 307961420 T260280000296296 FACTURE VPRDS HOME SOLUTIONS 72AIE RCUR FR7617906001129641663834646 </t>
  </si>
  <si>
    <t>BQ82050364</t>
  </si>
  <si>
    <t xml:space="preserve">ADDITI MULTIMEDIA ADDITI MULTIMEDIA FR93ZZZ463548 SEPA VPRDS HOME SOLUTIONS 307835796 U-PR26001952-1 IM-AM016335 RCUR FR7617906001129641663834646 </t>
  </si>
  <si>
    <t>BQ82050365</t>
  </si>
  <si>
    <t xml:space="preserve">VIR UBIFLOW VIR SEPA 29/01/2026 UBIFLOW S.A.S. VPRDS HOME SOLUTIONS F145569 VIR SEPA 29/01/2026 14 36 24-00001 BNPAFRPPXXX EUR200000000007200 </t>
  </si>
  <si>
    <t>BQ82222595</t>
  </si>
  <si>
    <t>VW BANK FRANCE VW BANK FRANCE FR51ZZZ487778 SEPA STE VRPDS HOME SOLUTION 307896257 01-416E53001305622026 25499752LL25499752LL R063396145 FSP416E1206460011799641F6638300 RCUR FR761790600112964166383464</t>
  </si>
  <si>
    <t>BQ82222596</t>
  </si>
  <si>
    <t xml:space="preserve">ALTONEO CONSEIL ALTONEO CONSEIL FR33ZZZ410308 SEPA SAS VPRDS HOME SOLUTIONS P7777-72-CA 16260001311 RUM-010172-72MAN RCUR FR7617906001129641663834646 </t>
  </si>
  <si>
    <t>BQ82222598</t>
  </si>
  <si>
    <t>BQ82222599</t>
  </si>
  <si>
    <t xml:space="preserve">WEB SAS LOGEFIM LOYER LOGEFIM S.A.S. VPRDS HOME SOLUTIONS SAS LOGEFIM LOYER LOGEFIM LOYER VPRDS LE MANS AGRIFRPP879 EUR200000000157200 FR7610207001212321605005253 </t>
  </si>
  <si>
    <t>BQ82443581</t>
  </si>
  <si>
    <t xml:space="preserve">AGENCE BLVU AGENCE BLVU FR10ZZZ885E68 SEPA VPRDS HOME SOLUTIONS 308330560 T260330008441355 PRESTATIONS BLVU - JANVIER 2026 EDI2334917RU0000060 RCUR FR7617906001129641663834646 </t>
  </si>
  <si>
    <t>BQ82443582</t>
  </si>
  <si>
    <t xml:space="preserve">CARTE X7711 CHARGEMAP 67200 STR </t>
  </si>
  <si>
    <t>BQ82616680</t>
  </si>
  <si>
    <t>BQ82616679</t>
  </si>
  <si>
    <t>TOTALENERGIES ELECTRICITE ET GA TOTALENERGIES ELECTRICITE ET GAZ FRANCE FR03ZZZ488157 SEPA VPRDS HOME SOLUTIONS 308405077 02-224003947264-------------------- PRELEVEMENT TOTALENERGIES ELECTRICITE ET G</t>
  </si>
  <si>
    <t>BQ82797512</t>
  </si>
  <si>
    <t xml:space="preserve">10002460003 05/02/26 INTERETS </t>
  </si>
  <si>
    <t>BQ82797513</t>
  </si>
  <si>
    <t xml:space="preserve">10002460003 05/02/26 CAPITAL </t>
  </si>
  <si>
    <t>BQ82797514</t>
  </si>
  <si>
    <t xml:space="preserve">10002460004 05/02/26 INTERETS </t>
  </si>
  <si>
    <t>BQ82797515</t>
  </si>
  <si>
    <t xml:space="preserve">10002460004 05/02/26 CAPITAL </t>
  </si>
  <si>
    <t>BQ82797516</t>
  </si>
  <si>
    <t xml:space="preserve">ALPHABET FRANCE FLEET MANAGEMEN ALPHABET FRANCE FLEET MANAGEMENT FR70ZZZ242802 SEPA VPRDS HOME SOLUTIONS 308623078 OPEN AL00131191 RCUR FR7617906001129641663834646 </t>
  </si>
  <si>
    <t>BQ82797517</t>
  </si>
  <si>
    <t>VIR ASP AGENCE COMPTABLE 1D0750 ASP AGENCE COMPTABLE S.A.S. VPRDS HOME SOLUTI VPRDS HOME SOLUTIONS 157707253 AUEA AUEA04108563080 MINISTERE DU TRAVAIL AIDE UNIQUE APPREN TI VPRDS HOME SOLUTIONS 1D0750</t>
  </si>
  <si>
    <t>BQ82797520</t>
  </si>
  <si>
    <t xml:space="preserve">VIR VIPA IMMO ADF2 ADF3 ADF4 VIPA IMMO VPRDS HOME SOLUTIONS ADF2 ADF3 ADF4 ADF2 ADF3 ADF4 CMCIFRPPXXX EUR200000004420050 </t>
  </si>
  <si>
    <t>BQ82797525</t>
  </si>
  <si>
    <t xml:space="preserve">VIR INST VERS ROMAIN BESNARD S.A.S. VPRDS HOME SOLUTIONS ROMAIN BESNARD SALAIRE R BESNARD - JANVIER 26 SALAIRE MIKIT - JANVIER 26 072C1F97F14B48488ED6AAF8BF60CE85 FR7614445004000472479179034 </t>
  </si>
  <si>
    <t>BQ82797526</t>
  </si>
  <si>
    <t xml:space="preserve">VIR INST VERS NADEGE BOUQUET S.A.S. VPRDS HOME SOLUTIONS NADEGE BOUQUET SALAIRE N BOUQUET - JANVIER 26 SALAIRE MIKIT - JANVIER 26 9FD56AFEDC8B4F339DCE12ECA6F20A48 FR7614445004000439250717608 </t>
  </si>
  <si>
    <t>BQ82797527</t>
  </si>
  <si>
    <t xml:space="preserve">VIR INST VERS JENIFER JANDOT S.A.S. VPRDS HOME SOLUTIONS JENIFER JANDOT SALAIRE J JANDOT - JANVIER 26 SALAIRE MIKIT - JANVIER 26 CD8C0A41294A4D708DC76F8F807B7E3F FR9820041010111538798R03294 </t>
  </si>
  <si>
    <t>BQ83172442</t>
  </si>
  <si>
    <t>BQ83042355</t>
  </si>
  <si>
    <t xml:space="preserve">LIXXBAIL LIXXBAIL FR32ZZZ159484 SEPA VPRDS HOME SOLUTIONS 308203218 EM002116895378436VM0 50082599 378436VM02023404732 RCUR FR7617906001129641663834646 </t>
  </si>
  <si>
    <t>BQ83172438</t>
  </si>
  <si>
    <t xml:space="preserve">VERISURE VERISURE FR93ZZZ324159 SEPA VINCENT PARADIS 308826082 93707931 1505118 RCUR FR7617906001129641663834646 </t>
  </si>
  <si>
    <t>BQ83172439</t>
  </si>
  <si>
    <t xml:space="preserve">AZUR CONSEIL AZUR CONSEIL FR64ZZZ547587 SEPA S.A.S. VPRDS HOME SOLUTIONS 308923376 VPRDS 20221012A RCUR FR7617906001129641663834646 </t>
  </si>
  <si>
    <t>BQ83172440</t>
  </si>
  <si>
    <t>ETAPE ETUDES ET APPLICATIONS EC ETAPE ETUDES ET APPLICATIONS ECONOMIQUES FR69ZZZ8A6A1E SEPA PARADIS VINCENT 308874943 T260360013777097 ETAPE-15471-1474 ETAPE-13966-GE00010425 RCUR FR761790600112964166</t>
  </si>
  <si>
    <t>BQ83172441</t>
  </si>
  <si>
    <t xml:space="preserve">SAS UBIFLOW SAS UBIFLOW FR29ZZZ451023 SEPA HOME SOLUTIONS 308999144 145789-2026-02-05T15 54 02 ABONNEMENT MENSUEL UBIFLOW MONO DIFFUSION AG720965 RCUR FR7617906001129641663834646 </t>
  </si>
  <si>
    <t>BQ83172443</t>
  </si>
  <si>
    <t>BQ83172444</t>
  </si>
  <si>
    <t xml:space="preserve">VIR INST VERS CH PROPRETE S.A.S. VPRDS HOME SOLUTIONS CH PROPRETE A2F3FC9E21D5449F8EBB6AC165C46C81 FR7615489048250009752110176 </t>
  </si>
  <si>
    <t>BQ83172445</t>
  </si>
  <si>
    <t xml:space="preserve">CARTE X7711 EASY CLEAN SAINT ST </t>
  </si>
  <si>
    <t>BQ83348855</t>
  </si>
  <si>
    <t>DKV EURO SERVICE GMBH + CO.KG DKV EURO SERVICE GMBH + CO.KG DE93ZZZ00000001787 SEPA VPRDS HOME SOLUTIONS 309127167 01-000185462305602026 OTHR /INV/649491812 31.1.2026 N00019368001 RCUR FR7617906001129</t>
  </si>
  <si>
    <t>BQ83510508</t>
  </si>
  <si>
    <t xml:space="preserve">ACM IARD SA ACM IARD SA FR74ZZZ008087 SEPA VPRDS HOME SOLUTIONS 309254687 ACM---2500000----BFC140------------ AUTOMOBILE - PRO AA11348581 GI20230105163016063084 RCUR FR7617906001129641663834646 </t>
  </si>
  <si>
    <t>BQ83510509</t>
  </si>
  <si>
    <t xml:space="preserve">ACM IARD SA ACM IARD SA FR74ZZZ008087 SEPA VPRDS HOME SOLUTIONS 309255143 ACM---2500000----BFC140------------ AUTOMOBILE - PRO AA11666872 GI20250429095702227450 RCUR FR7617906001129641663834646 </t>
  </si>
  <si>
    <t>BQ83510510</t>
  </si>
  <si>
    <t xml:space="preserve">ACM IARD SA ACM IARD SA FR74ZZZ008087 SEPA VPRDS HOME SOLUTIONS 309255143 ACM---2500000----BFC140------------ AUTOMOBILE - PRO AA11655193 GI20250328151622158466 RCUR FR7617906001129641663834646 </t>
  </si>
  <si>
    <t>BQ83510511</t>
  </si>
  <si>
    <t xml:space="preserve">CARTE X7711 ZARA.COM ARTEIXO </t>
  </si>
  <si>
    <t>BQ83510513</t>
  </si>
  <si>
    <t xml:space="preserve">CARTE X7711 RACINE LE MANS </t>
  </si>
  <si>
    <t>BQ83640067</t>
  </si>
  <si>
    <t>LE GROUPE LA POSTE LE GROUPE LA POSTE FR93COU111341 SEPA SAS VPRDS HOME SOLUTIONS 309289859 01-300020005171392026 FAC NFBGP260000049746 200051713926 CLT0005062047 RUMMCCOU6628270 MCCOU6628270 RCUR FR7</t>
  </si>
  <si>
    <t>BQ83640068</t>
  </si>
  <si>
    <t xml:space="preserve">VIR INST VERS SARL MKT PROMOTIO S.A.S. VPRDS HOME SOLUTIONS SARL MKT PROMOTION ADF6 HUGOU - PART 1 ADF6 HUGOU - PART 1 D73CBEC8BDAC4CB7806D94410C6F1A36 FR7610207000902221679944237 </t>
  </si>
  <si>
    <t>BQ83640069</t>
  </si>
  <si>
    <t xml:space="preserve">VIR INST VERS SARL MKT PROMOTIO S.A.S. VPRDS HOME SOLUTIONS SARL MKT PROMOTION ADF6 HUGOU - PART 2 ADF6 HUGOU - PART 2 4424A948FD4A437CBF8904D73DFA210C FR7610207000902221679944237 </t>
  </si>
  <si>
    <t>BQ83640071</t>
  </si>
  <si>
    <t>VIR INST VERS SARL MKT PROMOTIO S.A.S. VPRDS HOME SOLUTIONS SARL MKT PROMOTION PAVILLON TEMOIN LE MANS VIPA IMMO PAVILLON TEMOIN LE MANS VIPA IMMO F3079A1A0B6E44F188E2598FEE18CA8A FR761020700090222167</t>
  </si>
  <si>
    <t>BQ83887651</t>
  </si>
  <si>
    <t xml:space="preserve">REX ROTARY REX ROTARY REX ROTARY REX ROTARY FR74REX401131 SEPA VPRDS HOME SOLUTIONS 309416067 FR26021179043371 480599 RCUR FR7617906001129641663834646 </t>
  </si>
  <si>
    <t>BQ83887652</t>
  </si>
  <si>
    <t xml:space="preserve">CARTE X7711 GIFTCARDS GROUP OOS </t>
  </si>
  <si>
    <t>BQ83887653</t>
  </si>
  <si>
    <t>BQ83887654</t>
  </si>
  <si>
    <t xml:space="preserve">CARTE X7711 DIGITAL CHARGING SO </t>
  </si>
  <si>
    <t>BQ83887655</t>
  </si>
  <si>
    <t>BQ84021803</t>
  </si>
  <si>
    <t>BQ84021802</t>
  </si>
  <si>
    <t xml:space="preserve">ALTONEO CONSEIL ALTONEO CONSEIL FR33ZZZ410308 SEPA SAS VPRDS HOME SOLUTIONS P7804-72-CA 16260001904 RUM-010172-72MAN RCUR FR7617906001129641663834646 </t>
  </si>
  <si>
    <t>BQ84021805</t>
  </si>
  <si>
    <t xml:space="preserve">CARTE X7711 CHEZ FLO LONGNES </t>
  </si>
  <si>
    <t>BQ84021806</t>
  </si>
  <si>
    <t xml:space="preserve">CARTE X7711 DESIGN HOTEL RENNES </t>
  </si>
  <si>
    <t>BQ84405224</t>
  </si>
  <si>
    <t>BQ84524196</t>
  </si>
  <si>
    <t>BQ84688081</t>
  </si>
  <si>
    <t xml:space="preserve">CARTE X7711 CARREFOUR CERANS </t>
  </si>
  <si>
    <t>BQ84843051</t>
  </si>
  <si>
    <t>AUTOROUTES DU SUD DE LA FRANCE AUTOROUTES DU SUD DE LA FRANCE FR94ZZZ007048 SEPA VPRDS HOME SOLUTIONS 309993739 0000000 MA024061360047070978 012026 2500470709788701709 RCUR FR7617906001129641663834646</t>
  </si>
  <si>
    <t>BQ84843052</t>
  </si>
  <si>
    <t xml:space="preserve">CARTE X7711 BRASSERIE MADELEINE </t>
  </si>
  <si>
    <t xml:space="preserve">VIR MKT PROMOTION VPRDS MKT PROMOTION VPRDS VIR ADF3 TOIN ET SLD MG BUTET VPRDS CEPAFRPP751 EUR200000002536057 </t>
  </si>
  <si>
    <t>BQ85011535</t>
  </si>
  <si>
    <t xml:space="preserve">CARTE X7711 ASIAN FUSION ST SAT </t>
  </si>
  <si>
    <t>BQ85011539</t>
  </si>
  <si>
    <t xml:space="preserve">CARTE X7711 PARIS SAINT GERMA P </t>
  </si>
  <si>
    <t>BQ86847832</t>
  </si>
  <si>
    <t xml:space="preserve">VIR INST VERS SARL SOCIETE POUR S.A.S. VPRDS HOME SOLUTIONS SARL SOCIETE POUR L AIDE SPECIALE D ACCESSI SASA MANCON SASA MANCON 271FBAC4890B48639579C84A528347C4 FR7610207000902321549336060 </t>
  </si>
  <si>
    <t>BQ86847834</t>
  </si>
  <si>
    <t>BQ85239783</t>
  </si>
  <si>
    <t xml:space="preserve">MALAKOFF HUMANIS MALAKOFF HUMANIS FR14ZZZ85F970 SEPA VPRDS HOME SOLUTIONS 310214729 I0001114551260 RETRAITE - MALAKOFF HUMANIS - 202601M - SIRET 91824971500015 - G033623 218 SCG033URAE001117479W RCUR </t>
  </si>
  <si>
    <t>BQ85239784</t>
  </si>
  <si>
    <t>B2B DGFIP DGFIP FR46ZZZ005002 SEPA DGFIP IMPOT VPRDS HOME SOLUTIONS 918249715 310257816 26054-5337-PSR-B2B-01-00328066 TVA1-022026-3310CA3 NN918249715DGFIP2023663364LLM8LG4O RCUR FR7617906001129641663</t>
  </si>
  <si>
    <t>BQ85239785</t>
  </si>
  <si>
    <t xml:space="preserve">CARTE X7711 REST RJLS RUEIL MAL </t>
  </si>
  <si>
    <t>BQ85718204</t>
  </si>
  <si>
    <t>AESIO MUTUELLE AESIO MUTUELLE FR29ADR004338 SEPA VPRDS HOME SOLUTIONS 310611495 20260228GROUPE-AESIO--079800534---- INSU 20260228GROUPE AESIO 079800534 8D705DC598DA4D6B8452BA8E786C9948 RCUR FR76179060</t>
  </si>
  <si>
    <t>BQ85718205</t>
  </si>
  <si>
    <t>BQ85718206</t>
  </si>
  <si>
    <t>BQ85718207</t>
  </si>
  <si>
    <t xml:space="preserve">CARTE X7711 DEFIGRAPH PUTEAUX </t>
  </si>
  <si>
    <t>BQ85956362</t>
  </si>
  <si>
    <t xml:space="preserve">CARTE X7711 SHERATON ROISSY </t>
  </si>
  <si>
    <t>BQ85956363</t>
  </si>
  <si>
    <t>BQ86136277</t>
  </si>
  <si>
    <t>BQ86136279</t>
  </si>
  <si>
    <t>BQ86421475</t>
  </si>
  <si>
    <t>BQ86421471</t>
  </si>
  <si>
    <t xml:space="preserve">10002460003 05/03/26 INTERETS </t>
  </si>
  <si>
    <t>BQ86421472</t>
  </si>
  <si>
    <t xml:space="preserve">10002460003 05/03/26 CAPITAL </t>
  </si>
  <si>
    <t>BQ86421473</t>
  </si>
  <si>
    <t xml:space="preserve">10002460004 05/03/26 INTERETS </t>
  </si>
  <si>
    <t>BQ86421474</t>
  </si>
  <si>
    <t xml:space="preserve">10002460004 05/03/26 CAPITAL </t>
  </si>
  <si>
    <t>BQ86421478</t>
  </si>
  <si>
    <t>BQ86421480</t>
  </si>
  <si>
    <t xml:space="preserve">CARTE X7711 DIGITAL CHARGING BE </t>
  </si>
  <si>
    <t>BQ86421481</t>
  </si>
  <si>
    <t xml:space="preserve">VIR INST VERS ROMAIN BESNARD S.A.S. VPRDS HOME SOLUTIONS ROMAIN BESNARD SALAIRE MIKIT - FEVRIER 26 SALAIRE R BESNARD - FEVRIER 26 F00212F1C40C450E8FC4E6D4D9575D24 FR7614445004000472479179034 </t>
  </si>
  <si>
    <t>BQ86421482</t>
  </si>
  <si>
    <t xml:space="preserve">VIR INST VERS NADEGE BOUQUET S.A.S. VPRDS HOME SOLUTIONS NADEGE BOUQUET SALAIRE MIKIT - FEVRIER 26 SALAIRE N BOUQUET - FEVRIER 26 D3B55BEA5DD0477CBD1B09864F8A150B FR7614445004000439250717608 </t>
  </si>
  <si>
    <t>BQ86421483</t>
  </si>
  <si>
    <t xml:space="preserve">VIR INST VERS JENIFER JANDOT S.A.S. VPRDS HOME SOLUTIONS JENIFER JANDOT SALAIRE MIKIT - FEVRIER 26 SALAIRE J JANDOT - FEVRIER 26 4CED167B012E4AD89EF3533DCCCA723E FR9820041010111538798R03294 </t>
  </si>
  <si>
    <t>BQ86528987</t>
  </si>
  <si>
    <t>VIR ASP AGENCE COMPTABLE 1D0750 ASP AGENCE COMPTABLE S.A.S. VPRDS HOME SOLUTI VPRDS HOME SOLUTIONS 158565190 AUEA AUEA04108563080 MINISTERE DU TRAVAIL AIDE UNIQUE APPREN TI VPRDS HOME SOLUTIONS 1D0750</t>
  </si>
  <si>
    <t>BQ86528988</t>
  </si>
  <si>
    <t xml:space="preserve">VIR INST VERS ROMAIN BESNARD S.A.S. VPRDS HOME SOLUTIONS ROMAIN BESNARD COMPLEMENT SALAIRE MIKIT - FEV 26 COMPLEMENT SALAIRE - RB -FEV 26 99B485DA2149480183643CE6F5B6277F FR7614445004000472479179034 </t>
  </si>
  <si>
    <t>BQ86528989</t>
  </si>
  <si>
    <t xml:space="preserve">VIR INST VERS NADEGE BOUQUET S.A.S. VPRDS HOME SOLUTIONS NADEGE BOUQUET COMPLEMENT SALAIRE MIKIT - FEV 26 COMPLEMENT SALAIRE - NB - FEV 26 BB02B389A7224BBF872073E01CCFE929 FR7614445004000439250717608 </t>
  </si>
  <si>
    <t>BQ86692348</t>
  </si>
  <si>
    <t>BQ86692346</t>
  </si>
  <si>
    <t xml:space="preserve">VERISURE VERISURE FR93ZZZ324159 SEPA VINCENT PARADIS 311289257 94763621 1505118 RCUR FR7617906001129641663834646 </t>
  </si>
  <si>
    <t>BQ86692349</t>
  </si>
  <si>
    <t xml:space="preserve">VIR INST VERS HESTI HABITAT S.A.S. VPRDS HOME SOLUTIONS HESTI HABITAT FACTURE VPRDS SEMINAIRE D9CF68E51D354200B83CDA8468F5EB73 FR7613335003010800559126608 </t>
  </si>
  <si>
    <t>BQ86843399</t>
  </si>
  <si>
    <t xml:space="preserve">SAS UBIFLOW SAS UBIFLOW FR29ZZZ451023 SEPA HOME SOLUTIONS 311616464 147448-2026-03-09T09 22 09 ABONNEMENT MENSUEL UBIFLOW MONO DIFFUSION AG720965 RCUR FR7617906001129641663834646 </t>
  </si>
  <si>
    <t>BQ87004797</t>
  </si>
  <si>
    <t>BQ87265672</t>
  </si>
  <si>
    <t>BQ87366619</t>
  </si>
  <si>
    <t>BQ87366620</t>
  </si>
  <si>
    <t>BQ87366621</t>
  </si>
  <si>
    <t>BQ87366622</t>
  </si>
  <si>
    <t>BQ87663516</t>
  </si>
  <si>
    <t>BQ87663517</t>
  </si>
  <si>
    <t>BQ87663515</t>
  </si>
  <si>
    <t>LE GROUPE LA POSTE LE GROUPE LA POSTE FR93COU111341 SEPA SAS VPRDS HOME SOLUTIONS 311997056 01-300020009712182026 FAC NFBGP260000086473 200097121826 CLT0005062047 RUMMCCOU6628270 MCCOU6628270 RCUR FR7</t>
  </si>
  <si>
    <t>BQ88220614</t>
  </si>
  <si>
    <t>BQ88649827</t>
  </si>
  <si>
    <t>MALAKOFF HUMANIS MALAKOFF HUMANIS FR14ZZZ85F970 SEPA VPRDS HOME SOLUTIONS 312801831 I0001124260276 RETRAITE - MALAKOFF HUMANIS - 202602M - SIRET 91824971500015 - G033261 4122 SCG033URAE001117479W RCUR</t>
  </si>
  <si>
    <t>BQ89020479</t>
  </si>
  <si>
    <t xml:space="preserve">CARTE X7711 BELLA VITA GASTR ST </t>
  </si>
  <si>
    <t>BQ88847991</t>
  </si>
  <si>
    <t xml:space="preserve">CARTE X7711 RESTAURANT LE M LA </t>
  </si>
  <si>
    <t>BQ88847992</t>
  </si>
  <si>
    <t xml:space="preserve">CARTE X7711 CASTORAMA LE MANS 1 </t>
  </si>
  <si>
    <t>BQ89022100</t>
  </si>
  <si>
    <t>AESIO MUTUELLE AESIO MUTUELLE FR29ADR004338 SEPA VPRDS HOME SOLUTIONS 313061225 20260328GROUPE-AESIO--080456628---- INSU 20260328GROUPE AESIO 080456628 8D705DC598DA4D6B8452BA8E786C9948 RCUR FR76179060</t>
  </si>
  <si>
    <t>BQ89022103</t>
  </si>
  <si>
    <t xml:space="preserve">CARTE X7711 CLAUDE.AI SUBSCRIPT </t>
  </si>
  <si>
    <t>BQ89022104</t>
  </si>
  <si>
    <t xml:space="preserve">CARTE X7711 MC DONALD S U LE MA </t>
  </si>
  <si>
    <t>BQ89187728</t>
  </si>
  <si>
    <t>BQ89187729</t>
  </si>
  <si>
    <t xml:space="preserve">VIR INST VERS CH PROPRETE S.A.S. VPRDS HOME SOLUTIONS CH PROPRETE FACTURE 0046 FACTURE 0046 D61E3082CC854B2EB776C7240CF901DC FR7615489048250009752110176 </t>
  </si>
  <si>
    <t>BQ89187730</t>
  </si>
  <si>
    <t xml:space="preserve">VIR INST VERS CH PROPRETE S.A.S. VPRDS HOME SOLUTIONS CH PROPRETE FACTURE 0030 FACTURE 0030 6B9E66F66E7048D9BA175EBC2FD31523 FR7615489048250009752110176 </t>
  </si>
  <si>
    <t>20260213165049</t>
  </si>
  <si>
    <t>20260213165104</t>
  </si>
  <si>
    <t>20260213165143</t>
  </si>
  <si>
    <t>VIR LBC INST 5FR0803115</t>
  </si>
  <si>
    <t>20260213165159</t>
  </si>
  <si>
    <t>20260213165209</t>
  </si>
  <si>
    <t>20260213165235</t>
  </si>
  <si>
    <t>BQ84617068</t>
  </si>
  <si>
    <t xml:space="preserve">PRLV SEPA SFR SFR PRLVT SEPA 99-O2DTAM-01 003 </t>
  </si>
  <si>
    <t>BQ85680750</t>
  </si>
  <si>
    <t>BQ85681702</t>
  </si>
  <si>
    <t xml:space="preserve">PRLV SEPA DKV EURO SERVICE GMBH /INV/649701104 15.2.2026 </t>
  </si>
  <si>
    <t>BQ85681703</t>
  </si>
  <si>
    <t xml:space="preserve">PRLV SEPA ALTONEO CONSEIL 16260002334 </t>
  </si>
  <si>
    <t>BQ85681705</t>
  </si>
  <si>
    <t xml:space="preserve">PRLV SEPA ADDITI MULTIMEDIA </t>
  </si>
  <si>
    <t>BQ85927747</t>
  </si>
  <si>
    <t xml:space="preserve">PRLV SEPA AGENCE BLVU PRESTATIONS BLVU - FEVRIER 2026 </t>
  </si>
  <si>
    <t>BQ86086610</t>
  </si>
  <si>
    <t>BQ86423044</t>
  </si>
  <si>
    <t xml:space="preserve">ECH PRET CAP IN 14208 208453 02 TAUX 3 35000 INT 51 91 </t>
  </si>
  <si>
    <t>BQ86664405</t>
  </si>
  <si>
    <t xml:space="preserve">PRLV SEPA LIXXBAIL EM002116895378436VM0 </t>
  </si>
  <si>
    <t>BQ86840870</t>
  </si>
  <si>
    <t xml:space="preserve">PRLV SEPA DKV EURO SERVICE GMBH /INV/650038102 28.2.2026 </t>
  </si>
  <si>
    <t>BQ86840871</t>
  </si>
  <si>
    <t>BQ87166982</t>
  </si>
  <si>
    <t>BQ87166983</t>
  </si>
  <si>
    <t>BQ87166984</t>
  </si>
  <si>
    <t>BQ87994066</t>
  </si>
  <si>
    <t>BQ87994067</t>
  </si>
  <si>
    <t xml:space="preserve">PRLV SEPA AUTOROUTES DU SUD DE MB024056170047070978 022026 </t>
  </si>
  <si>
    <t>BQ88507994</t>
  </si>
  <si>
    <t xml:space="preserve">PRLV SEPA DKV EURO SERVICE GMBH /INV/650408106 15.3.2026 </t>
  </si>
  <si>
    <t>BQ88971058</t>
  </si>
  <si>
    <t>BQ89148785</t>
  </si>
  <si>
    <t xml:space="preserve">PRLV SEPA ALTONEO CONSEIL 16260002723 </t>
  </si>
  <si>
    <t>BQ89148786</t>
  </si>
  <si>
    <t xml:space="preserve">PRLV SEPA ALTONEO CONSEIL 16260002945 </t>
  </si>
  <si>
    <t>20260213165440</t>
  </si>
  <si>
    <t>20260213165324</t>
  </si>
  <si>
    <t>20260213165357</t>
  </si>
  <si>
    <t>20260213165406</t>
  </si>
  <si>
    <t>TEMPORAIRE. ÉCHÉANCE: 1/16/2026 PRÊT: EMPRUNT BPGO 10K € PRÊTEUR: BANQUE POPULAIRE GRAND OUEST</t>
  </si>
  <si>
    <t>TEMPORAIRE. ÉCHÉANCE: 2/5/2026 PRÊT: EMPRUNT CIC 20 175 € PRÊTEUR: CIC</t>
  </si>
  <si>
    <t>TEMPORAIRE. ÉCHÉANCE: 2/16/2026 PRÊT: EMPRUNT BPGO 10 624.67 € V2 PRÊTEUR: BANQUE POPULAIRE GRAND OUEST</t>
  </si>
  <si>
    <t>TEMPORAIRE. ÉCHÉANCE: 3/16/2026 PRÊT: EMPRUNT BPGO 10 624.67 € V2 PRÊTEUR: BANQUE POPULAIRE GRAND OUEST</t>
  </si>
  <si>
    <t>TEMPORAIRE. ÉCHÉANCE: 3/16/2026 PRÊT: EMPRUNT BPGO 10K € PRÊTEUR: BANQUE POPULAIRE GRAND OUEST</t>
  </si>
  <si>
    <t>58EMPRUNTS0</t>
  </si>
  <si>
    <t>Echéance Emprunts temporaires</t>
  </si>
  <si>
    <t>TEMPORAIRE. ÉCHÉANCE: 3/5/2026 PRÊT: EMPRUNT 20K€ PRÊTEUR: CRÉDIT AGRICOLE ANJOU MAINE</t>
  </si>
  <si>
    <t>TEMPORAIRE. ÉCHÉANCE: 3/5/2026 PRÊT: EMPRUNT 47 304€ PRÊTEUR: CRÉDIT AGRICOLE ANJOU MAINE</t>
  </si>
  <si>
    <t>113005137363</t>
  </si>
  <si>
    <t>BFR00958514</t>
  </si>
  <si>
    <t>20260202-05934904</t>
  </si>
  <si>
    <t>26_649491812_001</t>
  </si>
  <si>
    <t>26_649135440_001</t>
  </si>
  <si>
    <t>26_649701104_001</t>
  </si>
  <si>
    <t>2026-02-28-162.86</t>
  </si>
  <si>
    <t>#FA001014/2026</t>
  </si>
  <si>
    <t>26-727322</t>
  </si>
  <si>
    <t>3618-1</t>
  </si>
  <si>
    <t>20260213171826</t>
  </si>
  <si>
    <t>20260218095057</t>
  </si>
  <si>
    <t>20260218095113</t>
  </si>
  <si>
    <t>FAC000287</t>
  </si>
  <si>
    <t>FAC000289</t>
  </si>
  <si>
    <t>20260218095219</t>
  </si>
  <si>
    <t>20260218095228</t>
  </si>
  <si>
    <t>20260416102509</t>
  </si>
  <si>
    <t>YOL3NSYW-0001</t>
  </si>
  <si>
    <t>SDCF58710132</t>
  </si>
  <si>
    <t>SDCF59639938</t>
  </si>
  <si>
    <t>bfr00987640</t>
  </si>
  <si>
    <t>0004</t>
  </si>
  <si>
    <t>0030</t>
  </si>
  <si>
    <t>0007641</t>
  </si>
  <si>
    <t>20260213171436</t>
  </si>
  <si>
    <t>HRJYO7UX-0001</t>
  </si>
  <si>
    <t>HRJYO7UX-0002</t>
  </si>
  <si>
    <t>HRJYO7UX-0003</t>
  </si>
  <si>
    <t>HRJYO7UX-0004</t>
  </si>
  <si>
    <t>HRJYO7UX-0006</t>
  </si>
  <si>
    <t>HRJYO7UX-0005</t>
  </si>
  <si>
    <t>20260416094816</t>
  </si>
  <si>
    <t>ASSURANCE. ÉCHÉANCE: 1/16/2026 PRÊT: EMPRUNT BPGO 10 624.67 € V2 PRÊTEUR: BANQUE POPULAIRE GRAND OUEST</t>
  </si>
  <si>
    <t>ASSURANCE. ÉCHÉANCE: 1/16/2026 PRÊT: EMPRUNT BPGO 10K € PRÊTEUR: BANQUE POPULAIRE GRAND OUEST</t>
  </si>
  <si>
    <t>ASSURANCE. ÉCHÉANCE: 2/16/2026 PRÊT: EMPRUNT BPGO 10 624.67 € V2 PRÊTEUR: BANQUE POPULAIRE GRAND OUEST</t>
  </si>
  <si>
    <t>ASSURANCE. ÉCHÉANCE: 2/16/2026 PRÊT: EMPRUNT BPGO 10K € PRÊTEUR: BANQUE POPULAIRE GRAND OUEST</t>
  </si>
  <si>
    <t>ASSURANCE. ÉCHÉANCE: 3/16/2026 PRÊT: EMPRUNT BPGO 10 624.67 € V2 PRÊTEUR: BANQUE POPULAIRE GRAND OUEST</t>
  </si>
  <si>
    <t>ASSURANCE. ÉCHÉANCE: 3/16/2026 PRÊT: EMPRUNT BPGO 10K € PRÊTEUR: BANQUE POPULAIRE GRAND OUEST</t>
  </si>
  <si>
    <t>F-2026-10</t>
  </si>
  <si>
    <t>91114 1192</t>
  </si>
  <si>
    <t>FI05131</t>
  </si>
  <si>
    <t>29122</t>
  </si>
  <si>
    <t>MKT PROMOTION-TRAVAUX DU BATIMENT-FACTURE-29122</t>
  </si>
  <si>
    <t>29123</t>
  </si>
  <si>
    <t>MKT PROMOTION-TRAVAUX DU BATIMENT-FACTURE-29123</t>
  </si>
  <si>
    <t>29144</t>
  </si>
  <si>
    <t>MKT PROMOTION-FACTURE-29144</t>
  </si>
  <si>
    <t>29143</t>
  </si>
  <si>
    <t>MKT PROMOTION-FACTURE-29143</t>
  </si>
  <si>
    <t>29314</t>
  </si>
  <si>
    <t>MKT PROMOTION-FACTURE-29314</t>
  </si>
  <si>
    <t>29315</t>
  </si>
  <si>
    <t>MKT PROMOTION-FACTURE-29315</t>
  </si>
  <si>
    <t>29353</t>
  </si>
  <si>
    <t>MKT PROMOTION-FACTURE-29353</t>
  </si>
  <si>
    <t>29352</t>
  </si>
  <si>
    <t>MKT PROMOTION-FACTURE-29352</t>
  </si>
  <si>
    <t>F144324</t>
  </si>
  <si>
    <t>F143350</t>
  </si>
  <si>
    <t>5FR0857133</t>
  </si>
  <si>
    <t>F145569</t>
  </si>
  <si>
    <t>F145789</t>
  </si>
  <si>
    <t>FAC00001148</t>
  </si>
  <si>
    <t>FA2601-5331</t>
  </si>
  <si>
    <t>FA2601-5354</t>
  </si>
  <si>
    <t>FA2602-5358</t>
  </si>
  <si>
    <t>FA2602-5381</t>
  </si>
  <si>
    <t>C9702 / 02 / 22852</t>
  </si>
  <si>
    <t>C9702 / 05 / 23179</t>
  </si>
  <si>
    <t>sy260117294</t>
  </si>
  <si>
    <t>sy260117320</t>
  </si>
  <si>
    <t>sy260189000</t>
  </si>
  <si>
    <t>sy260188995</t>
  </si>
  <si>
    <t>19265</t>
  </si>
  <si>
    <t>5301510892</t>
  </si>
  <si>
    <t>260</t>
  </si>
  <si>
    <t>LL02630232</t>
  </si>
  <si>
    <t>MA02406136</t>
  </si>
  <si>
    <t>280103</t>
  </si>
  <si>
    <t>0031499_001</t>
  </si>
  <si>
    <t>220736</t>
  </si>
  <si>
    <t>2042</t>
  </si>
  <si>
    <t>221740</t>
  </si>
  <si>
    <t>221998</t>
  </si>
  <si>
    <t>116584</t>
  </si>
  <si>
    <t>2101</t>
  </si>
  <si>
    <t>0000020015</t>
  </si>
  <si>
    <t>382</t>
  </si>
  <si>
    <t>2623758</t>
  </si>
  <si>
    <t>260202584</t>
  </si>
  <si>
    <t>FBGP260000049746</t>
  </si>
  <si>
    <t>FBGP260000086473</t>
  </si>
  <si>
    <t>B226-000784843</t>
  </si>
  <si>
    <t>02c625f553_26a3-1x01</t>
  </si>
  <si>
    <t>B226-002732080</t>
  </si>
  <si>
    <t>COMMISSION. ÉCHÉANCE: 1/16/2026 PRÊT: EMPRUNT BPGO 10 624.67 € V2 PRÊTEUR: BANQUE POPULAIRE GRAND OUEST</t>
  </si>
  <si>
    <t>COMMISSION. ÉCHÉANCE: 1/16/2026 PRÊT: EMPRUNT BPGO 10K € PRÊTEUR: BANQUE POPULAIRE GRAND OUEST</t>
  </si>
  <si>
    <t>COMMISSION. ÉCHÉANCE: 2/16/2026 PRÊT: EMPRUNT BPGO 10 624.67 € V2 PRÊTEUR: BANQUE POPULAIRE GRAND OUEST</t>
  </si>
  <si>
    <t>COMMISSION. ÉCHÉANCE: 2/16/2026 PRÊT: EMPRUNT BPGO 10K € PRÊTEUR: BANQUE POPULAIRE GRAND OUEST</t>
  </si>
  <si>
    <t>COMMISSION. ÉCHÉANCE: 3/16/2026 PRÊT: EMPRUNT BPGO 10 624.67 € V2 PRÊTEUR: BANQUE POPULAIRE GRAND OUEST</t>
  </si>
  <si>
    <t>COMMISSION. ÉCHÉANCE: 3/16/2026 PRÊT: EMPRUNT BPGO 10K € PRÊTEUR: BANQUE POPULAIRE GRAND OUEST</t>
  </si>
  <si>
    <t>FA001347</t>
  </si>
  <si>
    <t>FA001346</t>
  </si>
  <si>
    <t>FA001393</t>
  </si>
  <si>
    <t>20260202141531</t>
  </si>
  <si>
    <t>26001924</t>
  </si>
  <si>
    <t>F240455</t>
  </si>
  <si>
    <t>MIKIT FRANCE-FACTURE-F240455</t>
  </si>
  <si>
    <t>F240454</t>
  </si>
  <si>
    <t>MIKIT FRANCE-FACTURE-F240454</t>
  </si>
  <si>
    <t>20260307072027</t>
  </si>
  <si>
    <t>20260202141608</t>
  </si>
  <si>
    <t>20260323095141</t>
  </si>
  <si>
    <t>20260202134925</t>
  </si>
  <si>
    <t>20260218093821</t>
  </si>
  <si>
    <t>20260217163522</t>
  </si>
  <si>
    <t>20260307072253</t>
  </si>
  <si>
    <t>20260416094530</t>
  </si>
  <si>
    <t>INTÉRÊT. ÉCHÉANCE: 1/5/2026 PRÊT: EMPRUNT 20K€ PRÊTEUR: CRÉDIT AGRICOLE ANJOU MAINE</t>
  </si>
  <si>
    <t>INTÉRÊT. ÉCHÉANCE: 1/5/2026 PRÊT: EMPRUNT 47 304€ PRÊTEUR: CRÉDIT AGRICOLE ANJOU MAINE</t>
  </si>
  <si>
    <t>INTÉRÊT. ÉCHÉANCE: 1/16/2026 PRÊT: EMPRUNT BPGO 10 624.67 € V2 PRÊTEUR: BANQUE POPULAIRE GRAND OUEST</t>
  </si>
  <si>
    <t>INTÉRÊT. ÉCHÉANCE: 1/16/2026 PRÊT: EMPRUNT BPGO 10K € PRÊTEUR: BANQUE POPULAIRE GRAND OUEST</t>
  </si>
  <si>
    <t>INTÉRÊT. ÉCHÉANCE: 2/5/2026 PRÊT: EMPRUNT 20K€ PRÊTEUR: CRÉDIT AGRICOLE ANJOU MAINE</t>
  </si>
  <si>
    <t>INTÉRÊT. ÉCHÉANCE: 2/5/2026 PRÊT: EMPRUNT 47 304€ PRÊTEUR: CRÉDIT AGRICOLE ANJOU MAINE</t>
  </si>
  <si>
    <t>INTÉRÊT. ÉCHÉANCE: 2/16/2026 PRÊT: EMPRUNT BPGO 10 624.67 € V2 PRÊTEUR: BANQUE POPULAIRE GRAND OUEST</t>
  </si>
  <si>
    <t>INTÉRÊT. ÉCHÉANCE: 2/16/2026 PRÊT: EMPRUNT BPGO 10K € PRÊTEUR: BANQUE POPULAIRE GRAND OUEST</t>
  </si>
  <si>
    <t>INTÉRÊT. ÉCHÉANCE: 3/5/2026 PRÊT: EMPRUNT 20K€ PRÊTEUR: CRÉDIT AGRICOLE ANJOU MAINE</t>
  </si>
  <si>
    <t>INTÉRÊT. ÉCHÉANCE: 3/5/2026 PRÊT: EMPRUNT 47 304€ PRÊTEUR: CRÉDIT AGRICOLE ANJOU MAINE</t>
  </si>
  <si>
    <t>INTÉRÊT. ÉCHÉANCE: 3/16/2026 PRÊT: EMPRUNT BPGO 10 624.67 € V2 PRÊTEUR: BANQUE POPULAIRE GRAND OUEST</t>
  </si>
  <si>
    <t>INTÉRÊT. ÉCHÉANCE: 3/16/2026 PRÊT: EMPRUNT BPGO 10K € PRÊTEUR: BANQUE POPULAIRE GRAND OUEST</t>
  </si>
  <si>
    <t>20260323092725</t>
  </si>
  <si>
    <t>20260217164436</t>
  </si>
  <si>
    <t>ÉCART DE RÈGLEMENT - COMPTE TIERS - DIALLO</t>
  </si>
  <si>
    <t>20260323092730</t>
  </si>
  <si>
    <t>20260323113601</t>
  </si>
  <si>
    <t>LETTRAGE CPTE DE TVA DED 02.26</t>
  </si>
  <si>
    <t>Comptes</t>
  </si>
  <si>
    <t>Type de charge</t>
  </si>
  <si>
    <t>Sous_catégorie</t>
  </si>
  <si>
    <t>Variable</t>
  </si>
  <si>
    <t>Frais chantiers</t>
  </si>
  <si>
    <t>Fixe</t>
  </si>
  <si>
    <t>Nom_Salarie</t>
  </si>
  <si>
    <t>ID_Salarié</t>
  </si>
  <si>
    <t>0057U0000016TQaQAM</t>
  </si>
  <si>
    <t>Commercial</t>
  </si>
  <si>
    <t>Commercial1</t>
  </si>
  <si>
    <t>A définir1</t>
  </si>
  <si>
    <t>Commercial2</t>
  </si>
  <si>
    <t>A définir2</t>
  </si>
  <si>
    <t>Commercial3</t>
  </si>
  <si>
    <t>A définir3</t>
  </si>
  <si>
    <t>JJ</t>
  </si>
  <si>
    <t>005Tn00000Dgd5VIAR</t>
  </si>
  <si>
    <t>ADV</t>
  </si>
  <si>
    <t>MM</t>
  </si>
  <si>
    <t>0037U00000E57SXQAZ</t>
  </si>
  <si>
    <t>NB</t>
  </si>
  <si>
    <t>005Tn000003gPzgIAE</t>
  </si>
  <si>
    <t>RB</t>
  </si>
  <si>
    <t>005Tn00000ArcarIAB</t>
  </si>
  <si>
    <t>VP</t>
  </si>
  <si>
    <t>0057U000000ilwfQAA</t>
  </si>
  <si>
    <t>Direction</t>
  </si>
  <si>
    <t>Année</t>
  </si>
  <si>
    <t>Mois</t>
  </si>
  <si>
    <t>Sous_Catégorie</t>
  </si>
  <si>
    <t>Coût_Total_Mensuel_Prévi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</si>
</sst>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\-??_-;_-@_-"/>
    <numFmt numFmtId="165" formatCode="mmm"/>
    <numFmt numFmtId="166" formatCode="0_);\-0_)"/>
    <numFmt numFmtId="167" formatCode="_-* #,##0_-;\-* #,##0_-;_-* \-??_-;_-@_-"/>
    <numFmt numFmtId="168" formatCode="#,##0.00&quot; €&quot;"/>
    <numFmt numFmtId="169" formatCode="#,##0.0_);[Red]\(#,##0.0\)"/>
    <numFmt numFmtId="170" formatCode="\+#,##0;\-#,##0;\-"/>
    <numFmt numFmtId="171" formatCode="m/d/yyyy"/>
    <numFmt numFmtId="172" formatCode="_(* #,##0.00_);_(* \(#,##0.00\);_(* \-??_);_(@_)"/>
    <numFmt numFmtId="173" formatCode="\€#,##0.00;&quot;-€&quot;#,##0.00"/>
    <numFmt numFmtId="174" formatCode="_-* #,##0.00&quot; €&quot;_-;\-* #,##0.00&quot; €&quot;_-;_-* \-??&quot; €&quot;_-;_-@_-"/>
    <numFmt numFmtId="175" formatCode="_ * #,##0.00_)&quot; €&quot;_ ;_ * \(#,##0.00&quot;) €&quot;_ ;_ * \-??_)&quot; €&quot;_ ;_ @_ "/>
    <numFmt numFmtId="176" formatCode="#,##0.00&quot; €&quot;;\-#,##0.00&quot; €&quot;"/>
    <numFmt numFmtId="177" formatCode="yyyy\-mm\-dd\ h:mm:ss"/>
  </numFmts>
  <fonts count="9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8"/>
      <color theme="1" tint="0.14969328897976622"/>
      <name val="Calibri Light"/>
      <family val="2"/>
      <charset val="1"/>
    </font>
    <font>
      <sz val="10"/>
      <color theme="1" tint="0.1499984740745262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i/>
      <sz val="9"/>
      <color theme="1"/>
      <name val="Calibri"/>
      <family val="2"/>
      <charset val="1"/>
    </font>
    <font>
      <i/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sz val="9"/>
      <name val="Calibri"/>
      <family val="2"/>
      <charset val="1"/>
    </font>
    <font>
      <b/>
      <sz val="8"/>
      <name val="Calibri"/>
      <family val="2"/>
      <charset val="1"/>
    </font>
    <font>
      <sz val="8"/>
      <name val="Calibri"/>
      <family val="2"/>
      <charset val="1"/>
    </font>
    <font>
      <i/>
      <sz val="9"/>
      <color rgb="FF000000"/>
      <name val="Calibri"/>
      <family val="2"/>
      <charset val="1"/>
    </font>
    <font>
      <b/>
      <sz val="9"/>
      <color rgb="FF56585B"/>
      <name val="Calibri"/>
      <family val="2"/>
      <charset val="1"/>
    </font>
    <font>
      <sz val="8"/>
      <color rgb="FFFF0000"/>
      <name val="Calibri"/>
      <family val="2"/>
      <charset val="1"/>
    </font>
    <font>
      <sz val="8"/>
      <color theme="5"/>
      <name val="Calibri"/>
      <family val="2"/>
      <charset val="1"/>
    </font>
    <font>
      <sz val="8"/>
      <color rgb="FF00B050"/>
      <name val="Calibri"/>
      <family val="2"/>
      <charset val="1"/>
    </font>
    <font>
      <b/>
      <sz val="12"/>
      <color rgb="FFFFFFFF"/>
      <name val="Arial"/>
      <family val="2"/>
      <charset val="1"/>
    </font>
    <font>
      <sz val="11"/>
      <name val="Cambria"/>
      <family val="1"/>
      <charset val="1"/>
    </font>
    <font>
      <i/>
      <sz val="9"/>
      <color rgb="FF666666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D3557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1B5E20"/>
      <name val="Arial"/>
      <family val="2"/>
      <charset val="1"/>
    </font>
    <font>
      <b/>
      <sz val="10"/>
      <color rgb="FFB71C1C"/>
      <name val="Arial"/>
      <family val="2"/>
      <charset val="1"/>
    </font>
    <font>
      <sz val="10"/>
      <color rgb="FF885500"/>
      <name val="Arial"/>
      <family val="2"/>
      <charset val="1"/>
    </font>
    <font>
      <i/>
      <sz val="9"/>
      <color rgb="FF888888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D3557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006100"/>
      <name val="Arial"/>
      <family val="2"/>
      <charset val="1"/>
    </font>
    <font>
      <b/>
      <sz val="9"/>
      <color rgb="FFB71C1C"/>
      <name val="Arial"/>
      <family val="2"/>
      <charset val="1"/>
    </font>
    <font>
      <sz val="9"/>
      <color rgb="FFB71C1C"/>
      <name val="Arial"/>
      <family val="2"/>
      <charset val="1"/>
    </font>
    <font>
      <sz val="9"/>
      <name val="Arial"/>
      <family val="2"/>
      <charset val="1"/>
    </font>
    <font>
      <sz val="9"/>
      <color rgb="FF006100"/>
      <name val="Arial"/>
      <family val="2"/>
      <charset val="1"/>
    </font>
    <font>
      <sz val="9"/>
      <color rgb="FF555555"/>
      <name val="Arial"/>
      <family val="2"/>
      <charset val="1"/>
    </font>
    <font>
      <sz val="9"/>
      <color rgb="FF9C0006"/>
      <name val="Arial"/>
      <family val="2"/>
      <charset val="1"/>
    </font>
    <font>
      <sz val="9"/>
      <color rgb="FF0C447C"/>
      <name val="Arial"/>
      <family val="2"/>
      <charset val="1"/>
    </font>
    <font>
      <sz val="9"/>
      <color rgb="FF9C6500"/>
      <name val="Arial"/>
      <family val="2"/>
      <charset val="1"/>
    </font>
    <font>
      <sz val="9"/>
      <color rgb="FF444441"/>
      <name val="Arial"/>
      <family val="2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i/>
      <sz val="9"/>
      <color rgb="FF885500"/>
      <name val="Calibri"/>
      <charset val="1"/>
    </font>
    <font>
      <b/>
      <sz val="10"/>
      <color rgb="FFFFFFFF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9"/>
      <color rgb="FF555555"/>
      <name val="Calibri"/>
      <charset val="1"/>
    </font>
    <font>
      <b/>
      <sz val="12"/>
      <color rgb="FFFFFFFF"/>
      <name val="Calibri"/>
      <charset val="1"/>
    </font>
    <font>
      <b/>
      <sz val="10"/>
      <color rgb="FF885500"/>
      <name val="Calibri"/>
      <charset val="1"/>
    </font>
    <font>
      <b/>
      <sz val="14"/>
      <color rgb="FF885500"/>
      <name val="Calibri"/>
      <charset val="1"/>
    </font>
    <font>
      <sz val="10"/>
      <color rgb="FF885500"/>
      <name val="Calibri"/>
      <charset val="1"/>
    </font>
    <font>
      <b/>
      <sz val="9"/>
      <color rgb="FF1A5276"/>
      <name val="Calibri"/>
      <charset val="1"/>
    </font>
    <font>
      <b/>
      <sz val="9"/>
      <color rgb="FF1A5632"/>
      <name val="Calibri"/>
      <charset val="1"/>
    </font>
    <font>
      <b/>
      <sz val="9"/>
      <color rgb="FF555555"/>
      <name val="Calibri"/>
      <charset val="1"/>
    </font>
    <font>
      <i/>
      <sz val="8"/>
      <color rgb="FF888888"/>
      <name val="Calibri"/>
      <charset val="1"/>
    </font>
    <font>
      <b/>
      <sz val="12"/>
      <color rgb="FF000000"/>
      <name val="Calibri"/>
      <charset val="1"/>
    </font>
    <font>
      <b/>
      <sz val="12"/>
      <color rgb="FF27500A"/>
      <name val="Calibri"/>
      <charset val="1"/>
    </font>
    <font>
      <sz val="9"/>
      <color rgb="FF27500A"/>
      <name val="Calibri"/>
      <charset val="1"/>
    </font>
    <font>
      <sz val="9"/>
      <color rgb="FF791F1F"/>
      <name val="Calibri"/>
      <charset val="1"/>
    </font>
    <font>
      <sz val="9"/>
      <color rgb="FF633806"/>
      <name val="Calibri"/>
      <charset val="1"/>
    </font>
    <font>
      <sz val="9"/>
      <color rgb="FF888780"/>
      <name val="Calibri"/>
      <charset val="1"/>
    </font>
    <font>
      <sz val="9"/>
      <color rgb="FF5F5E5A"/>
      <name val="Calibri"/>
      <charset val="1"/>
    </font>
    <font>
      <b/>
      <sz val="9"/>
      <color rgb="FF27500A"/>
      <name val="Calibri"/>
      <charset val="1"/>
    </font>
    <font>
      <i/>
      <sz val="9"/>
      <color rgb="FF555555"/>
      <name val="Calibri"/>
      <charset val="1"/>
    </font>
    <font>
      <sz val="9"/>
      <color rgb="FF006100"/>
      <name val="Calibri"/>
      <charset val="1"/>
    </font>
    <font>
      <sz val="9"/>
      <color rgb="FF9C0006"/>
      <name val="Calibri"/>
      <charset val="1"/>
    </font>
    <font>
      <b/>
      <u/>
      <sz val="11"/>
      <color rgb="FFFF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2"/>
      <color rgb="FF56585B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56585B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56585B"/>
      <name val="Calibri"/>
      <family val="2"/>
      <charset val="1"/>
    </font>
    <font>
      <i/>
      <sz val="12"/>
      <color rgb="FF000000"/>
      <name val="Calibri"/>
      <family val="2"/>
      <charset val="1"/>
    </font>
  </fonts>
  <fills count="57">
    <fill>
      <patternFill patternType="none"/>
    </fill>
    <fill>
      <patternFill patternType="gray125"/>
    </fill>
    <fill>
      <patternFill patternType="solid">
        <fgColor theme="4" tint="0.59968871120334488"/>
        <bgColor rgb="FFBDD7EE"/>
      </patternFill>
    </fill>
    <fill>
      <patternFill patternType="solid">
        <fgColor theme="8" tint="-0.249977111117893"/>
        <bgColor rgb="FF2C5282"/>
      </patternFill>
    </fill>
    <fill>
      <patternFill patternType="solid">
        <fgColor theme="0"/>
        <bgColor rgb="FFFCFFFD"/>
      </patternFill>
    </fill>
    <fill>
      <patternFill patternType="solid">
        <fgColor theme="9" tint="0.79979857783745845"/>
        <bgColor rgb="FFEAF3DE"/>
      </patternFill>
    </fill>
    <fill>
      <patternFill patternType="solid">
        <fgColor rgb="FFFFFF00"/>
        <bgColor rgb="FFFFDA68"/>
      </patternFill>
    </fill>
    <fill>
      <patternFill patternType="solid">
        <fgColor theme="6" tint="0.39967040009765925"/>
        <bgColor rgb="FFCCCCCC"/>
      </patternFill>
    </fill>
    <fill>
      <patternFill patternType="solid">
        <fgColor theme="6" tint="0.79979857783745845"/>
        <bgColor rgb="FFF1EFE8"/>
      </patternFill>
    </fill>
    <fill>
      <patternFill patternType="darkGray">
        <fgColor theme="5" tint="0.79979857783745845"/>
        <bgColor rgb="FFF1EFE8"/>
      </patternFill>
    </fill>
    <fill>
      <patternFill patternType="darkGray">
        <fgColor theme="1" tint="0.24967192602313304"/>
        <bgColor rgb="FF555555"/>
      </patternFill>
    </fill>
    <fill>
      <patternFill patternType="solid">
        <fgColor theme="5" tint="0.59968871120334488"/>
        <bgColor rgb="FFFFC7CE"/>
      </patternFill>
    </fill>
    <fill>
      <patternFill patternType="solid">
        <fgColor theme="7" tint="0.39967040009765925"/>
        <bgColor rgb="FFFFE699"/>
      </patternFill>
    </fill>
    <fill>
      <patternFill patternType="solid">
        <fgColor theme="6" tint="0.59968871120334488"/>
        <bgColor rgb="FFD5D3D1"/>
      </patternFill>
    </fill>
    <fill>
      <patternFill patternType="solid">
        <fgColor rgb="FFE9E8E5"/>
        <bgColor rgb="FFEDEDED"/>
      </patternFill>
    </fill>
    <fill>
      <patternFill patternType="solid">
        <fgColor theme="7"/>
        <bgColor rgb="FFFFDA68"/>
      </patternFill>
    </fill>
    <fill>
      <patternFill patternType="solid">
        <fgColor theme="9" tint="0.39967040009765925"/>
        <bgColor rgb="FF92D050"/>
      </patternFill>
    </fill>
    <fill>
      <patternFill patternType="solid">
        <fgColor theme="8" tint="0.59968871120334488"/>
        <bgColor rgb="FFB4C7E7"/>
      </patternFill>
    </fill>
    <fill>
      <patternFill patternType="solid">
        <fgColor theme="7" tint="0.59968871120334488"/>
        <bgColor rgb="FFFFDA68"/>
      </patternFill>
    </fill>
    <fill>
      <patternFill patternType="mediumGray">
        <fgColor theme="6"/>
        <bgColor rgb="FFAAD190"/>
      </patternFill>
    </fill>
    <fill>
      <patternFill patternType="solid">
        <fgColor rgb="FFF9F9F7"/>
        <bgColor rgb="FFF5F5F4"/>
      </patternFill>
    </fill>
    <fill>
      <patternFill patternType="solid">
        <fgColor rgb="FFEAF5FC"/>
        <bgColor rgb="FFEBF3FB"/>
      </patternFill>
    </fill>
    <fill>
      <patternFill patternType="solid">
        <fgColor theme="8"/>
        <bgColor rgb="FF979A98"/>
      </patternFill>
    </fill>
    <fill>
      <patternFill patternType="solid">
        <fgColor theme="5" tint="-0.249977111117893"/>
        <bgColor rgb="FF8B5800"/>
      </patternFill>
    </fill>
    <fill>
      <patternFill patternType="solid">
        <fgColor theme="9"/>
        <bgColor rgb="FF92D050"/>
      </patternFill>
    </fill>
    <fill>
      <patternFill patternType="mediumGray">
        <fgColor theme="5"/>
        <bgColor rgb="FFB6590C"/>
      </patternFill>
    </fill>
    <fill>
      <patternFill patternType="solid">
        <fgColor rgb="FFFF0000"/>
        <bgColor rgb="FF9B0207"/>
      </patternFill>
    </fill>
    <fill>
      <patternFill patternType="mediumGray">
        <fgColor rgb="FF1D3557"/>
        <bgColor rgb="FF1D3045"/>
      </patternFill>
    </fill>
    <fill>
      <patternFill patternType="solid">
        <fgColor rgb="FFDDEEFF"/>
        <bgColor rgb="FFEBF3FB"/>
      </patternFill>
    </fill>
    <fill>
      <patternFill patternType="solid">
        <fgColor rgb="FFFFF9C4"/>
        <bgColor rgb="FFEAF3DE"/>
      </patternFill>
    </fill>
    <fill>
      <patternFill patternType="solid">
        <fgColor rgb="FFE8F5E9"/>
        <bgColor rgb="FFEAF3DE"/>
      </patternFill>
    </fill>
    <fill>
      <patternFill patternType="solid">
        <fgColor rgb="FFCFE8D1"/>
        <bgColor rgb="FFC6EFCE"/>
      </patternFill>
    </fill>
    <fill>
      <patternFill patternType="solid">
        <fgColor rgb="FFFEEAE8"/>
        <bgColor rgb="FFF1EFE8"/>
      </patternFill>
    </fill>
    <fill>
      <patternFill patternType="solid">
        <fgColor rgb="FFFFCDD2"/>
        <bgColor rgb="FFFFC7CE"/>
      </patternFill>
    </fill>
    <fill>
      <patternFill patternType="darkGray">
        <fgColor rgb="FF114B84"/>
        <bgColor rgb="FF1B5084"/>
      </patternFill>
    </fill>
    <fill>
      <patternFill patternType="mediumGray">
        <fgColor rgb="FF1D4E89"/>
        <bgColor rgb="FF1B5084"/>
      </patternFill>
    </fill>
    <fill>
      <patternFill patternType="darkGray">
        <fgColor rgb="FFF5F5F4"/>
        <bgColor rgb="FFF1EFE8"/>
      </patternFill>
    </fill>
    <fill>
      <patternFill patternType="solid">
        <fgColor rgb="FF1D3557"/>
        <bgColor rgb="FF1D3045"/>
      </patternFill>
    </fill>
    <fill>
      <patternFill patternType="solid">
        <fgColor rgb="FF2C5282"/>
        <bgColor rgb="FF1D4E89"/>
      </patternFill>
    </fill>
    <fill>
      <patternFill patternType="solid">
        <fgColor rgb="FF1D4E89"/>
        <bgColor rgb="FF1B5084"/>
      </patternFill>
    </fill>
    <fill>
      <patternFill patternType="solid">
        <fgColor rgb="FFF5F5F4"/>
        <bgColor rgb="FFF9F9F7"/>
      </patternFill>
    </fill>
    <fill>
      <patternFill patternType="mediumGray">
        <fgColor rgb="FF145A32"/>
        <bgColor rgb="FF195611"/>
      </patternFill>
    </fill>
    <fill>
      <patternFill patternType="solid">
        <fgColor rgb="FFFCFFFD"/>
        <bgColor rgb="FFFFFFFF"/>
      </patternFill>
    </fill>
    <fill>
      <patternFill patternType="mediumGray">
        <fgColor rgb="FFE2F1DA"/>
        <bgColor rgb="FFEAF3DE"/>
      </patternFill>
    </fill>
    <fill>
      <patternFill patternType="solid">
        <fgColor rgb="FF145A32"/>
        <bgColor rgb="FF195611"/>
      </patternFill>
    </fill>
    <fill>
      <patternFill patternType="mediumGray">
        <fgColor rgb="FFFCFFFD"/>
        <bgColor rgb="FFFFFFFF"/>
      </patternFill>
    </fill>
    <fill>
      <patternFill patternType="solid">
        <fgColor rgb="FF0B3D91"/>
        <bgColor rgb="FF114B84"/>
      </patternFill>
    </fill>
    <fill>
      <patternFill patternType="solid">
        <fgColor rgb="FFF1EFE8"/>
        <bgColor rgb="FFEDEDED"/>
      </patternFill>
    </fill>
    <fill>
      <patternFill patternType="solid">
        <fgColor rgb="FFEAF3DE"/>
        <bgColor rgb="FFE8F5E9"/>
      </patternFill>
    </fill>
    <fill>
      <patternFill patternType="darkGray">
        <fgColor rgb="FFAAD190"/>
        <bgColor rgb="FFC9C9C9"/>
      </patternFill>
    </fill>
    <fill>
      <patternFill patternType="solid">
        <fgColor rgb="FFFFC7CE"/>
        <bgColor rgb="FFFFCDD2"/>
      </patternFill>
    </fill>
    <fill>
      <patternFill patternType="darkGray">
        <fgColor rgb="FFFFDA68"/>
        <bgColor rgb="FFFFE699"/>
      </patternFill>
    </fill>
    <fill>
      <patternFill patternType="darkGray">
        <fgColor rgb="FFD5D3D1"/>
        <bgColor rgb="FFCCCCCC"/>
      </patternFill>
    </fill>
    <fill>
      <patternFill patternType="solid">
        <fgColor rgb="FFEBF3FB"/>
        <bgColor rgb="FFEAF5FC"/>
      </patternFill>
    </fill>
    <fill>
      <patternFill patternType="mediumGray">
        <fgColor rgb="FF195611"/>
        <bgColor rgb="FF145A32"/>
      </patternFill>
    </fill>
    <fill>
      <patternFill patternType="solid">
        <fgColor rgb="FF92D050"/>
        <bgColor rgb="FFAAD190"/>
      </patternFill>
    </fill>
    <fill>
      <patternFill patternType="solid">
        <fgColor rgb="FF00B050"/>
        <bgColor rgb="FF70AD47"/>
      </patternFill>
    </fill>
  </fills>
  <borders count="58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67040009765925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rgb="FFD5D3D1"/>
      </bottom>
      <diagonal/>
    </border>
    <border>
      <left/>
      <right/>
      <top/>
      <bottom style="thin">
        <color rgb="FFD5D3D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ck">
        <color auto="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ck">
        <color auto="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ck">
        <color rgb="FFD5D3D1"/>
      </right>
      <top style="thin">
        <color rgb="FFD5D3D1"/>
      </top>
      <bottom style="thin">
        <color rgb="FFD5D3D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double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double">
        <color auto="1"/>
      </bottom>
      <diagonal/>
    </border>
    <border>
      <left style="thick">
        <color auto="1"/>
      </left>
      <right style="thin">
        <color rgb="FFD5D3D1"/>
      </right>
      <top style="thin">
        <color rgb="FFD5D3D1"/>
      </top>
      <bottom style="double">
        <color auto="1"/>
      </bottom>
      <diagonal/>
    </border>
    <border>
      <left style="thin">
        <color rgb="FFD5D3D1"/>
      </left>
      <right style="thick">
        <color auto="1"/>
      </right>
      <top style="thin">
        <color rgb="FFD5D3D1"/>
      </top>
      <bottom style="double">
        <color auto="1"/>
      </bottom>
      <diagonal/>
    </border>
    <border>
      <left/>
      <right style="thin">
        <color rgb="FFD5D3D1"/>
      </right>
      <top style="thin">
        <color rgb="FFD5D3D1"/>
      </top>
      <bottom style="double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 style="thick">
        <color auto="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ck">
        <color auto="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/>
      <right/>
      <top/>
      <bottom style="thin">
        <color auto="1"/>
      </bottom>
      <diagonal/>
    </border>
    <border>
      <left style="thick">
        <color rgb="FFD5D3D1"/>
      </left>
      <right style="thick">
        <color rgb="FFD5D3D1"/>
      </right>
      <top/>
      <bottom style="thin">
        <color rgb="FFD5D3D1"/>
      </bottom>
      <diagonal/>
    </border>
    <border>
      <left style="thick">
        <color rgb="FFD5D3D1"/>
      </left>
      <right/>
      <top/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 style="thick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/>
      <right style="thin">
        <color rgb="FFD5D3D1"/>
      </right>
      <top/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 style="thick">
        <color rgb="FFD5D3D1"/>
      </right>
      <top/>
      <bottom/>
      <diagonal/>
    </border>
    <border>
      <left/>
      <right/>
      <top style="thin">
        <color rgb="FFD5D3D1"/>
      </top>
      <bottom style="double">
        <color auto="1"/>
      </bottom>
      <diagonal/>
    </border>
    <border>
      <left style="thick">
        <color rgb="FFD5D3D1"/>
      </left>
      <right style="thin">
        <color rgb="FFD5D3D1"/>
      </right>
      <top style="thin">
        <color rgb="FFD5D3D1"/>
      </top>
      <bottom style="double">
        <color auto="1"/>
      </bottom>
      <diagonal/>
    </border>
    <border>
      <left style="thin">
        <color rgb="FFD5D3D1"/>
      </left>
      <right style="thick">
        <color rgb="FFD5D3D1"/>
      </right>
      <top style="thin">
        <color rgb="FFD5D3D1"/>
      </top>
      <bottom style="double">
        <color auto="1"/>
      </bottom>
      <diagonal/>
    </border>
    <border>
      <left style="thick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ck">
        <color rgb="FFD5D3D1"/>
      </right>
      <top/>
      <bottom style="thin">
        <color rgb="FFD5D3D1"/>
      </bottom>
      <diagonal/>
    </border>
    <border>
      <left/>
      <right/>
      <top/>
      <bottom style="thin">
        <color rgb="FF979A98"/>
      </bottom>
      <diagonal/>
    </border>
    <border>
      <left/>
      <right style="thin">
        <color rgb="FF979A98"/>
      </right>
      <top/>
      <bottom style="thin">
        <color rgb="FF979A98"/>
      </bottom>
      <diagonal/>
    </border>
    <border>
      <left/>
      <right style="thin">
        <color rgb="FF979A98"/>
      </right>
      <top/>
      <bottom/>
      <diagonal/>
    </border>
  </borders>
  <cellStyleXfs count="7">
    <xf numFmtId="0" fontId="0" fillId="0" borderId="0"/>
    <xf numFmtId="164" fontId="1" fillId="0" borderId="0"/>
    <xf numFmtId="164" fontId="1" fillId="0" borderId="0"/>
    <xf numFmtId="165" fontId="2" fillId="0" borderId="1">
      <alignment horizontal="right" vertical="center" wrapText="1" indent="1"/>
    </xf>
    <xf numFmtId="0" fontId="1" fillId="0" borderId="0"/>
    <xf numFmtId="9" fontId="1" fillId="0" borderId="0"/>
    <xf numFmtId="166" fontId="3" fillId="2" borderId="2">
      <alignment vertical="center"/>
    </xf>
  </cellStyleXfs>
  <cellXfs count="467">
    <xf numFmtId="0" fontId="0" fillId="0" borderId="0" xfId="0"/>
    <xf numFmtId="0" fontId="21" fillId="0" borderId="25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4" fillId="0" borderId="0" xfId="0" applyFont="1"/>
    <xf numFmtId="0" fontId="5" fillId="3" borderId="0" xfId="0" applyFont="1" applyFill="1"/>
    <xf numFmtId="0" fontId="6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9" fontId="0" fillId="0" borderId="0" xfId="0" applyNumberFormat="1"/>
    <xf numFmtId="0" fontId="7" fillId="0" borderId="3" xfId="0" applyFont="1" applyBorder="1"/>
    <xf numFmtId="167" fontId="7" fillId="0" borderId="4" xfId="0" applyNumberFormat="1" applyFont="1" applyBorder="1"/>
    <xf numFmtId="0" fontId="0" fillId="5" borderId="0" xfId="0" applyFill="1"/>
    <xf numFmtId="0" fontId="8" fillId="5" borderId="0" xfId="0" applyFont="1" applyFill="1"/>
    <xf numFmtId="0" fontId="9" fillId="0" borderId="0" xfId="0" applyFont="1" applyAlignment="1">
      <alignment horizontal="right"/>
    </xf>
    <xf numFmtId="167" fontId="9" fillId="0" borderId="0" xfId="0" applyNumberFormat="1" applyFont="1"/>
    <xf numFmtId="0" fontId="0" fillId="6" borderId="0" xfId="0" applyFill="1"/>
    <xf numFmtId="0" fontId="8" fillId="6" borderId="0" xfId="0" applyFont="1" applyFill="1"/>
    <xf numFmtId="167" fontId="0" fillId="0" borderId="0" xfId="0" applyNumberFormat="1"/>
    <xf numFmtId="167" fontId="4" fillId="0" borderId="0" xfId="0" applyNumberFormat="1" applyFont="1"/>
    <xf numFmtId="0" fontId="10" fillId="0" borderId="0" xfId="0" applyFont="1"/>
    <xf numFmtId="167" fontId="10" fillId="0" borderId="0" xfId="0" applyNumberFormat="1" applyFont="1"/>
    <xf numFmtId="167" fontId="0" fillId="5" borderId="0" xfId="0" applyNumberFormat="1" applyFill="1"/>
    <xf numFmtId="0" fontId="11" fillId="0" borderId="0" xfId="0" applyFont="1"/>
    <xf numFmtId="9" fontId="11" fillId="0" borderId="0" xfId="0" applyNumberFormat="1" applyFont="1"/>
    <xf numFmtId="167" fontId="0" fillId="6" borderId="0" xfId="0" applyNumberFormat="1" applyFill="1"/>
    <xf numFmtId="0" fontId="12" fillId="0" borderId="0" xfId="0" applyFont="1"/>
    <xf numFmtId="9" fontId="0" fillId="5" borderId="0" xfId="0" applyNumberFormat="1" applyFill="1"/>
    <xf numFmtId="0" fontId="4" fillId="7" borderId="5" xfId="0" applyFont="1" applyFill="1" applyBorder="1"/>
    <xf numFmtId="167" fontId="4" fillId="7" borderId="6" xfId="0" applyNumberFormat="1" applyFont="1" applyFill="1" applyBorder="1"/>
    <xf numFmtId="9" fontId="0" fillId="6" borderId="0" xfId="0" applyNumberFormat="1" applyFill="1"/>
    <xf numFmtId="0" fontId="13" fillId="0" borderId="0" xfId="0" applyFont="1" applyAlignment="1">
      <alignment horizontal="right"/>
    </xf>
    <xf numFmtId="0" fontId="14" fillId="0" borderId="0" xfId="0" applyFont="1"/>
    <xf numFmtId="0" fontId="15" fillId="8" borderId="0" xfId="0" applyFont="1" applyFill="1" applyAlignment="1">
      <alignment horizontal="left"/>
    </xf>
    <xf numFmtId="167" fontId="0" fillId="8" borderId="0" xfId="0" applyNumberFormat="1" applyFill="1"/>
    <xf numFmtId="0" fontId="15" fillId="0" borderId="0" xfId="0" applyFont="1" applyAlignment="1">
      <alignment horizontal="left"/>
    </xf>
    <xf numFmtId="167" fontId="16" fillId="0" borderId="0" xfId="0" applyNumberFormat="1" applyFont="1"/>
    <xf numFmtId="0" fontId="8" fillId="0" borderId="0" xfId="0" applyFont="1"/>
    <xf numFmtId="167" fontId="8" fillId="5" borderId="0" xfId="0" applyNumberFormat="1" applyFont="1" applyFill="1"/>
    <xf numFmtId="0" fontId="17" fillId="0" borderId="0" xfId="0" applyFont="1" applyAlignment="1">
      <alignment horizontal="right"/>
    </xf>
    <xf numFmtId="9" fontId="17" fillId="5" borderId="0" xfId="0" applyNumberFormat="1" applyFont="1" applyFill="1"/>
    <xf numFmtId="9" fontId="6" fillId="5" borderId="0" xfId="0" applyNumberFormat="1" applyFont="1" applyFill="1"/>
    <xf numFmtId="9" fontId="6" fillId="6" borderId="0" xfId="0" applyNumberFormat="1" applyFont="1" applyFill="1"/>
    <xf numFmtId="0" fontId="16" fillId="0" borderId="0" xfId="0" applyFont="1"/>
    <xf numFmtId="0" fontId="0" fillId="0" borderId="7" xfId="0" applyBorder="1"/>
    <xf numFmtId="167" fontId="0" fillId="6" borderId="7" xfId="0" applyNumberFormat="1" applyFill="1" applyBorder="1"/>
    <xf numFmtId="0" fontId="0" fillId="10" borderId="0" xfId="0" applyFill="1"/>
    <xf numFmtId="167" fontId="8" fillId="0" borderId="0" xfId="0" applyNumberFormat="1" applyFont="1"/>
    <xf numFmtId="167" fontId="7" fillId="5" borderId="4" xfId="0" applyNumberFormat="1" applyFont="1" applyFill="1" applyBorder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167" fontId="19" fillId="0" borderId="0" xfId="0" applyNumberFormat="1" applyFont="1"/>
    <xf numFmtId="167" fontId="19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4" fillId="14" borderId="11" xfId="0" applyFont="1" applyFill="1" applyBorder="1" applyAlignment="1">
      <alignment horizontal="center" vertical="center" wrapText="1"/>
    </xf>
    <xf numFmtId="0" fontId="25" fillId="14" borderId="12" xfId="0" applyFont="1" applyFill="1" applyBorder="1" applyAlignment="1">
      <alignment horizontal="center" vertical="center" wrapText="1"/>
    </xf>
    <xf numFmtId="0" fontId="25" fillId="14" borderId="11" xfId="0" applyFont="1" applyFill="1" applyBorder="1" applyAlignment="1">
      <alignment horizontal="center" vertical="center" wrapText="1"/>
    </xf>
    <xf numFmtId="167" fontId="24" fillId="14" borderId="13" xfId="0" applyNumberFormat="1" applyFont="1" applyFill="1" applyBorder="1" applyAlignment="1">
      <alignment horizontal="center" vertical="center" wrapText="1"/>
    </xf>
    <xf numFmtId="167" fontId="24" fillId="14" borderId="11" xfId="0" applyNumberFormat="1" applyFont="1" applyFill="1" applyBorder="1" applyAlignment="1">
      <alignment horizontal="center" vertical="center" wrapText="1"/>
    </xf>
    <xf numFmtId="167" fontId="24" fillId="14" borderId="14" xfId="0" applyNumberFormat="1" applyFont="1" applyFill="1" applyBorder="1" applyAlignment="1">
      <alignment horizontal="center" vertical="center" wrapText="1"/>
    </xf>
    <xf numFmtId="167" fontId="24" fillId="14" borderId="15" xfId="0" applyNumberFormat="1" applyFont="1" applyFill="1" applyBorder="1" applyAlignment="1">
      <alignment horizontal="center" vertical="center" wrapText="1"/>
    </xf>
    <xf numFmtId="167" fontId="24" fillId="14" borderId="16" xfId="0" applyNumberFormat="1" applyFont="1" applyFill="1" applyBorder="1" applyAlignment="1">
      <alignment horizontal="center" vertical="center" wrapText="1"/>
    </xf>
    <xf numFmtId="167" fontId="24" fillId="11" borderId="17" xfId="0" applyNumberFormat="1" applyFont="1" applyFill="1" applyBorder="1" applyAlignment="1">
      <alignment horizontal="center" vertical="center" wrapText="1"/>
    </xf>
    <xf numFmtId="167" fontId="24" fillId="11" borderId="0" xfId="0" applyNumberFormat="1" applyFont="1" applyFill="1" applyAlignment="1">
      <alignment horizontal="center" vertical="center" wrapText="1"/>
    </xf>
    <xf numFmtId="167" fontId="24" fillId="11" borderId="18" xfId="0" applyNumberFormat="1" applyFont="1" applyFill="1" applyBorder="1" applyAlignment="1">
      <alignment horizontal="center" vertical="center" wrapText="1"/>
    </xf>
    <xf numFmtId="167" fontId="24" fillId="12" borderId="17" xfId="0" applyNumberFormat="1" applyFont="1" applyFill="1" applyBorder="1" applyAlignment="1">
      <alignment horizontal="center" vertical="center" wrapText="1"/>
    </xf>
    <xf numFmtId="167" fontId="24" fillId="12" borderId="0" xfId="0" applyNumberFormat="1" applyFont="1" applyFill="1" applyAlignment="1">
      <alignment horizontal="center" vertical="center" wrapText="1"/>
    </xf>
    <xf numFmtId="167" fontId="24" fillId="13" borderId="19" xfId="0" applyNumberFormat="1" applyFont="1" applyFill="1" applyBorder="1" applyAlignment="1">
      <alignment horizontal="center" vertical="center" wrapText="1"/>
    </xf>
    <xf numFmtId="167" fontId="24" fillId="13" borderId="20" xfId="0" applyNumberFormat="1" applyFont="1" applyFill="1" applyBorder="1" applyAlignment="1">
      <alignment horizontal="center" vertical="center" wrapText="1"/>
    </xf>
    <xf numFmtId="167" fontId="24" fillId="13" borderId="21" xfId="0" applyNumberFormat="1" applyFont="1" applyFill="1" applyBorder="1" applyAlignment="1">
      <alignment horizontal="center" vertical="center" wrapText="1"/>
    </xf>
    <xf numFmtId="167" fontId="24" fillId="15" borderId="19" xfId="0" applyNumberFormat="1" applyFont="1" applyFill="1" applyBorder="1" applyAlignment="1">
      <alignment horizontal="center" vertical="center" wrapText="1"/>
    </xf>
    <xf numFmtId="167" fontId="24" fillId="15" borderId="20" xfId="0" applyNumberFormat="1" applyFont="1" applyFill="1" applyBorder="1" applyAlignment="1">
      <alignment horizontal="center" vertical="center" wrapText="1"/>
    </xf>
    <xf numFmtId="167" fontId="24" fillId="15" borderId="21" xfId="0" applyNumberFormat="1" applyFont="1" applyFill="1" applyBorder="1" applyAlignment="1">
      <alignment horizontal="center" vertical="center" wrapText="1"/>
    </xf>
    <xf numFmtId="167" fontId="24" fillId="2" borderId="19" xfId="0" applyNumberFormat="1" applyFont="1" applyFill="1" applyBorder="1" applyAlignment="1">
      <alignment horizontal="center" vertical="center" wrapText="1"/>
    </xf>
    <xf numFmtId="167" fontId="24" fillId="2" borderId="20" xfId="0" applyNumberFormat="1" applyFont="1" applyFill="1" applyBorder="1" applyAlignment="1">
      <alignment horizontal="center" vertical="center" wrapText="1"/>
    </xf>
    <xf numFmtId="167" fontId="24" fillId="2" borderId="21" xfId="0" applyNumberFormat="1" applyFont="1" applyFill="1" applyBorder="1" applyAlignment="1">
      <alignment horizontal="center" vertical="center" wrapText="1"/>
    </xf>
    <xf numFmtId="167" fontId="24" fillId="16" borderId="19" xfId="0" applyNumberFormat="1" applyFont="1" applyFill="1" applyBorder="1" applyAlignment="1">
      <alignment horizontal="center" vertical="center" wrapText="1"/>
    </xf>
    <xf numFmtId="167" fontId="24" fillId="16" borderId="20" xfId="0" applyNumberFormat="1" applyFont="1" applyFill="1" applyBorder="1" applyAlignment="1">
      <alignment horizontal="center" vertical="center" wrapText="1"/>
    </xf>
    <xf numFmtId="167" fontId="24" fillId="16" borderId="21" xfId="0" applyNumberFormat="1" applyFont="1" applyFill="1" applyBorder="1" applyAlignment="1">
      <alignment horizontal="center" vertical="center" wrapText="1"/>
    </xf>
    <xf numFmtId="0" fontId="24" fillId="17" borderId="19" xfId="0" applyFont="1" applyFill="1" applyBorder="1" applyAlignment="1">
      <alignment horizontal="center" vertical="center" wrapText="1"/>
    </xf>
    <xf numFmtId="0" fontId="24" fillId="17" borderId="20" xfId="0" applyFont="1" applyFill="1" applyBorder="1" applyAlignment="1">
      <alignment horizontal="center" vertical="center" wrapText="1"/>
    </xf>
    <xf numFmtId="0" fontId="24" fillId="17" borderId="2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6" fillId="0" borderId="23" xfId="0" applyFont="1" applyBorder="1" applyAlignment="1">
      <alignment horizontal="left"/>
    </xf>
    <xf numFmtId="0" fontId="20" fillId="0" borderId="24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9" fontId="20" fillId="0" borderId="12" xfId="0" applyNumberFormat="1" applyFont="1" applyBorder="1" applyAlignment="1">
      <alignment horizontal="center"/>
    </xf>
    <xf numFmtId="167" fontId="19" fillId="18" borderId="13" xfId="0" applyNumberFormat="1" applyFont="1" applyFill="1" applyBorder="1" applyAlignment="1">
      <alignment horizontal="right"/>
    </xf>
    <xf numFmtId="167" fontId="19" fillId="18" borderId="11" xfId="0" applyNumberFormat="1" applyFont="1" applyFill="1" applyBorder="1" applyAlignment="1">
      <alignment horizontal="right"/>
    </xf>
    <xf numFmtId="167" fontId="19" fillId="19" borderId="11" xfId="0" applyNumberFormat="1" applyFont="1" applyFill="1" applyBorder="1" applyAlignment="1">
      <alignment horizontal="right"/>
    </xf>
    <xf numFmtId="167" fontId="19" fillId="4" borderId="14" xfId="0" applyNumberFormat="1" applyFont="1" applyFill="1" applyBorder="1" applyAlignment="1">
      <alignment horizontal="right"/>
    </xf>
    <xf numFmtId="167" fontId="19" fillId="4" borderId="15" xfId="0" applyNumberFormat="1" applyFont="1" applyFill="1" applyBorder="1" applyAlignment="1">
      <alignment horizontal="center"/>
    </xf>
    <xf numFmtId="167" fontId="19" fillId="4" borderId="11" xfId="0" applyNumberFormat="1" applyFont="1" applyFill="1" applyBorder="1" applyAlignment="1">
      <alignment horizontal="center"/>
    </xf>
    <xf numFmtId="167" fontId="19" fillId="0" borderId="17" xfId="0" applyNumberFormat="1" applyFont="1" applyBorder="1"/>
    <xf numFmtId="167" fontId="19" fillId="0" borderId="18" xfId="0" applyNumberFormat="1" applyFont="1" applyBorder="1"/>
    <xf numFmtId="9" fontId="19" fillId="0" borderId="0" xfId="0" applyNumberFormat="1" applyFont="1"/>
    <xf numFmtId="167" fontId="21" fillId="0" borderId="18" xfId="0" applyNumberFormat="1" applyFont="1" applyBorder="1"/>
    <xf numFmtId="167" fontId="19" fillId="0" borderId="13" xfId="0" applyNumberFormat="1" applyFont="1" applyBorder="1" applyAlignment="1">
      <alignment horizontal="right"/>
    </xf>
    <xf numFmtId="167" fontId="19" fillId="0" borderId="11" xfId="0" applyNumberFormat="1" applyFont="1" applyBorder="1" applyAlignment="1">
      <alignment horizontal="right"/>
    </xf>
    <xf numFmtId="0" fontId="21" fillId="20" borderId="22" xfId="0" applyFont="1" applyFill="1" applyBorder="1" applyAlignment="1">
      <alignment vertical="center" wrapText="1"/>
    </xf>
    <xf numFmtId="0" fontId="20" fillId="20" borderId="12" xfId="0" applyFont="1" applyFill="1" applyBorder="1" applyAlignment="1">
      <alignment horizontal="right"/>
    </xf>
    <xf numFmtId="0" fontId="20" fillId="20" borderId="24" xfId="0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/>
    </xf>
    <xf numFmtId="167" fontId="19" fillId="20" borderId="13" xfId="0" applyNumberFormat="1" applyFont="1" applyFill="1" applyBorder="1" applyAlignment="1">
      <alignment horizontal="right"/>
    </xf>
    <xf numFmtId="167" fontId="19" fillId="20" borderId="11" xfId="0" applyNumberFormat="1" applyFont="1" applyFill="1" applyBorder="1" applyAlignment="1">
      <alignment horizontal="right"/>
    </xf>
    <xf numFmtId="167" fontId="19" fillId="20" borderId="14" xfId="0" applyNumberFormat="1" applyFont="1" applyFill="1" applyBorder="1" applyAlignment="1">
      <alignment horizontal="right"/>
    </xf>
    <xf numFmtId="167" fontId="27" fillId="0" borderId="15" xfId="0" applyNumberFormat="1" applyFont="1" applyBorder="1" applyAlignment="1">
      <alignment horizontal="right"/>
    </xf>
    <xf numFmtId="167" fontId="27" fillId="20" borderId="11" xfId="0" applyNumberFormat="1" applyFont="1" applyFill="1" applyBorder="1" applyAlignment="1">
      <alignment horizontal="center"/>
    </xf>
    <xf numFmtId="167" fontId="27" fillId="0" borderId="11" xfId="0" applyNumberFormat="1" applyFont="1" applyBorder="1" applyAlignment="1">
      <alignment horizontal="center"/>
    </xf>
    <xf numFmtId="0" fontId="28" fillId="20" borderId="23" xfId="0" applyFont="1" applyFill="1" applyBorder="1"/>
    <xf numFmtId="0" fontId="28" fillId="20" borderId="26" xfId="0" applyFont="1" applyFill="1" applyBorder="1"/>
    <xf numFmtId="0" fontId="20" fillId="20" borderId="26" xfId="0" applyFont="1" applyFill="1" applyBorder="1" applyAlignment="1">
      <alignment horizontal="right"/>
    </xf>
    <xf numFmtId="0" fontId="20" fillId="20" borderId="27" xfId="0" applyFont="1" applyFill="1" applyBorder="1" applyAlignment="1">
      <alignment horizontal="center"/>
    </xf>
    <xf numFmtId="167" fontId="19" fillId="20" borderId="28" xfId="0" applyNumberFormat="1" applyFont="1" applyFill="1" applyBorder="1" applyAlignment="1">
      <alignment horizontal="right"/>
    </xf>
    <xf numFmtId="167" fontId="19" fillId="20" borderId="27" xfId="0" applyNumberFormat="1" applyFont="1" applyFill="1" applyBorder="1" applyAlignment="1">
      <alignment horizontal="right"/>
    </xf>
    <xf numFmtId="167" fontId="19" fillId="20" borderId="29" xfId="0" applyNumberFormat="1" applyFont="1" applyFill="1" applyBorder="1" applyAlignment="1">
      <alignment horizontal="right"/>
    </xf>
    <xf numFmtId="167" fontId="19" fillId="20" borderId="30" xfId="0" applyNumberFormat="1" applyFont="1" applyFill="1" applyBorder="1" applyAlignment="1">
      <alignment horizontal="center"/>
    </xf>
    <xf numFmtId="167" fontId="19" fillId="20" borderId="27" xfId="0" applyNumberFormat="1" applyFont="1" applyFill="1" applyBorder="1" applyAlignment="1">
      <alignment horizontal="center"/>
    </xf>
    <xf numFmtId="167" fontId="19" fillId="0" borderId="31" xfId="0" applyNumberFormat="1" applyFont="1" applyBorder="1"/>
    <xf numFmtId="167" fontId="19" fillId="0" borderId="7" xfId="0" applyNumberFormat="1" applyFont="1" applyBorder="1"/>
    <xf numFmtId="167" fontId="19" fillId="0" borderId="32" xfId="0" applyNumberFormat="1" applyFont="1" applyBorder="1"/>
    <xf numFmtId="9" fontId="19" fillId="0" borderId="7" xfId="0" applyNumberFormat="1" applyFont="1" applyBorder="1"/>
    <xf numFmtId="0" fontId="28" fillId="21" borderId="33" xfId="0" applyFont="1" applyFill="1" applyBorder="1"/>
    <xf numFmtId="0" fontId="22" fillId="21" borderId="33" xfId="0" applyFont="1" applyFill="1" applyBorder="1" applyAlignment="1">
      <alignment horizontal="right"/>
    </xf>
    <xf numFmtId="0" fontId="22" fillId="21" borderId="9" xfId="0" applyFont="1" applyFill="1" applyBorder="1" applyAlignment="1">
      <alignment horizontal="center"/>
    </xf>
    <xf numFmtId="0" fontId="22" fillId="21" borderId="25" xfId="0" applyFont="1" applyFill="1" applyBorder="1" applyAlignment="1">
      <alignment horizontal="center"/>
    </xf>
    <xf numFmtId="167" fontId="21" fillId="21" borderId="34" xfId="0" applyNumberFormat="1" applyFont="1" applyFill="1" applyBorder="1" applyAlignment="1">
      <alignment horizontal="right"/>
    </xf>
    <xf numFmtId="167" fontId="21" fillId="21" borderId="25" xfId="0" applyNumberFormat="1" applyFont="1" applyFill="1" applyBorder="1" applyAlignment="1">
      <alignment horizontal="right"/>
    </xf>
    <xf numFmtId="167" fontId="21" fillId="21" borderId="35" xfId="0" applyNumberFormat="1" applyFont="1" applyFill="1" applyBorder="1" applyAlignment="1">
      <alignment horizontal="right"/>
    </xf>
    <xf numFmtId="167" fontId="21" fillId="21" borderId="36" xfId="0" applyNumberFormat="1" applyFont="1" applyFill="1" applyBorder="1" applyAlignment="1">
      <alignment horizontal="center"/>
    </xf>
    <xf numFmtId="167" fontId="21" fillId="21" borderId="25" xfId="0" applyNumberFormat="1" applyFont="1" applyFill="1" applyBorder="1" applyAlignment="1">
      <alignment horizontal="center"/>
    </xf>
    <xf numFmtId="167" fontId="24" fillId="22" borderId="17" xfId="0" applyNumberFormat="1" applyFont="1" applyFill="1" applyBorder="1"/>
    <xf numFmtId="167" fontId="24" fillId="22" borderId="0" xfId="0" applyNumberFormat="1" applyFont="1" applyFill="1"/>
    <xf numFmtId="167" fontId="24" fillId="22" borderId="18" xfId="0" applyNumberFormat="1" applyFont="1" applyFill="1" applyBorder="1"/>
    <xf numFmtId="167" fontId="21" fillId="0" borderId="17" xfId="0" applyNumberFormat="1" applyFont="1" applyBorder="1"/>
    <xf numFmtId="167" fontId="21" fillId="23" borderId="0" xfId="0" applyNumberFormat="1" applyFont="1" applyFill="1"/>
    <xf numFmtId="167" fontId="21" fillId="6" borderId="18" xfId="0" applyNumberFormat="1" applyFont="1" applyFill="1" applyBorder="1"/>
    <xf numFmtId="167" fontId="21" fillId="0" borderId="0" xfId="0" applyNumberFormat="1" applyFont="1"/>
    <xf numFmtId="167" fontId="21" fillId="0" borderId="0" xfId="0" applyNumberFormat="1" applyFont="1" applyAlignment="1">
      <alignment horizontal="center"/>
    </xf>
    <xf numFmtId="168" fontId="19" fillId="0" borderId="0" xfId="0" applyNumberFormat="1" applyFont="1"/>
    <xf numFmtId="167" fontId="11" fillId="0" borderId="0" xfId="0" applyNumberFormat="1" applyFont="1"/>
    <xf numFmtId="10" fontId="19" fillId="0" borderId="0" xfId="0" applyNumberFormat="1" applyFont="1"/>
    <xf numFmtId="167" fontId="19" fillId="0" borderId="14" xfId="0" applyNumberFormat="1" applyFont="1" applyBorder="1" applyAlignment="1">
      <alignment horizontal="right"/>
    </xf>
    <xf numFmtId="0" fontId="20" fillId="0" borderId="23" xfId="0" applyFont="1" applyBorder="1" applyAlignment="1">
      <alignment horizontal="left"/>
    </xf>
    <xf numFmtId="167" fontId="27" fillId="4" borderId="15" xfId="0" applyNumberFormat="1" applyFont="1" applyFill="1" applyBorder="1" applyAlignment="1">
      <alignment horizontal="center"/>
    </xf>
    <xf numFmtId="167" fontId="27" fillId="4" borderId="11" xfId="0" applyNumberFormat="1" applyFont="1" applyFill="1" applyBorder="1" applyAlignment="1">
      <alignment horizontal="center"/>
    </xf>
    <xf numFmtId="167" fontId="19" fillId="4" borderId="13" xfId="0" applyNumberFormat="1" applyFont="1" applyFill="1" applyBorder="1" applyAlignment="1">
      <alignment horizontal="right"/>
    </xf>
    <xf numFmtId="167" fontId="19" fillId="4" borderId="11" xfId="0" applyNumberFormat="1" applyFont="1" applyFill="1" applyBorder="1" applyAlignment="1">
      <alignment horizontal="right"/>
    </xf>
    <xf numFmtId="167" fontId="19" fillId="0" borderId="11" xfId="0" applyNumberFormat="1" applyFont="1" applyBorder="1" applyAlignment="1">
      <alignment horizontal="center"/>
    </xf>
    <xf numFmtId="0" fontId="29" fillId="0" borderId="23" xfId="0" applyFont="1" applyBorder="1" applyAlignment="1">
      <alignment horizontal="left"/>
    </xf>
    <xf numFmtId="0" fontId="29" fillId="22" borderId="23" xfId="0" applyFont="1" applyFill="1" applyBorder="1" applyAlignment="1">
      <alignment horizontal="left"/>
    </xf>
    <xf numFmtId="0" fontId="30" fillId="0" borderId="23" xfId="0" applyFont="1" applyBorder="1" applyAlignment="1">
      <alignment horizontal="left"/>
    </xf>
    <xf numFmtId="167" fontId="19" fillId="24" borderId="17" xfId="0" applyNumberFormat="1" applyFont="1" applyFill="1" applyBorder="1"/>
    <xf numFmtId="0" fontId="31" fillId="0" borderId="23" xfId="0" applyFont="1" applyBorder="1" applyAlignment="1">
      <alignment horizontal="left"/>
    </xf>
    <xf numFmtId="167" fontId="19" fillId="25" borderId="0" xfId="0" applyNumberFormat="1" applyFont="1" applyFill="1"/>
    <xf numFmtId="167" fontId="19" fillId="24" borderId="0" xfId="0" applyNumberFormat="1" applyFont="1" applyFill="1"/>
    <xf numFmtId="0" fontId="16" fillId="0" borderId="12" xfId="0" applyFont="1" applyBorder="1" applyAlignment="1">
      <alignment horizontal="left"/>
    </xf>
    <xf numFmtId="0" fontId="20" fillId="6" borderId="24" xfId="0" applyFont="1" applyFill="1" applyBorder="1" applyAlignment="1">
      <alignment horizontal="center"/>
    </xf>
    <xf numFmtId="167" fontId="27" fillId="10" borderId="11" xfId="0" applyNumberFormat="1" applyFont="1" applyFill="1" applyBorder="1" applyAlignment="1">
      <alignment horizontal="center"/>
    </xf>
    <xf numFmtId="167" fontId="19" fillId="0" borderId="0" xfId="0" applyNumberFormat="1" applyFont="1" applyAlignment="1">
      <alignment horizontal="right"/>
    </xf>
    <xf numFmtId="167" fontId="19" fillId="0" borderId="18" xfId="0" applyNumberFormat="1" applyFont="1" applyBorder="1" applyAlignment="1">
      <alignment horizontal="right"/>
    </xf>
    <xf numFmtId="0" fontId="20" fillId="0" borderId="12" xfId="0" applyFont="1" applyBorder="1" applyAlignment="1">
      <alignment horizontal="left"/>
    </xf>
    <xf numFmtId="167" fontId="19" fillId="26" borderId="11" xfId="0" applyNumberFormat="1" applyFont="1" applyFill="1" applyBorder="1" applyAlignment="1">
      <alignment horizontal="right"/>
    </xf>
    <xf numFmtId="0" fontId="33" fillId="0" borderId="0" xfId="0" applyFont="1"/>
    <xf numFmtId="0" fontId="35" fillId="27" borderId="37" xfId="0" applyFont="1" applyFill="1" applyBorder="1" applyAlignment="1">
      <alignment horizontal="left" vertical="center"/>
    </xf>
    <xf numFmtId="0" fontId="35" fillId="27" borderId="37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left" vertical="center"/>
    </xf>
    <xf numFmtId="169" fontId="38" fillId="29" borderId="37" xfId="0" applyNumberFormat="1" applyFont="1" applyFill="1" applyBorder="1" applyAlignment="1">
      <alignment horizontal="right" vertical="center"/>
    </xf>
    <xf numFmtId="169" fontId="39" fillId="0" borderId="37" xfId="0" applyNumberFormat="1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169" fontId="39" fillId="29" borderId="37" xfId="0" applyNumberFormat="1" applyFont="1" applyFill="1" applyBorder="1" applyAlignment="1">
      <alignment horizontal="left" vertical="center"/>
    </xf>
    <xf numFmtId="0" fontId="40" fillId="31" borderId="37" xfId="0" applyFont="1" applyFill="1" applyBorder="1" applyAlignment="1">
      <alignment horizontal="left" vertical="center"/>
    </xf>
    <xf numFmtId="169" fontId="40" fillId="31" borderId="37" xfId="0" applyNumberFormat="1" applyFont="1" applyFill="1" applyBorder="1" applyAlignment="1">
      <alignment horizontal="left" vertical="center"/>
    </xf>
    <xf numFmtId="169" fontId="38" fillId="29" borderId="37" xfId="0" applyNumberFormat="1" applyFont="1" applyFill="1" applyBorder="1" applyAlignment="1">
      <alignment horizontal="left" vertical="center"/>
    </xf>
    <xf numFmtId="0" fontId="41" fillId="33" borderId="37" xfId="0" applyFont="1" applyFill="1" applyBorder="1" applyAlignment="1">
      <alignment horizontal="left" vertical="center"/>
    </xf>
    <xf numFmtId="169" fontId="41" fillId="33" borderId="37" xfId="0" applyNumberFormat="1" applyFont="1" applyFill="1" applyBorder="1" applyAlignment="1">
      <alignment horizontal="left" vertical="center"/>
    </xf>
    <xf numFmtId="169" fontId="37" fillId="0" borderId="37" xfId="0" applyNumberFormat="1" applyFont="1" applyBorder="1" applyAlignment="1">
      <alignment horizontal="left" vertical="center"/>
    </xf>
    <xf numFmtId="0" fontId="36" fillId="28" borderId="37" xfId="0" applyFont="1" applyFill="1" applyBorder="1" applyAlignment="1">
      <alignment horizontal="left" vertical="center"/>
    </xf>
    <xf numFmtId="169" fontId="36" fillId="28" borderId="37" xfId="0" applyNumberFormat="1" applyFont="1" applyFill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7" fillId="0" borderId="0" xfId="0" applyFont="1"/>
    <xf numFmtId="0" fontId="4" fillId="17" borderId="0" xfId="0" applyFont="1" applyFill="1"/>
    <xf numFmtId="167" fontId="4" fillId="17" borderId="0" xfId="0" applyNumberFormat="1" applyFont="1" applyFill="1"/>
    <xf numFmtId="17" fontId="4" fillId="17" borderId="0" xfId="0" applyNumberFormat="1" applyFont="1" applyFill="1"/>
    <xf numFmtId="0" fontId="44" fillId="27" borderId="37" xfId="0" applyFont="1" applyFill="1" applyBorder="1" applyAlignment="1">
      <alignment horizontal="left" vertical="center"/>
    </xf>
    <xf numFmtId="0" fontId="44" fillId="27" borderId="37" xfId="0" applyFont="1" applyFill="1" applyBorder="1" applyAlignment="1">
      <alignment horizontal="center" vertical="center"/>
    </xf>
    <xf numFmtId="0" fontId="45" fillId="28" borderId="37" xfId="0" applyFont="1" applyFill="1" applyBorder="1"/>
    <xf numFmtId="4" fontId="46" fillId="0" borderId="37" xfId="0" applyNumberFormat="1" applyFont="1" applyBorder="1"/>
    <xf numFmtId="4" fontId="47" fillId="30" borderId="37" xfId="0" applyNumberFormat="1" applyFont="1" applyFill="1" applyBorder="1"/>
    <xf numFmtId="0" fontId="48" fillId="32" borderId="37" xfId="0" applyFont="1" applyFill="1" applyBorder="1"/>
    <xf numFmtId="4" fontId="49" fillId="32" borderId="37" xfId="0" applyNumberFormat="1" applyFont="1" applyFill="1" applyBorder="1"/>
    <xf numFmtId="0" fontId="44" fillId="34" borderId="37" xfId="0" applyFont="1" applyFill="1" applyBorder="1" applyAlignment="1">
      <alignment horizontal="left" vertical="center"/>
    </xf>
    <xf numFmtId="0" fontId="44" fillId="35" borderId="37" xfId="0" applyFont="1" applyFill="1" applyBorder="1" applyAlignment="1">
      <alignment horizontal="left" vertical="center"/>
    </xf>
    <xf numFmtId="0" fontId="44" fillId="34" borderId="37" xfId="0" applyFont="1" applyFill="1" applyBorder="1"/>
    <xf numFmtId="0" fontId="50" fillId="0" borderId="37" xfId="0" applyFont="1" applyBorder="1"/>
    <xf numFmtId="0" fontId="33" fillId="0" borderId="37" xfId="0" applyFont="1" applyBorder="1"/>
    <xf numFmtId="0" fontId="51" fillId="0" borderId="37" xfId="0" applyFont="1" applyBorder="1"/>
    <xf numFmtId="0" fontId="52" fillId="0" borderId="37" xfId="0" applyFont="1" applyBorder="1"/>
    <xf numFmtId="4" fontId="50" fillId="0" borderId="37" xfId="0" applyNumberFormat="1" applyFont="1" applyBorder="1"/>
    <xf numFmtId="4" fontId="51" fillId="31" borderId="37" xfId="0" applyNumberFormat="1" applyFont="1" applyFill="1" applyBorder="1"/>
    <xf numFmtId="0" fontId="53" fillId="0" borderId="37" xfId="0" applyFont="1" applyBorder="1"/>
    <xf numFmtId="4" fontId="54" fillId="28" borderId="37" xfId="0" applyNumberFormat="1" applyFont="1" applyFill="1" applyBorder="1"/>
    <xf numFmtId="4" fontId="55" fillId="18" borderId="37" xfId="0" applyNumberFormat="1" applyFont="1" applyFill="1" applyBorder="1"/>
    <xf numFmtId="4" fontId="56" fillId="36" borderId="37" xfId="0" applyNumberFormat="1" applyFont="1" applyFill="1" applyBorder="1"/>
    <xf numFmtId="49" fontId="58" fillId="38" borderId="37" xfId="0" applyNumberFormat="1" applyFont="1" applyFill="1" applyBorder="1" applyAlignment="1">
      <alignment horizontal="left" vertical="center"/>
    </xf>
    <xf numFmtId="49" fontId="58" fillId="38" borderId="37" xfId="0" applyNumberFormat="1" applyFont="1" applyFill="1" applyBorder="1" applyAlignment="1">
      <alignment horizontal="right" vertical="center"/>
    </xf>
    <xf numFmtId="49" fontId="58" fillId="38" borderId="37" xfId="0" applyNumberFormat="1" applyFont="1" applyFill="1" applyBorder="1" applyAlignment="1">
      <alignment horizontal="center" vertical="center"/>
    </xf>
    <xf numFmtId="49" fontId="61" fillId="0" borderId="37" xfId="0" applyNumberFormat="1" applyFont="1" applyBorder="1" applyAlignment="1">
      <alignment horizontal="left" vertical="center"/>
    </xf>
    <xf numFmtId="4" fontId="61" fillId="0" borderId="37" xfId="0" applyNumberFormat="1" applyFont="1" applyBorder="1" applyAlignment="1">
      <alignment horizontal="right" vertical="center"/>
    </xf>
    <xf numFmtId="4" fontId="61" fillId="40" borderId="37" xfId="0" applyNumberFormat="1" applyFont="1" applyFill="1" applyBorder="1" applyAlignment="1">
      <alignment horizontal="right" vertical="center"/>
    </xf>
    <xf numFmtId="49" fontId="62" fillId="28" borderId="37" xfId="0" applyNumberFormat="1" applyFont="1" applyFill="1" applyBorder="1" applyAlignment="1">
      <alignment horizontal="left" vertical="center"/>
    </xf>
    <xf numFmtId="4" fontId="62" fillId="28" borderId="37" xfId="0" applyNumberFormat="1" applyFont="1" applyFill="1" applyBorder="1" applyAlignment="1">
      <alignment horizontal="right" vertical="center"/>
    </xf>
    <xf numFmtId="49" fontId="63" fillId="42" borderId="37" xfId="0" applyNumberFormat="1" applyFont="1" applyFill="1" applyBorder="1" applyAlignment="1">
      <alignment horizontal="left" vertical="center"/>
    </xf>
    <xf numFmtId="4" fontId="61" fillId="29" borderId="37" xfId="0" applyNumberFormat="1" applyFont="1" applyFill="1" applyBorder="1" applyAlignment="1">
      <alignment horizontal="right" vertical="center"/>
    </xf>
    <xf numFmtId="49" fontId="62" fillId="30" borderId="37" xfId="0" applyNumberFormat="1" applyFont="1" applyFill="1" applyBorder="1" applyAlignment="1">
      <alignment horizontal="left" vertical="center"/>
    </xf>
    <xf numFmtId="4" fontId="62" fillId="30" borderId="37" xfId="0" applyNumberFormat="1" applyFont="1" applyFill="1" applyBorder="1" applyAlignment="1">
      <alignment horizontal="right" vertical="center"/>
    </xf>
    <xf numFmtId="49" fontId="60" fillId="37" borderId="37" xfId="0" applyNumberFormat="1" applyFont="1" applyFill="1" applyBorder="1" applyAlignment="1">
      <alignment horizontal="left" vertical="center"/>
    </xf>
    <xf numFmtId="4" fontId="60" fillId="37" borderId="37" xfId="0" applyNumberFormat="1" applyFont="1" applyFill="1" applyBorder="1" applyAlignment="1">
      <alignment horizontal="right" vertical="center"/>
    </xf>
    <xf numFmtId="0" fontId="65" fillId="0" borderId="0" xfId="0" applyFont="1" applyAlignment="1">
      <alignment horizontal="right" vertical="center"/>
    </xf>
    <xf numFmtId="1" fontId="66" fillId="29" borderId="39" xfId="0" applyNumberFormat="1" applyFont="1" applyFill="1" applyBorder="1" applyAlignment="1">
      <alignment horizontal="center" vertical="center"/>
    </xf>
    <xf numFmtId="0" fontId="67" fillId="0" borderId="0" xfId="0" applyFont="1" applyAlignment="1">
      <alignment horizontal="left" vertical="center"/>
    </xf>
    <xf numFmtId="49" fontId="61" fillId="4" borderId="37" xfId="0" applyNumberFormat="1" applyFont="1" applyFill="1" applyBorder="1" applyAlignment="1">
      <alignment horizontal="left" vertical="center"/>
    </xf>
    <xf numFmtId="3" fontId="61" fillId="4" borderId="37" xfId="0" applyNumberFormat="1" applyFont="1" applyFill="1" applyBorder="1" applyAlignment="1">
      <alignment horizontal="right" vertical="center"/>
    </xf>
    <xf numFmtId="170" fontId="61" fillId="4" borderId="37" xfId="0" applyNumberFormat="1" applyFont="1" applyFill="1" applyBorder="1" applyAlignment="1">
      <alignment horizontal="right" vertical="center"/>
    </xf>
    <xf numFmtId="9" fontId="61" fillId="4" borderId="37" xfId="0" applyNumberFormat="1" applyFont="1" applyFill="1" applyBorder="1" applyAlignment="1">
      <alignment horizontal="center" vertical="center"/>
    </xf>
    <xf numFmtId="49" fontId="60" fillId="39" borderId="39" xfId="0" applyNumberFormat="1" applyFont="1" applyFill="1" applyBorder="1" applyAlignment="1">
      <alignment horizontal="left" vertical="center"/>
    </xf>
    <xf numFmtId="3" fontId="60" fillId="39" borderId="39" xfId="0" applyNumberFormat="1" applyFont="1" applyFill="1" applyBorder="1" applyAlignment="1">
      <alignment horizontal="right" vertical="center"/>
    </xf>
    <xf numFmtId="170" fontId="60" fillId="39" borderId="39" xfId="0" applyNumberFormat="1" applyFont="1" applyFill="1" applyBorder="1" applyAlignment="1">
      <alignment horizontal="right" vertical="center"/>
    </xf>
    <xf numFmtId="9" fontId="60" fillId="39" borderId="39" xfId="0" applyNumberFormat="1" applyFont="1" applyFill="1" applyBorder="1" applyAlignment="1">
      <alignment horizontal="center" vertical="center"/>
    </xf>
    <xf numFmtId="0" fontId="0" fillId="0" borderId="37" xfId="0" applyBorder="1"/>
    <xf numFmtId="49" fontId="60" fillId="44" borderId="39" xfId="0" applyNumberFormat="1" applyFont="1" applyFill="1" applyBorder="1" applyAlignment="1">
      <alignment horizontal="left" vertical="center"/>
    </xf>
    <xf numFmtId="3" fontId="60" fillId="44" borderId="39" xfId="0" applyNumberFormat="1" applyFont="1" applyFill="1" applyBorder="1" applyAlignment="1">
      <alignment horizontal="right" vertical="center"/>
    </xf>
    <xf numFmtId="170" fontId="60" fillId="44" borderId="39" xfId="0" applyNumberFormat="1" applyFont="1" applyFill="1" applyBorder="1" applyAlignment="1">
      <alignment horizontal="right" vertical="center"/>
    </xf>
    <xf numFmtId="9" fontId="60" fillId="44" borderId="39" xfId="0" applyNumberFormat="1" applyFont="1" applyFill="1" applyBorder="1" applyAlignment="1">
      <alignment horizontal="center" vertical="center"/>
    </xf>
    <xf numFmtId="49" fontId="60" fillId="37" borderId="39" xfId="0" applyNumberFormat="1" applyFont="1" applyFill="1" applyBorder="1" applyAlignment="1">
      <alignment horizontal="left" vertical="center"/>
    </xf>
    <xf numFmtId="3" fontId="60" fillId="37" borderId="39" xfId="0" applyNumberFormat="1" applyFont="1" applyFill="1" applyBorder="1" applyAlignment="1">
      <alignment horizontal="right" vertical="center"/>
    </xf>
    <xf numFmtId="170" fontId="60" fillId="37" borderId="39" xfId="0" applyNumberFormat="1" applyFont="1" applyFill="1" applyBorder="1" applyAlignment="1">
      <alignment horizontal="right" vertical="center"/>
    </xf>
    <xf numFmtId="9" fontId="60" fillId="37" borderId="39" xfId="0" applyNumberFormat="1" applyFont="1" applyFill="1" applyBorder="1" applyAlignment="1">
      <alignment horizontal="center" vertical="center"/>
    </xf>
    <xf numFmtId="49" fontId="60" fillId="46" borderId="39" xfId="0" applyNumberFormat="1" applyFont="1" applyFill="1" applyBorder="1" applyAlignment="1">
      <alignment horizontal="left" vertical="center"/>
    </xf>
    <xf numFmtId="3" fontId="60" fillId="46" borderId="39" xfId="0" applyNumberFormat="1" applyFont="1" applyFill="1" applyBorder="1" applyAlignment="1">
      <alignment horizontal="right" vertical="center"/>
    </xf>
    <xf numFmtId="170" fontId="60" fillId="46" borderId="39" xfId="0" applyNumberFormat="1" applyFont="1" applyFill="1" applyBorder="1" applyAlignment="1">
      <alignment horizontal="right" vertical="center"/>
    </xf>
    <xf numFmtId="9" fontId="60" fillId="46" borderId="39" xfId="0" applyNumberFormat="1" applyFont="1" applyFill="1" applyBorder="1" applyAlignment="1">
      <alignment horizontal="center" vertical="center"/>
    </xf>
    <xf numFmtId="0" fontId="63" fillId="47" borderId="37" xfId="0" applyFont="1" applyFill="1" applyBorder="1" applyAlignment="1">
      <alignment horizontal="center"/>
    </xf>
    <xf numFmtId="0" fontId="63" fillId="48" borderId="37" xfId="0" applyFont="1" applyFill="1" applyBorder="1" applyAlignment="1">
      <alignment horizontal="center"/>
    </xf>
    <xf numFmtId="0" fontId="0" fillId="47" borderId="37" xfId="0" applyFill="1" applyBorder="1"/>
    <xf numFmtId="49" fontId="72" fillId="47" borderId="37" xfId="0" applyNumberFormat="1" applyFont="1" applyFill="1" applyBorder="1" applyAlignment="1">
      <alignment horizontal="center" vertical="center"/>
    </xf>
    <xf numFmtId="49" fontId="73" fillId="48" borderId="37" xfId="0" applyNumberFormat="1" applyFont="1" applyFill="1" applyBorder="1" applyAlignment="1">
      <alignment horizontal="center" vertical="center"/>
    </xf>
    <xf numFmtId="3" fontId="61" fillId="0" borderId="37" xfId="0" applyNumberFormat="1" applyFont="1" applyBorder="1" applyAlignment="1">
      <alignment horizontal="right" vertical="center"/>
    </xf>
    <xf numFmtId="170" fontId="74" fillId="0" borderId="37" xfId="0" applyNumberFormat="1" applyFont="1" applyBorder="1" applyAlignment="1">
      <alignment horizontal="right" vertical="center"/>
    </xf>
    <xf numFmtId="9" fontId="74" fillId="0" borderId="37" xfId="0" applyNumberFormat="1" applyFont="1" applyBorder="1" applyAlignment="1">
      <alignment horizontal="center" vertical="center"/>
    </xf>
    <xf numFmtId="49" fontId="74" fillId="49" borderId="37" xfId="0" applyNumberFormat="1" applyFont="1" applyFill="1" applyBorder="1" applyAlignment="1">
      <alignment horizontal="center" vertical="center"/>
    </xf>
    <xf numFmtId="170" fontId="75" fillId="0" borderId="37" xfId="0" applyNumberFormat="1" applyFont="1" applyBorder="1" applyAlignment="1">
      <alignment horizontal="right" vertical="center"/>
    </xf>
    <xf numFmtId="9" fontId="75" fillId="0" borderId="37" xfId="0" applyNumberFormat="1" applyFont="1" applyBorder="1" applyAlignment="1">
      <alignment horizontal="center" vertical="center"/>
    </xf>
    <xf numFmtId="49" fontId="75" fillId="50" borderId="37" xfId="0" applyNumberFormat="1" applyFont="1" applyFill="1" applyBorder="1" applyAlignment="1">
      <alignment horizontal="center" vertical="center"/>
    </xf>
    <xf numFmtId="170" fontId="76" fillId="0" borderId="37" xfId="0" applyNumberFormat="1" applyFont="1" applyBorder="1" applyAlignment="1">
      <alignment horizontal="right" vertical="center"/>
    </xf>
    <xf numFmtId="9" fontId="76" fillId="0" borderId="37" xfId="0" applyNumberFormat="1" applyFont="1" applyBorder="1" applyAlignment="1">
      <alignment horizontal="center" vertical="center"/>
    </xf>
    <xf numFmtId="49" fontId="76" fillId="51" borderId="37" xfId="0" applyNumberFormat="1" applyFont="1" applyFill="1" applyBorder="1" applyAlignment="1">
      <alignment horizontal="center" vertical="center"/>
    </xf>
    <xf numFmtId="170" fontId="77" fillId="0" borderId="37" xfId="0" applyNumberFormat="1" applyFont="1" applyBorder="1" applyAlignment="1">
      <alignment horizontal="right" vertical="center"/>
    </xf>
    <xf numFmtId="9" fontId="77" fillId="0" borderId="37" xfId="0" applyNumberFormat="1" applyFont="1" applyBorder="1" applyAlignment="1">
      <alignment horizontal="center" vertical="center"/>
    </xf>
    <xf numFmtId="49" fontId="78" fillId="52" borderId="37" xfId="0" applyNumberFormat="1" applyFont="1" applyFill="1" applyBorder="1" applyAlignment="1">
      <alignment horizontal="center" vertical="center"/>
    </xf>
    <xf numFmtId="49" fontId="62" fillId="53" borderId="37" xfId="0" applyNumberFormat="1" applyFont="1" applyFill="1" applyBorder="1" applyAlignment="1">
      <alignment horizontal="left" vertical="center"/>
    </xf>
    <xf numFmtId="3" fontId="62" fillId="53" borderId="37" xfId="0" applyNumberFormat="1" applyFont="1" applyFill="1" applyBorder="1" applyAlignment="1">
      <alignment horizontal="right" vertical="center"/>
    </xf>
    <xf numFmtId="170" fontId="79" fillId="53" borderId="37" xfId="0" applyNumberFormat="1" applyFont="1" applyFill="1" applyBorder="1" applyAlignment="1">
      <alignment horizontal="right" vertical="center"/>
    </xf>
    <xf numFmtId="9" fontId="79" fillId="53" borderId="37" xfId="0" applyNumberFormat="1" applyFont="1" applyFill="1" applyBorder="1" applyAlignment="1">
      <alignment horizontal="center" vertical="center"/>
    </xf>
    <xf numFmtId="49" fontId="61" fillId="53" borderId="37" xfId="0" applyNumberFormat="1" applyFont="1" applyFill="1" applyBorder="1" applyAlignment="1">
      <alignment horizontal="right" vertical="center"/>
    </xf>
    <xf numFmtId="3" fontId="60" fillId="37" borderId="37" xfId="0" applyNumberFormat="1" applyFont="1" applyFill="1" applyBorder="1" applyAlignment="1">
      <alignment horizontal="right" vertical="center"/>
    </xf>
    <xf numFmtId="170" fontId="60" fillId="37" borderId="37" xfId="0" applyNumberFormat="1" applyFont="1" applyFill="1" applyBorder="1" applyAlignment="1">
      <alignment horizontal="right" vertical="center"/>
    </xf>
    <xf numFmtId="9" fontId="60" fillId="37" borderId="37" xfId="0" applyNumberFormat="1" applyFont="1" applyFill="1" applyBorder="1" applyAlignment="1">
      <alignment horizontal="center" vertical="center"/>
    </xf>
    <xf numFmtId="49" fontId="60" fillId="37" borderId="37" xfId="0" applyNumberFormat="1" applyFont="1" applyFill="1" applyBorder="1" applyAlignment="1">
      <alignment horizontal="right" vertical="center"/>
    </xf>
    <xf numFmtId="0" fontId="58" fillId="38" borderId="37" xfId="0" applyFont="1" applyFill="1" applyBorder="1" applyAlignment="1">
      <alignment horizontal="center" vertical="center"/>
    </xf>
    <xf numFmtId="0" fontId="58" fillId="38" borderId="37" xfId="0" applyFont="1" applyFill="1" applyBorder="1" applyAlignment="1">
      <alignment horizontal="left" vertical="center"/>
    </xf>
    <xf numFmtId="0" fontId="58" fillId="38" borderId="37" xfId="0" applyFont="1" applyFill="1" applyBorder="1" applyAlignment="1">
      <alignment horizontal="right" vertical="center"/>
    </xf>
    <xf numFmtId="1" fontId="61" fillId="0" borderId="37" xfId="0" applyNumberFormat="1" applyFont="1" applyBorder="1" applyAlignment="1">
      <alignment horizontal="center" vertical="center"/>
    </xf>
    <xf numFmtId="49" fontId="61" fillId="0" borderId="37" xfId="0" applyNumberFormat="1" applyFont="1" applyBorder="1" applyAlignment="1">
      <alignment horizontal="center" vertical="center"/>
    </xf>
    <xf numFmtId="4" fontId="81" fillId="0" borderId="37" xfId="0" applyNumberFormat="1" applyFont="1" applyBorder="1" applyAlignment="1">
      <alignment horizontal="right" vertical="center"/>
    </xf>
    <xf numFmtId="4" fontId="82" fillId="0" borderId="37" xfId="0" applyNumberFormat="1" applyFont="1" applyBorder="1" applyAlignment="1">
      <alignment horizontal="right" vertical="center"/>
    </xf>
    <xf numFmtId="49" fontId="61" fillId="30" borderId="37" xfId="0" applyNumberFormat="1" applyFont="1" applyFill="1" applyBorder="1" applyAlignment="1">
      <alignment horizontal="left" vertical="center"/>
    </xf>
    <xf numFmtId="49" fontId="61" fillId="0" borderId="37" xfId="0" applyNumberFormat="1" applyFont="1" applyBorder="1" applyAlignment="1">
      <alignment horizontal="left" vertical="center" wrapText="1"/>
    </xf>
    <xf numFmtId="9" fontId="8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172" fontId="0" fillId="0" borderId="0" xfId="0" applyNumberFormat="1"/>
    <xf numFmtId="0" fontId="83" fillId="0" borderId="0" xfId="0" applyFont="1" applyAlignment="1">
      <alignment horizontal="center" vertical="center"/>
    </xf>
    <xf numFmtId="0" fontId="17" fillId="0" borderId="0" xfId="0" applyFont="1"/>
    <xf numFmtId="9" fontId="17" fillId="0" borderId="0" xfId="0" applyNumberFormat="1" applyFont="1"/>
    <xf numFmtId="9" fontId="8" fillId="0" borderId="0" xfId="0" applyNumberFormat="1" applyFont="1" applyAlignment="1">
      <alignment vertical="center"/>
    </xf>
    <xf numFmtId="0" fontId="8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0" fontId="85" fillId="14" borderId="11" xfId="0" applyFont="1" applyFill="1" applyBorder="1" applyAlignment="1">
      <alignment horizontal="center" vertical="center" wrapText="1"/>
    </xf>
    <xf numFmtId="0" fontId="85" fillId="14" borderId="12" xfId="0" applyFont="1" applyFill="1" applyBorder="1" applyAlignment="1">
      <alignment horizontal="center" vertical="center" wrapText="1"/>
    </xf>
    <xf numFmtId="0" fontId="85" fillId="14" borderId="43" xfId="0" applyFont="1" applyFill="1" applyBorder="1" applyAlignment="1">
      <alignment horizontal="center" vertical="center" wrapText="1"/>
    </xf>
    <xf numFmtId="0" fontId="85" fillId="14" borderId="44" xfId="0" applyFont="1" applyFill="1" applyBorder="1" applyAlignment="1">
      <alignment horizontal="center" vertical="center" wrapText="1"/>
    </xf>
    <xf numFmtId="0" fontId="85" fillId="14" borderId="16" xfId="0" applyFont="1" applyFill="1" applyBorder="1" applyAlignment="1">
      <alignment horizontal="center" vertical="center" wrapText="1"/>
    </xf>
    <xf numFmtId="0" fontId="85" fillId="14" borderId="15" xfId="0" applyFont="1" applyFill="1" applyBorder="1" applyAlignment="1">
      <alignment horizontal="center" vertical="center" wrapText="1"/>
    </xf>
    <xf numFmtId="167" fontId="8" fillId="11" borderId="17" xfId="0" applyNumberFormat="1" applyFont="1" applyFill="1" applyBorder="1" applyAlignment="1">
      <alignment horizontal="center" vertical="center" wrapText="1"/>
    </xf>
    <xf numFmtId="167" fontId="8" fillId="11" borderId="0" xfId="0" applyNumberFormat="1" applyFont="1" applyFill="1" applyAlignment="1">
      <alignment horizontal="center" vertical="center" wrapText="1"/>
    </xf>
    <xf numFmtId="167" fontId="8" fillId="11" borderId="18" xfId="0" applyNumberFormat="1" applyFont="1" applyFill="1" applyBorder="1" applyAlignment="1">
      <alignment horizontal="center" vertical="center" wrapText="1"/>
    </xf>
    <xf numFmtId="167" fontId="8" fillId="12" borderId="17" xfId="0" applyNumberFormat="1" applyFont="1" applyFill="1" applyBorder="1" applyAlignment="1">
      <alignment horizontal="center" vertical="center" wrapText="1"/>
    </xf>
    <xf numFmtId="167" fontId="8" fillId="12" borderId="0" xfId="0" applyNumberFormat="1" applyFont="1" applyFill="1" applyAlignment="1">
      <alignment horizontal="center" vertical="center" wrapText="1"/>
    </xf>
    <xf numFmtId="167" fontId="8" fillId="13" borderId="19" xfId="0" applyNumberFormat="1" applyFont="1" applyFill="1" applyBorder="1" applyAlignment="1">
      <alignment horizontal="center" vertical="center" wrapText="1"/>
    </xf>
    <xf numFmtId="167" fontId="8" fillId="13" borderId="20" xfId="0" applyNumberFormat="1" applyFont="1" applyFill="1" applyBorder="1" applyAlignment="1">
      <alignment horizontal="center" vertical="center" wrapText="1"/>
    </xf>
    <xf numFmtId="167" fontId="8" fillId="13" borderId="21" xfId="0" applyNumberFormat="1" applyFont="1" applyFill="1" applyBorder="1" applyAlignment="1">
      <alignment horizontal="center" vertical="center" wrapText="1"/>
    </xf>
    <xf numFmtId="167" fontId="8" fillId="15" borderId="19" xfId="0" applyNumberFormat="1" applyFont="1" applyFill="1" applyBorder="1" applyAlignment="1">
      <alignment horizontal="center" vertical="center" wrapText="1"/>
    </xf>
    <xf numFmtId="167" fontId="8" fillId="15" borderId="20" xfId="0" applyNumberFormat="1" applyFont="1" applyFill="1" applyBorder="1" applyAlignment="1">
      <alignment horizontal="center" vertical="center" wrapText="1"/>
    </xf>
    <xf numFmtId="167" fontId="8" fillId="15" borderId="21" xfId="0" applyNumberFormat="1" applyFont="1" applyFill="1" applyBorder="1" applyAlignment="1">
      <alignment horizontal="center" vertical="center" wrapText="1"/>
    </xf>
    <xf numFmtId="167" fontId="8" fillId="2" borderId="19" xfId="0" applyNumberFormat="1" applyFont="1" applyFill="1" applyBorder="1" applyAlignment="1">
      <alignment horizontal="center" vertical="center" wrapText="1"/>
    </xf>
    <xf numFmtId="167" fontId="8" fillId="2" borderId="20" xfId="0" applyNumberFormat="1" applyFont="1" applyFill="1" applyBorder="1" applyAlignment="1">
      <alignment horizontal="center" vertical="center" wrapText="1"/>
    </xf>
    <xf numFmtId="167" fontId="8" fillId="2" borderId="21" xfId="0" applyNumberFormat="1" applyFont="1" applyFill="1" applyBorder="1" applyAlignment="1">
      <alignment horizontal="center" vertical="center" wrapText="1"/>
    </xf>
    <xf numFmtId="167" fontId="8" fillId="16" borderId="19" xfId="0" applyNumberFormat="1" applyFont="1" applyFill="1" applyBorder="1" applyAlignment="1">
      <alignment horizontal="center" vertical="center" wrapText="1"/>
    </xf>
    <xf numFmtId="167" fontId="8" fillId="16" borderId="20" xfId="0" applyNumberFormat="1" applyFont="1" applyFill="1" applyBorder="1" applyAlignment="1">
      <alignment horizontal="center" vertical="center" wrapText="1"/>
    </xf>
    <xf numFmtId="167" fontId="8" fillId="16" borderId="21" xfId="0" applyNumberFormat="1" applyFont="1" applyFill="1" applyBorder="1" applyAlignment="1">
      <alignment horizontal="center" vertical="center" wrapText="1"/>
    </xf>
    <xf numFmtId="0" fontId="8" fillId="17" borderId="19" xfId="0" applyFont="1" applyFill="1" applyBorder="1" applyAlignment="1">
      <alignment horizontal="center" vertical="center" wrapText="1"/>
    </xf>
    <xf numFmtId="0" fontId="8" fillId="17" borderId="20" xfId="0" applyFont="1" applyFill="1" applyBorder="1" applyAlignment="1">
      <alignment horizontal="center" vertical="center" wrapText="1"/>
    </xf>
    <xf numFmtId="0" fontId="8" fillId="17" borderId="2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4" borderId="0" xfId="0" applyFill="1"/>
    <xf numFmtId="0" fontId="86" fillId="20" borderId="23" xfId="0" applyFont="1" applyFill="1" applyBorder="1" applyAlignment="1">
      <alignment horizontal="left"/>
    </xf>
    <xf numFmtId="0" fontId="86" fillId="20" borderId="45" xfId="0" applyFont="1" applyFill="1" applyBorder="1" applyAlignment="1">
      <alignment horizontal="center"/>
    </xf>
    <xf numFmtId="173" fontId="86" fillId="18" borderId="44" xfId="0" applyNumberFormat="1" applyFont="1" applyFill="1" applyBorder="1" applyAlignment="1">
      <alignment horizontal="right"/>
    </xf>
    <xf numFmtId="173" fontId="86" fillId="18" borderId="11" xfId="0" applyNumberFormat="1" applyFont="1" applyFill="1" applyBorder="1" applyAlignment="1">
      <alignment horizontal="right"/>
    </xf>
    <xf numFmtId="173" fontId="86" fillId="4" borderId="16" xfId="0" applyNumberFormat="1" applyFont="1" applyFill="1" applyBorder="1" applyAlignment="1">
      <alignment horizontal="right"/>
    </xf>
    <xf numFmtId="0" fontId="86" fillId="4" borderId="15" xfId="0" applyFont="1" applyFill="1" applyBorder="1" applyAlignment="1">
      <alignment horizontal="center"/>
    </xf>
    <xf numFmtId="0" fontId="86" fillId="4" borderId="11" xfId="0" applyFont="1" applyFill="1" applyBorder="1" applyAlignment="1">
      <alignment horizontal="center"/>
    </xf>
    <xf numFmtId="174" fontId="86" fillId="4" borderId="11" xfId="0" applyNumberFormat="1" applyFont="1" applyFill="1" applyBorder="1" applyAlignment="1">
      <alignment horizontal="center"/>
    </xf>
    <xf numFmtId="9" fontId="86" fillId="4" borderId="11" xfId="0" applyNumberFormat="1" applyFont="1" applyFill="1" applyBorder="1" applyAlignment="1">
      <alignment horizontal="center"/>
    </xf>
    <xf numFmtId="167" fontId="0" fillId="0" borderId="17" xfId="0" applyNumberFormat="1" applyBorder="1"/>
    <xf numFmtId="167" fontId="0" fillId="0" borderId="18" xfId="0" applyNumberFormat="1" applyBorder="1"/>
    <xf numFmtId="167" fontId="8" fillId="0" borderId="18" xfId="0" applyNumberFormat="1" applyFont="1" applyBorder="1"/>
    <xf numFmtId="0" fontId="0" fillId="20" borderId="46" xfId="0" applyFill="1" applyBorder="1"/>
    <xf numFmtId="0" fontId="0" fillId="20" borderId="47" xfId="0" applyFill="1" applyBorder="1"/>
    <xf numFmtId="174" fontId="86" fillId="55" borderId="11" xfId="0" applyNumberFormat="1" applyFont="1" applyFill="1" applyBorder="1" applyAlignment="1">
      <alignment horizontal="center"/>
    </xf>
    <xf numFmtId="0" fontId="85" fillId="20" borderId="23" xfId="0" applyFont="1" applyFill="1" applyBorder="1"/>
    <xf numFmtId="0" fontId="87" fillId="20" borderId="48" xfId="0" applyFont="1" applyFill="1" applyBorder="1"/>
    <xf numFmtId="0" fontId="0" fillId="20" borderId="45" xfId="0" applyFill="1" applyBorder="1"/>
    <xf numFmtId="0" fontId="0" fillId="20" borderId="45" xfId="0" applyFill="1" applyBorder="1" applyAlignment="1">
      <alignment horizontal="center"/>
    </xf>
    <xf numFmtId="0" fontId="86" fillId="20" borderId="44" xfId="0" applyFont="1" applyFill="1" applyBorder="1" applyAlignment="1">
      <alignment horizontal="right"/>
    </xf>
    <xf numFmtId="0" fontId="86" fillId="20" borderId="11" xfId="0" applyFont="1" applyFill="1" applyBorder="1" applyAlignment="1">
      <alignment horizontal="right"/>
    </xf>
    <xf numFmtId="0" fontId="86" fillId="20" borderId="16" xfId="0" applyFont="1" applyFill="1" applyBorder="1" applyAlignment="1">
      <alignment horizontal="right"/>
    </xf>
    <xf numFmtId="0" fontId="86" fillId="20" borderId="15" xfId="0" applyFont="1" applyFill="1" applyBorder="1" applyAlignment="1">
      <alignment horizontal="center"/>
    </xf>
    <xf numFmtId="0" fontId="86" fillId="4" borderId="12" xfId="0" applyFont="1" applyFill="1" applyBorder="1" applyAlignment="1">
      <alignment horizontal="left"/>
    </xf>
    <xf numFmtId="173" fontId="86" fillId="4" borderId="44" xfId="0" applyNumberFormat="1" applyFont="1" applyFill="1" applyBorder="1" applyAlignment="1">
      <alignment horizontal="right"/>
    </xf>
    <xf numFmtId="173" fontId="86" fillId="4" borderId="11" xfId="0" applyNumberFormat="1" applyFont="1" applyFill="1" applyBorder="1" applyAlignment="1">
      <alignment horizontal="right"/>
    </xf>
    <xf numFmtId="173" fontId="86" fillId="55" borderId="15" xfId="0" applyNumberFormat="1" applyFont="1" applyFill="1" applyBorder="1" applyAlignment="1">
      <alignment horizontal="right"/>
    </xf>
    <xf numFmtId="0" fontId="86" fillId="20" borderId="48" xfId="0" applyFont="1" applyFill="1" applyBorder="1" applyAlignment="1">
      <alignment horizontal="left"/>
    </xf>
    <xf numFmtId="173" fontId="86" fillId="0" borderId="44" xfId="0" applyNumberFormat="1" applyFont="1" applyBorder="1" applyAlignment="1">
      <alignment horizontal="right"/>
    </xf>
    <xf numFmtId="173" fontId="86" fillId="0" borderId="15" xfId="0" applyNumberFormat="1" applyFont="1" applyBorder="1" applyAlignment="1">
      <alignment horizontal="right"/>
    </xf>
    <xf numFmtId="173" fontId="86" fillId="4" borderId="0" xfId="0" applyNumberFormat="1" applyFont="1" applyFill="1" applyAlignment="1">
      <alignment horizontal="right"/>
    </xf>
    <xf numFmtId="173" fontId="86" fillId="4" borderId="49" xfId="0" applyNumberFormat="1" applyFont="1" applyFill="1" applyBorder="1" applyAlignment="1">
      <alignment horizontal="right"/>
    </xf>
    <xf numFmtId="173" fontId="86" fillId="0" borderId="0" xfId="0" applyNumberFormat="1" applyFont="1" applyAlignment="1">
      <alignment horizontal="right"/>
    </xf>
    <xf numFmtId="0" fontId="86" fillId="20" borderId="12" xfId="0" applyFont="1" applyFill="1" applyBorder="1" applyAlignment="1">
      <alignment horizontal="right"/>
    </xf>
    <xf numFmtId="0" fontId="86" fillId="20" borderId="43" xfId="0" applyFont="1" applyFill="1" applyBorder="1" applyAlignment="1">
      <alignment horizontal="center"/>
    </xf>
    <xf numFmtId="0" fontId="86" fillId="0" borderId="15" xfId="0" applyFont="1" applyBorder="1" applyAlignment="1">
      <alignment horizontal="right"/>
    </xf>
    <xf numFmtId="0" fontId="86" fillId="20" borderId="11" xfId="0" applyFont="1" applyFill="1" applyBorder="1" applyAlignment="1">
      <alignment horizontal="center"/>
    </xf>
    <xf numFmtId="0" fontId="0" fillId="4" borderId="7" xfId="0" applyFill="1" applyBorder="1"/>
    <xf numFmtId="0" fontId="85" fillId="20" borderId="26" xfId="0" applyFont="1" applyFill="1" applyBorder="1"/>
    <xf numFmtId="0" fontId="87" fillId="20" borderId="30" xfId="0" applyFont="1" applyFill="1" applyBorder="1"/>
    <xf numFmtId="0" fontId="86" fillId="20" borderId="26" xfId="0" applyFont="1" applyFill="1" applyBorder="1" applyAlignment="1">
      <alignment horizontal="right"/>
    </xf>
    <xf numFmtId="0" fontId="86" fillId="20" borderId="50" xfId="0" applyFont="1" applyFill="1" applyBorder="1" applyAlignment="1">
      <alignment horizontal="center"/>
    </xf>
    <xf numFmtId="0" fontId="86" fillId="20" borderId="51" xfId="0" applyFont="1" applyFill="1" applyBorder="1" applyAlignment="1">
      <alignment horizontal="right"/>
    </xf>
    <xf numFmtId="0" fontId="86" fillId="20" borderId="27" xfId="0" applyFont="1" applyFill="1" applyBorder="1" applyAlignment="1">
      <alignment horizontal="right"/>
    </xf>
    <xf numFmtId="0" fontId="86" fillId="20" borderId="52" xfId="0" applyFont="1" applyFill="1" applyBorder="1" applyAlignment="1">
      <alignment horizontal="right"/>
    </xf>
    <xf numFmtId="0" fontId="86" fillId="20" borderId="30" xfId="0" applyFont="1" applyFill="1" applyBorder="1" applyAlignment="1">
      <alignment horizontal="center"/>
    </xf>
    <xf numFmtId="0" fontId="86" fillId="20" borderId="27" xfId="0" applyFont="1" applyFill="1" applyBorder="1" applyAlignment="1">
      <alignment horizontal="center"/>
    </xf>
    <xf numFmtId="167" fontId="0" fillId="0" borderId="31" xfId="0" applyNumberFormat="1" applyBorder="1"/>
    <xf numFmtId="167" fontId="0" fillId="0" borderId="7" xfId="0" applyNumberFormat="1" applyBorder="1"/>
    <xf numFmtId="167" fontId="0" fillId="0" borderId="32" xfId="0" applyNumberFormat="1" applyBorder="1"/>
    <xf numFmtId="9" fontId="0" fillId="0" borderId="7" xfId="0" applyNumberFormat="1" applyBorder="1"/>
    <xf numFmtId="0" fontId="8" fillId="4" borderId="0" xfId="0" applyFont="1" applyFill="1"/>
    <xf numFmtId="0" fontId="85" fillId="21" borderId="33" xfId="0" applyFont="1" applyFill="1" applyBorder="1"/>
    <xf numFmtId="0" fontId="85" fillId="21" borderId="36" xfId="0" applyFont="1" applyFill="1" applyBorder="1"/>
    <xf numFmtId="0" fontId="88" fillId="21" borderId="33" xfId="0" applyFont="1" applyFill="1" applyBorder="1" applyAlignment="1">
      <alignment horizontal="right"/>
    </xf>
    <xf numFmtId="0" fontId="88" fillId="21" borderId="9" xfId="0" applyFont="1" applyFill="1" applyBorder="1" applyAlignment="1">
      <alignment horizontal="center"/>
    </xf>
    <xf numFmtId="0" fontId="88" fillId="21" borderId="53" xfId="0" applyFont="1" applyFill="1" applyBorder="1" applyAlignment="1">
      <alignment horizontal="right"/>
    </xf>
    <xf numFmtId="0" fontId="88" fillId="21" borderId="25" xfId="0" applyFont="1" applyFill="1" applyBorder="1" applyAlignment="1">
      <alignment horizontal="right"/>
    </xf>
    <xf numFmtId="0" fontId="88" fillId="21" borderId="54" xfId="0" applyFont="1" applyFill="1" applyBorder="1" applyAlignment="1">
      <alignment horizontal="right"/>
    </xf>
    <xf numFmtId="0" fontId="88" fillId="21" borderId="36" xfId="0" applyFont="1" applyFill="1" applyBorder="1" applyAlignment="1">
      <alignment horizontal="center"/>
    </xf>
    <xf numFmtId="0" fontId="88" fillId="21" borderId="25" xfId="0" applyFont="1" applyFill="1" applyBorder="1" applyAlignment="1">
      <alignment horizontal="center"/>
    </xf>
    <xf numFmtId="167" fontId="6" fillId="22" borderId="17" xfId="0" applyNumberFormat="1" applyFont="1" applyFill="1" applyBorder="1"/>
    <xf numFmtId="167" fontId="6" fillId="22" borderId="0" xfId="0" applyNumberFormat="1" applyFont="1" applyFill="1"/>
    <xf numFmtId="167" fontId="6" fillId="22" borderId="18" xfId="0" applyNumberFormat="1" applyFont="1" applyFill="1" applyBorder="1"/>
    <xf numFmtId="167" fontId="7" fillId="22" borderId="0" xfId="0" applyNumberFormat="1" applyFont="1" applyFill="1"/>
    <xf numFmtId="167" fontId="8" fillId="0" borderId="17" xfId="0" applyNumberFormat="1" applyFont="1" applyBorder="1"/>
    <xf numFmtId="167" fontId="8" fillId="23" borderId="0" xfId="0" applyNumberFormat="1" applyFont="1" applyFill="1"/>
    <xf numFmtId="167" fontId="8" fillId="6" borderId="18" xfId="0" applyNumberFormat="1" applyFont="1" applyFill="1" applyBorder="1"/>
    <xf numFmtId="0" fontId="87" fillId="4" borderId="55" xfId="0" applyFont="1" applyFill="1" applyBorder="1"/>
    <xf numFmtId="174" fontId="0" fillId="0" borderId="0" xfId="0" applyNumberFormat="1" applyAlignment="1">
      <alignment horizontal="center"/>
    </xf>
    <xf numFmtId="0" fontId="87" fillId="4" borderId="56" xfId="0" applyFont="1" applyFill="1" applyBorder="1"/>
    <xf numFmtId="167" fontId="8" fillId="0" borderId="0" xfId="0" applyNumberFormat="1" applyFont="1" applyAlignment="1">
      <alignment horizontal="center"/>
    </xf>
    <xf numFmtId="168" fontId="0" fillId="0" borderId="0" xfId="0" applyNumberFormat="1"/>
    <xf numFmtId="167" fontId="0" fillId="56" borderId="0" xfId="0" applyNumberFormat="1" applyFill="1"/>
    <xf numFmtId="167" fontId="10" fillId="56" borderId="0" xfId="0" applyNumberFormat="1" applyFont="1" applyFill="1"/>
    <xf numFmtId="167" fontId="8" fillId="2" borderId="0" xfId="0" applyNumberFormat="1" applyFont="1" applyFill="1"/>
    <xf numFmtId="0" fontId="85" fillId="14" borderId="11" xfId="0" applyFont="1" applyFill="1" applyBorder="1"/>
    <xf numFmtId="0" fontId="89" fillId="14" borderId="11" xfId="0" applyFont="1" applyFill="1" applyBorder="1"/>
    <xf numFmtId="0" fontId="85" fillId="14" borderId="11" xfId="0" applyFont="1" applyFill="1" applyBorder="1" applyAlignment="1">
      <alignment horizontal="right"/>
    </xf>
    <xf numFmtId="0" fontId="85" fillId="14" borderId="11" xfId="0" applyFont="1" applyFill="1" applyBorder="1" applyAlignment="1">
      <alignment horizontal="center"/>
    </xf>
    <xf numFmtId="0" fontId="0" fillId="4" borderId="57" xfId="0" applyFill="1" applyBorder="1"/>
    <xf numFmtId="0" fontId="86" fillId="4" borderId="11" xfId="0" applyFont="1" applyFill="1" applyBorder="1" applyAlignment="1">
      <alignment horizontal="left"/>
    </xf>
    <xf numFmtId="173" fontId="90" fillId="4" borderId="11" xfId="0" applyNumberFormat="1" applyFont="1" applyFill="1" applyBorder="1" applyAlignment="1">
      <alignment horizontal="right"/>
    </xf>
    <xf numFmtId="0" fontId="90" fillId="4" borderId="11" xfId="0" applyFont="1" applyFill="1" applyBorder="1" applyAlignment="1">
      <alignment horizontal="left"/>
    </xf>
    <xf numFmtId="0" fontId="86" fillId="4" borderId="11" xfId="0" applyFont="1" applyFill="1" applyBorder="1" applyAlignment="1">
      <alignment horizontal="right"/>
    </xf>
    <xf numFmtId="0" fontId="86" fillId="6" borderId="11" xfId="0" applyFont="1" applyFill="1" applyBorder="1" applyAlignment="1">
      <alignment horizontal="right"/>
    </xf>
    <xf numFmtId="0" fontId="86" fillId="6" borderId="11" xfId="0" applyFont="1" applyFill="1" applyBorder="1" applyAlignment="1">
      <alignment horizontal="left"/>
    </xf>
    <xf numFmtId="174" fontId="0" fillId="0" borderId="0" xfId="0" applyNumberFormat="1"/>
    <xf numFmtId="175" fontId="0" fillId="0" borderId="0" xfId="0" applyNumberFormat="1"/>
    <xf numFmtId="0" fontId="86" fillId="5" borderId="11" xfId="0" applyFont="1" applyFill="1" applyBorder="1" applyAlignment="1">
      <alignment horizontal="left"/>
    </xf>
    <xf numFmtId="171" fontId="86" fillId="4" borderId="11" xfId="0" applyNumberFormat="1" applyFont="1" applyFill="1" applyBorder="1" applyAlignment="1">
      <alignment horizontal="left"/>
    </xf>
    <xf numFmtId="0" fontId="90" fillId="20" borderId="11" xfId="0" applyFont="1" applyFill="1" applyBorder="1" applyAlignment="1">
      <alignment horizontal="right"/>
    </xf>
    <xf numFmtId="174" fontId="86" fillId="20" borderId="11" xfId="0" applyNumberFormat="1" applyFont="1" applyFill="1" applyBorder="1" applyAlignment="1">
      <alignment horizontal="center"/>
    </xf>
    <xf numFmtId="171" fontId="86" fillId="4" borderId="11" xfId="0" applyNumberFormat="1" applyFont="1" applyFill="1" applyBorder="1" applyAlignment="1">
      <alignment horizontal="right"/>
    </xf>
    <xf numFmtId="171" fontId="86" fillId="4" borderId="11" xfId="0" applyNumberFormat="1" applyFont="1" applyFill="1" applyBorder="1" applyAlignment="1">
      <alignment horizontal="center"/>
    </xf>
    <xf numFmtId="171" fontId="86" fillId="0" borderId="0" xfId="0" applyNumberFormat="1" applyFont="1" applyAlignment="1">
      <alignment horizontal="right"/>
    </xf>
    <xf numFmtId="0" fontId="85" fillId="21" borderId="12" xfId="0" applyFont="1" applyFill="1" applyBorder="1"/>
    <xf numFmtId="0" fontId="87" fillId="21" borderId="15" xfId="0" applyFont="1" applyFill="1" applyBorder="1"/>
    <xf numFmtId="0" fontId="86" fillId="21" borderId="11" xfId="0" applyFont="1" applyFill="1" applyBorder="1" applyAlignment="1">
      <alignment horizontal="right"/>
    </xf>
    <xf numFmtId="0" fontId="90" fillId="21" borderId="11" xfId="0" applyFont="1" applyFill="1" applyBorder="1" applyAlignment="1">
      <alignment horizontal="right"/>
    </xf>
    <xf numFmtId="0" fontId="86" fillId="21" borderId="11" xfId="0" applyFont="1" applyFill="1" applyBorder="1" applyAlignment="1">
      <alignment horizontal="center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wrapText="1"/>
    </xf>
    <xf numFmtId="0" fontId="36" fillId="28" borderId="38" xfId="0" applyFont="1" applyFill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32" fillId="27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0" fillId="30" borderId="38" xfId="0" applyFont="1" applyFill="1" applyBorder="1" applyAlignment="1">
      <alignment horizontal="left" vertical="center"/>
    </xf>
    <xf numFmtId="0" fontId="41" fillId="32" borderId="38" xfId="0" applyFont="1" applyFill="1" applyBorder="1" applyAlignment="1">
      <alignment horizontal="left" vertical="center"/>
    </xf>
    <xf numFmtId="0" fontId="8" fillId="9" borderId="0" xfId="0" applyFont="1" applyFill="1" applyAlignment="1">
      <alignment horizontal="center"/>
    </xf>
    <xf numFmtId="0" fontId="21" fillId="0" borderId="22" xfId="0" applyFont="1" applyBorder="1" applyAlignment="1">
      <alignment horizontal="center" vertical="center" wrapText="1"/>
    </xf>
    <xf numFmtId="167" fontId="21" fillId="13" borderId="10" xfId="0" applyNumberFormat="1" applyFont="1" applyFill="1" applyBorder="1" applyAlignment="1">
      <alignment horizontal="center"/>
    </xf>
    <xf numFmtId="167" fontId="21" fillId="13" borderId="10" xfId="0" applyNumberFormat="1" applyFont="1" applyFill="1" applyBorder="1" applyAlignment="1">
      <alignment horizontal="center" vertical="center" wrapText="1"/>
    </xf>
    <xf numFmtId="167" fontId="23" fillId="0" borderId="8" xfId="0" applyNumberFormat="1" applyFont="1" applyBorder="1" applyAlignment="1">
      <alignment horizontal="center"/>
    </xf>
    <xf numFmtId="167" fontId="23" fillId="0" borderId="9" xfId="0" applyNumberFormat="1" applyFont="1" applyBorder="1" applyAlignment="1">
      <alignment horizontal="center"/>
    </xf>
    <xf numFmtId="167" fontId="21" fillId="11" borderId="10" xfId="0" applyNumberFormat="1" applyFont="1" applyFill="1" applyBorder="1" applyAlignment="1">
      <alignment horizontal="center"/>
    </xf>
    <xf numFmtId="167" fontId="21" fillId="12" borderId="10" xfId="0" applyNumberFormat="1" applyFont="1" applyFill="1" applyBorder="1" applyAlignment="1">
      <alignment horizontal="center"/>
    </xf>
    <xf numFmtId="0" fontId="21" fillId="0" borderId="25" xfId="0" applyFont="1" applyBorder="1" applyAlignment="1">
      <alignment horizontal="center" vertical="center" wrapText="1"/>
    </xf>
    <xf numFmtId="0" fontId="21" fillId="20" borderId="25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57" fillId="37" borderId="38" xfId="0" applyFont="1" applyFill="1" applyBorder="1" applyAlignment="1">
      <alignment horizontal="left" vertical="center"/>
    </xf>
    <xf numFmtId="0" fontId="60" fillId="39" borderId="38" xfId="0" applyFont="1" applyFill="1" applyBorder="1" applyAlignment="1">
      <alignment horizontal="left" vertical="center"/>
    </xf>
    <xf numFmtId="0" fontId="60" fillId="41" borderId="38" xfId="0" applyFont="1" applyFill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9" fillId="29" borderId="0" xfId="0" applyFont="1" applyFill="1" applyAlignment="1">
      <alignment horizontal="left" vertical="center"/>
    </xf>
    <xf numFmtId="0" fontId="71" fillId="0" borderId="0" xfId="0" applyFont="1" applyAlignment="1">
      <alignment horizontal="left" vertical="center" wrapText="1"/>
    </xf>
    <xf numFmtId="0" fontId="64" fillId="37" borderId="38" xfId="0" applyFont="1" applyFill="1" applyBorder="1" applyAlignment="1">
      <alignment horizontal="left" vertical="center"/>
    </xf>
    <xf numFmtId="49" fontId="59" fillId="29" borderId="0" xfId="0" applyNumberFormat="1" applyFont="1" applyFill="1" applyAlignment="1">
      <alignment horizontal="left" vertical="center"/>
    </xf>
    <xf numFmtId="0" fontId="68" fillId="28" borderId="38" xfId="0" applyFont="1" applyFill="1" applyBorder="1" applyAlignment="1">
      <alignment horizontal="left" vertical="center"/>
    </xf>
    <xf numFmtId="0" fontId="69" fillId="43" borderId="38" xfId="0" applyFont="1" applyFill="1" applyBorder="1" applyAlignment="1">
      <alignment horizontal="left" vertical="center"/>
    </xf>
    <xf numFmtId="0" fontId="70" fillId="45" borderId="38" xfId="0" applyFont="1" applyFill="1" applyBorder="1" applyAlignment="1">
      <alignment horizontal="left" vertical="center"/>
    </xf>
    <xf numFmtId="0" fontId="60" fillId="35" borderId="38" xfId="0" applyFont="1" applyFill="1" applyBorder="1" applyAlignment="1">
      <alignment horizontal="left" vertical="center"/>
    </xf>
    <xf numFmtId="0" fontId="60" fillId="54" borderId="38" xfId="0" applyFont="1" applyFill="1" applyBorder="1" applyAlignment="1">
      <alignment horizontal="left" vertical="center"/>
    </xf>
    <xf numFmtId="0" fontId="80" fillId="0" borderId="0" xfId="0" applyFont="1" applyAlignment="1">
      <alignment horizontal="left" vertical="center"/>
    </xf>
    <xf numFmtId="0" fontId="83" fillId="0" borderId="40" xfId="0" applyFont="1" applyBorder="1" applyAlignment="1">
      <alignment horizontal="center" vertical="center"/>
    </xf>
    <xf numFmtId="0" fontId="86" fillId="0" borderId="24" xfId="0" applyFont="1" applyBorder="1" applyAlignment="1">
      <alignment horizontal="left"/>
    </xf>
    <xf numFmtId="0" fontId="86" fillId="20" borderId="24" xfId="0" applyFont="1" applyFill="1" applyBorder="1" applyAlignment="1">
      <alignment horizontal="left"/>
    </xf>
    <xf numFmtId="0" fontId="0" fillId="20" borderId="22" xfId="0" applyFill="1" applyBorder="1"/>
    <xf numFmtId="167" fontId="8" fillId="13" borderId="10" xfId="0" applyNumberFormat="1" applyFont="1" applyFill="1" applyBorder="1" applyAlignment="1">
      <alignment horizontal="center"/>
    </xf>
    <xf numFmtId="167" fontId="8" fillId="13" borderId="10" xfId="0" applyNumberFormat="1" applyFont="1" applyFill="1" applyBorder="1" applyAlignment="1">
      <alignment horizontal="center" vertical="center" wrapText="1"/>
    </xf>
    <xf numFmtId="0" fontId="85" fillId="14" borderId="11" xfId="0" applyFont="1" applyFill="1" applyBorder="1" applyAlignment="1">
      <alignment horizontal="center" vertical="center" wrapText="1"/>
    </xf>
    <xf numFmtId="0" fontId="8" fillId="6" borderId="41" xfId="0" applyFont="1" applyFill="1" applyBorder="1" applyAlignment="1">
      <alignment horizontal="center"/>
    </xf>
    <xf numFmtId="0" fontId="8" fillId="0" borderId="42" xfId="0" applyFont="1" applyBorder="1" applyAlignment="1">
      <alignment horizontal="center"/>
    </xf>
    <xf numFmtId="167" fontId="8" fillId="11" borderId="10" xfId="0" applyNumberFormat="1" applyFont="1" applyFill="1" applyBorder="1" applyAlignment="1">
      <alignment horizontal="center"/>
    </xf>
    <xf numFmtId="167" fontId="8" fillId="12" borderId="10" xfId="0" applyNumberFormat="1" applyFont="1" applyFill="1" applyBorder="1" applyAlignment="1">
      <alignment horizontal="center"/>
    </xf>
    <xf numFmtId="0" fontId="86" fillId="6" borderId="24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5" fillId="14" borderId="11" xfId="0" applyFont="1" applyFill="1" applyBorder="1"/>
  </cellXfs>
  <cellStyles count="7">
    <cellStyle name="Milliers 2" xfId="1" xr:uid="{00000000-0005-0000-0000-000006000000}"/>
    <cellStyle name="Milliers 3" xfId="2" xr:uid="{00000000-0005-0000-0000-000007000000}"/>
    <cellStyle name="Month" xfId="3" xr:uid="{00000000-0005-0000-0000-000008000000}"/>
    <cellStyle name="Normal" xfId="0" builtinId="0"/>
    <cellStyle name="Normal 2" xfId="4" xr:uid="{00000000-0005-0000-0000-000009000000}"/>
    <cellStyle name="Pourcentage 2" xfId="5" xr:uid="{00000000-0005-0000-0000-00000A000000}"/>
    <cellStyle name="Totals" xfId="6" xr:uid="{00000000-0005-0000-0000-00000B000000}"/>
  </cellStyles>
  <dxfs count="59"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b/>
        <sz val="9"/>
        <color rgb="FF006100"/>
        <name val="Arial"/>
        <charset val="1"/>
      </font>
      <fill>
        <patternFill>
          <bgColor rgb="FFE8F5E9"/>
        </patternFill>
      </fill>
    </dxf>
    <dxf>
      <font>
        <b/>
        <sz val="9"/>
        <color rgb="FFFFFFFF"/>
        <name val="Arial"/>
        <charset val="1"/>
      </font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AF3DE"/>
      <rgbColor rgb="FF0000FF"/>
      <rgbColor rgb="FFFFFF00"/>
      <rgbColor rgb="FFFEEAE8"/>
      <rgbColor rgb="FFCFE8D1"/>
      <rgbColor rgb="FF9B0207"/>
      <rgbColor rgb="FF006100"/>
      <rgbColor rgb="FF114B84"/>
      <rgbColor rgb="FFDBDBDB"/>
      <rgbColor rgb="FFF1EFE8"/>
      <rgbColor rgb="FF145A32"/>
      <rgbColor rgb="FFC9C9C9"/>
      <rgbColor rgb="FF70AD47"/>
      <rgbColor rgb="FF5B9BD5"/>
      <rgbColor rgb="FF555555"/>
      <rgbColor rgb="FFFFF9C4"/>
      <rgbColor rgb="FFDDEEFF"/>
      <rgbColor rgb="FFEBF3FB"/>
      <rgbColor rgb="FFFFCDD2"/>
      <rgbColor rgb="FF1B5084"/>
      <rgbColor rgb="FFBDD7EE"/>
      <rgbColor rgb="FFFCFFFD"/>
      <rgbColor rgb="FFEDEDED"/>
      <rgbColor rgb="FFFFDA68"/>
      <rgbColor rgb="FFE2F1DA"/>
      <rgbColor rgb="FFE8F5E9"/>
      <rgbColor rgb="FFF5F5F4"/>
      <rgbColor rgb="FF1D4E89"/>
      <rgbColor rgb="FFF9F9F7"/>
      <rgbColor rgb="FFE9E8E5"/>
      <rgbColor rgb="FFEAF5FC"/>
      <rgbColor rgb="FFC6EFCE"/>
      <rgbColor rgb="FFFFE699"/>
      <rgbColor rgb="FFB4C7E7"/>
      <rgbColor rgb="FFFFC7CE"/>
      <rgbColor rgb="FFCCCCCC"/>
      <rgbColor rgb="FFF8CBAD"/>
      <rgbColor rgb="FF2E75B6"/>
      <rgbColor rgb="FFAAD190"/>
      <rgbColor rgb="FF92D050"/>
      <rgbColor rgb="FFFEBA02"/>
      <rgbColor rgb="FFD5D3D1"/>
      <rgbColor rgb="FFB6590C"/>
      <rgbColor rgb="FF5A5B5D"/>
      <rgbColor rgb="FF979A98"/>
      <rgbColor rgb="FF1D3557"/>
      <rgbColor rgb="FF00B050"/>
      <rgbColor rgb="FF195611"/>
      <rgbColor rgb="FF4A4A49"/>
      <rgbColor rgb="FF8B5800"/>
      <rgbColor rgb="FF2C5282"/>
      <rgbColor rgb="FF0B3D91"/>
      <rgbColor rgb="FF1D30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opLeftCell="B1" zoomScale="171" zoomScaleNormal="171" workbookViewId="0">
      <pane ySplit="1" topLeftCell="A2" activePane="bottomLeft" state="frozen"/>
      <selection activeCell="B1" sqref="B1"/>
      <selection pane="bottomLeft" activeCell="F8" sqref="F8"/>
    </sheetView>
  </sheetViews>
  <sheetFormatPr baseColWidth="10" defaultColWidth="10.6640625" defaultRowHeight="15" x14ac:dyDescent="0.2"/>
  <cols>
    <col min="1" max="1" width="45.83203125" customWidth="1"/>
    <col min="2" max="4" width="14.83203125" customWidth="1"/>
    <col min="5" max="5" width="13.1640625" customWidth="1"/>
    <col min="6" max="6" width="75.83203125" customWidth="1"/>
    <col min="7" max="7" width="11.83203125" customWidth="1"/>
    <col min="11" max="11" width="6" customWidth="1"/>
  </cols>
  <sheetData>
    <row r="1" spans="1:14" ht="21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F1" s="5" t="s">
        <v>4</v>
      </c>
      <c r="G1" s="6">
        <v>2024</v>
      </c>
      <c r="H1" s="6">
        <v>2025</v>
      </c>
      <c r="I1" s="6">
        <v>2026</v>
      </c>
      <c r="J1" s="6">
        <v>2027</v>
      </c>
    </row>
    <row r="2" spans="1:14" ht="15.75" customHeight="1" x14ac:dyDescent="0.2">
      <c r="A2" s="3"/>
      <c r="K2" s="7"/>
    </row>
    <row r="3" spans="1:14" ht="15.75" customHeight="1" x14ac:dyDescent="0.2">
      <c r="A3" s="8" t="s">
        <v>5</v>
      </c>
      <c r="B3" s="9">
        <f>'Suivi 31.12.25'!AK62/1000</f>
        <v>2424.7343403314662</v>
      </c>
      <c r="C3" s="9">
        <f>+I19</f>
        <v>2686.5570888895895</v>
      </c>
      <c r="D3" s="9">
        <f>+J19</f>
        <v>3097.5</v>
      </c>
      <c r="F3" t="s">
        <v>6</v>
      </c>
      <c r="G3" s="10">
        <f>COUNT('Suivi 31.12.2023'!AP3:AP11)</f>
        <v>8</v>
      </c>
      <c r="H3" s="10">
        <v>14</v>
      </c>
      <c r="I3" s="10">
        <f>+H5</f>
        <v>14</v>
      </c>
      <c r="J3" s="10">
        <f>+I5</f>
        <v>15</v>
      </c>
      <c r="L3" s="11" t="s">
        <v>7</v>
      </c>
      <c r="M3" s="10"/>
      <c r="N3" s="10"/>
    </row>
    <row r="4" spans="1:14" ht="15" customHeight="1" x14ac:dyDescent="0.2">
      <c r="A4" s="12"/>
      <c r="B4" s="13"/>
      <c r="C4" s="13"/>
      <c r="D4" s="13"/>
      <c r="F4" t="s">
        <v>8</v>
      </c>
      <c r="G4" s="10">
        <v>2</v>
      </c>
      <c r="H4" s="14">
        <f>'Suivi 31.12.25'!B46</f>
        <v>6</v>
      </c>
      <c r="I4" s="14">
        <v>10</v>
      </c>
      <c r="J4" s="14">
        <v>10</v>
      </c>
      <c r="L4" s="15" t="s">
        <v>9</v>
      </c>
      <c r="M4" s="14"/>
      <c r="N4" s="14"/>
    </row>
    <row r="5" spans="1:14" ht="15" customHeight="1" x14ac:dyDescent="0.2">
      <c r="B5" s="16"/>
      <c r="C5" s="16"/>
      <c r="D5" s="16"/>
      <c r="F5" t="s">
        <v>10</v>
      </c>
      <c r="G5" s="10">
        <v>14</v>
      </c>
      <c r="H5" s="14">
        <v>14</v>
      </c>
      <c r="I5" s="14">
        <v>15</v>
      </c>
      <c r="J5" s="14">
        <v>20</v>
      </c>
    </row>
    <row r="6" spans="1:14" ht="15" customHeight="1" x14ac:dyDescent="0.2">
      <c r="A6" s="3" t="s">
        <v>11</v>
      </c>
      <c r="B6" s="17">
        <f>+B3-B7</f>
        <v>1988.5093294102974</v>
      </c>
      <c r="C6" s="17">
        <f>+C3-C7</f>
        <v>2186.9329547754378</v>
      </c>
      <c r="D6" s="17">
        <f>+D3-D7</f>
        <v>2478</v>
      </c>
    </row>
    <row r="7" spans="1:14" ht="15" customHeight="1" x14ac:dyDescent="0.2">
      <c r="A7" s="18" t="s">
        <v>12</v>
      </c>
      <c r="B7" s="19">
        <f>'Suivi 31.12.25'!AH62/1000</f>
        <v>436.22501092116886</v>
      </c>
      <c r="C7" s="19">
        <f>+I20</f>
        <v>499.62413411415173</v>
      </c>
      <c r="D7" s="19">
        <f>+J20</f>
        <v>619.5</v>
      </c>
      <c r="F7" t="s">
        <v>13</v>
      </c>
      <c r="G7" s="20">
        <f>(SUM('SUIVI 31.12.24'!AH29:AH36)/COUNT('SUIVI 31.12.24'!AH29:AH36))/1000</f>
        <v>121.94844125</v>
      </c>
      <c r="H7" s="20">
        <f>+G9</f>
        <v>120.10866571428578</v>
      </c>
      <c r="I7" s="20">
        <f>+H9</f>
        <v>126.67346296304638</v>
      </c>
      <c r="J7" s="20">
        <f>+I9</f>
        <v>118</v>
      </c>
    </row>
    <row r="8" spans="1:14" ht="15" customHeight="1" x14ac:dyDescent="0.2">
      <c r="A8" s="21" t="s">
        <v>14</v>
      </c>
      <c r="B8" s="22">
        <f>+B7/B3</f>
        <v>0.1799063112462605</v>
      </c>
      <c r="C8" s="22">
        <f>+C7/C3</f>
        <v>0.18597190291632956</v>
      </c>
      <c r="D8" s="22">
        <f>+D7/D3</f>
        <v>0.2</v>
      </c>
      <c r="F8" t="s">
        <v>15</v>
      </c>
      <c r="G8" s="20">
        <f>+SUM('SUIVI 31.12.24'!AJ37:AJ38)/'Projection P&amp;L'!G4/1000</f>
        <v>114.28727166666667</v>
      </c>
      <c r="H8" s="20">
        <f>+SUM('Suivi 31.12.25'!AK40:AK45)/'Suivi 31.12.25'!B46/1000</f>
        <v>100.42831249995557</v>
      </c>
      <c r="I8" s="23">
        <v>118</v>
      </c>
      <c r="J8" s="23">
        <v>118</v>
      </c>
    </row>
    <row r="9" spans="1:14" ht="15" customHeight="1" x14ac:dyDescent="0.2">
      <c r="A9" s="24"/>
      <c r="F9" t="s">
        <v>16</v>
      </c>
      <c r="G9" s="20">
        <f>(SUM('SUIVI 31.12.24 ALTONEO'!AI3:AI27)/'Projection P&amp;L'!G5)/1000</f>
        <v>120.10866571428578</v>
      </c>
      <c r="H9" s="20">
        <f>+SUM('Suivi 31.12.25'!AI3:AI38)/'Suivi 31.12.25'!B39/1000</f>
        <v>126.67346296304638</v>
      </c>
      <c r="I9" s="23">
        <v>118</v>
      </c>
      <c r="J9" s="23">
        <v>118</v>
      </c>
    </row>
    <row r="10" spans="1:14" ht="15" customHeight="1" x14ac:dyDescent="0.2">
      <c r="A10" t="s">
        <v>17</v>
      </c>
    </row>
    <row r="11" spans="1:14" ht="15" customHeight="1" x14ac:dyDescent="0.2">
      <c r="F11" t="s">
        <v>18</v>
      </c>
      <c r="G11" s="25">
        <f>SUM('SUIVI 31.12.24'!AG29:AG36)/SUM('SUIVI 31.12.24'!AJ29:AJ36)</f>
        <v>0.20165494323832703</v>
      </c>
      <c r="H11" s="25">
        <f>SUM('Suivi 31.12.25'!AG47:AG60)/SUM('Suivi 31.12.25'!AJ47:AJ60)</f>
        <v>0.20952266127482944</v>
      </c>
      <c r="I11" s="25">
        <f>+H13</f>
        <v>0.16458152099423984</v>
      </c>
      <c r="J11" s="25">
        <f>+I13</f>
        <v>0.2</v>
      </c>
    </row>
    <row r="12" spans="1:14" ht="15" customHeight="1" x14ac:dyDescent="0.2">
      <c r="A12" s="26" t="s">
        <v>19</v>
      </c>
      <c r="B12" s="27">
        <f>+B18+B15</f>
        <v>414.26810999999998</v>
      </c>
      <c r="C12" s="27">
        <f>+C18+C15</f>
        <v>438.59999999999997</v>
      </c>
      <c r="D12" s="27">
        <f>+D18+D15</f>
        <v>526.79999999999995</v>
      </c>
      <c r="F12" t="s">
        <v>20</v>
      </c>
      <c r="G12" s="25">
        <f>+('SUIVI 31.12.24'!AE37+'SUIVI 31.12.24'!AE38)/('SUIVI 31.12.24'!AH37+'SUIVI 31.12.24'!AH38)</f>
        <v>0.2264667472520964</v>
      </c>
      <c r="H12" s="28">
        <f>SUM('Suivi 31.12.25'!AF40:AF45)/SUM('Suivi 31.12.25'!AI40:AI45)</f>
        <v>0.20117383876450778</v>
      </c>
      <c r="I12" s="28">
        <v>0.2</v>
      </c>
      <c r="J12" s="28">
        <v>0.2</v>
      </c>
    </row>
    <row r="13" spans="1:14" ht="15" customHeight="1" x14ac:dyDescent="0.2">
      <c r="A13" s="29" t="s">
        <v>21</v>
      </c>
      <c r="B13" s="7">
        <f>+B12/(B3)</f>
        <v>0.17085092709305574</v>
      </c>
      <c r="C13" s="7">
        <f>+C12/(C3)</f>
        <v>0.16325727892173048</v>
      </c>
      <c r="D13" s="7">
        <f>+D12/(D3)</f>
        <v>0.17007263922518159</v>
      </c>
      <c r="F13" t="s">
        <v>22</v>
      </c>
      <c r="G13" s="25">
        <f>SUM('SUIVI 31.12.24 ALTONEO'!AF3:AF27)/SUM('SUIVI 31.12.24 ALTONEO'!AI3:AI27)</f>
        <v>0.20283615355329948</v>
      </c>
      <c r="H13" s="28">
        <f>SUM('Suivi 31.12.25'!AF3:AF38)/SUM('Suivi 31.12.25'!AI3:AI38)</f>
        <v>0.16458152099423984</v>
      </c>
      <c r="I13" s="28">
        <v>0.2</v>
      </c>
      <c r="J13" s="28">
        <v>0.2</v>
      </c>
    </row>
    <row r="14" spans="1:14" ht="15" customHeight="1" x14ac:dyDescent="0.2">
      <c r="A14" s="30"/>
    </row>
    <row r="15" spans="1:14" ht="15" customHeight="1" x14ac:dyDescent="0.2">
      <c r="A15" s="31" t="s">
        <v>23</v>
      </c>
      <c r="B15" s="32">
        <f>+H57</f>
        <v>214.26810999999998</v>
      </c>
      <c r="C15" s="32">
        <f>+I57</f>
        <v>211.2</v>
      </c>
      <c r="D15" s="32">
        <f>+J57</f>
        <v>276.66000000000003</v>
      </c>
      <c r="F15" t="s">
        <v>24</v>
      </c>
      <c r="G15" s="25">
        <f>+SUM('SUIVI 31.12.24'!AJ29:AJ36)/SUM('SUIVI 31.12.24'!AH29:AH36)</f>
        <v>0.70183871114739094</v>
      </c>
      <c r="H15" s="25">
        <f>(1-G16)</f>
        <v>0.61863824823647606</v>
      </c>
      <c r="I15" s="25">
        <f>(1-H16)</f>
        <v>0.6</v>
      </c>
      <c r="J15" s="25">
        <f>(1-I16)</f>
        <v>0.75</v>
      </c>
    </row>
    <row r="16" spans="1:14" ht="15" customHeight="1" x14ac:dyDescent="0.2">
      <c r="A16" s="33"/>
      <c r="B16" s="7">
        <f>+B15/B3</f>
        <v>8.8367664216241149E-2</v>
      </c>
      <c r="C16" s="7">
        <f>+C15/C3</f>
        <v>7.8613628153829176E-2</v>
      </c>
      <c r="D16" s="7">
        <f>+D15/D3</f>
        <v>8.931719128329299E-2</v>
      </c>
      <c r="F16" t="s">
        <v>25</v>
      </c>
      <c r="G16" s="25">
        <f>SUMPRODUCT('SUIVI 31.12.24'!E3:E27,'SUIVI 31.12.24'!AH3:AH27)/SUM('SUIVI 31.12.24'!AH3:AH27)</f>
        <v>0.38136175176352394</v>
      </c>
      <c r="H16" s="28">
        <v>0.4</v>
      </c>
      <c r="I16" s="28">
        <v>0.25</v>
      </c>
      <c r="J16" s="28">
        <v>0.25</v>
      </c>
      <c r="L16" t="s">
        <v>26</v>
      </c>
    </row>
    <row r="17" spans="1:10" ht="15" customHeight="1" x14ac:dyDescent="0.2">
      <c r="A17" s="33"/>
    </row>
    <row r="18" spans="1:10" ht="15" customHeight="1" x14ac:dyDescent="0.2">
      <c r="A18" s="31" t="s">
        <v>27</v>
      </c>
      <c r="B18" s="32">
        <v>200</v>
      </c>
      <c r="C18" s="32">
        <f>SUM(C19:C27)</f>
        <v>227.39999999999998</v>
      </c>
      <c r="D18" s="32">
        <f>SUM(D19:D27)</f>
        <v>250.14</v>
      </c>
    </row>
    <row r="19" spans="1:10" ht="15" customHeight="1" x14ac:dyDescent="0.2">
      <c r="A19" s="29" t="s">
        <v>28</v>
      </c>
      <c r="B19" s="34">
        <v>8</v>
      </c>
      <c r="C19" s="34">
        <v>8.8000000000000007</v>
      </c>
      <c r="D19" s="34">
        <f t="shared" ref="D19:D27" si="0">C19*(1+$J$23)</f>
        <v>9.6800000000000015</v>
      </c>
      <c r="F19" s="35" t="s">
        <v>29</v>
      </c>
      <c r="G19" s="36">
        <f>+G3*G7*G15+G5*G9*G16+G4*G8</f>
        <v>1554.5475542229135</v>
      </c>
      <c r="H19" s="36">
        <f>+H3*H7*H15+H5*H9*H16+H4*H8</f>
        <v>2352.1946713698808</v>
      </c>
      <c r="I19" s="36">
        <f>+I3*I7*I15+I5*I9*I16+I4*I8</f>
        <v>2686.5570888895895</v>
      </c>
      <c r="J19" s="36">
        <f>+J3*J7*J15+J5*J9*J16+J4*J8</f>
        <v>3097.5</v>
      </c>
    </row>
    <row r="20" spans="1:10" ht="15" customHeight="1" x14ac:dyDescent="0.2">
      <c r="A20" s="29" t="s">
        <v>30</v>
      </c>
      <c r="B20" s="34">
        <v>4</v>
      </c>
      <c r="C20" s="34">
        <v>4.4000000000000004</v>
      </c>
      <c r="D20" s="34">
        <f t="shared" si="0"/>
        <v>4.8400000000000007</v>
      </c>
      <c r="F20" s="35" t="s">
        <v>31</v>
      </c>
      <c r="G20" s="36">
        <f>+G3*G7*G15*G11+G4*G8*G12+G5*G9*G13*G16-4</f>
        <v>315.91101785712863</v>
      </c>
      <c r="H20" s="36">
        <f>+H3*H7*H15*H11+H4*H8*H12+H5*H9*H13*H16</f>
        <v>455.92737917988887</v>
      </c>
      <c r="I20" s="36">
        <f>+I3*I7*I15*I11+I4*I8*I12+I5*I9*I13*I16</f>
        <v>499.62413411415173</v>
      </c>
      <c r="J20" s="36">
        <f>+J3*J7*J15*J11+J4*J8*J12+J5*J9*J13*J16</f>
        <v>619.5</v>
      </c>
    </row>
    <row r="21" spans="1:10" ht="15" customHeight="1" x14ac:dyDescent="0.2">
      <c r="A21" s="29" t="s">
        <v>32</v>
      </c>
      <c r="B21" s="34">
        <v>12</v>
      </c>
      <c r="C21" s="34">
        <v>12</v>
      </c>
      <c r="D21" s="34">
        <f t="shared" si="0"/>
        <v>13.200000000000001</v>
      </c>
      <c r="F21" s="37" t="s">
        <v>33</v>
      </c>
      <c r="G21" s="38">
        <f>+G20/G19</f>
        <v>0.20321733934671821</v>
      </c>
      <c r="H21" s="38">
        <f>+H20/H19</f>
        <v>0.19383063176244847</v>
      </c>
      <c r="I21" s="38">
        <f>+I20/I19</f>
        <v>0.18597190291632956</v>
      </c>
      <c r="J21" s="38">
        <f>+J20/J19</f>
        <v>0.2</v>
      </c>
    </row>
    <row r="22" spans="1:10" ht="15" customHeight="1" x14ac:dyDescent="0.2">
      <c r="A22" s="29" t="s">
        <v>34</v>
      </c>
      <c r="B22" s="34">
        <v>20</v>
      </c>
      <c r="C22" s="34">
        <v>20</v>
      </c>
      <c r="D22" s="34">
        <f t="shared" si="0"/>
        <v>22</v>
      </c>
    </row>
    <row r="23" spans="1:10" ht="15" customHeight="1" x14ac:dyDescent="0.2">
      <c r="A23" s="29" t="s">
        <v>35</v>
      </c>
      <c r="B23" s="34">
        <v>20</v>
      </c>
      <c r="C23" s="34">
        <v>20</v>
      </c>
      <c r="D23" s="34">
        <f t="shared" si="0"/>
        <v>22</v>
      </c>
      <c r="F23" s="35" t="s">
        <v>36</v>
      </c>
      <c r="G23" s="39" t="e">
        <f>+(#REF!-#REF!)/#REF!</f>
        <v>#REF!</v>
      </c>
      <c r="H23" s="40">
        <v>0.1</v>
      </c>
      <c r="I23" s="40">
        <v>0.1</v>
      </c>
      <c r="J23" s="40">
        <v>0.1</v>
      </c>
    </row>
    <row r="24" spans="1:10" ht="15" customHeight="1" x14ac:dyDescent="0.2">
      <c r="A24" s="29" t="s">
        <v>37</v>
      </c>
      <c r="B24" s="34">
        <v>78</v>
      </c>
      <c r="C24" s="34">
        <v>80</v>
      </c>
      <c r="D24" s="34">
        <f t="shared" si="0"/>
        <v>88</v>
      </c>
    </row>
    <row r="25" spans="1:10" ht="15" customHeight="1" x14ac:dyDescent="0.2">
      <c r="A25" s="29" t="s">
        <v>38</v>
      </c>
      <c r="B25" s="34">
        <v>28</v>
      </c>
      <c r="C25" s="34">
        <v>30</v>
      </c>
      <c r="D25" s="34">
        <f t="shared" si="0"/>
        <v>33</v>
      </c>
      <c r="F25" s="428" t="s">
        <v>39</v>
      </c>
      <c r="G25" s="428"/>
      <c r="H25" s="428"/>
      <c r="I25" s="428"/>
      <c r="J25" s="428"/>
    </row>
    <row r="26" spans="1:10" ht="15" customHeight="1" x14ac:dyDescent="0.2">
      <c r="A26" s="29" t="s">
        <v>40</v>
      </c>
      <c r="B26" s="34">
        <v>50</v>
      </c>
      <c r="C26" s="34">
        <v>50</v>
      </c>
      <c r="D26" s="34">
        <f t="shared" si="0"/>
        <v>55.000000000000007</v>
      </c>
    </row>
    <row r="27" spans="1:10" ht="15" customHeight="1" x14ac:dyDescent="0.2">
      <c r="A27" s="29" t="s">
        <v>41</v>
      </c>
      <c r="B27" s="34">
        <v>2</v>
      </c>
      <c r="C27" s="34">
        <v>2.2000000000000002</v>
      </c>
      <c r="D27" s="34">
        <f t="shared" si="0"/>
        <v>2.4200000000000004</v>
      </c>
      <c r="F27" t="s">
        <v>42</v>
      </c>
      <c r="G27" s="23">
        <v>2800</v>
      </c>
      <c r="H27" s="23">
        <v>4000</v>
      </c>
      <c r="I27" s="23">
        <v>5900</v>
      </c>
      <c r="J27" s="23">
        <v>2800</v>
      </c>
    </row>
    <row r="28" spans="1:10" ht="15" customHeight="1" x14ac:dyDescent="0.2">
      <c r="A28" s="41"/>
      <c r="F28" t="s">
        <v>43</v>
      </c>
      <c r="G28" s="20">
        <f>G27*0.45</f>
        <v>1260</v>
      </c>
      <c r="H28" s="20">
        <f>H27*0.45</f>
        <v>1800</v>
      </c>
      <c r="I28" s="20">
        <v>0</v>
      </c>
      <c r="J28" s="20">
        <f>J27*0.45</f>
        <v>1260</v>
      </c>
    </row>
    <row r="29" spans="1:10" ht="15.75" customHeight="1" x14ac:dyDescent="0.2">
      <c r="A29" t="s">
        <v>44</v>
      </c>
      <c r="B29">
        <v>2</v>
      </c>
      <c r="C29">
        <v>3</v>
      </c>
      <c r="D29">
        <v>4</v>
      </c>
      <c r="F29" s="42" t="s">
        <v>45</v>
      </c>
      <c r="G29" s="43">
        <v>4</v>
      </c>
      <c r="H29" s="43">
        <v>12</v>
      </c>
      <c r="I29" s="43">
        <v>12</v>
      </c>
      <c r="J29" s="43">
        <v>12</v>
      </c>
    </row>
    <row r="30" spans="1:10" ht="15.75" customHeight="1" x14ac:dyDescent="0.2">
      <c r="F30" s="35" t="s">
        <v>46</v>
      </c>
      <c r="G30" s="36">
        <v>17090</v>
      </c>
      <c r="H30" s="36">
        <v>70800</v>
      </c>
      <c r="I30" s="36">
        <f>+(I27+I28)*I29</f>
        <v>70800</v>
      </c>
      <c r="J30" s="36">
        <f>+(J27+J28)*J29</f>
        <v>48720</v>
      </c>
    </row>
    <row r="31" spans="1:10" ht="15" customHeight="1" x14ac:dyDescent="0.2">
      <c r="A31" t="s">
        <v>47</v>
      </c>
      <c r="B31" s="16">
        <v>9</v>
      </c>
      <c r="C31" s="16">
        <v>9</v>
      </c>
      <c r="D31" s="16">
        <v>9</v>
      </c>
      <c r="G31" s="16"/>
      <c r="H31" s="16"/>
      <c r="I31" s="16"/>
      <c r="J31" s="16"/>
    </row>
    <row r="32" spans="1:10" ht="15.75" customHeight="1" x14ac:dyDescent="0.2">
      <c r="F32" t="s">
        <v>48</v>
      </c>
      <c r="G32" s="23">
        <v>3200</v>
      </c>
      <c r="H32" s="23">
        <v>3500</v>
      </c>
      <c r="I32" s="23">
        <v>5000</v>
      </c>
      <c r="J32" s="23">
        <v>4200</v>
      </c>
    </row>
    <row r="33" spans="1:10" ht="15.75" customHeight="1" x14ac:dyDescent="0.2">
      <c r="A33" s="8" t="s">
        <v>49</v>
      </c>
      <c r="B33" s="9">
        <f>B7-B12-B29-B31+B10-2</f>
        <v>8.9569009211688808</v>
      </c>
      <c r="C33" s="9">
        <f>C7-C12-C29-C31+C10-2</f>
        <v>47.024134114151764</v>
      </c>
      <c r="D33" s="9">
        <f>D7-D12-D29-D31+D10-2</f>
        <v>77.700000000000045</v>
      </c>
      <c r="F33" t="s">
        <v>50</v>
      </c>
      <c r="G33" s="20">
        <f>G32*0.45</f>
        <v>1440</v>
      </c>
      <c r="H33" s="20">
        <f>H32*0.45</f>
        <v>1575</v>
      </c>
      <c r="I33" s="20">
        <f>I32*0.45</f>
        <v>2250</v>
      </c>
      <c r="J33" s="20">
        <f>J32*0.45</f>
        <v>1890</v>
      </c>
    </row>
    <row r="34" spans="1:10" ht="15.75" customHeight="1" x14ac:dyDescent="0.2">
      <c r="F34" s="42" t="s">
        <v>45</v>
      </c>
      <c r="G34" s="43">
        <v>12</v>
      </c>
      <c r="H34" s="43">
        <v>12</v>
      </c>
      <c r="I34" s="43">
        <v>0</v>
      </c>
      <c r="J34" s="43">
        <v>12</v>
      </c>
    </row>
    <row r="35" spans="1:10" ht="15.75" customHeight="1" x14ac:dyDescent="0.2">
      <c r="A35" s="3" t="s">
        <v>51</v>
      </c>
      <c r="B35" s="17">
        <v>-2</v>
      </c>
      <c r="C35" s="17">
        <v>-2</v>
      </c>
      <c r="D35" s="17">
        <v>-2</v>
      </c>
      <c r="F35" s="35" t="s">
        <v>52</v>
      </c>
      <c r="G35" s="36">
        <v>51181.47</v>
      </c>
      <c r="H35" s="36">
        <v>62111.17</v>
      </c>
      <c r="I35" s="36">
        <f>+(I32+I33)*I34</f>
        <v>0</v>
      </c>
      <c r="J35" s="36">
        <f>+(J32+J33)*J34</f>
        <v>73080</v>
      </c>
    </row>
    <row r="36" spans="1:10" ht="15" customHeight="1" x14ac:dyDescent="0.2">
      <c r="G36" s="16"/>
      <c r="H36" s="16"/>
      <c r="I36" s="16"/>
      <c r="J36" s="16"/>
    </row>
    <row r="37" spans="1:10" ht="15" customHeight="1" x14ac:dyDescent="0.2">
      <c r="A37" s="3" t="s">
        <v>53</v>
      </c>
      <c r="F37" t="s">
        <v>54</v>
      </c>
      <c r="G37" s="23">
        <v>2500</v>
      </c>
      <c r="H37" s="23">
        <v>2900</v>
      </c>
      <c r="I37" s="23">
        <v>3500</v>
      </c>
      <c r="J37" s="23">
        <v>4200</v>
      </c>
    </row>
    <row r="38" spans="1:10" ht="15" customHeight="1" x14ac:dyDescent="0.2">
      <c r="F38" t="s">
        <v>55</v>
      </c>
      <c r="G38" s="20">
        <f>G37*0.45</f>
        <v>1125</v>
      </c>
      <c r="H38" s="20">
        <f>H37*0.45</f>
        <v>1305</v>
      </c>
      <c r="I38" s="20">
        <f>I37*0.45</f>
        <v>1575</v>
      </c>
      <c r="J38" s="20">
        <f>J37*0.45</f>
        <v>1890</v>
      </c>
    </row>
    <row r="39" spans="1:10" ht="15.75" customHeight="1" x14ac:dyDescent="0.2">
      <c r="A39" t="s">
        <v>56</v>
      </c>
      <c r="B39" s="16">
        <f>+B50</f>
        <v>0.80966071317524502</v>
      </c>
      <c r="C39" s="16">
        <f>+C50</f>
        <v>7.0060335285379409</v>
      </c>
      <c r="D39" s="16">
        <f>+D50</f>
        <v>14.675000000000011</v>
      </c>
      <c r="F39" s="42" t="s">
        <v>45</v>
      </c>
      <c r="G39" s="43">
        <v>3</v>
      </c>
      <c r="H39" s="43">
        <v>12</v>
      </c>
      <c r="I39" s="43">
        <v>12</v>
      </c>
      <c r="J39" s="43">
        <v>12</v>
      </c>
    </row>
    <row r="40" spans="1:10" ht="16.5" customHeight="1" x14ac:dyDescent="0.2">
      <c r="F40" s="35" t="s">
        <v>57</v>
      </c>
      <c r="G40" s="36">
        <v>11209.74</v>
      </c>
      <c r="H40" s="36">
        <v>64522.879999999997</v>
      </c>
      <c r="I40" s="36">
        <f>+(I37+I38)*I39</f>
        <v>60900</v>
      </c>
      <c r="J40" s="36">
        <f>+(J37+J38)*J39</f>
        <v>73080</v>
      </c>
    </row>
    <row r="41" spans="1:10" ht="15.75" customHeight="1" x14ac:dyDescent="0.2">
      <c r="A41" s="8" t="s">
        <v>58</v>
      </c>
      <c r="B41" s="9">
        <f>+B35+B37-B39+B33</f>
        <v>6.1472402079936357</v>
      </c>
      <c r="C41" s="9">
        <f>+C35+C37-C39+C33</f>
        <v>38.018100585613823</v>
      </c>
      <c r="D41" s="9">
        <f>+D35+D37-D39+D33</f>
        <v>61.025000000000034</v>
      </c>
      <c r="G41" s="16"/>
      <c r="H41" s="16"/>
      <c r="I41" s="16"/>
      <c r="J41" s="16"/>
    </row>
    <row r="42" spans="1:10" ht="15" customHeight="1" x14ac:dyDescent="0.2">
      <c r="F42" t="s">
        <v>59</v>
      </c>
      <c r="G42" s="23"/>
      <c r="H42" s="23">
        <v>2500</v>
      </c>
      <c r="I42" s="23">
        <v>3500</v>
      </c>
      <c r="J42" s="23">
        <v>4700</v>
      </c>
    </row>
    <row r="43" spans="1:10" ht="15" customHeight="1" x14ac:dyDescent="0.2">
      <c r="F43" t="s">
        <v>60</v>
      </c>
      <c r="G43" s="20">
        <f>G42*0.45</f>
        <v>0</v>
      </c>
      <c r="H43" s="20">
        <f>H42*0.45</f>
        <v>1125</v>
      </c>
      <c r="I43" s="20">
        <f>I42*0.45</f>
        <v>1575</v>
      </c>
      <c r="J43" s="20">
        <f>J42*0.45</f>
        <v>2115</v>
      </c>
    </row>
    <row r="44" spans="1:10" ht="15.75" customHeight="1" x14ac:dyDescent="0.2">
      <c r="F44" s="42" t="s">
        <v>45</v>
      </c>
      <c r="G44" s="43">
        <v>0</v>
      </c>
      <c r="H44" s="43">
        <v>6</v>
      </c>
      <c r="I44" s="43">
        <v>12</v>
      </c>
      <c r="J44" s="43">
        <v>12</v>
      </c>
    </row>
    <row r="45" spans="1:10" ht="15.75" customHeight="1" x14ac:dyDescent="0.2">
      <c r="A45" s="44"/>
      <c r="B45" s="44"/>
      <c r="C45" s="44"/>
      <c r="D45" s="44"/>
      <c r="F45" s="35" t="s">
        <v>61</v>
      </c>
      <c r="G45" s="36">
        <f>+(G42+G43)*G44</f>
        <v>0</v>
      </c>
      <c r="H45" s="36">
        <v>10676.75</v>
      </c>
      <c r="I45" s="36">
        <f>+(I42+I43)*I44</f>
        <v>60900</v>
      </c>
      <c r="J45" s="36">
        <f>+(J42+J43)*J44</f>
        <v>81780</v>
      </c>
    </row>
    <row r="46" spans="1:10" ht="15" customHeight="1" x14ac:dyDescent="0.2">
      <c r="A46" s="35" t="s">
        <v>62</v>
      </c>
      <c r="B46" s="45">
        <v>0</v>
      </c>
      <c r="C46" s="45">
        <f>IF(B48&lt;0,B48,0)</f>
        <v>0</v>
      </c>
      <c r="D46" s="45">
        <f>IF(C48&lt;0,C48,0)</f>
        <v>0</v>
      </c>
      <c r="G46" s="16"/>
      <c r="H46" s="16"/>
      <c r="I46" s="16"/>
      <c r="J46" s="16"/>
    </row>
    <row r="47" spans="1:10" ht="15" customHeight="1" x14ac:dyDescent="0.2">
      <c r="A47" t="s">
        <v>63</v>
      </c>
      <c r="B47" s="16">
        <f>+B33+B35+B37</f>
        <v>6.9569009211688808</v>
      </c>
      <c r="C47" s="16">
        <f>+C33+C35+C37</f>
        <v>45.024134114151764</v>
      </c>
      <c r="D47" s="16">
        <f>+D33+D35+D37</f>
        <v>75.700000000000045</v>
      </c>
      <c r="F47" t="s">
        <v>64</v>
      </c>
      <c r="G47" s="23"/>
      <c r="H47" s="23">
        <v>1200</v>
      </c>
      <c r="I47" s="23">
        <v>1500</v>
      </c>
      <c r="J47" s="23"/>
    </row>
    <row r="48" spans="1:10" ht="15" customHeight="1" x14ac:dyDescent="0.2">
      <c r="A48" t="s">
        <v>65</v>
      </c>
      <c r="B48" s="16">
        <f>+B47+B46</f>
        <v>6.9569009211688808</v>
      </c>
      <c r="C48" s="16">
        <f>+C47+C46</f>
        <v>45.024134114151764</v>
      </c>
      <c r="D48" s="16">
        <f>+D47+D46</f>
        <v>75.700000000000045</v>
      </c>
      <c r="F48" t="s">
        <v>66</v>
      </c>
      <c r="G48" s="20">
        <f>G46*0.45</f>
        <v>0</v>
      </c>
      <c r="H48" s="20">
        <f>H46*0.45</f>
        <v>0</v>
      </c>
      <c r="I48" s="20">
        <v>50</v>
      </c>
      <c r="J48" s="20">
        <f>J46*0.45</f>
        <v>0</v>
      </c>
    </row>
    <row r="49" spans="1:10" ht="15.75" customHeight="1" x14ac:dyDescent="0.2">
      <c r="B49" s="16"/>
      <c r="C49" s="16"/>
      <c r="D49" s="16"/>
      <c r="F49" s="42" t="s">
        <v>45</v>
      </c>
      <c r="G49" s="43"/>
      <c r="H49" s="43">
        <v>4</v>
      </c>
      <c r="I49" s="43">
        <v>12</v>
      </c>
      <c r="J49" s="43"/>
    </row>
    <row r="50" spans="1:10" ht="15.75" customHeight="1" x14ac:dyDescent="0.2">
      <c r="A50" t="s">
        <v>67</v>
      </c>
      <c r="B50" s="16">
        <v>0.80966071317524502</v>
      </c>
      <c r="C50" s="16">
        <f>+C51+C52</f>
        <v>7.0060335285379409</v>
      </c>
      <c r="D50" s="16">
        <f>+D51+D52</f>
        <v>14.675000000000011</v>
      </c>
      <c r="F50" s="35" t="s">
        <v>68</v>
      </c>
      <c r="G50" s="36">
        <f>+(G47+G48)*G49</f>
        <v>0</v>
      </c>
      <c r="H50" s="36">
        <v>6157.31</v>
      </c>
      <c r="I50" s="36">
        <f>+(I47+I48)*I49</f>
        <v>18600</v>
      </c>
      <c r="J50" s="36">
        <f>+(J47+J48)*J49</f>
        <v>0</v>
      </c>
    </row>
    <row r="51" spans="1:10" ht="15" customHeight="1" x14ac:dyDescent="0.2">
      <c r="A51" s="7">
        <v>0.15</v>
      </c>
      <c r="B51" s="16">
        <v>0.80966071317524502</v>
      </c>
      <c r="C51" s="16">
        <f>IF(C48&gt;42.5,42.5*$A$51,C48*$A$51)</f>
        <v>6.375</v>
      </c>
      <c r="D51" s="16">
        <f>IF(D48&gt;42.5,42.5*$A$51,D48*$A$51)</f>
        <v>6.375</v>
      </c>
      <c r="G51" s="16"/>
      <c r="H51" s="16"/>
      <c r="I51" s="16"/>
      <c r="J51" s="16"/>
    </row>
    <row r="52" spans="1:10" ht="15" customHeight="1" x14ac:dyDescent="0.2">
      <c r="A52" s="7">
        <v>0.25</v>
      </c>
      <c r="B52" s="16">
        <v>0</v>
      </c>
      <c r="C52" s="16">
        <f>+IF(C48&gt;42.5,(C48-42.5)*$A$52,0)</f>
        <v>0.63103352853794092</v>
      </c>
      <c r="D52" s="16">
        <f>+IF(D48&gt;42.5,(D48-42.5)*$A$52,0)</f>
        <v>8.3000000000000114</v>
      </c>
      <c r="F52" t="s">
        <v>69</v>
      </c>
      <c r="G52" s="23"/>
      <c r="H52" s="23"/>
      <c r="I52" s="23"/>
      <c r="J52" s="23"/>
    </row>
    <row r="53" spans="1:10" ht="15" customHeight="1" x14ac:dyDescent="0.2">
      <c r="F53" t="s">
        <v>70</v>
      </c>
      <c r="G53" s="20">
        <f>G52*0.45</f>
        <v>0</v>
      </c>
      <c r="H53" s="20">
        <f>H52*0.45</f>
        <v>0</v>
      </c>
      <c r="I53" s="20">
        <f>I52*0.45</f>
        <v>0</v>
      </c>
      <c r="J53" s="20">
        <f>J52*0.45</f>
        <v>0</v>
      </c>
    </row>
    <row r="54" spans="1:10" ht="15.75" customHeight="1" x14ac:dyDescent="0.2">
      <c r="F54" s="42" t="s">
        <v>45</v>
      </c>
      <c r="G54" s="43"/>
      <c r="H54" s="43"/>
      <c r="I54" s="43"/>
      <c r="J54" s="43"/>
    </row>
    <row r="55" spans="1:10" ht="15.75" customHeight="1" x14ac:dyDescent="0.2">
      <c r="F55" s="35" t="s">
        <v>71</v>
      </c>
      <c r="G55" s="36">
        <f>+(G52+G53)*G54</f>
        <v>0</v>
      </c>
      <c r="H55" s="36">
        <f>+(H52+H53)*H54</f>
        <v>0</v>
      </c>
      <c r="I55" s="36">
        <f>+(I52+I53)*I54</f>
        <v>0</v>
      </c>
      <c r="J55" s="36">
        <f>+(J52+J53)*J54</f>
        <v>0</v>
      </c>
    </row>
    <row r="56" spans="1:10" ht="15.75" customHeight="1" x14ac:dyDescent="0.2">
      <c r="G56" s="16"/>
      <c r="H56" s="16"/>
      <c r="I56" s="16"/>
      <c r="J56" s="16"/>
    </row>
    <row r="57" spans="1:10" ht="15.75" customHeight="1" x14ac:dyDescent="0.2">
      <c r="F57" s="8" t="s">
        <v>72</v>
      </c>
      <c r="G57" s="46">
        <f>+(G55+G50+G45+G40+G35+G30)/1000</f>
        <v>79.48120999999999</v>
      </c>
      <c r="H57" s="46">
        <f>+(H55+H50+H45+H40+H35+H30)/1000</f>
        <v>214.26810999999998</v>
      </c>
      <c r="I57" s="46">
        <f>+(I55+I50+I45+I40+I35+I30)/1000</f>
        <v>211.2</v>
      </c>
      <c r="J57" s="46">
        <f>+(J55+J50+J45+J40+J35+J30)/1000</f>
        <v>276.66000000000003</v>
      </c>
    </row>
  </sheetData>
  <mergeCells count="1">
    <mergeCell ref="F25:J2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41"/>
  <sheetViews>
    <sheetView zoomScale="140" zoomScaleNormal="140" workbookViewId="0">
      <pane ySplit="2" topLeftCell="A3" activePane="bottomLeft" state="frozen"/>
      <selection pane="bottomLeft" activeCell="H22" sqref="H22"/>
    </sheetView>
  </sheetViews>
  <sheetFormatPr baseColWidth="10" defaultColWidth="8.83203125" defaultRowHeight="15" x14ac:dyDescent="0.2"/>
  <cols>
    <col min="1" max="1" width="10.5" style="47" customWidth="1"/>
    <col min="2" max="2" width="41.6640625" style="48" customWidth="1"/>
    <col min="3" max="3" width="9.83203125" style="49" customWidth="1"/>
    <col min="4" max="4" width="20.6640625" style="49" customWidth="1"/>
    <col min="5" max="5" width="6.1640625" style="48" customWidth="1"/>
    <col min="6" max="6" width="16.5" style="50" customWidth="1"/>
    <col min="7" max="7" width="10.5" style="50" customWidth="1"/>
    <col min="8" max="8" width="15.1640625" style="50" customWidth="1"/>
    <col min="9" max="9" width="12" style="50" customWidth="1"/>
    <col min="10" max="10" width="11.33203125" style="50" customWidth="1"/>
    <col min="11" max="11" width="9.5" style="50" customWidth="1"/>
    <col min="12" max="12" width="8.83203125" style="50"/>
    <col min="13" max="13" width="10.6640625" style="50" customWidth="1"/>
    <col min="14" max="14" width="9.83203125" style="50" customWidth="1"/>
    <col min="15" max="15" width="8.5" style="51" customWidth="1"/>
    <col min="16" max="16" width="9.5" style="51" customWidth="1"/>
    <col min="17" max="17" width="12.83203125" style="51" customWidth="1"/>
    <col min="18" max="18" width="10.1640625" style="51" customWidth="1"/>
    <col min="19" max="19" width="8.83203125" style="51"/>
    <col min="20" max="20" width="10.6640625" style="51" customWidth="1"/>
    <col min="21" max="21" width="10.1640625" style="50" customWidth="1"/>
    <col min="22" max="22" width="8" style="50" customWidth="1"/>
    <col min="23" max="23" width="8.1640625" style="50" customWidth="1"/>
    <col min="24" max="24" width="10.6640625" style="50" customWidth="1"/>
    <col min="25" max="25" width="8.83203125" style="50"/>
    <col min="26" max="26" width="13.5" style="50" customWidth="1"/>
    <col min="27" max="27" width="11.83203125" style="50" customWidth="1"/>
    <col min="28" max="28" width="8.83203125" style="50"/>
    <col min="29" max="30" width="11.1640625" style="50" customWidth="1"/>
    <col min="31" max="31" width="10.1640625" style="50" customWidth="1"/>
    <col min="32" max="32" width="11.1640625" style="50" customWidth="1"/>
    <col min="33" max="33" width="10.83203125" style="50" customWidth="1"/>
    <col min="34" max="36" width="10.1640625" style="50" customWidth="1"/>
    <col min="37" max="37" width="15.33203125" style="50" customWidth="1"/>
    <col min="38" max="38" width="8.1640625" style="50" customWidth="1"/>
    <col min="39" max="39" width="7.33203125" style="50" customWidth="1"/>
    <col min="40" max="40" width="7.5" style="50" customWidth="1"/>
    <col min="41" max="41" width="15.1640625" style="50" customWidth="1"/>
    <col min="42" max="42" width="9.83203125" style="50" customWidth="1"/>
    <col min="43" max="43" width="8.83203125" style="50"/>
    <col min="44" max="44" width="9.5" style="50" customWidth="1"/>
    <col min="45" max="45" width="8.83203125" style="50"/>
    <col min="46" max="46" width="8.5" style="50" customWidth="1"/>
    <col min="47" max="47" width="9.5" style="50" customWidth="1"/>
    <col min="48" max="48" width="10.1640625" style="50" customWidth="1"/>
    <col min="49" max="49" width="8.83203125" style="50"/>
    <col min="50" max="51" width="7.5" style="50" customWidth="1"/>
    <col min="52" max="52" width="7.83203125" style="50" customWidth="1"/>
    <col min="53" max="53" width="8" style="50" customWidth="1"/>
    <col min="54" max="54" width="8.6640625" style="50" customWidth="1"/>
    <col min="55" max="55" width="10" style="47" customWidth="1"/>
    <col min="56" max="56" width="9.6640625" style="47" customWidth="1"/>
    <col min="57" max="57" width="10" style="47" customWidth="1"/>
  </cols>
  <sheetData>
    <row r="1" spans="1:58" s="35" customFormat="1" ht="15" customHeight="1" x14ac:dyDescent="0.2">
      <c r="A1" s="52"/>
      <c r="B1" s="53"/>
      <c r="C1" s="54"/>
      <c r="D1" s="54"/>
      <c r="E1" s="53"/>
      <c r="F1" s="432" t="s">
        <v>73</v>
      </c>
      <c r="G1" s="432"/>
      <c r="H1" s="432"/>
      <c r="I1" s="432"/>
      <c r="J1" s="432"/>
      <c r="K1" s="432"/>
      <c r="L1" s="432"/>
      <c r="M1" s="432"/>
      <c r="N1" s="432"/>
      <c r="O1" s="433" t="s">
        <v>74</v>
      </c>
      <c r="P1" s="433"/>
      <c r="Q1" s="433"/>
      <c r="R1" s="433"/>
      <c r="S1" s="433"/>
      <c r="T1" s="433"/>
      <c r="U1" s="434" t="s">
        <v>75</v>
      </c>
      <c r="V1" s="434"/>
      <c r="W1" s="434"/>
      <c r="X1" s="434"/>
      <c r="Y1" s="435" t="s">
        <v>76</v>
      </c>
      <c r="Z1" s="435"/>
      <c r="AA1" s="435"/>
      <c r="AB1" s="435"/>
      <c r="AC1" s="435"/>
      <c r="AD1" s="435"/>
      <c r="AE1" s="435"/>
      <c r="AF1" s="430" t="s">
        <v>77</v>
      </c>
      <c r="AG1" s="430"/>
      <c r="AH1" s="430"/>
      <c r="AI1" s="430" t="s">
        <v>78</v>
      </c>
      <c r="AJ1" s="430"/>
      <c r="AK1" s="430"/>
      <c r="AL1" s="430" t="s">
        <v>79</v>
      </c>
      <c r="AM1" s="430"/>
      <c r="AN1" s="430"/>
      <c r="AO1" s="430" t="s">
        <v>80</v>
      </c>
      <c r="AP1" s="430"/>
      <c r="AQ1" s="431" t="s">
        <v>81</v>
      </c>
      <c r="AR1" s="430" t="s">
        <v>82</v>
      </c>
      <c r="AS1" s="430"/>
      <c r="AT1" s="430"/>
      <c r="AU1" s="430"/>
      <c r="AV1" s="430"/>
      <c r="AW1" s="430"/>
      <c r="AX1" s="430"/>
      <c r="AY1" s="430"/>
      <c r="AZ1" s="430"/>
      <c r="BA1" s="430"/>
      <c r="BB1" s="430"/>
      <c r="BC1" s="430"/>
      <c r="BD1" s="430"/>
      <c r="BE1" s="430"/>
      <c r="BF1" s="430"/>
    </row>
    <row r="2" spans="1:58" s="83" customFormat="1" ht="40.5" customHeight="1" x14ac:dyDescent="0.2">
      <c r="A2" s="55" t="s">
        <v>83</v>
      </c>
      <c r="B2" s="56" t="s">
        <v>84</v>
      </c>
      <c r="C2" s="57" t="s">
        <v>85</v>
      </c>
      <c r="D2" s="57" t="s">
        <v>86</v>
      </c>
      <c r="E2" s="56" t="s">
        <v>87</v>
      </c>
      <c r="F2" s="58" t="s">
        <v>88</v>
      </c>
      <c r="G2" s="59" t="s">
        <v>89</v>
      </c>
      <c r="H2" s="59" t="s">
        <v>90</v>
      </c>
      <c r="I2" s="59" t="s">
        <v>91</v>
      </c>
      <c r="J2" s="59" t="s">
        <v>92</v>
      </c>
      <c r="K2" s="59" t="s">
        <v>93</v>
      </c>
      <c r="L2" s="59" t="s">
        <v>94</v>
      </c>
      <c r="M2" s="59" t="s">
        <v>95</v>
      </c>
      <c r="N2" s="60" t="s">
        <v>96</v>
      </c>
      <c r="O2" s="61" t="s">
        <v>97</v>
      </c>
      <c r="P2" s="59" t="s">
        <v>98</v>
      </c>
      <c r="Q2" s="59" t="s">
        <v>99</v>
      </c>
      <c r="R2" s="59" t="s">
        <v>100</v>
      </c>
      <c r="S2" s="59" t="s">
        <v>95</v>
      </c>
      <c r="T2" s="62" t="s">
        <v>96</v>
      </c>
      <c r="U2" s="63" t="s">
        <v>101</v>
      </c>
      <c r="V2" s="64" t="s">
        <v>102</v>
      </c>
      <c r="W2" s="64" t="s">
        <v>103</v>
      </c>
      <c r="X2" s="65" t="s">
        <v>104</v>
      </c>
      <c r="Y2" s="66" t="s">
        <v>105</v>
      </c>
      <c r="Z2" s="67" t="s">
        <v>106</v>
      </c>
      <c r="AA2" s="67" t="s">
        <v>107</v>
      </c>
      <c r="AB2" s="67" t="s">
        <v>108</v>
      </c>
      <c r="AC2" s="67" t="s">
        <v>109</v>
      </c>
      <c r="AD2" s="67" t="s">
        <v>110</v>
      </c>
      <c r="AE2" s="67" t="s">
        <v>111</v>
      </c>
      <c r="AF2" s="68" t="s">
        <v>112</v>
      </c>
      <c r="AG2" s="69" t="s">
        <v>113</v>
      </c>
      <c r="AH2" s="70" t="s">
        <v>114</v>
      </c>
      <c r="AI2" s="68" t="s">
        <v>115</v>
      </c>
      <c r="AJ2" s="69" t="s">
        <v>116</v>
      </c>
      <c r="AK2" s="70" t="s">
        <v>117</v>
      </c>
      <c r="AL2" s="68" t="s">
        <v>115</v>
      </c>
      <c r="AM2" s="69" t="s">
        <v>116</v>
      </c>
      <c r="AN2" s="70" t="s">
        <v>118</v>
      </c>
      <c r="AO2" s="68" t="s">
        <v>119</v>
      </c>
      <c r="AP2" s="70" t="s">
        <v>120</v>
      </c>
      <c r="AQ2" s="431"/>
      <c r="AR2" s="71" t="s">
        <v>121</v>
      </c>
      <c r="AS2" s="72" t="s">
        <v>122</v>
      </c>
      <c r="AT2" s="73" t="s">
        <v>123</v>
      </c>
      <c r="AU2" s="74" t="s">
        <v>124</v>
      </c>
      <c r="AV2" s="75" t="s">
        <v>125</v>
      </c>
      <c r="AW2" s="76" t="s">
        <v>126</v>
      </c>
      <c r="AX2" s="77" t="s">
        <v>127</v>
      </c>
      <c r="AY2" s="78" t="s">
        <v>128</v>
      </c>
      <c r="AZ2" s="79" t="s">
        <v>129</v>
      </c>
      <c r="BA2" s="71" t="s">
        <v>130</v>
      </c>
      <c r="BB2" s="72" t="s">
        <v>131</v>
      </c>
      <c r="BC2" s="73" t="s">
        <v>132</v>
      </c>
      <c r="BD2" s="80" t="s">
        <v>133</v>
      </c>
      <c r="BE2" s="81" t="s">
        <v>134</v>
      </c>
      <c r="BF2" s="82" t="s">
        <v>135</v>
      </c>
    </row>
    <row r="3" spans="1:58" ht="15.75" customHeight="1" x14ac:dyDescent="0.2">
      <c r="A3" s="429"/>
      <c r="B3" s="84" t="s">
        <v>136</v>
      </c>
      <c r="C3" s="85" t="s">
        <v>137</v>
      </c>
      <c r="D3" s="86" t="s">
        <v>138</v>
      </c>
      <c r="E3" s="87">
        <f>VLOOKUP(D3,'% avancement'!$A$4:$B$17,2,FALSE())</f>
        <v>0.25</v>
      </c>
      <c r="F3" s="88">
        <v>125666.66666666701</v>
      </c>
      <c r="G3" s="89">
        <v>7500</v>
      </c>
      <c r="H3" s="90">
        <f t="shared" ref="H3:H23" si="0">F3+G3-I3</f>
        <v>128166.66666666701</v>
      </c>
      <c r="I3" s="89">
        <v>5000</v>
      </c>
      <c r="J3" s="89">
        <f t="shared" ref="J3:J14" si="1">(F3+G3-I3)*0.06</f>
        <v>7690.00000000002</v>
      </c>
      <c r="K3" s="89">
        <f t="shared" ref="K3:K14" si="2">(F3+G3-I3)*0.025</f>
        <v>3204.1666666666752</v>
      </c>
      <c r="L3" s="89">
        <v>7828.15</v>
      </c>
      <c r="M3" s="89">
        <f t="shared" ref="M3:M14" si="3">(F3+G3)*0.62</f>
        <v>82563.333333333547</v>
      </c>
      <c r="N3" s="91">
        <v>6000</v>
      </c>
      <c r="O3" s="92"/>
      <c r="P3" s="93"/>
      <c r="Q3" s="93"/>
      <c r="R3" s="93"/>
      <c r="S3" s="93"/>
      <c r="T3" s="93"/>
      <c r="U3" s="94">
        <f t="shared" ref="U3:U23" si="4">IF(C3="oui","",(H3+I3)*E3)</f>
        <v>33291.666666666752</v>
      </c>
      <c r="W3" s="50">
        <f t="shared" ref="W3:W23" si="5">IF(O3="",0,(1-E3)*O3)</f>
        <v>0</v>
      </c>
      <c r="X3" s="95">
        <f t="shared" ref="X3:X23" si="6">IF(O3="",I3*(E3),0)</f>
        <v>1250</v>
      </c>
      <c r="Y3" s="94">
        <f t="shared" ref="Y3:Y23" si="7">IF(P3="",+H3*6%*E3,0)</f>
        <v>1922.500000000005</v>
      </c>
      <c r="Z3" s="50">
        <f t="shared" ref="Z3:Z23" si="8">IF(P3="",0,P3*(1-E3))</f>
        <v>0</v>
      </c>
      <c r="AA3" s="50">
        <f t="shared" ref="AA3:AA23" si="9">IF(Q3="",+H3*2.5%*E3,0)</f>
        <v>801.04166666666879</v>
      </c>
      <c r="AB3" s="50">
        <f t="shared" ref="AB3:AB23" si="10">IF(Q3="",0,Q3*(1-E3))</f>
        <v>0</v>
      </c>
      <c r="AC3" s="50">
        <f t="shared" ref="AC3:AC23" si="11">IF(R3="",+L3*E3,(1-E3)*R3)</f>
        <v>1957.0374999999999</v>
      </c>
      <c r="AD3" s="50">
        <f t="shared" ref="AD3:AD23" si="12">IF(S3="",M3*E3,S3*E3)</f>
        <v>20640.833333333387</v>
      </c>
      <c r="AF3" s="94">
        <f t="shared" ref="AF3:AF23" si="13">IF(E3="",0,+H3-J3-K3-L3-M3-N3)</f>
        <v>20881.016666666779</v>
      </c>
      <c r="AG3" s="50">
        <f>IFERROR((VLOOKUP(B3,'Suivi 31.12.25'!$B$1:$BF$38,33,FALSE())),0)</f>
        <v>5220.2541666666948</v>
      </c>
      <c r="AH3" s="95">
        <f t="shared" ref="AH3:AH23" si="14">AF3*E3-AG3</f>
        <v>0</v>
      </c>
      <c r="AI3" s="94">
        <f t="shared" ref="AI3:AI23" si="15">IF(E3="",0,H3)</f>
        <v>128166.66666666701</v>
      </c>
      <c r="AJ3" s="50">
        <f>IFERROR((VLOOKUP(B3,'Suivi 31.12.25'!$B$1:$BF$38,36,FALSE())),0)</f>
        <v>32041.666666666752</v>
      </c>
      <c r="AK3" s="95">
        <f t="shared" ref="AK3:AK23" si="16">AI3*E3-AJ3</f>
        <v>0</v>
      </c>
      <c r="AO3" s="94">
        <f t="shared" ref="AO3:AO25" si="17">IF(E3=0,0,AI3-AJ3-AK3)</f>
        <v>96125.000000000262</v>
      </c>
      <c r="AP3" s="95">
        <f t="shared" ref="AP3:AP27" si="18">IF(E3=0,0,AF3-AG3-AH3)</f>
        <v>15660.762500000084</v>
      </c>
      <c r="AQ3" s="96">
        <f t="shared" ref="AQ3:AQ23" si="19">IF(E3="","",+AF3/AI3)</f>
        <v>0.162920806241873</v>
      </c>
      <c r="AR3" s="94">
        <f t="shared" ref="AR3:AR23" si="20">IF(S3="",M3*E3,S3*E3)</f>
        <v>20640.833333333387</v>
      </c>
      <c r="AS3" s="50">
        <f>IFERROR((VLOOKUP(B3,'SUIVI 31.12.24 ALTONEO'!$B$1:$BF$38,45,FALSE())),0)</f>
        <v>0</v>
      </c>
      <c r="AT3" s="97">
        <f t="shared" ref="AT3:AT23" si="21">+AR3-AS3</f>
        <v>20640.833333333387</v>
      </c>
      <c r="AU3" s="94">
        <f t="shared" ref="AU3:AU23" si="22">+L3*E3</f>
        <v>1957.0374999999999</v>
      </c>
      <c r="AV3" s="50">
        <f>IFERROR((VLOOKUP(B3,'SUIVI 31.12.24 ALTONEO'!$B$1:$BF$38,48,FALSE())),0)</f>
        <v>0</v>
      </c>
      <c r="AW3" s="95">
        <f t="shared" ref="AW3:AW23" si="23">+AU3-AV3</f>
        <v>1957.0374999999999</v>
      </c>
      <c r="AX3" s="94">
        <f t="shared" ref="AX3:AX23" si="24">IF(P3="",J3*E3,P3-Z3)</f>
        <v>1922.500000000005</v>
      </c>
      <c r="AY3" s="50">
        <f>IFERROR((VLOOKUP(B3,'SUIVI 31.12.24 ALTONEO'!$B$1:$BF$38,51,FALSE())),0)</f>
        <v>0</v>
      </c>
      <c r="AZ3" s="95">
        <f t="shared" ref="AZ3:AZ23" si="25">+AX3-AY3</f>
        <v>1922.500000000005</v>
      </c>
      <c r="BA3" s="94">
        <f t="shared" ref="BA3:BA23" si="26">IF(Q3="",K3*E3,Q3-AB3)</f>
        <v>801.04166666666879</v>
      </c>
      <c r="BB3" s="50">
        <f>IFERROR((VLOOKUP(B3,'SUIVI 31.12.24 ALTONEO'!$B$1:$BF$38,54,FALSE())),0)</f>
        <v>0</v>
      </c>
      <c r="BC3" s="95">
        <f t="shared" ref="BC3:BC23" si="27">+BA3-BB3</f>
        <v>801.04166666666879</v>
      </c>
      <c r="BD3" s="94">
        <f t="shared" ref="BD3:BD23" si="28">+E3*N3</f>
        <v>1500</v>
      </c>
      <c r="BE3" s="50">
        <f>IFERROR((VLOOKUP(B3,'SUIVI 31.12.24 ALTONEO'!$B$1:$BF$38,57,FALSE())),0)</f>
        <v>0</v>
      </c>
      <c r="BF3" s="95"/>
    </row>
    <row r="4" spans="1:58" ht="15" customHeight="1" x14ac:dyDescent="0.2">
      <c r="A4" s="429"/>
      <c r="B4" s="84" t="s">
        <v>139</v>
      </c>
      <c r="C4" s="85" t="s">
        <v>137</v>
      </c>
      <c r="D4" s="86" t="s">
        <v>138</v>
      </c>
      <c r="E4" s="87">
        <f>VLOOKUP(D4,'% avancement'!$A$4:$B$17,2,FALSE())</f>
        <v>0.25</v>
      </c>
      <c r="F4" s="88">
        <v>146083.33333333299</v>
      </c>
      <c r="G4" s="89">
        <v>7500</v>
      </c>
      <c r="H4" s="90">
        <f t="shared" si="0"/>
        <v>148583.33333333299</v>
      </c>
      <c r="I4" s="89">
        <v>5000</v>
      </c>
      <c r="J4" s="89">
        <f t="shared" si="1"/>
        <v>8914.99999999998</v>
      </c>
      <c r="K4" s="89">
        <f t="shared" si="2"/>
        <v>3714.5833333333248</v>
      </c>
      <c r="L4" s="89">
        <v>7828.15</v>
      </c>
      <c r="M4" s="89">
        <f t="shared" si="3"/>
        <v>95221.666666666453</v>
      </c>
      <c r="N4" s="91">
        <v>6000</v>
      </c>
      <c r="O4" s="92"/>
      <c r="P4" s="93"/>
      <c r="Q4" s="93"/>
      <c r="R4" s="93"/>
      <c r="S4" s="93"/>
      <c r="T4" s="93"/>
      <c r="U4" s="94">
        <f t="shared" si="4"/>
        <v>38395.833333333248</v>
      </c>
      <c r="W4" s="50">
        <f t="shared" si="5"/>
        <v>0</v>
      </c>
      <c r="X4" s="95">
        <f t="shared" si="6"/>
        <v>1250</v>
      </c>
      <c r="Y4" s="94">
        <f t="shared" si="7"/>
        <v>2228.749999999995</v>
      </c>
      <c r="Z4" s="50">
        <f t="shared" si="8"/>
        <v>0</v>
      </c>
      <c r="AA4" s="50">
        <f t="shared" si="9"/>
        <v>928.64583333333121</v>
      </c>
      <c r="AB4" s="50">
        <f t="shared" si="10"/>
        <v>0</v>
      </c>
      <c r="AC4" s="50">
        <f t="shared" si="11"/>
        <v>1957.0374999999999</v>
      </c>
      <c r="AD4" s="50">
        <f t="shared" si="12"/>
        <v>23805.416666666613</v>
      </c>
      <c r="AF4" s="94">
        <f t="shared" si="13"/>
        <v>26903.933333333262</v>
      </c>
      <c r="AG4" s="50">
        <f>IFERROR((VLOOKUP(B4,'Suivi 31.12.25'!$B$1:$BF$38,33,FALSE())),0)</f>
        <v>0</v>
      </c>
      <c r="AH4" s="95">
        <f t="shared" si="14"/>
        <v>6725.9833333333154</v>
      </c>
      <c r="AI4" s="94">
        <f t="shared" si="15"/>
        <v>148583.33333333299</v>
      </c>
      <c r="AJ4" s="50">
        <f>IFERROR((VLOOKUP(B4,'Suivi 31.12.25'!$B$1:$BF$38,36,FALSE())),0)</f>
        <v>0</v>
      </c>
      <c r="AK4" s="95">
        <f t="shared" si="16"/>
        <v>37145.833333333248</v>
      </c>
      <c r="AO4" s="94">
        <f t="shared" si="17"/>
        <v>111437.49999999974</v>
      </c>
      <c r="AP4" s="95">
        <f t="shared" si="18"/>
        <v>20177.949999999946</v>
      </c>
      <c r="AQ4" s="96">
        <f t="shared" si="19"/>
        <v>0.1810696578799775</v>
      </c>
      <c r="AR4" s="94">
        <f t="shared" si="20"/>
        <v>23805.416666666613</v>
      </c>
      <c r="AS4" s="50">
        <f>IFERROR((VLOOKUP(B4,'SUIVI 31.12.24 ALTONEO'!$B$1:$BF$38,45,FALSE())),0)</f>
        <v>0</v>
      </c>
      <c r="AT4" s="97">
        <f t="shared" si="21"/>
        <v>23805.416666666613</v>
      </c>
      <c r="AU4" s="94">
        <f t="shared" si="22"/>
        <v>1957.0374999999999</v>
      </c>
      <c r="AV4" s="50">
        <f>IFERROR((VLOOKUP(B4,'SUIVI 31.12.24 ALTONEO'!$B$1:$BF$38,48,FALSE())),0)</f>
        <v>0</v>
      </c>
      <c r="AW4" s="95">
        <f t="shared" si="23"/>
        <v>1957.0374999999999</v>
      </c>
      <c r="AX4" s="94">
        <f t="shared" si="24"/>
        <v>2228.749999999995</v>
      </c>
      <c r="AY4" s="50">
        <f>IFERROR((VLOOKUP(B4,'SUIVI 31.12.24 ALTONEO'!$B$1:$BF$38,51,FALSE())),0)</f>
        <v>0</v>
      </c>
      <c r="AZ4" s="95">
        <f t="shared" si="25"/>
        <v>2228.749999999995</v>
      </c>
      <c r="BA4" s="94">
        <f t="shared" si="26"/>
        <v>928.64583333333121</v>
      </c>
      <c r="BB4" s="50">
        <f>IFERROR((VLOOKUP(B4,'SUIVI 31.12.24 ALTONEO'!$B$1:$BF$38,54,FALSE())),0)</f>
        <v>0</v>
      </c>
      <c r="BC4" s="95">
        <f t="shared" si="27"/>
        <v>928.64583333333121</v>
      </c>
      <c r="BD4" s="94">
        <f t="shared" si="28"/>
        <v>1500</v>
      </c>
      <c r="BE4" s="50">
        <f>IFERROR((VLOOKUP(B4,'SUIVI 31.12.24 ALTONEO'!$B$1:$BF$38,57,FALSE())),0)</f>
        <v>0</v>
      </c>
      <c r="BF4" s="95"/>
    </row>
    <row r="5" spans="1:58" ht="15" customHeight="1" x14ac:dyDescent="0.2">
      <c r="A5" s="429"/>
      <c r="B5" s="84" t="s">
        <v>140</v>
      </c>
      <c r="C5" s="85" t="s">
        <v>137</v>
      </c>
      <c r="D5" s="86" t="s">
        <v>138</v>
      </c>
      <c r="E5" s="87">
        <f>VLOOKUP(D5,'% avancement'!$A$4:$B$17,2,FALSE())</f>
        <v>0.25</v>
      </c>
      <c r="F5" s="88">
        <v>110916.66666666701</v>
      </c>
      <c r="G5" s="89">
        <v>7500</v>
      </c>
      <c r="H5" s="90">
        <f t="shared" si="0"/>
        <v>113416.66666666701</v>
      </c>
      <c r="I5" s="89">
        <v>5000</v>
      </c>
      <c r="J5" s="89">
        <f t="shared" si="1"/>
        <v>6805.00000000002</v>
      </c>
      <c r="K5" s="89">
        <f t="shared" si="2"/>
        <v>2835.4166666666752</v>
      </c>
      <c r="L5" s="89">
        <v>7828.15</v>
      </c>
      <c r="M5" s="89">
        <f t="shared" si="3"/>
        <v>73418.333333333547</v>
      </c>
      <c r="N5" s="91">
        <v>6000</v>
      </c>
      <c r="O5" s="92"/>
      <c r="P5" s="93"/>
      <c r="Q5" s="93"/>
      <c r="R5" s="93"/>
      <c r="S5" s="93"/>
      <c r="T5" s="93"/>
      <c r="U5" s="94">
        <f t="shared" si="4"/>
        <v>29604.166666666752</v>
      </c>
      <c r="W5" s="50">
        <f t="shared" si="5"/>
        <v>0</v>
      </c>
      <c r="X5" s="95">
        <f t="shared" si="6"/>
        <v>1250</v>
      </c>
      <c r="Y5" s="94">
        <f t="shared" si="7"/>
        <v>1701.250000000005</v>
      </c>
      <c r="Z5" s="50">
        <f t="shared" si="8"/>
        <v>0</v>
      </c>
      <c r="AA5" s="50">
        <f t="shared" si="9"/>
        <v>708.85416666666879</v>
      </c>
      <c r="AB5" s="50">
        <f t="shared" si="10"/>
        <v>0</v>
      </c>
      <c r="AC5" s="50">
        <f t="shared" si="11"/>
        <v>1957.0374999999999</v>
      </c>
      <c r="AD5" s="50">
        <f t="shared" si="12"/>
        <v>18354.583333333387</v>
      </c>
      <c r="AF5" s="94">
        <f t="shared" si="13"/>
        <v>16529.766666666779</v>
      </c>
      <c r="AG5" s="50">
        <f>IFERROR((VLOOKUP(B5,'Suivi 31.12.25'!$B$1:$BF$38,33,FALSE())),0)</f>
        <v>0</v>
      </c>
      <c r="AH5" s="95">
        <f t="shared" si="14"/>
        <v>4132.4416666666948</v>
      </c>
      <c r="AI5" s="94">
        <f t="shared" si="15"/>
        <v>113416.66666666701</v>
      </c>
      <c r="AJ5" s="50">
        <f>IFERROR((VLOOKUP(B5,'Suivi 31.12.25'!$B$1:$BF$38,36,FALSE())),0)</f>
        <v>0</v>
      </c>
      <c r="AK5" s="95">
        <f t="shared" si="16"/>
        <v>28354.166666666752</v>
      </c>
      <c r="AO5" s="94">
        <f t="shared" si="17"/>
        <v>85062.500000000262</v>
      </c>
      <c r="AP5" s="95">
        <f t="shared" si="18"/>
        <v>12397.325000000084</v>
      </c>
      <c r="AQ5" s="96">
        <f t="shared" si="19"/>
        <v>0.14574371785451928</v>
      </c>
      <c r="AR5" s="94">
        <f t="shared" si="20"/>
        <v>18354.583333333387</v>
      </c>
      <c r="AS5" s="50">
        <f>IFERROR((VLOOKUP(B5,'SUIVI 31.12.24 ALTONEO'!$B$1:$BF$38,45,FALSE())),0)</f>
        <v>0</v>
      </c>
      <c r="AT5" s="97">
        <f t="shared" si="21"/>
        <v>18354.583333333387</v>
      </c>
      <c r="AU5" s="94">
        <f t="shared" si="22"/>
        <v>1957.0374999999999</v>
      </c>
      <c r="AV5" s="50">
        <f>IFERROR((VLOOKUP(B5,'SUIVI 31.12.24 ALTONEO'!$B$1:$BF$38,48,FALSE())),0)</f>
        <v>0</v>
      </c>
      <c r="AW5" s="95">
        <f t="shared" si="23"/>
        <v>1957.0374999999999</v>
      </c>
      <c r="AX5" s="94">
        <f t="shared" si="24"/>
        <v>1701.250000000005</v>
      </c>
      <c r="AY5" s="50">
        <f>IFERROR((VLOOKUP(B5,'SUIVI 31.12.24 ALTONEO'!$B$1:$BF$38,51,FALSE())),0)</f>
        <v>0</v>
      </c>
      <c r="AZ5" s="95">
        <f t="shared" si="25"/>
        <v>1701.250000000005</v>
      </c>
      <c r="BA5" s="94">
        <f t="shared" si="26"/>
        <v>708.85416666666879</v>
      </c>
      <c r="BB5" s="50">
        <f>IFERROR((VLOOKUP(B5,'SUIVI 31.12.24 ALTONEO'!$B$1:$BF$38,54,FALSE())),0)</f>
        <v>0</v>
      </c>
      <c r="BC5" s="95">
        <f t="shared" si="27"/>
        <v>708.85416666666879</v>
      </c>
      <c r="BD5" s="94">
        <f t="shared" si="28"/>
        <v>1500</v>
      </c>
      <c r="BE5" s="50">
        <f>IFERROR((VLOOKUP(B5,'SUIVI 31.12.24 ALTONEO'!$B$1:$BF$38,57,FALSE())),0)</f>
        <v>0</v>
      </c>
      <c r="BF5" s="95"/>
    </row>
    <row r="6" spans="1:58" ht="15" customHeight="1" x14ac:dyDescent="0.2">
      <c r="A6" s="429"/>
      <c r="B6" s="84" t="s">
        <v>141</v>
      </c>
      <c r="C6" s="85" t="s">
        <v>137</v>
      </c>
      <c r="D6" s="86" t="s">
        <v>138</v>
      </c>
      <c r="E6" s="87">
        <f>VLOOKUP(D6,'% avancement'!$A$4:$B$17,2,FALSE())</f>
        <v>0.25</v>
      </c>
      <c r="F6" s="88">
        <v>98166.666666666701</v>
      </c>
      <c r="G6" s="89">
        <v>7500</v>
      </c>
      <c r="H6" s="90">
        <f t="shared" si="0"/>
        <v>100666.6666666667</v>
      </c>
      <c r="I6" s="89">
        <v>5000</v>
      </c>
      <c r="J6" s="89">
        <f t="shared" si="1"/>
        <v>6040.0000000000018</v>
      </c>
      <c r="K6" s="89">
        <f t="shared" si="2"/>
        <v>2516.6666666666679</v>
      </c>
      <c r="L6" s="89">
        <v>7828.15</v>
      </c>
      <c r="M6" s="89">
        <f t="shared" si="3"/>
        <v>65513.33333333335</v>
      </c>
      <c r="N6" s="91">
        <v>6000</v>
      </c>
      <c r="O6" s="92"/>
      <c r="P6" s="93"/>
      <c r="Q6" s="93"/>
      <c r="R6" s="93"/>
      <c r="S6" s="93"/>
      <c r="T6" s="93"/>
      <c r="U6" s="94">
        <f t="shared" si="4"/>
        <v>26416.666666666675</v>
      </c>
      <c r="W6" s="50">
        <f t="shared" si="5"/>
        <v>0</v>
      </c>
      <c r="X6" s="95">
        <f t="shared" si="6"/>
        <v>1250</v>
      </c>
      <c r="Y6" s="94">
        <f t="shared" si="7"/>
        <v>1510.0000000000005</v>
      </c>
      <c r="Z6" s="50">
        <f t="shared" si="8"/>
        <v>0</v>
      </c>
      <c r="AA6" s="50">
        <f t="shared" si="9"/>
        <v>629.16666666666697</v>
      </c>
      <c r="AB6" s="50">
        <f t="shared" si="10"/>
        <v>0</v>
      </c>
      <c r="AC6" s="50">
        <f t="shared" si="11"/>
        <v>1957.0374999999999</v>
      </c>
      <c r="AD6" s="50">
        <f t="shared" si="12"/>
        <v>16378.333333333338</v>
      </c>
      <c r="AF6" s="94">
        <f t="shared" si="13"/>
        <v>12768.516666666685</v>
      </c>
      <c r="AG6" s="50">
        <f>IFERROR((VLOOKUP(B6,'Suivi 31.12.25'!$B$1:$BF$38,33,FALSE())),0)</f>
        <v>0</v>
      </c>
      <c r="AH6" s="95">
        <f t="shared" si="14"/>
        <v>3192.1291666666712</v>
      </c>
      <c r="AI6" s="94">
        <f t="shared" si="15"/>
        <v>100666.6666666667</v>
      </c>
      <c r="AJ6" s="50">
        <f>IFERROR((VLOOKUP(B6,'Suivi 31.12.25'!$B$1:$BF$38,36,FALSE())),0)</f>
        <v>0</v>
      </c>
      <c r="AK6" s="95">
        <f t="shared" si="16"/>
        <v>25166.666666666675</v>
      </c>
      <c r="AO6" s="94">
        <f t="shared" si="17"/>
        <v>75500.000000000029</v>
      </c>
      <c r="AP6" s="95">
        <f t="shared" si="18"/>
        <v>9576.3875000000135</v>
      </c>
      <c r="AQ6" s="96">
        <f t="shared" si="19"/>
        <v>0.12683956953642397</v>
      </c>
      <c r="AR6" s="94">
        <f t="shared" si="20"/>
        <v>16378.333333333338</v>
      </c>
      <c r="AS6" s="50">
        <f>IFERROR((VLOOKUP(B6,'SUIVI 31.12.24 ALTONEO'!$B$1:$BF$38,45,FALSE())),0)</f>
        <v>0</v>
      </c>
      <c r="AT6" s="97">
        <f t="shared" si="21"/>
        <v>16378.333333333338</v>
      </c>
      <c r="AU6" s="94">
        <f t="shared" si="22"/>
        <v>1957.0374999999999</v>
      </c>
      <c r="AV6" s="50">
        <f>IFERROR((VLOOKUP(B6,'SUIVI 31.12.24 ALTONEO'!$B$1:$BF$38,48,FALSE())),0)</f>
        <v>0</v>
      </c>
      <c r="AW6" s="95">
        <f t="shared" si="23"/>
        <v>1957.0374999999999</v>
      </c>
      <c r="AX6" s="94">
        <f t="shared" si="24"/>
        <v>1510.0000000000005</v>
      </c>
      <c r="AY6" s="50">
        <f>IFERROR((VLOOKUP(B6,'SUIVI 31.12.24 ALTONEO'!$B$1:$BF$38,51,FALSE())),0)</f>
        <v>0</v>
      </c>
      <c r="AZ6" s="95">
        <f t="shared" si="25"/>
        <v>1510.0000000000005</v>
      </c>
      <c r="BA6" s="94">
        <f t="shared" si="26"/>
        <v>629.16666666666697</v>
      </c>
      <c r="BB6" s="50">
        <f>IFERROR((VLOOKUP(B6,'SUIVI 31.12.24 ALTONEO'!$B$1:$BF$38,54,FALSE())),0)</f>
        <v>0</v>
      </c>
      <c r="BC6" s="95">
        <f t="shared" si="27"/>
        <v>629.16666666666697</v>
      </c>
      <c r="BD6" s="94">
        <f t="shared" si="28"/>
        <v>1500</v>
      </c>
      <c r="BE6" s="50">
        <f>IFERROR((VLOOKUP(B6,'SUIVI 31.12.24 ALTONEO'!$B$1:$BF$38,57,FALSE())),0)</f>
        <v>0</v>
      </c>
      <c r="BF6" s="95"/>
    </row>
    <row r="7" spans="1:58" ht="15" customHeight="1" x14ac:dyDescent="0.2">
      <c r="A7" s="429"/>
      <c r="B7" s="84" t="s">
        <v>142</v>
      </c>
      <c r="C7" s="85" t="s">
        <v>137</v>
      </c>
      <c r="D7" s="86" t="s">
        <v>138</v>
      </c>
      <c r="E7" s="87">
        <f>VLOOKUP(D7,'% avancement'!$A$4:$B$17,2,FALSE())</f>
        <v>0.25</v>
      </c>
      <c r="F7" s="88">
        <v>111416.66666666701</v>
      </c>
      <c r="G7" s="89">
        <v>7500</v>
      </c>
      <c r="H7" s="90">
        <f t="shared" si="0"/>
        <v>113916.66666666701</v>
      </c>
      <c r="I7" s="89">
        <v>5000</v>
      </c>
      <c r="J7" s="89">
        <f t="shared" si="1"/>
        <v>6835.00000000002</v>
      </c>
      <c r="K7" s="89">
        <f t="shared" si="2"/>
        <v>2847.9166666666752</v>
      </c>
      <c r="L7" s="89">
        <v>7828.15</v>
      </c>
      <c r="M7" s="89">
        <f t="shared" si="3"/>
        <v>73728.333333333547</v>
      </c>
      <c r="N7" s="91">
        <v>6000</v>
      </c>
      <c r="O7" s="92"/>
      <c r="P7" s="93"/>
      <c r="Q7" s="93"/>
      <c r="R7" s="93"/>
      <c r="S7" s="93"/>
      <c r="T7" s="93"/>
      <c r="U7" s="94">
        <f t="shared" si="4"/>
        <v>29729.166666666752</v>
      </c>
      <c r="W7" s="50">
        <f t="shared" si="5"/>
        <v>0</v>
      </c>
      <c r="X7" s="95">
        <f t="shared" si="6"/>
        <v>1250</v>
      </c>
      <c r="Y7" s="94">
        <f t="shared" si="7"/>
        <v>1708.750000000005</v>
      </c>
      <c r="Z7" s="50">
        <f t="shared" si="8"/>
        <v>0</v>
      </c>
      <c r="AA7" s="50">
        <f t="shared" si="9"/>
        <v>711.97916666666879</v>
      </c>
      <c r="AB7" s="50">
        <f t="shared" si="10"/>
        <v>0</v>
      </c>
      <c r="AC7" s="50">
        <f t="shared" si="11"/>
        <v>1957.0374999999999</v>
      </c>
      <c r="AD7" s="50">
        <f t="shared" si="12"/>
        <v>18432.083333333387</v>
      </c>
      <c r="AF7" s="94">
        <f t="shared" si="13"/>
        <v>16677.266666666779</v>
      </c>
      <c r="AG7" s="50">
        <f>IFERROR((VLOOKUP(B7,'Suivi 31.12.25'!$B$1:$BF$38,33,FALSE())),0)</f>
        <v>0</v>
      </c>
      <c r="AH7" s="95">
        <f t="shared" si="14"/>
        <v>4169.3166666666948</v>
      </c>
      <c r="AI7" s="94">
        <f t="shared" si="15"/>
        <v>113916.66666666701</v>
      </c>
      <c r="AJ7" s="50">
        <f>IFERROR((VLOOKUP(B7,'Suivi 31.12.25'!$B$1:$BF$38,36,FALSE())),0)</f>
        <v>0</v>
      </c>
      <c r="AK7" s="95">
        <f t="shared" si="16"/>
        <v>28479.166666666752</v>
      </c>
      <c r="AO7" s="94">
        <f t="shared" si="17"/>
        <v>85437.500000000262</v>
      </c>
      <c r="AP7" s="95">
        <f t="shared" si="18"/>
        <v>12507.950000000084</v>
      </c>
      <c r="AQ7" s="96">
        <f t="shared" si="19"/>
        <v>0.14639882955376793</v>
      </c>
      <c r="AR7" s="94">
        <f t="shared" si="20"/>
        <v>18432.083333333387</v>
      </c>
      <c r="AS7" s="50">
        <f>IFERROR((VLOOKUP(B7,'SUIVI 31.12.24 ALTONEO'!$B$1:$BF$38,45,FALSE())),0)</f>
        <v>0</v>
      </c>
      <c r="AT7" s="97">
        <f t="shared" si="21"/>
        <v>18432.083333333387</v>
      </c>
      <c r="AU7" s="94">
        <f t="shared" si="22"/>
        <v>1957.0374999999999</v>
      </c>
      <c r="AV7" s="50">
        <f>IFERROR((VLOOKUP(B7,'SUIVI 31.12.24 ALTONEO'!$B$1:$BF$38,48,FALSE())),0)</f>
        <v>0</v>
      </c>
      <c r="AW7" s="95">
        <f t="shared" si="23"/>
        <v>1957.0374999999999</v>
      </c>
      <c r="AX7" s="94">
        <f t="shared" si="24"/>
        <v>1708.750000000005</v>
      </c>
      <c r="AY7" s="50">
        <f>IFERROR((VLOOKUP(B7,'SUIVI 31.12.24 ALTONEO'!$B$1:$BF$38,51,FALSE())),0)</f>
        <v>0</v>
      </c>
      <c r="AZ7" s="95">
        <f t="shared" si="25"/>
        <v>1708.750000000005</v>
      </c>
      <c r="BA7" s="94">
        <f t="shared" si="26"/>
        <v>711.97916666666879</v>
      </c>
      <c r="BB7" s="50">
        <f>IFERROR((VLOOKUP(B7,'SUIVI 31.12.24 ALTONEO'!$B$1:$BF$38,54,FALSE())),0)</f>
        <v>0</v>
      </c>
      <c r="BC7" s="95">
        <f t="shared" si="27"/>
        <v>711.97916666666879</v>
      </c>
      <c r="BD7" s="94">
        <f t="shared" si="28"/>
        <v>1500</v>
      </c>
      <c r="BE7" s="50">
        <f>IFERROR((VLOOKUP(B7,'SUIVI 31.12.24 ALTONEO'!$B$1:$BF$38,57,FALSE())),0)</f>
        <v>0</v>
      </c>
      <c r="BF7" s="95"/>
    </row>
    <row r="8" spans="1:58" ht="15" customHeight="1" x14ac:dyDescent="0.2">
      <c r="A8" s="429"/>
      <c r="B8" s="84" t="s">
        <v>143</v>
      </c>
      <c r="C8" s="85" t="s">
        <v>137</v>
      </c>
      <c r="D8" s="86" t="s">
        <v>138</v>
      </c>
      <c r="E8" s="87">
        <f>VLOOKUP(D8,'% avancement'!$A$4:$B$17,2,FALSE())</f>
        <v>0.25</v>
      </c>
      <c r="F8" s="88">
        <v>115666.66666666701</v>
      </c>
      <c r="G8" s="89">
        <v>7500</v>
      </c>
      <c r="H8" s="90">
        <f t="shared" si="0"/>
        <v>118166.66666666701</v>
      </c>
      <c r="I8" s="89">
        <v>5000</v>
      </c>
      <c r="J8" s="89">
        <f t="shared" si="1"/>
        <v>7090.00000000002</v>
      </c>
      <c r="K8" s="89">
        <f t="shared" si="2"/>
        <v>2954.1666666666752</v>
      </c>
      <c r="L8" s="89">
        <v>7828.15</v>
      </c>
      <c r="M8" s="89">
        <f t="shared" si="3"/>
        <v>76363.333333333547</v>
      </c>
      <c r="N8" s="91">
        <v>6000</v>
      </c>
      <c r="O8" s="92"/>
      <c r="P8" s="93"/>
      <c r="Q8" s="93"/>
      <c r="R8" s="93"/>
      <c r="S8" s="93"/>
      <c r="T8" s="93"/>
      <c r="U8" s="94">
        <f t="shared" si="4"/>
        <v>30791.666666666752</v>
      </c>
      <c r="W8" s="50">
        <f t="shared" si="5"/>
        <v>0</v>
      </c>
      <c r="X8" s="95">
        <f t="shared" si="6"/>
        <v>1250</v>
      </c>
      <c r="Y8" s="94">
        <f t="shared" si="7"/>
        <v>1772.500000000005</v>
      </c>
      <c r="Z8" s="50">
        <f t="shared" si="8"/>
        <v>0</v>
      </c>
      <c r="AA8" s="50">
        <f t="shared" si="9"/>
        <v>738.54166666666879</v>
      </c>
      <c r="AB8" s="50">
        <f t="shared" si="10"/>
        <v>0</v>
      </c>
      <c r="AC8" s="50">
        <f t="shared" si="11"/>
        <v>1957.0374999999999</v>
      </c>
      <c r="AD8" s="50">
        <f t="shared" si="12"/>
        <v>19090.833333333387</v>
      </c>
      <c r="AF8" s="94">
        <f t="shared" si="13"/>
        <v>17931.016666666779</v>
      </c>
      <c r="AG8" s="50">
        <f>IFERROR((VLOOKUP(B8,'Suivi 31.12.25'!$B$1:$BF$38,33,FALSE())),0)</f>
        <v>0</v>
      </c>
      <c r="AH8" s="95">
        <f t="shared" si="14"/>
        <v>4482.7541666666948</v>
      </c>
      <c r="AI8" s="94">
        <f t="shared" si="15"/>
        <v>118166.66666666701</v>
      </c>
      <c r="AJ8" s="50">
        <f>IFERROR((VLOOKUP(B8,'Suivi 31.12.25'!$B$1:$BF$38,36,FALSE())),0)</f>
        <v>0</v>
      </c>
      <c r="AK8" s="95">
        <f t="shared" si="16"/>
        <v>29541.666666666752</v>
      </c>
      <c r="AO8" s="94">
        <f t="shared" si="17"/>
        <v>88625.000000000262</v>
      </c>
      <c r="AP8" s="95">
        <f t="shared" si="18"/>
        <v>13448.262500000084</v>
      </c>
      <c r="AQ8" s="96">
        <f t="shared" si="19"/>
        <v>0.15174344146685523</v>
      </c>
      <c r="AR8" s="94">
        <f t="shared" si="20"/>
        <v>19090.833333333387</v>
      </c>
      <c r="AS8" s="50">
        <f>IFERROR((VLOOKUP(B8,'SUIVI 31.12.24 ALTONEO'!$B$1:$BF$38,45,FALSE())),0)</f>
        <v>0</v>
      </c>
      <c r="AT8" s="97">
        <f t="shared" si="21"/>
        <v>19090.833333333387</v>
      </c>
      <c r="AU8" s="94">
        <f t="shared" si="22"/>
        <v>1957.0374999999999</v>
      </c>
      <c r="AV8" s="50">
        <f>IFERROR((VLOOKUP(B8,'SUIVI 31.12.24 ALTONEO'!$B$1:$BF$38,48,FALSE())),0)</f>
        <v>0</v>
      </c>
      <c r="AW8" s="95">
        <f t="shared" si="23"/>
        <v>1957.0374999999999</v>
      </c>
      <c r="AX8" s="94">
        <f t="shared" si="24"/>
        <v>1772.500000000005</v>
      </c>
      <c r="AY8" s="50">
        <f>IFERROR((VLOOKUP(B8,'SUIVI 31.12.24 ALTONEO'!$B$1:$BF$38,51,FALSE())),0)</f>
        <v>0</v>
      </c>
      <c r="AZ8" s="95">
        <f t="shared" si="25"/>
        <v>1772.500000000005</v>
      </c>
      <c r="BA8" s="94">
        <f t="shared" si="26"/>
        <v>738.54166666666879</v>
      </c>
      <c r="BB8" s="50">
        <f>IFERROR((VLOOKUP(B8,'SUIVI 31.12.24 ALTONEO'!$B$1:$BF$38,54,FALSE())),0)</f>
        <v>0</v>
      </c>
      <c r="BC8" s="95">
        <f t="shared" si="27"/>
        <v>738.54166666666879</v>
      </c>
      <c r="BD8" s="94">
        <f t="shared" si="28"/>
        <v>1500</v>
      </c>
      <c r="BE8" s="50">
        <f>IFERROR((VLOOKUP(B8,'SUIVI 31.12.24 ALTONEO'!$B$1:$BF$38,57,FALSE())),0)</f>
        <v>0</v>
      </c>
      <c r="BF8" s="95"/>
    </row>
    <row r="9" spans="1:58" ht="15" customHeight="1" x14ac:dyDescent="0.2">
      <c r="A9" s="429"/>
      <c r="B9" s="84" t="s">
        <v>144</v>
      </c>
      <c r="C9" s="85" t="s">
        <v>137</v>
      </c>
      <c r="D9" s="86" t="s">
        <v>138</v>
      </c>
      <c r="E9" s="87">
        <f>VLOOKUP(D9,'% avancement'!$A$4:$B$17,2,FALSE())</f>
        <v>0.25</v>
      </c>
      <c r="F9" s="88">
        <v>142000</v>
      </c>
      <c r="G9" s="89">
        <v>7500</v>
      </c>
      <c r="H9" s="90">
        <f t="shared" si="0"/>
        <v>144500</v>
      </c>
      <c r="I9" s="89">
        <v>5000</v>
      </c>
      <c r="J9" s="89">
        <f t="shared" si="1"/>
        <v>8670</v>
      </c>
      <c r="K9" s="89">
        <f t="shared" si="2"/>
        <v>3612.5</v>
      </c>
      <c r="L9" s="89">
        <v>7828.15</v>
      </c>
      <c r="M9" s="89">
        <f t="shared" si="3"/>
        <v>92690</v>
      </c>
      <c r="N9" s="91">
        <v>6000</v>
      </c>
      <c r="O9" s="92"/>
      <c r="P9" s="93"/>
      <c r="Q9" s="93"/>
      <c r="R9" s="93"/>
      <c r="S9" s="93"/>
      <c r="T9" s="93"/>
      <c r="U9" s="94">
        <f t="shared" si="4"/>
        <v>37375</v>
      </c>
      <c r="W9" s="50">
        <f t="shared" si="5"/>
        <v>0</v>
      </c>
      <c r="X9" s="95">
        <f t="shared" si="6"/>
        <v>1250</v>
      </c>
      <c r="Y9" s="94">
        <f t="shared" si="7"/>
        <v>2167.5</v>
      </c>
      <c r="Z9" s="50">
        <f t="shared" si="8"/>
        <v>0</v>
      </c>
      <c r="AA9" s="50">
        <f t="shared" si="9"/>
        <v>903.125</v>
      </c>
      <c r="AB9" s="50">
        <f t="shared" si="10"/>
        <v>0</v>
      </c>
      <c r="AC9" s="50">
        <f t="shared" si="11"/>
        <v>1957.0374999999999</v>
      </c>
      <c r="AD9" s="50">
        <f t="shared" si="12"/>
        <v>23172.5</v>
      </c>
      <c r="AF9" s="94">
        <f t="shared" si="13"/>
        <v>25699.350000000006</v>
      </c>
      <c r="AG9" s="50">
        <f>IFERROR((VLOOKUP(B9,'Suivi 31.12.25'!$B$1:$BF$38,33,FALSE())),0)</f>
        <v>0</v>
      </c>
      <c r="AH9" s="95">
        <f t="shared" si="14"/>
        <v>6424.8375000000015</v>
      </c>
      <c r="AI9" s="94">
        <f t="shared" si="15"/>
        <v>144500</v>
      </c>
      <c r="AJ9" s="50">
        <f>IFERROR((VLOOKUP(B9,'Suivi 31.12.25'!$B$1:$BF$38,36,FALSE())),0)</f>
        <v>0</v>
      </c>
      <c r="AK9" s="95">
        <f t="shared" si="16"/>
        <v>36125</v>
      </c>
      <c r="AO9" s="94">
        <f t="shared" si="17"/>
        <v>108375</v>
      </c>
      <c r="AP9" s="95">
        <f t="shared" si="18"/>
        <v>19274.512500000004</v>
      </c>
      <c r="AQ9" s="96">
        <f t="shared" si="19"/>
        <v>0.17785017301038067</v>
      </c>
      <c r="AR9" s="94">
        <f t="shared" si="20"/>
        <v>23172.5</v>
      </c>
      <c r="AS9" s="50">
        <f>IFERROR((VLOOKUP(B9,'SUIVI 31.12.24 ALTONEO'!$B$1:$BF$38,45,FALSE())),0)</f>
        <v>0</v>
      </c>
      <c r="AT9" s="97">
        <f t="shared" si="21"/>
        <v>23172.5</v>
      </c>
      <c r="AU9" s="94">
        <f t="shared" si="22"/>
        <v>1957.0374999999999</v>
      </c>
      <c r="AV9" s="50">
        <f>IFERROR((VLOOKUP(B9,'SUIVI 31.12.24 ALTONEO'!$B$1:$BF$38,48,FALSE())),0)</f>
        <v>0</v>
      </c>
      <c r="AW9" s="95">
        <f t="shared" si="23"/>
        <v>1957.0374999999999</v>
      </c>
      <c r="AX9" s="94">
        <f t="shared" si="24"/>
        <v>2167.5</v>
      </c>
      <c r="AY9" s="50">
        <f>IFERROR((VLOOKUP(B9,'SUIVI 31.12.24 ALTONEO'!$B$1:$BF$38,51,FALSE())),0)</f>
        <v>0</v>
      </c>
      <c r="AZ9" s="95">
        <f t="shared" si="25"/>
        <v>2167.5</v>
      </c>
      <c r="BA9" s="94">
        <f t="shared" si="26"/>
        <v>903.125</v>
      </c>
      <c r="BB9" s="50">
        <f>IFERROR((VLOOKUP(B9,'SUIVI 31.12.24 ALTONEO'!$B$1:$BF$38,54,FALSE())),0)</f>
        <v>0</v>
      </c>
      <c r="BC9" s="95">
        <f t="shared" si="27"/>
        <v>903.125</v>
      </c>
      <c r="BD9" s="94">
        <f t="shared" si="28"/>
        <v>1500</v>
      </c>
      <c r="BE9" s="50">
        <f>IFERROR((VLOOKUP(B9,'SUIVI 31.12.24 ALTONEO'!$B$1:$BF$38,57,FALSE())),0)</f>
        <v>0</v>
      </c>
      <c r="BF9" s="95"/>
    </row>
    <row r="10" spans="1:58" ht="15" customHeight="1" x14ac:dyDescent="0.2">
      <c r="A10" s="429"/>
      <c r="B10" s="84" t="s">
        <v>145</v>
      </c>
      <c r="C10" s="85" t="s">
        <v>137</v>
      </c>
      <c r="D10" s="86" t="s">
        <v>138</v>
      </c>
      <c r="E10" s="87">
        <f>VLOOKUP(D10,'% avancement'!$A$4:$B$17,2,FALSE())</f>
        <v>0.25</v>
      </c>
      <c r="F10" s="88">
        <v>124000</v>
      </c>
      <c r="G10" s="89">
        <v>7500</v>
      </c>
      <c r="H10" s="90">
        <f t="shared" si="0"/>
        <v>126500</v>
      </c>
      <c r="I10" s="89">
        <v>5000</v>
      </c>
      <c r="J10" s="89">
        <f t="shared" si="1"/>
        <v>7590</v>
      </c>
      <c r="K10" s="89">
        <f t="shared" si="2"/>
        <v>3162.5</v>
      </c>
      <c r="L10" s="89">
        <v>7828.15</v>
      </c>
      <c r="M10" s="89">
        <f t="shared" si="3"/>
        <v>81530</v>
      </c>
      <c r="N10" s="91">
        <v>6000</v>
      </c>
      <c r="O10" s="92"/>
      <c r="P10" s="93"/>
      <c r="Q10" s="93"/>
      <c r="R10" s="93"/>
      <c r="S10" s="93"/>
      <c r="T10" s="93"/>
      <c r="U10" s="94">
        <f t="shared" si="4"/>
        <v>32875</v>
      </c>
      <c r="W10" s="50">
        <f t="shared" si="5"/>
        <v>0</v>
      </c>
      <c r="X10" s="95">
        <f t="shared" si="6"/>
        <v>1250</v>
      </c>
      <c r="Y10" s="94">
        <f t="shared" si="7"/>
        <v>1897.5</v>
      </c>
      <c r="Z10" s="50">
        <f t="shared" si="8"/>
        <v>0</v>
      </c>
      <c r="AA10" s="50">
        <f t="shared" si="9"/>
        <v>790.625</v>
      </c>
      <c r="AB10" s="50">
        <f t="shared" si="10"/>
        <v>0</v>
      </c>
      <c r="AC10" s="50">
        <f t="shared" si="11"/>
        <v>1957.0374999999999</v>
      </c>
      <c r="AD10" s="50">
        <f t="shared" si="12"/>
        <v>20382.5</v>
      </c>
      <c r="AF10" s="94">
        <f t="shared" si="13"/>
        <v>20389.350000000006</v>
      </c>
      <c r="AG10" s="50">
        <f>IFERROR((VLOOKUP(B10,'Suivi 31.12.25'!$B$1:$BF$38,33,FALSE())),0)</f>
        <v>0</v>
      </c>
      <c r="AH10" s="95">
        <f t="shared" si="14"/>
        <v>5097.3375000000015</v>
      </c>
      <c r="AI10" s="94">
        <f t="shared" si="15"/>
        <v>126500</v>
      </c>
      <c r="AJ10" s="50">
        <f>IFERROR((VLOOKUP(B10,'Suivi 31.12.25'!$B$1:$BF$38,36,FALSE())),0)</f>
        <v>0</v>
      </c>
      <c r="AK10" s="95">
        <f t="shared" si="16"/>
        <v>31625</v>
      </c>
      <c r="AO10" s="94">
        <f t="shared" si="17"/>
        <v>94875</v>
      </c>
      <c r="AP10" s="95">
        <f t="shared" si="18"/>
        <v>15292.012500000004</v>
      </c>
      <c r="AQ10" s="96">
        <f t="shared" si="19"/>
        <v>0.16118063241106723</v>
      </c>
      <c r="AR10" s="94">
        <f t="shared" si="20"/>
        <v>20382.5</v>
      </c>
      <c r="AS10" s="50">
        <f>IFERROR((VLOOKUP(B10,'SUIVI 31.12.24 ALTONEO'!$B$1:$BF$38,45,FALSE())),0)</f>
        <v>0</v>
      </c>
      <c r="AT10" s="97">
        <f t="shared" si="21"/>
        <v>20382.5</v>
      </c>
      <c r="AU10" s="94">
        <f t="shared" si="22"/>
        <v>1957.0374999999999</v>
      </c>
      <c r="AV10" s="50">
        <f>IFERROR((VLOOKUP(B10,'SUIVI 31.12.24 ALTONEO'!$B$1:$BF$38,48,FALSE())),0)</f>
        <v>0</v>
      </c>
      <c r="AW10" s="95">
        <f t="shared" si="23"/>
        <v>1957.0374999999999</v>
      </c>
      <c r="AX10" s="94">
        <f t="shared" si="24"/>
        <v>1897.5</v>
      </c>
      <c r="AY10" s="50">
        <f>IFERROR((VLOOKUP(B10,'SUIVI 31.12.24 ALTONEO'!$B$1:$BF$38,51,FALSE())),0)</f>
        <v>0</v>
      </c>
      <c r="AZ10" s="95">
        <f t="shared" si="25"/>
        <v>1897.5</v>
      </c>
      <c r="BA10" s="94">
        <f t="shared" si="26"/>
        <v>790.625</v>
      </c>
      <c r="BB10" s="50">
        <f>IFERROR((VLOOKUP(B10,'SUIVI 31.12.24 ALTONEO'!$B$1:$BF$38,54,FALSE())),0)</f>
        <v>0</v>
      </c>
      <c r="BC10" s="95">
        <f t="shared" si="27"/>
        <v>790.625</v>
      </c>
      <c r="BD10" s="94">
        <f t="shared" si="28"/>
        <v>1500</v>
      </c>
      <c r="BE10" s="50">
        <f>IFERROR((VLOOKUP(B10,'SUIVI 31.12.24 ALTONEO'!$B$1:$BF$38,57,FALSE())),0)</f>
        <v>0</v>
      </c>
      <c r="BF10" s="95"/>
    </row>
    <row r="11" spans="1:58" ht="15" customHeight="1" x14ac:dyDescent="0.2">
      <c r="A11" s="429"/>
      <c r="B11" s="84" t="s">
        <v>146</v>
      </c>
      <c r="C11" s="85" t="s">
        <v>137</v>
      </c>
      <c r="D11" s="86" t="s">
        <v>138</v>
      </c>
      <c r="E11" s="87">
        <f>VLOOKUP(D11,'% avancement'!$A$4:$B$17,2,FALSE())</f>
        <v>0.25</v>
      </c>
      <c r="F11" s="88">
        <v>125416.66666666701</v>
      </c>
      <c r="G11" s="89">
        <v>7500</v>
      </c>
      <c r="H11" s="90">
        <f t="shared" si="0"/>
        <v>127916.66666666701</v>
      </c>
      <c r="I11" s="89">
        <v>5000</v>
      </c>
      <c r="J11" s="89">
        <f t="shared" si="1"/>
        <v>7675.00000000002</v>
      </c>
      <c r="K11" s="89">
        <f t="shared" si="2"/>
        <v>3197.9166666666752</v>
      </c>
      <c r="L11" s="89">
        <v>7828.15</v>
      </c>
      <c r="M11" s="89">
        <f t="shared" si="3"/>
        <v>82408.333333333547</v>
      </c>
      <c r="N11" s="91">
        <v>6000</v>
      </c>
      <c r="O11" s="92"/>
      <c r="P11" s="93"/>
      <c r="Q11" s="93"/>
      <c r="R11" s="93"/>
      <c r="S11" s="93"/>
      <c r="T11" s="93"/>
      <c r="U11" s="94">
        <f t="shared" si="4"/>
        <v>33229.166666666752</v>
      </c>
      <c r="W11" s="50">
        <f t="shared" si="5"/>
        <v>0</v>
      </c>
      <c r="X11" s="95">
        <f t="shared" si="6"/>
        <v>1250</v>
      </c>
      <c r="Y11" s="94">
        <f t="shared" si="7"/>
        <v>1918.750000000005</v>
      </c>
      <c r="Z11" s="50">
        <f t="shared" si="8"/>
        <v>0</v>
      </c>
      <c r="AA11" s="50">
        <f t="shared" si="9"/>
        <v>799.47916666666879</v>
      </c>
      <c r="AB11" s="50">
        <f t="shared" si="10"/>
        <v>0</v>
      </c>
      <c r="AC11" s="50">
        <f t="shared" si="11"/>
        <v>1957.0374999999999</v>
      </c>
      <c r="AD11" s="50">
        <f t="shared" si="12"/>
        <v>20602.083333333387</v>
      </c>
      <c r="AF11" s="94">
        <f t="shared" si="13"/>
        <v>20807.266666666779</v>
      </c>
      <c r="AG11" s="50">
        <f>IFERROR((VLOOKUP(B11,'Suivi 31.12.25'!$B$1:$BF$38,33,FALSE())),0)</f>
        <v>5201.8166666666948</v>
      </c>
      <c r="AH11" s="95">
        <f t="shared" si="14"/>
        <v>0</v>
      </c>
      <c r="AI11" s="94">
        <f t="shared" si="15"/>
        <v>127916.66666666701</v>
      </c>
      <c r="AJ11" s="50">
        <f>IFERROR((VLOOKUP(B11,'Suivi 31.12.25'!$B$1:$BF$38,36,FALSE())),0)</f>
        <v>31979.166666666752</v>
      </c>
      <c r="AK11" s="95">
        <f t="shared" si="16"/>
        <v>0</v>
      </c>
      <c r="AO11" s="94">
        <f t="shared" si="17"/>
        <v>95937.500000000262</v>
      </c>
      <c r="AP11" s="95">
        <f t="shared" si="18"/>
        <v>15605.450000000084</v>
      </c>
      <c r="AQ11" s="96">
        <f t="shared" si="19"/>
        <v>0.16266267100977244</v>
      </c>
      <c r="AR11" s="94">
        <f t="shared" si="20"/>
        <v>20602.083333333387</v>
      </c>
      <c r="AS11" s="50">
        <f>IFERROR((VLOOKUP(B11,'SUIVI 31.12.24 ALTONEO'!$B$1:$BF$38,45,FALSE())),0)</f>
        <v>0</v>
      </c>
      <c r="AT11" s="97">
        <f t="shared" si="21"/>
        <v>20602.083333333387</v>
      </c>
      <c r="AU11" s="94">
        <f t="shared" si="22"/>
        <v>1957.0374999999999</v>
      </c>
      <c r="AV11" s="50">
        <f>IFERROR((VLOOKUP(B11,'SUIVI 31.12.24 ALTONEO'!$B$1:$BF$38,48,FALSE())),0)</f>
        <v>0</v>
      </c>
      <c r="AW11" s="95">
        <f t="shared" si="23"/>
        <v>1957.0374999999999</v>
      </c>
      <c r="AX11" s="94">
        <f t="shared" si="24"/>
        <v>1918.750000000005</v>
      </c>
      <c r="AY11" s="50">
        <f>IFERROR((VLOOKUP(B11,'SUIVI 31.12.24 ALTONEO'!$B$1:$BF$38,51,FALSE())),0)</f>
        <v>0</v>
      </c>
      <c r="AZ11" s="95">
        <f t="shared" si="25"/>
        <v>1918.750000000005</v>
      </c>
      <c r="BA11" s="94">
        <f t="shared" si="26"/>
        <v>799.47916666666879</v>
      </c>
      <c r="BB11" s="50">
        <f>IFERROR((VLOOKUP(B11,'SUIVI 31.12.24 ALTONEO'!$B$1:$BF$38,54,FALSE())),0)</f>
        <v>0</v>
      </c>
      <c r="BC11" s="95">
        <f t="shared" si="27"/>
        <v>799.47916666666879</v>
      </c>
      <c r="BD11" s="94">
        <f t="shared" si="28"/>
        <v>1500</v>
      </c>
      <c r="BE11" s="50">
        <f>IFERROR((VLOOKUP(B11,'SUIVI 31.12.24 ALTONEO'!$B$1:$BF$38,57,FALSE())),0)</f>
        <v>0</v>
      </c>
      <c r="BF11" s="95"/>
    </row>
    <row r="12" spans="1:58" ht="15" customHeight="1" x14ac:dyDescent="0.2">
      <c r="A12" s="429"/>
      <c r="B12" s="84" t="s">
        <v>147</v>
      </c>
      <c r="C12" s="85" t="s">
        <v>137</v>
      </c>
      <c r="D12" s="86" t="s">
        <v>138</v>
      </c>
      <c r="E12" s="87">
        <f>VLOOKUP(D12,'% avancement'!$A$4:$B$17,2,FALSE())</f>
        <v>0.25</v>
      </c>
      <c r="F12" s="88">
        <v>113166.66666666701</v>
      </c>
      <c r="G12" s="89">
        <v>7500</v>
      </c>
      <c r="H12" s="90">
        <f t="shared" si="0"/>
        <v>115666.66666666701</v>
      </c>
      <c r="I12" s="89">
        <v>5000</v>
      </c>
      <c r="J12" s="89">
        <f t="shared" si="1"/>
        <v>6940.00000000002</v>
      </c>
      <c r="K12" s="89">
        <f t="shared" si="2"/>
        <v>2891.6666666666752</v>
      </c>
      <c r="L12" s="89">
        <v>7828.15</v>
      </c>
      <c r="M12" s="89">
        <f t="shared" si="3"/>
        <v>74813.333333333547</v>
      </c>
      <c r="N12" s="91">
        <v>6000</v>
      </c>
      <c r="O12" s="92"/>
      <c r="P12" s="93"/>
      <c r="Q12" s="93"/>
      <c r="R12" s="93"/>
      <c r="S12" s="93"/>
      <c r="T12" s="93"/>
      <c r="U12" s="94">
        <f t="shared" si="4"/>
        <v>30166.666666666752</v>
      </c>
      <c r="W12" s="50">
        <f t="shared" si="5"/>
        <v>0</v>
      </c>
      <c r="X12" s="95">
        <f t="shared" si="6"/>
        <v>1250</v>
      </c>
      <c r="Y12" s="94">
        <f t="shared" si="7"/>
        <v>1735.000000000005</v>
      </c>
      <c r="Z12" s="50">
        <f t="shared" si="8"/>
        <v>0</v>
      </c>
      <c r="AA12" s="50">
        <f t="shared" si="9"/>
        <v>722.91666666666879</v>
      </c>
      <c r="AB12" s="50">
        <f t="shared" si="10"/>
        <v>0</v>
      </c>
      <c r="AC12" s="50">
        <f t="shared" si="11"/>
        <v>1957.0374999999999</v>
      </c>
      <c r="AD12" s="50">
        <f t="shared" si="12"/>
        <v>18703.333333333387</v>
      </c>
      <c r="AF12" s="94">
        <f t="shared" si="13"/>
        <v>17193.516666666779</v>
      </c>
      <c r="AG12" s="50">
        <f>IFERROR((VLOOKUP(B12,'Suivi 31.12.25'!$B$1:$BF$38,33,FALSE())),0)</f>
        <v>4298.3791666666948</v>
      </c>
      <c r="AH12" s="95">
        <f t="shared" si="14"/>
        <v>0</v>
      </c>
      <c r="AI12" s="94">
        <f t="shared" si="15"/>
        <v>115666.66666666701</v>
      </c>
      <c r="AJ12" s="50">
        <f>IFERROR((VLOOKUP(B12,'Suivi 31.12.25'!$B$1:$BF$38,36,FALSE())),0)</f>
        <v>28916.666666666752</v>
      </c>
      <c r="AK12" s="95">
        <f t="shared" si="16"/>
        <v>0</v>
      </c>
      <c r="AO12" s="94">
        <f t="shared" si="17"/>
        <v>86750.000000000262</v>
      </c>
      <c r="AP12" s="95">
        <f t="shared" si="18"/>
        <v>12895.137500000084</v>
      </c>
      <c r="AQ12" s="96">
        <f t="shared" si="19"/>
        <v>0.14864711815562012</v>
      </c>
      <c r="AR12" s="94">
        <f t="shared" si="20"/>
        <v>18703.333333333387</v>
      </c>
      <c r="AS12" s="50">
        <f>IFERROR((VLOOKUP(B12,'SUIVI 31.12.24 ALTONEO'!$B$1:$BF$38,45,FALSE())),0)</f>
        <v>0</v>
      </c>
      <c r="AT12" s="97">
        <f t="shared" si="21"/>
        <v>18703.333333333387</v>
      </c>
      <c r="AU12" s="94">
        <f t="shared" si="22"/>
        <v>1957.0374999999999</v>
      </c>
      <c r="AV12" s="50">
        <f>IFERROR((VLOOKUP(B12,'SUIVI 31.12.24 ALTONEO'!$B$1:$BF$38,48,FALSE())),0)</f>
        <v>0</v>
      </c>
      <c r="AW12" s="95">
        <f t="shared" si="23"/>
        <v>1957.0374999999999</v>
      </c>
      <c r="AX12" s="94">
        <f t="shared" si="24"/>
        <v>1735.000000000005</v>
      </c>
      <c r="AY12" s="50">
        <f>IFERROR((VLOOKUP(B12,'SUIVI 31.12.24 ALTONEO'!$B$1:$BF$38,51,FALSE())),0)</f>
        <v>0</v>
      </c>
      <c r="AZ12" s="95">
        <f t="shared" si="25"/>
        <v>1735.000000000005</v>
      </c>
      <c r="BA12" s="94">
        <f t="shared" si="26"/>
        <v>722.91666666666879</v>
      </c>
      <c r="BB12" s="50">
        <f>IFERROR((VLOOKUP(B12,'SUIVI 31.12.24 ALTONEO'!$B$1:$BF$38,54,FALSE())),0)</f>
        <v>0</v>
      </c>
      <c r="BC12" s="95">
        <f t="shared" si="27"/>
        <v>722.91666666666879</v>
      </c>
      <c r="BD12" s="94">
        <f t="shared" si="28"/>
        <v>1500</v>
      </c>
      <c r="BE12" s="50">
        <f>IFERROR((VLOOKUP(B12,'SUIVI 31.12.24 ALTONEO'!$B$1:$BF$38,57,FALSE())),0)</f>
        <v>0</v>
      </c>
      <c r="BF12" s="95"/>
    </row>
    <row r="13" spans="1:58" ht="15" customHeight="1" x14ac:dyDescent="0.2">
      <c r="A13" s="429"/>
      <c r="B13" s="84" t="s">
        <v>148</v>
      </c>
      <c r="C13" s="85" t="s">
        <v>137</v>
      </c>
      <c r="D13" s="86" t="s">
        <v>138</v>
      </c>
      <c r="E13" s="87">
        <f>VLOOKUP(D13,'% avancement'!$A$4:$B$17,2,FALSE())</f>
        <v>0.25</v>
      </c>
      <c r="F13" s="88">
        <v>126583.33333333299</v>
      </c>
      <c r="G13" s="89">
        <v>7500</v>
      </c>
      <c r="H13" s="90">
        <f t="shared" si="0"/>
        <v>129083.33333333299</v>
      </c>
      <c r="I13" s="89">
        <v>5000</v>
      </c>
      <c r="J13" s="89">
        <f t="shared" si="1"/>
        <v>7744.9999999999791</v>
      </c>
      <c r="K13" s="89">
        <f t="shared" si="2"/>
        <v>3227.0833333333248</v>
      </c>
      <c r="L13" s="89">
        <v>7828.15</v>
      </c>
      <c r="M13" s="89">
        <f t="shared" si="3"/>
        <v>83131.666666666453</v>
      </c>
      <c r="N13" s="91">
        <v>6000</v>
      </c>
      <c r="O13" s="92"/>
      <c r="P13" s="93"/>
      <c r="Q13" s="93"/>
      <c r="R13" s="93"/>
      <c r="S13" s="93"/>
      <c r="T13" s="93"/>
      <c r="U13" s="94">
        <f t="shared" si="4"/>
        <v>33520.833333333248</v>
      </c>
      <c r="W13" s="50">
        <f t="shared" si="5"/>
        <v>0</v>
      </c>
      <c r="X13" s="95">
        <f t="shared" si="6"/>
        <v>1250</v>
      </c>
      <c r="Y13" s="94">
        <f t="shared" si="7"/>
        <v>1936.2499999999948</v>
      </c>
      <c r="Z13" s="50">
        <f t="shared" si="8"/>
        <v>0</v>
      </c>
      <c r="AA13" s="50">
        <f t="shared" si="9"/>
        <v>806.77083333333121</v>
      </c>
      <c r="AB13" s="50">
        <f t="shared" si="10"/>
        <v>0</v>
      </c>
      <c r="AC13" s="50">
        <f t="shared" si="11"/>
        <v>1957.0374999999999</v>
      </c>
      <c r="AD13" s="50">
        <f t="shared" si="12"/>
        <v>20782.916666666613</v>
      </c>
      <c r="AF13" s="94">
        <f t="shared" si="13"/>
        <v>21151.433333333232</v>
      </c>
      <c r="AG13" s="50">
        <f>IFERROR((VLOOKUP(B13,'Suivi 31.12.25'!$B$1:$BF$38,33,FALSE())),0)</f>
        <v>5287.8583333333081</v>
      </c>
      <c r="AH13" s="95">
        <f t="shared" si="14"/>
        <v>0</v>
      </c>
      <c r="AI13" s="94">
        <f t="shared" si="15"/>
        <v>129083.33333333299</v>
      </c>
      <c r="AJ13" s="50">
        <f>IFERROR((VLOOKUP(B13,'Suivi 31.12.25'!$B$1:$BF$38,36,FALSE())),0)</f>
        <v>32270.833333333248</v>
      </c>
      <c r="AK13" s="95">
        <f t="shared" si="16"/>
        <v>0</v>
      </c>
      <c r="AO13" s="94">
        <f t="shared" si="17"/>
        <v>96812.499999999738</v>
      </c>
      <c r="AP13" s="95">
        <f t="shared" si="18"/>
        <v>15863.574999999924</v>
      </c>
      <c r="AQ13" s="96">
        <f t="shared" si="19"/>
        <v>0.16385874757908292</v>
      </c>
      <c r="AR13" s="94">
        <f t="shared" si="20"/>
        <v>20782.916666666613</v>
      </c>
      <c r="AS13" s="50">
        <f>IFERROR((VLOOKUP(B13,'SUIVI 31.12.24 ALTONEO'!$B$1:$BF$38,45,FALSE())),0)</f>
        <v>0</v>
      </c>
      <c r="AT13" s="97">
        <f t="shared" si="21"/>
        <v>20782.916666666613</v>
      </c>
      <c r="AU13" s="94">
        <f t="shared" si="22"/>
        <v>1957.0374999999999</v>
      </c>
      <c r="AV13" s="50">
        <f>IFERROR((VLOOKUP(B13,'SUIVI 31.12.24 ALTONEO'!$B$1:$BF$38,48,FALSE())),0)</f>
        <v>0</v>
      </c>
      <c r="AW13" s="95">
        <f t="shared" si="23"/>
        <v>1957.0374999999999</v>
      </c>
      <c r="AX13" s="94">
        <f t="shared" si="24"/>
        <v>1936.2499999999948</v>
      </c>
      <c r="AY13" s="50">
        <f>IFERROR((VLOOKUP(B13,'SUIVI 31.12.24 ALTONEO'!$B$1:$BF$38,51,FALSE())),0)</f>
        <v>0</v>
      </c>
      <c r="AZ13" s="95">
        <f t="shared" si="25"/>
        <v>1936.2499999999948</v>
      </c>
      <c r="BA13" s="94">
        <f t="shared" si="26"/>
        <v>806.77083333333121</v>
      </c>
      <c r="BB13" s="50">
        <f>IFERROR((VLOOKUP(B13,'SUIVI 31.12.24 ALTONEO'!$B$1:$BF$38,54,FALSE())),0)</f>
        <v>0</v>
      </c>
      <c r="BC13" s="95">
        <f t="shared" si="27"/>
        <v>806.77083333333121</v>
      </c>
      <c r="BD13" s="94">
        <f t="shared" si="28"/>
        <v>1500</v>
      </c>
      <c r="BE13" s="50">
        <f>IFERROR((VLOOKUP(B13,'SUIVI 31.12.24 ALTONEO'!$B$1:$BF$38,57,FALSE())),0)</f>
        <v>0</v>
      </c>
      <c r="BF13" s="95"/>
    </row>
    <row r="14" spans="1:58" ht="15" customHeight="1" x14ac:dyDescent="0.2">
      <c r="A14" s="429"/>
      <c r="B14" s="84" t="s">
        <v>149</v>
      </c>
      <c r="C14" s="85" t="s">
        <v>137</v>
      </c>
      <c r="D14" s="86" t="s">
        <v>138</v>
      </c>
      <c r="E14" s="87">
        <f>VLOOKUP(D14,'% avancement'!$A$4:$B$17,2,FALSE())</f>
        <v>0.25</v>
      </c>
      <c r="F14" s="88">
        <v>115583.33333333299</v>
      </c>
      <c r="G14" s="89">
        <v>7500</v>
      </c>
      <c r="H14" s="90">
        <f t="shared" si="0"/>
        <v>118083.33333333299</v>
      </c>
      <c r="I14" s="89">
        <v>5000</v>
      </c>
      <c r="J14" s="89">
        <f t="shared" si="1"/>
        <v>7084.9999999999791</v>
      </c>
      <c r="K14" s="89">
        <f t="shared" si="2"/>
        <v>2952.0833333333248</v>
      </c>
      <c r="L14" s="89">
        <v>7828.15</v>
      </c>
      <c r="M14" s="89">
        <f t="shared" si="3"/>
        <v>76311.666666666453</v>
      </c>
      <c r="N14" s="91">
        <v>6000</v>
      </c>
      <c r="O14" s="92"/>
      <c r="P14" s="93"/>
      <c r="Q14" s="93"/>
      <c r="R14" s="93"/>
      <c r="S14" s="93"/>
      <c r="T14" s="93"/>
      <c r="U14" s="94">
        <f t="shared" si="4"/>
        <v>30770.833333333248</v>
      </c>
      <c r="W14" s="50">
        <f t="shared" si="5"/>
        <v>0</v>
      </c>
      <c r="X14" s="95">
        <f t="shared" si="6"/>
        <v>1250</v>
      </c>
      <c r="Y14" s="94">
        <f t="shared" si="7"/>
        <v>1771.2499999999948</v>
      </c>
      <c r="Z14" s="50">
        <f t="shared" si="8"/>
        <v>0</v>
      </c>
      <c r="AA14" s="50">
        <f t="shared" si="9"/>
        <v>738.02083333333121</v>
      </c>
      <c r="AB14" s="50">
        <f t="shared" si="10"/>
        <v>0</v>
      </c>
      <c r="AC14" s="50">
        <f t="shared" si="11"/>
        <v>1957.0374999999999</v>
      </c>
      <c r="AD14" s="50">
        <f t="shared" si="12"/>
        <v>19077.916666666613</v>
      </c>
      <c r="AF14" s="94">
        <f t="shared" si="13"/>
        <v>17906.433333333232</v>
      </c>
      <c r="AG14" s="50">
        <f>IFERROR((VLOOKUP(B14,'Suivi 31.12.25'!$B$1:$BF$38,33,FALSE())),0)</f>
        <v>4476.6083333333081</v>
      </c>
      <c r="AH14" s="95">
        <f t="shared" si="14"/>
        <v>0</v>
      </c>
      <c r="AI14" s="94">
        <f t="shared" si="15"/>
        <v>118083.33333333299</v>
      </c>
      <c r="AJ14" s="50">
        <f>IFERROR((VLOOKUP(B14,'Suivi 31.12.25'!$B$1:$BF$38,36,FALSE())),0)</f>
        <v>29520.833333333248</v>
      </c>
      <c r="AK14" s="95">
        <f t="shared" si="16"/>
        <v>0</v>
      </c>
      <c r="AO14" s="94">
        <f t="shared" si="17"/>
        <v>88562.499999999738</v>
      </c>
      <c r="AP14" s="95">
        <f t="shared" si="18"/>
        <v>13429.824999999924</v>
      </c>
      <c r="AQ14" s="96">
        <f t="shared" si="19"/>
        <v>0.15164234297812237</v>
      </c>
      <c r="AR14" s="94">
        <f t="shared" si="20"/>
        <v>19077.916666666613</v>
      </c>
      <c r="AS14" s="50">
        <f>IFERROR((VLOOKUP(B14,'SUIVI 31.12.24 ALTONEO'!$B$1:$BF$38,45,FALSE())),0)</f>
        <v>0</v>
      </c>
      <c r="AT14" s="97">
        <f t="shared" si="21"/>
        <v>19077.916666666613</v>
      </c>
      <c r="AU14" s="94">
        <f t="shared" si="22"/>
        <v>1957.0374999999999</v>
      </c>
      <c r="AV14" s="50">
        <f>IFERROR((VLOOKUP(B14,'SUIVI 31.12.24 ALTONEO'!$B$1:$BF$38,48,FALSE())),0)</f>
        <v>0</v>
      </c>
      <c r="AW14" s="95">
        <f t="shared" si="23"/>
        <v>1957.0374999999999</v>
      </c>
      <c r="AX14" s="94">
        <f t="shared" si="24"/>
        <v>1771.2499999999948</v>
      </c>
      <c r="AY14" s="50">
        <f>IFERROR((VLOOKUP(B14,'SUIVI 31.12.24 ALTONEO'!$B$1:$BF$38,51,FALSE())),0)</f>
        <v>0</v>
      </c>
      <c r="AZ14" s="95">
        <f t="shared" si="25"/>
        <v>1771.2499999999948</v>
      </c>
      <c r="BA14" s="94">
        <f t="shared" si="26"/>
        <v>738.02083333333121</v>
      </c>
      <c r="BB14" s="50">
        <f>IFERROR((VLOOKUP(B14,'SUIVI 31.12.24 ALTONEO'!$B$1:$BF$38,54,FALSE())),0)</f>
        <v>0</v>
      </c>
      <c r="BC14" s="95">
        <f t="shared" si="27"/>
        <v>738.02083333333121</v>
      </c>
      <c r="BD14" s="94">
        <f t="shared" si="28"/>
        <v>1500</v>
      </c>
      <c r="BE14" s="50">
        <f>IFERROR((VLOOKUP(B14,'SUIVI 31.12.24 ALTONEO'!$B$1:$BF$38,57,FALSE())),0)</f>
        <v>0</v>
      </c>
      <c r="BF14" s="95"/>
    </row>
    <row r="15" spans="1:58" ht="15" customHeight="1" x14ac:dyDescent="0.2">
      <c r="A15" s="429"/>
      <c r="B15" s="84" t="s">
        <v>150</v>
      </c>
      <c r="C15" s="85" t="s">
        <v>137</v>
      </c>
      <c r="D15" s="86" t="s">
        <v>151</v>
      </c>
      <c r="E15" s="87">
        <f>VLOOKUP(D15,'% avancement'!$A$4:$B$17,2,FALSE())</f>
        <v>0.8</v>
      </c>
      <c r="F15" s="98">
        <v>108166.67</v>
      </c>
      <c r="G15" s="99">
        <v>9098.33</v>
      </c>
      <c r="H15" s="99">
        <f t="shared" si="0"/>
        <v>112265</v>
      </c>
      <c r="I15" s="99">
        <v>5000</v>
      </c>
      <c r="J15" s="99">
        <v>7297.23</v>
      </c>
      <c r="K15" s="99">
        <v>2806.63</v>
      </c>
      <c r="L15" s="99">
        <v>7828.15</v>
      </c>
      <c r="M15" s="99">
        <v>71608.429999999993</v>
      </c>
      <c r="N15" s="91">
        <v>6000</v>
      </c>
      <c r="O15" s="92">
        <v>5000</v>
      </c>
      <c r="P15" s="93">
        <v>7297.23</v>
      </c>
      <c r="Q15" s="93">
        <v>2806.63</v>
      </c>
      <c r="R15" s="93">
        <v>7828.15</v>
      </c>
      <c r="S15" s="93">
        <f t="shared" ref="S15:S23" si="29">M15</f>
        <v>71608.429999999993</v>
      </c>
      <c r="T15" s="93">
        <v>6000</v>
      </c>
      <c r="U15" s="94">
        <f t="shared" si="4"/>
        <v>93812</v>
      </c>
      <c r="W15" s="50">
        <f t="shared" si="5"/>
        <v>999.99999999999977</v>
      </c>
      <c r="X15" s="95">
        <f t="shared" si="6"/>
        <v>0</v>
      </c>
      <c r="Y15" s="94">
        <f t="shared" si="7"/>
        <v>0</v>
      </c>
      <c r="Z15" s="50">
        <f t="shared" si="8"/>
        <v>1459.4459999999997</v>
      </c>
      <c r="AA15" s="50">
        <f t="shared" si="9"/>
        <v>0</v>
      </c>
      <c r="AB15" s="50">
        <f t="shared" si="10"/>
        <v>561.32599999999991</v>
      </c>
      <c r="AC15" s="50">
        <f t="shared" si="11"/>
        <v>1565.6299999999997</v>
      </c>
      <c r="AD15" s="50">
        <f t="shared" si="12"/>
        <v>57286.743999999999</v>
      </c>
      <c r="AF15" s="94">
        <f t="shared" si="13"/>
        <v>16724.560000000012</v>
      </c>
      <c r="AG15" s="50">
        <f>IFERROR((VLOOKUP(B15,'Suivi 31.12.25'!$B$1:$BF$38,33,FALSE())),0)</f>
        <v>6609.8240000000051</v>
      </c>
      <c r="AH15" s="95">
        <f t="shared" si="14"/>
        <v>6769.8240000000051</v>
      </c>
      <c r="AI15" s="94">
        <f t="shared" si="15"/>
        <v>112265</v>
      </c>
      <c r="AJ15" s="50">
        <f>IFERROR((VLOOKUP(B15,'Suivi 31.12.25'!$B$1:$BF$38,36,FALSE())),0)</f>
        <v>44906</v>
      </c>
      <c r="AK15" s="95">
        <f t="shared" si="16"/>
        <v>44906</v>
      </c>
      <c r="AO15" s="94">
        <f t="shared" si="17"/>
        <v>22453</v>
      </c>
      <c r="AP15" s="95">
        <f t="shared" si="18"/>
        <v>3344.912000000003</v>
      </c>
      <c r="AQ15" s="96">
        <f t="shared" si="19"/>
        <v>0.14897394557520163</v>
      </c>
      <c r="AR15" s="94">
        <f t="shared" si="20"/>
        <v>57286.743999999999</v>
      </c>
      <c r="AS15" s="50">
        <f>IFERROR((VLOOKUP(B15,'SUIVI 31.12.24 ALTONEO'!$B$1:$BF$38,45,FALSE())),0)</f>
        <v>0</v>
      </c>
      <c r="AT15" s="97">
        <f t="shared" si="21"/>
        <v>57286.743999999999</v>
      </c>
      <c r="AU15" s="94">
        <f t="shared" si="22"/>
        <v>6262.52</v>
      </c>
      <c r="AV15" s="50">
        <f>IFERROR((VLOOKUP(B15,'SUIVI 31.12.24 ALTONEO'!$B$1:$BF$38,48,FALSE())),0)</f>
        <v>0</v>
      </c>
      <c r="AW15" s="95">
        <f t="shared" si="23"/>
        <v>6262.52</v>
      </c>
      <c r="AX15" s="94">
        <f t="shared" si="24"/>
        <v>5837.7839999999997</v>
      </c>
      <c r="AY15" s="50">
        <f>IFERROR((VLOOKUP(B15,'SUIVI 31.12.24 ALTONEO'!$B$1:$BF$38,51,FALSE())),0)</f>
        <v>0</v>
      </c>
      <c r="AZ15" s="95">
        <f t="shared" si="25"/>
        <v>5837.7839999999997</v>
      </c>
      <c r="BA15" s="94">
        <f t="shared" si="26"/>
        <v>2245.3040000000001</v>
      </c>
      <c r="BB15" s="50">
        <f>IFERROR((VLOOKUP(B15,'SUIVI 31.12.24 ALTONEO'!$B$1:$BF$38,54,FALSE())),0)</f>
        <v>0</v>
      </c>
      <c r="BC15" s="95">
        <f t="shared" si="27"/>
        <v>2245.3040000000001</v>
      </c>
      <c r="BD15" s="94">
        <f t="shared" si="28"/>
        <v>4800</v>
      </c>
      <c r="BE15" s="50">
        <f>IFERROR((VLOOKUP(B15,'SUIVI 31.12.24 ALTONEO'!$B$1:$BF$38,57,FALSE())),0)</f>
        <v>0</v>
      </c>
      <c r="BF15" s="95"/>
    </row>
    <row r="16" spans="1:58" ht="15" customHeight="1" x14ac:dyDescent="0.2">
      <c r="A16" s="429"/>
      <c r="B16" s="84" t="s">
        <v>152</v>
      </c>
      <c r="C16" s="85" t="s">
        <v>137</v>
      </c>
      <c r="D16" s="86" t="s">
        <v>151</v>
      </c>
      <c r="E16" s="87">
        <f>VLOOKUP(D16,'% avancement'!$A$5:$B$17,2,FALSE())</f>
        <v>0.8</v>
      </c>
      <c r="F16" s="98">
        <v>148500</v>
      </c>
      <c r="G16" s="99">
        <v>8587.5</v>
      </c>
      <c r="H16" s="99">
        <f t="shared" si="0"/>
        <v>152087.5</v>
      </c>
      <c r="I16" s="99">
        <v>5000</v>
      </c>
      <c r="J16" s="99">
        <v>9885.69</v>
      </c>
      <c r="K16" s="99">
        <v>3802.19</v>
      </c>
      <c r="L16" s="99">
        <v>7828.15</v>
      </c>
      <c r="M16" s="99">
        <v>102704.28</v>
      </c>
      <c r="N16" s="91">
        <v>6000</v>
      </c>
      <c r="O16" s="92">
        <v>5000</v>
      </c>
      <c r="P16" s="93">
        <v>9885.6916666666693</v>
      </c>
      <c r="Q16" s="93">
        <v>3802.1916666666698</v>
      </c>
      <c r="R16" s="93">
        <v>7828.15</v>
      </c>
      <c r="S16" s="93">
        <f t="shared" si="29"/>
        <v>102704.28</v>
      </c>
      <c r="T16" s="93">
        <v>6000</v>
      </c>
      <c r="U16" s="94">
        <f t="shared" si="4"/>
        <v>125670</v>
      </c>
      <c r="W16" s="50">
        <f t="shared" si="5"/>
        <v>999.99999999999977</v>
      </c>
      <c r="X16" s="95">
        <f t="shared" si="6"/>
        <v>0</v>
      </c>
      <c r="Y16" s="94">
        <f t="shared" si="7"/>
        <v>0</v>
      </c>
      <c r="Z16" s="50">
        <f t="shared" si="8"/>
        <v>1977.1383333333333</v>
      </c>
      <c r="AA16" s="50">
        <f t="shared" si="9"/>
        <v>0</v>
      </c>
      <c r="AB16" s="50">
        <f t="shared" si="10"/>
        <v>760.43833333333384</v>
      </c>
      <c r="AC16" s="50">
        <f t="shared" si="11"/>
        <v>1565.6299999999997</v>
      </c>
      <c r="AD16" s="50">
        <f t="shared" si="12"/>
        <v>82163.423999999999</v>
      </c>
      <c r="AF16" s="94">
        <f t="shared" si="13"/>
        <v>21867.190000000002</v>
      </c>
      <c r="AG16" s="50">
        <f>IFERROR((VLOOKUP(B16,'Suivi 31.12.25'!$B$1:$BF$38,33,FALSE())),0)</f>
        <v>13045.239999999991</v>
      </c>
      <c r="AH16" s="95">
        <f t="shared" si="14"/>
        <v>4448.5120000000134</v>
      </c>
      <c r="AI16" s="94">
        <f t="shared" si="15"/>
        <v>152087.5</v>
      </c>
      <c r="AJ16" s="50">
        <f>IFERROR((VLOOKUP(B16,'Suivi 31.12.25'!$B$1:$BF$38,36,FALSE())),0)</f>
        <v>91252.5</v>
      </c>
      <c r="AK16" s="95">
        <f t="shared" si="16"/>
        <v>30417.5</v>
      </c>
      <c r="AO16" s="94">
        <f t="shared" si="17"/>
        <v>30417.5</v>
      </c>
      <c r="AP16" s="95">
        <f t="shared" si="18"/>
        <v>4373.4379999999983</v>
      </c>
      <c r="AQ16" s="96">
        <f t="shared" si="19"/>
        <v>0.14378032382674449</v>
      </c>
      <c r="AR16" s="94">
        <f t="shared" si="20"/>
        <v>82163.423999999999</v>
      </c>
      <c r="AS16" s="50">
        <f>IFERROR((VLOOKUP(B16,'SUIVI 31.12.24 ALTONEO'!$B$1:$BF$38,45,FALSE())),0)</f>
        <v>0</v>
      </c>
      <c r="AT16" s="97">
        <f t="shared" si="21"/>
        <v>82163.423999999999</v>
      </c>
      <c r="AU16" s="94">
        <f t="shared" si="22"/>
        <v>6262.52</v>
      </c>
      <c r="AV16" s="50">
        <f>IFERROR((VLOOKUP(B16,'SUIVI 31.12.24 ALTONEO'!$B$1:$BF$38,48,FALSE())),0)</f>
        <v>0</v>
      </c>
      <c r="AW16" s="95">
        <f t="shared" si="23"/>
        <v>6262.52</v>
      </c>
      <c r="AX16" s="94">
        <f t="shared" si="24"/>
        <v>7908.553333333336</v>
      </c>
      <c r="AY16" s="50">
        <f>IFERROR((VLOOKUP(B16,'SUIVI 31.12.24 ALTONEO'!$B$1:$BF$38,51,FALSE())),0)</f>
        <v>0</v>
      </c>
      <c r="AZ16" s="95">
        <f t="shared" si="25"/>
        <v>7908.553333333336</v>
      </c>
      <c r="BA16" s="94">
        <f t="shared" si="26"/>
        <v>3041.7533333333358</v>
      </c>
      <c r="BB16" s="50">
        <f>IFERROR((VLOOKUP(B16,'SUIVI 31.12.24 ALTONEO'!$B$1:$BF$38,54,FALSE())),0)</f>
        <v>0</v>
      </c>
      <c r="BC16" s="95">
        <f t="shared" si="27"/>
        <v>3041.7533333333358</v>
      </c>
      <c r="BD16" s="94">
        <f t="shared" si="28"/>
        <v>4800</v>
      </c>
      <c r="BE16" s="50">
        <f>IFERROR((VLOOKUP(B16,'SUIVI 31.12.24 ALTONEO'!$B$1:$BF$38,57,FALSE())),0)</f>
        <v>0</v>
      </c>
      <c r="BF16" s="95"/>
    </row>
    <row r="17" spans="1:58" ht="15" customHeight="1" x14ac:dyDescent="0.2">
      <c r="A17" s="429"/>
      <c r="B17" s="84" t="s">
        <v>153</v>
      </c>
      <c r="C17" s="85" t="s">
        <v>137</v>
      </c>
      <c r="D17" s="86" t="s">
        <v>154</v>
      </c>
      <c r="E17" s="87">
        <f>VLOOKUP(D17,'% avancement'!$A$5:$B$17,2,FALSE())</f>
        <v>1</v>
      </c>
      <c r="F17" s="98">
        <v>121500</v>
      </c>
      <c r="G17" s="99">
        <v>10128.33</v>
      </c>
      <c r="H17" s="99">
        <f t="shared" si="0"/>
        <v>126628.32999999999</v>
      </c>
      <c r="I17" s="99">
        <v>5000</v>
      </c>
      <c r="J17" s="99">
        <v>8149.59</v>
      </c>
      <c r="K17" s="99">
        <v>3134.46</v>
      </c>
      <c r="L17" s="99">
        <v>7828.15</v>
      </c>
      <c r="M17" s="99">
        <v>72850.86</v>
      </c>
      <c r="N17" s="91">
        <v>6000</v>
      </c>
      <c r="O17" s="92">
        <v>5000</v>
      </c>
      <c r="P17" s="93">
        <f>J17</f>
        <v>8149.59</v>
      </c>
      <c r="Q17" s="93">
        <f>K17</f>
        <v>3134.46</v>
      </c>
      <c r="R17" s="93">
        <f>L17</f>
        <v>7828.15</v>
      </c>
      <c r="S17" s="93">
        <f t="shared" si="29"/>
        <v>72850.86</v>
      </c>
      <c r="T17" s="93">
        <v>6000</v>
      </c>
      <c r="U17" s="94">
        <f t="shared" si="4"/>
        <v>131628.32999999999</v>
      </c>
      <c r="W17" s="50">
        <f t="shared" si="5"/>
        <v>0</v>
      </c>
      <c r="X17" s="95">
        <f t="shared" si="6"/>
        <v>0</v>
      </c>
      <c r="Y17" s="94">
        <f t="shared" si="7"/>
        <v>0</v>
      </c>
      <c r="Z17" s="50">
        <f t="shared" si="8"/>
        <v>0</v>
      </c>
      <c r="AA17" s="50">
        <f t="shared" si="9"/>
        <v>0</v>
      </c>
      <c r="AB17" s="50">
        <f t="shared" si="10"/>
        <v>0</v>
      </c>
      <c r="AC17" s="50">
        <f t="shared" si="11"/>
        <v>0</v>
      </c>
      <c r="AD17" s="50">
        <f t="shared" si="12"/>
        <v>72850.86</v>
      </c>
      <c r="AF17" s="94">
        <f t="shared" si="13"/>
        <v>28665.26999999999</v>
      </c>
      <c r="AG17" s="50">
        <f>IFERROR((VLOOKUP(B17,'Suivi 31.12.25'!$B$1:$BF$38,33,FALSE())),0)</f>
        <v>21849.370666400006</v>
      </c>
      <c r="AH17" s="95">
        <f t="shared" si="14"/>
        <v>6815.8993335999839</v>
      </c>
      <c r="AI17" s="94">
        <f t="shared" si="15"/>
        <v>126628.32999999999</v>
      </c>
      <c r="AJ17" s="50">
        <f>IFERROR((VLOOKUP(B17,'Suivi 31.12.25'!$B$1:$BF$38,36,FALSE())),0)</f>
        <v>100302.66666640001</v>
      </c>
      <c r="AK17" s="95">
        <f t="shared" si="16"/>
        <v>26325.66333359998</v>
      </c>
      <c r="AO17" s="94">
        <f t="shared" si="17"/>
        <v>0</v>
      </c>
      <c r="AP17" s="95">
        <f t="shared" si="18"/>
        <v>0</v>
      </c>
      <c r="AQ17" s="96">
        <f t="shared" si="19"/>
        <v>0.22637327681728087</v>
      </c>
      <c r="AR17" s="94">
        <f t="shared" si="20"/>
        <v>72850.86</v>
      </c>
      <c r="AS17" s="50">
        <f>IFERROR((VLOOKUP(B17,'SUIVI 31.12.24 ALTONEO'!$B$1:$BF$38,45,FALSE())),0)</f>
        <v>0</v>
      </c>
      <c r="AT17" s="97">
        <f t="shared" si="21"/>
        <v>72850.86</v>
      </c>
      <c r="AU17" s="94">
        <f t="shared" si="22"/>
        <v>7828.15</v>
      </c>
      <c r="AV17" s="50">
        <f>IFERROR((VLOOKUP(B17,'SUIVI 31.12.24 ALTONEO'!$B$1:$BF$38,48,FALSE())),0)</f>
        <v>0</v>
      </c>
      <c r="AW17" s="95">
        <f t="shared" si="23"/>
        <v>7828.15</v>
      </c>
      <c r="AX17" s="94">
        <f t="shared" si="24"/>
        <v>8149.59</v>
      </c>
      <c r="AY17" s="50">
        <f>IFERROR((VLOOKUP(B17,'SUIVI 31.12.24 ALTONEO'!$B$1:$BF$38,51,FALSE())),0)</f>
        <v>0</v>
      </c>
      <c r="AZ17" s="95">
        <f t="shared" si="25"/>
        <v>8149.59</v>
      </c>
      <c r="BA17" s="94">
        <f t="shared" si="26"/>
        <v>3134.46</v>
      </c>
      <c r="BB17" s="50">
        <f>IFERROR((VLOOKUP(B17,'SUIVI 31.12.24 ALTONEO'!$B$1:$BF$38,54,FALSE())),0)</f>
        <v>0</v>
      </c>
      <c r="BC17" s="95">
        <f t="shared" si="27"/>
        <v>3134.46</v>
      </c>
      <c r="BD17" s="94">
        <f t="shared" si="28"/>
        <v>6000</v>
      </c>
      <c r="BE17" s="50">
        <f>IFERROR((VLOOKUP(B17,'SUIVI 31.12.24 ALTONEO'!$B$1:$BF$38,57,FALSE())),0)</f>
        <v>0</v>
      </c>
      <c r="BF17" s="95"/>
    </row>
    <row r="18" spans="1:58" ht="15" customHeight="1" x14ac:dyDescent="0.2">
      <c r="A18" s="429"/>
      <c r="B18" s="84" t="s">
        <v>155</v>
      </c>
      <c r="C18" s="85" t="s">
        <v>137</v>
      </c>
      <c r="D18" s="86" t="s">
        <v>151</v>
      </c>
      <c r="E18" s="87">
        <f>VLOOKUP(D18,'% avancement'!$A$5:$B$17,2,FALSE())</f>
        <v>0.8</v>
      </c>
      <c r="F18" s="98">
        <v>129333.33</v>
      </c>
      <c r="G18" s="99">
        <v>8556.67</v>
      </c>
      <c r="H18" s="99">
        <f t="shared" si="0"/>
        <v>132890</v>
      </c>
      <c r="I18" s="99">
        <v>5000</v>
      </c>
      <c r="J18" s="99">
        <v>8637.85</v>
      </c>
      <c r="K18" s="99">
        <v>3322.25</v>
      </c>
      <c r="L18" s="99">
        <v>7828.15</v>
      </c>
      <c r="M18" s="99">
        <v>84311.97</v>
      </c>
      <c r="N18" s="91">
        <v>6000</v>
      </c>
      <c r="O18" s="92">
        <v>5000</v>
      </c>
      <c r="P18" s="99">
        <f>10365.42/1.2</f>
        <v>8637.85</v>
      </c>
      <c r="Q18" s="99">
        <f>3986.7/1.2</f>
        <v>3322.25</v>
      </c>
      <c r="R18" s="99">
        <v>7828.15</v>
      </c>
      <c r="S18" s="93">
        <f t="shared" si="29"/>
        <v>84311.97</v>
      </c>
      <c r="T18" s="93">
        <v>6000</v>
      </c>
      <c r="U18" s="94">
        <f t="shared" si="4"/>
        <v>110312</v>
      </c>
      <c r="W18" s="50">
        <f t="shared" si="5"/>
        <v>999.99999999999977</v>
      </c>
      <c r="X18" s="95">
        <f t="shared" si="6"/>
        <v>0</v>
      </c>
      <c r="Y18" s="94">
        <f t="shared" si="7"/>
        <v>0</v>
      </c>
      <c r="Z18" s="50">
        <f t="shared" si="8"/>
        <v>1727.5699999999997</v>
      </c>
      <c r="AA18" s="50">
        <f t="shared" si="9"/>
        <v>0</v>
      </c>
      <c r="AB18" s="50">
        <f t="shared" si="10"/>
        <v>664.44999999999982</v>
      </c>
      <c r="AC18" s="50">
        <f t="shared" si="11"/>
        <v>1565.6299999999997</v>
      </c>
      <c r="AD18" s="50">
        <f t="shared" si="12"/>
        <v>67449.576000000001</v>
      </c>
      <c r="AF18" s="94">
        <f t="shared" si="13"/>
        <v>22789.78</v>
      </c>
      <c r="AG18" s="50">
        <f>IFERROR((VLOOKUP(B18,'Suivi 31.12.25'!$B$1:$BF$38,33,FALSE())),0)</f>
        <v>13673.867999999999</v>
      </c>
      <c r="AH18" s="95">
        <f t="shared" si="14"/>
        <v>4557.9560000000019</v>
      </c>
      <c r="AI18" s="94">
        <f t="shared" si="15"/>
        <v>132890</v>
      </c>
      <c r="AJ18" s="50">
        <f>IFERROR((VLOOKUP(B18,'Suivi 31.12.25'!$B$1:$BF$38,36,FALSE())),0)</f>
        <v>79734</v>
      </c>
      <c r="AK18" s="95">
        <f t="shared" si="16"/>
        <v>26578</v>
      </c>
      <c r="AO18" s="94">
        <f t="shared" si="17"/>
        <v>26578</v>
      </c>
      <c r="AP18" s="95">
        <f t="shared" si="18"/>
        <v>4557.9559999999983</v>
      </c>
      <c r="AQ18" s="96">
        <f t="shared" si="19"/>
        <v>0.17149356610730679</v>
      </c>
      <c r="AR18" s="94">
        <f t="shared" si="20"/>
        <v>67449.576000000001</v>
      </c>
      <c r="AS18" s="50">
        <f>IFERROR((VLOOKUP(B18,'SUIVI 31.12.24 ALTONEO'!$B$1:$BF$38,45,FALSE())),0)</f>
        <v>0</v>
      </c>
      <c r="AT18" s="97">
        <f t="shared" si="21"/>
        <v>67449.576000000001</v>
      </c>
      <c r="AU18" s="94">
        <f t="shared" si="22"/>
        <v>6262.52</v>
      </c>
      <c r="AV18" s="50">
        <f>IFERROR((VLOOKUP(B18,'SUIVI 31.12.24 ALTONEO'!$B$1:$BF$38,48,FALSE())),0)</f>
        <v>0</v>
      </c>
      <c r="AW18" s="95">
        <f t="shared" si="23"/>
        <v>6262.52</v>
      </c>
      <c r="AX18" s="94">
        <f t="shared" si="24"/>
        <v>6910.2800000000007</v>
      </c>
      <c r="AY18" s="50">
        <f>IFERROR((VLOOKUP(B18,'SUIVI 31.12.24 ALTONEO'!$B$1:$BF$38,51,FALSE())),0)</f>
        <v>0</v>
      </c>
      <c r="AZ18" s="95">
        <f t="shared" si="25"/>
        <v>6910.2800000000007</v>
      </c>
      <c r="BA18" s="94">
        <f t="shared" si="26"/>
        <v>2657.8</v>
      </c>
      <c r="BB18" s="50">
        <f>IFERROR((VLOOKUP(B18,'SUIVI 31.12.24 ALTONEO'!$B$1:$BF$38,54,FALSE())),0)</f>
        <v>0</v>
      </c>
      <c r="BC18" s="95">
        <f t="shared" si="27"/>
        <v>2657.8</v>
      </c>
      <c r="BD18" s="94">
        <f t="shared" si="28"/>
        <v>4800</v>
      </c>
      <c r="BE18" s="50">
        <f>IFERROR((VLOOKUP(B18,'SUIVI 31.12.24 ALTONEO'!$B$1:$BF$38,57,FALSE())),0)</f>
        <v>0</v>
      </c>
      <c r="BF18" s="95"/>
    </row>
    <row r="19" spans="1:58" ht="15" customHeight="1" x14ac:dyDescent="0.2">
      <c r="A19" s="429"/>
      <c r="B19" s="84" t="s">
        <v>156</v>
      </c>
      <c r="C19" s="85" t="s">
        <v>137</v>
      </c>
      <c r="D19" s="86" t="s">
        <v>138</v>
      </c>
      <c r="E19" s="87">
        <f>VLOOKUP(D19,'% avancement'!$A$5:$B$17,2,FALSE())</f>
        <v>0.25</v>
      </c>
      <c r="F19" s="98">
        <f>133500/1.2</f>
        <v>111250</v>
      </c>
      <c r="G19" s="99">
        <f>8900/1.2</f>
        <v>7416.666666666667</v>
      </c>
      <c r="H19" s="99">
        <f t="shared" si="0"/>
        <v>118666.66666666667</v>
      </c>
      <c r="I19" s="99">
        <v>0</v>
      </c>
      <c r="J19" s="99">
        <v>7713.33</v>
      </c>
      <c r="K19" s="99">
        <v>2966.66</v>
      </c>
      <c r="L19" s="99">
        <v>8062.99</v>
      </c>
      <c r="M19" s="99">
        <v>92253.04</v>
      </c>
      <c r="N19" s="91">
        <v>3800</v>
      </c>
      <c r="O19" s="92">
        <v>0</v>
      </c>
      <c r="P19" s="93">
        <f t="shared" ref="P19:R20" si="30">J19</f>
        <v>7713.33</v>
      </c>
      <c r="Q19" s="93">
        <f t="shared" si="30"/>
        <v>2966.66</v>
      </c>
      <c r="R19" s="93">
        <f t="shared" si="30"/>
        <v>8062.99</v>
      </c>
      <c r="S19" s="93">
        <f t="shared" si="29"/>
        <v>92253.04</v>
      </c>
      <c r="T19" s="93">
        <v>3800</v>
      </c>
      <c r="U19" s="94">
        <f t="shared" si="4"/>
        <v>29666.666666666668</v>
      </c>
      <c r="W19" s="50">
        <f t="shared" si="5"/>
        <v>0</v>
      </c>
      <c r="X19" s="95">
        <f t="shared" si="6"/>
        <v>0</v>
      </c>
      <c r="Y19" s="94">
        <f t="shared" si="7"/>
        <v>0</v>
      </c>
      <c r="Z19" s="50">
        <f t="shared" si="8"/>
        <v>5784.9974999999995</v>
      </c>
      <c r="AA19" s="50">
        <f t="shared" si="9"/>
        <v>0</v>
      </c>
      <c r="AB19" s="50">
        <f t="shared" si="10"/>
        <v>2224.9949999999999</v>
      </c>
      <c r="AC19" s="50">
        <f t="shared" si="11"/>
        <v>6047.2425000000003</v>
      </c>
      <c r="AD19" s="50">
        <f t="shared" si="12"/>
        <v>23063.26</v>
      </c>
      <c r="AF19" s="94">
        <f t="shared" si="13"/>
        <v>3870.6466666666674</v>
      </c>
      <c r="AG19" s="50">
        <f>IFERROR((VLOOKUP(B19,'Suivi 31.12.25'!$B$1:$BF$38,33,FALSE())),0)</f>
        <v>0</v>
      </c>
      <c r="AH19" s="95">
        <f t="shared" si="14"/>
        <v>967.66166666666686</v>
      </c>
      <c r="AI19" s="94">
        <f t="shared" si="15"/>
        <v>118666.66666666667</v>
      </c>
      <c r="AJ19" s="50">
        <f>IFERROR((VLOOKUP(B19,'Suivi 31.12.25'!$B$1:$BF$38,36,FALSE())),0)</f>
        <v>0</v>
      </c>
      <c r="AK19" s="95">
        <f t="shared" si="16"/>
        <v>29666.666666666668</v>
      </c>
      <c r="AO19" s="94">
        <f t="shared" si="17"/>
        <v>89000</v>
      </c>
      <c r="AP19" s="95">
        <f t="shared" si="18"/>
        <v>2902.9850000000006</v>
      </c>
      <c r="AQ19" s="96">
        <f t="shared" si="19"/>
        <v>3.2617808988764048E-2</v>
      </c>
      <c r="AR19" s="94">
        <f t="shared" si="20"/>
        <v>23063.26</v>
      </c>
      <c r="AS19" s="50">
        <f>IFERROR((VLOOKUP(B19,'SUIVI 31.12.24 ALTONEO'!$B$1:$BF$38,45,FALSE())),0)</f>
        <v>0</v>
      </c>
      <c r="AT19" s="97">
        <f t="shared" si="21"/>
        <v>23063.26</v>
      </c>
      <c r="AU19" s="94">
        <f t="shared" si="22"/>
        <v>2015.7474999999999</v>
      </c>
      <c r="AV19" s="50">
        <f>IFERROR((VLOOKUP(B19,'SUIVI 31.12.24 ALTONEO'!$B$1:$BF$38,48,FALSE())),0)</f>
        <v>0</v>
      </c>
      <c r="AW19" s="95">
        <f t="shared" si="23"/>
        <v>2015.7474999999999</v>
      </c>
      <c r="AX19" s="94">
        <f t="shared" si="24"/>
        <v>1928.3325000000004</v>
      </c>
      <c r="AY19" s="50">
        <f>IFERROR((VLOOKUP(B19,'SUIVI 31.12.24 ALTONEO'!$B$1:$BF$38,51,FALSE())),0)</f>
        <v>0</v>
      </c>
      <c r="AZ19" s="95">
        <f t="shared" si="25"/>
        <v>1928.3325000000004</v>
      </c>
      <c r="BA19" s="94">
        <f t="shared" si="26"/>
        <v>741.66499999999996</v>
      </c>
      <c r="BB19" s="50">
        <f>IFERROR((VLOOKUP(B19,'SUIVI 31.12.24 ALTONEO'!$B$1:$BF$38,54,FALSE())),0)</f>
        <v>0</v>
      </c>
      <c r="BC19" s="95">
        <f t="shared" si="27"/>
        <v>741.66499999999996</v>
      </c>
      <c r="BD19" s="94">
        <f t="shared" si="28"/>
        <v>950</v>
      </c>
      <c r="BE19" s="50">
        <f>IFERROR((VLOOKUP(B19,'SUIVI 31.12.24 ALTONEO'!$B$1:$BF$38,57,FALSE())),0)</f>
        <v>0</v>
      </c>
      <c r="BF19" s="95"/>
    </row>
    <row r="20" spans="1:58" ht="15" customHeight="1" x14ac:dyDescent="0.2">
      <c r="A20" s="429"/>
      <c r="B20" s="84" t="s">
        <v>157</v>
      </c>
      <c r="C20" s="85" t="s">
        <v>137</v>
      </c>
      <c r="D20" s="86" t="s">
        <v>151</v>
      </c>
      <c r="E20" s="87">
        <f>VLOOKUP(D20,'% avancement'!$A$5:$B$17,2,FALSE())</f>
        <v>0.8</v>
      </c>
      <c r="F20" s="98">
        <v>127750</v>
      </c>
      <c r="G20" s="99">
        <v>11092.5</v>
      </c>
      <c r="H20" s="99">
        <f t="shared" si="0"/>
        <v>133842.5</v>
      </c>
      <c r="I20" s="99">
        <v>5000</v>
      </c>
      <c r="J20" s="99">
        <v>8659.14</v>
      </c>
      <c r="K20" s="99">
        <v>3330.44</v>
      </c>
      <c r="L20" s="99">
        <v>7828.15</v>
      </c>
      <c r="M20" s="99">
        <v>83839.7</v>
      </c>
      <c r="N20" s="91">
        <v>6000</v>
      </c>
      <c r="O20" s="92">
        <v>5000</v>
      </c>
      <c r="P20" s="93">
        <f t="shared" si="30"/>
        <v>8659.14</v>
      </c>
      <c r="Q20" s="93">
        <f t="shared" si="30"/>
        <v>3330.44</v>
      </c>
      <c r="R20" s="93">
        <f t="shared" si="30"/>
        <v>7828.15</v>
      </c>
      <c r="S20" s="93">
        <f t="shared" si="29"/>
        <v>83839.7</v>
      </c>
      <c r="T20" s="93">
        <v>6000</v>
      </c>
      <c r="U20" s="94">
        <f t="shared" si="4"/>
        <v>111074</v>
      </c>
      <c r="W20" s="50">
        <f t="shared" si="5"/>
        <v>999.99999999999977</v>
      </c>
      <c r="X20" s="95">
        <f t="shared" si="6"/>
        <v>0</v>
      </c>
      <c r="Y20" s="94">
        <f t="shared" si="7"/>
        <v>0</v>
      </c>
      <c r="Z20" s="50">
        <f t="shared" si="8"/>
        <v>1731.8279999999995</v>
      </c>
      <c r="AA20" s="50">
        <f t="shared" si="9"/>
        <v>0</v>
      </c>
      <c r="AB20" s="50">
        <f t="shared" si="10"/>
        <v>666.08799999999985</v>
      </c>
      <c r="AC20" s="50">
        <f t="shared" si="11"/>
        <v>1565.6299999999997</v>
      </c>
      <c r="AD20" s="50">
        <f t="shared" si="12"/>
        <v>67071.759999999995</v>
      </c>
      <c r="AF20" s="94">
        <f t="shared" si="13"/>
        <v>24185.070000000007</v>
      </c>
      <c r="AG20" s="50">
        <f>IFERROR((VLOOKUP(B20,'Suivi 31.12.25'!$B$1:$BF$38,33,FALSE())),0)</f>
        <v>14798.082</v>
      </c>
      <c r="AH20" s="95">
        <f t="shared" si="14"/>
        <v>4549.9740000000074</v>
      </c>
      <c r="AI20" s="94">
        <f t="shared" si="15"/>
        <v>133842.5</v>
      </c>
      <c r="AJ20" s="50">
        <f>IFERROR((VLOOKUP(B20,'Suivi 31.12.25'!$B$1:$BF$38,36,FALSE())),0)</f>
        <v>79930.5</v>
      </c>
      <c r="AK20" s="95">
        <f t="shared" si="16"/>
        <v>27143.5</v>
      </c>
      <c r="AO20" s="94">
        <f t="shared" si="17"/>
        <v>26768.5</v>
      </c>
      <c r="AP20" s="95">
        <f t="shared" si="18"/>
        <v>4837.0139999999992</v>
      </c>
      <c r="AQ20" s="96">
        <f t="shared" si="19"/>
        <v>0.18069798457141795</v>
      </c>
      <c r="AR20" s="94">
        <f t="shared" si="20"/>
        <v>67071.759999999995</v>
      </c>
      <c r="AS20" s="50">
        <f>IFERROR((VLOOKUP(B20,'SUIVI 31.12.24 ALTONEO'!$B$1:$BF$38,45,FALSE())),0)</f>
        <v>0</v>
      </c>
      <c r="AT20" s="97">
        <f t="shared" si="21"/>
        <v>67071.759999999995</v>
      </c>
      <c r="AU20" s="94">
        <f t="shared" si="22"/>
        <v>6262.52</v>
      </c>
      <c r="AV20" s="50">
        <f>IFERROR((VLOOKUP(B20,'SUIVI 31.12.24 ALTONEO'!$B$1:$BF$38,48,FALSE())),0)</f>
        <v>0</v>
      </c>
      <c r="AW20" s="95">
        <f t="shared" si="23"/>
        <v>6262.52</v>
      </c>
      <c r="AX20" s="94">
        <f t="shared" si="24"/>
        <v>6927.3119999999999</v>
      </c>
      <c r="AY20" s="50">
        <f>IFERROR((VLOOKUP(B20,'SUIVI 31.12.24 ALTONEO'!$B$1:$BF$38,51,FALSE())),0)</f>
        <v>0</v>
      </c>
      <c r="AZ20" s="95">
        <f t="shared" si="25"/>
        <v>6927.3119999999999</v>
      </c>
      <c r="BA20" s="94">
        <f t="shared" si="26"/>
        <v>2664.3520000000003</v>
      </c>
      <c r="BB20" s="50">
        <f>IFERROR((VLOOKUP(B20,'SUIVI 31.12.24 ALTONEO'!$B$1:$BF$38,54,FALSE())),0)</f>
        <v>0</v>
      </c>
      <c r="BC20" s="95">
        <f t="shared" si="27"/>
        <v>2664.3520000000003</v>
      </c>
      <c r="BD20" s="94">
        <f t="shared" si="28"/>
        <v>4800</v>
      </c>
      <c r="BE20" s="50">
        <f>IFERROR((VLOOKUP(B20,'SUIVI 31.12.24 ALTONEO'!$B$1:$BF$38,57,FALSE())),0)</f>
        <v>0</v>
      </c>
      <c r="BF20" s="95"/>
    </row>
    <row r="21" spans="1:58" ht="15" customHeight="1" x14ac:dyDescent="0.2">
      <c r="A21" s="429"/>
      <c r="B21" s="84" t="s">
        <v>158</v>
      </c>
      <c r="C21" s="85" t="s">
        <v>137</v>
      </c>
      <c r="D21" s="86" t="s">
        <v>159</v>
      </c>
      <c r="E21" s="87">
        <f>VLOOKUP(D21,'% avancement'!$A$5:$B$17,2,FALSE())</f>
        <v>0.6</v>
      </c>
      <c r="F21" s="98">
        <v>116416.67</v>
      </c>
      <c r="G21" s="99">
        <v>20345</v>
      </c>
      <c r="H21" s="99">
        <f t="shared" si="0"/>
        <v>131761.66999999998</v>
      </c>
      <c r="I21" s="99">
        <v>5000</v>
      </c>
      <c r="J21" s="99">
        <v>8564.51</v>
      </c>
      <c r="K21" s="99">
        <v>3294.04</v>
      </c>
      <c r="L21" s="99">
        <v>7828.15</v>
      </c>
      <c r="M21" s="99">
        <v>82927.75</v>
      </c>
      <c r="N21" s="91">
        <v>6000</v>
      </c>
      <c r="O21" s="92">
        <v>5000</v>
      </c>
      <c r="P21" s="99">
        <v>8564.5083333000002</v>
      </c>
      <c r="Q21" s="99">
        <v>3294.0416666699998</v>
      </c>
      <c r="R21" s="99">
        <v>7828.15</v>
      </c>
      <c r="S21" s="93">
        <f t="shared" si="29"/>
        <v>82927.75</v>
      </c>
      <c r="T21" s="93">
        <v>6000</v>
      </c>
      <c r="U21" s="94">
        <f t="shared" si="4"/>
        <v>82057.001999999993</v>
      </c>
      <c r="W21" s="50">
        <f t="shared" si="5"/>
        <v>2000</v>
      </c>
      <c r="X21" s="95">
        <f t="shared" si="6"/>
        <v>0</v>
      </c>
      <c r="Y21" s="94">
        <f t="shared" si="7"/>
        <v>0</v>
      </c>
      <c r="Z21" s="50">
        <f t="shared" si="8"/>
        <v>3425.8033333200001</v>
      </c>
      <c r="AA21" s="50">
        <f t="shared" si="9"/>
        <v>0</v>
      </c>
      <c r="AB21" s="50">
        <f t="shared" si="10"/>
        <v>1317.6166666680001</v>
      </c>
      <c r="AC21" s="50">
        <f t="shared" si="11"/>
        <v>3131.26</v>
      </c>
      <c r="AD21" s="50">
        <f t="shared" si="12"/>
        <v>49756.65</v>
      </c>
      <c r="AF21" s="94">
        <f t="shared" si="13"/>
        <v>23147.22</v>
      </c>
      <c r="AG21" s="50">
        <f>IFERROR((VLOOKUP(B21,'Suivi 31.12.25'!$B$1:$BF$38,33,FALSE())),0)</f>
        <v>14388.610002018002</v>
      </c>
      <c r="AH21" s="95">
        <f t="shared" si="14"/>
        <v>-500.27800201800164</v>
      </c>
      <c r="AI21" s="94">
        <f t="shared" si="15"/>
        <v>131761.66999999998</v>
      </c>
      <c r="AJ21" s="50">
        <f>IFERROR((VLOOKUP(B21,'Suivi 31.12.25'!$B$1:$BF$38,36,FALSE())),0)</f>
        <v>79057.000002000001</v>
      </c>
      <c r="AK21" s="95">
        <f t="shared" si="16"/>
        <v>1.9979999924544245E-3</v>
      </c>
      <c r="AO21" s="94">
        <f t="shared" si="17"/>
        <v>52704.667999999991</v>
      </c>
      <c r="AP21" s="95">
        <f t="shared" si="18"/>
        <v>9258.8880000000008</v>
      </c>
      <c r="AQ21" s="96">
        <f t="shared" si="19"/>
        <v>0.17567491365280968</v>
      </c>
      <c r="AR21" s="94">
        <f t="shared" si="20"/>
        <v>49756.65</v>
      </c>
      <c r="AS21" s="50">
        <f>IFERROR((VLOOKUP(B21,'SUIVI 31.12.24 ALTONEO'!$B$1:$BF$38,45,FALSE())),0)</f>
        <v>0</v>
      </c>
      <c r="AT21" s="97">
        <f t="shared" si="21"/>
        <v>49756.65</v>
      </c>
      <c r="AU21" s="94">
        <f t="shared" si="22"/>
        <v>4696.8899999999994</v>
      </c>
      <c r="AV21" s="50">
        <f>IFERROR((VLOOKUP(B21,'SUIVI 31.12.24 ALTONEO'!$B$1:$BF$38,48,FALSE())),0)</f>
        <v>0</v>
      </c>
      <c r="AW21" s="95">
        <f t="shared" si="23"/>
        <v>4696.8899999999994</v>
      </c>
      <c r="AX21" s="94">
        <f t="shared" si="24"/>
        <v>5138.7049999800001</v>
      </c>
      <c r="AY21" s="50">
        <f>IFERROR((VLOOKUP(B21,'SUIVI 31.12.24 ALTONEO'!$B$1:$BF$38,51,FALSE())),0)</f>
        <v>0</v>
      </c>
      <c r="AZ21" s="95">
        <f t="shared" si="25"/>
        <v>5138.7049999800001</v>
      </c>
      <c r="BA21" s="94">
        <f t="shared" si="26"/>
        <v>1976.4250000019997</v>
      </c>
      <c r="BB21" s="50">
        <f>IFERROR((VLOOKUP(B21,'SUIVI 31.12.24 ALTONEO'!$B$1:$BF$38,54,FALSE())),0)</f>
        <v>0</v>
      </c>
      <c r="BC21" s="95">
        <f t="shared" si="27"/>
        <v>1976.4250000019997</v>
      </c>
      <c r="BD21" s="94">
        <f t="shared" si="28"/>
        <v>3600</v>
      </c>
      <c r="BE21" s="50">
        <f>IFERROR((VLOOKUP(B21,'SUIVI 31.12.24 ALTONEO'!$B$1:$BF$38,57,FALSE())),0)</f>
        <v>0</v>
      </c>
      <c r="BF21" s="95"/>
    </row>
    <row r="22" spans="1:58" ht="15" customHeight="1" x14ac:dyDescent="0.2">
      <c r="A22" s="429"/>
      <c r="B22" s="84" t="s">
        <v>160</v>
      </c>
      <c r="C22" s="85" t="s">
        <v>137</v>
      </c>
      <c r="D22" s="86" t="s">
        <v>151</v>
      </c>
      <c r="E22" s="87">
        <f>VLOOKUP(D22,'% avancement'!$A$5:$B$17,2,FALSE())</f>
        <v>0.8</v>
      </c>
      <c r="F22" s="98">
        <v>142333.32999999999</v>
      </c>
      <c r="G22" s="99">
        <v>9400</v>
      </c>
      <c r="H22" s="99">
        <f t="shared" si="0"/>
        <v>146733.32999999999</v>
      </c>
      <c r="I22" s="99">
        <v>5000</v>
      </c>
      <c r="J22" s="99">
        <v>9537.67</v>
      </c>
      <c r="K22" s="99">
        <v>3668.33</v>
      </c>
      <c r="L22" s="99">
        <v>7828.15</v>
      </c>
      <c r="M22" s="99">
        <v>97088.35</v>
      </c>
      <c r="N22" s="91">
        <v>6000</v>
      </c>
      <c r="O22" s="92">
        <v>5000</v>
      </c>
      <c r="P22" s="99">
        <v>9537.6666600000008</v>
      </c>
      <c r="Q22" s="99">
        <v>3668.3333299999999</v>
      </c>
      <c r="R22" s="99">
        <v>7828.15</v>
      </c>
      <c r="S22" s="93">
        <f t="shared" si="29"/>
        <v>97088.35</v>
      </c>
      <c r="T22" s="93">
        <v>6000</v>
      </c>
      <c r="U22" s="94">
        <f t="shared" si="4"/>
        <v>121386.66399999999</v>
      </c>
      <c r="W22" s="50">
        <f t="shared" si="5"/>
        <v>999.99999999999977</v>
      </c>
      <c r="X22" s="95">
        <f t="shared" si="6"/>
        <v>0</v>
      </c>
      <c r="Y22" s="94">
        <f t="shared" si="7"/>
        <v>0</v>
      </c>
      <c r="Z22" s="50">
        <f t="shared" si="8"/>
        <v>1907.5333319999997</v>
      </c>
      <c r="AA22" s="50">
        <f t="shared" si="9"/>
        <v>0</v>
      </c>
      <c r="AB22" s="50">
        <f t="shared" si="10"/>
        <v>733.66666599999985</v>
      </c>
      <c r="AC22" s="50">
        <f t="shared" si="11"/>
        <v>1565.6299999999997</v>
      </c>
      <c r="AD22" s="50">
        <f t="shared" si="12"/>
        <v>77670.680000000008</v>
      </c>
      <c r="AF22" s="94">
        <f t="shared" si="13"/>
        <v>22610.829999999987</v>
      </c>
      <c r="AG22" s="50">
        <f>IFERROR((VLOOKUP(B22,'Suivi 31.12.25'!$B$1:$BF$38,33,FALSE())),0)</f>
        <v>9864.2800040000129</v>
      </c>
      <c r="AH22" s="95">
        <f t="shared" si="14"/>
        <v>8224.3839959999768</v>
      </c>
      <c r="AI22" s="94">
        <f t="shared" si="15"/>
        <v>146733.32999999999</v>
      </c>
      <c r="AJ22" s="50">
        <f>IFERROR((VLOOKUP(B22,'Suivi 31.12.25'!$B$1:$BF$38,36,FALSE())),0)</f>
        <v>58693.200000000004</v>
      </c>
      <c r="AK22" s="95">
        <f t="shared" si="16"/>
        <v>58693.463999999985</v>
      </c>
      <c r="AO22" s="94">
        <f t="shared" si="17"/>
        <v>29346.66599999999</v>
      </c>
      <c r="AP22" s="95">
        <f t="shared" si="18"/>
        <v>4522.1659999999974</v>
      </c>
      <c r="AQ22" s="96">
        <f t="shared" si="19"/>
        <v>0.154094710451947</v>
      </c>
      <c r="AR22" s="94">
        <f t="shared" si="20"/>
        <v>77670.680000000008</v>
      </c>
      <c r="AS22" s="50">
        <f>IFERROR((VLOOKUP(B22,'SUIVI 31.12.24 ALTONEO'!$B$1:$BF$38,45,FALSE())),0)</f>
        <v>0</v>
      </c>
      <c r="AT22" s="97">
        <f t="shared" si="21"/>
        <v>77670.680000000008</v>
      </c>
      <c r="AU22" s="94">
        <f t="shared" si="22"/>
        <v>6262.52</v>
      </c>
      <c r="AV22" s="50">
        <f>IFERROR((VLOOKUP(B22,'SUIVI 31.12.24 ALTONEO'!$B$1:$BF$38,48,FALSE())),0)</f>
        <v>0</v>
      </c>
      <c r="AW22" s="95">
        <f t="shared" si="23"/>
        <v>6262.52</v>
      </c>
      <c r="AX22" s="94">
        <f t="shared" si="24"/>
        <v>7630.1333280000008</v>
      </c>
      <c r="AY22" s="50">
        <f>IFERROR((VLOOKUP(B22,'SUIVI 31.12.24 ALTONEO'!$B$1:$BF$38,51,FALSE())),0)</f>
        <v>0</v>
      </c>
      <c r="AZ22" s="95">
        <f t="shared" si="25"/>
        <v>7630.1333280000008</v>
      </c>
      <c r="BA22" s="94">
        <f t="shared" si="26"/>
        <v>2934.6666640000003</v>
      </c>
      <c r="BB22" s="50">
        <f>IFERROR((VLOOKUP(B22,'SUIVI 31.12.24 ALTONEO'!$B$1:$BF$38,54,FALSE())),0)</f>
        <v>0</v>
      </c>
      <c r="BC22" s="95">
        <f t="shared" si="27"/>
        <v>2934.6666640000003</v>
      </c>
      <c r="BD22" s="94">
        <f t="shared" si="28"/>
        <v>4800</v>
      </c>
      <c r="BE22" s="50">
        <f>IFERROR((VLOOKUP(B22,'SUIVI 31.12.24 ALTONEO'!$B$1:$BF$38,57,FALSE())),0)</f>
        <v>0</v>
      </c>
      <c r="BF22" s="95"/>
    </row>
    <row r="23" spans="1:58" ht="15" customHeight="1" x14ac:dyDescent="0.2">
      <c r="A23" s="429"/>
      <c r="B23" s="84" t="s">
        <v>161</v>
      </c>
      <c r="C23" s="85" t="s">
        <v>137</v>
      </c>
      <c r="D23" s="86" t="s">
        <v>159</v>
      </c>
      <c r="E23" s="87">
        <f>VLOOKUP(D23,'% avancement'!$A$5:$B$17,2,FALSE())</f>
        <v>0.6</v>
      </c>
      <c r="F23" s="98">
        <v>109333.33</v>
      </c>
      <c r="G23" s="99">
        <v>12078.33</v>
      </c>
      <c r="H23" s="99">
        <f t="shared" si="0"/>
        <v>116411.66</v>
      </c>
      <c r="I23" s="99">
        <v>5000</v>
      </c>
      <c r="J23" s="99">
        <v>7566.76</v>
      </c>
      <c r="K23" s="99">
        <v>2910.29</v>
      </c>
      <c r="L23" s="99">
        <v>8062.99</v>
      </c>
      <c r="M23" s="99">
        <v>70311.97</v>
      </c>
      <c r="N23" s="91">
        <v>6000</v>
      </c>
      <c r="O23" s="92">
        <v>5000</v>
      </c>
      <c r="P23" s="93">
        <f>J23</f>
        <v>7566.76</v>
      </c>
      <c r="Q23" s="93">
        <f>K23</f>
        <v>2910.29</v>
      </c>
      <c r="R23" s="93">
        <f>L23</f>
        <v>8062.99</v>
      </c>
      <c r="S23" s="93">
        <f t="shared" si="29"/>
        <v>70311.97</v>
      </c>
      <c r="T23" s="93">
        <v>6000</v>
      </c>
      <c r="U23" s="94">
        <f t="shared" si="4"/>
        <v>72846.995999999999</v>
      </c>
      <c r="W23" s="50">
        <f t="shared" si="5"/>
        <v>2000</v>
      </c>
      <c r="X23" s="95">
        <f t="shared" si="6"/>
        <v>0</v>
      </c>
      <c r="Y23" s="94">
        <f t="shared" si="7"/>
        <v>0</v>
      </c>
      <c r="Z23" s="50">
        <f t="shared" si="8"/>
        <v>3026.7040000000002</v>
      </c>
      <c r="AA23" s="50">
        <f t="shared" si="9"/>
        <v>0</v>
      </c>
      <c r="AB23" s="50">
        <f t="shared" si="10"/>
        <v>1164.116</v>
      </c>
      <c r="AC23" s="50">
        <f t="shared" si="11"/>
        <v>3225.1959999999999</v>
      </c>
      <c r="AD23" s="50">
        <f t="shared" si="12"/>
        <v>42187.182000000001</v>
      </c>
      <c r="AF23" s="94">
        <f t="shared" si="13"/>
        <v>21559.650000000009</v>
      </c>
      <c r="AG23" s="50">
        <f>IFERROR((VLOOKUP(B23,'Suivi 31.12.25'!$B$1:$BF$38,33,FALSE())),0)</f>
        <v>5561.0991666666669</v>
      </c>
      <c r="AH23" s="95">
        <f t="shared" si="14"/>
        <v>7374.6908333333377</v>
      </c>
      <c r="AI23" s="94">
        <f t="shared" si="15"/>
        <v>116411.66</v>
      </c>
      <c r="AJ23" s="50">
        <f>IFERROR((VLOOKUP(B23,'Suivi 31.12.25'!$B$1:$BF$38,36,FALSE())),0)</f>
        <v>29102.916666666668</v>
      </c>
      <c r="AK23" s="95">
        <f t="shared" si="16"/>
        <v>40744.079333333328</v>
      </c>
      <c r="AO23" s="94">
        <f t="shared" si="17"/>
        <v>46564.664000000004</v>
      </c>
      <c r="AP23" s="95">
        <f t="shared" si="18"/>
        <v>8623.8600000000042</v>
      </c>
      <c r="AQ23" s="96">
        <f t="shared" si="19"/>
        <v>0.18520180882224346</v>
      </c>
      <c r="AR23" s="94">
        <f t="shared" si="20"/>
        <v>42187.182000000001</v>
      </c>
      <c r="AS23" s="50">
        <f>IFERROR((VLOOKUP(B23,'SUIVI 31.12.24 ALTONEO'!$B$1:$BF$38,45,FALSE())),0)</f>
        <v>0</v>
      </c>
      <c r="AT23" s="97">
        <f t="shared" si="21"/>
        <v>42187.182000000001</v>
      </c>
      <c r="AU23" s="94">
        <f t="shared" si="22"/>
        <v>4837.7939999999999</v>
      </c>
      <c r="AV23" s="50">
        <f>IFERROR((VLOOKUP(B23,'SUIVI 31.12.24 ALTONEO'!$B$1:$BF$38,48,FALSE())),0)</f>
        <v>0</v>
      </c>
      <c r="AW23" s="95">
        <f t="shared" si="23"/>
        <v>4837.7939999999999</v>
      </c>
      <c r="AX23" s="94">
        <f t="shared" si="24"/>
        <v>4540.0560000000005</v>
      </c>
      <c r="AY23" s="50">
        <f>IFERROR((VLOOKUP(B23,'SUIVI 31.12.24 ALTONEO'!$B$1:$BF$38,51,FALSE())),0)</f>
        <v>0</v>
      </c>
      <c r="AZ23" s="95">
        <f t="shared" si="25"/>
        <v>4540.0560000000005</v>
      </c>
      <c r="BA23" s="94">
        <f t="shared" si="26"/>
        <v>1746.174</v>
      </c>
      <c r="BB23" s="50">
        <f>IFERROR((VLOOKUP(B23,'SUIVI 31.12.24 ALTONEO'!$B$1:$BF$38,54,FALSE())),0)</f>
        <v>0</v>
      </c>
      <c r="BC23" s="95">
        <f t="shared" si="27"/>
        <v>1746.174</v>
      </c>
      <c r="BD23" s="94">
        <f t="shared" si="28"/>
        <v>3600</v>
      </c>
      <c r="BE23" s="50">
        <f>IFERROR((VLOOKUP(B23,'SUIVI 31.12.24 ALTONEO'!$B$1:$BF$38,57,FALSE())),0)</f>
        <v>0</v>
      </c>
      <c r="BF23" s="95"/>
    </row>
    <row r="24" spans="1:58" ht="13.5" customHeight="1" x14ac:dyDescent="0.2">
      <c r="A24" s="100"/>
      <c r="B24" s="101">
        <f>+ROWS(B3:B23)</f>
        <v>21</v>
      </c>
      <c r="C24" s="102"/>
      <c r="D24" s="103"/>
      <c r="E24" s="101"/>
      <c r="F24" s="104"/>
      <c r="G24" s="105"/>
      <c r="H24" s="105"/>
      <c r="I24" s="105"/>
      <c r="J24" s="105"/>
      <c r="K24" s="105"/>
      <c r="L24" s="105"/>
      <c r="M24" s="105"/>
      <c r="N24" s="106"/>
      <c r="O24" s="107"/>
      <c r="P24" s="108"/>
      <c r="Q24" s="108"/>
      <c r="R24" s="108"/>
      <c r="S24" s="108"/>
      <c r="T24" s="109"/>
      <c r="U24" s="94"/>
      <c r="X24" s="95"/>
      <c r="Y24" s="94"/>
      <c r="AF24" s="94"/>
      <c r="AH24" s="95"/>
      <c r="AI24" s="94"/>
      <c r="AK24" s="95"/>
      <c r="AO24" s="94">
        <f t="shared" si="17"/>
        <v>0</v>
      </c>
      <c r="AP24" s="95">
        <f t="shared" si="18"/>
        <v>0</v>
      </c>
      <c r="AQ24" s="96"/>
      <c r="AR24" s="94"/>
      <c r="AT24" s="97"/>
      <c r="AU24" s="94"/>
      <c r="AW24" s="95"/>
      <c r="AX24" s="94"/>
      <c r="AZ24" s="95"/>
      <c r="BA24" s="94"/>
      <c r="BC24" s="95"/>
      <c r="BD24" s="94"/>
      <c r="BE24" s="50"/>
      <c r="BF24" s="95"/>
    </row>
    <row r="25" spans="1:58" ht="15" customHeight="1" x14ac:dyDescent="0.2">
      <c r="A25" s="1"/>
      <c r="B25" s="84" t="s">
        <v>162</v>
      </c>
      <c r="C25" s="85" t="s">
        <v>137</v>
      </c>
      <c r="D25" s="86" t="s">
        <v>159</v>
      </c>
      <c r="E25" s="87">
        <f>VLOOKUP(D25,'% avancement'!$A$5:$B$17,2,FALSE())</f>
        <v>0.6</v>
      </c>
      <c r="F25" s="98">
        <v>98333.33</v>
      </c>
      <c r="G25" s="99">
        <v>6287.5</v>
      </c>
      <c r="H25" s="99">
        <f>F25+G25-I25</f>
        <v>99620.83</v>
      </c>
      <c r="I25" s="99">
        <v>5000</v>
      </c>
      <c r="J25" s="99">
        <v>6475.35</v>
      </c>
      <c r="K25" s="99">
        <v>2490.52</v>
      </c>
      <c r="L25" s="99">
        <v>8062.99</v>
      </c>
      <c r="M25" s="99">
        <v>59029.86</v>
      </c>
      <c r="N25" s="91">
        <v>6000</v>
      </c>
      <c r="O25" s="92">
        <v>5000</v>
      </c>
      <c r="P25" s="93"/>
      <c r="Q25" s="93"/>
      <c r="R25" s="93"/>
      <c r="S25" s="93"/>
      <c r="T25" s="93">
        <v>6000</v>
      </c>
      <c r="U25" s="94">
        <f>IF(C25="oui","",(H25+I25)*E25)</f>
        <v>62772.498</v>
      </c>
      <c r="W25" s="50">
        <f>IF(O25="",0,(1-E25)*O25)</f>
        <v>2000</v>
      </c>
      <c r="X25" s="95">
        <f>IF(O25="",I25*(E25),0)</f>
        <v>0</v>
      </c>
      <c r="Y25" s="94">
        <f>IF(P25="",+H25*6%*E25,0)</f>
        <v>3586.3498799999998</v>
      </c>
      <c r="Z25" s="50">
        <f>IF(P25="",0,P25*(1-E25))</f>
        <v>0</v>
      </c>
      <c r="AA25" s="50">
        <f>IF(Q25="",+H25*2.5%*E25,0)</f>
        <v>1494.3124500000001</v>
      </c>
      <c r="AB25" s="50">
        <f>IF(Q25="",0,Q25*(1-E25))</f>
        <v>0</v>
      </c>
      <c r="AC25" s="50">
        <f>IF(R25="",+L25*E25,(1-E25)*R25)</f>
        <v>4837.7939999999999</v>
      </c>
      <c r="AD25" s="50">
        <f>IF(S25="",M25*E25,S25*E25)</f>
        <v>35417.915999999997</v>
      </c>
      <c r="AF25" s="94">
        <f>IF(E25="",0,+H25-J25-K25-L25-M25-N25)</f>
        <v>17562.109999999986</v>
      </c>
      <c r="AG25" s="50">
        <f>IFERROR((VLOOKUP(B25,'Suivi 31.12.25'!$B$1:$BF$38,33,FALSE())),0)</f>
        <v>0</v>
      </c>
      <c r="AH25" s="95">
        <f>AF25*E25-AG25</f>
        <v>10537.265999999991</v>
      </c>
      <c r="AI25" s="94">
        <f>IF(E25="",0,H25)</f>
        <v>99620.83</v>
      </c>
      <c r="AJ25" s="50">
        <f>IFERROR((VLOOKUP(B25,'Suivi 31.12.25'!$B$40:$BF$50,36,FALSE())),0)</f>
        <v>24905.208333333336</v>
      </c>
      <c r="AK25" s="95">
        <f>AI25*E25-AJ25</f>
        <v>34867.289666666664</v>
      </c>
      <c r="AO25" s="94">
        <f t="shared" si="17"/>
        <v>39848.332000000009</v>
      </c>
      <c r="AP25" s="95">
        <f t="shared" si="18"/>
        <v>7024.8439999999955</v>
      </c>
      <c r="AQ25" s="96">
        <f>IF(E25="","",+AF25/AI25)</f>
        <v>0.17628953703758526</v>
      </c>
      <c r="AR25" s="94">
        <f>IF(S25="",M25*E25,S25*E25)</f>
        <v>35417.915999999997</v>
      </c>
      <c r="AS25" s="50">
        <f>IFERROR((VLOOKUP(B25,'SUIVI 31.12.24 ALTONEO'!$B$1:$BF$38,45,FALSE())),0)</f>
        <v>0</v>
      </c>
      <c r="AT25" s="97">
        <f>+AR25-AS25</f>
        <v>35417.915999999997</v>
      </c>
      <c r="AU25" s="94">
        <f>+L25*E25</f>
        <v>4837.7939999999999</v>
      </c>
      <c r="AV25" s="50">
        <f>IFERROR((VLOOKUP(B25,'SUIVI 31.12.24 ALTONEO'!$B$1:$BF$38,48,FALSE())),0)</f>
        <v>0</v>
      </c>
      <c r="AW25" s="95">
        <f>+AU25-AV25</f>
        <v>4837.7939999999999</v>
      </c>
      <c r="AX25" s="94">
        <f>IF(P25="",J25*E25,P25-Z25)</f>
        <v>3885.21</v>
      </c>
      <c r="AY25" s="50">
        <f>IFERROR((VLOOKUP(B25,'SUIVI 31.12.24 ALTONEO'!$B$1:$BF$38,51,FALSE())),0)</f>
        <v>0</v>
      </c>
      <c r="AZ25" s="95">
        <f>+AX25-AY25</f>
        <v>3885.21</v>
      </c>
      <c r="BA25" s="94">
        <f>IF(Q25="",K25*E25,Q25-AB25)</f>
        <v>1494.3119999999999</v>
      </c>
      <c r="BB25" s="50">
        <f>IFERROR((VLOOKUP(B25,'SUIVI 31.12.24 ALTONEO'!$B$1:$BF$38,54,FALSE())),0)</f>
        <v>0</v>
      </c>
      <c r="BC25" s="95">
        <f>+BA25-BB25</f>
        <v>1494.3119999999999</v>
      </c>
      <c r="BD25" s="94">
        <f>+E25*N25</f>
        <v>3600</v>
      </c>
      <c r="BE25" s="50">
        <f>IFERROR((VLOOKUP(B25,'SUIVI 31.12.24 ALTONEO'!$B$1:$BF$38,57,FALSE())),0)</f>
        <v>0</v>
      </c>
      <c r="BF25" s="95"/>
    </row>
    <row r="26" spans="1:58" ht="13.5" customHeight="1" x14ac:dyDescent="0.2">
      <c r="A26" s="110"/>
      <c r="B26" s="101">
        <f>+ROWS(B25:B25)</f>
        <v>1</v>
      </c>
      <c r="C26" s="102"/>
      <c r="D26" s="103"/>
      <c r="E26" s="101"/>
      <c r="F26" s="104"/>
      <c r="G26" s="105"/>
      <c r="H26" s="105"/>
      <c r="I26" s="105"/>
      <c r="J26" s="105"/>
      <c r="K26" s="105"/>
      <c r="L26" s="105"/>
      <c r="M26" s="105"/>
      <c r="N26" s="106"/>
      <c r="O26" s="107"/>
      <c r="P26" s="108"/>
      <c r="Q26" s="108"/>
      <c r="R26" s="108"/>
      <c r="S26" s="108"/>
      <c r="T26" s="109"/>
      <c r="U26" s="94"/>
      <c r="X26" s="95"/>
      <c r="Y26" s="94"/>
      <c r="AF26" s="94"/>
      <c r="AH26" s="95"/>
      <c r="AI26" s="94"/>
      <c r="AK26" s="95"/>
      <c r="AO26" s="94"/>
      <c r="AP26" s="95">
        <f t="shared" si="18"/>
        <v>0</v>
      </c>
      <c r="AQ26" s="96"/>
      <c r="AR26" s="94"/>
      <c r="AT26" s="97"/>
      <c r="AU26" s="94"/>
      <c r="AW26" s="95"/>
      <c r="AX26" s="94"/>
      <c r="AZ26" s="95"/>
      <c r="BA26" s="94"/>
      <c r="BC26" s="95"/>
      <c r="BD26" s="94"/>
      <c r="BE26" s="50"/>
      <c r="BF26" s="95"/>
    </row>
    <row r="27" spans="1:58" ht="15" customHeight="1" x14ac:dyDescent="0.2">
      <c r="A27" s="2"/>
      <c r="B27" s="84" t="s">
        <v>163</v>
      </c>
      <c r="C27" s="85" t="s">
        <v>137</v>
      </c>
      <c r="D27" s="86" t="s">
        <v>164</v>
      </c>
      <c r="E27" s="87">
        <f>VLOOKUP(D27,'% avancement'!$A$5:$B$17,2,FALSE())</f>
        <v>0.95</v>
      </c>
      <c r="F27" s="98">
        <v>137916.67000000001</v>
      </c>
      <c r="G27" s="99">
        <v>6700</v>
      </c>
      <c r="H27" s="99">
        <f>F27+G27-I27</f>
        <v>139616.67000000001</v>
      </c>
      <c r="I27" s="99">
        <v>5000</v>
      </c>
      <c r="J27" s="99">
        <v>8377</v>
      </c>
      <c r="K27" s="99">
        <v>3490.42</v>
      </c>
      <c r="L27" s="99">
        <v>7828.15</v>
      </c>
      <c r="M27" s="99">
        <v>98793.9</v>
      </c>
      <c r="N27" s="91">
        <v>6000</v>
      </c>
      <c r="O27" s="92">
        <v>5000</v>
      </c>
      <c r="P27" s="93">
        <v>8377</v>
      </c>
      <c r="Q27" s="93">
        <v>3490.42</v>
      </c>
      <c r="R27" s="93"/>
      <c r="S27" s="93"/>
      <c r="T27" s="93">
        <v>6000</v>
      </c>
      <c r="U27" s="94">
        <f>IF(C27="oui","",(H27+I27)*E27)</f>
        <v>137385.8365</v>
      </c>
      <c r="W27" s="50">
        <f>IF(O27="",0,(1-E27)*O27)</f>
        <v>250.00000000000023</v>
      </c>
      <c r="X27" s="95">
        <f>IF(O27="",I27*(E27),0)</f>
        <v>0</v>
      </c>
      <c r="Y27" s="94">
        <f>IF(P27="",+H27*6%*E27,0)</f>
        <v>0</v>
      </c>
      <c r="Z27" s="50">
        <f>IF(P27="",0,P27*(1-E27))</f>
        <v>418.85000000000036</v>
      </c>
      <c r="AA27" s="50">
        <f>IF(Q27="",+H27*2.5%*E27,0)</f>
        <v>0</v>
      </c>
      <c r="AB27" s="50">
        <f>IF(Q27="",0,Q27*(1-E27))</f>
        <v>174.52100000000016</v>
      </c>
      <c r="AC27" s="50">
        <f>IF(R27="",+L27*E27,(1-E27)*R27)</f>
        <v>7436.7424999999994</v>
      </c>
      <c r="AD27" s="50">
        <f>IF(S27="",M27*E27,S27*E27)</f>
        <v>93854.204999999987</v>
      </c>
      <c r="AF27" s="94">
        <f>IF(E27="",0,+H27-J27-K27-L27-M27-N27)</f>
        <v>15127.200000000026</v>
      </c>
      <c r="AG27" s="50">
        <f>IFERROR((VLOOKUP(B27,'SUIVI 31.12.24 ALTONEO'!$B$1:$BF$38,33,FALSE())),0)</f>
        <v>5997.053333333356</v>
      </c>
      <c r="AH27" s="95">
        <f>AF27*E27-AG27</f>
        <v>8373.7866666666669</v>
      </c>
      <c r="AI27" s="94">
        <f>IF(E27="",0,H27)</f>
        <v>139616.67000000001</v>
      </c>
      <c r="AJ27" s="50">
        <f>IFERROR((VLOOKUP(B27,'SUIVI 31.12.24 ALTONEO'!$B$1:$BF$38,36,FALSE())),0)</f>
        <v>27583.333333333401</v>
      </c>
      <c r="AK27" s="95">
        <f>AI27*E27-AJ27</f>
        <v>105052.5031666666</v>
      </c>
      <c r="AO27" s="94">
        <f>AI27-AJ27-AK27</f>
        <v>6980.8335000000079</v>
      </c>
      <c r="AP27" s="95">
        <f t="shared" si="18"/>
        <v>756.36000000000422</v>
      </c>
      <c r="AQ27" s="96">
        <f>IF(E27="","",+AF27/AI27)</f>
        <v>0.10834809339028087</v>
      </c>
      <c r="AR27" s="94">
        <f>IF(S27="",M27*E27,S27*E27)</f>
        <v>93854.204999999987</v>
      </c>
      <c r="AS27" s="50">
        <f>IFERROR((VLOOKUP(B27,'SUIVI 31.12.24 ALTONEO'!$B$1:$BF$38,45,FALSE())),0)</f>
        <v>17721.666666666712</v>
      </c>
      <c r="AT27" s="97">
        <f>+AR27-AS27</f>
        <v>76132.538333333272</v>
      </c>
      <c r="AU27" s="94">
        <f>+L27*E27</f>
        <v>7436.7424999999994</v>
      </c>
      <c r="AV27" s="50">
        <f>IFERROR((VLOOKUP(B27,'SUIVI 31.12.24 ALTONEO'!$B$1:$BF$38,48,FALSE())),0)</f>
        <v>1520.03</v>
      </c>
      <c r="AW27" s="95">
        <f>+AU27-AV27</f>
        <v>5916.7124999999996</v>
      </c>
      <c r="AX27" s="94">
        <f>IF(P27="",J27*E27,P27-Z27)</f>
        <v>7958.15</v>
      </c>
      <c r="AY27" s="50">
        <f>IFERROR((VLOOKUP(B27,'SUIVI 31.12.24 ALTONEO'!$B$1:$BF$38,51,FALSE())),0)</f>
        <v>1655.0000000000041</v>
      </c>
      <c r="AZ27" s="95">
        <f>+AX27-AY27</f>
        <v>6303.149999999996</v>
      </c>
      <c r="BA27" s="94">
        <f>IF(Q27="",K27*E27,Q27-AB27)</f>
        <v>3315.8989999999999</v>
      </c>
      <c r="BB27" s="50">
        <f>IFERROR((VLOOKUP(B27,'SUIVI 31.12.24 ALTONEO'!$B$1:$BF$38,54,FALSE())),0)</f>
        <v>689.58333333333508</v>
      </c>
      <c r="BC27" s="95">
        <f>+BA27-BB27</f>
        <v>2626.3156666666646</v>
      </c>
      <c r="BD27" s="94">
        <f>+E27*N27</f>
        <v>5700</v>
      </c>
      <c r="BE27" s="50">
        <f>IFERROR((VLOOKUP(B27,'SUIVI 31.12.24 ALTONEO'!$B$1:$BF$38,57,FALSE())),0)</f>
        <v>0</v>
      </c>
      <c r="BF27" s="95"/>
    </row>
    <row r="28" spans="1:58" s="42" customFormat="1" ht="15.75" customHeight="1" x14ac:dyDescent="0.2">
      <c r="A28" s="111" t="s">
        <v>165</v>
      </c>
      <c r="B28" s="112">
        <f>ROWS(B27:B27)</f>
        <v>1</v>
      </c>
      <c r="C28" s="113"/>
      <c r="D28" s="113"/>
      <c r="E28" s="112"/>
      <c r="F28" s="114"/>
      <c r="G28" s="115"/>
      <c r="H28" s="115"/>
      <c r="I28" s="115"/>
      <c r="J28" s="115"/>
      <c r="K28" s="115"/>
      <c r="L28" s="115"/>
      <c r="M28" s="115"/>
      <c r="N28" s="116"/>
      <c r="O28" s="117"/>
      <c r="P28" s="118"/>
      <c r="Q28" s="118"/>
      <c r="R28" s="118"/>
      <c r="S28" s="118"/>
      <c r="T28" s="118"/>
      <c r="U28" s="119"/>
      <c r="V28" s="120"/>
      <c r="W28" s="120"/>
      <c r="X28" s="121"/>
      <c r="Y28" s="94"/>
      <c r="Z28" s="50"/>
      <c r="AA28" s="50"/>
      <c r="AB28" s="50"/>
      <c r="AC28" s="50"/>
      <c r="AD28" s="50"/>
      <c r="AE28" s="50"/>
      <c r="AF28" s="119"/>
      <c r="AG28" s="120"/>
      <c r="AH28" s="121"/>
      <c r="AI28" s="119"/>
      <c r="AJ28" s="120"/>
      <c r="AK28" s="121"/>
      <c r="AL28" s="120"/>
      <c r="AM28" s="120"/>
      <c r="AN28" s="120"/>
      <c r="AO28" s="119"/>
      <c r="AP28" s="121"/>
      <c r="AQ28" s="122"/>
      <c r="AR28" s="119"/>
      <c r="AS28" s="120"/>
      <c r="AT28" s="121"/>
      <c r="AU28" s="119"/>
      <c r="AV28" s="120"/>
      <c r="AW28" s="121"/>
      <c r="AX28" s="119"/>
      <c r="AY28" s="120"/>
      <c r="AZ28" s="121"/>
      <c r="BA28" s="119"/>
      <c r="BB28" s="120"/>
      <c r="BC28" s="121"/>
      <c r="BD28" s="119"/>
      <c r="BE28" s="120"/>
      <c r="BF28" s="121"/>
    </row>
    <row r="29" spans="1:58" s="35" customFormat="1" ht="15.75" customHeight="1" x14ac:dyDescent="0.2">
      <c r="A29" s="123" t="s">
        <v>166</v>
      </c>
      <c r="B29" s="124">
        <f>B26+B28</f>
        <v>2</v>
      </c>
      <c r="C29" s="125"/>
      <c r="D29" s="126"/>
      <c r="E29" s="124"/>
      <c r="F29" s="127"/>
      <c r="G29" s="128"/>
      <c r="H29" s="128"/>
      <c r="I29" s="128"/>
      <c r="J29" s="128"/>
      <c r="K29" s="128"/>
      <c r="L29" s="128"/>
      <c r="M29" s="128"/>
      <c r="N29" s="129"/>
      <c r="O29" s="130"/>
      <c r="P29" s="131"/>
      <c r="Q29" s="131"/>
      <c r="R29" s="131"/>
      <c r="S29" s="131"/>
      <c r="T29" s="131"/>
      <c r="U29" s="132">
        <f t="shared" ref="U29:AP29" si="31">SUM(U3:U27)</f>
        <v>1464778.6598333337</v>
      </c>
      <c r="V29" s="133">
        <f t="shared" si="31"/>
        <v>0</v>
      </c>
      <c r="W29" s="133">
        <f t="shared" si="31"/>
        <v>11250</v>
      </c>
      <c r="X29" s="134">
        <f t="shared" si="31"/>
        <v>15000</v>
      </c>
      <c r="Y29" s="132">
        <f t="shared" si="31"/>
        <v>25856.349880000016</v>
      </c>
      <c r="Z29" s="133">
        <f t="shared" si="31"/>
        <v>21459.870498653334</v>
      </c>
      <c r="AA29" s="133">
        <f t="shared" si="31"/>
        <v>10773.479116666675</v>
      </c>
      <c r="AB29" s="133">
        <f t="shared" si="31"/>
        <v>8267.2176660013338</v>
      </c>
      <c r="AC29" s="133">
        <f t="shared" si="31"/>
        <v>55990.835000000006</v>
      </c>
      <c r="AD29" s="133">
        <f t="shared" si="31"/>
        <v>908195.59033333347</v>
      </c>
      <c r="AE29" s="133">
        <f t="shared" si="31"/>
        <v>0</v>
      </c>
      <c r="AF29" s="135">
        <f t="shared" si="31"/>
        <v>452948.39333333372</v>
      </c>
      <c r="AG29" s="136">
        <f t="shared" si="31"/>
        <v>130272.34383908474</v>
      </c>
      <c r="AH29" s="137">
        <f t="shared" si="31"/>
        <v>96344.476494248738</v>
      </c>
      <c r="AI29" s="135">
        <f t="shared" si="31"/>
        <v>2895190.8233333346</v>
      </c>
      <c r="AJ29" s="138">
        <f t="shared" si="31"/>
        <v>770196.49166840012</v>
      </c>
      <c r="AK29" s="137">
        <f t="shared" si="31"/>
        <v>640832.16816493345</v>
      </c>
      <c r="AL29" s="135">
        <f t="shared" si="31"/>
        <v>0</v>
      </c>
      <c r="AM29" s="138">
        <f t="shared" si="31"/>
        <v>0</v>
      </c>
      <c r="AN29" s="137">
        <f t="shared" si="31"/>
        <v>0</v>
      </c>
      <c r="AO29" s="135">
        <f t="shared" si="31"/>
        <v>1484162.1635000007</v>
      </c>
      <c r="AP29" s="97">
        <f t="shared" si="31"/>
        <v>226331.57300000035</v>
      </c>
      <c r="AQ29" s="96">
        <f>+AF29/AI29</f>
        <v>0.15644854552690188</v>
      </c>
      <c r="AR29" s="135">
        <f>SUM(AR3:AR27)</f>
        <v>908195.59033333347</v>
      </c>
      <c r="AS29" s="138">
        <v>174896.44099999999</v>
      </c>
      <c r="AT29" s="137">
        <f t="shared" ref="AT29:AY29" si="32">SUM(AT3:AT27)</f>
        <v>890473.92366666673</v>
      </c>
      <c r="AU29" s="135">
        <f t="shared" si="32"/>
        <v>86450.167999999991</v>
      </c>
      <c r="AV29" s="138">
        <f t="shared" si="32"/>
        <v>1520.03</v>
      </c>
      <c r="AW29" s="137">
        <f t="shared" si="32"/>
        <v>84930.137999999992</v>
      </c>
      <c r="AX29" s="135">
        <f t="shared" si="32"/>
        <v>89084.10616131335</v>
      </c>
      <c r="AY29" s="138">
        <f t="shared" si="32"/>
        <v>1655.0000000000041</v>
      </c>
      <c r="AZ29" s="137">
        <f>SUM(AZ3:AZ28)</f>
        <v>87429.10616131335</v>
      </c>
      <c r="BA29" s="135">
        <f>SUM(BA3:BA28)</f>
        <v>35231.977664002006</v>
      </c>
      <c r="BB29" s="138">
        <f>SUM(BB3:BB27)</f>
        <v>689.58333333333508</v>
      </c>
      <c r="BC29" s="137">
        <f>SUM(BC3:BC28)</f>
        <v>34542.394330668671</v>
      </c>
      <c r="BD29" s="135">
        <f>SUM(BD3:BD28)</f>
        <v>65450</v>
      </c>
      <c r="BE29" s="138">
        <f>SUM(BE3:BE28)</f>
        <v>0</v>
      </c>
      <c r="BF29" s="137">
        <f>SUM(BF3:BF28)</f>
        <v>0</v>
      </c>
    </row>
    <row r="30" spans="1:58" ht="15" customHeight="1" x14ac:dyDescent="0.2">
      <c r="AF30" s="139">
        <f>AF29-AG29-AH29</f>
        <v>226331.57300000027</v>
      </c>
      <c r="AG30" s="139"/>
      <c r="AH30" s="139"/>
      <c r="AI30" s="139">
        <f>AI29-AJ29-AK29</f>
        <v>1484162.1635000012</v>
      </c>
      <c r="AJ30" s="139"/>
      <c r="AL30" s="50">
        <f>AF30-('Projection P&amp;L'!B12*1000*1.1)</f>
        <v>-229363.34799999977</v>
      </c>
    </row>
    <row r="31" spans="1:58" ht="15" customHeight="1" x14ac:dyDescent="0.2">
      <c r="A31" s="140"/>
      <c r="AF31" s="96"/>
      <c r="AG31" s="96"/>
      <c r="AI31" s="96"/>
    </row>
    <row r="32" spans="1:58" ht="15" customHeight="1" x14ac:dyDescent="0.2">
      <c r="AG32" s="141"/>
      <c r="AH32" s="141"/>
      <c r="AI32" s="141"/>
      <c r="AJ32" s="141"/>
    </row>
    <row r="35" spans="1:57" ht="15" customHeight="1" x14ac:dyDescent="0.2">
      <c r="AI35" s="142"/>
    </row>
    <row r="37" spans="1:57" s="50" customFormat="1" ht="12" customHeight="1" x14ac:dyDescent="0.15">
      <c r="A37" s="47"/>
      <c r="B37" s="48"/>
      <c r="C37" s="49"/>
      <c r="D37" s="49"/>
      <c r="E37" s="48"/>
      <c r="O37" s="51"/>
      <c r="P37" s="51"/>
      <c r="Q37" s="51"/>
      <c r="R37" s="51"/>
      <c r="S37" s="51"/>
      <c r="T37" s="51"/>
      <c r="AF37" s="138"/>
      <c r="AG37" s="138"/>
      <c r="AH37" s="138"/>
      <c r="BC37" s="47"/>
      <c r="BD37" s="47"/>
      <c r="BE37" s="47"/>
    </row>
    <row r="38" spans="1:57" s="50" customFormat="1" ht="12" customHeight="1" x14ac:dyDescent="0.15">
      <c r="A38" s="47"/>
      <c r="B38" s="48"/>
      <c r="C38" s="49"/>
      <c r="D38" s="49"/>
      <c r="E38" s="48"/>
      <c r="O38" s="51"/>
      <c r="P38" s="51"/>
      <c r="Q38" s="51"/>
      <c r="R38" s="51"/>
      <c r="S38" s="51"/>
      <c r="T38" s="51"/>
      <c r="BC38" s="47"/>
      <c r="BD38" s="47"/>
      <c r="BE38" s="47"/>
    </row>
    <row r="39" spans="1:57" s="50" customFormat="1" ht="12" customHeight="1" x14ac:dyDescent="0.15">
      <c r="A39" s="47"/>
      <c r="B39" s="48"/>
      <c r="C39" s="49"/>
      <c r="D39" s="49"/>
      <c r="E39" s="48"/>
      <c r="O39" s="51"/>
      <c r="P39" s="51"/>
      <c r="Q39" s="51"/>
      <c r="R39" s="51"/>
      <c r="S39" s="51"/>
      <c r="T39" s="51"/>
      <c r="BC39" s="47"/>
      <c r="BD39" s="47"/>
      <c r="BE39" s="47"/>
    </row>
    <row r="40" spans="1:57" s="50" customFormat="1" ht="12" customHeight="1" x14ac:dyDescent="0.15">
      <c r="A40" s="47"/>
      <c r="B40" s="48"/>
      <c r="C40" s="49"/>
      <c r="D40" s="49"/>
      <c r="E40" s="48"/>
      <c r="O40" s="51"/>
      <c r="P40" s="51"/>
      <c r="Q40" s="51"/>
      <c r="R40" s="51"/>
      <c r="S40" s="51"/>
      <c r="T40" s="51"/>
      <c r="BC40" s="47"/>
      <c r="BD40" s="47"/>
      <c r="BE40" s="47"/>
    </row>
    <row r="41" spans="1:57" s="50" customFormat="1" ht="12" customHeight="1" x14ac:dyDescent="0.15">
      <c r="A41" s="47"/>
      <c r="B41" s="48"/>
      <c r="C41" s="49"/>
      <c r="D41" s="49"/>
      <c r="E41" s="48"/>
      <c r="O41" s="51"/>
      <c r="P41" s="51"/>
      <c r="Q41" s="51"/>
      <c r="R41" s="51"/>
      <c r="S41" s="51"/>
      <c r="T41" s="51"/>
      <c r="BC41" s="47"/>
      <c r="BD41" s="47"/>
      <c r="BE41" s="47"/>
    </row>
  </sheetData>
  <mergeCells count="11">
    <mergeCell ref="AR1:BF1"/>
    <mergeCell ref="F1:N1"/>
    <mergeCell ref="O1:T1"/>
    <mergeCell ref="U1:X1"/>
    <mergeCell ref="Y1:AE1"/>
    <mergeCell ref="AF1:AH1"/>
    <mergeCell ref="A3:A23"/>
    <mergeCell ref="AI1:AK1"/>
    <mergeCell ref="AL1:AN1"/>
    <mergeCell ref="AO1:AP1"/>
    <mergeCell ref="AQ1:AQ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74"/>
  <sheetViews>
    <sheetView zoomScale="140" zoomScaleNormal="140" workbookViewId="0">
      <pane xSplit="5" ySplit="2" topLeftCell="AD5" activePane="bottomRight" state="frozen"/>
      <selection pane="topRight" activeCell="AD1" sqref="AD1"/>
      <selection pane="bottomLeft" activeCell="A5" sqref="A5"/>
      <selection pane="bottomRight" activeCell="B5" sqref="B5"/>
    </sheetView>
  </sheetViews>
  <sheetFormatPr baseColWidth="10" defaultColWidth="8.83203125" defaultRowHeight="15" x14ac:dyDescent="0.2"/>
  <cols>
    <col min="1" max="1" width="10.5" style="47" customWidth="1"/>
    <col min="2" max="2" width="41.6640625" style="48" customWidth="1"/>
    <col min="3" max="3" width="9.83203125" style="49" customWidth="1"/>
    <col min="4" max="4" width="20.6640625" style="49" customWidth="1"/>
    <col min="5" max="5" width="6.1640625" style="48" customWidth="1"/>
    <col min="6" max="6" width="16.5" style="50" customWidth="1"/>
    <col min="7" max="7" width="10.5" style="50" customWidth="1"/>
    <col min="8" max="8" width="15.1640625" style="50" customWidth="1"/>
    <col min="9" max="9" width="12" style="50" customWidth="1"/>
    <col min="10" max="10" width="11.33203125" style="50" customWidth="1"/>
    <col min="11" max="11" width="9.5" style="50" customWidth="1"/>
    <col min="12" max="12" width="8.83203125" style="50"/>
    <col min="13" max="13" width="10.6640625" style="50" customWidth="1"/>
    <col min="14" max="14" width="9.83203125" style="50" customWidth="1"/>
    <col min="15" max="15" width="8.5" style="51" customWidth="1"/>
    <col min="16" max="16" width="9.5" style="51" customWidth="1"/>
    <col min="17" max="17" width="12.83203125" style="51" customWidth="1"/>
    <col min="18" max="18" width="10.1640625" style="51" customWidth="1"/>
    <col min="19" max="19" width="8.83203125" style="51"/>
    <col min="20" max="20" width="10.6640625" style="51" customWidth="1"/>
    <col min="21" max="21" width="10.1640625" style="50" customWidth="1"/>
    <col min="22" max="22" width="8" style="50" customWidth="1"/>
    <col min="23" max="23" width="8.1640625" style="50" customWidth="1"/>
    <col min="24" max="24" width="10.6640625" style="50" customWidth="1"/>
    <col min="25" max="25" width="8.83203125" style="50"/>
    <col min="26" max="26" width="13.5" style="50" customWidth="1"/>
    <col min="27" max="27" width="11.83203125" style="50" customWidth="1"/>
    <col min="28" max="28" width="8.83203125" style="50"/>
    <col min="29" max="30" width="11.1640625" style="50" customWidth="1"/>
    <col min="31" max="31" width="10.1640625" style="50" customWidth="1"/>
    <col min="32" max="32" width="11.1640625" style="50" customWidth="1"/>
    <col min="33" max="33" width="10.83203125" style="50" customWidth="1"/>
    <col min="34" max="36" width="10.1640625" style="50" customWidth="1"/>
    <col min="37" max="37" width="15.33203125" style="50" customWidth="1"/>
    <col min="38" max="38" width="8.1640625" style="50" customWidth="1"/>
    <col min="39" max="39" width="7.33203125" style="50" customWidth="1"/>
    <col min="40" max="40" width="7.5" style="50" customWidth="1"/>
    <col min="41" max="41" width="15.1640625" style="50" customWidth="1"/>
    <col min="42" max="42" width="9.83203125" style="50" customWidth="1"/>
    <col min="43" max="43" width="8.83203125" style="50"/>
    <col min="44" max="44" width="9.5" style="50" customWidth="1"/>
    <col min="45" max="45" width="8.83203125" style="50"/>
    <col min="46" max="46" width="8.5" style="50" customWidth="1"/>
    <col min="47" max="47" width="9.5" style="50" customWidth="1"/>
    <col min="48" max="48" width="10.1640625" style="50" customWidth="1"/>
    <col min="49" max="49" width="8.83203125" style="50"/>
    <col min="50" max="51" width="7.5" style="50" customWidth="1"/>
    <col min="52" max="52" width="7.83203125" style="50" customWidth="1"/>
    <col min="53" max="53" width="8" style="50" customWidth="1"/>
    <col min="54" max="54" width="8.6640625" style="50" customWidth="1"/>
    <col min="55" max="55" width="10" style="47" customWidth="1"/>
    <col min="56" max="56" width="9.6640625" style="47" customWidth="1"/>
    <col min="57" max="57" width="10" style="47" customWidth="1"/>
  </cols>
  <sheetData>
    <row r="1" spans="1:58" s="35" customFormat="1" ht="15" customHeight="1" x14ac:dyDescent="0.2">
      <c r="A1" s="52"/>
      <c r="B1" s="53"/>
      <c r="C1" s="54"/>
      <c r="D1" s="54"/>
      <c r="E1" s="53"/>
      <c r="F1" s="432" t="s">
        <v>73</v>
      </c>
      <c r="G1" s="432"/>
      <c r="H1" s="432"/>
      <c r="I1" s="432"/>
      <c r="J1" s="432"/>
      <c r="K1" s="432"/>
      <c r="L1" s="432"/>
      <c r="M1" s="432"/>
      <c r="N1" s="432"/>
      <c r="O1" s="433" t="s">
        <v>74</v>
      </c>
      <c r="P1" s="433"/>
      <c r="Q1" s="433"/>
      <c r="R1" s="433"/>
      <c r="S1" s="433"/>
      <c r="T1" s="433"/>
      <c r="U1" s="434" t="s">
        <v>75</v>
      </c>
      <c r="V1" s="434"/>
      <c r="W1" s="434"/>
      <c r="X1" s="434"/>
      <c r="Y1" s="435" t="s">
        <v>76</v>
      </c>
      <c r="Z1" s="435"/>
      <c r="AA1" s="435"/>
      <c r="AB1" s="435"/>
      <c r="AC1" s="435"/>
      <c r="AD1" s="435"/>
      <c r="AE1" s="435"/>
      <c r="AF1" s="430" t="s">
        <v>77</v>
      </c>
      <c r="AG1" s="430"/>
      <c r="AH1" s="430"/>
      <c r="AI1" s="430" t="s">
        <v>78</v>
      </c>
      <c r="AJ1" s="430"/>
      <c r="AK1" s="430"/>
      <c r="AL1" s="430" t="s">
        <v>79</v>
      </c>
      <c r="AM1" s="430"/>
      <c r="AN1" s="430"/>
      <c r="AO1" s="430" t="s">
        <v>80</v>
      </c>
      <c r="AP1" s="430"/>
      <c r="AQ1" s="431" t="s">
        <v>81</v>
      </c>
      <c r="AR1" s="430" t="s">
        <v>82</v>
      </c>
      <c r="AS1" s="430"/>
      <c r="AT1" s="430"/>
      <c r="AU1" s="430"/>
      <c r="AV1" s="430"/>
      <c r="AW1" s="430"/>
      <c r="AX1" s="430"/>
      <c r="AY1" s="430"/>
      <c r="AZ1" s="430"/>
      <c r="BA1" s="430"/>
      <c r="BB1" s="430"/>
      <c r="BC1" s="430"/>
      <c r="BD1" s="430"/>
      <c r="BE1" s="430"/>
      <c r="BF1" s="430"/>
    </row>
    <row r="2" spans="1:58" s="83" customFormat="1" ht="40.5" customHeight="1" x14ac:dyDescent="0.2">
      <c r="A2" s="55" t="s">
        <v>83</v>
      </c>
      <c r="B2" s="56" t="s">
        <v>84</v>
      </c>
      <c r="C2" s="57" t="s">
        <v>85</v>
      </c>
      <c r="D2" s="57" t="s">
        <v>86</v>
      </c>
      <c r="E2" s="56" t="s">
        <v>87</v>
      </c>
      <c r="F2" s="58" t="s">
        <v>88</v>
      </c>
      <c r="G2" s="59" t="s">
        <v>89</v>
      </c>
      <c r="H2" s="59" t="s">
        <v>90</v>
      </c>
      <c r="I2" s="59" t="s">
        <v>91</v>
      </c>
      <c r="J2" s="59" t="s">
        <v>167</v>
      </c>
      <c r="K2" s="59" t="s">
        <v>93</v>
      </c>
      <c r="L2" s="59" t="s">
        <v>94</v>
      </c>
      <c r="M2" s="59" t="s">
        <v>95</v>
      </c>
      <c r="N2" s="60" t="s">
        <v>96</v>
      </c>
      <c r="O2" s="61" t="s">
        <v>97</v>
      </c>
      <c r="P2" s="59" t="s">
        <v>98</v>
      </c>
      <c r="Q2" s="59" t="s">
        <v>99</v>
      </c>
      <c r="R2" s="59" t="s">
        <v>100</v>
      </c>
      <c r="S2" s="59" t="s">
        <v>95</v>
      </c>
      <c r="T2" s="62" t="s">
        <v>96</v>
      </c>
      <c r="U2" s="63" t="s">
        <v>101</v>
      </c>
      <c r="V2" s="64" t="s">
        <v>102</v>
      </c>
      <c r="W2" s="64" t="s">
        <v>103</v>
      </c>
      <c r="X2" s="65" t="s">
        <v>104</v>
      </c>
      <c r="Y2" s="66" t="s">
        <v>105</v>
      </c>
      <c r="Z2" s="67" t="s">
        <v>106</v>
      </c>
      <c r="AA2" s="67" t="s">
        <v>107</v>
      </c>
      <c r="AB2" s="67" t="s">
        <v>108</v>
      </c>
      <c r="AC2" s="67" t="s">
        <v>109</v>
      </c>
      <c r="AD2" s="67" t="s">
        <v>110</v>
      </c>
      <c r="AE2" s="67" t="s">
        <v>111</v>
      </c>
      <c r="AF2" s="68" t="s">
        <v>112</v>
      </c>
      <c r="AG2" s="69" t="s">
        <v>113</v>
      </c>
      <c r="AH2" s="70" t="s">
        <v>168</v>
      </c>
      <c r="AI2" s="68" t="s">
        <v>115</v>
      </c>
      <c r="AJ2" s="69" t="s">
        <v>116</v>
      </c>
      <c r="AK2" s="70" t="s">
        <v>169</v>
      </c>
      <c r="AL2" s="68" t="s">
        <v>115</v>
      </c>
      <c r="AM2" s="69" t="s">
        <v>116</v>
      </c>
      <c r="AN2" s="70" t="s">
        <v>118</v>
      </c>
      <c r="AO2" s="68" t="s">
        <v>119</v>
      </c>
      <c r="AP2" s="70" t="s">
        <v>120</v>
      </c>
      <c r="AQ2" s="431"/>
      <c r="AR2" s="71" t="s">
        <v>121</v>
      </c>
      <c r="AS2" s="72" t="s">
        <v>122</v>
      </c>
      <c r="AT2" s="73" t="s">
        <v>123</v>
      </c>
      <c r="AU2" s="74" t="s">
        <v>124</v>
      </c>
      <c r="AV2" s="75" t="s">
        <v>125</v>
      </c>
      <c r="AW2" s="76" t="s">
        <v>126</v>
      </c>
      <c r="AX2" s="77" t="s">
        <v>127</v>
      </c>
      <c r="AY2" s="78" t="s">
        <v>128</v>
      </c>
      <c r="AZ2" s="79" t="s">
        <v>129</v>
      </c>
      <c r="BA2" s="71" t="s">
        <v>130</v>
      </c>
      <c r="BB2" s="72" t="s">
        <v>131</v>
      </c>
      <c r="BC2" s="73" t="s">
        <v>132</v>
      </c>
      <c r="BD2" s="80" t="s">
        <v>133</v>
      </c>
      <c r="BE2" s="81" t="s">
        <v>134</v>
      </c>
      <c r="BF2" s="82" t="s">
        <v>135</v>
      </c>
    </row>
    <row r="3" spans="1:58" ht="15.75" hidden="1" customHeight="1" x14ac:dyDescent="0.2">
      <c r="A3" s="429"/>
      <c r="B3" s="84" t="s">
        <v>170</v>
      </c>
      <c r="C3" s="85" t="s">
        <v>137</v>
      </c>
      <c r="D3" s="86" t="s">
        <v>171</v>
      </c>
      <c r="E3" s="87">
        <f>VLOOKUP(D3,'% avancement'!$A$4:$B$17,2,FALSE())</f>
        <v>0</v>
      </c>
      <c r="F3" s="88">
        <v>95666.666666666701</v>
      </c>
      <c r="G3" s="89">
        <v>7500</v>
      </c>
      <c r="H3" s="90">
        <f t="shared" ref="H3:H38" si="0">F3+G3-I3</f>
        <v>98166.666666666701</v>
      </c>
      <c r="I3" s="89">
        <v>5000</v>
      </c>
      <c r="J3" s="89">
        <f t="shared" ref="J3:J29" si="1">(F3+G3-I3)*0.06</f>
        <v>5890.0000000000018</v>
      </c>
      <c r="K3" s="89">
        <f t="shared" ref="K3:K29" si="2">(F3+G3-I3)*0.025</f>
        <v>2454.1666666666674</v>
      </c>
      <c r="L3" s="89">
        <v>7828.15</v>
      </c>
      <c r="M3" s="89">
        <f t="shared" ref="M3:M29" si="3">(F3+G3)*0.62</f>
        <v>63963.33333333335</v>
      </c>
      <c r="N3" s="91">
        <v>6000</v>
      </c>
      <c r="O3" s="92"/>
      <c r="P3" s="93"/>
      <c r="Q3" s="93"/>
      <c r="R3" s="93"/>
      <c r="S3" s="93"/>
      <c r="T3" s="93"/>
      <c r="U3" s="94">
        <f t="shared" ref="U3:U38" si="4">IF(C3="oui","",(H3+I3)*E3)</f>
        <v>0</v>
      </c>
      <c r="W3" s="50">
        <f t="shared" ref="W3:W38" si="5">IF(O3="",0,(1-E3)*O3)</f>
        <v>0</v>
      </c>
      <c r="X3" s="95">
        <f t="shared" ref="X3:X38" si="6">IF(O3="",I3*(E3),0)</f>
        <v>0</v>
      </c>
      <c r="Y3" s="94">
        <f t="shared" ref="Y3:Y38" si="7">IF(P3="",+H3*6%*E3,0)</f>
        <v>0</v>
      </c>
      <c r="Z3" s="50">
        <f t="shared" ref="Z3:Z38" si="8">IF(P3="",0,P3*(1-E3))</f>
        <v>0</v>
      </c>
      <c r="AA3" s="50">
        <f t="shared" ref="AA3:AA38" si="9">IF(Q3="",+H3*2.5%*E3,0)</f>
        <v>0</v>
      </c>
      <c r="AB3" s="50">
        <f t="shared" ref="AB3:AB38" si="10">IF(Q3="",0,Q3*(1-E3))</f>
        <v>0</v>
      </c>
      <c r="AC3" s="50">
        <f t="shared" ref="AC3:AC38" si="11">IF(R3="",+L3*E3,(1-E3)*R3)</f>
        <v>0</v>
      </c>
      <c r="AD3" s="50">
        <f t="shared" ref="AD3:AD38" si="12">IF(S3="",M3*E3,S3*E3)</f>
        <v>0</v>
      </c>
      <c r="AF3" s="94">
        <f t="shared" ref="AF3:AF38" si="13">IF(E3="",0,+H3-J3-K3-L3-M3-N3)</f>
        <v>12031.016666666685</v>
      </c>
      <c r="AG3" s="50">
        <f>IFERROR((VLOOKUP(B3,'SUIVI 31.12.24 ALTONEO'!$B$1:$BF$38,33,FALSE())),0)</f>
        <v>0</v>
      </c>
      <c r="AH3" s="95">
        <f t="shared" ref="AH3:AH38" si="14">AF3*E3-AG3</f>
        <v>0</v>
      </c>
      <c r="AI3" s="94">
        <f t="shared" ref="AI3:AI38" si="15">IF(E3="",0,H3)</f>
        <v>98166.666666666701</v>
      </c>
      <c r="AJ3" s="50">
        <f>IFERROR((VLOOKUP(B3,'SUIVI 31.12.24 ALTONEO'!$B$1:$BF$38,36,FALSE())),0)</f>
        <v>0</v>
      </c>
      <c r="AK3" s="95">
        <f t="shared" ref="AK3:AK38" si="16">AI3*E3-AJ3</f>
        <v>0</v>
      </c>
      <c r="AO3" s="94">
        <f t="shared" ref="AO3:AO45" si="17">IF(E3=0,0,AI3-AJ3-AK3)</f>
        <v>0</v>
      </c>
      <c r="AP3" s="95">
        <f t="shared" ref="AP3:AP34" si="18">IF(E3=0,0,AF3-AG3-AH3)</f>
        <v>0</v>
      </c>
      <c r="AQ3" s="96">
        <f t="shared" ref="AQ3:AQ38" si="19">IF(E3="","",+AF3/AI3)</f>
        <v>0.12255704584040761</v>
      </c>
      <c r="AR3" s="94">
        <f t="shared" ref="AR3:AR38" si="20">IF(S3="",M3*E3,S3*E3)</f>
        <v>0</v>
      </c>
      <c r="AS3" s="50">
        <f>IFERROR((VLOOKUP(B3,'SUIVI 31.12.24 ALTONEO'!$B$1:$BF$38,45,FALSE())),0)</f>
        <v>0</v>
      </c>
      <c r="AT3" s="97">
        <f t="shared" ref="AT3:AT38" si="21">+AR3-AS3</f>
        <v>0</v>
      </c>
      <c r="AU3" s="94">
        <f t="shared" ref="AU3:AU38" si="22">+L3*E3</f>
        <v>0</v>
      </c>
      <c r="AV3" s="50">
        <f>IFERROR((VLOOKUP(B3,'SUIVI 31.12.24 ALTONEO'!$B$1:$BF$38,48,FALSE())),0)</f>
        <v>0</v>
      </c>
      <c r="AW3" s="95">
        <f t="shared" ref="AW3:AW38" si="23">+AU3-AV3</f>
        <v>0</v>
      </c>
      <c r="AX3" s="94">
        <f t="shared" ref="AX3:AX38" si="24">IF(P3="",J3*E3,P3-Z3)</f>
        <v>0</v>
      </c>
      <c r="AY3" s="50">
        <f>IFERROR((VLOOKUP(B3,'SUIVI 31.12.24 ALTONEO'!$B$1:$BF$38,51,FALSE())),0)</f>
        <v>0</v>
      </c>
      <c r="AZ3" s="95">
        <f t="shared" ref="AZ3:AZ38" si="25">+AX3-AY3</f>
        <v>0</v>
      </c>
      <c r="BA3" s="94">
        <f t="shared" ref="BA3:BA38" si="26">IF(Q3="",K3*E3,Q3-AB3)</f>
        <v>0</v>
      </c>
      <c r="BB3" s="50">
        <f>IFERROR((VLOOKUP(B3,'SUIVI 31.12.24 ALTONEO'!$B$1:$BF$38,54,FALSE())),0)</f>
        <v>0</v>
      </c>
      <c r="BC3" s="95">
        <f t="shared" ref="BC3:BC38" si="27">+BA3-BB3</f>
        <v>0</v>
      </c>
      <c r="BD3" s="94">
        <f t="shared" ref="BD3:BD38" si="28">+E3*N3</f>
        <v>0</v>
      </c>
      <c r="BE3" s="50">
        <f>IFERROR((VLOOKUP(B3,'SUIVI 31.12.24 ALTONEO'!$B$1:$BF$38,57,FALSE())),0)</f>
        <v>0</v>
      </c>
      <c r="BF3" s="95"/>
    </row>
    <row r="4" spans="1:58" ht="15" hidden="1" customHeight="1" x14ac:dyDescent="0.2">
      <c r="A4" s="429"/>
      <c r="B4" s="84" t="s">
        <v>172</v>
      </c>
      <c r="C4" s="85" t="s">
        <v>137</v>
      </c>
      <c r="D4" s="86" t="s">
        <v>171</v>
      </c>
      <c r="E4" s="87">
        <f>VLOOKUP(D4,'% avancement'!$A$4:$B$17,2,FALSE())</f>
        <v>0</v>
      </c>
      <c r="F4" s="88">
        <v>108416.66666666701</v>
      </c>
      <c r="G4" s="89">
        <v>7500</v>
      </c>
      <c r="H4" s="90">
        <f t="shared" si="0"/>
        <v>110916.66666666701</v>
      </c>
      <c r="I4" s="89">
        <v>5000</v>
      </c>
      <c r="J4" s="89">
        <f t="shared" si="1"/>
        <v>6655.00000000002</v>
      </c>
      <c r="K4" s="89">
        <f t="shared" si="2"/>
        <v>2772.9166666666752</v>
      </c>
      <c r="L4" s="89">
        <v>7828.15</v>
      </c>
      <c r="M4" s="89">
        <f t="shared" si="3"/>
        <v>71868.333333333547</v>
      </c>
      <c r="N4" s="91">
        <v>6000</v>
      </c>
      <c r="O4" s="92"/>
      <c r="P4" s="93"/>
      <c r="Q4" s="93"/>
      <c r="R4" s="93"/>
      <c r="S4" s="93"/>
      <c r="T4" s="93"/>
      <c r="U4" s="94">
        <f t="shared" si="4"/>
        <v>0</v>
      </c>
      <c r="W4" s="50">
        <f t="shared" si="5"/>
        <v>0</v>
      </c>
      <c r="X4" s="95">
        <f t="shared" si="6"/>
        <v>0</v>
      </c>
      <c r="Y4" s="94">
        <f t="shared" si="7"/>
        <v>0</v>
      </c>
      <c r="Z4" s="50">
        <f t="shared" si="8"/>
        <v>0</v>
      </c>
      <c r="AA4" s="50">
        <f t="shared" si="9"/>
        <v>0</v>
      </c>
      <c r="AB4" s="50">
        <f t="shared" si="10"/>
        <v>0</v>
      </c>
      <c r="AC4" s="50">
        <f t="shared" si="11"/>
        <v>0</v>
      </c>
      <c r="AD4" s="50">
        <f t="shared" si="12"/>
        <v>0</v>
      </c>
      <c r="AF4" s="94">
        <f t="shared" si="13"/>
        <v>15792.266666666779</v>
      </c>
      <c r="AG4" s="50">
        <f>IFERROR((VLOOKUP(B4,'SUIVI 31.12.24 ALTONEO'!$B$1:$BF$38,33,FALSE())),0)</f>
        <v>0</v>
      </c>
      <c r="AH4" s="95">
        <f t="shared" si="14"/>
        <v>0</v>
      </c>
      <c r="AI4" s="94">
        <f t="shared" si="15"/>
        <v>110916.66666666701</v>
      </c>
      <c r="AJ4" s="50">
        <f>IFERROR((VLOOKUP(B4,'SUIVI 31.12.24 ALTONEO'!$B$1:$BF$38,36,FALSE())),0)</f>
        <v>0</v>
      </c>
      <c r="AK4" s="95">
        <f t="shared" si="16"/>
        <v>0</v>
      </c>
      <c r="AO4" s="94">
        <f t="shared" si="17"/>
        <v>0</v>
      </c>
      <c r="AP4" s="95">
        <f t="shared" si="18"/>
        <v>0</v>
      </c>
      <c r="AQ4" s="96">
        <f t="shared" si="19"/>
        <v>0.14237956423741605</v>
      </c>
      <c r="AR4" s="94">
        <f t="shared" si="20"/>
        <v>0</v>
      </c>
      <c r="AS4" s="50">
        <f>IFERROR((VLOOKUP(B4,'SUIVI 31.12.24 ALTONEO'!$B$1:$BF$38,45,FALSE())),0)</f>
        <v>0</v>
      </c>
      <c r="AT4" s="97">
        <f t="shared" si="21"/>
        <v>0</v>
      </c>
      <c r="AU4" s="94">
        <f t="shared" si="22"/>
        <v>0</v>
      </c>
      <c r="AV4" s="50">
        <f>IFERROR((VLOOKUP(B4,'SUIVI 31.12.24 ALTONEO'!$B$1:$BF$38,48,FALSE())),0)</f>
        <v>0</v>
      </c>
      <c r="AW4" s="95">
        <f t="shared" si="23"/>
        <v>0</v>
      </c>
      <c r="AX4" s="94">
        <f t="shared" si="24"/>
        <v>0</v>
      </c>
      <c r="AY4" s="50">
        <f>IFERROR((VLOOKUP(B4,'SUIVI 31.12.24 ALTONEO'!$B$1:$BF$38,51,FALSE())),0)</f>
        <v>0</v>
      </c>
      <c r="AZ4" s="95">
        <f t="shared" si="25"/>
        <v>0</v>
      </c>
      <c r="BA4" s="94">
        <f t="shared" si="26"/>
        <v>0</v>
      </c>
      <c r="BB4" s="50">
        <f>IFERROR((VLOOKUP(B4,'SUIVI 31.12.24 ALTONEO'!$B$1:$BF$38,54,FALSE())),0)</f>
        <v>0</v>
      </c>
      <c r="BC4" s="95">
        <f t="shared" si="27"/>
        <v>0</v>
      </c>
      <c r="BD4" s="94">
        <f t="shared" si="28"/>
        <v>0</v>
      </c>
      <c r="BE4" s="50">
        <f>IFERROR((VLOOKUP(B4,'SUIVI 31.12.24 ALTONEO'!$B$1:$BF$38,57,FALSE())),0)</f>
        <v>0</v>
      </c>
      <c r="BF4" s="95"/>
    </row>
    <row r="5" spans="1:58" ht="15.75" customHeight="1" x14ac:dyDescent="0.2">
      <c r="A5" s="429"/>
      <c r="B5" s="84" t="s">
        <v>136</v>
      </c>
      <c r="C5" s="85" t="s">
        <v>137</v>
      </c>
      <c r="D5" s="86" t="s">
        <v>138</v>
      </c>
      <c r="E5" s="87">
        <f>VLOOKUP(D5,'% avancement'!$A$4:$B$17,2,FALSE())</f>
        <v>0.25</v>
      </c>
      <c r="F5" s="88">
        <v>125666.66666666701</v>
      </c>
      <c r="G5" s="89">
        <v>7500</v>
      </c>
      <c r="H5" s="90">
        <f t="shared" si="0"/>
        <v>128166.66666666701</v>
      </c>
      <c r="I5" s="89">
        <v>5000</v>
      </c>
      <c r="J5" s="89">
        <f t="shared" si="1"/>
        <v>7690.00000000002</v>
      </c>
      <c r="K5" s="89">
        <f t="shared" si="2"/>
        <v>3204.1666666666752</v>
      </c>
      <c r="L5" s="89">
        <v>7828.15</v>
      </c>
      <c r="M5" s="89">
        <f t="shared" si="3"/>
        <v>82563.333333333547</v>
      </c>
      <c r="N5" s="91">
        <v>6000</v>
      </c>
      <c r="O5" s="92"/>
      <c r="P5" s="93"/>
      <c r="Q5" s="93"/>
      <c r="R5" s="93"/>
      <c r="S5" s="93"/>
      <c r="T5" s="93"/>
      <c r="U5" s="94">
        <f t="shared" si="4"/>
        <v>33291.666666666752</v>
      </c>
      <c r="W5" s="50">
        <f t="shared" si="5"/>
        <v>0</v>
      </c>
      <c r="X5" s="95">
        <f t="shared" si="6"/>
        <v>1250</v>
      </c>
      <c r="Y5" s="94">
        <f t="shared" si="7"/>
        <v>1922.500000000005</v>
      </c>
      <c r="Z5" s="50">
        <f t="shared" si="8"/>
        <v>0</v>
      </c>
      <c r="AA5" s="50">
        <f t="shared" si="9"/>
        <v>801.04166666666879</v>
      </c>
      <c r="AB5" s="50">
        <f t="shared" si="10"/>
        <v>0</v>
      </c>
      <c r="AC5" s="50">
        <f t="shared" si="11"/>
        <v>1957.0374999999999</v>
      </c>
      <c r="AD5" s="50">
        <f t="shared" si="12"/>
        <v>20640.833333333387</v>
      </c>
      <c r="AF5" s="94">
        <f t="shared" si="13"/>
        <v>20881.016666666779</v>
      </c>
      <c r="AG5" s="50">
        <f>IFERROR((VLOOKUP(B5,'SUIVI 31.12.24 ALTONEO'!$B$1:$BF$38,33,FALSE())),0)</f>
        <v>0</v>
      </c>
      <c r="AH5" s="95">
        <f t="shared" si="14"/>
        <v>5220.2541666666948</v>
      </c>
      <c r="AI5" s="94">
        <f t="shared" si="15"/>
        <v>128166.66666666701</v>
      </c>
      <c r="AJ5" s="50">
        <f>IFERROR((VLOOKUP(B5,'SUIVI 31.12.24 ALTONEO'!$B$1:$BF$38,36,FALSE())),0)</f>
        <v>0</v>
      </c>
      <c r="AK5" s="95">
        <f t="shared" si="16"/>
        <v>32041.666666666752</v>
      </c>
      <c r="AO5" s="94">
        <f t="shared" si="17"/>
        <v>96125.000000000262</v>
      </c>
      <c r="AP5" s="95">
        <f t="shared" si="18"/>
        <v>15660.762500000084</v>
      </c>
      <c r="AQ5" s="96">
        <f t="shared" si="19"/>
        <v>0.162920806241873</v>
      </c>
      <c r="AR5" s="94">
        <f t="shared" si="20"/>
        <v>20640.833333333387</v>
      </c>
      <c r="AS5" s="50">
        <f>IFERROR((VLOOKUP(B5,'SUIVI 31.12.24 ALTONEO'!$B$1:$BF$38,45,FALSE())),0)</f>
        <v>0</v>
      </c>
      <c r="AT5" s="97">
        <f t="shared" si="21"/>
        <v>20640.833333333387</v>
      </c>
      <c r="AU5" s="94">
        <f t="shared" si="22"/>
        <v>1957.0374999999999</v>
      </c>
      <c r="AV5" s="50">
        <f>IFERROR((VLOOKUP(B5,'SUIVI 31.12.24 ALTONEO'!$B$1:$BF$38,48,FALSE())),0)</f>
        <v>0</v>
      </c>
      <c r="AW5" s="95">
        <f t="shared" si="23"/>
        <v>1957.0374999999999</v>
      </c>
      <c r="AX5" s="94">
        <f t="shared" si="24"/>
        <v>1922.500000000005</v>
      </c>
      <c r="AY5" s="50">
        <f>IFERROR((VLOOKUP(B5,'SUIVI 31.12.24 ALTONEO'!$B$1:$BF$38,51,FALSE())),0)</f>
        <v>0</v>
      </c>
      <c r="AZ5" s="95">
        <f t="shared" si="25"/>
        <v>1922.500000000005</v>
      </c>
      <c r="BA5" s="94">
        <f t="shared" si="26"/>
        <v>801.04166666666879</v>
      </c>
      <c r="BB5" s="50">
        <f>IFERROR((VLOOKUP(B5,'SUIVI 31.12.24 ALTONEO'!$B$1:$BF$38,54,FALSE())),0)</f>
        <v>0</v>
      </c>
      <c r="BC5" s="95">
        <f t="shared" si="27"/>
        <v>801.04166666666879</v>
      </c>
      <c r="BD5" s="94">
        <f t="shared" si="28"/>
        <v>1500</v>
      </c>
      <c r="BE5" s="50">
        <f>IFERROR((VLOOKUP(B5,'SUIVI 31.12.24 ALTONEO'!$B$1:$BF$38,57,FALSE())),0)</f>
        <v>0</v>
      </c>
      <c r="BF5" s="95"/>
    </row>
    <row r="6" spans="1:58" ht="15" hidden="1" customHeight="1" x14ac:dyDescent="0.2">
      <c r="A6" s="429"/>
      <c r="B6" s="84" t="s">
        <v>139</v>
      </c>
      <c r="C6" s="85" t="s">
        <v>137</v>
      </c>
      <c r="D6" s="86" t="s">
        <v>171</v>
      </c>
      <c r="E6" s="87">
        <f>VLOOKUP(D6,'% avancement'!$A$4:$B$17,2,FALSE())</f>
        <v>0</v>
      </c>
      <c r="F6" s="88">
        <v>146083.33333333299</v>
      </c>
      <c r="G6" s="89">
        <v>7500</v>
      </c>
      <c r="H6" s="90">
        <f t="shared" si="0"/>
        <v>148583.33333333299</v>
      </c>
      <c r="I6" s="89">
        <v>5000</v>
      </c>
      <c r="J6" s="89">
        <f t="shared" si="1"/>
        <v>8914.99999999998</v>
      </c>
      <c r="K6" s="89">
        <f t="shared" si="2"/>
        <v>3714.5833333333248</v>
      </c>
      <c r="L6" s="89">
        <v>7828.15</v>
      </c>
      <c r="M6" s="89">
        <f t="shared" si="3"/>
        <v>95221.666666666453</v>
      </c>
      <c r="N6" s="91">
        <v>6000</v>
      </c>
      <c r="O6" s="92"/>
      <c r="P6" s="93"/>
      <c r="Q6" s="93"/>
      <c r="R6" s="93"/>
      <c r="S6" s="93"/>
      <c r="T6" s="93"/>
      <c r="U6" s="94">
        <f t="shared" si="4"/>
        <v>0</v>
      </c>
      <c r="W6" s="50">
        <f t="shared" si="5"/>
        <v>0</v>
      </c>
      <c r="X6" s="95">
        <f t="shared" si="6"/>
        <v>0</v>
      </c>
      <c r="Y6" s="94">
        <f t="shared" si="7"/>
        <v>0</v>
      </c>
      <c r="Z6" s="50">
        <f t="shared" si="8"/>
        <v>0</v>
      </c>
      <c r="AA6" s="50">
        <f t="shared" si="9"/>
        <v>0</v>
      </c>
      <c r="AB6" s="50">
        <f t="shared" si="10"/>
        <v>0</v>
      </c>
      <c r="AC6" s="50">
        <f t="shared" si="11"/>
        <v>0</v>
      </c>
      <c r="AD6" s="50">
        <f t="shared" si="12"/>
        <v>0</v>
      </c>
      <c r="AF6" s="94">
        <f t="shared" si="13"/>
        <v>26903.933333333262</v>
      </c>
      <c r="AG6" s="50">
        <f>IFERROR((VLOOKUP(B6,'SUIVI 31.12.24 ALTONEO'!$B$1:$BF$38,33,FALSE())),0)</f>
        <v>0</v>
      </c>
      <c r="AH6" s="95">
        <f t="shared" si="14"/>
        <v>0</v>
      </c>
      <c r="AI6" s="94">
        <f t="shared" si="15"/>
        <v>148583.33333333299</v>
      </c>
      <c r="AJ6" s="50">
        <f>IFERROR((VLOOKUP(B6,'SUIVI 31.12.24 ALTONEO'!$B$1:$BF$38,36,FALSE())),0)</f>
        <v>0</v>
      </c>
      <c r="AK6" s="95">
        <f t="shared" si="16"/>
        <v>0</v>
      </c>
      <c r="AO6" s="94">
        <f t="shared" si="17"/>
        <v>0</v>
      </c>
      <c r="AP6" s="95">
        <f t="shared" si="18"/>
        <v>0</v>
      </c>
      <c r="AQ6" s="96">
        <f t="shared" si="19"/>
        <v>0.1810696578799775</v>
      </c>
      <c r="AR6" s="94">
        <f t="shared" si="20"/>
        <v>0</v>
      </c>
      <c r="AS6" s="50">
        <f>IFERROR((VLOOKUP(B6,'SUIVI 31.12.24 ALTONEO'!$B$1:$BF$38,45,FALSE())),0)</f>
        <v>0</v>
      </c>
      <c r="AT6" s="97">
        <f t="shared" si="21"/>
        <v>0</v>
      </c>
      <c r="AU6" s="94">
        <f t="shared" si="22"/>
        <v>0</v>
      </c>
      <c r="AV6" s="50">
        <f>IFERROR((VLOOKUP(B6,'SUIVI 31.12.24 ALTONEO'!$B$1:$BF$38,48,FALSE())),0)</f>
        <v>0</v>
      </c>
      <c r="AW6" s="95">
        <f t="shared" si="23"/>
        <v>0</v>
      </c>
      <c r="AX6" s="94">
        <f t="shared" si="24"/>
        <v>0</v>
      </c>
      <c r="AY6" s="50">
        <f>IFERROR((VLOOKUP(B6,'SUIVI 31.12.24 ALTONEO'!$B$1:$BF$38,51,FALSE())),0)</f>
        <v>0</v>
      </c>
      <c r="AZ6" s="95">
        <f t="shared" si="25"/>
        <v>0</v>
      </c>
      <c r="BA6" s="94">
        <f t="shared" si="26"/>
        <v>0</v>
      </c>
      <c r="BB6" s="50">
        <f>IFERROR((VLOOKUP(B6,'SUIVI 31.12.24 ALTONEO'!$B$1:$BF$38,54,FALSE())),0)</f>
        <v>0</v>
      </c>
      <c r="BC6" s="95">
        <f t="shared" si="27"/>
        <v>0</v>
      </c>
      <c r="BD6" s="94">
        <f t="shared" si="28"/>
        <v>0</v>
      </c>
      <c r="BE6" s="50">
        <f>IFERROR((VLOOKUP(B6,'SUIVI 31.12.24 ALTONEO'!$B$1:$BF$38,57,FALSE())),0)</f>
        <v>0</v>
      </c>
      <c r="BF6" s="95"/>
    </row>
    <row r="7" spans="1:58" ht="15" hidden="1" customHeight="1" x14ac:dyDescent="0.2">
      <c r="A7" s="429"/>
      <c r="B7" s="84" t="s">
        <v>173</v>
      </c>
      <c r="C7" s="85" t="s">
        <v>137</v>
      </c>
      <c r="D7" s="86" t="s">
        <v>171</v>
      </c>
      <c r="E7" s="87">
        <f>VLOOKUP(D7,'% avancement'!$A$4:$B$17,2,FALSE())</f>
        <v>0</v>
      </c>
      <c r="F7" s="88">
        <v>120583.33333333299</v>
      </c>
      <c r="G7" s="89">
        <v>7500</v>
      </c>
      <c r="H7" s="90">
        <f t="shared" si="0"/>
        <v>123083.33333333299</v>
      </c>
      <c r="I7" s="89">
        <v>5000</v>
      </c>
      <c r="J7" s="89">
        <f t="shared" si="1"/>
        <v>7384.9999999999791</v>
      </c>
      <c r="K7" s="89">
        <f t="shared" si="2"/>
        <v>3077.0833333333248</v>
      </c>
      <c r="L7" s="89">
        <v>7828.15</v>
      </c>
      <c r="M7" s="89">
        <f t="shared" si="3"/>
        <v>79411.666666666453</v>
      </c>
      <c r="N7" s="91">
        <v>6000</v>
      </c>
      <c r="O7" s="92"/>
      <c r="P7" s="93"/>
      <c r="Q7" s="93"/>
      <c r="R7" s="93"/>
      <c r="S7" s="93"/>
      <c r="T7" s="93"/>
      <c r="U7" s="94">
        <f t="shared" si="4"/>
        <v>0</v>
      </c>
      <c r="W7" s="50">
        <f t="shared" si="5"/>
        <v>0</v>
      </c>
      <c r="X7" s="95">
        <f t="shared" si="6"/>
        <v>0</v>
      </c>
      <c r="Y7" s="94">
        <f t="shared" si="7"/>
        <v>0</v>
      </c>
      <c r="Z7" s="50">
        <f t="shared" si="8"/>
        <v>0</v>
      </c>
      <c r="AA7" s="50">
        <f t="shared" si="9"/>
        <v>0</v>
      </c>
      <c r="AB7" s="50">
        <f t="shared" si="10"/>
        <v>0</v>
      </c>
      <c r="AC7" s="50">
        <f t="shared" si="11"/>
        <v>0</v>
      </c>
      <c r="AD7" s="50">
        <f t="shared" si="12"/>
        <v>0</v>
      </c>
      <c r="AF7" s="94">
        <f t="shared" si="13"/>
        <v>19381.433333333232</v>
      </c>
      <c r="AG7" s="50">
        <f>IFERROR((VLOOKUP(B7,'SUIVI 31.12.24 ALTONEO'!$B$1:$BF$38,33,FALSE())),0)</f>
        <v>0</v>
      </c>
      <c r="AH7" s="95">
        <f t="shared" si="14"/>
        <v>0</v>
      </c>
      <c r="AI7" s="94">
        <f t="shared" si="15"/>
        <v>123083.33333333299</v>
      </c>
      <c r="AJ7" s="50">
        <f>IFERROR((VLOOKUP(B7,'SUIVI 31.12.24 ALTONEO'!$B$1:$BF$38,36,FALSE())),0)</f>
        <v>0</v>
      </c>
      <c r="AK7" s="95">
        <f t="shared" si="16"/>
        <v>0</v>
      </c>
      <c r="AO7" s="94">
        <f t="shared" si="17"/>
        <v>0</v>
      </c>
      <c r="AP7" s="95">
        <f t="shared" si="18"/>
        <v>0</v>
      </c>
      <c r="AQ7" s="96">
        <f t="shared" si="19"/>
        <v>0.15746594448205783</v>
      </c>
      <c r="AR7" s="94">
        <f t="shared" si="20"/>
        <v>0</v>
      </c>
      <c r="AS7" s="50">
        <f>IFERROR((VLOOKUP(B7,'SUIVI 31.12.24 ALTONEO'!$B$1:$BF$38,45,FALSE())),0)</f>
        <v>0</v>
      </c>
      <c r="AT7" s="97">
        <f t="shared" si="21"/>
        <v>0</v>
      </c>
      <c r="AU7" s="94">
        <f t="shared" si="22"/>
        <v>0</v>
      </c>
      <c r="AV7" s="50">
        <f>IFERROR((VLOOKUP(B7,'SUIVI 31.12.24 ALTONEO'!$B$1:$BF$38,48,FALSE())),0)</f>
        <v>0</v>
      </c>
      <c r="AW7" s="95">
        <f t="shared" si="23"/>
        <v>0</v>
      </c>
      <c r="AX7" s="94">
        <f t="shared" si="24"/>
        <v>0</v>
      </c>
      <c r="AY7" s="50">
        <f>IFERROR((VLOOKUP(B7,'SUIVI 31.12.24 ALTONEO'!$B$1:$BF$38,51,FALSE())),0)</f>
        <v>0</v>
      </c>
      <c r="AZ7" s="95">
        <f t="shared" si="25"/>
        <v>0</v>
      </c>
      <c r="BA7" s="94">
        <f t="shared" si="26"/>
        <v>0</v>
      </c>
      <c r="BB7" s="50">
        <f>IFERROR((VLOOKUP(B7,'SUIVI 31.12.24 ALTONEO'!$B$1:$BF$38,54,FALSE())),0)</f>
        <v>0</v>
      </c>
      <c r="BC7" s="95">
        <f t="shared" si="27"/>
        <v>0</v>
      </c>
      <c r="BD7" s="94">
        <f t="shared" si="28"/>
        <v>0</v>
      </c>
      <c r="BE7" s="50">
        <f>IFERROR((VLOOKUP(B7,'SUIVI 31.12.24 ALTONEO'!$B$1:$BF$38,57,FALSE())),0)</f>
        <v>0</v>
      </c>
      <c r="BF7" s="95"/>
    </row>
    <row r="8" spans="1:58" ht="15" hidden="1" customHeight="1" x14ac:dyDescent="0.2">
      <c r="A8" s="429"/>
      <c r="B8" s="84" t="s">
        <v>174</v>
      </c>
      <c r="C8" s="85" t="s">
        <v>137</v>
      </c>
      <c r="D8" s="86" t="s">
        <v>171</v>
      </c>
      <c r="E8" s="87">
        <f>VLOOKUP(D8,'% avancement'!$A$4:$B$17,2,FALSE())</f>
        <v>0</v>
      </c>
      <c r="F8" s="88">
        <v>161583.33333333299</v>
      </c>
      <c r="G8" s="89">
        <v>7500</v>
      </c>
      <c r="H8" s="90">
        <f t="shared" si="0"/>
        <v>164083.33333333299</v>
      </c>
      <c r="I8" s="89">
        <v>5000</v>
      </c>
      <c r="J8" s="89">
        <f t="shared" si="1"/>
        <v>9844.99999999998</v>
      </c>
      <c r="K8" s="89">
        <f t="shared" si="2"/>
        <v>4102.0833333333248</v>
      </c>
      <c r="L8" s="89">
        <v>7828.15</v>
      </c>
      <c r="M8" s="89">
        <f t="shared" si="3"/>
        <v>104831.66666666645</v>
      </c>
      <c r="N8" s="91">
        <v>6000</v>
      </c>
      <c r="O8" s="92"/>
      <c r="P8" s="93"/>
      <c r="Q8" s="93"/>
      <c r="R8" s="93"/>
      <c r="S8" s="93"/>
      <c r="T8" s="93"/>
      <c r="U8" s="94">
        <f t="shared" si="4"/>
        <v>0</v>
      </c>
      <c r="W8" s="50">
        <f t="shared" si="5"/>
        <v>0</v>
      </c>
      <c r="X8" s="95">
        <f t="shared" si="6"/>
        <v>0</v>
      </c>
      <c r="Y8" s="94">
        <f t="shared" si="7"/>
        <v>0</v>
      </c>
      <c r="Z8" s="50">
        <f t="shared" si="8"/>
        <v>0</v>
      </c>
      <c r="AA8" s="50">
        <f t="shared" si="9"/>
        <v>0</v>
      </c>
      <c r="AB8" s="50">
        <f t="shared" si="10"/>
        <v>0</v>
      </c>
      <c r="AC8" s="50">
        <f t="shared" si="11"/>
        <v>0</v>
      </c>
      <c r="AD8" s="50">
        <f t="shared" si="12"/>
        <v>0</v>
      </c>
      <c r="AF8" s="94">
        <f t="shared" si="13"/>
        <v>31476.433333333262</v>
      </c>
      <c r="AG8" s="50">
        <f>IFERROR((VLOOKUP(B8,'SUIVI 31.12.24 ALTONEO'!$B$1:$BF$38,33,FALSE())),0)</f>
        <v>0</v>
      </c>
      <c r="AH8" s="95">
        <f t="shared" si="14"/>
        <v>0</v>
      </c>
      <c r="AI8" s="94">
        <f t="shared" si="15"/>
        <v>164083.33333333299</v>
      </c>
      <c r="AJ8" s="50">
        <f>IFERROR((VLOOKUP(B8,'SUIVI 31.12.24 ALTONEO'!$B$1:$BF$38,36,FALSE())),0)</f>
        <v>0</v>
      </c>
      <c r="AK8" s="95">
        <f t="shared" si="16"/>
        <v>0</v>
      </c>
      <c r="AO8" s="94">
        <f t="shared" si="17"/>
        <v>0</v>
      </c>
      <c r="AP8" s="95">
        <f t="shared" si="18"/>
        <v>0</v>
      </c>
      <c r="AQ8" s="96">
        <f t="shared" si="19"/>
        <v>0.19183199593702382</v>
      </c>
      <c r="AR8" s="94">
        <f t="shared" si="20"/>
        <v>0</v>
      </c>
      <c r="AS8" s="50">
        <f>IFERROR((VLOOKUP(B8,'SUIVI 31.12.24 ALTONEO'!$B$1:$BF$38,45,FALSE())),0)</f>
        <v>0</v>
      </c>
      <c r="AT8" s="97">
        <f t="shared" si="21"/>
        <v>0</v>
      </c>
      <c r="AU8" s="94">
        <f t="shared" si="22"/>
        <v>0</v>
      </c>
      <c r="AV8" s="50">
        <f>IFERROR((VLOOKUP(B8,'SUIVI 31.12.24 ALTONEO'!$B$1:$BF$38,48,FALSE())),0)</f>
        <v>0</v>
      </c>
      <c r="AW8" s="95">
        <f t="shared" si="23"/>
        <v>0</v>
      </c>
      <c r="AX8" s="94">
        <f t="shared" si="24"/>
        <v>0</v>
      </c>
      <c r="AY8" s="50">
        <f>IFERROR((VLOOKUP(B8,'SUIVI 31.12.24 ALTONEO'!$B$1:$BF$38,51,FALSE())),0)</f>
        <v>0</v>
      </c>
      <c r="AZ8" s="95">
        <f t="shared" si="25"/>
        <v>0</v>
      </c>
      <c r="BA8" s="94">
        <f t="shared" si="26"/>
        <v>0</v>
      </c>
      <c r="BB8" s="50">
        <f>IFERROR((VLOOKUP(B8,'SUIVI 31.12.24 ALTONEO'!$B$1:$BF$38,54,FALSE())),0)</f>
        <v>0</v>
      </c>
      <c r="BC8" s="95">
        <f t="shared" si="27"/>
        <v>0</v>
      </c>
      <c r="BD8" s="94">
        <f t="shared" si="28"/>
        <v>0</v>
      </c>
      <c r="BE8" s="50">
        <f>IFERROR((VLOOKUP(B8,'SUIVI 31.12.24 ALTONEO'!$B$1:$BF$38,57,FALSE())),0)</f>
        <v>0</v>
      </c>
      <c r="BF8" s="95"/>
    </row>
    <row r="9" spans="1:58" ht="15" hidden="1" customHeight="1" x14ac:dyDescent="0.2">
      <c r="A9" s="429"/>
      <c r="B9" s="84" t="s">
        <v>175</v>
      </c>
      <c r="C9" s="85" t="s">
        <v>137</v>
      </c>
      <c r="D9" s="86" t="s">
        <v>171</v>
      </c>
      <c r="E9" s="87">
        <f>VLOOKUP(D9,'% avancement'!$A$4:$B$17,2,FALSE())</f>
        <v>0</v>
      </c>
      <c r="F9" s="88">
        <v>125416.66666666701</v>
      </c>
      <c r="G9" s="89">
        <v>7500</v>
      </c>
      <c r="H9" s="90">
        <f t="shared" si="0"/>
        <v>127916.66666666701</v>
      </c>
      <c r="I9" s="89">
        <v>5000</v>
      </c>
      <c r="J9" s="89">
        <f t="shared" si="1"/>
        <v>7675.00000000002</v>
      </c>
      <c r="K9" s="89">
        <f t="shared" si="2"/>
        <v>3197.9166666666752</v>
      </c>
      <c r="L9" s="89">
        <v>7828.15</v>
      </c>
      <c r="M9" s="89">
        <f t="shared" si="3"/>
        <v>82408.333333333547</v>
      </c>
      <c r="N9" s="91">
        <v>6000</v>
      </c>
      <c r="O9" s="92"/>
      <c r="P9" s="93"/>
      <c r="Q9" s="93"/>
      <c r="R9" s="93"/>
      <c r="S9" s="93"/>
      <c r="T9" s="93"/>
      <c r="U9" s="94">
        <f t="shared" si="4"/>
        <v>0</v>
      </c>
      <c r="W9" s="50">
        <f t="shared" si="5"/>
        <v>0</v>
      </c>
      <c r="X9" s="95">
        <f t="shared" si="6"/>
        <v>0</v>
      </c>
      <c r="Y9" s="94">
        <f t="shared" si="7"/>
        <v>0</v>
      </c>
      <c r="Z9" s="50">
        <f t="shared" si="8"/>
        <v>0</v>
      </c>
      <c r="AA9" s="50">
        <f t="shared" si="9"/>
        <v>0</v>
      </c>
      <c r="AB9" s="50">
        <f t="shared" si="10"/>
        <v>0</v>
      </c>
      <c r="AC9" s="50">
        <f t="shared" si="11"/>
        <v>0</v>
      </c>
      <c r="AD9" s="50">
        <f t="shared" si="12"/>
        <v>0</v>
      </c>
      <c r="AF9" s="94">
        <f t="shared" si="13"/>
        <v>20807.266666666779</v>
      </c>
      <c r="AG9" s="50">
        <f>IFERROR((VLOOKUP(B9,'SUIVI 31.12.24 ALTONEO'!$B$1:$BF$38,33,FALSE())),0)</f>
        <v>0</v>
      </c>
      <c r="AH9" s="95">
        <f t="shared" si="14"/>
        <v>0</v>
      </c>
      <c r="AI9" s="94">
        <f t="shared" si="15"/>
        <v>127916.66666666701</v>
      </c>
      <c r="AJ9" s="50">
        <f>IFERROR((VLOOKUP(B9,'SUIVI 31.12.24 ALTONEO'!$B$1:$BF$38,36,FALSE())),0)</f>
        <v>0</v>
      </c>
      <c r="AK9" s="95">
        <f t="shared" si="16"/>
        <v>0</v>
      </c>
      <c r="AO9" s="94">
        <f t="shared" si="17"/>
        <v>0</v>
      </c>
      <c r="AP9" s="95">
        <f t="shared" si="18"/>
        <v>0</v>
      </c>
      <c r="AQ9" s="96">
        <f t="shared" si="19"/>
        <v>0.16266267100977244</v>
      </c>
      <c r="AR9" s="94">
        <f t="shared" si="20"/>
        <v>0</v>
      </c>
      <c r="AS9" s="50">
        <f>IFERROR((VLOOKUP(B9,'SUIVI 31.12.24 ALTONEO'!$B$1:$BF$38,45,FALSE())),0)</f>
        <v>0</v>
      </c>
      <c r="AT9" s="97">
        <f t="shared" si="21"/>
        <v>0</v>
      </c>
      <c r="AU9" s="94">
        <f t="shared" si="22"/>
        <v>0</v>
      </c>
      <c r="AV9" s="50">
        <f>IFERROR((VLOOKUP(B9,'SUIVI 31.12.24 ALTONEO'!$B$1:$BF$38,48,FALSE())),0)</f>
        <v>0</v>
      </c>
      <c r="AW9" s="95">
        <f t="shared" si="23"/>
        <v>0</v>
      </c>
      <c r="AX9" s="94">
        <f t="shared" si="24"/>
        <v>0</v>
      </c>
      <c r="AY9" s="50">
        <f>IFERROR((VLOOKUP(B9,'SUIVI 31.12.24 ALTONEO'!$B$1:$BF$38,51,FALSE())),0)</f>
        <v>0</v>
      </c>
      <c r="AZ9" s="95">
        <f t="shared" si="25"/>
        <v>0</v>
      </c>
      <c r="BA9" s="94">
        <f t="shared" si="26"/>
        <v>0</v>
      </c>
      <c r="BB9" s="50">
        <f>IFERROR((VLOOKUP(B9,'SUIVI 31.12.24 ALTONEO'!$B$1:$BF$38,54,FALSE())),0)</f>
        <v>0</v>
      </c>
      <c r="BC9" s="95">
        <f t="shared" si="27"/>
        <v>0</v>
      </c>
      <c r="BD9" s="94">
        <f t="shared" si="28"/>
        <v>0</v>
      </c>
      <c r="BE9" s="50">
        <f>IFERROR((VLOOKUP(B9,'SUIVI 31.12.24 ALTONEO'!$B$1:$BF$38,57,FALSE())),0)</f>
        <v>0</v>
      </c>
      <c r="BF9" s="95"/>
    </row>
    <row r="10" spans="1:58" ht="15" hidden="1" customHeight="1" x14ac:dyDescent="0.2">
      <c r="A10" s="429"/>
      <c r="B10" s="84" t="s">
        <v>176</v>
      </c>
      <c r="C10" s="85" t="s">
        <v>137</v>
      </c>
      <c r="D10" s="86" t="s">
        <v>171</v>
      </c>
      <c r="E10" s="87">
        <f>VLOOKUP(D10,'% avancement'!$A$4:$B$17,2,FALSE())</f>
        <v>0</v>
      </c>
      <c r="F10" s="88">
        <v>124000</v>
      </c>
      <c r="G10" s="89">
        <v>7500</v>
      </c>
      <c r="H10" s="90">
        <f t="shared" si="0"/>
        <v>126500</v>
      </c>
      <c r="I10" s="89">
        <v>5000</v>
      </c>
      <c r="J10" s="89">
        <f t="shared" si="1"/>
        <v>7590</v>
      </c>
      <c r="K10" s="89">
        <f t="shared" si="2"/>
        <v>3162.5</v>
      </c>
      <c r="L10" s="89">
        <v>7828.15</v>
      </c>
      <c r="M10" s="89">
        <f t="shared" si="3"/>
        <v>81530</v>
      </c>
      <c r="N10" s="91">
        <v>6000</v>
      </c>
      <c r="O10" s="92"/>
      <c r="P10" s="93"/>
      <c r="Q10" s="93"/>
      <c r="R10" s="93"/>
      <c r="S10" s="93"/>
      <c r="T10" s="93"/>
      <c r="U10" s="94">
        <f t="shared" si="4"/>
        <v>0</v>
      </c>
      <c r="W10" s="50">
        <f t="shared" si="5"/>
        <v>0</v>
      </c>
      <c r="X10" s="95">
        <f t="shared" si="6"/>
        <v>0</v>
      </c>
      <c r="Y10" s="94">
        <f t="shared" si="7"/>
        <v>0</v>
      </c>
      <c r="Z10" s="50">
        <f t="shared" si="8"/>
        <v>0</v>
      </c>
      <c r="AA10" s="50">
        <f t="shared" si="9"/>
        <v>0</v>
      </c>
      <c r="AB10" s="50">
        <f t="shared" si="10"/>
        <v>0</v>
      </c>
      <c r="AC10" s="50">
        <f t="shared" si="11"/>
        <v>0</v>
      </c>
      <c r="AD10" s="50">
        <f t="shared" si="12"/>
        <v>0</v>
      </c>
      <c r="AF10" s="94">
        <f t="shared" si="13"/>
        <v>20389.350000000006</v>
      </c>
      <c r="AG10" s="50">
        <f>IFERROR((VLOOKUP(B10,'SUIVI 31.12.24 ALTONEO'!$B$1:$BF$38,33,FALSE())),0)</f>
        <v>0</v>
      </c>
      <c r="AH10" s="95">
        <f t="shared" si="14"/>
        <v>0</v>
      </c>
      <c r="AI10" s="94">
        <f t="shared" si="15"/>
        <v>126500</v>
      </c>
      <c r="AJ10" s="50">
        <f>IFERROR((VLOOKUP(B10,'SUIVI 31.12.24 ALTONEO'!$B$1:$BF$38,36,FALSE())),0)</f>
        <v>0</v>
      </c>
      <c r="AK10" s="95">
        <f t="shared" si="16"/>
        <v>0</v>
      </c>
      <c r="AO10" s="94">
        <f t="shared" si="17"/>
        <v>0</v>
      </c>
      <c r="AP10" s="95">
        <f t="shared" si="18"/>
        <v>0</v>
      </c>
      <c r="AQ10" s="96">
        <f t="shared" si="19"/>
        <v>0.16118063241106723</v>
      </c>
      <c r="AR10" s="94">
        <f t="shared" si="20"/>
        <v>0</v>
      </c>
      <c r="AS10" s="50">
        <f>IFERROR((VLOOKUP(B10,'SUIVI 31.12.24 ALTONEO'!$B$1:$BF$38,45,FALSE())),0)</f>
        <v>0</v>
      </c>
      <c r="AT10" s="97">
        <f t="shared" si="21"/>
        <v>0</v>
      </c>
      <c r="AU10" s="94">
        <f t="shared" si="22"/>
        <v>0</v>
      </c>
      <c r="AV10" s="50">
        <f>IFERROR((VLOOKUP(B10,'SUIVI 31.12.24 ALTONEO'!$B$1:$BF$38,48,FALSE())),0)</f>
        <v>0</v>
      </c>
      <c r="AW10" s="95">
        <f t="shared" si="23"/>
        <v>0</v>
      </c>
      <c r="AX10" s="94">
        <f t="shared" si="24"/>
        <v>0</v>
      </c>
      <c r="AY10" s="50">
        <f>IFERROR((VLOOKUP(B10,'SUIVI 31.12.24 ALTONEO'!$B$1:$BF$38,51,FALSE())),0)</f>
        <v>0</v>
      </c>
      <c r="AZ10" s="95">
        <f t="shared" si="25"/>
        <v>0</v>
      </c>
      <c r="BA10" s="94">
        <f t="shared" si="26"/>
        <v>0</v>
      </c>
      <c r="BB10" s="50">
        <f>IFERROR((VLOOKUP(B10,'SUIVI 31.12.24 ALTONEO'!$B$1:$BF$38,54,FALSE())),0)</f>
        <v>0</v>
      </c>
      <c r="BC10" s="95">
        <f t="shared" si="27"/>
        <v>0</v>
      </c>
      <c r="BD10" s="94">
        <f t="shared" si="28"/>
        <v>0</v>
      </c>
      <c r="BE10" s="50">
        <f>IFERROR((VLOOKUP(B10,'SUIVI 31.12.24 ALTONEO'!$B$1:$BF$38,57,FALSE())),0)</f>
        <v>0</v>
      </c>
      <c r="BF10" s="95"/>
    </row>
    <row r="11" spans="1:58" ht="15" hidden="1" customHeight="1" x14ac:dyDescent="0.2">
      <c r="A11" s="429"/>
      <c r="B11" s="84" t="s">
        <v>177</v>
      </c>
      <c r="C11" s="85" t="s">
        <v>137</v>
      </c>
      <c r="D11" s="86" t="s">
        <v>171</v>
      </c>
      <c r="E11" s="87">
        <f>VLOOKUP(D11,'% avancement'!$A$4:$B$17,2,FALSE())</f>
        <v>0</v>
      </c>
      <c r="F11" s="88">
        <v>118916.66666666701</v>
      </c>
      <c r="G11" s="89">
        <v>7500</v>
      </c>
      <c r="H11" s="90">
        <f t="shared" si="0"/>
        <v>121416.66666666701</v>
      </c>
      <c r="I11" s="89">
        <v>5000</v>
      </c>
      <c r="J11" s="89">
        <f t="shared" si="1"/>
        <v>7285.00000000002</v>
      </c>
      <c r="K11" s="89">
        <f t="shared" si="2"/>
        <v>3035.4166666666752</v>
      </c>
      <c r="L11" s="89">
        <v>7828.15</v>
      </c>
      <c r="M11" s="89">
        <f t="shared" si="3"/>
        <v>78378.333333333547</v>
      </c>
      <c r="N11" s="91">
        <v>6000</v>
      </c>
      <c r="O11" s="92"/>
      <c r="P11" s="93"/>
      <c r="Q11" s="93"/>
      <c r="R11" s="93"/>
      <c r="S11" s="93"/>
      <c r="T11" s="93"/>
      <c r="U11" s="94">
        <f t="shared" si="4"/>
        <v>0</v>
      </c>
      <c r="W11" s="50">
        <f t="shared" si="5"/>
        <v>0</v>
      </c>
      <c r="X11" s="95">
        <f t="shared" si="6"/>
        <v>0</v>
      </c>
      <c r="Y11" s="94">
        <f t="shared" si="7"/>
        <v>0</v>
      </c>
      <c r="Z11" s="50">
        <f t="shared" si="8"/>
        <v>0</v>
      </c>
      <c r="AA11" s="50">
        <f t="shared" si="9"/>
        <v>0</v>
      </c>
      <c r="AB11" s="50">
        <f t="shared" si="10"/>
        <v>0</v>
      </c>
      <c r="AC11" s="50">
        <f t="shared" si="11"/>
        <v>0</v>
      </c>
      <c r="AD11" s="50">
        <f t="shared" si="12"/>
        <v>0</v>
      </c>
      <c r="AF11" s="94">
        <f t="shared" si="13"/>
        <v>18889.766666666779</v>
      </c>
      <c r="AG11" s="50">
        <f>IFERROR((VLOOKUP(B11,'SUIVI 31.12.24 ALTONEO'!$B$1:$BF$38,33,FALSE())),0)</f>
        <v>0</v>
      </c>
      <c r="AH11" s="95">
        <f t="shared" si="14"/>
        <v>0</v>
      </c>
      <c r="AI11" s="94">
        <f t="shared" si="15"/>
        <v>121416.66666666701</v>
      </c>
      <c r="AJ11" s="50">
        <f>IFERROR((VLOOKUP(B11,'SUIVI 31.12.24 ALTONEO'!$B$1:$BF$38,36,FALSE())),0)</f>
        <v>0</v>
      </c>
      <c r="AK11" s="95">
        <f t="shared" si="16"/>
        <v>0</v>
      </c>
      <c r="AO11" s="94">
        <f t="shared" si="17"/>
        <v>0</v>
      </c>
      <c r="AP11" s="95">
        <f t="shared" si="18"/>
        <v>0</v>
      </c>
      <c r="AQ11" s="96">
        <f t="shared" si="19"/>
        <v>0.1555780370624576</v>
      </c>
      <c r="AR11" s="94">
        <f t="shared" si="20"/>
        <v>0</v>
      </c>
      <c r="AS11" s="50">
        <f>IFERROR((VLOOKUP(B11,'SUIVI 31.12.24 ALTONEO'!$B$1:$BF$38,45,FALSE())),0)</f>
        <v>0</v>
      </c>
      <c r="AT11" s="97">
        <f t="shared" si="21"/>
        <v>0</v>
      </c>
      <c r="AU11" s="94">
        <f t="shared" si="22"/>
        <v>0</v>
      </c>
      <c r="AV11" s="50">
        <f>IFERROR((VLOOKUP(B11,'SUIVI 31.12.24 ALTONEO'!$B$1:$BF$38,48,FALSE())),0)</f>
        <v>0</v>
      </c>
      <c r="AW11" s="95">
        <f t="shared" si="23"/>
        <v>0</v>
      </c>
      <c r="AX11" s="94">
        <f t="shared" si="24"/>
        <v>0</v>
      </c>
      <c r="AY11" s="50">
        <f>IFERROR((VLOOKUP(B11,'SUIVI 31.12.24 ALTONEO'!$B$1:$BF$38,51,FALSE())),0)</f>
        <v>0</v>
      </c>
      <c r="AZ11" s="95">
        <f t="shared" si="25"/>
        <v>0</v>
      </c>
      <c r="BA11" s="94">
        <f t="shared" si="26"/>
        <v>0</v>
      </c>
      <c r="BB11" s="50">
        <f>IFERROR((VLOOKUP(B11,'SUIVI 31.12.24 ALTONEO'!$B$1:$BF$38,54,FALSE())),0)</f>
        <v>0</v>
      </c>
      <c r="BC11" s="95">
        <f t="shared" si="27"/>
        <v>0</v>
      </c>
      <c r="BD11" s="94">
        <f t="shared" si="28"/>
        <v>0</v>
      </c>
      <c r="BE11" s="50">
        <f>IFERROR((VLOOKUP(B11,'SUIVI 31.12.24 ALTONEO'!$B$1:$BF$38,57,FALSE())),0)</f>
        <v>0</v>
      </c>
      <c r="BF11" s="95"/>
    </row>
    <row r="12" spans="1:58" ht="15" hidden="1" customHeight="1" x14ac:dyDescent="0.2">
      <c r="A12" s="429"/>
      <c r="B12" s="84" t="s">
        <v>178</v>
      </c>
      <c r="C12" s="85" t="s">
        <v>137</v>
      </c>
      <c r="D12" s="86" t="s">
        <v>171</v>
      </c>
      <c r="E12" s="87">
        <f>VLOOKUP(D12,'% avancement'!$A$4:$B$17,2,FALSE())</f>
        <v>0</v>
      </c>
      <c r="F12" s="88">
        <v>133083.33333333299</v>
      </c>
      <c r="G12" s="89">
        <v>7500</v>
      </c>
      <c r="H12" s="90">
        <f t="shared" si="0"/>
        <v>135583.33333333299</v>
      </c>
      <c r="I12" s="89">
        <v>5000</v>
      </c>
      <c r="J12" s="89">
        <f t="shared" si="1"/>
        <v>8134.9999999999791</v>
      </c>
      <c r="K12" s="89">
        <f t="shared" si="2"/>
        <v>3389.5833333333248</v>
      </c>
      <c r="L12" s="89">
        <v>7828.15</v>
      </c>
      <c r="M12" s="89">
        <f t="shared" si="3"/>
        <v>87161.666666666453</v>
      </c>
      <c r="N12" s="91">
        <v>6000</v>
      </c>
      <c r="O12" s="92"/>
      <c r="P12" s="93"/>
      <c r="Q12" s="93"/>
      <c r="R12" s="93"/>
      <c r="S12" s="93"/>
      <c r="T12" s="93"/>
      <c r="U12" s="94">
        <f t="shared" si="4"/>
        <v>0</v>
      </c>
      <c r="W12" s="50">
        <f t="shared" si="5"/>
        <v>0</v>
      </c>
      <c r="X12" s="95">
        <f t="shared" si="6"/>
        <v>0</v>
      </c>
      <c r="Y12" s="94">
        <f t="shared" si="7"/>
        <v>0</v>
      </c>
      <c r="Z12" s="50">
        <f t="shared" si="8"/>
        <v>0</v>
      </c>
      <c r="AA12" s="50">
        <f t="shared" si="9"/>
        <v>0</v>
      </c>
      <c r="AB12" s="50">
        <f t="shared" si="10"/>
        <v>0</v>
      </c>
      <c r="AC12" s="50">
        <f t="shared" si="11"/>
        <v>0</v>
      </c>
      <c r="AD12" s="50">
        <f t="shared" si="12"/>
        <v>0</v>
      </c>
      <c r="AF12" s="94">
        <f t="shared" si="13"/>
        <v>23068.933333333232</v>
      </c>
      <c r="AG12" s="50">
        <f>IFERROR((VLOOKUP(B12,'SUIVI 31.12.24 ALTONEO'!$B$1:$BF$38,33,FALSE())),0)</f>
        <v>0</v>
      </c>
      <c r="AH12" s="95">
        <f t="shared" si="14"/>
        <v>0</v>
      </c>
      <c r="AI12" s="94">
        <f t="shared" si="15"/>
        <v>135583.33333333299</v>
      </c>
      <c r="AJ12" s="50">
        <f>IFERROR((VLOOKUP(B12,'SUIVI 31.12.24 ALTONEO'!$B$1:$BF$38,36,FALSE())),0)</f>
        <v>0</v>
      </c>
      <c r="AK12" s="95">
        <f t="shared" si="16"/>
        <v>0</v>
      </c>
      <c r="AO12" s="94">
        <f t="shared" si="17"/>
        <v>0</v>
      </c>
      <c r="AP12" s="95">
        <f t="shared" si="18"/>
        <v>0</v>
      </c>
      <c r="AQ12" s="96">
        <f t="shared" si="19"/>
        <v>0.1701457897971724</v>
      </c>
      <c r="AR12" s="94">
        <f t="shared" si="20"/>
        <v>0</v>
      </c>
      <c r="AS12" s="50">
        <f>IFERROR((VLOOKUP(B12,'SUIVI 31.12.24 ALTONEO'!$B$1:$BF$38,45,FALSE())),0)</f>
        <v>0</v>
      </c>
      <c r="AT12" s="97">
        <f t="shared" si="21"/>
        <v>0</v>
      </c>
      <c r="AU12" s="94">
        <f t="shared" si="22"/>
        <v>0</v>
      </c>
      <c r="AV12" s="50">
        <f>IFERROR((VLOOKUP(B12,'SUIVI 31.12.24 ALTONEO'!$B$1:$BF$38,48,FALSE())),0)</f>
        <v>0</v>
      </c>
      <c r="AW12" s="95">
        <f t="shared" si="23"/>
        <v>0</v>
      </c>
      <c r="AX12" s="94">
        <f t="shared" si="24"/>
        <v>0</v>
      </c>
      <c r="AY12" s="50">
        <f>IFERROR((VLOOKUP(B12,'SUIVI 31.12.24 ALTONEO'!$B$1:$BF$38,51,FALSE())),0)</f>
        <v>0</v>
      </c>
      <c r="AZ12" s="95">
        <f t="shared" si="25"/>
        <v>0</v>
      </c>
      <c r="BA12" s="94">
        <f t="shared" si="26"/>
        <v>0</v>
      </c>
      <c r="BB12" s="50">
        <f>IFERROR((VLOOKUP(B12,'SUIVI 31.12.24 ALTONEO'!$B$1:$BF$38,54,FALSE())),0)</f>
        <v>0</v>
      </c>
      <c r="BC12" s="95">
        <f t="shared" si="27"/>
        <v>0</v>
      </c>
      <c r="BD12" s="94">
        <f t="shared" si="28"/>
        <v>0</v>
      </c>
      <c r="BE12" s="50">
        <f>IFERROR((VLOOKUP(B12,'SUIVI 31.12.24 ALTONEO'!$B$1:$BF$38,57,FALSE())),0)</f>
        <v>0</v>
      </c>
      <c r="BF12" s="95"/>
    </row>
    <row r="13" spans="1:58" ht="15" hidden="1" customHeight="1" x14ac:dyDescent="0.2">
      <c r="A13" s="429"/>
      <c r="B13" s="84" t="s">
        <v>179</v>
      </c>
      <c r="C13" s="85" t="s">
        <v>137</v>
      </c>
      <c r="D13" s="86" t="s">
        <v>171</v>
      </c>
      <c r="E13" s="87">
        <f>VLOOKUP(D13,'% avancement'!$A$4:$B$17,2,FALSE())</f>
        <v>0</v>
      </c>
      <c r="F13" s="88">
        <v>128916.66666666701</v>
      </c>
      <c r="G13" s="89">
        <v>7500</v>
      </c>
      <c r="H13" s="90">
        <f t="shared" si="0"/>
        <v>131416.66666666701</v>
      </c>
      <c r="I13" s="89">
        <v>5000</v>
      </c>
      <c r="J13" s="89">
        <f t="shared" si="1"/>
        <v>7885.00000000002</v>
      </c>
      <c r="K13" s="89">
        <f t="shared" si="2"/>
        <v>3285.4166666666752</v>
      </c>
      <c r="L13" s="89">
        <v>7828.15</v>
      </c>
      <c r="M13" s="89">
        <f t="shared" si="3"/>
        <v>84578.333333333547</v>
      </c>
      <c r="N13" s="91">
        <v>6000</v>
      </c>
      <c r="O13" s="92"/>
      <c r="P13" s="93"/>
      <c r="Q13" s="93"/>
      <c r="R13" s="93"/>
      <c r="S13" s="93"/>
      <c r="T13" s="93"/>
      <c r="U13" s="94">
        <f t="shared" si="4"/>
        <v>0</v>
      </c>
      <c r="W13" s="50">
        <f t="shared" si="5"/>
        <v>0</v>
      </c>
      <c r="X13" s="95">
        <f t="shared" si="6"/>
        <v>0</v>
      </c>
      <c r="Y13" s="94">
        <f t="shared" si="7"/>
        <v>0</v>
      </c>
      <c r="Z13" s="50">
        <f t="shared" si="8"/>
        <v>0</v>
      </c>
      <c r="AA13" s="50">
        <f t="shared" si="9"/>
        <v>0</v>
      </c>
      <c r="AB13" s="50">
        <f t="shared" si="10"/>
        <v>0</v>
      </c>
      <c r="AC13" s="50">
        <f t="shared" si="11"/>
        <v>0</v>
      </c>
      <c r="AD13" s="50">
        <f t="shared" si="12"/>
        <v>0</v>
      </c>
      <c r="AF13" s="94">
        <f t="shared" si="13"/>
        <v>21839.766666666779</v>
      </c>
      <c r="AG13" s="50">
        <f>IFERROR((VLOOKUP(B13,'SUIVI 31.12.24 ALTONEO'!$B$1:$BF$38,33,FALSE())),0)</f>
        <v>0</v>
      </c>
      <c r="AH13" s="95">
        <f t="shared" si="14"/>
        <v>0</v>
      </c>
      <c r="AI13" s="94">
        <f t="shared" si="15"/>
        <v>131416.66666666701</v>
      </c>
      <c r="AJ13" s="50">
        <f>IFERROR((VLOOKUP(B13,'SUIVI 31.12.24 ALTONEO'!$B$1:$BF$38,36,FALSE())),0)</f>
        <v>0</v>
      </c>
      <c r="AK13" s="95">
        <f t="shared" si="16"/>
        <v>0</v>
      </c>
      <c r="AO13" s="94">
        <f t="shared" si="17"/>
        <v>0</v>
      </c>
      <c r="AP13" s="95">
        <f t="shared" si="18"/>
        <v>0</v>
      </c>
      <c r="AQ13" s="96">
        <f t="shared" si="19"/>
        <v>0.16618719086873854</v>
      </c>
      <c r="AR13" s="94">
        <f t="shared" si="20"/>
        <v>0</v>
      </c>
      <c r="AS13" s="50">
        <f>IFERROR((VLOOKUP(B13,'SUIVI 31.12.24 ALTONEO'!$B$1:$BF$38,45,FALSE())),0)</f>
        <v>0</v>
      </c>
      <c r="AT13" s="97">
        <f t="shared" si="21"/>
        <v>0</v>
      </c>
      <c r="AU13" s="94">
        <f t="shared" si="22"/>
        <v>0</v>
      </c>
      <c r="AV13" s="50">
        <f>IFERROR((VLOOKUP(B13,'SUIVI 31.12.24 ALTONEO'!$B$1:$BF$38,48,FALSE())),0)</f>
        <v>0</v>
      </c>
      <c r="AW13" s="95">
        <f t="shared" si="23"/>
        <v>0</v>
      </c>
      <c r="AX13" s="94">
        <f t="shared" si="24"/>
        <v>0</v>
      </c>
      <c r="AY13" s="50">
        <f>IFERROR((VLOOKUP(B13,'SUIVI 31.12.24 ALTONEO'!$B$1:$BF$38,51,FALSE())),0)</f>
        <v>0</v>
      </c>
      <c r="AZ13" s="95">
        <f t="shared" si="25"/>
        <v>0</v>
      </c>
      <c r="BA13" s="94">
        <f t="shared" si="26"/>
        <v>0</v>
      </c>
      <c r="BB13" s="50">
        <f>IFERROR((VLOOKUP(B13,'SUIVI 31.12.24 ALTONEO'!$B$1:$BF$38,54,FALSE())),0)</f>
        <v>0</v>
      </c>
      <c r="BC13" s="95">
        <f t="shared" si="27"/>
        <v>0</v>
      </c>
      <c r="BD13" s="94">
        <f t="shared" si="28"/>
        <v>0</v>
      </c>
      <c r="BE13" s="50">
        <f>IFERROR((VLOOKUP(B13,'SUIVI 31.12.24 ALTONEO'!$B$1:$BF$38,57,FALSE())),0)</f>
        <v>0</v>
      </c>
      <c r="BF13" s="95"/>
    </row>
    <row r="14" spans="1:58" ht="15" hidden="1" customHeight="1" x14ac:dyDescent="0.2">
      <c r="A14" s="429"/>
      <c r="B14" s="84" t="s">
        <v>180</v>
      </c>
      <c r="C14" s="85" t="s">
        <v>137</v>
      </c>
      <c r="D14" s="86" t="s">
        <v>171</v>
      </c>
      <c r="E14" s="87">
        <f>VLOOKUP(D14,'% avancement'!$A$4:$B$17,2,FALSE())</f>
        <v>0</v>
      </c>
      <c r="F14" s="88">
        <v>121916.66666666701</v>
      </c>
      <c r="G14" s="89">
        <v>7500</v>
      </c>
      <c r="H14" s="90">
        <f t="shared" si="0"/>
        <v>124416.66666666701</v>
      </c>
      <c r="I14" s="89">
        <v>5000</v>
      </c>
      <c r="J14" s="89">
        <f t="shared" si="1"/>
        <v>7465.00000000002</v>
      </c>
      <c r="K14" s="89">
        <f t="shared" si="2"/>
        <v>3110.4166666666752</v>
      </c>
      <c r="L14" s="89">
        <v>7828.15</v>
      </c>
      <c r="M14" s="89">
        <f t="shared" si="3"/>
        <v>80238.333333333547</v>
      </c>
      <c r="N14" s="91">
        <v>6000</v>
      </c>
      <c r="O14" s="92"/>
      <c r="P14" s="93"/>
      <c r="Q14" s="93"/>
      <c r="R14" s="93"/>
      <c r="S14" s="93"/>
      <c r="T14" s="93"/>
      <c r="U14" s="94">
        <f t="shared" si="4"/>
        <v>0</v>
      </c>
      <c r="W14" s="50">
        <f t="shared" si="5"/>
        <v>0</v>
      </c>
      <c r="X14" s="95">
        <f t="shared" si="6"/>
        <v>0</v>
      </c>
      <c r="Y14" s="94">
        <f t="shared" si="7"/>
        <v>0</v>
      </c>
      <c r="Z14" s="50">
        <f t="shared" si="8"/>
        <v>0</v>
      </c>
      <c r="AA14" s="50">
        <f t="shared" si="9"/>
        <v>0</v>
      </c>
      <c r="AB14" s="50">
        <f t="shared" si="10"/>
        <v>0</v>
      </c>
      <c r="AC14" s="50">
        <f t="shared" si="11"/>
        <v>0</v>
      </c>
      <c r="AD14" s="50">
        <f t="shared" si="12"/>
        <v>0</v>
      </c>
      <c r="AF14" s="94">
        <f t="shared" si="13"/>
        <v>19774.766666666779</v>
      </c>
      <c r="AG14" s="50">
        <f>IFERROR((VLOOKUP(B14,'SUIVI 31.12.24 ALTONEO'!$B$1:$BF$38,33,FALSE())),0)</f>
        <v>0</v>
      </c>
      <c r="AH14" s="95">
        <f t="shared" si="14"/>
        <v>0</v>
      </c>
      <c r="AI14" s="94">
        <f t="shared" si="15"/>
        <v>124416.66666666701</v>
      </c>
      <c r="AJ14" s="50">
        <f>IFERROR((VLOOKUP(B14,'SUIVI 31.12.24 ALTONEO'!$B$1:$BF$38,36,FALSE())),0)</f>
        <v>0</v>
      </c>
      <c r="AK14" s="95">
        <f t="shared" si="16"/>
        <v>0</v>
      </c>
      <c r="AO14" s="94">
        <f t="shared" si="17"/>
        <v>0</v>
      </c>
      <c r="AP14" s="95">
        <f t="shared" si="18"/>
        <v>0</v>
      </c>
      <c r="AQ14" s="96">
        <f t="shared" si="19"/>
        <v>0.15893985264568031</v>
      </c>
      <c r="AR14" s="94">
        <f t="shared" si="20"/>
        <v>0</v>
      </c>
      <c r="AS14" s="50">
        <f>IFERROR((VLOOKUP(B14,'SUIVI 31.12.24 ALTONEO'!$B$1:$BF$38,45,FALSE())),0)</f>
        <v>0</v>
      </c>
      <c r="AT14" s="97">
        <f t="shared" si="21"/>
        <v>0</v>
      </c>
      <c r="AU14" s="94">
        <f t="shared" si="22"/>
        <v>0</v>
      </c>
      <c r="AV14" s="50">
        <f>IFERROR((VLOOKUP(B14,'SUIVI 31.12.24 ALTONEO'!$B$1:$BF$38,48,FALSE())),0)</f>
        <v>0</v>
      </c>
      <c r="AW14" s="95">
        <f t="shared" si="23"/>
        <v>0</v>
      </c>
      <c r="AX14" s="94">
        <f t="shared" si="24"/>
        <v>0</v>
      </c>
      <c r="AY14" s="50">
        <f>IFERROR((VLOOKUP(B14,'SUIVI 31.12.24 ALTONEO'!$B$1:$BF$38,51,FALSE())),0)</f>
        <v>0</v>
      </c>
      <c r="AZ14" s="95">
        <f t="shared" si="25"/>
        <v>0</v>
      </c>
      <c r="BA14" s="94">
        <f t="shared" si="26"/>
        <v>0</v>
      </c>
      <c r="BB14" s="50">
        <f>IFERROR((VLOOKUP(B14,'SUIVI 31.12.24 ALTONEO'!$B$1:$BF$38,54,FALSE())),0)</f>
        <v>0</v>
      </c>
      <c r="BC14" s="95">
        <f t="shared" si="27"/>
        <v>0</v>
      </c>
      <c r="BD14" s="94">
        <f t="shared" si="28"/>
        <v>0</v>
      </c>
      <c r="BE14" s="50">
        <f>IFERROR((VLOOKUP(B14,'SUIVI 31.12.24 ALTONEO'!$B$1:$BF$38,57,FALSE())),0)</f>
        <v>0</v>
      </c>
      <c r="BF14" s="95"/>
    </row>
    <row r="15" spans="1:58" ht="15" hidden="1" customHeight="1" x14ac:dyDescent="0.2">
      <c r="A15" s="429"/>
      <c r="B15" s="84" t="s">
        <v>140</v>
      </c>
      <c r="C15" s="85" t="s">
        <v>137</v>
      </c>
      <c r="D15" s="86" t="s">
        <v>171</v>
      </c>
      <c r="E15" s="87">
        <f>VLOOKUP(D15,'% avancement'!$A$4:$B$17,2,FALSE())</f>
        <v>0</v>
      </c>
      <c r="F15" s="88">
        <v>110916.66666666701</v>
      </c>
      <c r="G15" s="89">
        <v>7500</v>
      </c>
      <c r="H15" s="90">
        <f t="shared" si="0"/>
        <v>113416.66666666701</v>
      </c>
      <c r="I15" s="89">
        <v>5000</v>
      </c>
      <c r="J15" s="89">
        <f t="shared" si="1"/>
        <v>6805.00000000002</v>
      </c>
      <c r="K15" s="89">
        <f t="shared" si="2"/>
        <v>2835.4166666666752</v>
      </c>
      <c r="L15" s="89">
        <v>7828.15</v>
      </c>
      <c r="M15" s="89">
        <f t="shared" si="3"/>
        <v>73418.333333333547</v>
      </c>
      <c r="N15" s="91">
        <v>6000</v>
      </c>
      <c r="O15" s="92"/>
      <c r="P15" s="93"/>
      <c r="Q15" s="93"/>
      <c r="R15" s="93"/>
      <c r="S15" s="93"/>
      <c r="T15" s="93"/>
      <c r="U15" s="94">
        <f t="shared" si="4"/>
        <v>0</v>
      </c>
      <c r="W15" s="50">
        <f t="shared" si="5"/>
        <v>0</v>
      </c>
      <c r="X15" s="95">
        <f t="shared" si="6"/>
        <v>0</v>
      </c>
      <c r="Y15" s="94">
        <f t="shared" si="7"/>
        <v>0</v>
      </c>
      <c r="Z15" s="50">
        <f t="shared" si="8"/>
        <v>0</v>
      </c>
      <c r="AA15" s="50">
        <f t="shared" si="9"/>
        <v>0</v>
      </c>
      <c r="AB15" s="50">
        <f t="shared" si="10"/>
        <v>0</v>
      </c>
      <c r="AC15" s="50">
        <f t="shared" si="11"/>
        <v>0</v>
      </c>
      <c r="AD15" s="50">
        <f t="shared" si="12"/>
        <v>0</v>
      </c>
      <c r="AF15" s="94">
        <f t="shared" si="13"/>
        <v>16529.766666666779</v>
      </c>
      <c r="AG15" s="50">
        <f>IFERROR((VLOOKUP(B15,'SUIVI 31.12.24 ALTONEO'!$B$1:$BF$38,33,FALSE())),0)</f>
        <v>0</v>
      </c>
      <c r="AH15" s="95">
        <f t="shared" si="14"/>
        <v>0</v>
      </c>
      <c r="AI15" s="94">
        <f t="shared" si="15"/>
        <v>113416.66666666701</v>
      </c>
      <c r="AJ15" s="50">
        <f>IFERROR((VLOOKUP(B15,'SUIVI 31.12.24 ALTONEO'!$B$1:$BF$38,36,FALSE())),0)</f>
        <v>0</v>
      </c>
      <c r="AK15" s="95">
        <f t="shared" si="16"/>
        <v>0</v>
      </c>
      <c r="AO15" s="94">
        <f t="shared" si="17"/>
        <v>0</v>
      </c>
      <c r="AP15" s="95">
        <f t="shared" si="18"/>
        <v>0</v>
      </c>
      <c r="AQ15" s="96">
        <f t="shared" si="19"/>
        <v>0.14574371785451928</v>
      </c>
      <c r="AR15" s="94">
        <f t="shared" si="20"/>
        <v>0</v>
      </c>
      <c r="AS15" s="50">
        <f>IFERROR((VLOOKUP(B15,'SUIVI 31.12.24 ALTONEO'!$B$1:$BF$38,45,FALSE())),0)</f>
        <v>0</v>
      </c>
      <c r="AT15" s="97">
        <f t="shared" si="21"/>
        <v>0</v>
      </c>
      <c r="AU15" s="94">
        <f t="shared" si="22"/>
        <v>0</v>
      </c>
      <c r="AV15" s="50">
        <f>IFERROR((VLOOKUP(B15,'SUIVI 31.12.24 ALTONEO'!$B$1:$BF$38,48,FALSE())),0)</f>
        <v>0</v>
      </c>
      <c r="AW15" s="95">
        <f t="shared" si="23"/>
        <v>0</v>
      </c>
      <c r="AX15" s="94">
        <f t="shared" si="24"/>
        <v>0</v>
      </c>
      <c r="AY15" s="50">
        <f>IFERROR((VLOOKUP(B15,'SUIVI 31.12.24 ALTONEO'!$B$1:$BF$38,51,FALSE())),0)</f>
        <v>0</v>
      </c>
      <c r="AZ15" s="95">
        <f t="shared" si="25"/>
        <v>0</v>
      </c>
      <c r="BA15" s="94">
        <f t="shared" si="26"/>
        <v>0</v>
      </c>
      <c r="BB15" s="50">
        <f>IFERROR((VLOOKUP(B15,'SUIVI 31.12.24 ALTONEO'!$B$1:$BF$38,54,FALSE())),0)</f>
        <v>0</v>
      </c>
      <c r="BC15" s="95">
        <f t="shared" si="27"/>
        <v>0</v>
      </c>
      <c r="BD15" s="94">
        <f t="shared" si="28"/>
        <v>0</v>
      </c>
      <c r="BE15" s="50">
        <f>IFERROR((VLOOKUP(B15,'SUIVI 31.12.24 ALTONEO'!$B$1:$BF$38,57,FALSE())),0)</f>
        <v>0</v>
      </c>
      <c r="BF15" s="95"/>
    </row>
    <row r="16" spans="1:58" ht="15" hidden="1" customHeight="1" x14ac:dyDescent="0.2">
      <c r="A16" s="429"/>
      <c r="B16" s="84" t="s">
        <v>141</v>
      </c>
      <c r="C16" s="85" t="s">
        <v>137</v>
      </c>
      <c r="D16" s="86" t="s">
        <v>171</v>
      </c>
      <c r="E16" s="87">
        <f>VLOOKUP(D16,'% avancement'!$A$4:$B$17,2,FALSE())</f>
        <v>0</v>
      </c>
      <c r="F16" s="88">
        <v>98166.666666666701</v>
      </c>
      <c r="G16" s="89">
        <v>7500</v>
      </c>
      <c r="H16" s="90">
        <f t="shared" si="0"/>
        <v>100666.6666666667</v>
      </c>
      <c r="I16" s="89">
        <v>5000</v>
      </c>
      <c r="J16" s="89">
        <f t="shared" si="1"/>
        <v>6040.0000000000018</v>
      </c>
      <c r="K16" s="89">
        <f t="shared" si="2"/>
        <v>2516.6666666666679</v>
      </c>
      <c r="L16" s="89">
        <v>7828.15</v>
      </c>
      <c r="M16" s="89">
        <f t="shared" si="3"/>
        <v>65513.33333333335</v>
      </c>
      <c r="N16" s="91">
        <v>6000</v>
      </c>
      <c r="O16" s="92"/>
      <c r="P16" s="93"/>
      <c r="Q16" s="93"/>
      <c r="R16" s="93"/>
      <c r="S16" s="93"/>
      <c r="T16" s="93"/>
      <c r="U16" s="94">
        <f t="shared" si="4"/>
        <v>0</v>
      </c>
      <c r="W16" s="50">
        <f t="shared" si="5"/>
        <v>0</v>
      </c>
      <c r="X16" s="95">
        <f t="shared" si="6"/>
        <v>0</v>
      </c>
      <c r="Y16" s="94">
        <f t="shared" si="7"/>
        <v>0</v>
      </c>
      <c r="Z16" s="50">
        <f t="shared" si="8"/>
        <v>0</v>
      </c>
      <c r="AA16" s="50">
        <f t="shared" si="9"/>
        <v>0</v>
      </c>
      <c r="AB16" s="50">
        <f t="shared" si="10"/>
        <v>0</v>
      </c>
      <c r="AC16" s="50">
        <f t="shared" si="11"/>
        <v>0</v>
      </c>
      <c r="AD16" s="50">
        <f t="shared" si="12"/>
        <v>0</v>
      </c>
      <c r="AF16" s="94">
        <f t="shared" si="13"/>
        <v>12768.516666666685</v>
      </c>
      <c r="AG16" s="50">
        <f>IFERROR((VLOOKUP(B16,'SUIVI 31.12.24 ALTONEO'!$B$1:$BF$38,33,FALSE())),0)</f>
        <v>0</v>
      </c>
      <c r="AH16" s="95">
        <f t="shared" si="14"/>
        <v>0</v>
      </c>
      <c r="AI16" s="94">
        <f t="shared" si="15"/>
        <v>100666.6666666667</v>
      </c>
      <c r="AJ16" s="50">
        <f>IFERROR((VLOOKUP(B16,'SUIVI 31.12.24 ALTONEO'!$B$1:$BF$38,36,FALSE())),0)</f>
        <v>0</v>
      </c>
      <c r="AK16" s="95">
        <f t="shared" si="16"/>
        <v>0</v>
      </c>
      <c r="AO16" s="94">
        <f t="shared" si="17"/>
        <v>0</v>
      </c>
      <c r="AP16" s="95">
        <f t="shared" si="18"/>
        <v>0</v>
      </c>
      <c r="AQ16" s="96">
        <f t="shared" si="19"/>
        <v>0.12683956953642397</v>
      </c>
      <c r="AR16" s="94">
        <f t="shared" si="20"/>
        <v>0</v>
      </c>
      <c r="AS16" s="50">
        <f>IFERROR((VLOOKUP(B16,'SUIVI 31.12.24 ALTONEO'!$B$1:$BF$38,45,FALSE())),0)</f>
        <v>0</v>
      </c>
      <c r="AT16" s="97">
        <f t="shared" si="21"/>
        <v>0</v>
      </c>
      <c r="AU16" s="94">
        <f t="shared" si="22"/>
        <v>0</v>
      </c>
      <c r="AV16" s="50">
        <f>IFERROR((VLOOKUP(B16,'SUIVI 31.12.24 ALTONEO'!$B$1:$BF$38,48,FALSE())),0)</f>
        <v>0</v>
      </c>
      <c r="AW16" s="95">
        <f t="shared" si="23"/>
        <v>0</v>
      </c>
      <c r="AX16" s="94">
        <f t="shared" si="24"/>
        <v>0</v>
      </c>
      <c r="AY16" s="50">
        <f>IFERROR((VLOOKUP(B16,'SUIVI 31.12.24 ALTONEO'!$B$1:$BF$38,51,FALSE())),0)</f>
        <v>0</v>
      </c>
      <c r="AZ16" s="95">
        <f t="shared" si="25"/>
        <v>0</v>
      </c>
      <c r="BA16" s="94">
        <f t="shared" si="26"/>
        <v>0</v>
      </c>
      <c r="BB16" s="50">
        <f>IFERROR((VLOOKUP(B16,'SUIVI 31.12.24 ALTONEO'!$B$1:$BF$38,54,FALSE())),0)</f>
        <v>0</v>
      </c>
      <c r="BC16" s="95">
        <f t="shared" si="27"/>
        <v>0</v>
      </c>
      <c r="BD16" s="94">
        <f t="shared" si="28"/>
        <v>0</v>
      </c>
      <c r="BE16" s="50">
        <f>IFERROR((VLOOKUP(B16,'SUIVI 31.12.24 ALTONEO'!$B$1:$BF$38,57,FALSE())),0)</f>
        <v>0</v>
      </c>
      <c r="BF16" s="95"/>
    </row>
    <row r="17" spans="1:58" ht="15" hidden="1" customHeight="1" x14ac:dyDescent="0.2">
      <c r="A17" s="429"/>
      <c r="B17" s="84" t="s">
        <v>142</v>
      </c>
      <c r="C17" s="85" t="s">
        <v>137</v>
      </c>
      <c r="D17" s="86" t="s">
        <v>171</v>
      </c>
      <c r="E17" s="87">
        <f>VLOOKUP(D17,'% avancement'!$A$4:$B$17,2,FALSE())</f>
        <v>0</v>
      </c>
      <c r="F17" s="88">
        <v>111416.66666666701</v>
      </c>
      <c r="G17" s="89">
        <v>7500</v>
      </c>
      <c r="H17" s="90">
        <f t="shared" si="0"/>
        <v>113916.66666666701</v>
      </c>
      <c r="I17" s="89">
        <v>5000</v>
      </c>
      <c r="J17" s="89">
        <f t="shared" si="1"/>
        <v>6835.00000000002</v>
      </c>
      <c r="K17" s="89">
        <f t="shared" si="2"/>
        <v>2847.9166666666752</v>
      </c>
      <c r="L17" s="89">
        <v>7828.15</v>
      </c>
      <c r="M17" s="89">
        <f t="shared" si="3"/>
        <v>73728.333333333547</v>
      </c>
      <c r="N17" s="91">
        <v>6000</v>
      </c>
      <c r="O17" s="92"/>
      <c r="P17" s="93"/>
      <c r="Q17" s="93"/>
      <c r="R17" s="93"/>
      <c r="S17" s="93"/>
      <c r="T17" s="93"/>
      <c r="U17" s="94">
        <f t="shared" si="4"/>
        <v>0</v>
      </c>
      <c r="W17" s="50">
        <f t="shared" si="5"/>
        <v>0</v>
      </c>
      <c r="X17" s="95">
        <f t="shared" si="6"/>
        <v>0</v>
      </c>
      <c r="Y17" s="94">
        <f t="shared" si="7"/>
        <v>0</v>
      </c>
      <c r="Z17" s="50">
        <f t="shared" si="8"/>
        <v>0</v>
      </c>
      <c r="AA17" s="50">
        <f t="shared" si="9"/>
        <v>0</v>
      </c>
      <c r="AB17" s="50">
        <f t="shared" si="10"/>
        <v>0</v>
      </c>
      <c r="AC17" s="50">
        <f t="shared" si="11"/>
        <v>0</v>
      </c>
      <c r="AD17" s="50">
        <f t="shared" si="12"/>
        <v>0</v>
      </c>
      <c r="AF17" s="94">
        <f t="shared" si="13"/>
        <v>16677.266666666779</v>
      </c>
      <c r="AG17" s="50">
        <f>IFERROR((VLOOKUP(B17,'SUIVI 31.12.24 ALTONEO'!$B$1:$BF$38,33,FALSE())),0)</f>
        <v>0</v>
      </c>
      <c r="AH17" s="95">
        <f t="shared" si="14"/>
        <v>0</v>
      </c>
      <c r="AI17" s="94">
        <f t="shared" si="15"/>
        <v>113916.66666666701</v>
      </c>
      <c r="AJ17" s="50">
        <f>IFERROR((VLOOKUP(B17,'SUIVI 31.12.24 ALTONEO'!$B$1:$BF$38,36,FALSE())),0)</f>
        <v>0</v>
      </c>
      <c r="AK17" s="95">
        <f t="shared" si="16"/>
        <v>0</v>
      </c>
      <c r="AO17" s="94">
        <f t="shared" si="17"/>
        <v>0</v>
      </c>
      <c r="AP17" s="95">
        <f t="shared" si="18"/>
        <v>0</v>
      </c>
      <c r="AQ17" s="96">
        <f t="shared" si="19"/>
        <v>0.14639882955376793</v>
      </c>
      <c r="AR17" s="94">
        <f t="shared" si="20"/>
        <v>0</v>
      </c>
      <c r="AS17" s="50">
        <f>IFERROR((VLOOKUP(B17,'SUIVI 31.12.24 ALTONEO'!$B$1:$BF$38,45,FALSE())),0)</f>
        <v>0</v>
      </c>
      <c r="AT17" s="97">
        <f t="shared" si="21"/>
        <v>0</v>
      </c>
      <c r="AU17" s="94">
        <f t="shared" si="22"/>
        <v>0</v>
      </c>
      <c r="AV17" s="50">
        <f>IFERROR((VLOOKUP(B17,'SUIVI 31.12.24 ALTONEO'!$B$1:$BF$38,48,FALSE())),0)</f>
        <v>0</v>
      </c>
      <c r="AW17" s="95">
        <f t="shared" si="23"/>
        <v>0</v>
      </c>
      <c r="AX17" s="94">
        <f t="shared" si="24"/>
        <v>0</v>
      </c>
      <c r="AY17" s="50">
        <f>IFERROR((VLOOKUP(B17,'SUIVI 31.12.24 ALTONEO'!$B$1:$BF$38,51,FALSE())),0)</f>
        <v>0</v>
      </c>
      <c r="AZ17" s="95">
        <f t="shared" si="25"/>
        <v>0</v>
      </c>
      <c r="BA17" s="94">
        <f t="shared" si="26"/>
        <v>0</v>
      </c>
      <c r="BB17" s="50">
        <f>IFERROR((VLOOKUP(B17,'SUIVI 31.12.24 ALTONEO'!$B$1:$BF$38,54,FALSE())),0)</f>
        <v>0</v>
      </c>
      <c r="BC17" s="95">
        <f t="shared" si="27"/>
        <v>0</v>
      </c>
      <c r="BD17" s="94">
        <f t="shared" si="28"/>
        <v>0</v>
      </c>
      <c r="BE17" s="50">
        <f>IFERROR((VLOOKUP(B17,'SUIVI 31.12.24 ALTONEO'!$B$1:$BF$38,57,FALSE())),0)</f>
        <v>0</v>
      </c>
      <c r="BF17" s="95"/>
    </row>
    <row r="18" spans="1:58" ht="15" hidden="1" customHeight="1" x14ac:dyDescent="0.2">
      <c r="A18" s="429"/>
      <c r="B18" s="84" t="s">
        <v>181</v>
      </c>
      <c r="C18" s="85" t="s">
        <v>137</v>
      </c>
      <c r="D18" s="86" t="s">
        <v>171</v>
      </c>
      <c r="E18" s="87">
        <f>VLOOKUP(D18,'% avancement'!$A$4:$B$17,2,FALSE())</f>
        <v>0</v>
      </c>
      <c r="F18" s="88">
        <v>135666.66666666701</v>
      </c>
      <c r="G18" s="89">
        <v>7500</v>
      </c>
      <c r="H18" s="90">
        <f t="shared" si="0"/>
        <v>138166.66666666701</v>
      </c>
      <c r="I18" s="89">
        <v>5000</v>
      </c>
      <c r="J18" s="89">
        <f t="shared" si="1"/>
        <v>8290.00000000002</v>
      </c>
      <c r="K18" s="89">
        <f t="shared" si="2"/>
        <v>3454.1666666666752</v>
      </c>
      <c r="L18" s="89">
        <v>7828.15</v>
      </c>
      <c r="M18" s="89">
        <f t="shared" si="3"/>
        <v>88763.333333333547</v>
      </c>
      <c r="N18" s="91">
        <v>6000</v>
      </c>
      <c r="O18" s="92"/>
      <c r="P18" s="93"/>
      <c r="Q18" s="93"/>
      <c r="R18" s="93"/>
      <c r="S18" s="93"/>
      <c r="T18" s="93"/>
      <c r="U18" s="94">
        <f t="shared" si="4"/>
        <v>0</v>
      </c>
      <c r="W18" s="50">
        <f t="shared" si="5"/>
        <v>0</v>
      </c>
      <c r="X18" s="95">
        <f t="shared" si="6"/>
        <v>0</v>
      </c>
      <c r="Y18" s="94">
        <f t="shared" si="7"/>
        <v>0</v>
      </c>
      <c r="Z18" s="50">
        <f t="shared" si="8"/>
        <v>0</v>
      </c>
      <c r="AA18" s="50">
        <f t="shared" si="9"/>
        <v>0</v>
      </c>
      <c r="AB18" s="50">
        <f t="shared" si="10"/>
        <v>0</v>
      </c>
      <c r="AC18" s="50">
        <f t="shared" si="11"/>
        <v>0</v>
      </c>
      <c r="AD18" s="50">
        <f t="shared" si="12"/>
        <v>0</v>
      </c>
      <c r="AF18" s="94">
        <f t="shared" si="13"/>
        <v>23831.016666666779</v>
      </c>
      <c r="AG18" s="50">
        <f>IFERROR((VLOOKUP(B18,'SUIVI 31.12.24 ALTONEO'!$B$1:$BF$38,33,FALSE())),0)</f>
        <v>0</v>
      </c>
      <c r="AH18" s="95">
        <f t="shared" si="14"/>
        <v>0</v>
      </c>
      <c r="AI18" s="94">
        <f t="shared" si="15"/>
        <v>138166.66666666701</v>
      </c>
      <c r="AJ18" s="50">
        <f>IFERROR((VLOOKUP(B18,'SUIVI 31.12.24 ALTONEO'!$B$1:$BF$38,36,FALSE())),0)</f>
        <v>0</v>
      </c>
      <c r="AK18" s="95">
        <f t="shared" si="16"/>
        <v>0</v>
      </c>
      <c r="AO18" s="94">
        <f t="shared" si="17"/>
        <v>0</v>
      </c>
      <c r="AP18" s="95">
        <f t="shared" si="18"/>
        <v>0</v>
      </c>
      <c r="AQ18" s="96">
        <f t="shared" si="19"/>
        <v>0.17248021712907155</v>
      </c>
      <c r="AR18" s="94">
        <f t="shared" si="20"/>
        <v>0</v>
      </c>
      <c r="AS18" s="50">
        <f>IFERROR((VLOOKUP(B18,'SUIVI 31.12.24 ALTONEO'!$B$1:$BF$38,45,FALSE())),0)</f>
        <v>0</v>
      </c>
      <c r="AT18" s="97">
        <f t="shared" si="21"/>
        <v>0</v>
      </c>
      <c r="AU18" s="94">
        <f t="shared" si="22"/>
        <v>0</v>
      </c>
      <c r="AV18" s="50">
        <f>IFERROR((VLOOKUP(B18,'SUIVI 31.12.24 ALTONEO'!$B$1:$BF$38,48,FALSE())),0)</f>
        <v>0</v>
      </c>
      <c r="AW18" s="95">
        <f t="shared" si="23"/>
        <v>0</v>
      </c>
      <c r="AX18" s="94">
        <f t="shared" si="24"/>
        <v>0</v>
      </c>
      <c r="AY18" s="50">
        <f>IFERROR((VLOOKUP(B18,'SUIVI 31.12.24 ALTONEO'!$B$1:$BF$38,51,FALSE())),0)</f>
        <v>0</v>
      </c>
      <c r="AZ18" s="95">
        <f t="shared" si="25"/>
        <v>0</v>
      </c>
      <c r="BA18" s="94">
        <f t="shared" si="26"/>
        <v>0</v>
      </c>
      <c r="BB18" s="50">
        <f>IFERROR((VLOOKUP(B18,'SUIVI 31.12.24 ALTONEO'!$B$1:$BF$38,54,FALSE())),0)</f>
        <v>0</v>
      </c>
      <c r="BC18" s="95">
        <f t="shared" si="27"/>
        <v>0</v>
      </c>
      <c r="BD18" s="94">
        <f t="shared" si="28"/>
        <v>0</v>
      </c>
      <c r="BE18" s="50">
        <f>IFERROR((VLOOKUP(B18,'SUIVI 31.12.24 ALTONEO'!$B$1:$BF$38,57,FALSE())),0)</f>
        <v>0</v>
      </c>
      <c r="BF18" s="95"/>
    </row>
    <row r="19" spans="1:58" ht="15" hidden="1" customHeight="1" x14ac:dyDescent="0.2">
      <c r="A19" s="429"/>
      <c r="B19" s="84" t="s">
        <v>182</v>
      </c>
      <c r="C19" s="85" t="s">
        <v>137</v>
      </c>
      <c r="D19" s="86" t="s">
        <v>171</v>
      </c>
      <c r="E19" s="87">
        <f>VLOOKUP(D19,'% avancement'!$A$4:$B$17,2,FALSE())</f>
        <v>0</v>
      </c>
      <c r="F19" s="88">
        <v>127916.66666666701</v>
      </c>
      <c r="G19" s="89">
        <v>7500</v>
      </c>
      <c r="H19" s="90">
        <f t="shared" si="0"/>
        <v>130416.66666666701</v>
      </c>
      <c r="I19" s="89">
        <v>5000</v>
      </c>
      <c r="J19" s="89">
        <f t="shared" si="1"/>
        <v>7825.00000000002</v>
      </c>
      <c r="K19" s="89">
        <f t="shared" si="2"/>
        <v>3260.4166666666752</v>
      </c>
      <c r="L19" s="89">
        <v>7828.15</v>
      </c>
      <c r="M19" s="89">
        <f t="shared" si="3"/>
        <v>83958.333333333547</v>
      </c>
      <c r="N19" s="91">
        <v>6000</v>
      </c>
      <c r="O19" s="92"/>
      <c r="P19" s="93"/>
      <c r="Q19" s="93"/>
      <c r="R19" s="93"/>
      <c r="S19" s="93"/>
      <c r="T19" s="93"/>
      <c r="U19" s="94">
        <f t="shared" si="4"/>
        <v>0</v>
      </c>
      <c r="W19" s="50">
        <f t="shared" si="5"/>
        <v>0</v>
      </c>
      <c r="X19" s="95">
        <f t="shared" si="6"/>
        <v>0</v>
      </c>
      <c r="Y19" s="94">
        <f t="shared" si="7"/>
        <v>0</v>
      </c>
      <c r="Z19" s="50">
        <f t="shared" si="8"/>
        <v>0</v>
      </c>
      <c r="AA19" s="50">
        <f t="shared" si="9"/>
        <v>0</v>
      </c>
      <c r="AB19" s="50">
        <f t="shared" si="10"/>
        <v>0</v>
      </c>
      <c r="AC19" s="50">
        <f t="shared" si="11"/>
        <v>0</v>
      </c>
      <c r="AD19" s="50">
        <f t="shared" si="12"/>
        <v>0</v>
      </c>
      <c r="AF19" s="94">
        <f t="shared" si="13"/>
        <v>21544.766666666779</v>
      </c>
      <c r="AG19" s="50">
        <f>IFERROR((VLOOKUP(B19,'SUIVI 31.12.24 ALTONEO'!$B$1:$BF$38,33,FALSE())),0)</f>
        <v>0</v>
      </c>
      <c r="AH19" s="95">
        <f t="shared" si="14"/>
        <v>0</v>
      </c>
      <c r="AI19" s="94">
        <f t="shared" si="15"/>
        <v>130416.66666666701</v>
      </c>
      <c r="AJ19" s="50">
        <f>IFERROR((VLOOKUP(B19,'SUIVI 31.12.24 ALTONEO'!$B$1:$BF$38,36,FALSE())),0)</f>
        <v>0</v>
      </c>
      <c r="AK19" s="95">
        <f t="shared" si="16"/>
        <v>0</v>
      </c>
      <c r="AO19" s="94">
        <f t="shared" si="17"/>
        <v>0</v>
      </c>
      <c r="AP19" s="95">
        <f t="shared" si="18"/>
        <v>0</v>
      </c>
      <c r="AQ19" s="96">
        <f t="shared" si="19"/>
        <v>0.16519948881789182</v>
      </c>
      <c r="AR19" s="94">
        <f t="shared" si="20"/>
        <v>0</v>
      </c>
      <c r="AS19" s="50">
        <f>IFERROR((VLOOKUP(B19,'SUIVI 31.12.24 ALTONEO'!$B$1:$BF$38,45,FALSE())),0)</f>
        <v>0</v>
      </c>
      <c r="AT19" s="97">
        <f t="shared" si="21"/>
        <v>0</v>
      </c>
      <c r="AU19" s="94">
        <f t="shared" si="22"/>
        <v>0</v>
      </c>
      <c r="AV19" s="50">
        <f>IFERROR((VLOOKUP(B19,'SUIVI 31.12.24 ALTONEO'!$B$1:$BF$38,48,FALSE())),0)</f>
        <v>0</v>
      </c>
      <c r="AW19" s="95">
        <f t="shared" si="23"/>
        <v>0</v>
      </c>
      <c r="AX19" s="94">
        <f t="shared" si="24"/>
        <v>0</v>
      </c>
      <c r="AY19" s="50">
        <f>IFERROR((VLOOKUP(B19,'SUIVI 31.12.24 ALTONEO'!$B$1:$BF$38,51,FALSE())),0)</f>
        <v>0</v>
      </c>
      <c r="AZ19" s="95">
        <f t="shared" si="25"/>
        <v>0</v>
      </c>
      <c r="BA19" s="94">
        <f t="shared" si="26"/>
        <v>0</v>
      </c>
      <c r="BB19" s="50">
        <f>IFERROR((VLOOKUP(B19,'SUIVI 31.12.24 ALTONEO'!$B$1:$BF$38,54,FALSE())),0)</f>
        <v>0</v>
      </c>
      <c r="BC19" s="95">
        <f t="shared" si="27"/>
        <v>0</v>
      </c>
      <c r="BD19" s="94">
        <f t="shared" si="28"/>
        <v>0</v>
      </c>
      <c r="BE19" s="50">
        <f>IFERROR((VLOOKUP(B19,'SUIVI 31.12.24 ALTONEO'!$B$1:$BF$38,57,FALSE())),0)</f>
        <v>0</v>
      </c>
      <c r="BF19" s="95"/>
    </row>
    <row r="20" spans="1:58" ht="15" hidden="1" customHeight="1" x14ac:dyDescent="0.2">
      <c r="A20" s="429"/>
      <c r="B20" s="84" t="s">
        <v>143</v>
      </c>
      <c r="C20" s="85" t="s">
        <v>137</v>
      </c>
      <c r="D20" s="86" t="s">
        <v>171</v>
      </c>
      <c r="E20" s="87">
        <f>VLOOKUP(D20,'% avancement'!$A$4:$B$17,2,FALSE())</f>
        <v>0</v>
      </c>
      <c r="F20" s="88">
        <v>115666.66666666701</v>
      </c>
      <c r="G20" s="89">
        <v>7500</v>
      </c>
      <c r="H20" s="90">
        <f t="shared" si="0"/>
        <v>118166.66666666701</v>
      </c>
      <c r="I20" s="89">
        <v>5000</v>
      </c>
      <c r="J20" s="89">
        <f t="shared" si="1"/>
        <v>7090.00000000002</v>
      </c>
      <c r="K20" s="89">
        <f t="shared" si="2"/>
        <v>2954.1666666666752</v>
      </c>
      <c r="L20" s="89">
        <v>7828.15</v>
      </c>
      <c r="M20" s="89">
        <f t="shared" si="3"/>
        <v>76363.333333333547</v>
      </c>
      <c r="N20" s="91">
        <v>6000</v>
      </c>
      <c r="O20" s="92"/>
      <c r="P20" s="93"/>
      <c r="Q20" s="93"/>
      <c r="R20" s="93"/>
      <c r="S20" s="93"/>
      <c r="T20" s="93"/>
      <c r="U20" s="94">
        <f t="shared" si="4"/>
        <v>0</v>
      </c>
      <c r="W20" s="50">
        <f t="shared" si="5"/>
        <v>0</v>
      </c>
      <c r="X20" s="95">
        <f t="shared" si="6"/>
        <v>0</v>
      </c>
      <c r="Y20" s="94">
        <f t="shared" si="7"/>
        <v>0</v>
      </c>
      <c r="Z20" s="50">
        <f t="shared" si="8"/>
        <v>0</v>
      </c>
      <c r="AA20" s="50">
        <f t="shared" si="9"/>
        <v>0</v>
      </c>
      <c r="AB20" s="50">
        <f t="shared" si="10"/>
        <v>0</v>
      </c>
      <c r="AC20" s="50">
        <f t="shared" si="11"/>
        <v>0</v>
      </c>
      <c r="AD20" s="50">
        <f t="shared" si="12"/>
        <v>0</v>
      </c>
      <c r="AF20" s="94">
        <f t="shared" si="13"/>
        <v>17931.016666666779</v>
      </c>
      <c r="AG20" s="50">
        <f>IFERROR((VLOOKUP(B20,'SUIVI 31.12.24 ALTONEO'!$B$1:$BF$38,33,FALSE())),0)</f>
        <v>0</v>
      </c>
      <c r="AH20" s="95">
        <f t="shared" si="14"/>
        <v>0</v>
      </c>
      <c r="AI20" s="94">
        <f t="shared" si="15"/>
        <v>118166.66666666701</v>
      </c>
      <c r="AJ20" s="50">
        <f>IFERROR((VLOOKUP(B20,'SUIVI 31.12.24 ALTONEO'!$B$1:$BF$38,36,FALSE())),0)</f>
        <v>0</v>
      </c>
      <c r="AK20" s="95">
        <f t="shared" si="16"/>
        <v>0</v>
      </c>
      <c r="AO20" s="94">
        <f t="shared" si="17"/>
        <v>0</v>
      </c>
      <c r="AP20" s="95">
        <f t="shared" si="18"/>
        <v>0</v>
      </c>
      <c r="AQ20" s="96">
        <f t="shared" si="19"/>
        <v>0.15174344146685523</v>
      </c>
      <c r="AR20" s="94">
        <f t="shared" si="20"/>
        <v>0</v>
      </c>
      <c r="AS20" s="50">
        <f>IFERROR((VLOOKUP(B20,'SUIVI 31.12.24 ALTONEO'!$B$1:$BF$38,45,FALSE())),0)</f>
        <v>0</v>
      </c>
      <c r="AT20" s="97">
        <f t="shared" si="21"/>
        <v>0</v>
      </c>
      <c r="AU20" s="94">
        <f t="shared" si="22"/>
        <v>0</v>
      </c>
      <c r="AV20" s="50">
        <f>IFERROR((VLOOKUP(B20,'SUIVI 31.12.24 ALTONEO'!$B$1:$BF$38,48,FALSE())),0)</f>
        <v>0</v>
      </c>
      <c r="AW20" s="95">
        <f t="shared" si="23"/>
        <v>0</v>
      </c>
      <c r="AX20" s="94">
        <f t="shared" si="24"/>
        <v>0</v>
      </c>
      <c r="AY20" s="50">
        <f>IFERROR((VLOOKUP(B20,'SUIVI 31.12.24 ALTONEO'!$B$1:$BF$38,51,FALSE())),0)</f>
        <v>0</v>
      </c>
      <c r="AZ20" s="95">
        <f t="shared" si="25"/>
        <v>0</v>
      </c>
      <c r="BA20" s="94">
        <f t="shared" si="26"/>
        <v>0</v>
      </c>
      <c r="BB20" s="50">
        <f>IFERROR((VLOOKUP(B20,'SUIVI 31.12.24 ALTONEO'!$B$1:$BF$38,54,FALSE())),0)</f>
        <v>0</v>
      </c>
      <c r="BC20" s="95">
        <f t="shared" si="27"/>
        <v>0</v>
      </c>
      <c r="BD20" s="94">
        <f t="shared" si="28"/>
        <v>0</v>
      </c>
      <c r="BE20" s="50">
        <f>IFERROR((VLOOKUP(B20,'SUIVI 31.12.24 ALTONEO'!$B$1:$BF$38,57,FALSE())),0)</f>
        <v>0</v>
      </c>
      <c r="BF20" s="95"/>
    </row>
    <row r="21" spans="1:58" ht="15" hidden="1" customHeight="1" x14ac:dyDescent="0.2">
      <c r="A21" s="429"/>
      <c r="B21" s="84" t="s">
        <v>183</v>
      </c>
      <c r="C21" s="85" t="s">
        <v>137</v>
      </c>
      <c r="D21" s="86" t="s">
        <v>171</v>
      </c>
      <c r="E21" s="87">
        <f>VLOOKUP(D21,'% avancement'!$A$4:$B$17,2,FALSE())</f>
        <v>0</v>
      </c>
      <c r="F21" s="88">
        <v>115666.66666666701</v>
      </c>
      <c r="G21" s="89">
        <v>7500</v>
      </c>
      <c r="H21" s="90">
        <f t="shared" si="0"/>
        <v>118166.66666666701</v>
      </c>
      <c r="I21" s="89">
        <v>5000</v>
      </c>
      <c r="J21" s="89">
        <f t="shared" si="1"/>
        <v>7090.00000000002</v>
      </c>
      <c r="K21" s="89">
        <f t="shared" si="2"/>
        <v>2954.1666666666752</v>
      </c>
      <c r="L21" s="89">
        <v>7828.15</v>
      </c>
      <c r="M21" s="89">
        <f t="shared" si="3"/>
        <v>76363.333333333547</v>
      </c>
      <c r="N21" s="91">
        <v>6000</v>
      </c>
      <c r="O21" s="92"/>
      <c r="P21" s="93"/>
      <c r="Q21" s="93"/>
      <c r="R21" s="93"/>
      <c r="S21" s="93"/>
      <c r="T21" s="93"/>
      <c r="U21" s="94">
        <f t="shared" si="4"/>
        <v>0</v>
      </c>
      <c r="W21" s="50">
        <f t="shared" si="5"/>
        <v>0</v>
      </c>
      <c r="X21" s="95">
        <f t="shared" si="6"/>
        <v>0</v>
      </c>
      <c r="Y21" s="94">
        <f t="shared" si="7"/>
        <v>0</v>
      </c>
      <c r="Z21" s="50">
        <f t="shared" si="8"/>
        <v>0</v>
      </c>
      <c r="AA21" s="50">
        <f t="shared" si="9"/>
        <v>0</v>
      </c>
      <c r="AB21" s="50">
        <f t="shared" si="10"/>
        <v>0</v>
      </c>
      <c r="AC21" s="50">
        <f t="shared" si="11"/>
        <v>0</v>
      </c>
      <c r="AD21" s="50">
        <f t="shared" si="12"/>
        <v>0</v>
      </c>
      <c r="AF21" s="94">
        <f t="shared" si="13"/>
        <v>17931.016666666779</v>
      </c>
      <c r="AG21" s="50">
        <f>IFERROR((VLOOKUP(B21,'SUIVI 31.12.24 ALTONEO'!$B$1:$BF$38,33,FALSE())),0)</f>
        <v>0</v>
      </c>
      <c r="AH21" s="95">
        <f t="shared" si="14"/>
        <v>0</v>
      </c>
      <c r="AI21" s="94">
        <f t="shared" si="15"/>
        <v>118166.66666666701</v>
      </c>
      <c r="AJ21" s="50">
        <f>IFERROR((VLOOKUP(B21,'SUIVI 31.12.24 ALTONEO'!$B$1:$BF$38,36,FALSE())),0)</f>
        <v>0</v>
      </c>
      <c r="AK21" s="95">
        <f t="shared" si="16"/>
        <v>0</v>
      </c>
      <c r="AO21" s="94">
        <f t="shared" si="17"/>
        <v>0</v>
      </c>
      <c r="AP21" s="95">
        <f t="shared" si="18"/>
        <v>0</v>
      </c>
      <c r="AQ21" s="96">
        <f t="shared" si="19"/>
        <v>0.15174344146685523</v>
      </c>
      <c r="AR21" s="94">
        <f t="shared" si="20"/>
        <v>0</v>
      </c>
      <c r="AS21" s="50">
        <f>IFERROR((VLOOKUP(B21,'SUIVI 31.12.24 ALTONEO'!$B$1:$BF$38,45,FALSE())),0)</f>
        <v>0</v>
      </c>
      <c r="AT21" s="97">
        <f t="shared" si="21"/>
        <v>0</v>
      </c>
      <c r="AU21" s="94">
        <f t="shared" si="22"/>
        <v>0</v>
      </c>
      <c r="AV21" s="50">
        <f>IFERROR((VLOOKUP(B21,'SUIVI 31.12.24 ALTONEO'!$B$1:$BF$38,48,FALSE())),0)</f>
        <v>0</v>
      </c>
      <c r="AW21" s="95">
        <f t="shared" si="23"/>
        <v>0</v>
      </c>
      <c r="AX21" s="94">
        <f t="shared" si="24"/>
        <v>0</v>
      </c>
      <c r="AY21" s="50">
        <f>IFERROR((VLOOKUP(B21,'SUIVI 31.12.24 ALTONEO'!$B$1:$BF$38,51,FALSE())),0)</f>
        <v>0</v>
      </c>
      <c r="AZ21" s="95">
        <f t="shared" si="25"/>
        <v>0</v>
      </c>
      <c r="BA21" s="94">
        <f t="shared" si="26"/>
        <v>0</v>
      </c>
      <c r="BB21" s="50">
        <f>IFERROR((VLOOKUP(B21,'SUIVI 31.12.24 ALTONEO'!$B$1:$BF$38,54,FALSE())),0)</f>
        <v>0</v>
      </c>
      <c r="BC21" s="95">
        <f t="shared" si="27"/>
        <v>0</v>
      </c>
      <c r="BD21" s="94">
        <f t="shared" si="28"/>
        <v>0</v>
      </c>
      <c r="BE21" s="50">
        <f>IFERROR((VLOOKUP(B21,'SUIVI 31.12.24 ALTONEO'!$B$1:$BF$38,57,FALSE())),0)</f>
        <v>0</v>
      </c>
      <c r="BF21" s="95"/>
    </row>
    <row r="22" spans="1:58" ht="15" hidden="1" customHeight="1" x14ac:dyDescent="0.2">
      <c r="A22" s="429"/>
      <c r="B22" s="84" t="s">
        <v>144</v>
      </c>
      <c r="C22" s="85" t="s">
        <v>137</v>
      </c>
      <c r="D22" s="86" t="s">
        <v>171</v>
      </c>
      <c r="E22" s="87">
        <f>VLOOKUP(D22,'% avancement'!$A$4:$B$17,2,FALSE())</f>
        <v>0</v>
      </c>
      <c r="F22" s="88">
        <v>142000</v>
      </c>
      <c r="G22" s="89">
        <v>7500</v>
      </c>
      <c r="H22" s="90">
        <f t="shared" si="0"/>
        <v>144500</v>
      </c>
      <c r="I22" s="89">
        <v>5000</v>
      </c>
      <c r="J22" s="89">
        <f t="shared" si="1"/>
        <v>8670</v>
      </c>
      <c r="K22" s="89">
        <f t="shared" si="2"/>
        <v>3612.5</v>
      </c>
      <c r="L22" s="89">
        <v>7828.15</v>
      </c>
      <c r="M22" s="89">
        <f t="shared" si="3"/>
        <v>92690</v>
      </c>
      <c r="N22" s="91">
        <v>6000</v>
      </c>
      <c r="O22" s="92"/>
      <c r="P22" s="93"/>
      <c r="Q22" s="93"/>
      <c r="R22" s="93"/>
      <c r="S22" s="93"/>
      <c r="T22" s="93"/>
      <c r="U22" s="94">
        <f t="shared" si="4"/>
        <v>0</v>
      </c>
      <c r="W22" s="50">
        <f t="shared" si="5"/>
        <v>0</v>
      </c>
      <c r="X22" s="95">
        <f t="shared" si="6"/>
        <v>0</v>
      </c>
      <c r="Y22" s="94">
        <f t="shared" si="7"/>
        <v>0</v>
      </c>
      <c r="Z22" s="50">
        <f t="shared" si="8"/>
        <v>0</v>
      </c>
      <c r="AA22" s="50">
        <f t="shared" si="9"/>
        <v>0</v>
      </c>
      <c r="AB22" s="50">
        <f t="shared" si="10"/>
        <v>0</v>
      </c>
      <c r="AC22" s="50">
        <f t="shared" si="11"/>
        <v>0</v>
      </c>
      <c r="AD22" s="50">
        <f t="shared" si="12"/>
        <v>0</v>
      </c>
      <c r="AF22" s="94">
        <f t="shared" si="13"/>
        <v>25699.350000000006</v>
      </c>
      <c r="AG22" s="50">
        <f>IFERROR((VLOOKUP(B22,'SUIVI 31.12.24 ALTONEO'!$B$1:$BF$38,33,FALSE())),0)</f>
        <v>0</v>
      </c>
      <c r="AH22" s="95">
        <f t="shared" si="14"/>
        <v>0</v>
      </c>
      <c r="AI22" s="94">
        <f t="shared" si="15"/>
        <v>144500</v>
      </c>
      <c r="AJ22" s="50">
        <f>IFERROR((VLOOKUP(B22,'SUIVI 31.12.24 ALTONEO'!$B$1:$BF$38,36,FALSE())),0)</f>
        <v>0</v>
      </c>
      <c r="AK22" s="95">
        <f t="shared" si="16"/>
        <v>0</v>
      </c>
      <c r="AO22" s="94">
        <f t="shared" si="17"/>
        <v>0</v>
      </c>
      <c r="AP22" s="95">
        <f t="shared" si="18"/>
        <v>0</v>
      </c>
      <c r="AQ22" s="96">
        <f t="shared" si="19"/>
        <v>0.17785017301038067</v>
      </c>
      <c r="AR22" s="94">
        <f t="shared" si="20"/>
        <v>0</v>
      </c>
      <c r="AS22" s="50">
        <f>IFERROR((VLOOKUP(B22,'SUIVI 31.12.24 ALTONEO'!$B$1:$BF$38,45,FALSE())),0)</f>
        <v>0</v>
      </c>
      <c r="AT22" s="97">
        <f t="shared" si="21"/>
        <v>0</v>
      </c>
      <c r="AU22" s="94">
        <f t="shared" si="22"/>
        <v>0</v>
      </c>
      <c r="AV22" s="50">
        <f>IFERROR((VLOOKUP(B22,'SUIVI 31.12.24 ALTONEO'!$B$1:$BF$38,48,FALSE())),0)</f>
        <v>0</v>
      </c>
      <c r="AW22" s="95">
        <f t="shared" si="23"/>
        <v>0</v>
      </c>
      <c r="AX22" s="94">
        <f t="shared" si="24"/>
        <v>0</v>
      </c>
      <c r="AY22" s="50">
        <f>IFERROR((VLOOKUP(B22,'SUIVI 31.12.24 ALTONEO'!$B$1:$BF$38,51,FALSE())),0)</f>
        <v>0</v>
      </c>
      <c r="AZ22" s="95">
        <f t="shared" si="25"/>
        <v>0</v>
      </c>
      <c r="BA22" s="94">
        <f t="shared" si="26"/>
        <v>0</v>
      </c>
      <c r="BB22" s="50">
        <f>IFERROR((VLOOKUP(B22,'SUIVI 31.12.24 ALTONEO'!$B$1:$BF$38,54,FALSE())),0)</f>
        <v>0</v>
      </c>
      <c r="BC22" s="95">
        <f t="shared" si="27"/>
        <v>0</v>
      </c>
      <c r="BD22" s="94">
        <f t="shared" si="28"/>
        <v>0</v>
      </c>
      <c r="BE22" s="50">
        <f>IFERROR((VLOOKUP(B22,'SUIVI 31.12.24 ALTONEO'!$B$1:$BF$38,57,FALSE())),0)</f>
        <v>0</v>
      </c>
      <c r="BF22" s="95"/>
    </row>
    <row r="23" spans="1:58" ht="15" hidden="1" customHeight="1" x14ac:dyDescent="0.2">
      <c r="A23" s="429"/>
      <c r="B23" s="84" t="s">
        <v>184</v>
      </c>
      <c r="C23" s="85" t="s">
        <v>137</v>
      </c>
      <c r="D23" s="86" t="s">
        <v>171</v>
      </c>
      <c r="E23" s="87">
        <f>VLOOKUP(D23,'% avancement'!$A$4:$B$17,2,FALSE())</f>
        <v>0</v>
      </c>
      <c r="F23" s="88">
        <v>125250</v>
      </c>
      <c r="G23" s="89">
        <v>7500</v>
      </c>
      <c r="H23" s="90">
        <f t="shared" si="0"/>
        <v>127750</v>
      </c>
      <c r="I23" s="89">
        <v>5000</v>
      </c>
      <c r="J23" s="89">
        <f t="shared" si="1"/>
        <v>7665</v>
      </c>
      <c r="K23" s="89">
        <f t="shared" si="2"/>
        <v>3193.75</v>
      </c>
      <c r="L23" s="89">
        <v>7828.15</v>
      </c>
      <c r="M23" s="89">
        <f t="shared" si="3"/>
        <v>82305</v>
      </c>
      <c r="N23" s="91">
        <v>6000</v>
      </c>
      <c r="O23" s="92"/>
      <c r="P23" s="93"/>
      <c r="Q23" s="93"/>
      <c r="R23" s="93"/>
      <c r="S23" s="93"/>
      <c r="T23" s="93"/>
      <c r="U23" s="94">
        <f t="shared" si="4"/>
        <v>0</v>
      </c>
      <c r="W23" s="50">
        <f t="shared" si="5"/>
        <v>0</v>
      </c>
      <c r="X23" s="95">
        <f t="shared" si="6"/>
        <v>0</v>
      </c>
      <c r="Y23" s="94">
        <f t="shared" si="7"/>
        <v>0</v>
      </c>
      <c r="Z23" s="50">
        <f t="shared" si="8"/>
        <v>0</v>
      </c>
      <c r="AA23" s="50">
        <f t="shared" si="9"/>
        <v>0</v>
      </c>
      <c r="AB23" s="50">
        <f t="shared" si="10"/>
        <v>0</v>
      </c>
      <c r="AC23" s="50">
        <f t="shared" si="11"/>
        <v>0</v>
      </c>
      <c r="AD23" s="50">
        <f t="shared" si="12"/>
        <v>0</v>
      </c>
      <c r="AF23" s="94">
        <f t="shared" si="13"/>
        <v>20758.100000000006</v>
      </c>
      <c r="AG23" s="50">
        <f>IFERROR((VLOOKUP(B23,'SUIVI 31.12.24 ALTONEO'!$B$1:$BF$38,33,FALSE())),0)</f>
        <v>0</v>
      </c>
      <c r="AH23" s="95">
        <f t="shared" si="14"/>
        <v>0</v>
      </c>
      <c r="AI23" s="94">
        <f t="shared" si="15"/>
        <v>127750</v>
      </c>
      <c r="AJ23" s="50">
        <f>IFERROR((VLOOKUP(B23,'SUIVI 31.12.24 ALTONEO'!$B$1:$BF$38,36,FALSE())),0)</f>
        <v>0</v>
      </c>
      <c r="AK23" s="95">
        <f t="shared" si="16"/>
        <v>0</v>
      </c>
      <c r="AO23" s="94">
        <f t="shared" si="17"/>
        <v>0</v>
      </c>
      <c r="AP23" s="95">
        <f t="shared" si="18"/>
        <v>0</v>
      </c>
      <c r="AQ23" s="96">
        <f t="shared" si="19"/>
        <v>0.16249001956947168</v>
      </c>
      <c r="AR23" s="94">
        <f t="shared" si="20"/>
        <v>0</v>
      </c>
      <c r="AS23" s="50">
        <f>IFERROR((VLOOKUP(B23,'SUIVI 31.12.24 ALTONEO'!$B$1:$BF$38,45,FALSE())),0)</f>
        <v>0</v>
      </c>
      <c r="AT23" s="97">
        <f t="shared" si="21"/>
        <v>0</v>
      </c>
      <c r="AU23" s="94">
        <f t="shared" si="22"/>
        <v>0</v>
      </c>
      <c r="AV23" s="50">
        <f>IFERROR((VLOOKUP(B23,'SUIVI 31.12.24 ALTONEO'!$B$1:$BF$38,48,FALSE())),0)</f>
        <v>0</v>
      </c>
      <c r="AW23" s="95">
        <f t="shared" si="23"/>
        <v>0</v>
      </c>
      <c r="AX23" s="94">
        <f t="shared" si="24"/>
        <v>0</v>
      </c>
      <c r="AY23" s="50">
        <f>IFERROR((VLOOKUP(B23,'SUIVI 31.12.24 ALTONEO'!$B$1:$BF$38,51,FALSE())),0)</f>
        <v>0</v>
      </c>
      <c r="AZ23" s="95">
        <f t="shared" si="25"/>
        <v>0</v>
      </c>
      <c r="BA23" s="94">
        <f t="shared" si="26"/>
        <v>0</v>
      </c>
      <c r="BB23" s="50">
        <f>IFERROR((VLOOKUP(B23,'SUIVI 31.12.24 ALTONEO'!$B$1:$BF$38,54,FALSE())),0)</f>
        <v>0</v>
      </c>
      <c r="BC23" s="95">
        <f t="shared" si="27"/>
        <v>0</v>
      </c>
      <c r="BD23" s="94">
        <f t="shared" si="28"/>
        <v>0</v>
      </c>
      <c r="BE23" s="50">
        <f>IFERROR((VLOOKUP(B23,'SUIVI 31.12.24 ALTONEO'!$B$1:$BF$38,57,FALSE())),0)</f>
        <v>0</v>
      </c>
      <c r="BF23" s="95"/>
    </row>
    <row r="24" spans="1:58" ht="15" hidden="1" customHeight="1" x14ac:dyDescent="0.2">
      <c r="A24" s="429"/>
      <c r="B24" s="84" t="s">
        <v>185</v>
      </c>
      <c r="C24" s="85" t="s">
        <v>137</v>
      </c>
      <c r="D24" s="86" t="s">
        <v>171</v>
      </c>
      <c r="E24" s="87">
        <f>VLOOKUP(D24,'% avancement'!$A$4:$B$17,2,FALSE())</f>
        <v>0</v>
      </c>
      <c r="F24" s="88">
        <v>125666.66666666701</v>
      </c>
      <c r="G24" s="89">
        <v>7500</v>
      </c>
      <c r="H24" s="90">
        <f t="shared" si="0"/>
        <v>128166.66666666701</v>
      </c>
      <c r="I24" s="89">
        <v>5000</v>
      </c>
      <c r="J24" s="89">
        <f t="shared" si="1"/>
        <v>7690.00000000002</v>
      </c>
      <c r="K24" s="89">
        <f t="shared" si="2"/>
        <v>3204.1666666666752</v>
      </c>
      <c r="L24" s="89">
        <v>7828.15</v>
      </c>
      <c r="M24" s="89">
        <f t="shared" si="3"/>
        <v>82563.333333333547</v>
      </c>
      <c r="N24" s="91">
        <v>6000</v>
      </c>
      <c r="O24" s="92"/>
      <c r="P24" s="93"/>
      <c r="Q24" s="93"/>
      <c r="R24" s="93"/>
      <c r="S24" s="93"/>
      <c r="T24" s="93"/>
      <c r="U24" s="94">
        <f t="shared" si="4"/>
        <v>0</v>
      </c>
      <c r="W24" s="50">
        <f t="shared" si="5"/>
        <v>0</v>
      </c>
      <c r="X24" s="95">
        <f t="shared" si="6"/>
        <v>0</v>
      </c>
      <c r="Y24" s="94">
        <f t="shared" si="7"/>
        <v>0</v>
      </c>
      <c r="Z24" s="50">
        <f t="shared" si="8"/>
        <v>0</v>
      </c>
      <c r="AA24" s="50">
        <f t="shared" si="9"/>
        <v>0</v>
      </c>
      <c r="AB24" s="50">
        <f t="shared" si="10"/>
        <v>0</v>
      </c>
      <c r="AC24" s="50">
        <f t="shared" si="11"/>
        <v>0</v>
      </c>
      <c r="AD24" s="50">
        <f t="shared" si="12"/>
        <v>0</v>
      </c>
      <c r="AF24" s="94">
        <f t="shared" si="13"/>
        <v>20881.016666666779</v>
      </c>
      <c r="AG24" s="50">
        <f>IFERROR((VLOOKUP(B24,'SUIVI 31.12.24 ALTONEO'!$B$1:$BF$38,33,FALSE())),0)</f>
        <v>0</v>
      </c>
      <c r="AH24" s="95">
        <f t="shared" si="14"/>
        <v>0</v>
      </c>
      <c r="AI24" s="94">
        <f t="shared" si="15"/>
        <v>128166.66666666701</v>
      </c>
      <c r="AJ24" s="50">
        <f>IFERROR((VLOOKUP(B24,'SUIVI 31.12.24 ALTONEO'!$B$1:$BF$38,36,FALSE())),0)</f>
        <v>0</v>
      </c>
      <c r="AK24" s="95">
        <f t="shared" si="16"/>
        <v>0</v>
      </c>
      <c r="AO24" s="94">
        <f t="shared" si="17"/>
        <v>0</v>
      </c>
      <c r="AP24" s="95">
        <f t="shared" si="18"/>
        <v>0</v>
      </c>
      <c r="AQ24" s="96">
        <f t="shared" si="19"/>
        <v>0.162920806241873</v>
      </c>
      <c r="AR24" s="94">
        <f t="shared" si="20"/>
        <v>0</v>
      </c>
      <c r="AS24" s="50">
        <f>IFERROR((VLOOKUP(B24,'SUIVI 31.12.24 ALTONEO'!$B$1:$BF$38,45,FALSE())),0)</f>
        <v>0</v>
      </c>
      <c r="AT24" s="97">
        <f t="shared" si="21"/>
        <v>0</v>
      </c>
      <c r="AU24" s="94">
        <f t="shared" si="22"/>
        <v>0</v>
      </c>
      <c r="AV24" s="50">
        <f>IFERROR((VLOOKUP(B24,'SUIVI 31.12.24 ALTONEO'!$B$1:$BF$38,48,FALSE())),0)</f>
        <v>0</v>
      </c>
      <c r="AW24" s="95">
        <f t="shared" si="23"/>
        <v>0</v>
      </c>
      <c r="AX24" s="94">
        <f t="shared" si="24"/>
        <v>0</v>
      </c>
      <c r="AY24" s="50">
        <f>IFERROR((VLOOKUP(B24,'SUIVI 31.12.24 ALTONEO'!$B$1:$BF$38,51,FALSE())),0)</f>
        <v>0</v>
      </c>
      <c r="AZ24" s="95">
        <f t="shared" si="25"/>
        <v>0</v>
      </c>
      <c r="BA24" s="94">
        <f t="shared" si="26"/>
        <v>0</v>
      </c>
      <c r="BB24" s="50">
        <f>IFERROR((VLOOKUP(B24,'SUIVI 31.12.24 ALTONEO'!$B$1:$BF$38,54,FALSE())),0)</f>
        <v>0</v>
      </c>
      <c r="BC24" s="95">
        <f t="shared" si="27"/>
        <v>0</v>
      </c>
      <c r="BD24" s="94">
        <f t="shared" si="28"/>
        <v>0</v>
      </c>
      <c r="BE24" s="50">
        <f>IFERROR((VLOOKUP(B24,'SUIVI 31.12.24 ALTONEO'!$B$1:$BF$38,57,FALSE())),0)</f>
        <v>0</v>
      </c>
      <c r="BF24" s="95"/>
    </row>
    <row r="25" spans="1:58" ht="15" hidden="1" customHeight="1" x14ac:dyDescent="0.2">
      <c r="A25" s="429"/>
      <c r="B25" s="84" t="s">
        <v>145</v>
      </c>
      <c r="C25" s="85" t="s">
        <v>137</v>
      </c>
      <c r="D25" s="86" t="s">
        <v>171</v>
      </c>
      <c r="E25" s="87">
        <f>VLOOKUP(D25,'% avancement'!$A$4:$B$17,2,FALSE())</f>
        <v>0</v>
      </c>
      <c r="F25" s="88">
        <v>124000</v>
      </c>
      <c r="G25" s="89">
        <v>7500</v>
      </c>
      <c r="H25" s="90">
        <f t="shared" si="0"/>
        <v>126500</v>
      </c>
      <c r="I25" s="89">
        <v>5000</v>
      </c>
      <c r="J25" s="89">
        <f t="shared" si="1"/>
        <v>7590</v>
      </c>
      <c r="K25" s="89">
        <f t="shared" si="2"/>
        <v>3162.5</v>
      </c>
      <c r="L25" s="89">
        <v>7828.15</v>
      </c>
      <c r="M25" s="89">
        <f t="shared" si="3"/>
        <v>81530</v>
      </c>
      <c r="N25" s="91">
        <v>6000</v>
      </c>
      <c r="O25" s="92"/>
      <c r="P25" s="93"/>
      <c r="Q25" s="93"/>
      <c r="R25" s="93"/>
      <c r="S25" s="93"/>
      <c r="T25" s="93"/>
      <c r="U25" s="94">
        <f t="shared" si="4"/>
        <v>0</v>
      </c>
      <c r="W25" s="50">
        <f t="shared" si="5"/>
        <v>0</v>
      </c>
      <c r="X25" s="95">
        <f t="shared" si="6"/>
        <v>0</v>
      </c>
      <c r="Y25" s="94">
        <f t="shared" si="7"/>
        <v>0</v>
      </c>
      <c r="Z25" s="50">
        <f t="shared" si="8"/>
        <v>0</v>
      </c>
      <c r="AA25" s="50">
        <f t="shared" si="9"/>
        <v>0</v>
      </c>
      <c r="AB25" s="50">
        <f t="shared" si="10"/>
        <v>0</v>
      </c>
      <c r="AC25" s="50">
        <f t="shared" si="11"/>
        <v>0</v>
      </c>
      <c r="AD25" s="50">
        <f t="shared" si="12"/>
        <v>0</v>
      </c>
      <c r="AF25" s="94">
        <f t="shared" si="13"/>
        <v>20389.350000000006</v>
      </c>
      <c r="AG25" s="50">
        <f>IFERROR((VLOOKUP(B25,'SUIVI 31.12.24 ALTONEO'!$B$1:$BF$38,33,FALSE())),0)</f>
        <v>0</v>
      </c>
      <c r="AH25" s="95">
        <f t="shared" si="14"/>
        <v>0</v>
      </c>
      <c r="AI25" s="94">
        <f t="shared" si="15"/>
        <v>126500</v>
      </c>
      <c r="AJ25" s="50">
        <f>IFERROR((VLOOKUP(B25,'SUIVI 31.12.24 ALTONEO'!$B$1:$BF$38,36,FALSE())),0)</f>
        <v>0</v>
      </c>
      <c r="AK25" s="95">
        <f t="shared" si="16"/>
        <v>0</v>
      </c>
      <c r="AO25" s="94">
        <f t="shared" si="17"/>
        <v>0</v>
      </c>
      <c r="AP25" s="95">
        <f t="shared" si="18"/>
        <v>0</v>
      </c>
      <c r="AQ25" s="96">
        <f t="shared" si="19"/>
        <v>0.16118063241106723</v>
      </c>
      <c r="AR25" s="94">
        <f t="shared" si="20"/>
        <v>0</v>
      </c>
      <c r="AS25" s="50">
        <f>IFERROR((VLOOKUP(B25,'SUIVI 31.12.24 ALTONEO'!$B$1:$BF$38,45,FALSE())),0)</f>
        <v>0</v>
      </c>
      <c r="AT25" s="97">
        <f t="shared" si="21"/>
        <v>0</v>
      </c>
      <c r="AU25" s="94">
        <f t="shared" si="22"/>
        <v>0</v>
      </c>
      <c r="AV25" s="50">
        <f>IFERROR((VLOOKUP(B25,'SUIVI 31.12.24 ALTONEO'!$B$1:$BF$38,48,FALSE())),0)</f>
        <v>0</v>
      </c>
      <c r="AW25" s="95">
        <f t="shared" si="23"/>
        <v>0</v>
      </c>
      <c r="AX25" s="94">
        <f t="shared" si="24"/>
        <v>0</v>
      </c>
      <c r="AY25" s="50">
        <f>IFERROR((VLOOKUP(B25,'SUIVI 31.12.24 ALTONEO'!$B$1:$BF$38,51,FALSE())),0)</f>
        <v>0</v>
      </c>
      <c r="AZ25" s="95">
        <f t="shared" si="25"/>
        <v>0</v>
      </c>
      <c r="BA25" s="94">
        <f t="shared" si="26"/>
        <v>0</v>
      </c>
      <c r="BB25" s="50">
        <f>IFERROR((VLOOKUP(B25,'SUIVI 31.12.24 ALTONEO'!$B$1:$BF$38,54,FALSE())),0)</f>
        <v>0</v>
      </c>
      <c r="BC25" s="95">
        <f t="shared" si="27"/>
        <v>0</v>
      </c>
      <c r="BD25" s="94">
        <f t="shared" si="28"/>
        <v>0</v>
      </c>
      <c r="BE25" s="50">
        <f>IFERROR((VLOOKUP(B25,'SUIVI 31.12.24 ALTONEO'!$B$1:$BF$38,57,FALSE())),0)</f>
        <v>0</v>
      </c>
      <c r="BF25" s="95"/>
    </row>
    <row r="26" spans="1:58" ht="15" customHeight="1" x14ac:dyDescent="0.2">
      <c r="A26" s="429"/>
      <c r="B26" s="84" t="s">
        <v>146</v>
      </c>
      <c r="C26" s="85" t="s">
        <v>137</v>
      </c>
      <c r="D26" s="86" t="s">
        <v>138</v>
      </c>
      <c r="E26" s="87">
        <f>VLOOKUP(D26,'% avancement'!$A$4:$B$17,2,FALSE())</f>
        <v>0.25</v>
      </c>
      <c r="F26" s="88">
        <v>125416.66666666701</v>
      </c>
      <c r="G26" s="89">
        <v>7500</v>
      </c>
      <c r="H26" s="90">
        <f t="shared" si="0"/>
        <v>127916.66666666701</v>
      </c>
      <c r="I26" s="89">
        <v>5000</v>
      </c>
      <c r="J26" s="89">
        <f t="shared" si="1"/>
        <v>7675.00000000002</v>
      </c>
      <c r="K26" s="89">
        <f t="shared" si="2"/>
        <v>3197.9166666666752</v>
      </c>
      <c r="L26" s="89">
        <v>7828.15</v>
      </c>
      <c r="M26" s="89">
        <f t="shared" si="3"/>
        <v>82408.333333333547</v>
      </c>
      <c r="N26" s="91">
        <v>6000</v>
      </c>
      <c r="O26" s="92"/>
      <c r="P26" s="93"/>
      <c r="Q26" s="93"/>
      <c r="R26" s="93"/>
      <c r="S26" s="93"/>
      <c r="T26" s="93"/>
      <c r="U26" s="94">
        <f t="shared" si="4"/>
        <v>33229.166666666752</v>
      </c>
      <c r="W26" s="50">
        <f t="shared" si="5"/>
        <v>0</v>
      </c>
      <c r="X26" s="95">
        <f t="shared" si="6"/>
        <v>1250</v>
      </c>
      <c r="Y26" s="94">
        <f t="shared" si="7"/>
        <v>1918.750000000005</v>
      </c>
      <c r="Z26" s="50">
        <f t="shared" si="8"/>
        <v>0</v>
      </c>
      <c r="AA26" s="50">
        <f t="shared" si="9"/>
        <v>799.47916666666879</v>
      </c>
      <c r="AB26" s="50">
        <f t="shared" si="10"/>
        <v>0</v>
      </c>
      <c r="AC26" s="50">
        <f t="shared" si="11"/>
        <v>1957.0374999999999</v>
      </c>
      <c r="AD26" s="50">
        <f t="shared" si="12"/>
        <v>20602.083333333387</v>
      </c>
      <c r="AF26" s="94">
        <f t="shared" si="13"/>
        <v>20807.266666666779</v>
      </c>
      <c r="AG26" s="50">
        <f>IFERROR((VLOOKUP(B26,'SUIVI 31.12.24 ALTONEO'!$B$1:$BF$38,33,FALSE())),0)</f>
        <v>0</v>
      </c>
      <c r="AH26" s="95">
        <f t="shared" si="14"/>
        <v>5201.8166666666948</v>
      </c>
      <c r="AI26" s="94">
        <f t="shared" si="15"/>
        <v>127916.66666666701</v>
      </c>
      <c r="AJ26" s="50">
        <f>IFERROR((VLOOKUP(B26,'SUIVI 31.12.24 ALTONEO'!$B$1:$BF$38,36,FALSE())),0)</f>
        <v>0</v>
      </c>
      <c r="AK26" s="95">
        <f t="shared" si="16"/>
        <v>31979.166666666752</v>
      </c>
      <c r="AO26" s="94">
        <f t="shared" si="17"/>
        <v>95937.500000000262</v>
      </c>
      <c r="AP26" s="95">
        <f t="shared" si="18"/>
        <v>15605.450000000084</v>
      </c>
      <c r="AQ26" s="96">
        <f t="shared" si="19"/>
        <v>0.16266267100977244</v>
      </c>
      <c r="AR26" s="94">
        <f t="shared" si="20"/>
        <v>20602.083333333387</v>
      </c>
      <c r="AS26" s="50">
        <f>IFERROR((VLOOKUP(B26,'SUIVI 31.12.24 ALTONEO'!$B$1:$BF$38,45,FALSE())),0)</f>
        <v>0</v>
      </c>
      <c r="AT26" s="97">
        <f t="shared" si="21"/>
        <v>20602.083333333387</v>
      </c>
      <c r="AU26" s="94">
        <f t="shared" si="22"/>
        <v>1957.0374999999999</v>
      </c>
      <c r="AV26" s="50">
        <f>IFERROR((VLOOKUP(B26,'SUIVI 31.12.24 ALTONEO'!$B$1:$BF$38,48,FALSE())),0)</f>
        <v>0</v>
      </c>
      <c r="AW26" s="95">
        <f t="shared" si="23"/>
        <v>1957.0374999999999</v>
      </c>
      <c r="AX26" s="94">
        <f t="shared" si="24"/>
        <v>1918.750000000005</v>
      </c>
      <c r="AY26" s="50">
        <f>IFERROR((VLOOKUP(B26,'SUIVI 31.12.24 ALTONEO'!$B$1:$BF$38,51,FALSE())),0)</f>
        <v>0</v>
      </c>
      <c r="AZ26" s="95">
        <f t="shared" si="25"/>
        <v>1918.750000000005</v>
      </c>
      <c r="BA26" s="94">
        <f t="shared" si="26"/>
        <v>799.47916666666879</v>
      </c>
      <c r="BB26" s="50">
        <f>IFERROR((VLOOKUP(B26,'SUIVI 31.12.24 ALTONEO'!$B$1:$BF$38,54,FALSE())),0)</f>
        <v>0</v>
      </c>
      <c r="BC26" s="95">
        <f t="shared" si="27"/>
        <v>799.47916666666879</v>
      </c>
      <c r="BD26" s="94">
        <f t="shared" si="28"/>
        <v>1500</v>
      </c>
      <c r="BE26" s="50">
        <f>IFERROR((VLOOKUP(B26,'SUIVI 31.12.24 ALTONEO'!$B$1:$BF$38,57,FALSE())),0)</f>
        <v>0</v>
      </c>
      <c r="BF26" s="95"/>
    </row>
    <row r="27" spans="1:58" ht="15" customHeight="1" x14ac:dyDescent="0.2">
      <c r="A27" s="429"/>
      <c r="B27" s="84" t="s">
        <v>147</v>
      </c>
      <c r="C27" s="85" t="s">
        <v>137</v>
      </c>
      <c r="D27" s="86" t="s">
        <v>138</v>
      </c>
      <c r="E27" s="87">
        <f>VLOOKUP(D27,'% avancement'!$A$4:$B$17,2,FALSE())</f>
        <v>0.25</v>
      </c>
      <c r="F27" s="88">
        <v>113166.66666666701</v>
      </c>
      <c r="G27" s="89">
        <v>7500</v>
      </c>
      <c r="H27" s="90">
        <f t="shared" si="0"/>
        <v>115666.66666666701</v>
      </c>
      <c r="I27" s="89">
        <v>5000</v>
      </c>
      <c r="J27" s="89">
        <f t="shared" si="1"/>
        <v>6940.00000000002</v>
      </c>
      <c r="K27" s="89">
        <f t="shared" si="2"/>
        <v>2891.6666666666752</v>
      </c>
      <c r="L27" s="89">
        <v>7828.15</v>
      </c>
      <c r="M27" s="89">
        <f t="shared" si="3"/>
        <v>74813.333333333547</v>
      </c>
      <c r="N27" s="91">
        <v>6000</v>
      </c>
      <c r="O27" s="92"/>
      <c r="P27" s="93"/>
      <c r="Q27" s="93"/>
      <c r="R27" s="93"/>
      <c r="S27" s="93"/>
      <c r="T27" s="93"/>
      <c r="U27" s="94">
        <f t="shared" si="4"/>
        <v>30166.666666666752</v>
      </c>
      <c r="W27" s="50">
        <f t="shared" si="5"/>
        <v>0</v>
      </c>
      <c r="X27" s="95">
        <f t="shared" si="6"/>
        <v>1250</v>
      </c>
      <c r="Y27" s="94">
        <f t="shared" si="7"/>
        <v>1735.000000000005</v>
      </c>
      <c r="Z27" s="50">
        <f t="shared" si="8"/>
        <v>0</v>
      </c>
      <c r="AA27" s="50">
        <f t="shared" si="9"/>
        <v>722.91666666666879</v>
      </c>
      <c r="AB27" s="50">
        <f t="shared" si="10"/>
        <v>0</v>
      </c>
      <c r="AC27" s="50">
        <f t="shared" si="11"/>
        <v>1957.0374999999999</v>
      </c>
      <c r="AD27" s="50">
        <f t="shared" si="12"/>
        <v>18703.333333333387</v>
      </c>
      <c r="AF27" s="94">
        <f t="shared" si="13"/>
        <v>17193.516666666779</v>
      </c>
      <c r="AG27" s="50">
        <f>IFERROR((VLOOKUP(B27,'SUIVI 31.12.24 ALTONEO'!$B$1:$BF$38,33,FALSE())),0)</f>
        <v>0</v>
      </c>
      <c r="AH27" s="95">
        <f t="shared" si="14"/>
        <v>4298.3791666666948</v>
      </c>
      <c r="AI27" s="94">
        <f t="shared" si="15"/>
        <v>115666.66666666701</v>
      </c>
      <c r="AJ27" s="50">
        <f>IFERROR((VLOOKUP(B27,'SUIVI 31.12.24 ALTONEO'!$B$1:$BF$38,36,FALSE())),0)</f>
        <v>0</v>
      </c>
      <c r="AK27" s="95">
        <f t="shared" si="16"/>
        <v>28916.666666666752</v>
      </c>
      <c r="AO27" s="94">
        <f t="shared" si="17"/>
        <v>86750.000000000262</v>
      </c>
      <c r="AP27" s="95">
        <f t="shared" si="18"/>
        <v>12895.137500000084</v>
      </c>
      <c r="AQ27" s="96">
        <f t="shared" si="19"/>
        <v>0.14864711815562012</v>
      </c>
      <c r="AR27" s="94">
        <f t="shared" si="20"/>
        <v>18703.333333333387</v>
      </c>
      <c r="AS27" s="50">
        <f>IFERROR((VLOOKUP(B27,'SUIVI 31.12.24 ALTONEO'!$B$1:$BF$38,45,FALSE())),0)</f>
        <v>0</v>
      </c>
      <c r="AT27" s="97">
        <f t="shared" si="21"/>
        <v>18703.333333333387</v>
      </c>
      <c r="AU27" s="94">
        <f t="shared" si="22"/>
        <v>1957.0374999999999</v>
      </c>
      <c r="AV27" s="50">
        <f>IFERROR((VLOOKUP(B27,'SUIVI 31.12.24 ALTONEO'!$B$1:$BF$38,48,FALSE())),0)</f>
        <v>0</v>
      </c>
      <c r="AW27" s="95">
        <f t="shared" si="23"/>
        <v>1957.0374999999999</v>
      </c>
      <c r="AX27" s="94">
        <f t="shared" si="24"/>
        <v>1735.000000000005</v>
      </c>
      <c r="AY27" s="50">
        <f>IFERROR((VLOOKUP(B27,'SUIVI 31.12.24 ALTONEO'!$B$1:$BF$38,51,FALSE())),0)</f>
        <v>0</v>
      </c>
      <c r="AZ27" s="95">
        <f t="shared" si="25"/>
        <v>1735.000000000005</v>
      </c>
      <c r="BA27" s="94">
        <f t="shared" si="26"/>
        <v>722.91666666666879</v>
      </c>
      <c r="BB27" s="50">
        <f>IFERROR((VLOOKUP(B27,'SUIVI 31.12.24 ALTONEO'!$B$1:$BF$38,54,FALSE())),0)</f>
        <v>0</v>
      </c>
      <c r="BC27" s="95">
        <f t="shared" si="27"/>
        <v>722.91666666666879</v>
      </c>
      <c r="BD27" s="94">
        <f t="shared" si="28"/>
        <v>1500</v>
      </c>
      <c r="BE27" s="50">
        <f>IFERROR((VLOOKUP(B27,'SUIVI 31.12.24 ALTONEO'!$B$1:$BF$38,57,FALSE())),0)</f>
        <v>0</v>
      </c>
      <c r="BF27" s="95"/>
    </row>
    <row r="28" spans="1:58" ht="15" customHeight="1" x14ac:dyDescent="0.2">
      <c r="A28" s="429"/>
      <c r="B28" s="84" t="s">
        <v>148</v>
      </c>
      <c r="C28" s="85" t="s">
        <v>137</v>
      </c>
      <c r="D28" s="86" t="s">
        <v>138</v>
      </c>
      <c r="E28" s="87">
        <f>VLOOKUP(D28,'% avancement'!$A$4:$B$17,2,FALSE())</f>
        <v>0.25</v>
      </c>
      <c r="F28" s="88">
        <v>126583.33333333299</v>
      </c>
      <c r="G28" s="89">
        <v>7500</v>
      </c>
      <c r="H28" s="90">
        <f t="shared" si="0"/>
        <v>129083.33333333299</v>
      </c>
      <c r="I28" s="89">
        <v>5000</v>
      </c>
      <c r="J28" s="89">
        <f t="shared" si="1"/>
        <v>7744.9999999999791</v>
      </c>
      <c r="K28" s="89">
        <f t="shared" si="2"/>
        <v>3227.0833333333248</v>
      </c>
      <c r="L28" s="89">
        <v>7828.15</v>
      </c>
      <c r="M28" s="89">
        <f t="shared" si="3"/>
        <v>83131.666666666453</v>
      </c>
      <c r="N28" s="91">
        <v>6000</v>
      </c>
      <c r="O28" s="92"/>
      <c r="P28" s="93"/>
      <c r="Q28" s="93"/>
      <c r="R28" s="93"/>
      <c r="S28" s="93"/>
      <c r="T28" s="93"/>
      <c r="U28" s="94">
        <f t="shared" si="4"/>
        <v>33520.833333333248</v>
      </c>
      <c r="W28" s="50">
        <f t="shared" si="5"/>
        <v>0</v>
      </c>
      <c r="X28" s="95">
        <f t="shared" si="6"/>
        <v>1250</v>
      </c>
      <c r="Y28" s="94">
        <f t="shared" si="7"/>
        <v>1936.2499999999948</v>
      </c>
      <c r="Z28" s="50">
        <f t="shared" si="8"/>
        <v>0</v>
      </c>
      <c r="AA28" s="50">
        <f t="shared" si="9"/>
        <v>806.77083333333121</v>
      </c>
      <c r="AB28" s="50">
        <f t="shared" si="10"/>
        <v>0</v>
      </c>
      <c r="AC28" s="50">
        <f t="shared" si="11"/>
        <v>1957.0374999999999</v>
      </c>
      <c r="AD28" s="50">
        <f t="shared" si="12"/>
        <v>20782.916666666613</v>
      </c>
      <c r="AF28" s="94">
        <f t="shared" si="13"/>
        <v>21151.433333333232</v>
      </c>
      <c r="AG28" s="50">
        <f>IFERROR((VLOOKUP(B28,'SUIVI 31.12.24 ALTONEO'!$B$1:$BF$38,33,FALSE())),0)</f>
        <v>0</v>
      </c>
      <c r="AH28" s="95">
        <f t="shared" si="14"/>
        <v>5287.8583333333081</v>
      </c>
      <c r="AI28" s="94">
        <f t="shared" si="15"/>
        <v>129083.33333333299</v>
      </c>
      <c r="AJ28" s="50">
        <f>IFERROR((VLOOKUP(B28,'SUIVI 31.12.24 ALTONEO'!$B$1:$BF$38,36,FALSE())),0)</f>
        <v>0</v>
      </c>
      <c r="AK28" s="95">
        <f t="shared" si="16"/>
        <v>32270.833333333248</v>
      </c>
      <c r="AO28" s="94">
        <f t="shared" si="17"/>
        <v>96812.499999999738</v>
      </c>
      <c r="AP28" s="95">
        <f t="shared" si="18"/>
        <v>15863.574999999924</v>
      </c>
      <c r="AQ28" s="96">
        <f t="shared" si="19"/>
        <v>0.16385874757908292</v>
      </c>
      <c r="AR28" s="94">
        <f t="shared" si="20"/>
        <v>20782.916666666613</v>
      </c>
      <c r="AS28" s="50">
        <f>IFERROR((VLOOKUP(B28,'SUIVI 31.12.24 ALTONEO'!$B$1:$BF$38,45,FALSE())),0)</f>
        <v>0</v>
      </c>
      <c r="AT28" s="97">
        <f t="shared" si="21"/>
        <v>20782.916666666613</v>
      </c>
      <c r="AU28" s="94">
        <f t="shared" si="22"/>
        <v>1957.0374999999999</v>
      </c>
      <c r="AV28" s="50">
        <f>IFERROR((VLOOKUP(B28,'SUIVI 31.12.24 ALTONEO'!$B$1:$BF$38,48,FALSE())),0)</f>
        <v>0</v>
      </c>
      <c r="AW28" s="95">
        <f t="shared" si="23"/>
        <v>1957.0374999999999</v>
      </c>
      <c r="AX28" s="94">
        <f t="shared" si="24"/>
        <v>1936.2499999999948</v>
      </c>
      <c r="AY28" s="50">
        <f>IFERROR((VLOOKUP(B28,'SUIVI 31.12.24 ALTONEO'!$B$1:$BF$38,51,FALSE())),0)</f>
        <v>0</v>
      </c>
      <c r="AZ28" s="95">
        <f t="shared" si="25"/>
        <v>1936.2499999999948</v>
      </c>
      <c r="BA28" s="94">
        <f t="shared" si="26"/>
        <v>806.77083333333121</v>
      </c>
      <c r="BB28" s="50">
        <f>IFERROR((VLOOKUP(B28,'SUIVI 31.12.24 ALTONEO'!$B$1:$BF$38,54,FALSE())),0)</f>
        <v>0</v>
      </c>
      <c r="BC28" s="95">
        <f t="shared" si="27"/>
        <v>806.77083333333121</v>
      </c>
      <c r="BD28" s="94">
        <f t="shared" si="28"/>
        <v>1500</v>
      </c>
      <c r="BE28" s="50">
        <f>IFERROR((VLOOKUP(B28,'SUIVI 31.12.24 ALTONEO'!$B$1:$BF$38,57,FALSE())),0)</f>
        <v>0</v>
      </c>
      <c r="BF28" s="95"/>
    </row>
    <row r="29" spans="1:58" ht="15" customHeight="1" x14ac:dyDescent="0.2">
      <c r="A29" s="429"/>
      <c r="B29" s="84" t="s">
        <v>149</v>
      </c>
      <c r="C29" s="85" t="s">
        <v>137</v>
      </c>
      <c r="D29" s="86" t="s">
        <v>138</v>
      </c>
      <c r="E29" s="87">
        <f>VLOOKUP(D29,'% avancement'!$A$4:$B$17,2,FALSE())</f>
        <v>0.25</v>
      </c>
      <c r="F29" s="88">
        <v>115583.33333333299</v>
      </c>
      <c r="G29" s="89">
        <v>7500</v>
      </c>
      <c r="H29" s="90">
        <f t="shared" si="0"/>
        <v>118083.33333333299</v>
      </c>
      <c r="I29" s="89">
        <v>5000</v>
      </c>
      <c r="J29" s="89">
        <f t="shared" si="1"/>
        <v>7084.9999999999791</v>
      </c>
      <c r="K29" s="89">
        <f t="shared" si="2"/>
        <v>2952.0833333333248</v>
      </c>
      <c r="L29" s="89">
        <v>7828.15</v>
      </c>
      <c r="M29" s="89">
        <f t="shared" si="3"/>
        <v>76311.666666666453</v>
      </c>
      <c r="N29" s="91">
        <v>6000</v>
      </c>
      <c r="O29" s="92"/>
      <c r="P29" s="93"/>
      <c r="Q29" s="93"/>
      <c r="R29" s="93"/>
      <c r="S29" s="93"/>
      <c r="T29" s="93"/>
      <c r="U29" s="94">
        <f t="shared" si="4"/>
        <v>30770.833333333248</v>
      </c>
      <c r="W29" s="50">
        <f t="shared" si="5"/>
        <v>0</v>
      </c>
      <c r="X29" s="95">
        <f t="shared" si="6"/>
        <v>1250</v>
      </c>
      <c r="Y29" s="94">
        <f t="shared" si="7"/>
        <v>1771.2499999999948</v>
      </c>
      <c r="Z29" s="50">
        <f t="shared" si="8"/>
        <v>0</v>
      </c>
      <c r="AA29" s="50">
        <f t="shared" si="9"/>
        <v>738.02083333333121</v>
      </c>
      <c r="AB29" s="50">
        <f t="shared" si="10"/>
        <v>0</v>
      </c>
      <c r="AC29" s="50">
        <f t="shared" si="11"/>
        <v>1957.0374999999999</v>
      </c>
      <c r="AD29" s="50">
        <f t="shared" si="12"/>
        <v>19077.916666666613</v>
      </c>
      <c r="AF29" s="94">
        <f t="shared" si="13"/>
        <v>17906.433333333232</v>
      </c>
      <c r="AG29" s="50">
        <f>IFERROR((VLOOKUP(B29,'SUIVI 31.12.24 ALTONEO'!$B$1:$BF$38,33,FALSE())),0)</f>
        <v>0</v>
      </c>
      <c r="AH29" s="95">
        <f t="shared" si="14"/>
        <v>4476.6083333333081</v>
      </c>
      <c r="AI29" s="94">
        <f t="shared" si="15"/>
        <v>118083.33333333299</v>
      </c>
      <c r="AJ29" s="50">
        <f>IFERROR((VLOOKUP(B29,'SUIVI 31.12.24 ALTONEO'!$B$1:$BF$38,36,FALSE())),0)</f>
        <v>0</v>
      </c>
      <c r="AK29" s="95">
        <f t="shared" si="16"/>
        <v>29520.833333333248</v>
      </c>
      <c r="AO29" s="94">
        <f t="shared" si="17"/>
        <v>88562.499999999738</v>
      </c>
      <c r="AP29" s="95">
        <f t="shared" si="18"/>
        <v>13429.824999999924</v>
      </c>
      <c r="AQ29" s="96">
        <f t="shared" si="19"/>
        <v>0.15164234297812237</v>
      </c>
      <c r="AR29" s="94">
        <f t="shared" si="20"/>
        <v>19077.916666666613</v>
      </c>
      <c r="AS29" s="50">
        <f>IFERROR((VLOOKUP(B29,'SUIVI 31.12.24 ALTONEO'!$B$1:$BF$38,45,FALSE())),0)</f>
        <v>0</v>
      </c>
      <c r="AT29" s="97">
        <f t="shared" si="21"/>
        <v>19077.916666666613</v>
      </c>
      <c r="AU29" s="94">
        <f t="shared" si="22"/>
        <v>1957.0374999999999</v>
      </c>
      <c r="AV29" s="50">
        <f>IFERROR((VLOOKUP(B29,'SUIVI 31.12.24 ALTONEO'!$B$1:$BF$38,48,FALSE())),0)</f>
        <v>0</v>
      </c>
      <c r="AW29" s="95">
        <f t="shared" si="23"/>
        <v>1957.0374999999999</v>
      </c>
      <c r="AX29" s="94">
        <f t="shared" si="24"/>
        <v>1771.2499999999948</v>
      </c>
      <c r="AY29" s="50">
        <f>IFERROR((VLOOKUP(B29,'SUIVI 31.12.24 ALTONEO'!$B$1:$BF$38,51,FALSE())),0)</f>
        <v>0</v>
      </c>
      <c r="AZ29" s="95">
        <f t="shared" si="25"/>
        <v>1771.2499999999948</v>
      </c>
      <c r="BA29" s="94">
        <f t="shared" si="26"/>
        <v>738.02083333333121</v>
      </c>
      <c r="BB29" s="50">
        <f>IFERROR((VLOOKUP(B29,'SUIVI 31.12.24 ALTONEO'!$B$1:$BF$38,54,FALSE())),0)</f>
        <v>0</v>
      </c>
      <c r="BC29" s="95">
        <f t="shared" si="27"/>
        <v>738.02083333333121</v>
      </c>
      <c r="BD29" s="94">
        <f t="shared" si="28"/>
        <v>1500</v>
      </c>
      <c r="BE29" s="50">
        <f>IFERROR((VLOOKUP(B29,'SUIVI 31.12.24 ALTONEO'!$B$1:$BF$38,57,FALSE())),0)</f>
        <v>0</v>
      </c>
      <c r="BF29" s="95"/>
    </row>
    <row r="30" spans="1:58" ht="15" customHeight="1" x14ac:dyDescent="0.2">
      <c r="A30" s="429"/>
      <c r="B30" s="84" t="s">
        <v>150</v>
      </c>
      <c r="C30" s="85" t="s">
        <v>137</v>
      </c>
      <c r="D30" s="86" t="s">
        <v>186</v>
      </c>
      <c r="E30" s="87">
        <f>VLOOKUP(D30,'% avancement'!$A$4:$B$17,2,FALSE())</f>
        <v>0.4</v>
      </c>
      <c r="F30" s="98">
        <f>129800/1.2</f>
        <v>108166.66666666667</v>
      </c>
      <c r="G30" s="99">
        <f>10918/1.2</f>
        <v>9098.3333333333339</v>
      </c>
      <c r="H30" s="99">
        <f t="shared" si="0"/>
        <v>112265</v>
      </c>
      <c r="I30" s="99">
        <v>5000</v>
      </c>
      <c r="J30" s="99">
        <v>7297.23</v>
      </c>
      <c r="K30" s="99">
        <v>2806.63</v>
      </c>
      <c r="L30" s="99">
        <v>7828.15</v>
      </c>
      <c r="M30" s="99">
        <v>71808.429999999993</v>
      </c>
      <c r="N30" s="91">
        <v>6000</v>
      </c>
      <c r="O30" s="92">
        <v>5000</v>
      </c>
      <c r="P30" s="93">
        <v>7297.23</v>
      </c>
      <c r="Q30" s="93">
        <v>2806.63</v>
      </c>
      <c r="R30" s="93">
        <v>7828.15</v>
      </c>
      <c r="S30" s="93"/>
      <c r="T30" s="93">
        <v>6000</v>
      </c>
      <c r="U30" s="94">
        <f t="shared" si="4"/>
        <v>46906</v>
      </c>
      <c r="W30" s="50">
        <f t="shared" si="5"/>
        <v>3000</v>
      </c>
      <c r="X30" s="95">
        <f t="shared" si="6"/>
        <v>0</v>
      </c>
      <c r="Y30" s="94">
        <f t="shared" si="7"/>
        <v>0</v>
      </c>
      <c r="Z30" s="50">
        <f t="shared" si="8"/>
        <v>4378.3379999999997</v>
      </c>
      <c r="AA30" s="50">
        <f t="shared" si="9"/>
        <v>0</v>
      </c>
      <c r="AB30" s="50">
        <f t="shared" si="10"/>
        <v>1683.9780000000001</v>
      </c>
      <c r="AC30" s="50">
        <f t="shared" si="11"/>
        <v>4696.8899999999994</v>
      </c>
      <c r="AD30" s="50">
        <f t="shared" si="12"/>
        <v>28723.371999999999</v>
      </c>
      <c r="AF30" s="94">
        <f t="shared" si="13"/>
        <v>16524.560000000012</v>
      </c>
      <c r="AG30" s="50">
        <f>IFERROR((VLOOKUP(B30,'SUIVI 31.12.24 ALTONEO'!$B$1:$BF$38,33,FALSE())),0)</f>
        <v>0</v>
      </c>
      <c r="AH30" s="95">
        <f t="shared" si="14"/>
        <v>6609.8240000000051</v>
      </c>
      <c r="AI30" s="94">
        <f t="shared" si="15"/>
        <v>112265</v>
      </c>
      <c r="AJ30" s="50">
        <f>IFERROR((VLOOKUP(B30,'SUIVI 31.12.24 ALTONEO'!$B$1:$BF$38,36,FALSE())),0)</f>
        <v>0</v>
      </c>
      <c r="AK30" s="95">
        <f t="shared" si="16"/>
        <v>44906</v>
      </c>
      <c r="AO30" s="94">
        <f t="shared" si="17"/>
        <v>67359</v>
      </c>
      <c r="AP30" s="95">
        <f t="shared" si="18"/>
        <v>9914.7360000000081</v>
      </c>
      <c r="AQ30" s="96">
        <f t="shared" si="19"/>
        <v>0.14719244644368246</v>
      </c>
      <c r="AR30" s="94">
        <f t="shared" si="20"/>
        <v>28723.371999999999</v>
      </c>
      <c r="AS30" s="50">
        <f>IFERROR((VLOOKUP(B30,'SUIVI 31.12.24 ALTONEO'!$B$1:$BF$38,45,FALSE())),0)</f>
        <v>0</v>
      </c>
      <c r="AT30" s="97">
        <f t="shared" si="21"/>
        <v>28723.371999999999</v>
      </c>
      <c r="AU30" s="94">
        <f t="shared" si="22"/>
        <v>3131.26</v>
      </c>
      <c r="AV30" s="50">
        <f>IFERROR((VLOOKUP(B30,'SUIVI 31.12.24 ALTONEO'!$B$1:$BF$38,48,FALSE())),0)</f>
        <v>0</v>
      </c>
      <c r="AW30" s="95">
        <f t="shared" si="23"/>
        <v>3131.26</v>
      </c>
      <c r="AX30" s="94">
        <f t="shared" si="24"/>
        <v>2918.8919999999998</v>
      </c>
      <c r="AY30" s="50">
        <f>IFERROR((VLOOKUP(B30,'SUIVI 31.12.24 ALTONEO'!$B$1:$BF$38,51,FALSE())),0)</f>
        <v>0</v>
      </c>
      <c r="AZ30" s="95">
        <f t="shared" si="25"/>
        <v>2918.8919999999998</v>
      </c>
      <c r="BA30" s="94">
        <f t="shared" si="26"/>
        <v>1122.652</v>
      </c>
      <c r="BB30" s="50">
        <f>IFERROR((VLOOKUP(B30,'SUIVI 31.12.24 ALTONEO'!$B$1:$BF$38,54,FALSE())),0)</f>
        <v>0</v>
      </c>
      <c r="BC30" s="95">
        <f t="shared" si="27"/>
        <v>1122.652</v>
      </c>
      <c r="BD30" s="94">
        <f t="shared" si="28"/>
        <v>2400</v>
      </c>
      <c r="BE30" s="50">
        <f>IFERROR((VLOOKUP(B30,'SUIVI 31.12.24 ALTONEO'!$B$1:$BF$38,57,FALSE())),0)</f>
        <v>0</v>
      </c>
      <c r="BF30" s="95"/>
    </row>
    <row r="31" spans="1:58" ht="15" customHeight="1" x14ac:dyDescent="0.2">
      <c r="A31" s="429"/>
      <c r="B31" s="84" t="s">
        <v>152</v>
      </c>
      <c r="C31" s="85" t="s">
        <v>137</v>
      </c>
      <c r="D31" s="86" t="s">
        <v>159</v>
      </c>
      <c r="E31" s="87">
        <f>VLOOKUP(D31,'% avancement'!$A$5:$B$17,2,FALSE())</f>
        <v>0.6</v>
      </c>
      <c r="F31" s="98">
        <f>178200/1.2</f>
        <v>148500</v>
      </c>
      <c r="G31" s="99">
        <f>10305/1.2</f>
        <v>8587.5</v>
      </c>
      <c r="H31" s="99">
        <f t="shared" si="0"/>
        <v>152087.5</v>
      </c>
      <c r="I31" s="99">
        <v>5000</v>
      </c>
      <c r="J31" s="99">
        <f>11862.83/1.2</f>
        <v>9885.6916666666675</v>
      </c>
      <c r="K31" s="99">
        <f>4562.63/1.2</f>
        <v>3802.1916666666671</v>
      </c>
      <c r="L31" s="99">
        <v>7828.15</v>
      </c>
      <c r="M31" s="99">
        <v>102829.4</v>
      </c>
      <c r="N31" s="91">
        <v>6000</v>
      </c>
      <c r="O31" s="92">
        <v>5000</v>
      </c>
      <c r="P31" s="93">
        <v>9885.6916666666693</v>
      </c>
      <c r="Q31" s="93">
        <v>3802.1916666666698</v>
      </c>
      <c r="R31" s="93">
        <v>7828.15</v>
      </c>
      <c r="S31" s="93"/>
      <c r="T31" s="93">
        <v>6000</v>
      </c>
      <c r="U31" s="94">
        <f t="shared" si="4"/>
        <v>94252.5</v>
      </c>
      <c r="W31" s="50">
        <f t="shared" si="5"/>
        <v>2000</v>
      </c>
      <c r="X31" s="95">
        <f t="shared" si="6"/>
        <v>0</v>
      </c>
      <c r="Y31" s="94">
        <f t="shared" si="7"/>
        <v>0</v>
      </c>
      <c r="Z31" s="50">
        <f t="shared" si="8"/>
        <v>3954.276666666668</v>
      </c>
      <c r="AA31" s="50">
        <f t="shared" si="9"/>
        <v>0</v>
      </c>
      <c r="AB31" s="50">
        <f t="shared" si="10"/>
        <v>1520.8766666666679</v>
      </c>
      <c r="AC31" s="50">
        <f t="shared" si="11"/>
        <v>3131.26</v>
      </c>
      <c r="AD31" s="50">
        <f t="shared" si="12"/>
        <v>61697.639999999992</v>
      </c>
      <c r="AF31" s="94">
        <f t="shared" si="13"/>
        <v>21742.066666666651</v>
      </c>
      <c r="AG31" s="50">
        <f>IFERROR((VLOOKUP(B31,'SUIVI 31.12.24 ALTONEO'!$B$1:$BF$38,33,FALSE())),0)</f>
        <v>0</v>
      </c>
      <c r="AH31" s="95">
        <f t="shared" si="14"/>
        <v>13045.239999999991</v>
      </c>
      <c r="AI31" s="94">
        <f t="shared" si="15"/>
        <v>152087.5</v>
      </c>
      <c r="AJ31" s="50">
        <f>IFERROR((VLOOKUP(B31,'SUIVI 31.12.24 ALTONEO'!$B$1:$BF$38,36,FALSE())),0)</f>
        <v>0</v>
      </c>
      <c r="AK31" s="95">
        <f t="shared" si="16"/>
        <v>91252.5</v>
      </c>
      <c r="AO31" s="94">
        <f t="shared" si="17"/>
        <v>60835</v>
      </c>
      <c r="AP31" s="95">
        <f t="shared" si="18"/>
        <v>8696.8266666666605</v>
      </c>
      <c r="AQ31" s="96">
        <f t="shared" si="19"/>
        <v>0.14295761759951772</v>
      </c>
      <c r="AR31" s="94">
        <f t="shared" si="20"/>
        <v>61697.639999999992</v>
      </c>
      <c r="AS31" s="50">
        <f>IFERROR((VLOOKUP(B31,'SUIVI 31.12.24 ALTONEO'!$B$1:$BF$38,45,FALSE())),0)</f>
        <v>0</v>
      </c>
      <c r="AT31" s="97">
        <f t="shared" si="21"/>
        <v>61697.639999999992</v>
      </c>
      <c r="AU31" s="94">
        <f t="shared" si="22"/>
        <v>4696.8899999999994</v>
      </c>
      <c r="AV31" s="50">
        <f>IFERROR((VLOOKUP(B31,'SUIVI 31.12.24 ALTONEO'!$B$1:$BF$38,48,FALSE())),0)</f>
        <v>0</v>
      </c>
      <c r="AW31" s="95">
        <f t="shared" si="23"/>
        <v>4696.8899999999994</v>
      </c>
      <c r="AX31" s="94">
        <f t="shared" si="24"/>
        <v>5931.4150000000009</v>
      </c>
      <c r="AY31" s="50">
        <f>IFERROR((VLOOKUP(B31,'SUIVI 31.12.24 ALTONEO'!$B$1:$BF$38,51,FALSE())),0)</f>
        <v>0</v>
      </c>
      <c r="AZ31" s="95">
        <f t="shared" si="25"/>
        <v>5931.4150000000009</v>
      </c>
      <c r="BA31" s="94">
        <f t="shared" si="26"/>
        <v>2281.3150000000019</v>
      </c>
      <c r="BB31" s="50">
        <f>IFERROR((VLOOKUP(B31,'SUIVI 31.12.24 ALTONEO'!$B$1:$BF$38,54,FALSE())),0)</f>
        <v>0</v>
      </c>
      <c r="BC31" s="95">
        <f t="shared" si="27"/>
        <v>2281.3150000000019</v>
      </c>
      <c r="BD31" s="94">
        <f t="shared" si="28"/>
        <v>3600</v>
      </c>
      <c r="BE31" s="50">
        <f>IFERROR((VLOOKUP(B31,'SUIVI 31.12.24 ALTONEO'!$B$1:$BF$38,57,FALSE())),0)</f>
        <v>0</v>
      </c>
      <c r="BF31" s="95"/>
    </row>
    <row r="32" spans="1:58" ht="15" customHeight="1" x14ac:dyDescent="0.2">
      <c r="A32" s="429"/>
      <c r="B32" s="84" t="s">
        <v>153</v>
      </c>
      <c r="C32" s="85" t="s">
        <v>137</v>
      </c>
      <c r="D32" s="86" t="s">
        <v>151</v>
      </c>
      <c r="E32" s="87">
        <f>VLOOKUP(D32,'% avancement'!$A$5:$B$17,2,FALSE())</f>
        <v>0.8</v>
      </c>
      <c r="F32" s="98">
        <v>121500</v>
      </c>
      <c r="G32" s="99">
        <v>8878.3333330000005</v>
      </c>
      <c r="H32" s="99">
        <f t="shared" si="0"/>
        <v>125378.333333</v>
      </c>
      <c r="I32" s="99">
        <v>5000</v>
      </c>
      <c r="J32" s="99">
        <v>8149.59</v>
      </c>
      <c r="K32" s="99">
        <v>3134.46</v>
      </c>
      <c r="L32" s="99">
        <v>7828.15</v>
      </c>
      <c r="M32" s="99">
        <v>72954.42</v>
      </c>
      <c r="N32" s="91">
        <v>6000</v>
      </c>
      <c r="O32" s="92">
        <v>5000</v>
      </c>
      <c r="P32" s="93"/>
      <c r="Q32" s="93"/>
      <c r="R32" s="93"/>
      <c r="S32" s="93"/>
      <c r="T32" s="93">
        <v>6000</v>
      </c>
      <c r="U32" s="94">
        <f t="shared" si="4"/>
        <v>104302.66666640001</v>
      </c>
      <c r="W32" s="50">
        <f t="shared" si="5"/>
        <v>999.99999999999977</v>
      </c>
      <c r="X32" s="95">
        <f t="shared" si="6"/>
        <v>0</v>
      </c>
      <c r="Y32" s="94">
        <f t="shared" si="7"/>
        <v>6018.159999984</v>
      </c>
      <c r="Z32" s="50">
        <f t="shared" si="8"/>
        <v>0</v>
      </c>
      <c r="AA32" s="50">
        <f t="shared" si="9"/>
        <v>2507.5666666600005</v>
      </c>
      <c r="AB32" s="50">
        <f t="shared" si="10"/>
        <v>0</v>
      </c>
      <c r="AC32" s="50">
        <f t="shared" si="11"/>
        <v>6262.52</v>
      </c>
      <c r="AD32" s="50">
        <f t="shared" si="12"/>
        <v>58363.536</v>
      </c>
      <c r="AF32" s="94">
        <f t="shared" si="13"/>
        <v>27311.713333000007</v>
      </c>
      <c r="AG32" s="50">
        <f>IFERROR((VLOOKUP(B32,'SUIVI 31.12.24 ALTONEO'!$B$1:$BF$38,33,FALSE())),0)</f>
        <v>0</v>
      </c>
      <c r="AH32" s="95">
        <f t="shared" si="14"/>
        <v>21849.370666400006</v>
      </c>
      <c r="AI32" s="94">
        <f t="shared" si="15"/>
        <v>125378.333333</v>
      </c>
      <c r="AJ32" s="50">
        <f>IFERROR((VLOOKUP(B32,'SUIVI 31.12.24 ALTONEO'!$B$1:$BF$38,36,FALSE())),0)</f>
        <v>0</v>
      </c>
      <c r="AK32" s="95">
        <f t="shared" si="16"/>
        <v>100302.66666640001</v>
      </c>
      <c r="AO32" s="94">
        <f t="shared" si="17"/>
        <v>25075.666666599995</v>
      </c>
      <c r="AP32" s="95">
        <f t="shared" si="18"/>
        <v>5462.3426666000014</v>
      </c>
      <c r="AQ32" s="96">
        <f t="shared" si="19"/>
        <v>0.21783439456370146</v>
      </c>
      <c r="AR32" s="94">
        <f t="shared" si="20"/>
        <v>58363.536</v>
      </c>
      <c r="AS32" s="50">
        <f>IFERROR((VLOOKUP(B32,'SUIVI 31.12.24 ALTONEO'!$B$1:$BF$38,45,FALSE())),0)</f>
        <v>0</v>
      </c>
      <c r="AT32" s="97">
        <f t="shared" si="21"/>
        <v>58363.536</v>
      </c>
      <c r="AU32" s="94">
        <f t="shared" si="22"/>
        <v>6262.52</v>
      </c>
      <c r="AV32" s="50">
        <f>IFERROR((VLOOKUP(B32,'SUIVI 31.12.24 ALTONEO'!$B$1:$BF$38,48,FALSE())),0)</f>
        <v>0</v>
      </c>
      <c r="AW32" s="95">
        <f t="shared" si="23"/>
        <v>6262.52</v>
      </c>
      <c r="AX32" s="94">
        <f t="shared" si="24"/>
        <v>6519.6720000000005</v>
      </c>
      <c r="AY32" s="50">
        <f>IFERROR((VLOOKUP(B32,'SUIVI 31.12.24 ALTONEO'!$B$1:$BF$38,51,FALSE())),0)</f>
        <v>0</v>
      </c>
      <c r="AZ32" s="95">
        <f t="shared" si="25"/>
        <v>6519.6720000000005</v>
      </c>
      <c r="BA32" s="94">
        <f t="shared" si="26"/>
        <v>2507.5680000000002</v>
      </c>
      <c r="BB32" s="50">
        <f>IFERROR((VLOOKUP(B32,'SUIVI 31.12.24 ALTONEO'!$B$1:$BF$38,54,FALSE())),0)</f>
        <v>0</v>
      </c>
      <c r="BC32" s="95">
        <f t="shared" si="27"/>
        <v>2507.5680000000002</v>
      </c>
      <c r="BD32" s="94">
        <f t="shared" si="28"/>
        <v>4800</v>
      </c>
      <c r="BE32" s="50">
        <f>IFERROR((VLOOKUP(B32,'SUIVI 31.12.24 ALTONEO'!$B$1:$BF$38,57,FALSE())),0)</f>
        <v>0</v>
      </c>
      <c r="BF32" s="95"/>
    </row>
    <row r="33" spans="1:58" ht="15" customHeight="1" x14ac:dyDescent="0.2">
      <c r="A33" s="429"/>
      <c r="B33" s="84" t="s">
        <v>155</v>
      </c>
      <c r="C33" s="85" t="s">
        <v>137</v>
      </c>
      <c r="D33" s="86" t="s">
        <v>159</v>
      </c>
      <c r="E33" s="87">
        <f>VLOOKUP(D33,'% avancement'!$A$5:$B$17,2,FALSE())</f>
        <v>0.6</v>
      </c>
      <c r="F33" s="98">
        <f>155200/1.2</f>
        <v>129333.33333333334</v>
      </c>
      <c r="G33" s="99">
        <f>10268/1.2</f>
        <v>8556.6666666666679</v>
      </c>
      <c r="H33" s="99">
        <f t="shared" si="0"/>
        <v>132890</v>
      </c>
      <c r="I33" s="99">
        <v>5000</v>
      </c>
      <c r="J33" s="99">
        <f>10365.42/1.2</f>
        <v>8637.85</v>
      </c>
      <c r="K33" s="99">
        <f>3986.7/1.2</f>
        <v>3322.25</v>
      </c>
      <c r="L33" s="99">
        <v>7828.15</v>
      </c>
      <c r="M33" s="99">
        <v>84311.97</v>
      </c>
      <c r="N33" s="91">
        <v>6000</v>
      </c>
      <c r="O33" s="92">
        <v>5000</v>
      </c>
      <c r="P33" s="99">
        <f>10365.42/1.2</f>
        <v>8637.85</v>
      </c>
      <c r="Q33" s="99">
        <f>3986.7/1.2</f>
        <v>3322.25</v>
      </c>
      <c r="R33" s="99">
        <v>7828.15</v>
      </c>
      <c r="S33" s="93"/>
      <c r="T33" s="93">
        <v>6000</v>
      </c>
      <c r="U33" s="94">
        <f t="shared" si="4"/>
        <v>82734</v>
      </c>
      <c r="W33" s="50">
        <f t="shared" si="5"/>
        <v>2000</v>
      </c>
      <c r="X33" s="95">
        <f t="shared" si="6"/>
        <v>0</v>
      </c>
      <c r="Y33" s="94">
        <f t="shared" si="7"/>
        <v>0</v>
      </c>
      <c r="Z33" s="50">
        <f t="shared" si="8"/>
        <v>3455.1400000000003</v>
      </c>
      <c r="AA33" s="50">
        <f t="shared" si="9"/>
        <v>0</v>
      </c>
      <c r="AB33" s="50">
        <f t="shared" si="10"/>
        <v>1328.9</v>
      </c>
      <c r="AC33" s="50">
        <f t="shared" si="11"/>
        <v>3131.26</v>
      </c>
      <c r="AD33" s="50">
        <f t="shared" si="12"/>
        <v>50587.182000000001</v>
      </c>
      <c r="AF33" s="94">
        <f t="shared" si="13"/>
        <v>22789.78</v>
      </c>
      <c r="AG33" s="50">
        <f>IFERROR((VLOOKUP(B33,'SUIVI 31.12.24 ALTONEO'!$B$1:$BF$38,33,FALSE())),0)</f>
        <v>0</v>
      </c>
      <c r="AH33" s="95">
        <f t="shared" si="14"/>
        <v>13673.867999999999</v>
      </c>
      <c r="AI33" s="94">
        <f t="shared" si="15"/>
        <v>132890</v>
      </c>
      <c r="AJ33" s="50">
        <f>IFERROR((VLOOKUP(B33,'SUIVI 31.12.24 ALTONEO'!$B$1:$BF$38,36,FALSE())),0)</f>
        <v>0</v>
      </c>
      <c r="AK33" s="95">
        <f t="shared" si="16"/>
        <v>79734</v>
      </c>
      <c r="AO33" s="94">
        <f t="shared" si="17"/>
        <v>53156</v>
      </c>
      <c r="AP33" s="95">
        <f t="shared" si="18"/>
        <v>9115.9120000000003</v>
      </c>
      <c r="AQ33" s="96">
        <f t="shared" si="19"/>
        <v>0.17149356610730679</v>
      </c>
      <c r="AR33" s="94">
        <f t="shared" si="20"/>
        <v>50587.182000000001</v>
      </c>
      <c r="AS33" s="50">
        <f>IFERROR((VLOOKUP(B33,'SUIVI 31.12.24 ALTONEO'!$B$1:$BF$38,45,FALSE())),0)</f>
        <v>0</v>
      </c>
      <c r="AT33" s="97">
        <f t="shared" si="21"/>
        <v>50587.182000000001</v>
      </c>
      <c r="AU33" s="94">
        <f t="shared" si="22"/>
        <v>4696.8899999999994</v>
      </c>
      <c r="AV33" s="50">
        <f>IFERROR((VLOOKUP(B33,'SUIVI 31.12.24 ALTONEO'!$B$1:$BF$38,48,FALSE())),0)</f>
        <v>0</v>
      </c>
      <c r="AW33" s="95">
        <f t="shared" si="23"/>
        <v>4696.8899999999994</v>
      </c>
      <c r="AX33" s="94">
        <f t="shared" si="24"/>
        <v>5182.71</v>
      </c>
      <c r="AY33" s="50">
        <f>IFERROR((VLOOKUP(B33,'SUIVI 31.12.24 ALTONEO'!$B$1:$BF$38,51,FALSE())),0)</f>
        <v>0</v>
      </c>
      <c r="AZ33" s="95">
        <f t="shared" si="25"/>
        <v>5182.71</v>
      </c>
      <c r="BA33" s="94">
        <f t="shared" si="26"/>
        <v>1993.35</v>
      </c>
      <c r="BB33" s="50">
        <f>IFERROR((VLOOKUP(B33,'SUIVI 31.12.24 ALTONEO'!$B$1:$BF$38,54,FALSE())),0)</f>
        <v>0</v>
      </c>
      <c r="BC33" s="95">
        <f t="shared" si="27"/>
        <v>1993.35</v>
      </c>
      <c r="BD33" s="94">
        <f t="shared" si="28"/>
        <v>3600</v>
      </c>
      <c r="BE33" s="50">
        <f>IFERROR((VLOOKUP(B33,'SUIVI 31.12.24 ALTONEO'!$B$1:$BF$38,57,FALSE())),0)</f>
        <v>0</v>
      </c>
      <c r="BF33" s="95"/>
    </row>
    <row r="34" spans="1:58" ht="15" customHeight="1" x14ac:dyDescent="0.2">
      <c r="A34" s="429"/>
      <c r="B34" s="84" t="s">
        <v>187</v>
      </c>
      <c r="C34" s="85" t="s">
        <v>137</v>
      </c>
      <c r="D34" s="86" t="s">
        <v>138</v>
      </c>
      <c r="E34" s="87">
        <f>VLOOKUP(D34,'% avancement'!$A$5:$B$17,2,FALSE())</f>
        <v>0.25</v>
      </c>
      <c r="F34" s="98">
        <f>133500/1.2</f>
        <v>111250</v>
      </c>
      <c r="G34" s="99">
        <f>8900/1.2</f>
        <v>7416.666666666667</v>
      </c>
      <c r="H34" s="90">
        <f t="shared" si="0"/>
        <v>118666.66666666667</v>
      </c>
      <c r="I34" s="89">
        <v>0</v>
      </c>
      <c r="J34" s="89">
        <f>(F34+G34-I34)*0.06</f>
        <v>7120</v>
      </c>
      <c r="K34" s="89">
        <f>(F34+G34-I34)*0.025</f>
        <v>2966.666666666667</v>
      </c>
      <c r="L34" s="99">
        <v>7828.15</v>
      </c>
      <c r="M34" s="89">
        <f>(F34+G34)*0.62</f>
        <v>73573.333333333343</v>
      </c>
      <c r="N34" s="91">
        <v>3800</v>
      </c>
      <c r="O34" s="92">
        <v>0</v>
      </c>
      <c r="P34" s="93"/>
      <c r="Q34" s="93"/>
      <c r="R34" s="93"/>
      <c r="S34" s="93"/>
      <c r="T34" s="93">
        <v>3800</v>
      </c>
      <c r="U34" s="94">
        <f t="shared" si="4"/>
        <v>29666.666666666668</v>
      </c>
      <c r="W34" s="50">
        <f t="shared" si="5"/>
        <v>0</v>
      </c>
      <c r="X34" s="95">
        <f t="shared" si="6"/>
        <v>0</v>
      </c>
      <c r="Y34" s="94">
        <f t="shared" si="7"/>
        <v>1780</v>
      </c>
      <c r="Z34" s="50">
        <f t="shared" si="8"/>
        <v>0</v>
      </c>
      <c r="AA34" s="50">
        <f t="shared" si="9"/>
        <v>741.66666666666674</v>
      </c>
      <c r="AB34" s="50">
        <f t="shared" si="10"/>
        <v>0</v>
      </c>
      <c r="AC34" s="50">
        <f t="shared" si="11"/>
        <v>1957.0374999999999</v>
      </c>
      <c r="AD34" s="50">
        <f t="shared" si="12"/>
        <v>18393.333333333336</v>
      </c>
      <c r="AF34" s="94">
        <f t="shared" si="13"/>
        <v>23378.516666666663</v>
      </c>
      <c r="AG34" s="50">
        <f>IFERROR((VLOOKUP(B34,'SUIVI 31.12.24 ALTONEO'!$B$1:$BF$38,33,FALSE())),0)</f>
        <v>0</v>
      </c>
      <c r="AH34" s="95">
        <f t="shared" si="14"/>
        <v>5844.6291666666657</v>
      </c>
      <c r="AI34" s="94">
        <f t="shared" si="15"/>
        <v>118666.66666666667</v>
      </c>
      <c r="AJ34" s="50">
        <f>IFERROR((VLOOKUP(B34,'SUIVI 31.12.24 ALTONEO'!$B$1:$BF$38,36,FALSE())),0)</f>
        <v>0</v>
      </c>
      <c r="AK34" s="95">
        <f t="shared" si="16"/>
        <v>29666.666666666668</v>
      </c>
      <c r="AO34" s="94">
        <f t="shared" si="17"/>
        <v>89000</v>
      </c>
      <c r="AP34" s="95">
        <f t="shared" si="18"/>
        <v>17533.887499999997</v>
      </c>
      <c r="AQ34" s="96">
        <f t="shared" si="19"/>
        <v>0.19700997191011232</v>
      </c>
      <c r="AR34" s="94">
        <f t="shared" si="20"/>
        <v>18393.333333333336</v>
      </c>
      <c r="AS34" s="50">
        <f>IFERROR((VLOOKUP(B34,'SUIVI 31.12.24 ALTONEO'!$B$1:$BF$38,45,FALSE())),0)</f>
        <v>0</v>
      </c>
      <c r="AT34" s="97">
        <f t="shared" si="21"/>
        <v>18393.333333333336</v>
      </c>
      <c r="AU34" s="94">
        <f t="shared" si="22"/>
        <v>1957.0374999999999</v>
      </c>
      <c r="AV34" s="50">
        <f>IFERROR((VLOOKUP(B34,'SUIVI 31.12.24 ALTONEO'!$B$1:$BF$38,48,FALSE())),0)</f>
        <v>0</v>
      </c>
      <c r="AW34" s="95">
        <f t="shared" si="23"/>
        <v>1957.0374999999999</v>
      </c>
      <c r="AX34" s="94">
        <f t="shared" si="24"/>
        <v>1780</v>
      </c>
      <c r="AY34" s="50">
        <f>IFERROR((VLOOKUP(B34,'SUIVI 31.12.24 ALTONEO'!$B$1:$BF$38,51,FALSE())),0)</f>
        <v>0</v>
      </c>
      <c r="AZ34" s="95">
        <f t="shared" si="25"/>
        <v>1780</v>
      </c>
      <c r="BA34" s="94">
        <f t="shared" si="26"/>
        <v>741.66666666666674</v>
      </c>
      <c r="BB34" s="50">
        <f>IFERROR((VLOOKUP(B34,'SUIVI 31.12.24 ALTONEO'!$B$1:$BF$38,54,FALSE())),0)</f>
        <v>0</v>
      </c>
      <c r="BC34" s="95">
        <f t="shared" si="27"/>
        <v>741.66666666666674</v>
      </c>
      <c r="BD34" s="94">
        <f t="shared" si="28"/>
        <v>950</v>
      </c>
      <c r="BE34" s="50">
        <f>IFERROR((VLOOKUP(B34,'SUIVI 31.12.24 ALTONEO'!$B$1:$BF$38,57,FALSE())),0)</f>
        <v>0</v>
      </c>
      <c r="BF34" s="95"/>
    </row>
    <row r="35" spans="1:58" ht="15" customHeight="1" x14ac:dyDescent="0.2">
      <c r="A35" s="429"/>
      <c r="B35" s="84" t="s">
        <v>157</v>
      </c>
      <c r="C35" s="85" t="s">
        <v>137</v>
      </c>
      <c r="D35" s="86" t="s">
        <v>159</v>
      </c>
      <c r="E35" s="87">
        <f>VLOOKUP(D35,'% avancement'!$A$5:$B$17,2,FALSE())</f>
        <v>0.6</v>
      </c>
      <c r="F35" s="98">
        <f>153300/1.2</f>
        <v>127750</v>
      </c>
      <c r="G35" s="99">
        <f>12561/1.2</f>
        <v>10467.5</v>
      </c>
      <c r="H35" s="99">
        <f t="shared" si="0"/>
        <v>133217.5</v>
      </c>
      <c r="I35" s="99">
        <v>5000</v>
      </c>
      <c r="J35" s="99">
        <v>8659.14</v>
      </c>
      <c r="K35" s="99">
        <v>3330.44</v>
      </c>
      <c r="L35" s="99">
        <v>7828.15</v>
      </c>
      <c r="M35" s="99">
        <v>82736.3</v>
      </c>
      <c r="N35" s="91">
        <v>6000</v>
      </c>
      <c r="O35" s="92">
        <v>5000</v>
      </c>
      <c r="P35" s="93"/>
      <c r="Q35" s="93"/>
      <c r="R35" s="93"/>
      <c r="S35" s="93"/>
      <c r="T35" s="93">
        <v>6000</v>
      </c>
      <c r="U35" s="94">
        <f t="shared" si="4"/>
        <v>82930.5</v>
      </c>
      <c r="W35" s="50">
        <f t="shared" si="5"/>
        <v>2000</v>
      </c>
      <c r="X35" s="95">
        <f t="shared" si="6"/>
        <v>0</v>
      </c>
      <c r="Y35" s="94">
        <f t="shared" si="7"/>
        <v>4795.829999999999</v>
      </c>
      <c r="Z35" s="50">
        <f t="shared" si="8"/>
        <v>0</v>
      </c>
      <c r="AA35" s="50">
        <f t="shared" si="9"/>
        <v>1998.2624999999998</v>
      </c>
      <c r="AB35" s="50">
        <f t="shared" si="10"/>
        <v>0</v>
      </c>
      <c r="AC35" s="50">
        <f t="shared" si="11"/>
        <v>4696.8899999999994</v>
      </c>
      <c r="AD35" s="50">
        <f t="shared" si="12"/>
        <v>49641.78</v>
      </c>
      <c r="AF35" s="94">
        <f t="shared" si="13"/>
        <v>24663.47</v>
      </c>
      <c r="AG35" s="50">
        <f>IFERROR((VLOOKUP(B35,'SUIVI 31.12.24 ALTONEO'!$B$1:$BF$38,33,FALSE())),0)</f>
        <v>0</v>
      </c>
      <c r="AH35" s="95">
        <f t="shared" si="14"/>
        <v>14798.082</v>
      </c>
      <c r="AI35" s="94">
        <f t="shared" si="15"/>
        <v>133217.5</v>
      </c>
      <c r="AJ35" s="50">
        <f>IFERROR((VLOOKUP(B35,'SUIVI 31.12.24 ALTONEO'!$B$1:$BF$38,36,FALSE())),0)</f>
        <v>0</v>
      </c>
      <c r="AK35" s="95">
        <f t="shared" si="16"/>
        <v>79930.5</v>
      </c>
      <c r="AO35" s="94">
        <f t="shared" si="17"/>
        <v>53287</v>
      </c>
      <c r="AP35" s="95">
        <f t="shared" ref="AP35:AP58" si="29">IF(E35=0,0,AF35-AG35-AH35)</f>
        <v>9865.3880000000008</v>
      </c>
      <c r="AQ35" s="96">
        <f t="shared" si="19"/>
        <v>0.18513686264942669</v>
      </c>
      <c r="AR35" s="94">
        <f t="shared" si="20"/>
        <v>49641.78</v>
      </c>
      <c r="AS35" s="50">
        <f>IFERROR((VLOOKUP(B35,'SUIVI 31.12.24 ALTONEO'!$B$1:$BF$38,45,FALSE())),0)</f>
        <v>0</v>
      </c>
      <c r="AT35" s="97">
        <f t="shared" si="21"/>
        <v>49641.78</v>
      </c>
      <c r="AU35" s="94">
        <f t="shared" si="22"/>
        <v>4696.8899999999994</v>
      </c>
      <c r="AV35" s="50">
        <f>IFERROR((VLOOKUP(B35,'SUIVI 31.12.24 ALTONEO'!$B$1:$BF$38,48,FALSE())),0)</f>
        <v>0</v>
      </c>
      <c r="AW35" s="95">
        <f t="shared" si="23"/>
        <v>4696.8899999999994</v>
      </c>
      <c r="AX35" s="94">
        <f t="shared" si="24"/>
        <v>5195.4839999999995</v>
      </c>
      <c r="AY35" s="50">
        <f>IFERROR((VLOOKUP(B35,'SUIVI 31.12.24 ALTONEO'!$B$1:$BF$38,51,FALSE())),0)</f>
        <v>0</v>
      </c>
      <c r="AZ35" s="95">
        <f t="shared" si="25"/>
        <v>5195.4839999999995</v>
      </c>
      <c r="BA35" s="94">
        <f t="shared" si="26"/>
        <v>1998.2639999999999</v>
      </c>
      <c r="BB35" s="50">
        <f>IFERROR((VLOOKUP(B35,'SUIVI 31.12.24 ALTONEO'!$B$1:$BF$38,54,FALSE())),0)</f>
        <v>0</v>
      </c>
      <c r="BC35" s="95">
        <f t="shared" si="27"/>
        <v>1998.2639999999999</v>
      </c>
      <c r="BD35" s="94">
        <f t="shared" si="28"/>
        <v>3600</v>
      </c>
      <c r="BE35" s="50">
        <f>IFERROR((VLOOKUP(B35,'SUIVI 31.12.24 ALTONEO'!$B$1:$BF$38,57,FALSE())),0)</f>
        <v>0</v>
      </c>
      <c r="BF35" s="95"/>
    </row>
    <row r="36" spans="1:58" ht="15" customHeight="1" x14ac:dyDescent="0.2">
      <c r="A36" s="429"/>
      <c r="B36" s="84" t="s">
        <v>158</v>
      </c>
      <c r="C36" s="85" t="s">
        <v>137</v>
      </c>
      <c r="D36" s="86" t="s">
        <v>159</v>
      </c>
      <c r="E36" s="87">
        <f>VLOOKUP(D36,'% avancement'!$A$5:$B$17,2,FALSE())</f>
        <v>0.6</v>
      </c>
      <c r="F36" s="98">
        <v>116416.66667000001</v>
      </c>
      <c r="G36" s="99">
        <v>20345</v>
      </c>
      <c r="H36" s="99">
        <f t="shared" si="0"/>
        <v>131761.66667000001</v>
      </c>
      <c r="I36" s="99">
        <v>5000</v>
      </c>
      <c r="J36" s="99">
        <v>8564.5083333000002</v>
      </c>
      <c r="K36" s="99">
        <v>3294.0416666699998</v>
      </c>
      <c r="L36" s="99">
        <v>7828.15</v>
      </c>
      <c r="M36" s="99">
        <v>82093.95</v>
      </c>
      <c r="N36" s="91">
        <v>6000</v>
      </c>
      <c r="O36" s="92">
        <v>5000</v>
      </c>
      <c r="P36" s="99">
        <v>8564.5083333000002</v>
      </c>
      <c r="Q36" s="99">
        <v>3294.0416666699998</v>
      </c>
      <c r="R36" s="99">
        <v>7828.15</v>
      </c>
      <c r="S36" s="93"/>
      <c r="T36" s="93">
        <v>6000</v>
      </c>
      <c r="U36" s="94">
        <f t="shared" si="4"/>
        <v>82057.000002000001</v>
      </c>
      <c r="W36" s="50">
        <f t="shared" si="5"/>
        <v>2000</v>
      </c>
      <c r="X36" s="95">
        <f t="shared" si="6"/>
        <v>0</v>
      </c>
      <c r="Y36" s="94">
        <f t="shared" si="7"/>
        <v>0</v>
      </c>
      <c r="Z36" s="50">
        <f t="shared" si="8"/>
        <v>3425.8033333200001</v>
      </c>
      <c r="AA36" s="50">
        <f t="shared" si="9"/>
        <v>0</v>
      </c>
      <c r="AB36" s="50">
        <f t="shared" si="10"/>
        <v>1317.6166666680001</v>
      </c>
      <c r="AC36" s="50">
        <f t="shared" si="11"/>
        <v>3131.26</v>
      </c>
      <c r="AD36" s="50">
        <f t="shared" si="12"/>
        <v>49256.369999999995</v>
      </c>
      <c r="AF36" s="94">
        <f t="shared" si="13"/>
        <v>23981.016670030003</v>
      </c>
      <c r="AG36" s="50">
        <f>IFERROR((VLOOKUP(B36,'SUIVI 31.12.24 ALTONEO'!$B$1:$BF$38,33,FALSE())),0)</f>
        <v>0</v>
      </c>
      <c r="AH36" s="95">
        <f t="shared" si="14"/>
        <v>14388.610002018002</v>
      </c>
      <c r="AI36" s="94">
        <f t="shared" si="15"/>
        <v>131761.66667000001</v>
      </c>
      <c r="AJ36" s="50">
        <f>IFERROR((VLOOKUP(B36,'SUIVI 31.12.24 ALTONEO'!$B$1:$BF$38,36,FALSE())),0)</f>
        <v>0</v>
      </c>
      <c r="AK36" s="95">
        <f t="shared" si="16"/>
        <v>79057.000002000001</v>
      </c>
      <c r="AO36" s="94">
        <f t="shared" si="17"/>
        <v>52704.666668000005</v>
      </c>
      <c r="AP36" s="95">
        <f t="shared" si="29"/>
        <v>9592.4066680120013</v>
      </c>
      <c r="AQ36" s="96">
        <f t="shared" si="19"/>
        <v>0.18200298520882396</v>
      </c>
      <c r="AR36" s="94">
        <f t="shared" si="20"/>
        <v>49256.369999999995</v>
      </c>
      <c r="AS36" s="50">
        <f>IFERROR((VLOOKUP(B36,'SUIVI 31.12.24 ALTONEO'!$B$1:$BF$38,45,FALSE())),0)</f>
        <v>0</v>
      </c>
      <c r="AT36" s="97">
        <f t="shared" si="21"/>
        <v>49256.369999999995</v>
      </c>
      <c r="AU36" s="94">
        <f t="shared" si="22"/>
        <v>4696.8899999999994</v>
      </c>
      <c r="AV36" s="50">
        <f>IFERROR((VLOOKUP(B36,'SUIVI 31.12.24 ALTONEO'!$B$1:$BF$38,48,FALSE())),0)</f>
        <v>0</v>
      </c>
      <c r="AW36" s="95">
        <f t="shared" si="23"/>
        <v>4696.8899999999994</v>
      </c>
      <c r="AX36" s="94">
        <f t="shared" si="24"/>
        <v>5138.7049999800001</v>
      </c>
      <c r="AY36" s="50">
        <f>IFERROR((VLOOKUP(B36,'SUIVI 31.12.24 ALTONEO'!$B$1:$BF$38,51,FALSE())),0)</f>
        <v>0</v>
      </c>
      <c r="AZ36" s="95">
        <f t="shared" si="25"/>
        <v>5138.7049999800001</v>
      </c>
      <c r="BA36" s="94">
        <f t="shared" si="26"/>
        <v>1976.4250000019997</v>
      </c>
      <c r="BB36" s="50">
        <f>IFERROR((VLOOKUP(B36,'SUIVI 31.12.24 ALTONEO'!$B$1:$BF$38,54,FALSE())),0)</f>
        <v>0</v>
      </c>
      <c r="BC36" s="95">
        <f t="shared" si="27"/>
        <v>1976.4250000019997</v>
      </c>
      <c r="BD36" s="94">
        <f t="shared" si="28"/>
        <v>3600</v>
      </c>
      <c r="BE36" s="50">
        <f>IFERROR((VLOOKUP(B36,'SUIVI 31.12.24 ALTONEO'!$B$1:$BF$38,57,FALSE())),0)</f>
        <v>0</v>
      </c>
      <c r="BF36" s="95"/>
    </row>
    <row r="37" spans="1:58" ht="15" customHeight="1" x14ac:dyDescent="0.2">
      <c r="A37" s="429"/>
      <c r="B37" s="84" t="s">
        <v>160</v>
      </c>
      <c r="C37" s="85" t="s">
        <v>137</v>
      </c>
      <c r="D37" s="86" t="s">
        <v>186</v>
      </c>
      <c r="E37" s="87">
        <f>VLOOKUP(D37,'% avancement'!$A$5:$B$17,2,FALSE())</f>
        <v>0.4</v>
      </c>
      <c r="F37" s="98">
        <v>142333</v>
      </c>
      <c r="G37" s="99">
        <v>9400</v>
      </c>
      <c r="H37" s="99">
        <f t="shared" si="0"/>
        <v>146733</v>
      </c>
      <c r="I37" s="99">
        <v>5000</v>
      </c>
      <c r="J37" s="99">
        <v>9537.6666600000008</v>
      </c>
      <c r="K37" s="99">
        <v>3668.3333299999999</v>
      </c>
      <c r="L37" s="99">
        <v>7828.15</v>
      </c>
      <c r="M37" s="99">
        <v>95038.15</v>
      </c>
      <c r="N37" s="91">
        <v>6000</v>
      </c>
      <c r="O37" s="92">
        <v>5000</v>
      </c>
      <c r="P37" s="99">
        <v>9537.6666600000008</v>
      </c>
      <c r="Q37" s="99">
        <v>3668.3333299999999</v>
      </c>
      <c r="R37" s="99">
        <v>7828.15</v>
      </c>
      <c r="S37" s="93"/>
      <c r="T37" s="93">
        <v>6000</v>
      </c>
      <c r="U37" s="94">
        <f t="shared" si="4"/>
        <v>60693.200000000004</v>
      </c>
      <c r="W37" s="50">
        <f t="shared" si="5"/>
        <v>3000</v>
      </c>
      <c r="X37" s="95">
        <f t="shared" si="6"/>
        <v>0</v>
      </c>
      <c r="Y37" s="94">
        <f t="shared" si="7"/>
        <v>0</v>
      </c>
      <c r="Z37" s="50">
        <f t="shared" si="8"/>
        <v>5722.5999959999999</v>
      </c>
      <c r="AA37" s="50">
        <f t="shared" si="9"/>
        <v>0</v>
      </c>
      <c r="AB37" s="50">
        <f t="shared" si="10"/>
        <v>2200.9999979999998</v>
      </c>
      <c r="AC37" s="50">
        <f t="shared" si="11"/>
        <v>4696.8899999999994</v>
      </c>
      <c r="AD37" s="50">
        <f t="shared" si="12"/>
        <v>38015.26</v>
      </c>
      <c r="AF37" s="94">
        <f t="shared" si="13"/>
        <v>24660.70001000003</v>
      </c>
      <c r="AG37" s="50">
        <f>IFERROR((VLOOKUP(B37,'SUIVI 31.12.24 ALTONEO'!$B$1:$BF$38,33,FALSE())),0)</f>
        <v>0</v>
      </c>
      <c r="AH37" s="95">
        <f t="shared" si="14"/>
        <v>9864.2800040000129</v>
      </c>
      <c r="AI37" s="94">
        <f t="shared" si="15"/>
        <v>146733</v>
      </c>
      <c r="AJ37" s="50">
        <f>IFERROR((VLOOKUP(B37,'SUIVI 31.12.24 ALTONEO'!$B$1:$BF$38,36,FALSE())),0)</f>
        <v>0</v>
      </c>
      <c r="AK37" s="95">
        <f t="shared" si="16"/>
        <v>58693.200000000004</v>
      </c>
      <c r="AO37" s="94">
        <f t="shared" si="17"/>
        <v>88039.799999999988</v>
      </c>
      <c r="AP37" s="95">
        <f t="shared" si="29"/>
        <v>14796.420006000017</v>
      </c>
      <c r="AQ37" s="96">
        <f t="shared" si="19"/>
        <v>0.16806512515930316</v>
      </c>
      <c r="AR37" s="94">
        <f t="shared" si="20"/>
        <v>38015.26</v>
      </c>
      <c r="AS37" s="50">
        <f>IFERROR((VLOOKUP(B37,'SUIVI 31.12.24 ALTONEO'!$B$1:$BF$38,45,FALSE())),0)</f>
        <v>0</v>
      </c>
      <c r="AT37" s="97">
        <f t="shared" si="21"/>
        <v>38015.26</v>
      </c>
      <c r="AU37" s="94">
        <f t="shared" si="22"/>
        <v>3131.26</v>
      </c>
      <c r="AV37" s="50">
        <f>IFERROR((VLOOKUP(B37,'SUIVI 31.12.24 ALTONEO'!$B$1:$BF$38,48,FALSE())),0)</f>
        <v>0</v>
      </c>
      <c r="AW37" s="95">
        <f t="shared" si="23"/>
        <v>3131.26</v>
      </c>
      <c r="AX37" s="94">
        <f t="shared" si="24"/>
        <v>3815.0666640000009</v>
      </c>
      <c r="AY37" s="50">
        <f>IFERROR((VLOOKUP(B37,'SUIVI 31.12.24 ALTONEO'!$B$1:$BF$38,51,FALSE())),0)</f>
        <v>0</v>
      </c>
      <c r="AZ37" s="95">
        <f t="shared" si="25"/>
        <v>3815.0666640000009</v>
      </c>
      <c r="BA37" s="94">
        <f t="shared" si="26"/>
        <v>1467.3333320000002</v>
      </c>
      <c r="BB37" s="50">
        <f>IFERROR((VLOOKUP(B37,'SUIVI 31.12.24 ALTONEO'!$B$1:$BF$38,54,FALSE())),0)</f>
        <v>0</v>
      </c>
      <c r="BC37" s="95">
        <f t="shared" si="27"/>
        <v>1467.3333320000002</v>
      </c>
      <c r="BD37" s="94">
        <f t="shared" si="28"/>
        <v>2400</v>
      </c>
      <c r="BE37" s="50">
        <f>IFERROR((VLOOKUP(B37,'SUIVI 31.12.24 ALTONEO'!$B$1:$BF$38,57,FALSE())),0)</f>
        <v>0</v>
      </c>
      <c r="BF37" s="95"/>
    </row>
    <row r="38" spans="1:58" ht="15" customHeight="1" x14ac:dyDescent="0.2">
      <c r="A38" s="429"/>
      <c r="B38" s="84" t="s">
        <v>161</v>
      </c>
      <c r="C38" s="85" t="s">
        <v>137</v>
      </c>
      <c r="D38" s="86" t="s">
        <v>138</v>
      </c>
      <c r="E38" s="87">
        <f>VLOOKUP(D38,'% avancement'!$A$5:$B$17,2,FALSE())</f>
        <v>0.25</v>
      </c>
      <c r="F38" s="98">
        <f>131200/1.2</f>
        <v>109333.33333333334</v>
      </c>
      <c r="G38" s="99">
        <f>14494/1.2</f>
        <v>12078.333333333334</v>
      </c>
      <c r="H38" s="99">
        <f t="shared" si="0"/>
        <v>116411.66666666667</v>
      </c>
      <c r="I38" s="99">
        <v>5000</v>
      </c>
      <c r="J38" s="99">
        <f>9080.11/1.2</f>
        <v>7566.7583333333341</v>
      </c>
      <c r="K38" s="99">
        <f>3495.35/1.2</f>
        <v>2912.7916666666665</v>
      </c>
      <c r="L38" s="99">
        <v>7828.15</v>
      </c>
      <c r="M38" s="99">
        <v>69859.570000000007</v>
      </c>
      <c r="N38" s="91">
        <v>6000</v>
      </c>
      <c r="O38" s="92">
        <v>5000</v>
      </c>
      <c r="P38" s="93"/>
      <c r="Q38" s="93"/>
      <c r="R38" s="93"/>
      <c r="S38" s="93"/>
      <c r="T38" s="93">
        <v>6000</v>
      </c>
      <c r="U38" s="94">
        <f t="shared" si="4"/>
        <v>30352.916666666668</v>
      </c>
      <c r="W38" s="50">
        <f t="shared" si="5"/>
        <v>3750</v>
      </c>
      <c r="X38" s="95">
        <f t="shared" si="6"/>
        <v>0</v>
      </c>
      <c r="Y38" s="94">
        <f t="shared" si="7"/>
        <v>1746.175</v>
      </c>
      <c r="Z38" s="50">
        <f t="shared" si="8"/>
        <v>0</v>
      </c>
      <c r="AA38" s="50">
        <f t="shared" si="9"/>
        <v>727.57291666666674</v>
      </c>
      <c r="AB38" s="50">
        <f t="shared" si="10"/>
        <v>0</v>
      </c>
      <c r="AC38" s="50">
        <f t="shared" si="11"/>
        <v>1957.0374999999999</v>
      </c>
      <c r="AD38" s="50">
        <f t="shared" si="12"/>
        <v>17464.892500000002</v>
      </c>
      <c r="AF38" s="94">
        <f t="shared" si="13"/>
        <v>22244.396666666667</v>
      </c>
      <c r="AG38" s="50">
        <f>IFERROR((VLOOKUP(B38,'SUIVI 31.12.24 ALTONEO'!$B$1:$BF$38,33,FALSE())),0)</f>
        <v>0</v>
      </c>
      <c r="AH38" s="95">
        <f t="shared" si="14"/>
        <v>5561.0991666666669</v>
      </c>
      <c r="AI38" s="94">
        <f t="shared" si="15"/>
        <v>116411.66666666667</v>
      </c>
      <c r="AJ38" s="50">
        <f>IFERROR((VLOOKUP(B38,'SUIVI 31.12.24 ALTONEO'!$B$1:$BF$38,36,FALSE())),0)</f>
        <v>0</v>
      </c>
      <c r="AK38" s="95">
        <f t="shared" si="16"/>
        <v>29102.916666666668</v>
      </c>
      <c r="AO38" s="94">
        <f t="shared" si="17"/>
        <v>87308.75</v>
      </c>
      <c r="AP38" s="95">
        <f t="shared" si="29"/>
        <v>16683.297500000001</v>
      </c>
      <c r="AQ38" s="96">
        <f t="shared" si="19"/>
        <v>0.1910839119790399</v>
      </c>
      <c r="AR38" s="94">
        <f t="shared" si="20"/>
        <v>17464.892500000002</v>
      </c>
      <c r="AS38" s="50">
        <f>IFERROR((VLOOKUP(B38,'SUIVI 31.12.24 ALTONEO'!$B$1:$BF$38,45,FALSE())),0)</f>
        <v>0</v>
      </c>
      <c r="AT38" s="97">
        <f t="shared" si="21"/>
        <v>17464.892500000002</v>
      </c>
      <c r="AU38" s="94">
        <f t="shared" si="22"/>
        <v>1957.0374999999999</v>
      </c>
      <c r="AV38" s="50">
        <f>IFERROR((VLOOKUP(B38,'SUIVI 31.12.24 ALTONEO'!$B$1:$BF$38,48,FALSE())),0)</f>
        <v>0</v>
      </c>
      <c r="AW38" s="95">
        <f t="shared" si="23"/>
        <v>1957.0374999999999</v>
      </c>
      <c r="AX38" s="94">
        <f t="shared" si="24"/>
        <v>1891.6895833333335</v>
      </c>
      <c r="AY38" s="50">
        <f>IFERROR((VLOOKUP(B38,'SUIVI 31.12.24 ALTONEO'!$B$1:$BF$38,51,FALSE())),0)</f>
        <v>0</v>
      </c>
      <c r="AZ38" s="95">
        <f t="shared" si="25"/>
        <v>1891.6895833333335</v>
      </c>
      <c r="BA38" s="94">
        <f t="shared" si="26"/>
        <v>728.19791666666663</v>
      </c>
      <c r="BB38" s="50">
        <f>IFERROR((VLOOKUP(B38,'SUIVI 31.12.24 ALTONEO'!$B$1:$BF$38,54,FALSE())),0)</f>
        <v>0</v>
      </c>
      <c r="BC38" s="95">
        <f t="shared" si="27"/>
        <v>728.19791666666663</v>
      </c>
      <c r="BD38" s="94">
        <f t="shared" si="28"/>
        <v>1500</v>
      </c>
      <c r="BE38" s="50">
        <f>IFERROR((VLOOKUP(B38,'SUIVI 31.12.24 ALTONEO'!$B$1:$BF$38,57,FALSE())),0)</f>
        <v>0</v>
      </c>
      <c r="BF38" s="95"/>
    </row>
    <row r="39" spans="1:58" ht="13.5" customHeight="1" x14ac:dyDescent="0.2">
      <c r="A39" s="100"/>
      <c r="B39" s="101">
        <f>+ROWS(B3:B38)</f>
        <v>36</v>
      </c>
      <c r="C39" s="102"/>
      <c r="D39" s="103"/>
      <c r="E39" s="101"/>
      <c r="F39" s="104"/>
      <c r="G39" s="105"/>
      <c r="H39" s="105"/>
      <c r="I39" s="105"/>
      <c r="J39" s="105"/>
      <c r="K39" s="105"/>
      <c r="L39" s="105"/>
      <c r="M39" s="105"/>
      <c r="N39" s="106"/>
      <c r="O39" s="107"/>
      <c r="P39" s="108"/>
      <c r="Q39" s="108"/>
      <c r="R39" s="108"/>
      <c r="S39" s="108"/>
      <c r="T39" s="109"/>
      <c r="U39" s="94"/>
      <c r="X39" s="95"/>
      <c r="Y39" s="94"/>
      <c r="AF39" s="94"/>
      <c r="AH39" s="95"/>
      <c r="AI39" s="94"/>
      <c r="AK39" s="95"/>
      <c r="AO39" s="94">
        <f t="shared" si="17"/>
        <v>0</v>
      </c>
      <c r="AP39" s="95">
        <f t="shared" si="29"/>
        <v>0</v>
      </c>
      <c r="AQ39" s="96"/>
      <c r="AR39" s="94"/>
      <c r="AT39" s="97"/>
      <c r="AU39" s="94"/>
      <c r="AW39" s="95"/>
      <c r="AX39" s="94"/>
      <c r="AZ39" s="95"/>
      <c r="BA39" s="94"/>
      <c r="BC39" s="95"/>
      <c r="BD39" s="94"/>
      <c r="BE39" s="50"/>
      <c r="BF39" s="95"/>
    </row>
    <row r="40" spans="1:58" ht="15" customHeight="1" x14ac:dyDescent="0.2">
      <c r="A40" s="436" t="s">
        <v>188</v>
      </c>
      <c r="B40" s="84" t="s">
        <v>189</v>
      </c>
      <c r="C40" s="85" t="s">
        <v>137</v>
      </c>
      <c r="D40" s="86" t="s">
        <v>151</v>
      </c>
      <c r="E40" s="87">
        <f>VLOOKUP(D40,'% avancement'!$A$5:$B$17,2,FALSE())</f>
        <v>0.8</v>
      </c>
      <c r="F40" s="98">
        <v>133916.66666666701</v>
      </c>
      <c r="G40" s="99">
        <v>11215</v>
      </c>
      <c r="H40" s="99">
        <f t="shared" ref="H40:H45" si="30">F40+G40-I40</f>
        <v>140131.66666666701</v>
      </c>
      <c r="I40" s="99">
        <v>5000</v>
      </c>
      <c r="J40" s="99">
        <v>8331.4</v>
      </c>
      <c r="K40" s="99">
        <v>3471.42</v>
      </c>
      <c r="L40" s="99">
        <v>7828.15</v>
      </c>
      <c r="M40" s="99">
        <v>87352.8</v>
      </c>
      <c r="N40" s="91">
        <v>6000</v>
      </c>
      <c r="O40" s="92">
        <v>5000</v>
      </c>
      <c r="P40" s="99">
        <v>8331.4</v>
      </c>
      <c r="Q40" s="99">
        <v>3471.42</v>
      </c>
      <c r="R40" s="99">
        <v>7828.15</v>
      </c>
      <c r="S40" s="93"/>
      <c r="T40" s="93">
        <v>6000</v>
      </c>
      <c r="U40" s="94">
        <f t="shared" ref="U40:U45" si="31">IF(C40="oui","",(H40+I40)*E40)</f>
        <v>116105.3333333336</v>
      </c>
      <c r="W40" s="50">
        <f t="shared" ref="W40:W45" si="32">IF(O40="",0,(1-E40)*O40)</f>
        <v>999.99999999999977</v>
      </c>
      <c r="X40" s="95">
        <f t="shared" ref="X40:X45" si="33">IF(O40="",I40*(E40),0)</f>
        <v>0</v>
      </c>
      <c r="Y40" s="94">
        <f t="shared" ref="Y40:Y45" si="34">IF(P40="",+H40*6%*E40,0)</f>
        <v>0</v>
      </c>
      <c r="Z40" s="50">
        <f t="shared" ref="Z40:Z45" si="35">IF(P40="",0,P40*(1-E40))</f>
        <v>1666.2799999999995</v>
      </c>
      <c r="AA40" s="50">
        <f t="shared" ref="AA40:AA45" si="36">IF(Q40="",+H40*2.5%*E40,0)</f>
        <v>0</v>
      </c>
      <c r="AB40" s="50">
        <f t="shared" ref="AB40:AB45" si="37">IF(Q40="",0,Q40*(1-E40))</f>
        <v>694.28399999999988</v>
      </c>
      <c r="AC40" s="50">
        <f t="shared" ref="AC40:AC45" si="38">IF(R40="",+L40*E40,(1-E40)*R40)</f>
        <v>1565.6299999999997</v>
      </c>
      <c r="AD40" s="50">
        <f t="shared" ref="AD40:AD45" si="39">IF(S40="",M40*E40,S40*E40)</f>
        <v>69882.240000000005</v>
      </c>
      <c r="AF40" s="94">
        <f t="shared" ref="AF40:AF45" si="40">IF(E40="",0,+H40-J40-K40-L40-M40-N40)</f>
        <v>27147.896666667017</v>
      </c>
      <c r="AG40" s="50">
        <f>IFERROR((VLOOKUP(B40,'SUIVI 31.12.24 ALTONEO'!$B$1:$BF$38,33,FALSE())),0)</f>
        <v>0</v>
      </c>
      <c r="AH40" s="95">
        <f t="shared" ref="AH40:AH45" si="41">AF40*E40-AG40</f>
        <v>21718.317333333616</v>
      </c>
      <c r="AI40" s="94">
        <f t="shared" ref="AI40:AI45" si="42">IF(E40="",0,H40)</f>
        <v>140131.66666666701</v>
      </c>
      <c r="AJ40" s="50">
        <f>IFERROR((VLOOKUP(B40,'SUIVI 31.12.24 ALTONEO'!$B$1:$BF$38,36,FALSE())),0)</f>
        <v>0</v>
      </c>
      <c r="AK40" s="95">
        <f t="shared" ref="AK40:AK45" si="43">AI40*E40-AJ40</f>
        <v>112105.3333333336</v>
      </c>
      <c r="AO40" s="94">
        <f t="shared" si="17"/>
        <v>28026.333333333401</v>
      </c>
      <c r="AP40" s="95">
        <f t="shared" si="29"/>
        <v>5429.5793333334004</v>
      </c>
      <c r="AQ40" s="96">
        <f t="shared" ref="AQ40:AQ45" si="44">IF(E40="","",+AF40/AI40)</f>
        <v>0.19373134789900179</v>
      </c>
      <c r="AR40" s="94">
        <f t="shared" ref="AR40:AR45" si="45">IF(S40="",M40*E40,S40*E40)</f>
        <v>69882.240000000005</v>
      </c>
      <c r="AS40" s="50">
        <f>IFERROR((VLOOKUP(B40,'SUIVI 31.12.24 ALTONEO'!$B$1:$BF$38,45,FALSE())),0)</f>
        <v>0</v>
      </c>
      <c r="AT40" s="97">
        <f t="shared" ref="AT40:AT45" si="46">+AR40-AS40</f>
        <v>69882.240000000005</v>
      </c>
      <c r="AU40" s="94">
        <f t="shared" ref="AU40:AU45" si="47">+L40*E40</f>
        <v>6262.52</v>
      </c>
      <c r="AV40" s="50">
        <f>IFERROR((VLOOKUP(B40,'SUIVI 31.12.24 ALTONEO'!$B$1:$BF$38,48,FALSE())),0)</f>
        <v>0</v>
      </c>
      <c r="AW40" s="95">
        <f t="shared" ref="AW40:AW45" si="48">+AU40-AV40</f>
        <v>6262.52</v>
      </c>
      <c r="AX40" s="94">
        <f t="shared" ref="AX40:AX45" si="49">IF(P40="",J40*E40,P40-Z40)</f>
        <v>6665.12</v>
      </c>
      <c r="AY40" s="50">
        <f>IFERROR((VLOOKUP(B40,'SUIVI 31.12.24 ALTONEO'!$B$1:$BF$38,51,FALSE())),0)</f>
        <v>0</v>
      </c>
      <c r="AZ40" s="95">
        <f t="shared" ref="AZ40:AZ45" si="50">+AX40-AY40</f>
        <v>6665.12</v>
      </c>
      <c r="BA40" s="94">
        <f t="shared" ref="BA40:BA45" si="51">IF(Q40="",K40*E40,Q40-AB40)</f>
        <v>2777.1360000000004</v>
      </c>
      <c r="BB40" s="50">
        <f>IFERROR((VLOOKUP(B40,'SUIVI 31.12.24 ALTONEO'!$B$1:$BF$38,54,FALSE())),0)</f>
        <v>0</v>
      </c>
      <c r="BC40" s="95">
        <f t="shared" ref="BC40:BC45" si="52">+BA40-BB40</f>
        <v>2777.1360000000004</v>
      </c>
      <c r="BD40" s="94">
        <f t="shared" ref="BD40:BD45" si="53">+E40*N40</f>
        <v>4800</v>
      </c>
      <c r="BE40" s="50">
        <f>IFERROR((VLOOKUP(B40,'SUIVI 31.12.24 ALTONEO'!$B$1:$BF$38,57,FALSE())),0)</f>
        <v>0</v>
      </c>
      <c r="BF40" s="95"/>
    </row>
    <row r="41" spans="1:58" ht="15" customHeight="1" x14ac:dyDescent="0.2">
      <c r="A41" s="436"/>
      <c r="B41" s="84" t="s">
        <v>162</v>
      </c>
      <c r="C41" s="85" t="s">
        <v>137</v>
      </c>
      <c r="D41" s="86" t="s">
        <v>138</v>
      </c>
      <c r="E41" s="87">
        <f>VLOOKUP(D41,'% avancement'!$A$5:$B$17,2,FALSE())</f>
        <v>0.25</v>
      </c>
      <c r="F41" s="98">
        <f>118000/1.2</f>
        <v>98333.333333333343</v>
      </c>
      <c r="G41" s="99">
        <f>7545/1.2</f>
        <v>6287.5</v>
      </c>
      <c r="H41" s="99">
        <f t="shared" si="30"/>
        <v>99620.833333333343</v>
      </c>
      <c r="I41" s="99">
        <v>5000</v>
      </c>
      <c r="J41" s="89">
        <f>(F41+G41-I41)*0.065</f>
        <v>6475.3541666666679</v>
      </c>
      <c r="K41" s="89">
        <f>(F41+G41-I41)*0.025</f>
        <v>2490.5208333333339</v>
      </c>
      <c r="L41" s="89">
        <v>7828.15</v>
      </c>
      <c r="M41" s="89">
        <v>57880</v>
      </c>
      <c r="N41" s="91">
        <v>6000</v>
      </c>
      <c r="O41" s="92">
        <v>5000</v>
      </c>
      <c r="P41" s="93"/>
      <c r="Q41" s="93"/>
      <c r="R41" s="93"/>
      <c r="S41" s="93"/>
      <c r="T41" s="93">
        <v>6000</v>
      </c>
      <c r="U41" s="94">
        <f t="shared" si="31"/>
        <v>26155.208333333336</v>
      </c>
      <c r="W41" s="50">
        <f t="shared" si="32"/>
        <v>3750</v>
      </c>
      <c r="X41" s="95">
        <f t="shared" si="33"/>
        <v>0</v>
      </c>
      <c r="Y41" s="94">
        <f t="shared" si="34"/>
        <v>1494.3125</v>
      </c>
      <c r="Z41" s="50">
        <f t="shared" si="35"/>
        <v>0</v>
      </c>
      <c r="AA41" s="50">
        <f t="shared" si="36"/>
        <v>622.63020833333348</v>
      </c>
      <c r="AB41" s="50">
        <f t="shared" si="37"/>
        <v>0</v>
      </c>
      <c r="AC41" s="50">
        <f t="shared" si="38"/>
        <v>1957.0374999999999</v>
      </c>
      <c r="AD41" s="50">
        <f t="shared" si="39"/>
        <v>14470</v>
      </c>
      <c r="AF41" s="94">
        <f t="shared" si="40"/>
        <v>18946.808333333349</v>
      </c>
      <c r="AG41" s="50">
        <f>IFERROR((VLOOKUP(B41,'SUIVI 31.12.24 ALTONEO'!$B$1:$BF$38,33,FALSE())),0)</f>
        <v>0</v>
      </c>
      <c r="AH41" s="95">
        <f t="shared" si="41"/>
        <v>4736.7020833333372</v>
      </c>
      <c r="AI41" s="94">
        <f t="shared" si="42"/>
        <v>99620.833333333343</v>
      </c>
      <c r="AJ41" s="50">
        <f>IFERROR((VLOOKUP(B41,'SUIVI 31.12.24 ALTONEO'!$B$1:$BF$38,36,FALSE())),0)</f>
        <v>0</v>
      </c>
      <c r="AK41" s="95">
        <f t="shared" si="43"/>
        <v>24905.208333333336</v>
      </c>
      <c r="AO41" s="94">
        <f t="shared" si="17"/>
        <v>74715.625</v>
      </c>
      <c r="AP41" s="95">
        <f t="shared" si="29"/>
        <v>14210.106250000012</v>
      </c>
      <c r="AQ41" s="96">
        <f t="shared" si="44"/>
        <v>0.19018921744949616</v>
      </c>
      <c r="AR41" s="94">
        <f t="shared" si="45"/>
        <v>14470</v>
      </c>
      <c r="AS41" s="50">
        <f>IFERROR((VLOOKUP(B41,'SUIVI 31.12.24 ALTONEO'!$B$1:$BF$38,45,FALSE())),0)</f>
        <v>0</v>
      </c>
      <c r="AT41" s="97">
        <f t="shared" si="46"/>
        <v>14470</v>
      </c>
      <c r="AU41" s="94">
        <f t="shared" si="47"/>
        <v>1957.0374999999999</v>
      </c>
      <c r="AV41" s="50">
        <f>IFERROR((VLOOKUP(B41,'SUIVI 31.12.24 ALTONEO'!$B$1:$BF$38,48,FALSE())),0)</f>
        <v>0</v>
      </c>
      <c r="AW41" s="95">
        <f t="shared" si="48"/>
        <v>1957.0374999999999</v>
      </c>
      <c r="AX41" s="94">
        <f t="shared" si="49"/>
        <v>1618.838541666667</v>
      </c>
      <c r="AY41" s="50">
        <f>IFERROR((VLOOKUP(B41,'SUIVI 31.12.24 ALTONEO'!$B$1:$BF$38,51,FALSE())),0)</f>
        <v>0</v>
      </c>
      <c r="AZ41" s="95">
        <f t="shared" si="50"/>
        <v>1618.838541666667</v>
      </c>
      <c r="BA41" s="94">
        <f t="shared" si="51"/>
        <v>622.63020833333348</v>
      </c>
      <c r="BB41" s="50">
        <f>IFERROR((VLOOKUP(B41,'SUIVI 31.12.24 ALTONEO'!$B$1:$BF$38,54,FALSE())),0)</f>
        <v>0</v>
      </c>
      <c r="BC41" s="95">
        <f t="shared" si="52"/>
        <v>622.63020833333348</v>
      </c>
      <c r="BD41" s="94">
        <f t="shared" si="53"/>
        <v>1500</v>
      </c>
      <c r="BE41" s="50">
        <f>IFERROR((VLOOKUP(B41,'SUIVI 31.12.24 ALTONEO'!$B$1:$BF$38,57,FALSE())),0)</f>
        <v>0</v>
      </c>
      <c r="BF41" s="95"/>
    </row>
    <row r="42" spans="1:58" ht="15" customHeight="1" x14ac:dyDescent="0.2">
      <c r="A42" s="436"/>
      <c r="B42" s="84" t="s">
        <v>190</v>
      </c>
      <c r="C42" s="85" t="s">
        <v>137</v>
      </c>
      <c r="D42" s="86" t="s">
        <v>151</v>
      </c>
      <c r="E42" s="87">
        <f>VLOOKUP(D42,'% avancement'!$A$5:$B$17,2,FALSE())</f>
        <v>0.8</v>
      </c>
      <c r="F42" s="98">
        <v>134000</v>
      </c>
      <c r="G42" s="99">
        <v>7462.5</v>
      </c>
      <c r="H42" s="99">
        <f t="shared" si="30"/>
        <v>136462.5</v>
      </c>
      <c r="I42" s="99">
        <v>5000</v>
      </c>
      <c r="J42" s="99">
        <v>8187.75</v>
      </c>
      <c r="K42" s="99">
        <v>1705.78</v>
      </c>
      <c r="L42" s="99">
        <v>7828.15</v>
      </c>
      <c r="M42" s="99">
        <v>89134.3</v>
      </c>
      <c r="N42" s="91">
        <v>6000</v>
      </c>
      <c r="O42" s="92">
        <v>5000</v>
      </c>
      <c r="P42" s="99">
        <v>8187.75</v>
      </c>
      <c r="Q42" s="99">
        <v>1705.78</v>
      </c>
      <c r="R42" s="99">
        <v>7828.15</v>
      </c>
      <c r="S42" s="99"/>
      <c r="T42" s="93">
        <v>6000</v>
      </c>
      <c r="U42" s="94">
        <f t="shared" si="31"/>
        <v>113170</v>
      </c>
      <c r="W42" s="50">
        <f t="shared" si="32"/>
        <v>999.99999999999977</v>
      </c>
      <c r="X42" s="95">
        <f t="shared" si="33"/>
        <v>0</v>
      </c>
      <c r="Y42" s="94">
        <f t="shared" si="34"/>
        <v>0</v>
      </c>
      <c r="Z42" s="50">
        <f t="shared" si="35"/>
        <v>1637.5499999999997</v>
      </c>
      <c r="AA42" s="50">
        <f t="shared" si="36"/>
        <v>0</v>
      </c>
      <c r="AB42" s="50">
        <f t="shared" si="37"/>
        <v>341.15599999999989</v>
      </c>
      <c r="AC42" s="50">
        <f t="shared" si="38"/>
        <v>1565.6299999999997</v>
      </c>
      <c r="AD42" s="50">
        <f t="shared" si="39"/>
        <v>71307.44</v>
      </c>
      <c r="AF42" s="94">
        <f t="shared" si="40"/>
        <v>23606.520000000004</v>
      </c>
      <c r="AG42" s="50">
        <f>IFERROR((VLOOKUP(B42,'SUIVI 31.12.24 ALTONEO'!$B$1:$BF$38,33,FALSE())),0)</f>
        <v>0</v>
      </c>
      <c r="AH42" s="95">
        <f t="shared" si="41"/>
        <v>18885.216000000004</v>
      </c>
      <c r="AI42" s="94">
        <f t="shared" si="42"/>
        <v>136462.5</v>
      </c>
      <c r="AJ42" s="50">
        <f>IFERROR((VLOOKUP(B42,'SUIVI 31.12.24 ALTONEO'!$B$1:$BF$38,36,FALSE())),0)</f>
        <v>0</v>
      </c>
      <c r="AK42" s="95">
        <f t="shared" si="43"/>
        <v>109170</v>
      </c>
      <c r="AO42" s="94">
        <f t="shared" si="17"/>
        <v>27292.5</v>
      </c>
      <c r="AP42" s="95">
        <f t="shared" si="29"/>
        <v>4721.3040000000001</v>
      </c>
      <c r="AQ42" s="96">
        <f t="shared" si="44"/>
        <v>0.17298906292937624</v>
      </c>
      <c r="AR42" s="94">
        <f t="shared" si="45"/>
        <v>71307.44</v>
      </c>
      <c r="AS42" s="50">
        <f>IFERROR((VLOOKUP(B42,'SUIVI 31.12.24 ALTONEO'!$B$1:$BF$38,45,FALSE())),0)</f>
        <v>0</v>
      </c>
      <c r="AT42" s="97">
        <f t="shared" si="46"/>
        <v>71307.44</v>
      </c>
      <c r="AU42" s="94">
        <f t="shared" si="47"/>
        <v>6262.52</v>
      </c>
      <c r="AV42" s="50">
        <f>IFERROR((VLOOKUP(B42,'SUIVI 31.12.24 ALTONEO'!$B$1:$BF$38,48,FALSE())),0)</f>
        <v>0</v>
      </c>
      <c r="AW42" s="95">
        <f t="shared" si="48"/>
        <v>6262.52</v>
      </c>
      <c r="AX42" s="94">
        <f t="shared" si="49"/>
        <v>6550.2000000000007</v>
      </c>
      <c r="AY42" s="50">
        <f>IFERROR((VLOOKUP(B42,'SUIVI 31.12.24 ALTONEO'!$B$1:$BF$38,51,FALSE())),0)</f>
        <v>0</v>
      </c>
      <c r="AZ42" s="95">
        <f t="shared" si="50"/>
        <v>6550.2000000000007</v>
      </c>
      <c r="BA42" s="94">
        <f t="shared" si="51"/>
        <v>1364.624</v>
      </c>
      <c r="BB42" s="50">
        <f>IFERROR((VLOOKUP(B42,'SUIVI 31.12.24 ALTONEO'!$B$1:$BF$38,54,FALSE())),0)</f>
        <v>0</v>
      </c>
      <c r="BC42" s="95">
        <f t="shared" si="52"/>
        <v>1364.624</v>
      </c>
      <c r="BD42" s="94">
        <f t="shared" si="53"/>
        <v>4800</v>
      </c>
      <c r="BE42" s="50">
        <f>IFERROR((VLOOKUP(B42,'SUIVI 31.12.24 ALTONEO'!$B$1:$BF$38,57,FALSE())),0)</f>
        <v>0</v>
      </c>
      <c r="BF42" s="95"/>
    </row>
    <row r="43" spans="1:58" ht="15" customHeight="1" x14ac:dyDescent="0.2">
      <c r="A43" s="436"/>
      <c r="B43" s="84" t="s">
        <v>191</v>
      </c>
      <c r="C43" s="85" t="s">
        <v>137</v>
      </c>
      <c r="D43" s="86" t="s">
        <v>151</v>
      </c>
      <c r="E43" s="87">
        <f>VLOOKUP(D43,'% avancement'!$A$5:$B$17,2,FALSE())</f>
        <v>0.8</v>
      </c>
      <c r="F43" s="98">
        <v>134333.33333333299</v>
      </c>
      <c r="G43" s="99">
        <v>7478.3333329999996</v>
      </c>
      <c r="H43" s="99">
        <f t="shared" si="30"/>
        <v>136811.66666633298</v>
      </c>
      <c r="I43" s="99">
        <v>5000</v>
      </c>
      <c r="J43" s="99">
        <v>8208.7000000000007</v>
      </c>
      <c r="K43" s="99">
        <v>3420.29</v>
      </c>
      <c r="L43" s="99">
        <v>7828.15</v>
      </c>
      <c r="M43" s="99">
        <v>78867.86</v>
      </c>
      <c r="N43" s="91">
        <v>6000</v>
      </c>
      <c r="O43" s="92">
        <v>5000</v>
      </c>
      <c r="P43" s="99">
        <v>8208.7000000000007</v>
      </c>
      <c r="Q43" s="99">
        <v>3420.29</v>
      </c>
      <c r="R43" s="99">
        <v>7828.15</v>
      </c>
      <c r="S43" s="99"/>
      <c r="T43" s="93">
        <v>6000</v>
      </c>
      <c r="U43" s="94">
        <f t="shared" si="31"/>
        <v>113449.33333306639</v>
      </c>
      <c r="W43" s="50">
        <f t="shared" si="32"/>
        <v>999.99999999999977</v>
      </c>
      <c r="X43" s="95">
        <f t="shared" si="33"/>
        <v>0</v>
      </c>
      <c r="Y43" s="94">
        <f t="shared" si="34"/>
        <v>0</v>
      </c>
      <c r="Z43" s="50">
        <f t="shared" si="35"/>
        <v>1641.7399999999998</v>
      </c>
      <c r="AA43" s="50">
        <f t="shared" si="36"/>
        <v>0</v>
      </c>
      <c r="AB43" s="50">
        <f t="shared" si="37"/>
        <v>684.05799999999988</v>
      </c>
      <c r="AC43" s="50">
        <f t="shared" si="38"/>
        <v>1565.6299999999997</v>
      </c>
      <c r="AD43" s="50">
        <f t="shared" si="39"/>
        <v>63094.288</v>
      </c>
      <c r="AF43" s="94">
        <f t="shared" si="40"/>
        <v>32486.666666332996</v>
      </c>
      <c r="AG43" s="50">
        <f>IFERROR((VLOOKUP(B43,'SUIVI 31.12.24 ALTONEO'!$B$1:$BF$38,33,FALSE())),0)</f>
        <v>0</v>
      </c>
      <c r="AH43" s="95">
        <f t="shared" si="41"/>
        <v>25989.333333066399</v>
      </c>
      <c r="AI43" s="94">
        <f t="shared" si="42"/>
        <v>136811.66666633298</v>
      </c>
      <c r="AJ43" s="50">
        <f>IFERROR((VLOOKUP(B43,'SUIVI 31.12.24 ALTONEO'!$B$1:$BF$38,36,FALSE())),0)</f>
        <v>0</v>
      </c>
      <c r="AK43" s="95">
        <f t="shared" si="43"/>
        <v>109449.33333306639</v>
      </c>
      <c r="AO43" s="94">
        <f t="shared" si="17"/>
        <v>27362.333333266593</v>
      </c>
      <c r="AP43" s="95">
        <f t="shared" si="29"/>
        <v>6497.333333266597</v>
      </c>
      <c r="AQ43" s="96">
        <f t="shared" si="44"/>
        <v>0.23745538270185704</v>
      </c>
      <c r="AR43" s="94">
        <f t="shared" si="45"/>
        <v>63094.288</v>
      </c>
      <c r="AS43" s="50">
        <f>IFERROR((VLOOKUP(B43,'SUIVI 31.12.24 ALTONEO'!$B$1:$BF$38,45,FALSE())),0)</f>
        <v>0</v>
      </c>
      <c r="AT43" s="97">
        <f t="shared" si="46"/>
        <v>63094.288</v>
      </c>
      <c r="AU43" s="94">
        <f t="shared" si="47"/>
        <v>6262.52</v>
      </c>
      <c r="AV43" s="50">
        <f>IFERROR((VLOOKUP(B43,'SUIVI 31.12.24 ALTONEO'!$B$1:$BF$38,48,FALSE())),0)</f>
        <v>0</v>
      </c>
      <c r="AW43" s="95">
        <f t="shared" si="48"/>
        <v>6262.52</v>
      </c>
      <c r="AX43" s="94">
        <f t="shared" si="49"/>
        <v>6566.9600000000009</v>
      </c>
      <c r="AY43" s="50">
        <f>IFERROR((VLOOKUP(B43,'SUIVI 31.12.24 ALTONEO'!$B$1:$BF$38,51,FALSE())),0)</f>
        <v>0</v>
      </c>
      <c r="AZ43" s="95">
        <f t="shared" si="50"/>
        <v>6566.9600000000009</v>
      </c>
      <c r="BA43" s="94">
        <f t="shared" si="51"/>
        <v>2736.232</v>
      </c>
      <c r="BB43" s="50">
        <f>IFERROR((VLOOKUP(B43,'SUIVI 31.12.24 ALTONEO'!$B$1:$BF$38,54,FALSE())),0)</f>
        <v>0</v>
      </c>
      <c r="BC43" s="95">
        <f t="shared" si="52"/>
        <v>2736.232</v>
      </c>
      <c r="BD43" s="94">
        <f t="shared" si="53"/>
        <v>4800</v>
      </c>
      <c r="BE43" s="50">
        <f>IFERROR((VLOOKUP(B43,'SUIVI 31.12.24 ALTONEO'!$B$1:$BF$38,57,FALSE())),0)</f>
        <v>0</v>
      </c>
      <c r="BF43" s="95"/>
    </row>
    <row r="44" spans="1:58" ht="15" customHeight="1" x14ac:dyDescent="0.2">
      <c r="A44" s="436"/>
      <c r="B44" s="84" t="s">
        <v>192</v>
      </c>
      <c r="C44" s="85" t="s">
        <v>193</v>
      </c>
      <c r="D44" s="86" t="s">
        <v>154</v>
      </c>
      <c r="E44" s="87">
        <f>VLOOKUP(D44,'% avancement'!$A$5:$B$17,2,FALSE())</f>
        <v>1</v>
      </c>
      <c r="F44" s="98">
        <v>113166.66666666701</v>
      </c>
      <c r="G44" s="99">
        <v>6352.5</v>
      </c>
      <c r="H44" s="99">
        <f t="shared" si="30"/>
        <v>114519.16666666701</v>
      </c>
      <c r="I44" s="99">
        <v>5000</v>
      </c>
      <c r="J44" s="99">
        <v>6871.15</v>
      </c>
      <c r="K44" s="99">
        <v>1431.49</v>
      </c>
      <c r="L44" s="99">
        <v>7828.15</v>
      </c>
      <c r="M44" s="99">
        <v>69147.94</v>
      </c>
      <c r="N44" s="91">
        <v>6000</v>
      </c>
      <c r="O44" s="92">
        <v>5000</v>
      </c>
      <c r="P44" s="99">
        <v>6871.15</v>
      </c>
      <c r="Q44" s="99">
        <v>1431.49</v>
      </c>
      <c r="R44" s="99">
        <v>7828.15</v>
      </c>
      <c r="S44" s="99">
        <v>69147.94</v>
      </c>
      <c r="T44" s="93">
        <v>6000</v>
      </c>
      <c r="U44" s="94" t="str">
        <f t="shared" si="31"/>
        <v/>
      </c>
      <c r="W44" s="50">
        <f t="shared" si="32"/>
        <v>0</v>
      </c>
      <c r="X44" s="95">
        <f t="shared" si="33"/>
        <v>0</v>
      </c>
      <c r="Y44" s="94">
        <f t="shared" si="34"/>
        <v>0</v>
      </c>
      <c r="Z44" s="50">
        <f t="shared" si="35"/>
        <v>0</v>
      </c>
      <c r="AA44" s="50">
        <f t="shared" si="36"/>
        <v>0</v>
      </c>
      <c r="AB44" s="50">
        <f t="shared" si="37"/>
        <v>0</v>
      </c>
      <c r="AC44" s="50">
        <f t="shared" si="38"/>
        <v>0</v>
      </c>
      <c r="AD44" s="50">
        <f t="shared" si="39"/>
        <v>69147.94</v>
      </c>
      <c r="AF44" s="94">
        <f t="shared" si="40"/>
        <v>23240.43666666701</v>
      </c>
      <c r="AG44" s="50">
        <f>IFERROR((VLOOKUP(B44,'SUIVI 31.12.24 ALTONEO'!$B$1:$BF$38,33,FALSE())),0)</f>
        <v>0</v>
      </c>
      <c r="AH44" s="95">
        <f t="shared" si="41"/>
        <v>23240.43666666701</v>
      </c>
      <c r="AI44" s="94">
        <f t="shared" si="42"/>
        <v>114519.16666666701</v>
      </c>
      <c r="AJ44" s="50">
        <f>IFERROR((VLOOKUP(B44,'SUIVI 31.12.24 ALTONEO'!$B$1:$BF$38,36,FALSE())),0)</f>
        <v>0</v>
      </c>
      <c r="AK44" s="95">
        <f t="shared" si="43"/>
        <v>114519.16666666701</v>
      </c>
      <c r="AO44" s="94">
        <f t="shared" si="17"/>
        <v>0</v>
      </c>
      <c r="AP44" s="95">
        <f t="shared" si="29"/>
        <v>0</v>
      </c>
      <c r="AQ44" s="96">
        <f t="shared" si="44"/>
        <v>0.20293927508495907</v>
      </c>
      <c r="AR44" s="94">
        <f t="shared" si="45"/>
        <v>69147.94</v>
      </c>
      <c r="AS44" s="50">
        <f>IFERROR((VLOOKUP(B44,'SUIVI 31.12.24 ALTONEO'!$B$1:$BF$38,45,FALSE())),0)</f>
        <v>0</v>
      </c>
      <c r="AT44" s="97">
        <f t="shared" si="46"/>
        <v>69147.94</v>
      </c>
      <c r="AU44" s="94">
        <f t="shared" si="47"/>
        <v>7828.15</v>
      </c>
      <c r="AV44" s="50">
        <f>IFERROR((VLOOKUP(B44,'SUIVI 31.12.24 ALTONEO'!$B$1:$BF$38,48,FALSE())),0)</f>
        <v>0</v>
      </c>
      <c r="AW44" s="95">
        <f t="shared" si="48"/>
        <v>7828.15</v>
      </c>
      <c r="AX44" s="94">
        <f t="shared" si="49"/>
        <v>6871.15</v>
      </c>
      <c r="AY44" s="50">
        <f>IFERROR((VLOOKUP(B44,'SUIVI 31.12.24 ALTONEO'!$B$1:$BF$38,51,FALSE())),0)</f>
        <v>0</v>
      </c>
      <c r="AZ44" s="95">
        <f t="shared" si="50"/>
        <v>6871.15</v>
      </c>
      <c r="BA44" s="94">
        <f t="shared" si="51"/>
        <v>1431.49</v>
      </c>
      <c r="BB44" s="50">
        <f>IFERROR((VLOOKUP(B44,'SUIVI 31.12.24 ALTONEO'!$B$1:$BF$38,54,FALSE())),0)</f>
        <v>0</v>
      </c>
      <c r="BC44" s="95">
        <f t="shared" si="52"/>
        <v>1431.49</v>
      </c>
      <c r="BD44" s="94">
        <f t="shared" si="53"/>
        <v>6000</v>
      </c>
      <c r="BE44" s="50">
        <f>IFERROR((VLOOKUP(B44,'SUIVI 31.12.24 ALTONEO'!$B$1:$BF$38,57,FALSE())),0)</f>
        <v>0</v>
      </c>
      <c r="BF44" s="95"/>
    </row>
    <row r="45" spans="1:58" ht="15" customHeight="1" x14ac:dyDescent="0.2">
      <c r="A45" s="436"/>
      <c r="B45" s="84" t="s">
        <v>194</v>
      </c>
      <c r="C45" s="85" t="s">
        <v>193</v>
      </c>
      <c r="D45" s="86" t="s">
        <v>154</v>
      </c>
      <c r="E45" s="87">
        <f>VLOOKUP(D45,'% avancement'!$A$5:$B$17,2,FALSE())</f>
        <v>1</v>
      </c>
      <c r="F45" s="98">
        <v>129333.33333333299</v>
      </c>
      <c r="G45" s="99">
        <v>8087.5</v>
      </c>
      <c r="H45" s="99">
        <f t="shared" si="30"/>
        <v>132420.83333333299</v>
      </c>
      <c r="I45" s="99">
        <v>5000</v>
      </c>
      <c r="J45" s="99">
        <f>(F45+G45-I45)*0.06</f>
        <v>7945.2499999999791</v>
      </c>
      <c r="K45" s="99">
        <v>1655.26</v>
      </c>
      <c r="L45" s="99">
        <v>7828.15</v>
      </c>
      <c r="M45" s="99">
        <v>81535.09</v>
      </c>
      <c r="N45" s="91">
        <v>6000</v>
      </c>
      <c r="O45" s="92">
        <v>5000</v>
      </c>
      <c r="P45" s="93">
        <v>7945.25</v>
      </c>
      <c r="Q45" s="93">
        <v>1655.26</v>
      </c>
      <c r="R45" s="93">
        <v>7828.15</v>
      </c>
      <c r="S45" s="93">
        <v>81535.09</v>
      </c>
      <c r="T45" s="93">
        <v>6000</v>
      </c>
      <c r="U45" s="94" t="str">
        <f t="shared" si="31"/>
        <v/>
      </c>
      <c r="W45" s="50">
        <f t="shared" si="32"/>
        <v>0</v>
      </c>
      <c r="X45" s="95">
        <f t="shared" si="33"/>
        <v>0</v>
      </c>
      <c r="Y45" s="94">
        <f t="shared" si="34"/>
        <v>0</v>
      </c>
      <c r="Z45" s="50">
        <f t="shared" si="35"/>
        <v>0</v>
      </c>
      <c r="AA45" s="50">
        <f t="shared" si="36"/>
        <v>0</v>
      </c>
      <c r="AB45" s="50">
        <f t="shared" si="37"/>
        <v>0</v>
      </c>
      <c r="AC45" s="50">
        <f t="shared" si="38"/>
        <v>0</v>
      </c>
      <c r="AD45" s="50">
        <f t="shared" si="39"/>
        <v>81535.09</v>
      </c>
      <c r="AF45" s="94">
        <f t="shared" si="40"/>
        <v>27457.083333333023</v>
      </c>
      <c r="AG45" s="50">
        <f>IFERROR((VLOOKUP(B45,'SUIVI 31.12.24 ALTONEO'!$B$1:$BF$38,33,FALSE())),0)</f>
        <v>0</v>
      </c>
      <c r="AH45" s="95">
        <f t="shared" si="41"/>
        <v>27457.083333333023</v>
      </c>
      <c r="AI45" s="94">
        <f t="shared" si="42"/>
        <v>132420.83333333299</v>
      </c>
      <c r="AJ45" s="50">
        <f>IFERROR((VLOOKUP(B45,'SUIVI 31.12.24 ALTONEO'!$B$1:$BF$38,36,FALSE())),0)</f>
        <v>0</v>
      </c>
      <c r="AK45" s="95">
        <f t="shared" si="43"/>
        <v>132420.83333333299</v>
      </c>
      <c r="AO45" s="94">
        <f t="shared" si="17"/>
        <v>0</v>
      </c>
      <c r="AP45" s="95">
        <f t="shared" si="29"/>
        <v>0</v>
      </c>
      <c r="AQ45" s="96">
        <f t="shared" si="44"/>
        <v>0.20734715710644544</v>
      </c>
      <c r="AR45" s="94">
        <f t="shared" si="45"/>
        <v>81535.09</v>
      </c>
      <c r="AS45" s="50">
        <f>IFERROR((VLOOKUP(B45,'SUIVI 31.12.24 ALTONEO'!$B$1:$BF$38,45,FALSE())),0)</f>
        <v>0</v>
      </c>
      <c r="AT45" s="97">
        <f t="shared" si="46"/>
        <v>81535.09</v>
      </c>
      <c r="AU45" s="94">
        <f t="shared" si="47"/>
        <v>7828.15</v>
      </c>
      <c r="AV45" s="50">
        <f>IFERROR((VLOOKUP(B45,'SUIVI 31.12.24 ALTONEO'!$B$1:$BF$38,48,FALSE())),0)</f>
        <v>0</v>
      </c>
      <c r="AW45" s="95">
        <f t="shared" si="48"/>
        <v>7828.15</v>
      </c>
      <c r="AX45" s="94">
        <f t="shared" si="49"/>
        <v>7945.25</v>
      </c>
      <c r="AY45" s="50">
        <f>IFERROR((VLOOKUP(B45,'SUIVI 31.12.24 ALTONEO'!$B$1:$BF$38,51,FALSE())),0)</f>
        <v>0</v>
      </c>
      <c r="AZ45" s="95">
        <f t="shared" si="50"/>
        <v>7945.25</v>
      </c>
      <c r="BA45" s="94">
        <f t="shared" si="51"/>
        <v>1655.26</v>
      </c>
      <c r="BB45" s="50">
        <f>IFERROR((VLOOKUP(B45,'SUIVI 31.12.24 ALTONEO'!$B$1:$BF$38,54,FALSE())),0)</f>
        <v>0</v>
      </c>
      <c r="BC45" s="95">
        <f t="shared" si="52"/>
        <v>1655.26</v>
      </c>
      <c r="BD45" s="94">
        <f t="shared" si="53"/>
        <v>6000</v>
      </c>
      <c r="BE45" s="50">
        <f>IFERROR((VLOOKUP(B45,'SUIVI 31.12.24 ALTONEO'!$B$1:$BF$38,57,FALSE())),0)</f>
        <v>0</v>
      </c>
      <c r="BF45" s="95"/>
    </row>
    <row r="46" spans="1:58" ht="13.5" customHeight="1" x14ac:dyDescent="0.2">
      <c r="A46" s="110"/>
      <c r="B46" s="101">
        <f>+ROWS(B40:B45)</f>
        <v>6</v>
      </c>
      <c r="C46" s="102"/>
      <c r="D46" s="103"/>
      <c r="E46" s="101"/>
      <c r="F46" s="104"/>
      <c r="G46" s="105"/>
      <c r="H46" s="105"/>
      <c r="I46" s="105"/>
      <c r="J46" s="105"/>
      <c r="K46" s="105"/>
      <c r="L46" s="105"/>
      <c r="M46" s="105"/>
      <c r="N46" s="106"/>
      <c r="O46" s="107"/>
      <c r="P46" s="108"/>
      <c r="Q46" s="108"/>
      <c r="R46" s="108"/>
      <c r="S46" s="108"/>
      <c r="T46" s="109"/>
      <c r="U46" s="94"/>
      <c r="X46" s="95"/>
      <c r="Y46" s="94"/>
      <c r="AF46" s="94"/>
      <c r="AH46" s="95"/>
      <c r="AI46" s="94"/>
      <c r="AK46" s="95"/>
      <c r="AO46" s="94"/>
      <c r="AP46" s="95">
        <f t="shared" si="29"/>
        <v>0</v>
      </c>
      <c r="AQ46" s="96"/>
      <c r="AR46" s="94"/>
      <c r="AT46" s="97"/>
      <c r="AU46" s="94"/>
      <c r="AW46" s="95"/>
      <c r="AX46" s="94"/>
      <c r="AZ46" s="95"/>
      <c r="BA46" s="94"/>
      <c r="BC46" s="95"/>
      <c r="BD46" s="94"/>
      <c r="BE46" s="50"/>
      <c r="BF46" s="95"/>
    </row>
    <row r="47" spans="1:58" ht="15" customHeight="1" x14ac:dyDescent="0.2">
      <c r="A47" s="429" t="s">
        <v>195</v>
      </c>
      <c r="B47" s="84" t="s">
        <v>196</v>
      </c>
      <c r="C47" s="85" t="s">
        <v>193</v>
      </c>
      <c r="D47" s="86" t="s">
        <v>154</v>
      </c>
      <c r="E47" s="87">
        <f>VLOOKUP(D47,'% avancement'!$A$5:$B$17,2,FALSE())</f>
        <v>1</v>
      </c>
      <c r="F47" s="98">
        <v>118666.66666666701</v>
      </c>
      <c r="G47" s="99">
        <v>4031.67</v>
      </c>
      <c r="H47" s="99">
        <f>F47+G47-I47</f>
        <v>122698.336666667</v>
      </c>
      <c r="I47" s="99">
        <v>0</v>
      </c>
      <c r="J47" s="99">
        <v>8834.2800000000007</v>
      </c>
      <c r="K47" s="99">
        <v>1840.48</v>
      </c>
      <c r="L47" s="99">
        <v>7828.15</v>
      </c>
      <c r="M47" s="99">
        <v>78169.289999999994</v>
      </c>
      <c r="N47" s="143">
        <v>6000</v>
      </c>
      <c r="O47" s="92">
        <v>0</v>
      </c>
      <c r="P47" s="99">
        <v>8834.2800000000007</v>
      </c>
      <c r="Q47" s="99">
        <v>1840.48</v>
      </c>
      <c r="R47" s="99">
        <v>7828.15</v>
      </c>
      <c r="S47" s="99">
        <v>78169.289999999994</v>
      </c>
      <c r="T47" s="93">
        <v>6000</v>
      </c>
      <c r="U47" s="94" t="str">
        <f t="shared" ref="U47:U60" si="54">IF(C47="oui","",(H47+I47)*E47)</f>
        <v/>
      </c>
      <c r="W47" s="50">
        <f t="shared" ref="W47:W60" si="55">IF(O47="",0,(1-E47)*O47)</f>
        <v>0</v>
      </c>
      <c r="X47" s="95">
        <f t="shared" ref="X47:X60" si="56">IF(O47="",I47*(E47),0)</f>
        <v>0</v>
      </c>
      <c r="Y47" s="94">
        <f t="shared" ref="Y47:Y60" si="57">IF(P47="",+H47*6%*E47,0)</f>
        <v>0</v>
      </c>
      <c r="Z47" s="50">
        <f t="shared" ref="Z47:Z60" si="58">IF(P47="",0,P47*(1-E47))</f>
        <v>0</v>
      </c>
      <c r="AA47" s="50">
        <f t="shared" ref="AA47:AA60" si="59">IF(Q47="",+H47*2.5%*E47,0)</f>
        <v>0</v>
      </c>
      <c r="AB47" s="50">
        <f t="shared" ref="AB47:AB60" si="60">IF(Q47="",0,Q47*(1-E47))</f>
        <v>0</v>
      </c>
      <c r="AC47" s="50">
        <f t="shared" ref="AC47:AC60" si="61">IF(R47="",+L47*E47,(1-E47)*R47)</f>
        <v>0</v>
      </c>
      <c r="AD47" s="50">
        <f t="shared" ref="AD47:AD60" si="62">IF(S47="",M47*E47,S47*E47)</f>
        <v>78169.289999999994</v>
      </c>
      <c r="AF47" s="94">
        <f t="shared" ref="AF47:AF60" si="63">IF(E47="",0,+H47-J47-K47-L47-M47-N47)</f>
        <v>20026.136666667022</v>
      </c>
      <c r="AG47" s="50">
        <f>IFERROR((VLOOKUP(B47,'SUIVI 31.12.24 ALTONEO'!$B$1:$BF$38,33,FALSE())),0)</f>
        <v>5776.303333333356</v>
      </c>
      <c r="AH47" s="95">
        <f t="shared" ref="AH47:AH60" si="64">AF47*E47-AG47</f>
        <v>14249.833333333667</v>
      </c>
      <c r="AI47" s="94">
        <f t="shared" ref="AI47:AI60" si="65">IF(E47="",0,H47)</f>
        <v>122698.336666667</v>
      </c>
      <c r="AJ47" s="50">
        <f>IFERROR((VLOOKUP(B47,'SUIVI 31.12.24 ALTONEO'!$B$1:$BF$38,36,FALSE())),0)</f>
        <v>24733.333333333401</v>
      </c>
      <c r="AK47" s="95">
        <f t="shared" ref="AK47:AK60" si="66">AI47*E47-AJ47</f>
        <v>97965.003333333603</v>
      </c>
      <c r="AO47" s="94">
        <f t="shared" ref="AO47:AO60" si="67">AI47-AJ47-AK47</f>
        <v>0</v>
      </c>
      <c r="AP47" s="95">
        <f t="shared" si="29"/>
        <v>0</v>
      </c>
      <c r="AQ47" s="96">
        <f t="shared" ref="AQ47:AQ60" si="68">IF(E47="","",+AF47/AI47)</f>
        <v>0.16321441032303291</v>
      </c>
      <c r="AR47" s="94">
        <f t="shared" ref="AR47:AR60" si="69">IF(S47="",M47*E47,S47*E47)</f>
        <v>78169.289999999994</v>
      </c>
      <c r="AS47" s="50">
        <f>IFERROR((VLOOKUP(B47,'SUIVI 31.12.24 ALTONEO'!$B$1:$BF$38,45,FALSE())),0)</f>
        <v>15334.66666666671</v>
      </c>
      <c r="AT47" s="97">
        <f t="shared" ref="AT47:AT60" si="70">+AR47-AS47</f>
        <v>62834.623333333286</v>
      </c>
      <c r="AU47" s="94">
        <f t="shared" ref="AU47:AU60" si="71">+L47*E47</f>
        <v>7828.15</v>
      </c>
      <c r="AV47" s="50">
        <f>IFERROR((VLOOKUP(B47,'SUIVI 31.12.24 ALTONEO'!$B$1:$BF$38,48,FALSE())),0)</f>
        <v>1520.03</v>
      </c>
      <c r="AW47" s="95">
        <f t="shared" ref="AW47:AW60" si="72">+AU47-AV47</f>
        <v>6308.12</v>
      </c>
      <c r="AX47" s="94">
        <f t="shared" ref="AX47:AX60" si="73">IF(P47="",J47*E47,P47-Z47)</f>
        <v>8834.2800000000007</v>
      </c>
      <c r="AY47" s="50">
        <f>IFERROR((VLOOKUP(B47,'SUIVI 31.12.24 ALTONEO'!$B$1:$BF$38,51,FALSE())),0)</f>
        <v>1484.0000000000041</v>
      </c>
      <c r="AZ47" s="95">
        <f t="shared" ref="AZ47:AZ60" si="74">+AX47-AY47</f>
        <v>7350.279999999997</v>
      </c>
      <c r="BA47" s="94">
        <f t="shared" ref="BA47:BA60" si="75">IF(Q47="",K47*E47,Q47-AB47)</f>
        <v>1840.48</v>
      </c>
      <c r="BB47" s="50">
        <f>IFERROR((VLOOKUP(B47,'SUIVI 31.12.24 ALTONEO'!$B$1:$BF$38,54,FALSE())),0)</f>
        <v>618.33333333333508</v>
      </c>
      <c r="BC47" s="95">
        <f t="shared" ref="BC47:BC60" si="76">+BA47-BB47</f>
        <v>1222.1466666666649</v>
      </c>
      <c r="BD47" s="94">
        <f t="shared" ref="BD47:BD60" si="77">+E47*N47</f>
        <v>6000</v>
      </c>
      <c r="BE47" s="50">
        <f>IFERROR((VLOOKUP(B47,'SUIVI 31.12.24 ALTONEO'!$B$1:$BF$38,57,FALSE())),0)</f>
        <v>0</v>
      </c>
      <c r="BF47" s="95"/>
    </row>
    <row r="48" spans="1:58" ht="15" customHeight="1" x14ac:dyDescent="0.2">
      <c r="A48" s="429"/>
      <c r="B48" s="84" t="s">
        <v>197</v>
      </c>
      <c r="C48" s="85" t="s">
        <v>193</v>
      </c>
      <c r="D48" s="86" t="s">
        <v>154</v>
      </c>
      <c r="E48" s="87">
        <f>VLOOKUP(D48,'% avancement'!$A$5:$B$17,2,FALSE())</f>
        <v>1</v>
      </c>
      <c r="F48" s="98">
        <v>117916.66666666701</v>
      </c>
      <c r="G48" s="99">
        <v>8827.35</v>
      </c>
      <c r="H48" s="99">
        <f>F48+G48-I48</f>
        <v>121744.01666666701</v>
      </c>
      <c r="I48" s="99">
        <v>5000</v>
      </c>
      <c r="J48" s="99">
        <v>8545.98</v>
      </c>
      <c r="K48" s="99">
        <v>1780.42</v>
      </c>
      <c r="L48" s="99">
        <v>7828.15</v>
      </c>
      <c r="M48" s="99">
        <v>72289.929999999993</v>
      </c>
      <c r="N48" s="91">
        <v>6000</v>
      </c>
      <c r="O48" s="92">
        <v>5000</v>
      </c>
      <c r="P48" s="99">
        <v>8545.98</v>
      </c>
      <c r="Q48" s="99">
        <v>1780.42</v>
      </c>
      <c r="R48" s="99">
        <v>7828.15</v>
      </c>
      <c r="S48" s="99">
        <v>72289.929999999993</v>
      </c>
      <c r="T48" s="93">
        <v>6000</v>
      </c>
      <c r="U48" s="94" t="str">
        <f t="shared" si="54"/>
        <v/>
      </c>
      <c r="W48" s="50">
        <f t="shared" si="55"/>
        <v>0</v>
      </c>
      <c r="X48" s="95">
        <f t="shared" si="56"/>
        <v>0</v>
      </c>
      <c r="Y48" s="94">
        <f t="shared" si="57"/>
        <v>0</v>
      </c>
      <c r="Z48" s="50">
        <f t="shared" si="58"/>
        <v>0</v>
      </c>
      <c r="AA48" s="50">
        <f t="shared" si="59"/>
        <v>0</v>
      </c>
      <c r="AB48" s="50">
        <f t="shared" si="60"/>
        <v>0</v>
      </c>
      <c r="AC48" s="50">
        <f t="shared" si="61"/>
        <v>0</v>
      </c>
      <c r="AD48" s="50">
        <f t="shared" si="62"/>
        <v>72289.929999999993</v>
      </c>
      <c r="AF48" s="94">
        <f t="shared" si="63"/>
        <v>25299.536666667031</v>
      </c>
      <c r="AG48" s="50">
        <f>IFERROR((VLOOKUP(B48,'SUIVI 31.12.24 ALTONEO'!$B$1:$BF$38,33,FALSE())),0)</f>
        <v>9634.106666666712</v>
      </c>
      <c r="AH48" s="95">
        <f t="shared" si="64"/>
        <v>15665.430000000319</v>
      </c>
      <c r="AI48" s="94">
        <f t="shared" si="65"/>
        <v>121744.01666666701</v>
      </c>
      <c r="AJ48" s="50">
        <f>IFERROR((VLOOKUP(B48,'SUIVI 31.12.24 ALTONEO'!$B$1:$BF$38,36,FALSE())),0)</f>
        <v>47166.666666666802</v>
      </c>
      <c r="AK48" s="95">
        <f t="shared" si="66"/>
        <v>74577.35000000021</v>
      </c>
      <c r="AO48" s="94">
        <f t="shared" si="67"/>
        <v>0</v>
      </c>
      <c r="AP48" s="95">
        <f t="shared" si="29"/>
        <v>0</v>
      </c>
      <c r="AQ48" s="96">
        <f t="shared" si="68"/>
        <v>0.20780928179769786</v>
      </c>
      <c r="AR48" s="94">
        <f t="shared" si="69"/>
        <v>72289.929999999993</v>
      </c>
      <c r="AS48" s="50">
        <f>IFERROR((VLOOKUP(B48,'SUIVI 31.12.24 ALTONEO'!$B$1:$BF$38,45,FALSE())),0)</f>
        <v>30483.333333333419</v>
      </c>
      <c r="AT48" s="97">
        <f t="shared" si="70"/>
        <v>41806.596666666577</v>
      </c>
      <c r="AU48" s="94">
        <f t="shared" si="71"/>
        <v>7828.15</v>
      </c>
      <c r="AV48" s="50">
        <f>IFERROR((VLOOKUP(B48,'SUIVI 31.12.24 ALTONEO'!$B$1:$BF$38,48,FALSE())),0)</f>
        <v>3040.06</v>
      </c>
      <c r="AW48" s="95">
        <f t="shared" si="72"/>
        <v>4788.09</v>
      </c>
      <c r="AX48" s="94">
        <f t="shared" si="73"/>
        <v>8545.98</v>
      </c>
      <c r="AY48" s="50">
        <f>IFERROR((VLOOKUP(B48,'SUIVI 31.12.24 ALTONEO'!$B$1:$BF$38,51,FALSE())),0)</f>
        <v>2848.66</v>
      </c>
      <c r="AZ48" s="95">
        <f t="shared" si="74"/>
        <v>5697.32</v>
      </c>
      <c r="BA48" s="94">
        <f t="shared" si="75"/>
        <v>1780.42</v>
      </c>
      <c r="BB48" s="50">
        <f>IFERROR((VLOOKUP(B48,'SUIVI 31.12.24 ALTONEO'!$B$1:$BF$38,54,FALSE())),0)</f>
        <v>593.47200000000009</v>
      </c>
      <c r="BC48" s="95">
        <f t="shared" si="76"/>
        <v>1186.9479999999999</v>
      </c>
      <c r="BD48" s="94">
        <f t="shared" si="77"/>
        <v>6000</v>
      </c>
      <c r="BE48" s="50">
        <f>IFERROR((VLOOKUP(B48,'SUIVI 31.12.24 ALTONEO'!$B$1:$BF$38,57,FALSE())),0)</f>
        <v>0</v>
      </c>
      <c r="BF48" s="95"/>
    </row>
    <row r="49" spans="1:58" ht="15" customHeight="1" x14ac:dyDescent="0.2">
      <c r="A49" s="429"/>
      <c r="B49" s="84" t="s">
        <v>198</v>
      </c>
      <c r="C49" s="85" t="s">
        <v>193</v>
      </c>
      <c r="D49" s="86" t="s">
        <v>154</v>
      </c>
      <c r="E49" s="87">
        <f>VLOOKUP(D49,'% avancement'!$A$5:$B$17,2,FALSE())</f>
        <v>1</v>
      </c>
      <c r="F49" s="98">
        <v>135750</v>
      </c>
      <c r="G49" s="99">
        <v>9886.1299999999992</v>
      </c>
      <c r="H49" s="99">
        <f>F49+G49-I49</f>
        <v>139386.13</v>
      </c>
      <c r="I49" s="99">
        <v>6250</v>
      </c>
      <c r="J49" s="99">
        <v>9871.56</v>
      </c>
      <c r="K49" s="99">
        <v>2056.5700000000002</v>
      </c>
      <c r="L49" s="99">
        <v>7828.15</v>
      </c>
      <c r="M49" s="99">
        <v>88371.58</v>
      </c>
      <c r="N49" s="91">
        <v>6000</v>
      </c>
      <c r="O49" s="92">
        <v>6250</v>
      </c>
      <c r="P49" s="99">
        <v>9871.56</v>
      </c>
      <c r="Q49" s="99">
        <v>2056.5700000000002</v>
      </c>
      <c r="R49" s="93">
        <v>7828.15</v>
      </c>
      <c r="S49" s="99">
        <v>88371.58</v>
      </c>
      <c r="T49" s="93">
        <v>6000</v>
      </c>
      <c r="U49" s="94" t="str">
        <f t="shared" si="54"/>
        <v/>
      </c>
      <c r="W49" s="50">
        <f t="shared" si="55"/>
        <v>0</v>
      </c>
      <c r="X49" s="95">
        <f t="shared" si="56"/>
        <v>0</v>
      </c>
      <c r="Y49" s="94">
        <f t="shared" si="57"/>
        <v>0</v>
      </c>
      <c r="Z49" s="50">
        <f t="shared" si="58"/>
        <v>0</v>
      </c>
      <c r="AA49" s="50">
        <f t="shared" si="59"/>
        <v>0</v>
      </c>
      <c r="AB49" s="50">
        <f t="shared" si="60"/>
        <v>0</v>
      </c>
      <c r="AC49" s="50">
        <f t="shared" si="61"/>
        <v>0</v>
      </c>
      <c r="AD49" s="50">
        <f t="shared" si="62"/>
        <v>88371.58</v>
      </c>
      <c r="AF49" s="94">
        <f t="shared" si="63"/>
        <v>25258.270000000004</v>
      </c>
      <c r="AG49" s="50">
        <f>IFERROR((VLOOKUP(B49,'SUIVI 31.12.24 ALTONEO'!$B$1:$BF$38,33,FALSE())),0)</f>
        <v>11738.440000000002</v>
      </c>
      <c r="AH49" s="95">
        <f t="shared" si="64"/>
        <v>13519.830000000002</v>
      </c>
      <c r="AI49" s="94">
        <f t="shared" si="65"/>
        <v>139386.13</v>
      </c>
      <c r="AJ49" s="50">
        <f>IFERROR((VLOOKUP(B49,'SUIVI 31.12.24 ALTONEO'!$B$1:$BF$38,36,FALSE())),0)</f>
        <v>54300</v>
      </c>
      <c r="AK49" s="95">
        <f t="shared" si="66"/>
        <v>85086.13</v>
      </c>
      <c r="AO49" s="94">
        <f t="shared" si="67"/>
        <v>0</v>
      </c>
      <c r="AP49" s="95">
        <f t="shared" si="29"/>
        <v>0</v>
      </c>
      <c r="AQ49" s="96">
        <f t="shared" si="68"/>
        <v>0.18121078474594282</v>
      </c>
      <c r="AR49" s="94">
        <f t="shared" si="69"/>
        <v>88371.58</v>
      </c>
      <c r="AS49" s="50">
        <f>IFERROR((VLOOKUP(B49,'SUIVI 31.12.24 ALTONEO'!$B$1:$BF$38,45,FALSE())),0)</f>
        <v>34906</v>
      </c>
      <c r="AT49" s="97">
        <f t="shared" si="70"/>
        <v>53465.58</v>
      </c>
      <c r="AU49" s="94">
        <f t="shared" si="71"/>
        <v>7828.15</v>
      </c>
      <c r="AV49" s="50">
        <f>IFERROR((VLOOKUP(B49,'SUIVI 31.12.24 ALTONEO'!$B$1:$BF$38,48,FALSE())),0)</f>
        <v>3040.06</v>
      </c>
      <c r="AW49" s="95">
        <f t="shared" si="72"/>
        <v>4788.09</v>
      </c>
      <c r="AX49" s="94">
        <f t="shared" si="73"/>
        <v>9871.56</v>
      </c>
      <c r="AY49" s="50">
        <f>IFERROR((VLOOKUP(B49,'SUIVI 31.12.24 ALTONEO'!$B$1:$BF$38,51,FALSE())),0)</f>
        <v>3258</v>
      </c>
      <c r="AZ49" s="95">
        <f t="shared" si="74"/>
        <v>6613.5599999999995</v>
      </c>
      <c r="BA49" s="94">
        <f t="shared" si="75"/>
        <v>2056.5700000000002</v>
      </c>
      <c r="BB49" s="50">
        <f>IFERROR((VLOOKUP(B49,'SUIVI 31.12.24 ALTONEO'!$B$1:$BF$38,54,FALSE())),0)</f>
        <v>1357.5</v>
      </c>
      <c r="BC49" s="95">
        <f t="shared" si="76"/>
        <v>699.07000000000016</v>
      </c>
      <c r="BD49" s="94">
        <f t="shared" si="77"/>
        <v>6000</v>
      </c>
      <c r="BE49" s="50">
        <f>IFERROR((VLOOKUP(B49,'SUIVI 31.12.24 ALTONEO'!$B$1:$BF$38,57,FALSE())),0)</f>
        <v>0</v>
      </c>
      <c r="BF49" s="95"/>
    </row>
    <row r="50" spans="1:58" ht="15" customHeight="1" x14ac:dyDescent="0.2">
      <c r="A50" s="429"/>
      <c r="B50" s="144" t="s">
        <v>199</v>
      </c>
      <c r="C50" s="85" t="s">
        <v>193</v>
      </c>
      <c r="D50" s="86" t="s">
        <v>154</v>
      </c>
      <c r="E50" s="87">
        <f>VLOOKUP(D50,'% avancement'!$A$5:$B$17,2,FALSE())</f>
        <v>1</v>
      </c>
      <c r="F50" s="98">
        <v>119002</v>
      </c>
      <c r="G50" s="99">
        <v>5723</v>
      </c>
      <c r="H50" s="99">
        <f>F50+G50-I50</f>
        <v>119725</v>
      </c>
      <c r="I50" s="99">
        <v>5000</v>
      </c>
      <c r="J50" s="99">
        <v>6818.33</v>
      </c>
      <c r="K50" s="99">
        <v>1420.83</v>
      </c>
      <c r="L50" s="99">
        <v>7600.15</v>
      </c>
      <c r="M50" s="99">
        <v>69085.95</v>
      </c>
      <c r="N50" s="91">
        <v>6000</v>
      </c>
      <c r="O50" s="145">
        <v>5000</v>
      </c>
      <c r="P50" s="146">
        <v>6818.33</v>
      </c>
      <c r="Q50" s="146">
        <v>1420.83</v>
      </c>
      <c r="R50" s="146">
        <v>7600.15</v>
      </c>
      <c r="S50" s="99">
        <v>69085.95</v>
      </c>
      <c r="T50" s="109">
        <v>6000</v>
      </c>
      <c r="U50" s="94" t="str">
        <f t="shared" si="54"/>
        <v/>
      </c>
      <c r="W50" s="50">
        <f t="shared" si="55"/>
        <v>0</v>
      </c>
      <c r="X50" s="95">
        <f t="shared" si="56"/>
        <v>0</v>
      </c>
      <c r="Y50" s="94">
        <f t="shared" si="57"/>
        <v>0</v>
      </c>
      <c r="Z50" s="50">
        <f t="shared" si="58"/>
        <v>0</v>
      </c>
      <c r="AA50" s="50">
        <f t="shared" si="59"/>
        <v>0</v>
      </c>
      <c r="AB50" s="50">
        <f t="shared" si="60"/>
        <v>0</v>
      </c>
      <c r="AC50" s="50">
        <f t="shared" si="61"/>
        <v>0</v>
      </c>
      <c r="AD50" s="50">
        <f t="shared" si="62"/>
        <v>69085.95</v>
      </c>
      <c r="AF50" s="94">
        <f t="shared" si="63"/>
        <v>28799.740000000005</v>
      </c>
      <c r="AG50" s="50">
        <f>IFERROR((VLOOKUP(B50,'SUIVI 31.12.24 ALTONEO'!$B$1:$BF$38,33,FALSE())),0)</f>
        <v>8222.4760000000006</v>
      </c>
      <c r="AH50" s="95">
        <f t="shared" si="64"/>
        <v>20577.264000000003</v>
      </c>
      <c r="AI50" s="94">
        <f t="shared" si="65"/>
        <v>119725</v>
      </c>
      <c r="AJ50" s="50">
        <f>IFERROR((VLOOKUP(B50,'SUIVI 31.12.24 ALTONEO'!$B$1:$BF$38,36,FALSE())),0)</f>
        <v>47890</v>
      </c>
      <c r="AK50" s="95">
        <f t="shared" si="66"/>
        <v>71835</v>
      </c>
      <c r="AO50" s="94">
        <f t="shared" si="67"/>
        <v>0</v>
      </c>
      <c r="AP50" s="95">
        <f t="shared" si="29"/>
        <v>0</v>
      </c>
      <c r="AQ50" s="96">
        <f t="shared" si="68"/>
        <v>0.24054909166840682</v>
      </c>
      <c r="AR50" s="94">
        <f t="shared" si="69"/>
        <v>69085.95</v>
      </c>
      <c r="AS50" s="50">
        <f>IFERROR((VLOOKUP(B50,'SUIVI 31.12.24 ALTONEO'!$B$1:$BF$38,45,FALSE())),0)</f>
        <v>30931.800000000003</v>
      </c>
      <c r="AT50" s="97">
        <f t="shared" si="70"/>
        <v>38154.149999999994</v>
      </c>
      <c r="AU50" s="94">
        <f t="shared" si="71"/>
        <v>7600.15</v>
      </c>
      <c r="AV50" s="50">
        <f>IFERROR((VLOOKUP(B50,'SUIVI 31.12.24 ALTONEO'!$B$1:$BF$38,48,FALSE())),0)</f>
        <v>3040.06</v>
      </c>
      <c r="AW50" s="95">
        <f t="shared" si="72"/>
        <v>4560.09</v>
      </c>
      <c r="AX50" s="94">
        <f t="shared" si="73"/>
        <v>6818.33</v>
      </c>
      <c r="AY50" s="50">
        <f>IFERROR((VLOOKUP(B50,'SUIVI 31.12.24 ALTONEO'!$B$1:$BF$38,51,FALSE())),0)</f>
        <v>2727.3320000000003</v>
      </c>
      <c r="AZ50" s="95">
        <f t="shared" si="74"/>
        <v>4090.9979999999996</v>
      </c>
      <c r="BA50" s="94">
        <f t="shared" si="75"/>
        <v>1420.83</v>
      </c>
      <c r="BB50" s="50">
        <f>IFERROR((VLOOKUP(B50,'SUIVI 31.12.24 ALTONEO'!$B$1:$BF$38,54,FALSE())),0)</f>
        <v>568.33199999999999</v>
      </c>
      <c r="BC50" s="95">
        <f t="shared" si="76"/>
        <v>852.49799999999993</v>
      </c>
      <c r="BD50" s="94">
        <f t="shared" si="77"/>
        <v>6000</v>
      </c>
      <c r="BE50" s="50">
        <f>IFERROR((VLOOKUP(B50,'SUIVI 31.12.24 ALTONEO'!$B$1:$BF$38,57,FALSE())),0)</f>
        <v>2400</v>
      </c>
      <c r="BF50" s="95">
        <f>+BD50-BE50</f>
        <v>3600</v>
      </c>
    </row>
    <row r="51" spans="1:58" ht="15" customHeight="1" x14ac:dyDescent="0.2">
      <c r="A51" s="429"/>
      <c r="B51" s="144" t="s">
        <v>200</v>
      </c>
      <c r="C51" s="85" t="s">
        <v>193</v>
      </c>
      <c r="D51" s="86" t="s">
        <v>154</v>
      </c>
      <c r="E51" s="87">
        <f>VLOOKUP(D51,'% avancement'!$A$5:$B$17,2,FALSE())</f>
        <v>1</v>
      </c>
      <c r="F51" s="147">
        <v>120621.96</v>
      </c>
      <c r="G51" s="148">
        <v>6664.41</v>
      </c>
      <c r="H51" s="99">
        <f>120622-I51</f>
        <v>115622</v>
      </c>
      <c r="I51" s="148">
        <v>5000</v>
      </c>
      <c r="J51" s="148">
        <f>8187/1.2</f>
        <v>6822.5</v>
      </c>
      <c r="K51" s="148">
        <f>1706/1.2</f>
        <v>1421.6666666666667</v>
      </c>
      <c r="L51" s="99">
        <v>7600.15</v>
      </c>
      <c r="M51" s="99">
        <v>70635.11</v>
      </c>
      <c r="N51" s="91">
        <v>6000</v>
      </c>
      <c r="O51" s="145">
        <v>5000</v>
      </c>
      <c r="P51" s="146">
        <v>6822.5</v>
      </c>
      <c r="Q51" s="146">
        <v>1421.6666666666699</v>
      </c>
      <c r="R51" s="146">
        <v>7600</v>
      </c>
      <c r="S51" s="99">
        <v>70635.11</v>
      </c>
      <c r="T51" s="109">
        <v>6000</v>
      </c>
      <c r="U51" s="94" t="str">
        <f t="shared" si="54"/>
        <v/>
      </c>
      <c r="W51" s="50">
        <f t="shared" si="55"/>
        <v>0</v>
      </c>
      <c r="X51" s="95">
        <f t="shared" si="56"/>
        <v>0</v>
      </c>
      <c r="Y51" s="94">
        <f t="shared" si="57"/>
        <v>0</v>
      </c>
      <c r="Z51" s="50">
        <f t="shared" si="58"/>
        <v>0</v>
      </c>
      <c r="AA51" s="50">
        <f t="shared" si="59"/>
        <v>0</v>
      </c>
      <c r="AB51" s="50">
        <f t="shared" si="60"/>
        <v>0</v>
      </c>
      <c r="AC51" s="50">
        <f t="shared" si="61"/>
        <v>0</v>
      </c>
      <c r="AD51" s="50">
        <f t="shared" si="62"/>
        <v>70635.11</v>
      </c>
      <c r="AF51" s="94">
        <f t="shared" si="63"/>
        <v>23142.573333333334</v>
      </c>
      <c r="AG51" s="50">
        <f>IFERROR((VLOOKUP(B51,'SUIVI 31.12.24 ALTONEO'!$B$1:$BF$38,33,FALSE())),0)</f>
        <v>18514.058666666668</v>
      </c>
      <c r="AH51" s="95">
        <f t="shared" si="64"/>
        <v>4628.514666666666</v>
      </c>
      <c r="AI51" s="94">
        <f t="shared" si="65"/>
        <v>115622</v>
      </c>
      <c r="AJ51" s="50">
        <f>IFERROR((VLOOKUP(B51,'SUIVI 31.12.24 ALTONEO'!$B$1:$BF$38,36,FALSE())),0)</f>
        <v>92497.600000000006</v>
      </c>
      <c r="AK51" s="95">
        <f t="shared" si="66"/>
        <v>23124.399999999994</v>
      </c>
      <c r="AO51" s="94">
        <f t="shared" si="67"/>
        <v>0</v>
      </c>
      <c r="AP51" s="95">
        <f t="shared" si="29"/>
        <v>0</v>
      </c>
      <c r="AQ51" s="96">
        <f t="shared" si="68"/>
        <v>0.2001571788529288</v>
      </c>
      <c r="AR51" s="94">
        <f t="shared" si="69"/>
        <v>70635.11</v>
      </c>
      <c r="AS51" s="50">
        <f>IFERROR((VLOOKUP(B51,'SUIVI 31.12.24 ALTONEO'!$B$1:$BF$38,45,FALSE())),0)</f>
        <v>56508.088000000003</v>
      </c>
      <c r="AT51" s="97">
        <f t="shared" si="70"/>
        <v>14127.021999999997</v>
      </c>
      <c r="AU51" s="94">
        <f t="shared" si="71"/>
        <v>7600.15</v>
      </c>
      <c r="AV51" s="50">
        <f>IFERROR((VLOOKUP(B51,'SUIVI 31.12.24 ALTONEO'!$B$1:$BF$38,48,FALSE())),0)</f>
        <v>6080.12</v>
      </c>
      <c r="AW51" s="95">
        <f t="shared" si="72"/>
        <v>1520.0299999999997</v>
      </c>
      <c r="AX51" s="94">
        <f t="shared" si="73"/>
        <v>6822.5</v>
      </c>
      <c r="AY51" s="50">
        <f>IFERROR((VLOOKUP(B51,'SUIVI 31.12.24 ALTONEO'!$B$1:$BF$38,51,FALSE())),0)</f>
        <v>5458</v>
      </c>
      <c r="AZ51" s="95">
        <f t="shared" si="74"/>
        <v>1364.5</v>
      </c>
      <c r="BA51" s="94">
        <f t="shared" si="75"/>
        <v>1421.6666666666699</v>
      </c>
      <c r="BB51" s="50">
        <f>IFERROR((VLOOKUP(B51,'SUIVI 31.12.24 ALTONEO'!$B$1:$BF$38,54,FALSE())),0)</f>
        <v>1137.333333333336</v>
      </c>
      <c r="BC51" s="95">
        <f t="shared" si="76"/>
        <v>284.33333333333394</v>
      </c>
      <c r="BD51" s="94">
        <f t="shared" si="77"/>
        <v>6000</v>
      </c>
      <c r="BE51" s="50">
        <f>IFERROR((VLOOKUP(B51,'SUIVI 31.12.24 ALTONEO'!$B$1:$BF$38,57,FALSE())),0)</f>
        <v>4800</v>
      </c>
      <c r="BF51" s="95">
        <f>+BD51-BE51</f>
        <v>1200</v>
      </c>
    </row>
    <row r="52" spans="1:58" ht="15" customHeight="1" x14ac:dyDescent="0.2">
      <c r="A52" s="429"/>
      <c r="B52" s="84" t="s">
        <v>201</v>
      </c>
      <c r="C52" s="85" t="s">
        <v>193</v>
      </c>
      <c r="D52" s="86" t="s">
        <v>154</v>
      </c>
      <c r="E52" s="87">
        <f>VLOOKUP(D52,'% avancement'!$A$5:$B$17,2,FALSE())</f>
        <v>1</v>
      </c>
      <c r="F52" s="98">
        <v>122333.33333333299</v>
      </c>
      <c r="G52" s="99">
        <v>5385.84</v>
      </c>
      <c r="H52" s="99">
        <f>F52+G52-I52</f>
        <v>122719.17333333299</v>
      </c>
      <c r="I52" s="99">
        <v>5000</v>
      </c>
      <c r="J52" s="99">
        <v>8835.7800000000007</v>
      </c>
      <c r="K52" s="99">
        <v>1840.79</v>
      </c>
      <c r="L52" s="99">
        <v>7828.15</v>
      </c>
      <c r="M52" s="99">
        <v>79666.399999999994</v>
      </c>
      <c r="N52" s="91">
        <v>6000</v>
      </c>
      <c r="O52" s="92">
        <v>5000</v>
      </c>
      <c r="P52" s="93">
        <v>7363.15</v>
      </c>
      <c r="Q52" s="93">
        <v>1533.99</v>
      </c>
      <c r="R52" s="93">
        <v>7828.15</v>
      </c>
      <c r="S52" s="93">
        <v>79666.399999999994</v>
      </c>
      <c r="T52" s="93">
        <v>6000</v>
      </c>
      <c r="U52" s="94" t="str">
        <f t="shared" si="54"/>
        <v/>
      </c>
      <c r="W52" s="50">
        <f t="shared" si="55"/>
        <v>0</v>
      </c>
      <c r="X52" s="95">
        <f t="shared" si="56"/>
        <v>0</v>
      </c>
      <c r="Y52" s="94">
        <f t="shared" si="57"/>
        <v>0</v>
      </c>
      <c r="Z52" s="50">
        <f t="shared" si="58"/>
        <v>0</v>
      </c>
      <c r="AA52" s="50">
        <f t="shared" si="59"/>
        <v>0</v>
      </c>
      <c r="AB52" s="50">
        <f t="shared" si="60"/>
        <v>0</v>
      </c>
      <c r="AC52" s="50">
        <f t="shared" si="61"/>
        <v>0</v>
      </c>
      <c r="AD52" s="50">
        <f t="shared" si="62"/>
        <v>79666.399999999994</v>
      </c>
      <c r="AF52" s="94">
        <f t="shared" si="63"/>
        <v>18548.05333333301</v>
      </c>
      <c r="AG52" s="50">
        <f>IFERROR((VLOOKUP(B52,'SUIVI 31.12.24 ALTONEO'!$B$1:$BF$38,33,FALSE())),0)</f>
        <v>5077.6366666666472</v>
      </c>
      <c r="AH52" s="95">
        <f t="shared" si="64"/>
        <v>13470.416666666362</v>
      </c>
      <c r="AI52" s="94">
        <f t="shared" si="65"/>
        <v>122719.17333333299</v>
      </c>
      <c r="AJ52" s="50">
        <f>IFERROR((VLOOKUP(B52,'SUIVI 31.12.24 ALTONEO'!$B$1:$BF$38,36,FALSE())),0)</f>
        <v>24466.666666666599</v>
      </c>
      <c r="AK52" s="95">
        <f t="shared" si="66"/>
        <v>98252.506666666392</v>
      </c>
      <c r="AO52" s="94">
        <f t="shared" si="67"/>
        <v>0</v>
      </c>
      <c r="AP52" s="95">
        <f t="shared" si="29"/>
        <v>0</v>
      </c>
      <c r="AQ52" s="96">
        <f t="shared" si="68"/>
        <v>0.15114226106259945</v>
      </c>
      <c r="AR52" s="94">
        <f t="shared" si="69"/>
        <v>79666.399999999994</v>
      </c>
      <c r="AS52" s="50">
        <f>IFERROR((VLOOKUP(B52,'SUIVI 31.12.24 ALTONEO'!$B$1:$BF$38,45,FALSE())),0)</f>
        <v>15789.333333333292</v>
      </c>
      <c r="AT52" s="97">
        <f t="shared" si="70"/>
        <v>63877.066666666702</v>
      </c>
      <c r="AU52" s="94">
        <f t="shared" si="71"/>
        <v>7828.15</v>
      </c>
      <c r="AV52" s="50">
        <f>IFERROR((VLOOKUP(B52,'SUIVI 31.12.24 ALTONEO'!$B$1:$BF$38,48,FALSE())),0)</f>
        <v>1520.03</v>
      </c>
      <c r="AW52" s="95">
        <f t="shared" si="72"/>
        <v>6308.12</v>
      </c>
      <c r="AX52" s="94">
        <f t="shared" si="73"/>
        <v>7363.15</v>
      </c>
      <c r="AY52" s="50">
        <f>IFERROR((VLOOKUP(B52,'SUIVI 31.12.24 ALTONEO'!$B$1:$BF$38,51,FALSE())),0)</f>
        <v>1467.9999999999959</v>
      </c>
      <c r="AZ52" s="95">
        <f t="shared" si="74"/>
        <v>5895.1500000000033</v>
      </c>
      <c r="BA52" s="94">
        <f t="shared" si="75"/>
        <v>1533.99</v>
      </c>
      <c r="BB52" s="50">
        <f>IFERROR((VLOOKUP(B52,'SUIVI 31.12.24 ALTONEO'!$B$1:$BF$38,54,FALSE())),0)</f>
        <v>611.66666666666504</v>
      </c>
      <c r="BC52" s="95">
        <f t="shared" si="76"/>
        <v>922.32333333333497</v>
      </c>
      <c r="BD52" s="94">
        <f t="shared" si="77"/>
        <v>6000</v>
      </c>
      <c r="BE52" s="50">
        <f>IFERROR((VLOOKUP(B52,'SUIVI 31.12.24 ALTONEO'!$B$1:$BF$38,57,FALSE())),0)</f>
        <v>0</v>
      </c>
      <c r="BF52" s="95"/>
    </row>
    <row r="53" spans="1:58" ht="15" customHeight="1" x14ac:dyDescent="0.2">
      <c r="A53" s="429"/>
      <c r="B53" s="144" t="s">
        <v>202</v>
      </c>
      <c r="C53" s="85" t="s">
        <v>193</v>
      </c>
      <c r="D53" s="86" t="s">
        <v>154</v>
      </c>
      <c r="E53" s="87">
        <f>VLOOKUP(D53,'% avancement'!$A$5:$B$17,2,FALSE())</f>
        <v>1</v>
      </c>
      <c r="F53" s="147">
        <f>+H53-G53</f>
        <v>132500.65333333335</v>
      </c>
      <c r="G53" s="148">
        <f>7658/1.2</f>
        <v>6381.666666666667</v>
      </c>
      <c r="H53" s="99">
        <v>138882.32</v>
      </c>
      <c r="I53" s="148">
        <v>5000</v>
      </c>
      <c r="J53" s="99">
        <v>7867.5</v>
      </c>
      <c r="K53" s="99">
        <v>1639.15</v>
      </c>
      <c r="L53" s="99">
        <v>7600.15</v>
      </c>
      <c r="M53" s="99">
        <v>87259</v>
      </c>
      <c r="N53" s="91">
        <v>6000</v>
      </c>
      <c r="O53" s="145">
        <v>5000</v>
      </c>
      <c r="P53" s="146">
        <v>7867.5</v>
      </c>
      <c r="Q53" s="146">
        <v>1639.15</v>
      </c>
      <c r="R53" s="146">
        <v>7600</v>
      </c>
      <c r="S53" s="99">
        <v>87259</v>
      </c>
      <c r="T53" s="109">
        <v>6000</v>
      </c>
      <c r="U53" s="94" t="str">
        <f t="shared" si="54"/>
        <v/>
      </c>
      <c r="W53" s="50">
        <f t="shared" si="55"/>
        <v>0</v>
      </c>
      <c r="X53" s="95">
        <f t="shared" si="56"/>
        <v>0</v>
      </c>
      <c r="Y53" s="94">
        <f t="shared" si="57"/>
        <v>0</v>
      </c>
      <c r="Z53" s="50">
        <f t="shared" si="58"/>
        <v>0</v>
      </c>
      <c r="AA53" s="50">
        <f t="shared" si="59"/>
        <v>0</v>
      </c>
      <c r="AB53" s="50">
        <f t="shared" si="60"/>
        <v>0</v>
      </c>
      <c r="AC53" s="50">
        <f t="shared" si="61"/>
        <v>0</v>
      </c>
      <c r="AD53" s="50">
        <f t="shared" si="62"/>
        <v>87259</v>
      </c>
      <c r="AF53" s="94">
        <f t="shared" si="63"/>
        <v>28516.520000000019</v>
      </c>
      <c r="AG53" s="50">
        <f>IFERROR((VLOOKUP(B53,'SUIVI 31.12.24 ALTONEO'!$B$1:$BF$38,33,FALSE())),0)</f>
        <v>11406.608000000007</v>
      </c>
      <c r="AH53" s="95">
        <f t="shared" si="64"/>
        <v>17109.912000000011</v>
      </c>
      <c r="AI53" s="94">
        <f t="shared" si="65"/>
        <v>138882.32</v>
      </c>
      <c r="AJ53" s="50">
        <f>IFERROR((VLOOKUP(B53,'SUIVI 31.12.24 ALTONEO'!$B$1:$BF$38,36,FALSE())),0)</f>
        <v>55552.928000000007</v>
      </c>
      <c r="AK53" s="95">
        <f t="shared" si="66"/>
        <v>83329.391999999993</v>
      </c>
      <c r="AO53" s="94">
        <f t="shared" si="67"/>
        <v>0</v>
      </c>
      <c r="AP53" s="95">
        <f t="shared" si="29"/>
        <v>0</v>
      </c>
      <c r="AQ53" s="96">
        <f t="shared" si="68"/>
        <v>0.20532865522407759</v>
      </c>
      <c r="AR53" s="94">
        <f t="shared" si="69"/>
        <v>87259</v>
      </c>
      <c r="AS53" s="50">
        <f>IFERROR((VLOOKUP(B53,'SUIVI 31.12.24 ALTONEO'!$B$1:$BF$38,45,FALSE())),0)</f>
        <v>34903.599999999999</v>
      </c>
      <c r="AT53" s="97">
        <f t="shared" si="70"/>
        <v>52355.4</v>
      </c>
      <c r="AU53" s="94">
        <f t="shared" si="71"/>
        <v>7600.15</v>
      </c>
      <c r="AV53" s="50">
        <f>IFERROR((VLOOKUP(B53,'SUIVI 31.12.24 ALTONEO'!$B$1:$BF$38,48,FALSE())),0)</f>
        <v>3040.06</v>
      </c>
      <c r="AW53" s="95">
        <f t="shared" si="72"/>
        <v>4560.09</v>
      </c>
      <c r="AX53" s="94">
        <f t="shared" si="73"/>
        <v>7867.5</v>
      </c>
      <c r="AY53" s="50">
        <f>IFERROR((VLOOKUP(B53,'SUIVI 31.12.24 ALTONEO'!$B$1:$BF$38,51,FALSE())),0)</f>
        <v>3147</v>
      </c>
      <c r="AZ53" s="95">
        <f t="shared" si="74"/>
        <v>4720.5</v>
      </c>
      <c r="BA53" s="94">
        <f t="shared" si="75"/>
        <v>1639.15</v>
      </c>
      <c r="BB53" s="50">
        <f>IFERROR((VLOOKUP(B53,'SUIVI 31.12.24 ALTONEO'!$B$1:$BF$38,54,FALSE())),0)</f>
        <v>655.66000000000008</v>
      </c>
      <c r="BC53" s="95">
        <f t="shared" si="76"/>
        <v>983.49</v>
      </c>
      <c r="BD53" s="94">
        <f t="shared" si="77"/>
        <v>6000</v>
      </c>
      <c r="BE53" s="50">
        <f>IFERROR((VLOOKUP(B53,'SUIVI 31.12.24 ALTONEO'!$B$1:$BF$38,57,FALSE())),0)</f>
        <v>2400</v>
      </c>
      <c r="BF53" s="95">
        <f>+BD53-BE53</f>
        <v>3600</v>
      </c>
    </row>
    <row r="54" spans="1:58" ht="15" customHeight="1" x14ac:dyDescent="0.2">
      <c r="A54" s="429"/>
      <c r="B54" s="84" t="s">
        <v>203</v>
      </c>
      <c r="C54" s="85" t="s">
        <v>193</v>
      </c>
      <c r="D54" s="86" t="s">
        <v>154</v>
      </c>
      <c r="E54" s="87">
        <f>VLOOKUP(D54,'% avancement'!$A$5:$B$17,2,FALSE())</f>
        <v>1</v>
      </c>
      <c r="F54" s="98">
        <v>102000</v>
      </c>
      <c r="G54" s="99">
        <v>5440</v>
      </c>
      <c r="H54" s="99">
        <f>F54+G54-I54</f>
        <v>102440</v>
      </c>
      <c r="I54" s="99">
        <v>5000</v>
      </c>
      <c r="J54" s="99">
        <v>7375.68</v>
      </c>
      <c r="K54" s="99">
        <v>1536.6</v>
      </c>
      <c r="L54" s="99">
        <v>7828.15</v>
      </c>
      <c r="M54" s="99">
        <v>63184.33</v>
      </c>
      <c r="N54" s="91">
        <v>6000</v>
      </c>
      <c r="O54" s="92">
        <v>5000</v>
      </c>
      <c r="P54" s="93">
        <v>6146.4</v>
      </c>
      <c r="Q54" s="93">
        <v>1280.5</v>
      </c>
      <c r="R54" s="93">
        <v>7828.15</v>
      </c>
      <c r="S54" s="93">
        <v>64712.33</v>
      </c>
      <c r="T54" s="93">
        <v>6000</v>
      </c>
      <c r="U54" s="94" t="str">
        <f t="shared" si="54"/>
        <v/>
      </c>
      <c r="W54" s="50">
        <f t="shared" si="55"/>
        <v>0</v>
      </c>
      <c r="X54" s="95">
        <f t="shared" si="56"/>
        <v>0</v>
      </c>
      <c r="Y54" s="94">
        <f t="shared" si="57"/>
        <v>0</v>
      </c>
      <c r="Z54" s="50">
        <f t="shared" si="58"/>
        <v>0</v>
      </c>
      <c r="AA54" s="50">
        <f t="shared" si="59"/>
        <v>0</v>
      </c>
      <c r="AB54" s="50">
        <f t="shared" si="60"/>
        <v>0</v>
      </c>
      <c r="AC54" s="50">
        <f t="shared" si="61"/>
        <v>0</v>
      </c>
      <c r="AD54" s="50">
        <f t="shared" si="62"/>
        <v>64712.33</v>
      </c>
      <c r="AF54" s="94">
        <f t="shared" si="63"/>
        <v>16515.240000000005</v>
      </c>
      <c r="AG54" s="50">
        <f>IFERROR((VLOOKUP(B54,'SUIVI 31.12.24 ALTONEO'!$B$1:$BF$38,33,FALSE())),0)</f>
        <v>0</v>
      </c>
      <c r="AH54" s="95">
        <f t="shared" si="64"/>
        <v>16515.240000000005</v>
      </c>
      <c r="AI54" s="94">
        <f t="shared" si="65"/>
        <v>102440</v>
      </c>
      <c r="AJ54" s="50">
        <f>IFERROR((VLOOKUP(B54,'SUIVI 31.12.24 ALTONEO'!$B$1:$BF$38,36,FALSE())),0)</f>
        <v>0</v>
      </c>
      <c r="AK54" s="95">
        <f t="shared" si="66"/>
        <v>102440</v>
      </c>
      <c r="AO54" s="94">
        <f t="shared" si="67"/>
        <v>0</v>
      </c>
      <c r="AP54" s="95">
        <f t="shared" si="29"/>
        <v>0</v>
      </c>
      <c r="AQ54" s="96">
        <f t="shared" si="68"/>
        <v>0.16121866458414688</v>
      </c>
      <c r="AR54" s="94">
        <f t="shared" si="69"/>
        <v>64712.33</v>
      </c>
      <c r="AS54" s="50">
        <f>IFERROR((VLOOKUP(B54,'SUIVI 31.12.24 ALTONEO'!$B$1:$BF$38,45,FALSE())),0)</f>
        <v>0</v>
      </c>
      <c r="AT54" s="97">
        <f t="shared" si="70"/>
        <v>64712.33</v>
      </c>
      <c r="AU54" s="94">
        <f t="shared" si="71"/>
        <v>7828.15</v>
      </c>
      <c r="AV54" s="50">
        <f>IFERROR((VLOOKUP(B54,'SUIVI 31.12.24 ALTONEO'!$B$1:$BF$38,48,FALSE())),0)</f>
        <v>0</v>
      </c>
      <c r="AW54" s="95">
        <f t="shared" si="72"/>
        <v>7828.15</v>
      </c>
      <c r="AX54" s="94">
        <f t="shared" si="73"/>
        <v>6146.4</v>
      </c>
      <c r="AY54" s="50">
        <f>IFERROR((VLOOKUP(B54,'SUIVI 31.12.24 ALTONEO'!$B$1:$BF$38,51,FALSE())),0)</f>
        <v>0</v>
      </c>
      <c r="AZ54" s="95">
        <f t="shared" si="74"/>
        <v>6146.4</v>
      </c>
      <c r="BA54" s="94">
        <f t="shared" si="75"/>
        <v>1280.5</v>
      </c>
      <c r="BB54" s="50">
        <f>IFERROR((VLOOKUP(B54,'SUIVI 31.12.24 ALTONEO'!$B$1:$BF$38,54,FALSE())),0)</f>
        <v>0</v>
      </c>
      <c r="BC54" s="95">
        <f t="shared" si="76"/>
        <v>1280.5</v>
      </c>
      <c r="BD54" s="94">
        <f t="shared" si="77"/>
        <v>6000</v>
      </c>
      <c r="BE54" s="50">
        <f>IFERROR((VLOOKUP(B54,'SUIVI 31.12.24 ALTONEO'!$B$1:$BF$38,57,FALSE())),0)</f>
        <v>0</v>
      </c>
      <c r="BF54" s="95"/>
    </row>
    <row r="55" spans="1:58" ht="15" customHeight="1" x14ac:dyDescent="0.2">
      <c r="A55" s="429"/>
      <c r="B55" s="84" t="s">
        <v>204</v>
      </c>
      <c r="C55" s="85" t="s">
        <v>193</v>
      </c>
      <c r="D55" s="86" t="s">
        <v>154</v>
      </c>
      <c r="E55" s="87">
        <f>VLOOKUP(D55,'% avancement'!$A$5:$B$17,2,FALSE())</f>
        <v>1</v>
      </c>
      <c r="F55" s="98">
        <v>106000</v>
      </c>
      <c r="G55" s="99">
        <v>7495.83</v>
      </c>
      <c r="H55" s="99">
        <f>F55+G55-I55</f>
        <v>108495.83</v>
      </c>
      <c r="I55" s="99">
        <v>5000</v>
      </c>
      <c r="J55" s="99">
        <v>6509.75</v>
      </c>
      <c r="K55" s="99">
        <v>1356.2</v>
      </c>
      <c r="L55" s="99">
        <v>7828.15</v>
      </c>
      <c r="M55" s="99">
        <v>64237.51</v>
      </c>
      <c r="N55" s="91">
        <v>6000</v>
      </c>
      <c r="O55" s="92">
        <v>5000</v>
      </c>
      <c r="P55" s="93">
        <v>6509.75</v>
      </c>
      <c r="Q55" s="93">
        <v>1356.2</v>
      </c>
      <c r="R55" s="93">
        <v>7828.15</v>
      </c>
      <c r="S55" s="93">
        <v>64237.51</v>
      </c>
      <c r="T55" s="93">
        <v>6000</v>
      </c>
      <c r="U55" s="94" t="str">
        <f t="shared" si="54"/>
        <v/>
      </c>
      <c r="W55" s="50">
        <f t="shared" si="55"/>
        <v>0</v>
      </c>
      <c r="X55" s="95">
        <f t="shared" si="56"/>
        <v>0</v>
      </c>
      <c r="Y55" s="94">
        <f t="shared" si="57"/>
        <v>0</v>
      </c>
      <c r="Z55" s="50">
        <f t="shared" si="58"/>
        <v>0</v>
      </c>
      <c r="AA55" s="50">
        <f t="shared" si="59"/>
        <v>0</v>
      </c>
      <c r="AB55" s="50">
        <f t="shared" si="60"/>
        <v>0</v>
      </c>
      <c r="AC55" s="50">
        <f t="shared" si="61"/>
        <v>0</v>
      </c>
      <c r="AD55" s="50">
        <f t="shared" si="62"/>
        <v>64237.51</v>
      </c>
      <c r="AF55" s="94">
        <f t="shared" si="63"/>
        <v>22564.220000000008</v>
      </c>
      <c r="AG55" s="50">
        <f>IFERROR((VLOOKUP(B55,'SUIVI 31.12.24 ALTONEO'!$B$1:$BF$38,33,FALSE())),0)</f>
        <v>4113.9700000000012</v>
      </c>
      <c r="AH55" s="95">
        <f t="shared" si="64"/>
        <v>18450.250000000007</v>
      </c>
      <c r="AI55" s="94">
        <f t="shared" si="65"/>
        <v>108495.83</v>
      </c>
      <c r="AK55" s="95">
        <f t="shared" si="66"/>
        <v>108495.83</v>
      </c>
      <c r="AO55" s="94">
        <f t="shared" si="67"/>
        <v>0</v>
      </c>
      <c r="AP55" s="95">
        <f t="shared" si="29"/>
        <v>0</v>
      </c>
      <c r="AQ55" s="96">
        <f t="shared" si="68"/>
        <v>0.20797315435994185</v>
      </c>
      <c r="AR55" s="94">
        <f t="shared" si="69"/>
        <v>64237.51</v>
      </c>
      <c r="AS55" s="50">
        <f>IFERROR((VLOOKUP(B55,'SUIVI 31.12.24 ALTONEO'!$B$1:$BF$38,45,FALSE())),0)</f>
        <v>13764</v>
      </c>
      <c r="AT55" s="97">
        <f t="shared" si="70"/>
        <v>50473.51</v>
      </c>
      <c r="AU55" s="94">
        <f t="shared" si="71"/>
        <v>7828.15</v>
      </c>
      <c r="AV55" s="50">
        <f>IFERROR((VLOOKUP(B55,'SUIVI 31.12.24 ALTONEO'!$B$1:$BF$38,48,FALSE())),0)</f>
        <v>1520.03</v>
      </c>
      <c r="AW55" s="95">
        <f t="shared" si="72"/>
        <v>6308.12</v>
      </c>
      <c r="AX55" s="94">
        <f t="shared" si="73"/>
        <v>6509.75</v>
      </c>
      <c r="AY55" s="50">
        <f>IFERROR((VLOOKUP(B55,'SUIVI 31.12.24 ALTONEO'!$B$1:$BF$38,51,FALSE())),0)</f>
        <v>1272</v>
      </c>
      <c r="AZ55" s="95">
        <f t="shared" si="74"/>
        <v>5237.75</v>
      </c>
      <c r="BA55" s="94">
        <f t="shared" si="75"/>
        <v>1356.2</v>
      </c>
      <c r="BB55" s="50">
        <f>IFERROR((VLOOKUP(B55,'SUIVI 31.12.24 ALTONEO'!$B$1:$BF$38,54,FALSE())),0)</f>
        <v>530</v>
      </c>
      <c r="BC55" s="95">
        <f t="shared" si="76"/>
        <v>826.2</v>
      </c>
      <c r="BD55" s="94">
        <f t="shared" si="77"/>
        <v>6000</v>
      </c>
      <c r="BE55" s="50">
        <f>IFERROR((VLOOKUP(B55,'SUIVI 31.12.24 ALTONEO'!$B$1:$BF$38,57,FALSE())),0)</f>
        <v>0</v>
      </c>
      <c r="BF55" s="95"/>
    </row>
    <row r="56" spans="1:58" ht="15" customHeight="1" x14ac:dyDescent="0.2">
      <c r="A56" s="429"/>
      <c r="B56" s="84" t="s">
        <v>205</v>
      </c>
      <c r="C56" s="85" t="s">
        <v>193</v>
      </c>
      <c r="D56" s="86" t="s">
        <v>154</v>
      </c>
      <c r="E56" s="87">
        <f>VLOOKUP(D56,'% avancement'!$A$5:$B$17,2,FALSE())</f>
        <v>1</v>
      </c>
      <c r="F56" s="98">
        <v>117250</v>
      </c>
      <c r="G56" s="99">
        <v>5940.8333300000004</v>
      </c>
      <c r="H56" s="99">
        <f>F56+G56-I56</f>
        <v>118190.83332999999</v>
      </c>
      <c r="I56" s="99">
        <v>5000</v>
      </c>
      <c r="J56" s="99">
        <f>(F56+G56-I56)*0.06</f>
        <v>7091.4499997999992</v>
      </c>
      <c r="K56" s="99">
        <f>(F56+G56-I56)*0.025</f>
        <v>2954.7708332500001</v>
      </c>
      <c r="L56" s="99">
        <v>7828.15</v>
      </c>
      <c r="M56" s="99">
        <f>(F56+G56)*0.62</f>
        <v>76378.316664600003</v>
      </c>
      <c r="N56" s="91">
        <v>6000</v>
      </c>
      <c r="O56" s="92">
        <v>5000</v>
      </c>
      <c r="P56" s="93">
        <v>7091.45</v>
      </c>
      <c r="Q56" s="93">
        <v>2954.77</v>
      </c>
      <c r="R56" s="93"/>
      <c r="S56" s="93"/>
      <c r="T56" s="93">
        <v>6000</v>
      </c>
      <c r="U56" s="94" t="str">
        <f t="shared" si="54"/>
        <v/>
      </c>
      <c r="W56" s="50">
        <f t="shared" si="55"/>
        <v>0</v>
      </c>
      <c r="X56" s="95">
        <f t="shared" si="56"/>
        <v>0</v>
      </c>
      <c r="Y56" s="94">
        <f t="shared" si="57"/>
        <v>0</v>
      </c>
      <c r="Z56" s="50">
        <f t="shared" si="58"/>
        <v>0</v>
      </c>
      <c r="AA56" s="50">
        <f t="shared" si="59"/>
        <v>0</v>
      </c>
      <c r="AB56" s="50">
        <f t="shared" si="60"/>
        <v>0</v>
      </c>
      <c r="AC56" s="50">
        <f t="shared" si="61"/>
        <v>7828.15</v>
      </c>
      <c r="AD56" s="50">
        <f t="shared" si="62"/>
        <v>76378.316664600003</v>
      </c>
      <c r="AF56" s="94">
        <f t="shared" si="63"/>
        <v>17938.145832349997</v>
      </c>
      <c r="AG56" s="50">
        <f>IFERROR((VLOOKUP(B56,'SUIVI 31.12.24 ALTONEO'!$B$1:$BF$38,33,FALSE())),0)</f>
        <v>5972.1500000000015</v>
      </c>
      <c r="AH56" s="95">
        <f t="shared" si="64"/>
        <v>11965.995832349996</v>
      </c>
      <c r="AI56" s="94">
        <f t="shared" si="65"/>
        <v>118190.83332999999</v>
      </c>
      <c r="AJ56" s="50">
        <f>IFERROR((VLOOKUP(B56,'SUIVI 31.12.24 ALTONEO'!$B$1:$BF$38,36,FALSE())),0)</f>
        <v>29312.5</v>
      </c>
      <c r="AK56" s="95">
        <f t="shared" si="66"/>
        <v>88878.333329999994</v>
      </c>
      <c r="AO56" s="94">
        <f t="shared" si="67"/>
        <v>0</v>
      </c>
      <c r="AP56" s="95">
        <f t="shared" si="29"/>
        <v>0</v>
      </c>
      <c r="AQ56" s="96">
        <f t="shared" si="68"/>
        <v>0.1517727333579669</v>
      </c>
      <c r="AR56" s="94">
        <f t="shared" si="69"/>
        <v>76378.316664600003</v>
      </c>
      <c r="AS56" s="50">
        <f>IFERROR((VLOOKUP(B56,'SUIVI 31.12.24 ALTONEO'!$B$1:$BF$38,45,FALSE())),0)</f>
        <v>18948.75</v>
      </c>
      <c r="AT56" s="97">
        <f t="shared" si="70"/>
        <v>57429.566664600003</v>
      </c>
      <c r="AU56" s="94">
        <f t="shared" si="71"/>
        <v>7828.15</v>
      </c>
      <c r="AV56" s="50">
        <f>IFERROR((VLOOKUP(B56,'SUIVI 31.12.24 ALTONEO'!$B$1:$BF$38,48,FALSE())),0)</f>
        <v>1900.0374999999999</v>
      </c>
      <c r="AW56" s="95">
        <f t="shared" si="72"/>
        <v>5928.1124999999993</v>
      </c>
      <c r="AX56" s="94">
        <f t="shared" si="73"/>
        <v>7091.45</v>
      </c>
      <c r="AY56" s="50">
        <f>IFERROR((VLOOKUP(B56,'SUIVI 31.12.24 ALTONEO'!$B$1:$BF$38,51,FALSE())),0)</f>
        <v>1758.75</v>
      </c>
      <c r="AZ56" s="95">
        <f t="shared" si="74"/>
        <v>5332.7</v>
      </c>
      <c r="BA56" s="94">
        <f t="shared" si="75"/>
        <v>2954.77</v>
      </c>
      <c r="BB56" s="50">
        <f>IFERROR((VLOOKUP(B56,'SUIVI 31.12.24 ALTONEO'!$B$1:$BF$38,54,FALSE())),0)</f>
        <v>732.8125</v>
      </c>
      <c r="BC56" s="95">
        <f t="shared" si="76"/>
        <v>2221.9575</v>
      </c>
      <c r="BD56" s="94">
        <f t="shared" si="77"/>
        <v>6000</v>
      </c>
      <c r="BE56" s="50">
        <f>IFERROR((VLOOKUP(B56,'SUIVI 31.12.24 ALTONEO'!$B$1:$BF$38,57,FALSE())),0)</f>
        <v>0</v>
      </c>
      <c r="BF56" s="95"/>
    </row>
    <row r="57" spans="1:58" ht="15" customHeight="1" x14ac:dyDescent="0.2">
      <c r="A57" s="429"/>
      <c r="B57" s="84" t="s">
        <v>163</v>
      </c>
      <c r="C57" s="85" t="s">
        <v>137</v>
      </c>
      <c r="D57" s="86" t="s">
        <v>151</v>
      </c>
      <c r="E57" s="87">
        <f>VLOOKUP(D57,'% avancement'!$A$5:$B$17,2,FALSE())</f>
        <v>0.8</v>
      </c>
      <c r="F57" s="98">
        <v>137916.66666666701</v>
      </c>
      <c r="G57" s="99">
        <v>6700</v>
      </c>
      <c r="H57" s="99">
        <f>F57+G57-I57</f>
        <v>139616.66666666701</v>
      </c>
      <c r="I57" s="99">
        <v>5000</v>
      </c>
      <c r="J57" s="149">
        <v>8377</v>
      </c>
      <c r="K57" s="149">
        <v>3490.42</v>
      </c>
      <c r="L57" s="99">
        <v>7828.15</v>
      </c>
      <c r="M57" s="99">
        <v>97661.26</v>
      </c>
      <c r="N57" s="91">
        <v>6000</v>
      </c>
      <c r="O57" s="92">
        <v>5000</v>
      </c>
      <c r="P57" s="93">
        <v>8377</v>
      </c>
      <c r="Q57" s="93">
        <v>3490.42</v>
      </c>
      <c r="R57" s="93"/>
      <c r="S57" s="93"/>
      <c r="T57" s="93">
        <v>6000</v>
      </c>
      <c r="U57" s="94">
        <f t="shared" si="54"/>
        <v>115693.3333333336</v>
      </c>
      <c r="W57" s="50">
        <f t="shared" si="55"/>
        <v>999.99999999999977</v>
      </c>
      <c r="X57" s="95">
        <f t="shared" si="56"/>
        <v>0</v>
      </c>
      <c r="Y57" s="94">
        <f t="shared" si="57"/>
        <v>0</v>
      </c>
      <c r="Z57" s="50">
        <f t="shared" si="58"/>
        <v>1675.3999999999996</v>
      </c>
      <c r="AA57" s="50">
        <f t="shared" si="59"/>
        <v>0</v>
      </c>
      <c r="AB57" s="50">
        <f t="shared" si="60"/>
        <v>698.08399999999983</v>
      </c>
      <c r="AC57" s="50">
        <f t="shared" si="61"/>
        <v>6262.52</v>
      </c>
      <c r="AD57" s="50">
        <f t="shared" si="62"/>
        <v>78129.008000000002</v>
      </c>
      <c r="AF57" s="94">
        <f t="shared" si="63"/>
        <v>16259.836666667019</v>
      </c>
      <c r="AG57" s="50">
        <f>IFERROR((VLOOKUP(B57,'SUIVI 31.12.24 ALTONEO'!$B$1:$BF$38,33,FALSE())),0)</f>
        <v>5997.053333333356</v>
      </c>
      <c r="AH57" s="95">
        <f t="shared" si="64"/>
        <v>7010.8160000002599</v>
      </c>
      <c r="AI57" s="94">
        <f t="shared" si="65"/>
        <v>139616.66666666701</v>
      </c>
      <c r="AJ57" s="50">
        <f>IFERROR((VLOOKUP(B57,'SUIVI 31.12.24 ALTONEO'!$B$1:$BF$38,36,FALSE())),0)</f>
        <v>27583.333333333401</v>
      </c>
      <c r="AK57" s="95">
        <f t="shared" si="66"/>
        <v>84110.000000000204</v>
      </c>
      <c r="AO57" s="94">
        <f t="shared" si="67"/>
        <v>27923.333333333401</v>
      </c>
      <c r="AP57" s="95">
        <f t="shared" si="29"/>
        <v>3251.967333333404</v>
      </c>
      <c r="AQ57" s="96">
        <f t="shared" si="68"/>
        <v>0.11646057061000582</v>
      </c>
      <c r="AR57" s="94">
        <f t="shared" si="69"/>
        <v>78129.008000000002</v>
      </c>
      <c r="AS57" s="50">
        <f>IFERROR((VLOOKUP(B57,'SUIVI 31.12.24 ALTONEO'!$B$1:$BF$38,45,FALSE())),0)</f>
        <v>17721.666666666712</v>
      </c>
      <c r="AT57" s="97">
        <f t="shared" si="70"/>
        <v>60407.341333333286</v>
      </c>
      <c r="AU57" s="94">
        <f t="shared" si="71"/>
        <v>6262.52</v>
      </c>
      <c r="AV57" s="50">
        <f>IFERROR((VLOOKUP(B57,'SUIVI 31.12.24 ALTONEO'!$B$1:$BF$38,48,FALSE())),0)</f>
        <v>1520.03</v>
      </c>
      <c r="AW57" s="95">
        <f t="shared" si="72"/>
        <v>4742.4900000000007</v>
      </c>
      <c r="AX57" s="94">
        <f t="shared" si="73"/>
        <v>6701.6</v>
      </c>
      <c r="AY57" s="50">
        <f>IFERROR((VLOOKUP(B57,'SUIVI 31.12.24 ALTONEO'!$B$1:$BF$38,51,FALSE())),0)</f>
        <v>1655.0000000000041</v>
      </c>
      <c r="AZ57" s="95">
        <f t="shared" si="74"/>
        <v>5046.5999999999967</v>
      </c>
      <c r="BA57" s="94">
        <f t="shared" si="75"/>
        <v>2792.3360000000002</v>
      </c>
      <c r="BB57" s="50">
        <f>IFERROR((VLOOKUP(B57,'SUIVI 31.12.24 ALTONEO'!$B$1:$BF$38,54,FALSE())),0)</f>
        <v>689.58333333333508</v>
      </c>
      <c r="BC57" s="95">
        <f t="shared" si="76"/>
        <v>2102.7526666666654</v>
      </c>
      <c r="BD57" s="94">
        <f t="shared" si="77"/>
        <v>4800</v>
      </c>
      <c r="BE57" s="50">
        <f>IFERROR((VLOOKUP(B57,'SUIVI 31.12.24 ALTONEO'!$B$1:$BF$38,57,FALSE())),0)</f>
        <v>0</v>
      </c>
      <c r="BF57" s="95"/>
    </row>
    <row r="58" spans="1:58" ht="15" customHeight="1" x14ac:dyDescent="0.2">
      <c r="A58" s="429"/>
      <c r="B58" s="84" t="s">
        <v>206</v>
      </c>
      <c r="C58" s="85" t="s">
        <v>137</v>
      </c>
      <c r="D58" s="86" t="s">
        <v>154</v>
      </c>
      <c r="E58" s="87">
        <f>VLOOKUP(D58,'% avancement'!$A$5:$B$17,2,FALSE())</f>
        <v>1</v>
      </c>
      <c r="F58" s="98">
        <v>98166.666666666701</v>
      </c>
      <c r="G58" s="99">
        <v>8174.17</v>
      </c>
      <c r="H58" s="99">
        <f>F58+G58-I58</f>
        <v>101340.8366666667</v>
      </c>
      <c r="I58" s="99">
        <v>5000</v>
      </c>
      <c r="J58" s="99">
        <v>7296.54</v>
      </c>
      <c r="K58" s="99">
        <v>1520.11</v>
      </c>
      <c r="L58" s="99">
        <v>7828.15</v>
      </c>
      <c r="M58" s="99">
        <v>58750.080000000002</v>
      </c>
      <c r="N58" s="91">
        <v>6000</v>
      </c>
      <c r="O58" s="92">
        <v>5000</v>
      </c>
      <c r="P58" s="93">
        <v>6080.45</v>
      </c>
      <c r="Q58" s="93">
        <v>1266.76</v>
      </c>
      <c r="R58" s="93">
        <v>7828.15</v>
      </c>
      <c r="S58" s="93">
        <v>58750.080000000002</v>
      </c>
      <c r="T58" s="93">
        <v>6000</v>
      </c>
      <c r="U58" s="94">
        <f t="shared" si="54"/>
        <v>106340.8366666667</v>
      </c>
      <c r="W58" s="50">
        <f t="shared" si="55"/>
        <v>0</v>
      </c>
      <c r="X58" s="95">
        <f t="shared" si="56"/>
        <v>0</v>
      </c>
      <c r="Y58" s="94">
        <f t="shared" si="57"/>
        <v>0</v>
      </c>
      <c r="Z58" s="50">
        <f t="shared" si="58"/>
        <v>0</v>
      </c>
      <c r="AA58" s="50">
        <f t="shared" si="59"/>
        <v>0</v>
      </c>
      <c r="AB58" s="50">
        <f t="shared" si="60"/>
        <v>0</v>
      </c>
      <c r="AC58" s="50">
        <f t="shared" si="61"/>
        <v>0</v>
      </c>
      <c r="AD58" s="50">
        <f t="shared" si="62"/>
        <v>58750.080000000002</v>
      </c>
      <c r="AF58" s="94">
        <f t="shared" si="63"/>
        <v>19945.956666666709</v>
      </c>
      <c r="AG58" s="50">
        <f>IFERROR((VLOOKUP(B58,'SUIVI 31.12.24 ALTONEO'!$B$1:$BF$38,33,FALSE())),0)</f>
        <v>3651.8033333333369</v>
      </c>
      <c r="AH58" s="95">
        <f t="shared" si="64"/>
        <v>16294.153333333372</v>
      </c>
      <c r="AI58" s="94">
        <f t="shared" si="65"/>
        <v>101340.8366666667</v>
      </c>
      <c r="AJ58" s="50">
        <f>IFERROR((VLOOKUP(B58,'SUIVI 31.12.24 ALTONEO'!$B$1:$BF$38,36,FALSE())),0)</f>
        <v>19633.333333333339</v>
      </c>
      <c r="AK58" s="95">
        <f t="shared" si="66"/>
        <v>81707.503333333356</v>
      </c>
      <c r="AO58" s="94">
        <f t="shared" si="67"/>
        <v>0</v>
      </c>
      <c r="AP58" s="95">
        <f t="shared" si="29"/>
        <v>0</v>
      </c>
      <c r="AQ58" s="96">
        <f t="shared" si="68"/>
        <v>0.19682052490126506</v>
      </c>
      <c r="AR58" s="94">
        <f t="shared" si="69"/>
        <v>58750.080000000002</v>
      </c>
      <c r="AS58" s="50">
        <f>IFERROR((VLOOKUP(B58,'SUIVI 31.12.24 ALTONEO'!$B$1:$BF$38,45,FALSE())),0)</f>
        <v>12792.666666666672</v>
      </c>
      <c r="AT58" s="97">
        <f t="shared" si="70"/>
        <v>45957.41333333333</v>
      </c>
      <c r="AU58" s="94">
        <f t="shared" si="71"/>
        <v>7828.15</v>
      </c>
      <c r="AV58" s="50">
        <f>IFERROR((VLOOKUP(B58,'SUIVI 31.12.24 ALTONEO'!$B$1:$BF$38,48,FALSE())),0)</f>
        <v>1520.03</v>
      </c>
      <c r="AW58" s="95">
        <f t="shared" si="72"/>
        <v>6308.12</v>
      </c>
      <c r="AX58" s="94">
        <f t="shared" si="73"/>
        <v>6080.45</v>
      </c>
      <c r="AY58" s="50">
        <f>IFERROR((VLOOKUP(B58,'SUIVI 31.12.24 ALTONEO'!$B$1:$BF$38,51,FALSE())),0)</f>
        <v>1178.0000000000005</v>
      </c>
      <c r="AZ58" s="95">
        <f t="shared" si="74"/>
        <v>4902.4499999999989</v>
      </c>
      <c r="BA58" s="94">
        <f t="shared" si="75"/>
        <v>1266.76</v>
      </c>
      <c r="BB58" s="50">
        <f>IFERROR((VLOOKUP(B58,'SUIVI 31.12.24 ALTONEO'!$B$1:$BF$38,54,FALSE())),0)</f>
        <v>490.83333333333348</v>
      </c>
      <c r="BC58" s="95">
        <f t="shared" si="76"/>
        <v>775.92666666666651</v>
      </c>
      <c r="BD58" s="94">
        <f t="shared" si="77"/>
        <v>6000</v>
      </c>
      <c r="BE58" s="50">
        <f>IFERROR((VLOOKUP(B58,'SUIVI 31.12.24 ALTONEO'!$B$1:$BF$38,57,FALSE())),0)</f>
        <v>0</v>
      </c>
      <c r="BF58" s="95"/>
    </row>
    <row r="59" spans="1:58" ht="15" customHeight="1" x14ac:dyDescent="0.2">
      <c r="A59" s="429"/>
      <c r="B59" s="144" t="s">
        <v>207</v>
      </c>
      <c r="C59" s="85" t="s">
        <v>193</v>
      </c>
      <c r="D59" s="86" t="s">
        <v>154</v>
      </c>
      <c r="E59" s="87">
        <f>VLOOKUP(D59,'% avancement'!$A$5:$B$17,2,FALSE())</f>
        <v>1</v>
      </c>
      <c r="F59" s="98">
        <v>122642.29</v>
      </c>
      <c r="G59" s="99">
        <v>8687.59</v>
      </c>
      <c r="H59" s="99">
        <f>122642-I59</f>
        <v>117642</v>
      </c>
      <c r="I59" s="99">
        <f>6000/1.2</f>
        <v>5000</v>
      </c>
      <c r="J59" s="99">
        <f>8322.18/1.2</f>
        <v>6935.1500000000005</v>
      </c>
      <c r="K59" s="99">
        <f>1733.78/1.2</f>
        <v>1444.8166666666666</v>
      </c>
      <c r="L59" s="99">
        <v>7600</v>
      </c>
      <c r="M59" s="99">
        <v>70635</v>
      </c>
      <c r="N59" s="91">
        <v>6000</v>
      </c>
      <c r="O59" s="145">
        <v>5000</v>
      </c>
      <c r="P59" s="146">
        <v>6935.15</v>
      </c>
      <c r="Q59" s="146">
        <v>1444.81666666667</v>
      </c>
      <c r="R59" s="146">
        <v>7600</v>
      </c>
      <c r="S59" s="99">
        <v>70635</v>
      </c>
      <c r="T59" s="109">
        <v>6000</v>
      </c>
      <c r="U59" s="94" t="str">
        <f t="shared" si="54"/>
        <v/>
      </c>
      <c r="W59" s="50">
        <f t="shared" si="55"/>
        <v>0</v>
      </c>
      <c r="X59" s="95">
        <f t="shared" si="56"/>
        <v>0</v>
      </c>
      <c r="Y59" s="94">
        <f t="shared" si="57"/>
        <v>0</v>
      </c>
      <c r="Z59" s="50">
        <f t="shared" si="58"/>
        <v>0</v>
      </c>
      <c r="AA59" s="50">
        <f t="shared" si="59"/>
        <v>0</v>
      </c>
      <c r="AB59" s="50">
        <f t="shared" si="60"/>
        <v>0</v>
      </c>
      <c r="AC59" s="50">
        <f t="shared" si="61"/>
        <v>0</v>
      </c>
      <c r="AD59" s="50">
        <f t="shared" si="62"/>
        <v>70635</v>
      </c>
      <c r="AF59" s="94">
        <f t="shared" si="63"/>
        <v>25027.03333333334</v>
      </c>
      <c r="AG59" s="50">
        <f>IFERROR((VLOOKUP(B59,'SUIVI 31.12.24 ALTONEO'!$B$1:$BF$38,33,FALSE())),0)</f>
        <v>20021.626666666674</v>
      </c>
      <c r="AH59" s="95">
        <f t="shared" si="64"/>
        <v>5005.4066666666658</v>
      </c>
      <c r="AI59" s="94">
        <f t="shared" si="65"/>
        <v>117642</v>
      </c>
      <c r="AJ59" s="50">
        <f>IFERROR((VLOOKUP(B59,'SUIVI 31.12.24 ALTONEO'!$B$1:$BF$38,36,FALSE())),0)</f>
        <v>94113.600000000006</v>
      </c>
      <c r="AK59" s="95">
        <f t="shared" si="66"/>
        <v>23528.399999999994</v>
      </c>
      <c r="AO59" s="94">
        <f t="shared" si="67"/>
        <v>0</v>
      </c>
      <c r="AP59" s="95">
        <f>AF59-AG59-AH59</f>
        <v>0</v>
      </c>
      <c r="AQ59" s="96">
        <f t="shared" si="68"/>
        <v>0.21273893110737102</v>
      </c>
      <c r="AR59" s="94">
        <f t="shared" si="69"/>
        <v>70635</v>
      </c>
      <c r="AS59" s="50">
        <f>IFERROR((VLOOKUP(B59,'SUIVI 31.12.24 ALTONEO'!$B$1:$BF$38,45,FALSE())),0)</f>
        <v>56508</v>
      </c>
      <c r="AT59" s="97">
        <f t="shared" si="70"/>
        <v>14127</v>
      </c>
      <c r="AU59" s="94">
        <f t="shared" si="71"/>
        <v>7600</v>
      </c>
      <c r="AV59" s="50">
        <f>IFERROR((VLOOKUP(B59,'SUIVI 31.12.24 ALTONEO'!$B$1:$BF$38,48,FALSE())),0)</f>
        <v>6080</v>
      </c>
      <c r="AW59" s="95">
        <f t="shared" si="72"/>
        <v>1520</v>
      </c>
      <c r="AX59" s="94">
        <f t="shared" si="73"/>
        <v>6935.15</v>
      </c>
      <c r="AY59" s="50">
        <f>IFERROR((VLOOKUP(B59,'SUIVI 31.12.24 ALTONEO'!$B$1:$BF$38,51,FALSE())),0)</f>
        <v>5548.12</v>
      </c>
      <c r="AZ59" s="95">
        <f t="shared" si="74"/>
        <v>1387.0299999999997</v>
      </c>
      <c r="BA59" s="94">
        <f t="shared" si="75"/>
        <v>1444.81666666667</v>
      </c>
      <c r="BB59" s="50">
        <f>IFERROR((VLOOKUP(B59,'SUIVI 31.12.24 ALTONEO'!$B$1:$BF$38,54,FALSE())),0)</f>
        <v>1155.8533333333362</v>
      </c>
      <c r="BC59" s="95">
        <f t="shared" si="76"/>
        <v>288.96333333333382</v>
      </c>
      <c r="BD59" s="94">
        <f t="shared" si="77"/>
        <v>6000</v>
      </c>
      <c r="BE59" s="50">
        <f>IFERROR((VLOOKUP(B59,'SUIVI 31.12.24 ALTONEO'!$B$1:$BF$38,57,FALSE())),0)</f>
        <v>4800</v>
      </c>
      <c r="BF59" s="95">
        <f>+BD59-BE59</f>
        <v>1200</v>
      </c>
    </row>
    <row r="60" spans="1:58" ht="15" customHeight="1" x14ac:dyDescent="0.2">
      <c r="A60" s="429"/>
      <c r="B60" s="144" t="s">
        <v>208</v>
      </c>
      <c r="C60" s="85" t="s">
        <v>193</v>
      </c>
      <c r="D60" s="86" t="s">
        <v>154</v>
      </c>
      <c r="E60" s="87">
        <f>VLOOKUP(D60,'% avancement'!$A$5:$B$17,2,FALSE())</f>
        <v>1</v>
      </c>
      <c r="F60" s="98">
        <v>133649</v>
      </c>
      <c r="G60" s="99">
        <f>10474/1.2</f>
        <v>8728.3333333333339</v>
      </c>
      <c r="H60" s="99">
        <f>133650-I60</f>
        <v>128650</v>
      </c>
      <c r="I60" s="99">
        <v>5000</v>
      </c>
      <c r="J60" s="99">
        <v>7668</v>
      </c>
      <c r="K60" s="99">
        <v>1597.5</v>
      </c>
      <c r="L60" s="99">
        <v>7600.15</v>
      </c>
      <c r="M60" s="99">
        <v>81747</v>
      </c>
      <c r="N60" s="91">
        <v>6000</v>
      </c>
      <c r="O60" s="145">
        <v>5000</v>
      </c>
      <c r="P60" s="146">
        <v>7668</v>
      </c>
      <c r="Q60" s="146">
        <v>1597.5</v>
      </c>
      <c r="R60" s="146">
        <v>7600</v>
      </c>
      <c r="S60" s="99">
        <v>81747</v>
      </c>
      <c r="T60" s="109">
        <v>6000</v>
      </c>
      <c r="U60" s="94" t="str">
        <f t="shared" si="54"/>
        <v/>
      </c>
      <c r="W60" s="50">
        <f t="shared" si="55"/>
        <v>0</v>
      </c>
      <c r="X60" s="95">
        <f t="shared" si="56"/>
        <v>0</v>
      </c>
      <c r="Y60" s="94">
        <f t="shared" si="57"/>
        <v>0</v>
      </c>
      <c r="Z60" s="50">
        <f t="shared" si="58"/>
        <v>0</v>
      </c>
      <c r="AA60" s="50">
        <f t="shared" si="59"/>
        <v>0</v>
      </c>
      <c r="AB60" s="50">
        <f t="shared" si="60"/>
        <v>0</v>
      </c>
      <c r="AC60" s="50">
        <f t="shared" si="61"/>
        <v>0</v>
      </c>
      <c r="AD60" s="50">
        <f t="shared" si="62"/>
        <v>81747</v>
      </c>
      <c r="AF60" s="94">
        <f t="shared" si="63"/>
        <v>24037.350000000006</v>
      </c>
      <c r="AG60" s="50">
        <f>IFERROR((VLOOKUP(B60,'SUIVI 31.12.24 ALTONEO'!$B$1:$BF$38,33,FALSE())),0)</f>
        <v>14422.410000000003</v>
      </c>
      <c r="AH60" s="95">
        <f t="shared" si="64"/>
        <v>9614.9400000000023</v>
      </c>
      <c r="AI60" s="94">
        <f t="shared" si="65"/>
        <v>128650</v>
      </c>
      <c r="AJ60" s="50">
        <f>IFERROR((VLOOKUP(B60,'SUIVI 31.12.24 ALTONEO'!$B$1:$BF$38,36,FALSE())),0)</f>
        <v>77190</v>
      </c>
      <c r="AK60" s="95">
        <f t="shared" si="66"/>
        <v>51460</v>
      </c>
      <c r="AO60" s="94">
        <f t="shared" si="67"/>
        <v>0</v>
      </c>
      <c r="AP60" s="95">
        <f>AF60-AG60-AH60</f>
        <v>0</v>
      </c>
      <c r="AQ60" s="96">
        <f t="shared" si="68"/>
        <v>0.18684298484259623</v>
      </c>
      <c r="AR60" s="94">
        <f t="shared" si="69"/>
        <v>81747</v>
      </c>
      <c r="AS60" s="50">
        <f>IFERROR((VLOOKUP(B60,'SUIVI 31.12.24 ALTONEO'!$B$1:$BF$38,45,FALSE())),0)</f>
        <v>49048.2</v>
      </c>
      <c r="AT60" s="97">
        <f t="shared" si="70"/>
        <v>32698.800000000003</v>
      </c>
      <c r="AU60" s="94">
        <f t="shared" si="71"/>
        <v>7600.15</v>
      </c>
      <c r="AV60" s="50">
        <f>IFERROR((VLOOKUP(B60,'SUIVI 31.12.24 ALTONEO'!$B$1:$BF$38,48,FALSE())),0)</f>
        <v>4560.0899999999992</v>
      </c>
      <c r="AW60" s="95">
        <f t="shared" si="72"/>
        <v>3040.0600000000004</v>
      </c>
      <c r="AX60" s="94">
        <f t="shared" si="73"/>
        <v>7668</v>
      </c>
      <c r="AY60" s="50">
        <f>IFERROR((VLOOKUP(B60,'SUIVI 31.12.24 ALTONEO'!$B$1:$BF$38,51,FALSE())),0)</f>
        <v>4600.7999999999993</v>
      </c>
      <c r="AZ60" s="95">
        <f t="shared" si="74"/>
        <v>3067.2000000000007</v>
      </c>
      <c r="BA60" s="94">
        <f t="shared" si="75"/>
        <v>1597.5</v>
      </c>
      <c r="BB60" s="50">
        <f>IFERROR((VLOOKUP(B60,'SUIVI 31.12.24 ALTONEO'!$B$1:$BF$38,54,FALSE())),0)</f>
        <v>958.5</v>
      </c>
      <c r="BC60" s="95">
        <f t="shared" si="76"/>
        <v>639</v>
      </c>
      <c r="BD60" s="94">
        <f t="shared" si="77"/>
        <v>6000</v>
      </c>
      <c r="BE60" s="50">
        <f>IFERROR((VLOOKUP(B60,'SUIVI 31.12.24 ALTONEO'!$B$1:$BF$38,57,FALSE())),0)</f>
        <v>3600</v>
      </c>
      <c r="BF60" s="95">
        <f>+BD60-BE60</f>
        <v>2400</v>
      </c>
    </row>
    <row r="61" spans="1:58" s="42" customFormat="1" ht="15.75" customHeight="1" x14ac:dyDescent="0.2">
      <c r="A61" s="111" t="s">
        <v>165</v>
      </c>
      <c r="B61" s="112">
        <f>ROWS(B47:B60)</f>
        <v>14</v>
      </c>
      <c r="C61" s="113"/>
      <c r="D61" s="113"/>
      <c r="E61" s="112"/>
      <c r="F61" s="114"/>
      <c r="G61" s="115"/>
      <c r="H61" s="115"/>
      <c r="I61" s="115"/>
      <c r="J61" s="115"/>
      <c r="K61" s="115"/>
      <c r="L61" s="115"/>
      <c r="M61" s="115"/>
      <c r="N61" s="116"/>
      <c r="O61" s="117"/>
      <c r="P61" s="118"/>
      <c r="Q61" s="118"/>
      <c r="R61" s="118"/>
      <c r="S61" s="118"/>
      <c r="T61" s="118"/>
      <c r="U61" s="119"/>
      <c r="V61" s="120"/>
      <c r="W61" s="120"/>
      <c r="X61" s="121"/>
      <c r="Y61" s="94"/>
      <c r="Z61" s="50"/>
      <c r="AA61" s="50"/>
      <c r="AB61" s="50"/>
      <c r="AC61" s="50"/>
      <c r="AD61" s="50"/>
      <c r="AE61" s="50"/>
      <c r="AF61" s="119"/>
      <c r="AG61" s="120"/>
      <c r="AH61" s="121"/>
      <c r="AI61" s="119"/>
      <c r="AJ61" s="120"/>
      <c r="AK61" s="121"/>
      <c r="AL61" s="120"/>
      <c r="AM61" s="120"/>
      <c r="AN61" s="120"/>
      <c r="AO61" s="119"/>
      <c r="AP61" s="121"/>
      <c r="AQ61" s="122"/>
      <c r="AR61" s="119"/>
      <c r="AS61" s="120"/>
      <c r="AT61" s="121"/>
      <c r="AU61" s="119"/>
      <c r="AV61" s="120"/>
      <c r="AW61" s="121"/>
      <c r="AX61" s="119"/>
      <c r="AY61" s="120"/>
      <c r="AZ61" s="121"/>
      <c r="BA61" s="119"/>
      <c r="BB61" s="120"/>
      <c r="BC61" s="121"/>
      <c r="BD61" s="119"/>
      <c r="BE61" s="120"/>
      <c r="BF61" s="121"/>
    </row>
    <row r="62" spans="1:58" s="35" customFormat="1" ht="15.75" customHeight="1" x14ac:dyDescent="0.2">
      <c r="A62" s="123" t="s">
        <v>166</v>
      </c>
      <c r="B62" s="124">
        <f>B46+B61</f>
        <v>20</v>
      </c>
      <c r="C62" s="125"/>
      <c r="D62" s="126"/>
      <c r="E62" s="124"/>
      <c r="F62" s="127"/>
      <c r="G62" s="128"/>
      <c r="H62" s="128"/>
      <c r="I62" s="128"/>
      <c r="J62" s="128"/>
      <c r="K62" s="128"/>
      <c r="L62" s="128"/>
      <c r="M62" s="128"/>
      <c r="N62" s="129"/>
      <c r="O62" s="130"/>
      <c r="P62" s="131"/>
      <c r="Q62" s="131"/>
      <c r="R62" s="131"/>
      <c r="S62" s="131"/>
      <c r="T62" s="131"/>
      <c r="U62" s="132">
        <f t="shared" ref="U62:AP62" si="78">SUM(U3:U60)</f>
        <v>1365788.6616681337</v>
      </c>
      <c r="V62" s="133">
        <f t="shared" si="78"/>
        <v>0</v>
      </c>
      <c r="W62" s="133">
        <f t="shared" si="78"/>
        <v>26500</v>
      </c>
      <c r="X62" s="134">
        <f t="shared" si="78"/>
        <v>6250</v>
      </c>
      <c r="Y62" s="132">
        <f t="shared" si="78"/>
        <v>25118.227499984001</v>
      </c>
      <c r="Z62" s="133">
        <f t="shared" si="78"/>
        <v>27557.127995986666</v>
      </c>
      <c r="AA62" s="133">
        <f t="shared" si="78"/>
        <v>10465.928124993336</v>
      </c>
      <c r="AB62" s="133">
        <f t="shared" si="78"/>
        <v>10469.953331334666</v>
      </c>
      <c r="AC62" s="133">
        <f t="shared" si="78"/>
        <v>64190.829999999987</v>
      </c>
      <c r="AD62" s="133">
        <f t="shared" si="78"/>
        <v>1881453.9518312667</v>
      </c>
      <c r="AE62" s="133">
        <f t="shared" si="78"/>
        <v>0</v>
      </c>
      <c r="AF62" s="135">
        <f t="shared" si="78"/>
        <v>1215296.0275117154</v>
      </c>
      <c r="AG62" s="136">
        <f t="shared" si="78"/>
        <v>124548.64266666677</v>
      </c>
      <c r="AH62" s="137">
        <f t="shared" si="78"/>
        <v>436225.01092116884</v>
      </c>
      <c r="AI62" s="135">
        <f t="shared" si="78"/>
        <v>7017364.4766660025</v>
      </c>
      <c r="AJ62" s="138">
        <f t="shared" si="78"/>
        <v>594439.96133333363</v>
      </c>
      <c r="AK62" s="137">
        <f t="shared" si="78"/>
        <v>2424734.3403314664</v>
      </c>
      <c r="AL62" s="135">
        <f t="shared" si="78"/>
        <v>0</v>
      </c>
      <c r="AM62" s="138">
        <f t="shared" si="78"/>
        <v>0</v>
      </c>
      <c r="AN62" s="137">
        <f t="shared" si="78"/>
        <v>0</v>
      </c>
      <c r="AO62" s="135">
        <f t="shared" si="78"/>
        <v>1226273.508334534</v>
      </c>
      <c r="AP62" s="97">
        <f t="shared" si="78"/>
        <v>209226.25725721224</v>
      </c>
      <c r="AQ62" s="96">
        <f>+AF62/AI62</f>
        <v>0.1731841108656666</v>
      </c>
      <c r="AR62" s="135">
        <f>SUM(AR3:AR60)</f>
        <v>1881453.9518312667</v>
      </c>
      <c r="AS62" s="138">
        <v>174896.44099999999</v>
      </c>
      <c r="AT62" s="137">
        <f t="shared" ref="AT62:AY62" si="79">SUM(AT3:AT60)</f>
        <v>1493813.8471645997</v>
      </c>
      <c r="AU62" s="135">
        <f t="shared" si="79"/>
        <v>188301.07999999993</v>
      </c>
      <c r="AV62" s="138">
        <f t="shared" si="79"/>
        <v>38380.63749999999</v>
      </c>
      <c r="AW62" s="137">
        <f t="shared" si="79"/>
        <v>149920.44249999995</v>
      </c>
      <c r="AX62" s="135">
        <f t="shared" si="79"/>
        <v>187131.00278898003</v>
      </c>
      <c r="AY62" s="138">
        <f t="shared" si="79"/>
        <v>36403.661999999997</v>
      </c>
      <c r="AZ62" s="137">
        <f>SUM(AZ3:AZ61)</f>
        <v>150727.34078898001</v>
      </c>
      <c r="BA62" s="135">
        <f>SUM(BA3:BA61)</f>
        <v>53658.362623668683</v>
      </c>
      <c r="BB62" s="138">
        <f>SUM(BB3:BB60)</f>
        <v>10099.87983333334</v>
      </c>
      <c r="BC62" s="137">
        <f>SUM(BC3:BC61)</f>
        <v>43558.482790335336</v>
      </c>
      <c r="BD62" s="135">
        <f>SUM(BD3:BD61)</f>
        <v>144650</v>
      </c>
      <c r="BE62" s="138">
        <f>SUM(BE3:BE61)</f>
        <v>18000</v>
      </c>
      <c r="BF62" s="137">
        <f>SUM(BF3:BF61)</f>
        <v>12000</v>
      </c>
    </row>
    <row r="63" spans="1:58" ht="15" customHeight="1" x14ac:dyDescent="0.2">
      <c r="AE63" s="50">
        <v>2026</v>
      </c>
      <c r="AF63" s="139">
        <f>AF62-AG62-AH62</f>
        <v>654522.37392387982</v>
      </c>
      <c r="AG63" s="139"/>
      <c r="AH63" s="139"/>
      <c r="AI63" s="139">
        <f>AI62-AJ62-AK62</f>
        <v>3998190.1750012026</v>
      </c>
      <c r="AJ63" s="139"/>
      <c r="AL63" s="50">
        <f>AF63-('Projection P&amp;L'!B12*1000*1.1)</f>
        <v>198827.45292387978</v>
      </c>
    </row>
    <row r="64" spans="1:58" ht="15" customHeight="1" x14ac:dyDescent="0.2">
      <c r="A64" s="140"/>
      <c r="AF64" s="96"/>
      <c r="AG64" s="96"/>
      <c r="AI64" s="96"/>
    </row>
    <row r="65" spans="1:57" ht="15" customHeight="1" x14ac:dyDescent="0.2">
      <c r="AG65" s="141"/>
      <c r="AH65" s="141"/>
      <c r="AI65" s="141"/>
      <c r="AJ65" s="141"/>
    </row>
    <row r="68" spans="1:57" ht="15" customHeight="1" x14ac:dyDescent="0.2">
      <c r="AI68" s="142"/>
    </row>
    <row r="70" spans="1:57" s="50" customFormat="1" ht="12" customHeight="1" x14ac:dyDescent="0.15">
      <c r="A70" s="47"/>
      <c r="B70" s="48"/>
      <c r="C70" s="49"/>
      <c r="D70" s="49"/>
      <c r="E70" s="48"/>
      <c r="O70" s="51"/>
      <c r="P70" s="51"/>
      <c r="Q70" s="51"/>
      <c r="R70" s="51"/>
      <c r="S70" s="51"/>
      <c r="T70" s="51"/>
      <c r="AF70" s="138"/>
      <c r="AG70" s="138"/>
      <c r="AH70" s="138"/>
      <c r="BC70" s="47"/>
      <c r="BD70" s="47"/>
      <c r="BE70" s="47"/>
    </row>
    <row r="71" spans="1:57" s="50" customFormat="1" ht="12" customHeight="1" x14ac:dyDescent="0.15">
      <c r="A71" s="47"/>
      <c r="B71" s="48"/>
      <c r="C71" s="49"/>
      <c r="D71" s="49"/>
      <c r="E71" s="48"/>
      <c r="O71" s="51"/>
      <c r="P71" s="51"/>
      <c r="Q71" s="51"/>
      <c r="R71" s="51"/>
      <c r="S71" s="51"/>
      <c r="T71" s="51"/>
      <c r="BC71" s="47"/>
      <c r="BD71" s="47"/>
      <c r="BE71" s="47"/>
    </row>
    <row r="72" spans="1:57" s="50" customFormat="1" ht="12" customHeight="1" x14ac:dyDescent="0.15">
      <c r="A72" s="47"/>
      <c r="B72" s="48"/>
      <c r="C72" s="49"/>
      <c r="D72" s="49"/>
      <c r="E72" s="48"/>
      <c r="O72" s="51"/>
      <c r="P72" s="51"/>
      <c r="Q72" s="51"/>
      <c r="R72" s="51"/>
      <c r="S72" s="51"/>
      <c r="T72" s="51"/>
      <c r="BC72" s="47"/>
      <c r="BD72" s="47"/>
      <c r="BE72" s="47"/>
    </row>
    <row r="73" spans="1:57" s="50" customFormat="1" ht="12" customHeight="1" x14ac:dyDescent="0.15">
      <c r="A73" s="47"/>
      <c r="B73" s="48"/>
      <c r="C73" s="49"/>
      <c r="D73" s="49"/>
      <c r="E73" s="48"/>
      <c r="O73" s="51"/>
      <c r="P73" s="51"/>
      <c r="Q73" s="51"/>
      <c r="R73" s="51"/>
      <c r="S73" s="51"/>
      <c r="T73" s="51"/>
      <c r="BC73" s="47"/>
      <c r="BD73" s="47"/>
      <c r="BE73" s="47"/>
    </row>
    <row r="74" spans="1:57" s="50" customFormat="1" ht="12" customHeight="1" x14ac:dyDescent="0.15">
      <c r="A74" s="47"/>
      <c r="B74" s="48"/>
      <c r="C74" s="49"/>
      <c r="D74" s="49"/>
      <c r="E74" s="48"/>
      <c r="O74" s="51"/>
      <c r="P74" s="51"/>
      <c r="Q74" s="51"/>
      <c r="R74" s="51"/>
      <c r="S74" s="51"/>
      <c r="T74" s="51"/>
      <c r="BC74" s="47"/>
      <c r="BD74" s="47"/>
      <c r="BE74" s="47"/>
    </row>
  </sheetData>
  <mergeCells count="13">
    <mergeCell ref="AO1:AP1"/>
    <mergeCell ref="AQ1:AQ2"/>
    <mergeCell ref="AR1:BF1"/>
    <mergeCell ref="F1:N1"/>
    <mergeCell ref="O1:T1"/>
    <mergeCell ref="U1:X1"/>
    <mergeCell ref="Y1:AE1"/>
    <mergeCell ref="AF1:AH1"/>
    <mergeCell ref="A3:A38"/>
    <mergeCell ref="A40:A45"/>
    <mergeCell ref="A47:A60"/>
    <mergeCell ref="AI1:AK1"/>
    <mergeCell ref="AL1:AN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9"/>
  <sheetViews>
    <sheetView zoomScale="140" zoomScaleNormal="140" workbookViewId="0">
      <pane xSplit="5" ySplit="2" topLeftCell="AE3" activePane="bottomRight" state="frozen"/>
      <selection pane="topRight" activeCell="AE1" sqref="AE1"/>
      <selection pane="bottomLeft" activeCell="A3" sqref="A3"/>
      <selection pane="bottomRight" activeCell="B7" sqref="B7"/>
    </sheetView>
  </sheetViews>
  <sheetFormatPr baseColWidth="10" defaultColWidth="8.83203125" defaultRowHeight="15" x14ac:dyDescent="0.2"/>
  <cols>
    <col min="1" max="1" width="10.5" style="47" customWidth="1"/>
    <col min="2" max="2" width="41.6640625" style="48" customWidth="1"/>
    <col min="3" max="3" width="9.83203125" style="49" customWidth="1"/>
    <col min="4" max="4" width="17.5" style="49" customWidth="1"/>
    <col min="5" max="5" width="6.1640625" style="48" customWidth="1"/>
    <col min="6" max="6" width="16.5" style="50" customWidth="1"/>
    <col min="7" max="7" width="10.5" style="50" customWidth="1"/>
    <col min="8" max="8" width="15.1640625" style="50" customWidth="1"/>
    <col min="9" max="9" width="12" style="50" customWidth="1"/>
    <col min="10" max="10" width="11.33203125" style="50" customWidth="1"/>
    <col min="11" max="11" width="9.5" style="50" customWidth="1"/>
    <col min="12" max="12" width="8.83203125" style="50"/>
    <col min="13" max="13" width="10.6640625" style="50" customWidth="1"/>
    <col min="14" max="14" width="9.83203125" style="50" customWidth="1"/>
    <col min="15" max="15" width="8.5" style="51" customWidth="1"/>
    <col min="16" max="16" width="9.5" style="51" customWidth="1"/>
    <col min="17" max="17" width="12.83203125" style="51" customWidth="1"/>
    <col min="18" max="18" width="10.1640625" style="51" customWidth="1"/>
    <col min="19" max="19" width="8.83203125" style="51"/>
    <col min="20" max="20" width="10.6640625" style="51" customWidth="1"/>
    <col min="21" max="21" width="10.1640625" style="50" customWidth="1"/>
    <col min="22" max="22" width="8" style="50" customWidth="1"/>
    <col min="23" max="23" width="8.1640625" style="50" customWidth="1"/>
    <col min="24" max="24" width="10.6640625" style="50" customWidth="1"/>
    <col min="25" max="25" width="8.83203125" style="50"/>
    <col min="26" max="26" width="13.5" style="50" customWidth="1"/>
    <col min="27" max="27" width="11.83203125" style="50" customWidth="1"/>
    <col min="28" max="28" width="8.83203125" style="50"/>
    <col min="29" max="30" width="11.1640625" style="50" customWidth="1"/>
    <col min="31" max="31" width="10.1640625" style="50" customWidth="1"/>
    <col min="32" max="32" width="11.1640625" style="50" customWidth="1"/>
    <col min="33" max="33" width="10.83203125" style="50" customWidth="1"/>
    <col min="34" max="36" width="10.1640625" style="50" customWidth="1"/>
    <col min="37" max="37" width="15.33203125" style="50" customWidth="1"/>
    <col min="38" max="38" width="8.1640625" style="50" customWidth="1"/>
    <col min="39" max="39" width="7.33203125" style="50" customWidth="1"/>
    <col min="40" max="40" width="7.5" style="50" customWidth="1"/>
    <col min="41" max="41" width="15.1640625" style="50" customWidth="1"/>
    <col min="42" max="42" width="9.83203125" style="50" customWidth="1"/>
    <col min="43" max="43" width="8.83203125" style="50"/>
    <col min="44" max="44" width="9.5" style="50" customWidth="1"/>
    <col min="45" max="45" width="8.83203125" style="50"/>
    <col min="46" max="46" width="8.5" style="50" customWidth="1"/>
    <col min="47" max="47" width="9.5" style="50" customWidth="1"/>
    <col min="48" max="48" width="10.1640625" style="50" customWidth="1"/>
    <col min="49" max="49" width="8.83203125" style="50"/>
    <col min="50" max="51" width="7.5" style="50" customWidth="1"/>
    <col min="52" max="52" width="7.83203125" style="50" customWidth="1"/>
    <col min="53" max="53" width="8" style="50" customWidth="1"/>
    <col min="54" max="54" width="8.6640625" style="50" customWidth="1"/>
    <col min="55" max="55" width="10" style="47" customWidth="1"/>
    <col min="56" max="56" width="9.6640625" style="47" customWidth="1"/>
    <col min="57" max="57" width="10" style="47" customWidth="1"/>
  </cols>
  <sheetData>
    <row r="1" spans="1:58" s="35" customFormat="1" ht="15" customHeight="1" x14ac:dyDescent="0.2">
      <c r="A1" s="52"/>
      <c r="B1" s="53"/>
      <c r="C1" s="54"/>
      <c r="D1" s="54"/>
      <c r="E1" s="53"/>
      <c r="F1" s="432" t="s">
        <v>209</v>
      </c>
      <c r="G1" s="432"/>
      <c r="H1" s="432"/>
      <c r="I1" s="432"/>
      <c r="J1" s="432"/>
      <c r="K1" s="432"/>
      <c r="L1" s="432"/>
      <c r="M1" s="432"/>
      <c r="N1" s="432"/>
      <c r="O1" s="433" t="s">
        <v>74</v>
      </c>
      <c r="P1" s="433"/>
      <c r="Q1" s="433"/>
      <c r="R1" s="433"/>
      <c r="S1" s="433"/>
      <c r="T1" s="433"/>
      <c r="U1" s="434" t="s">
        <v>75</v>
      </c>
      <c r="V1" s="434"/>
      <c r="W1" s="434"/>
      <c r="X1" s="434"/>
      <c r="Y1" s="435" t="s">
        <v>76</v>
      </c>
      <c r="Z1" s="435"/>
      <c r="AA1" s="435"/>
      <c r="AB1" s="435"/>
      <c r="AC1" s="435"/>
      <c r="AD1" s="435"/>
      <c r="AE1" s="435"/>
      <c r="AF1" s="430" t="s">
        <v>77</v>
      </c>
      <c r="AG1" s="430"/>
      <c r="AH1" s="430"/>
      <c r="AI1" s="430" t="s">
        <v>78</v>
      </c>
      <c r="AJ1" s="430"/>
      <c r="AK1" s="430"/>
      <c r="AL1" s="430" t="s">
        <v>79</v>
      </c>
      <c r="AM1" s="430"/>
      <c r="AN1" s="430"/>
      <c r="AO1" s="430" t="s">
        <v>80</v>
      </c>
      <c r="AP1" s="430"/>
      <c r="AQ1" s="431" t="s">
        <v>81</v>
      </c>
      <c r="AR1" s="430" t="s">
        <v>82</v>
      </c>
      <c r="AS1" s="430"/>
      <c r="AT1" s="430"/>
      <c r="AU1" s="430"/>
      <c r="AV1" s="430"/>
      <c r="AW1" s="430"/>
      <c r="AX1" s="430"/>
      <c r="AY1" s="430"/>
      <c r="AZ1" s="430"/>
      <c r="BA1" s="430"/>
      <c r="BB1" s="430"/>
      <c r="BC1" s="430"/>
      <c r="BD1" s="430"/>
      <c r="BE1" s="430"/>
      <c r="BF1" s="430"/>
    </row>
    <row r="2" spans="1:58" s="83" customFormat="1" ht="40.5" customHeight="1" x14ac:dyDescent="0.2">
      <c r="A2" s="55" t="s">
        <v>83</v>
      </c>
      <c r="B2" s="56" t="s">
        <v>84</v>
      </c>
      <c r="C2" s="57" t="s">
        <v>85</v>
      </c>
      <c r="D2" s="57" t="s">
        <v>86</v>
      </c>
      <c r="E2" s="56" t="s">
        <v>87</v>
      </c>
      <c r="F2" s="58" t="s">
        <v>88</v>
      </c>
      <c r="G2" s="59" t="s">
        <v>89</v>
      </c>
      <c r="H2" s="59" t="s">
        <v>90</v>
      </c>
      <c r="I2" s="59" t="s">
        <v>91</v>
      </c>
      <c r="J2" s="59" t="s">
        <v>167</v>
      </c>
      <c r="K2" s="59" t="s">
        <v>93</v>
      </c>
      <c r="L2" s="59" t="s">
        <v>94</v>
      </c>
      <c r="M2" s="59" t="s">
        <v>210</v>
      </c>
      <c r="N2" s="60" t="s">
        <v>96</v>
      </c>
      <c r="O2" s="61" t="s">
        <v>97</v>
      </c>
      <c r="P2" s="59" t="s">
        <v>98</v>
      </c>
      <c r="Q2" s="59" t="s">
        <v>99</v>
      </c>
      <c r="R2" s="59" t="s">
        <v>100</v>
      </c>
      <c r="S2" s="59" t="s">
        <v>95</v>
      </c>
      <c r="T2" s="62" t="s">
        <v>96</v>
      </c>
      <c r="U2" s="63" t="s">
        <v>101</v>
      </c>
      <c r="V2" s="64" t="s">
        <v>102</v>
      </c>
      <c r="W2" s="64" t="s">
        <v>103</v>
      </c>
      <c r="X2" s="65" t="s">
        <v>104</v>
      </c>
      <c r="Y2" s="66" t="s">
        <v>105</v>
      </c>
      <c r="Z2" s="67" t="s">
        <v>106</v>
      </c>
      <c r="AA2" s="67" t="s">
        <v>107</v>
      </c>
      <c r="AB2" s="67" t="s">
        <v>108</v>
      </c>
      <c r="AC2" s="67" t="s">
        <v>109</v>
      </c>
      <c r="AD2" s="67" t="s">
        <v>110</v>
      </c>
      <c r="AE2" s="67" t="s">
        <v>111</v>
      </c>
      <c r="AF2" s="68" t="s">
        <v>112</v>
      </c>
      <c r="AG2" s="69" t="s">
        <v>113</v>
      </c>
      <c r="AH2" s="70" t="s">
        <v>211</v>
      </c>
      <c r="AI2" s="68" t="s">
        <v>115</v>
      </c>
      <c r="AJ2" s="69" t="s">
        <v>116</v>
      </c>
      <c r="AK2" s="70" t="s">
        <v>118</v>
      </c>
      <c r="AL2" s="68" t="s">
        <v>115</v>
      </c>
      <c r="AM2" s="69" t="s">
        <v>116</v>
      </c>
      <c r="AN2" s="70" t="s">
        <v>118</v>
      </c>
      <c r="AO2" s="68" t="s">
        <v>119</v>
      </c>
      <c r="AP2" s="70" t="s">
        <v>120</v>
      </c>
      <c r="AQ2" s="431"/>
      <c r="AR2" s="71" t="s">
        <v>121</v>
      </c>
      <c r="AS2" s="72" t="s">
        <v>122</v>
      </c>
      <c r="AT2" s="73" t="s">
        <v>123</v>
      </c>
      <c r="AU2" s="74" t="s">
        <v>124</v>
      </c>
      <c r="AV2" s="75" t="s">
        <v>125</v>
      </c>
      <c r="AW2" s="76" t="s">
        <v>126</v>
      </c>
      <c r="AX2" s="77" t="s">
        <v>127</v>
      </c>
      <c r="AY2" s="78" t="s">
        <v>128</v>
      </c>
      <c r="AZ2" s="79" t="s">
        <v>129</v>
      </c>
      <c r="BA2" s="71" t="s">
        <v>130</v>
      </c>
      <c r="BB2" s="72" t="s">
        <v>131</v>
      </c>
      <c r="BC2" s="73" t="s">
        <v>132</v>
      </c>
      <c r="BD2" s="80" t="s">
        <v>133</v>
      </c>
      <c r="BE2" s="81" t="s">
        <v>134</v>
      </c>
      <c r="BF2" s="82" t="s">
        <v>135</v>
      </c>
    </row>
    <row r="3" spans="1:58" ht="15.75" customHeight="1" x14ac:dyDescent="0.2">
      <c r="A3" s="437"/>
      <c r="B3" s="150" t="s">
        <v>212</v>
      </c>
      <c r="C3" s="85" t="s">
        <v>137</v>
      </c>
      <c r="D3" s="86" t="s">
        <v>213</v>
      </c>
      <c r="E3" s="87"/>
      <c r="F3" s="88">
        <v>128083.33333333299</v>
      </c>
      <c r="G3" s="89">
        <v>5000</v>
      </c>
      <c r="H3" s="90">
        <f t="shared" ref="H3:H23" si="0">F3+G3-I3</f>
        <v>128083.33333333299</v>
      </c>
      <c r="I3" s="89">
        <v>5000</v>
      </c>
      <c r="J3" s="89">
        <f t="shared" ref="J3:J22" si="1">(F3+G3-I3)*0.06</f>
        <v>7684.9999999999791</v>
      </c>
      <c r="K3" s="89">
        <f t="shared" ref="K3:K22" si="2">(F3+G3-I3)*0.025</f>
        <v>3202.0833333333248</v>
      </c>
      <c r="L3" s="89">
        <v>7600.15</v>
      </c>
      <c r="M3" s="89">
        <f t="shared" ref="M3:M23" si="3">(F3+G3)*0.62</f>
        <v>82511.666666666453</v>
      </c>
      <c r="N3" s="91"/>
      <c r="O3" s="92"/>
      <c r="P3" s="93"/>
      <c r="Q3" s="93"/>
      <c r="R3" s="93"/>
      <c r="S3" s="93"/>
      <c r="T3" s="93"/>
      <c r="U3" s="94">
        <f t="shared" ref="U3:U27" si="4">IF(C3="oui","",(H3+I3)*E3)</f>
        <v>0</v>
      </c>
      <c r="W3" s="50">
        <f t="shared" ref="W3:W27" si="5">IF(O3="",0,(1-E3)*O3)</f>
        <v>0</v>
      </c>
      <c r="X3" s="95">
        <f t="shared" ref="X3:X27" si="6">IF(O3="",I3*(E3),0)</f>
        <v>0</v>
      </c>
      <c r="Y3" s="94">
        <f t="shared" ref="Y3:Y27" si="7">IF(P3="",+H3*6%*E3,0)</f>
        <v>0</v>
      </c>
      <c r="Z3" s="50">
        <f t="shared" ref="Z3:Z27" si="8">IF(P3="",0,P3*(1-E3))</f>
        <v>0</v>
      </c>
      <c r="AA3" s="50">
        <f t="shared" ref="AA3:AA27" si="9">IF(Q3="",+H3*2.5%*E3,0)</f>
        <v>0</v>
      </c>
      <c r="AB3" s="50">
        <f t="shared" ref="AB3:AB27" si="10">IF(Q3="",0,Q3*(1-E3))</f>
        <v>0</v>
      </c>
      <c r="AC3" s="50">
        <f t="shared" ref="AC3:AC27" si="11">IF(R3="",+L3*E3,(1-E3)*R3)</f>
        <v>0</v>
      </c>
      <c r="AD3" s="50">
        <f t="shared" ref="AD3:AD27" si="12">IF(S3="",M3*E3,S3*E3)</f>
        <v>0</v>
      </c>
      <c r="AF3" s="94">
        <f t="shared" ref="AF3:AF27" si="13">IF(E3="",0,+H3-J3-K3-L3-M3-N3)</f>
        <v>0</v>
      </c>
      <c r="AH3" s="95">
        <f t="shared" ref="AH3:AH27" si="14">AF3*E3-AG3</f>
        <v>0</v>
      </c>
      <c r="AI3" s="94">
        <f t="shared" ref="AI3:AI27" si="15">IF(E3="",0,H3)</f>
        <v>0</v>
      </c>
      <c r="AK3" s="95">
        <f t="shared" ref="AK3:AK27" si="16">AI3*E3-AJ3</f>
        <v>0</v>
      </c>
      <c r="AO3" s="94">
        <f t="shared" ref="AO3:AO27" si="17">AI3-AJ3-AK3</f>
        <v>0</v>
      </c>
      <c r="AP3" s="95">
        <f t="shared" ref="AP3:AP27" si="18">AF3-AG3-AH3</f>
        <v>0</v>
      </c>
      <c r="AQ3" s="96" t="str">
        <f t="shared" ref="AQ3:AQ27" si="19">IF(E3="","",+AF3/AI3)</f>
        <v/>
      </c>
      <c r="AR3" s="94">
        <f t="shared" ref="AR3:AR27" si="20">IF(S3="",M3*E3,S3*E3)</f>
        <v>0</v>
      </c>
      <c r="AT3" s="97">
        <f t="shared" ref="AT3:AT27" si="21">+AR3-AS3</f>
        <v>0</v>
      </c>
      <c r="AU3" s="94">
        <f t="shared" ref="AU3:AU27" si="22">+L3*E3</f>
        <v>0</v>
      </c>
      <c r="AW3" s="95">
        <f t="shared" ref="AW3:AW27" si="23">+AU3-AV3</f>
        <v>0</v>
      </c>
      <c r="AX3" s="94">
        <f t="shared" ref="AX3:AX27" si="24">IF(P3="",J3*E3,P3-Z3)</f>
        <v>0</v>
      </c>
      <c r="AZ3" s="95">
        <f t="shared" ref="AZ3:AZ27" si="25">+AX3-AY3</f>
        <v>0</v>
      </c>
      <c r="BA3" s="94">
        <f t="shared" ref="BA3:BA27" si="26">IF(Q3="",K3*E3,Q3-AB3)</f>
        <v>0</v>
      </c>
      <c r="BC3" s="95">
        <f t="shared" ref="BC3:BC27" si="27">+BA3-BB3</f>
        <v>0</v>
      </c>
      <c r="BD3" s="94">
        <f t="shared" ref="BD3:BD27" si="28">+E3*N3</f>
        <v>0</v>
      </c>
      <c r="BE3" s="50"/>
      <c r="BF3" s="95"/>
    </row>
    <row r="4" spans="1:58" ht="15.75" customHeight="1" x14ac:dyDescent="0.2">
      <c r="A4" s="437"/>
      <c r="B4" s="150" t="s">
        <v>189</v>
      </c>
      <c r="C4" s="85" t="s">
        <v>137</v>
      </c>
      <c r="D4" s="86" t="s">
        <v>213</v>
      </c>
      <c r="E4" s="87"/>
      <c r="F4" s="88">
        <v>133916.66666666701</v>
      </c>
      <c r="G4" s="89">
        <v>5000</v>
      </c>
      <c r="H4" s="90">
        <f t="shared" si="0"/>
        <v>133916.66666666701</v>
      </c>
      <c r="I4" s="89">
        <v>5000</v>
      </c>
      <c r="J4" s="89">
        <f t="shared" si="1"/>
        <v>8035.00000000002</v>
      </c>
      <c r="K4" s="89">
        <f t="shared" si="2"/>
        <v>3347.9166666666752</v>
      </c>
      <c r="L4" s="89">
        <v>7600.15</v>
      </c>
      <c r="M4" s="89">
        <f t="shared" si="3"/>
        <v>86128.333333333547</v>
      </c>
      <c r="N4" s="91"/>
      <c r="O4" s="92"/>
      <c r="P4" s="93"/>
      <c r="Q4" s="93"/>
      <c r="R4" s="93"/>
      <c r="S4" s="93"/>
      <c r="T4" s="93"/>
      <c r="U4" s="94">
        <f t="shared" si="4"/>
        <v>0</v>
      </c>
      <c r="W4" s="50">
        <f t="shared" si="5"/>
        <v>0</v>
      </c>
      <c r="X4" s="95">
        <f t="shared" si="6"/>
        <v>0</v>
      </c>
      <c r="Y4" s="94">
        <f t="shared" si="7"/>
        <v>0</v>
      </c>
      <c r="Z4" s="50">
        <f t="shared" si="8"/>
        <v>0</v>
      </c>
      <c r="AA4" s="50">
        <f t="shared" si="9"/>
        <v>0</v>
      </c>
      <c r="AB4" s="50">
        <f t="shared" si="10"/>
        <v>0</v>
      </c>
      <c r="AC4" s="50">
        <f t="shared" si="11"/>
        <v>0</v>
      </c>
      <c r="AD4" s="50">
        <f t="shared" si="12"/>
        <v>0</v>
      </c>
      <c r="AF4" s="94">
        <f t="shared" si="13"/>
        <v>0</v>
      </c>
      <c r="AH4" s="95">
        <f t="shared" si="14"/>
        <v>0</v>
      </c>
      <c r="AI4" s="94">
        <f t="shared" si="15"/>
        <v>0</v>
      </c>
      <c r="AK4" s="95">
        <f t="shared" si="16"/>
        <v>0</v>
      </c>
      <c r="AO4" s="94">
        <f t="shared" si="17"/>
        <v>0</v>
      </c>
      <c r="AP4" s="95">
        <f t="shared" si="18"/>
        <v>0</v>
      </c>
      <c r="AQ4" s="96" t="str">
        <f t="shared" si="19"/>
        <v/>
      </c>
      <c r="AR4" s="94">
        <f t="shared" si="20"/>
        <v>0</v>
      </c>
      <c r="AT4" s="97">
        <f t="shared" si="21"/>
        <v>0</v>
      </c>
      <c r="AU4" s="94">
        <f t="shared" si="22"/>
        <v>0</v>
      </c>
      <c r="AW4" s="95">
        <f t="shared" si="23"/>
        <v>0</v>
      </c>
      <c r="AX4" s="94">
        <f t="shared" si="24"/>
        <v>0</v>
      </c>
      <c r="AZ4" s="95">
        <f t="shared" si="25"/>
        <v>0</v>
      </c>
      <c r="BA4" s="94">
        <f t="shared" si="26"/>
        <v>0</v>
      </c>
      <c r="BC4" s="95">
        <f t="shared" si="27"/>
        <v>0</v>
      </c>
      <c r="BD4" s="94">
        <f t="shared" si="28"/>
        <v>0</v>
      </c>
      <c r="BE4" s="50"/>
      <c r="BF4" s="95"/>
    </row>
    <row r="5" spans="1:58" ht="15" customHeight="1" x14ac:dyDescent="0.2">
      <c r="A5" s="437"/>
      <c r="B5" s="150" t="s">
        <v>214</v>
      </c>
      <c r="C5" s="85" t="s">
        <v>137</v>
      </c>
      <c r="D5" s="86" t="s">
        <v>213</v>
      </c>
      <c r="E5" s="87"/>
      <c r="F5" s="88">
        <v>162000</v>
      </c>
      <c r="G5" s="89">
        <v>5000</v>
      </c>
      <c r="H5" s="90">
        <f t="shared" si="0"/>
        <v>162000</v>
      </c>
      <c r="I5" s="89">
        <v>5000</v>
      </c>
      <c r="J5" s="89">
        <f t="shared" si="1"/>
        <v>9720</v>
      </c>
      <c r="K5" s="89">
        <f t="shared" si="2"/>
        <v>4050</v>
      </c>
      <c r="L5" s="89">
        <v>7600.15</v>
      </c>
      <c r="M5" s="89">
        <f t="shared" si="3"/>
        <v>103540</v>
      </c>
      <c r="N5" s="91"/>
      <c r="O5" s="92"/>
      <c r="P5" s="93"/>
      <c r="Q5" s="93"/>
      <c r="R5" s="93"/>
      <c r="S5" s="93"/>
      <c r="T5" s="93"/>
      <c r="U5" s="94">
        <f t="shared" si="4"/>
        <v>0</v>
      </c>
      <c r="W5" s="50">
        <f t="shared" si="5"/>
        <v>0</v>
      </c>
      <c r="X5" s="95">
        <f t="shared" si="6"/>
        <v>0</v>
      </c>
      <c r="Y5" s="94">
        <f t="shared" si="7"/>
        <v>0</v>
      </c>
      <c r="Z5" s="50">
        <f t="shared" si="8"/>
        <v>0</v>
      </c>
      <c r="AA5" s="50">
        <f t="shared" si="9"/>
        <v>0</v>
      </c>
      <c r="AB5" s="50">
        <f t="shared" si="10"/>
        <v>0</v>
      </c>
      <c r="AC5" s="50">
        <f t="shared" si="11"/>
        <v>0</v>
      </c>
      <c r="AD5" s="50">
        <f t="shared" si="12"/>
        <v>0</v>
      </c>
      <c r="AF5" s="94">
        <f t="shared" si="13"/>
        <v>0</v>
      </c>
      <c r="AH5" s="95">
        <f t="shared" si="14"/>
        <v>0</v>
      </c>
      <c r="AI5" s="94">
        <f t="shared" si="15"/>
        <v>0</v>
      </c>
      <c r="AK5" s="95">
        <f t="shared" si="16"/>
        <v>0</v>
      </c>
      <c r="AO5" s="94">
        <f t="shared" si="17"/>
        <v>0</v>
      </c>
      <c r="AP5" s="95">
        <f t="shared" si="18"/>
        <v>0</v>
      </c>
      <c r="AQ5" s="96" t="str">
        <f t="shared" si="19"/>
        <v/>
      </c>
      <c r="AR5" s="94">
        <f t="shared" si="20"/>
        <v>0</v>
      </c>
      <c r="AT5" s="97">
        <f t="shared" si="21"/>
        <v>0</v>
      </c>
      <c r="AU5" s="94">
        <f t="shared" si="22"/>
        <v>0</v>
      </c>
      <c r="AW5" s="95">
        <f t="shared" si="23"/>
        <v>0</v>
      </c>
      <c r="AX5" s="94">
        <f t="shared" si="24"/>
        <v>0</v>
      </c>
      <c r="AZ5" s="95">
        <f t="shared" si="25"/>
        <v>0</v>
      </c>
      <c r="BA5" s="94">
        <f t="shared" si="26"/>
        <v>0</v>
      </c>
      <c r="BC5" s="95">
        <f t="shared" si="27"/>
        <v>0</v>
      </c>
      <c r="BD5" s="94">
        <f t="shared" si="28"/>
        <v>0</v>
      </c>
      <c r="BE5" s="50"/>
      <c r="BF5" s="95"/>
    </row>
    <row r="6" spans="1:58" ht="15" customHeight="1" x14ac:dyDescent="0.2">
      <c r="A6" s="437"/>
      <c r="B6" s="151" t="s">
        <v>204</v>
      </c>
      <c r="C6" s="85" t="s">
        <v>137</v>
      </c>
      <c r="D6" s="86" t="s">
        <v>213</v>
      </c>
      <c r="E6" s="87">
        <v>0.2</v>
      </c>
      <c r="F6" s="88">
        <v>106000</v>
      </c>
      <c r="G6" s="89">
        <v>5000</v>
      </c>
      <c r="H6" s="90">
        <f t="shared" si="0"/>
        <v>106000</v>
      </c>
      <c r="I6" s="89">
        <v>5000</v>
      </c>
      <c r="J6" s="89">
        <f t="shared" si="1"/>
        <v>6360</v>
      </c>
      <c r="K6" s="89">
        <f t="shared" si="2"/>
        <v>2650</v>
      </c>
      <c r="L6" s="89">
        <v>7600.15</v>
      </c>
      <c r="M6" s="89">
        <f t="shared" si="3"/>
        <v>68820</v>
      </c>
      <c r="N6" s="91"/>
      <c r="O6" s="92"/>
      <c r="P6" s="93"/>
      <c r="Q6" s="93"/>
      <c r="R6" s="93"/>
      <c r="S6" s="93"/>
      <c r="T6" s="93"/>
      <c r="U6" s="94">
        <f t="shared" si="4"/>
        <v>22200</v>
      </c>
      <c r="W6" s="50">
        <f t="shared" si="5"/>
        <v>0</v>
      </c>
      <c r="X6" s="95">
        <f t="shared" si="6"/>
        <v>1000</v>
      </c>
      <c r="Y6" s="94">
        <f t="shared" si="7"/>
        <v>1272</v>
      </c>
      <c r="Z6" s="50">
        <f t="shared" si="8"/>
        <v>0</v>
      </c>
      <c r="AA6" s="50">
        <f t="shared" si="9"/>
        <v>530</v>
      </c>
      <c r="AB6" s="50">
        <f t="shared" si="10"/>
        <v>0</v>
      </c>
      <c r="AC6" s="50">
        <f t="shared" si="11"/>
        <v>1520.03</v>
      </c>
      <c r="AD6" s="50">
        <f t="shared" si="12"/>
        <v>13764</v>
      </c>
      <c r="AF6" s="94">
        <f t="shared" si="13"/>
        <v>20569.850000000006</v>
      </c>
      <c r="AH6" s="95">
        <f t="shared" si="14"/>
        <v>4113.9700000000012</v>
      </c>
      <c r="AI6" s="94">
        <f t="shared" si="15"/>
        <v>106000</v>
      </c>
      <c r="AK6" s="95">
        <f t="shared" si="16"/>
        <v>21200</v>
      </c>
      <c r="AO6" s="94">
        <f t="shared" si="17"/>
        <v>84800</v>
      </c>
      <c r="AP6" s="95">
        <f t="shared" si="18"/>
        <v>16455.880000000005</v>
      </c>
      <c r="AQ6" s="96">
        <f t="shared" si="19"/>
        <v>0.19405518867924534</v>
      </c>
      <c r="AR6" s="94">
        <f t="shared" si="20"/>
        <v>13764</v>
      </c>
      <c r="AT6" s="97">
        <f t="shared" si="21"/>
        <v>13764</v>
      </c>
      <c r="AU6" s="94">
        <f t="shared" si="22"/>
        <v>1520.03</v>
      </c>
      <c r="AW6" s="95">
        <f t="shared" si="23"/>
        <v>1520.03</v>
      </c>
      <c r="AX6" s="94">
        <f t="shared" si="24"/>
        <v>1272</v>
      </c>
      <c r="AZ6" s="95">
        <f t="shared" si="25"/>
        <v>1272</v>
      </c>
      <c r="BA6" s="94">
        <f t="shared" si="26"/>
        <v>530</v>
      </c>
      <c r="BC6" s="95">
        <f t="shared" si="27"/>
        <v>530</v>
      </c>
      <c r="BD6" s="94">
        <f t="shared" si="28"/>
        <v>0</v>
      </c>
      <c r="BE6" s="50"/>
      <c r="BF6" s="95"/>
    </row>
    <row r="7" spans="1:58" ht="15" customHeight="1" x14ac:dyDescent="0.2">
      <c r="A7" s="437"/>
      <c r="B7" s="150" t="s">
        <v>162</v>
      </c>
      <c r="C7" s="85" t="s">
        <v>137</v>
      </c>
      <c r="D7" s="86" t="s">
        <v>213</v>
      </c>
      <c r="E7" s="87"/>
      <c r="F7" s="88">
        <v>98333.333333333299</v>
      </c>
      <c r="G7" s="89">
        <v>5000</v>
      </c>
      <c r="H7" s="90">
        <f t="shared" si="0"/>
        <v>98333.333333333299</v>
      </c>
      <c r="I7" s="89">
        <v>5000</v>
      </c>
      <c r="J7" s="89">
        <f t="shared" si="1"/>
        <v>5899.9999999999982</v>
      </c>
      <c r="K7" s="89">
        <f t="shared" si="2"/>
        <v>2458.3333333333326</v>
      </c>
      <c r="L7" s="89">
        <v>7600.15</v>
      </c>
      <c r="M7" s="89">
        <f t="shared" si="3"/>
        <v>64066.666666666642</v>
      </c>
      <c r="N7" s="91"/>
      <c r="O7" s="92"/>
      <c r="P7" s="93"/>
      <c r="Q7" s="93"/>
      <c r="R7" s="93"/>
      <c r="S7" s="93"/>
      <c r="T7" s="93"/>
      <c r="U7" s="94">
        <f t="shared" si="4"/>
        <v>0</v>
      </c>
      <c r="W7" s="50">
        <f t="shared" si="5"/>
        <v>0</v>
      </c>
      <c r="X7" s="95">
        <f t="shared" si="6"/>
        <v>0</v>
      </c>
      <c r="Y7" s="94">
        <f t="shared" si="7"/>
        <v>0</v>
      </c>
      <c r="Z7" s="50">
        <f t="shared" si="8"/>
        <v>0</v>
      </c>
      <c r="AA7" s="50">
        <f t="shared" si="9"/>
        <v>0</v>
      </c>
      <c r="AB7" s="50">
        <f t="shared" si="10"/>
        <v>0</v>
      </c>
      <c r="AC7" s="50">
        <f t="shared" si="11"/>
        <v>0</v>
      </c>
      <c r="AD7" s="50">
        <f t="shared" si="12"/>
        <v>0</v>
      </c>
      <c r="AF7" s="94">
        <f t="shared" si="13"/>
        <v>0</v>
      </c>
      <c r="AH7" s="95">
        <f t="shared" si="14"/>
        <v>0</v>
      </c>
      <c r="AI7" s="94">
        <f t="shared" si="15"/>
        <v>0</v>
      </c>
      <c r="AK7" s="95">
        <f t="shared" si="16"/>
        <v>0</v>
      </c>
      <c r="AO7" s="94">
        <f t="shared" si="17"/>
        <v>0</v>
      </c>
      <c r="AP7" s="95">
        <f t="shared" si="18"/>
        <v>0</v>
      </c>
      <c r="AQ7" s="96" t="str">
        <f t="shared" si="19"/>
        <v/>
      </c>
      <c r="AR7" s="94">
        <f t="shared" si="20"/>
        <v>0</v>
      </c>
      <c r="AT7" s="97">
        <f t="shared" si="21"/>
        <v>0</v>
      </c>
      <c r="AU7" s="94">
        <f t="shared" si="22"/>
        <v>0</v>
      </c>
      <c r="AW7" s="95">
        <f t="shared" si="23"/>
        <v>0</v>
      </c>
      <c r="AX7" s="94">
        <f t="shared" si="24"/>
        <v>0</v>
      </c>
      <c r="AZ7" s="95">
        <f t="shared" si="25"/>
        <v>0</v>
      </c>
      <c r="BA7" s="94">
        <f t="shared" si="26"/>
        <v>0</v>
      </c>
      <c r="BC7" s="95">
        <f t="shared" si="27"/>
        <v>0</v>
      </c>
      <c r="BD7" s="94">
        <f t="shared" si="28"/>
        <v>0</v>
      </c>
      <c r="BE7" s="50"/>
      <c r="BF7" s="95"/>
    </row>
    <row r="8" spans="1:58" ht="15" customHeight="1" x14ac:dyDescent="0.2">
      <c r="A8" s="437"/>
      <c r="B8" s="150" t="s">
        <v>190</v>
      </c>
      <c r="C8" s="85" t="s">
        <v>137</v>
      </c>
      <c r="D8" s="86" t="s">
        <v>213</v>
      </c>
      <c r="E8" s="87"/>
      <c r="F8" s="88">
        <v>134000</v>
      </c>
      <c r="G8" s="89">
        <v>5000</v>
      </c>
      <c r="H8" s="90">
        <f t="shared" si="0"/>
        <v>134000</v>
      </c>
      <c r="I8" s="89">
        <v>5000</v>
      </c>
      <c r="J8" s="89">
        <f t="shared" si="1"/>
        <v>8040</v>
      </c>
      <c r="K8" s="89">
        <f t="shared" si="2"/>
        <v>3350</v>
      </c>
      <c r="L8" s="89">
        <v>7600.15</v>
      </c>
      <c r="M8" s="89">
        <f t="shared" si="3"/>
        <v>86180</v>
      </c>
      <c r="N8" s="91"/>
      <c r="O8" s="92"/>
      <c r="P8" s="93"/>
      <c r="Q8" s="93"/>
      <c r="R8" s="93"/>
      <c r="S8" s="93"/>
      <c r="T8" s="93"/>
      <c r="U8" s="94">
        <f t="shared" si="4"/>
        <v>0</v>
      </c>
      <c r="W8" s="50">
        <f t="shared" si="5"/>
        <v>0</v>
      </c>
      <c r="X8" s="95">
        <f t="shared" si="6"/>
        <v>0</v>
      </c>
      <c r="Y8" s="94">
        <f t="shared" si="7"/>
        <v>0</v>
      </c>
      <c r="Z8" s="50">
        <f t="shared" si="8"/>
        <v>0</v>
      </c>
      <c r="AA8" s="50">
        <f t="shared" si="9"/>
        <v>0</v>
      </c>
      <c r="AB8" s="50">
        <f t="shared" si="10"/>
        <v>0</v>
      </c>
      <c r="AC8" s="50">
        <f t="shared" si="11"/>
        <v>0</v>
      </c>
      <c r="AD8" s="50">
        <f t="shared" si="12"/>
        <v>0</v>
      </c>
      <c r="AF8" s="94">
        <f t="shared" si="13"/>
        <v>0</v>
      </c>
      <c r="AH8" s="95">
        <f t="shared" si="14"/>
        <v>0</v>
      </c>
      <c r="AI8" s="94">
        <f t="shared" si="15"/>
        <v>0</v>
      </c>
      <c r="AK8" s="95">
        <f t="shared" si="16"/>
        <v>0</v>
      </c>
      <c r="AO8" s="94">
        <f t="shared" si="17"/>
        <v>0</v>
      </c>
      <c r="AP8" s="95">
        <f t="shared" si="18"/>
        <v>0</v>
      </c>
      <c r="AQ8" s="96" t="str">
        <f t="shared" si="19"/>
        <v/>
      </c>
      <c r="AR8" s="94">
        <f t="shared" si="20"/>
        <v>0</v>
      </c>
      <c r="AT8" s="97">
        <f t="shared" si="21"/>
        <v>0</v>
      </c>
      <c r="AU8" s="94">
        <f t="shared" si="22"/>
        <v>0</v>
      </c>
      <c r="AW8" s="95">
        <f t="shared" si="23"/>
        <v>0</v>
      </c>
      <c r="AX8" s="94">
        <f t="shared" si="24"/>
        <v>0</v>
      </c>
      <c r="AZ8" s="95">
        <f t="shared" si="25"/>
        <v>0</v>
      </c>
      <c r="BA8" s="94">
        <f t="shared" si="26"/>
        <v>0</v>
      </c>
      <c r="BC8" s="95">
        <f t="shared" si="27"/>
        <v>0</v>
      </c>
      <c r="BD8" s="94">
        <f t="shared" si="28"/>
        <v>0</v>
      </c>
      <c r="BE8" s="50"/>
      <c r="BF8" s="95"/>
    </row>
    <row r="9" spans="1:58" ht="15" customHeight="1" x14ac:dyDescent="0.2">
      <c r="A9" s="437"/>
      <c r="B9" s="151" t="s">
        <v>201</v>
      </c>
      <c r="C9" s="85" t="s">
        <v>137</v>
      </c>
      <c r="D9" s="86" t="s">
        <v>213</v>
      </c>
      <c r="E9" s="87">
        <v>0.2</v>
      </c>
      <c r="F9" s="88">
        <v>122333.33333333299</v>
      </c>
      <c r="G9" s="89">
        <v>5000</v>
      </c>
      <c r="H9" s="90">
        <f t="shared" si="0"/>
        <v>122333.33333333299</v>
      </c>
      <c r="I9" s="89">
        <v>5000</v>
      </c>
      <c r="J9" s="89">
        <f t="shared" si="1"/>
        <v>7339.9999999999791</v>
      </c>
      <c r="K9" s="89">
        <f t="shared" si="2"/>
        <v>3058.3333333333248</v>
      </c>
      <c r="L9" s="89">
        <v>7600.15</v>
      </c>
      <c r="M9" s="89">
        <f t="shared" si="3"/>
        <v>78946.666666666453</v>
      </c>
      <c r="N9" s="91"/>
      <c r="O9" s="92"/>
      <c r="P9" s="93"/>
      <c r="Q9" s="93"/>
      <c r="R9" s="93"/>
      <c r="S9" s="93"/>
      <c r="T9" s="93"/>
      <c r="U9" s="94">
        <f t="shared" si="4"/>
        <v>25466.666666666599</v>
      </c>
      <c r="W9" s="50">
        <f t="shared" si="5"/>
        <v>0</v>
      </c>
      <c r="X9" s="95">
        <f t="shared" si="6"/>
        <v>1000</v>
      </c>
      <c r="Y9" s="94">
        <f t="shared" si="7"/>
        <v>1467.9999999999959</v>
      </c>
      <c r="Z9" s="50">
        <f t="shared" si="8"/>
        <v>0</v>
      </c>
      <c r="AA9" s="50">
        <f t="shared" si="9"/>
        <v>611.66666666666504</v>
      </c>
      <c r="AB9" s="50">
        <f t="shared" si="10"/>
        <v>0</v>
      </c>
      <c r="AC9" s="50">
        <f t="shared" si="11"/>
        <v>1520.03</v>
      </c>
      <c r="AD9" s="50">
        <f t="shared" si="12"/>
        <v>15789.333333333292</v>
      </c>
      <c r="AF9" s="94">
        <f t="shared" si="13"/>
        <v>25388.183333333232</v>
      </c>
      <c r="AH9" s="95">
        <f t="shared" si="14"/>
        <v>5077.6366666666472</v>
      </c>
      <c r="AI9" s="94">
        <f t="shared" si="15"/>
        <v>122333.33333333299</v>
      </c>
      <c r="AK9" s="95">
        <f t="shared" si="16"/>
        <v>24466.666666666599</v>
      </c>
      <c r="AO9" s="94">
        <f t="shared" si="17"/>
        <v>97866.666666666395</v>
      </c>
      <c r="AP9" s="95">
        <f t="shared" si="18"/>
        <v>20310.546666666585</v>
      </c>
      <c r="AQ9" s="96">
        <f t="shared" si="19"/>
        <v>0.2075328337874657</v>
      </c>
      <c r="AR9" s="94">
        <f t="shared" si="20"/>
        <v>15789.333333333292</v>
      </c>
      <c r="AT9" s="97">
        <f t="shared" si="21"/>
        <v>15789.333333333292</v>
      </c>
      <c r="AU9" s="94">
        <f t="shared" si="22"/>
        <v>1520.03</v>
      </c>
      <c r="AW9" s="95">
        <f t="shared" si="23"/>
        <v>1520.03</v>
      </c>
      <c r="AX9" s="94">
        <f t="shared" si="24"/>
        <v>1467.9999999999959</v>
      </c>
      <c r="AZ9" s="95">
        <f t="shared" si="25"/>
        <v>1467.9999999999959</v>
      </c>
      <c r="BA9" s="94">
        <f t="shared" si="26"/>
        <v>611.66666666666504</v>
      </c>
      <c r="BC9" s="95">
        <f t="shared" si="27"/>
        <v>611.66666666666504</v>
      </c>
      <c r="BD9" s="94">
        <f t="shared" si="28"/>
        <v>0</v>
      </c>
      <c r="BE9" s="50"/>
      <c r="BF9" s="95"/>
    </row>
    <row r="10" spans="1:58" ht="15" customHeight="1" x14ac:dyDescent="0.2">
      <c r="A10" s="437"/>
      <c r="B10" s="150" t="s">
        <v>191</v>
      </c>
      <c r="C10" s="85" t="s">
        <v>137</v>
      </c>
      <c r="D10" s="86" t="s">
        <v>213</v>
      </c>
      <c r="E10" s="87"/>
      <c r="F10" s="88">
        <v>134333.33333333299</v>
      </c>
      <c r="G10" s="89">
        <v>5000</v>
      </c>
      <c r="H10" s="90">
        <f t="shared" si="0"/>
        <v>134333.33333333299</v>
      </c>
      <c r="I10" s="89">
        <v>5000</v>
      </c>
      <c r="J10" s="89">
        <f t="shared" si="1"/>
        <v>8059.9999999999791</v>
      </c>
      <c r="K10" s="89">
        <f t="shared" si="2"/>
        <v>3358.3333333333248</v>
      </c>
      <c r="L10" s="89">
        <v>7600.15</v>
      </c>
      <c r="M10" s="89">
        <f t="shared" si="3"/>
        <v>86386.666666666453</v>
      </c>
      <c r="N10" s="91"/>
      <c r="O10" s="92"/>
      <c r="P10" s="93"/>
      <c r="Q10" s="93"/>
      <c r="R10" s="93"/>
      <c r="S10" s="93"/>
      <c r="T10" s="93"/>
      <c r="U10" s="94">
        <f t="shared" si="4"/>
        <v>0</v>
      </c>
      <c r="W10" s="50">
        <f t="shared" si="5"/>
        <v>0</v>
      </c>
      <c r="X10" s="95">
        <f t="shared" si="6"/>
        <v>0</v>
      </c>
      <c r="Y10" s="94">
        <f t="shared" si="7"/>
        <v>0</v>
      </c>
      <c r="Z10" s="50">
        <f t="shared" si="8"/>
        <v>0</v>
      </c>
      <c r="AA10" s="50">
        <f t="shared" si="9"/>
        <v>0</v>
      </c>
      <c r="AB10" s="50">
        <f t="shared" si="10"/>
        <v>0</v>
      </c>
      <c r="AC10" s="50">
        <f t="shared" si="11"/>
        <v>0</v>
      </c>
      <c r="AD10" s="50">
        <f t="shared" si="12"/>
        <v>0</v>
      </c>
      <c r="AF10" s="94">
        <f t="shared" si="13"/>
        <v>0</v>
      </c>
      <c r="AH10" s="95">
        <f t="shared" si="14"/>
        <v>0</v>
      </c>
      <c r="AI10" s="94">
        <f t="shared" si="15"/>
        <v>0</v>
      </c>
      <c r="AK10" s="95">
        <f t="shared" si="16"/>
        <v>0</v>
      </c>
      <c r="AO10" s="94">
        <f t="shared" si="17"/>
        <v>0</v>
      </c>
      <c r="AP10" s="95">
        <f t="shared" si="18"/>
        <v>0</v>
      </c>
      <c r="AQ10" s="96" t="str">
        <f t="shared" si="19"/>
        <v/>
      </c>
      <c r="AR10" s="94">
        <f t="shared" si="20"/>
        <v>0</v>
      </c>
      <c r="AT10" s="97">
        <f t="shared" si="21"/>
        <v>0</v>
      </c>
      <c r="AU10" s="94">
        <f t="shared" si="22"/>
        <v>0</v>
      </c>
      <c r="AW10" s="95">
        <f t="shared" si="23"/>
        <v>0</v>
      </c>
      <c r="AX10" s="94">
        <f t="shared" si="24"/>
        <v>0</v>
      </c>
      <c r="AZ10" s="95">
        <f t="shared" si="25"/>
        <v>0</v>
      </c>
      <c r="BA10" s="94">
        <f t="shared" si="26"/>
        <v>0</v>
      </c>
      <c r="BC10" s="95">
        <f t="shared" si="27"/>
        <v>0</v>
      </c>
      <c r="BD10" s="94">
        <f t="shared" si="28"/>
        <v>0</v>
      </c>
      <c r="BE10" s="50"/>
      <c r="BF10" s="95"/>
    </row>
    <row r="11" spans="1:58" ht="15" customHeight="1" x14ac:dyDescent="0.2">
      <c r="A11" s="437"/>
      <c r="B11" s="150" t="s">
        <v>215</v>
      </c>
      <c r="C11" s="85" t="s">
        <v>137</v>
      </c>
      <c r="D11" s="86" t="s">
        <v>213</v>
      </c>
      <c r="E11" s="87"/>
      <c r="F11" s="88">
        <v>128916.66666666701</v>
      </c>
      <c r="G11" s="89">
        <v>5000</v>
      </c>
      <c r="H11" s="90">
        <f t="shared" si="0"/>
        <v>128916.66666666701</v>
      </c>
      <c r="I11" s="89">
        <v>5000</v>
      </c>
      <c r="J11" s="89">
        <f t="shared" si="1"/>
        <v>7735.00000000002</v>
      </c>
      <c r="K11" s="89">
        <f t="shared" si="2"/>
        <v>3222.9166666666752</v>
      </c>
      <c r="L11" s="89">
        <v>7600.15</v>
      </c>
      <c r="M11" s="89">
        <f t="shared" si="3"/>
        <v>83028.333333333547</v>
      </c>
      <c r="N11" s="91"/>
      <c r="O11" s="92"/>
      <c r="P11" s="93"/>
      <c r="Q11" s="93"/>
      <c r="R11" s="93"/>
      <c r="S11" s="93"/>
      <c r="T11" s="93"/>
      <c r="U11" s="94">
        <f t="shared" si="4"/>
        <v>0</v>
      </c>
      <c r="W11" s="50">
        <f t="shared" si="5"/>
        <v>0</v>
      </c>
      <c r="X11" s="95">
        <f t="shared" si="6"/>
        <v>0</v>
      </c>
      <c r="Y11" s="94">
        <f t="shared" si="7"/>
        <v>0</v>
      </c>
      <c r="Z11" s="50">
        <f t="shared" si="8"/>
        <v>0</v>
      </c>
      <c r="AA11" s="50">
        <f t="shared" si="9"/>
        <v>0</v>
      </c>
      <c r="AB11" s="50">
        <f t="shared" si="10"/>
        <v>0</v>
      </c>
      <c r="AC11" s="50">
        <f t="shared" si="11"/>
        <v>0</v>
      </c>
      <c r="AD11" s="50">
        <f t="shared" si="12"/>
        <v>0</v>
      </c>
      <c r="AF11" s="94">
        <f t="shared" si="13"/>
        <v>0</v>
      </c>
      <c r="AH11" s="95">
        <f t="shared" si="14"/>
        <v>0</v>
      </c>
      <c r="AI11" s="94">
        <f t="shared" si="15"/>
        <v>0</v>
      </c>
      <c r="AK11" s="95">
        <f t="shared" si="16"/>
        <v>0</v>
      </c>
      <c r="AO11" s="94">
        <f t="shared" si="17"/>
        <v>0</v>
      </c>
      <c r="AP11" s="95">
        <f t="shared" si="18"/>
        <v>0</v>
      </c>
      <c r="AQ11" s="96" t="str">
        <f t="shared" si="19"/>
        <v/>
      </c>
      <c r="AR11" s="94">
        <f t="shared" si="20"/>
        <v>0</v>
      </c>
      <c r="AT11" s="97">
        <f t="shared" si="21"/>
        <v>0</v>
      </c>
      <c r="AU11" s="94">
        <f t="shared" si="22"/>
        <v>0</v>
      </c>
      <c r="AW11" s="95">
        <f t="shared" si="23"/>
        <v>0</v>
      </c>
      <c r="AX11" s="94">
        <f t="shared" si="24"/>
        <v>0</v>
      </c>
      <c r="AZ11" s="95">
        <f t="shared" si="25"/>
        <v>0</v>
      </c>
      <c r="BA11" s="94">
        <f t="shared" si="26"/>
        <v>0</v>
      </c>
      <c r="BC11" s="95">
        <f t="shared" si="27"/>
        <v>0</v>
      </c>
      <c r="BD11" s="94">
        <f t="shared" si="28"/>
        <v>0</v>
      </c>
      <c r="BE11" s="50"/>
      <c r="BF11" s="95"/>
    </row>
    <row r="12" spans="1:58" ht="15" customHeight="1" x14ac:dyDescent="0.2">
      <c r="A12" s="437"/>
      <c r="B12" s="150" t="s">
        <v>192</v>
      </c>
      <c r="C12" s="85" t="s">
        <v>137</v>
      </c>
      <c r="D12" s="86" t="s">
        <v>213</v>
      </c>
      <c r="E12" s="87"/>
      <c r="F12" s="88">
        <v>113166.66666666701</v>
      </c>
      <c r="G12" s="89">
        <v>5000</v>
      </c>
      <c r="H12" s="90">
        <f t="shared" si="0"/>
        <v>113166.66666666701</v>
      </c>
      <c r="I12" s="89">
        <v>5000</v>
      </c>
      <c r="J12" s="89">
        <f t="shared" si="1"/>
        <v>6790.00000000002</v>
      </c>
      <c r="K12" s="89">
        <f t="shared" si="2"/>
        <v>2829.1666666666752</v>
      </c>
      <c r="L12" s="89">
        <v>7600.15</v>
      </c>
      <c r="M12" s="89">
        <f t="shared" si="3"/>
        <v>73263.333333333547</v>
      </c>
      <c r="N12" s="91"/>
      <c r="O12" s="92"/>
      <c r="P12" s="93"/>
      <c r="Q12" s="93"/>
      <c r="R12" s="93"/>
      <c r="S12" s="93"/>
      <c r="T12" s="93"/>
      <c r="U12" s="94">
        <f t="shared" si="4"/>
        <v>0</v>
      </c>
      <c r="W12" s="50">
        <f t="shared" si="5"/>
        <v>0</v>
      </c>
      <c r="X12" s="95">
        <f t="shared" si="6"/>
        <v>0</v>
      </c>
      <c r="Y12" s="94">
        <f t="shared" si="7"/>
        <v>0</v>
      </c>
      <c r="Z12" s="50">
        <f t="shared" si="8"/>
        <v>0</v>
      </c>
      <c r="AA12" s="50">
        <f t="shared" si="9"/>
        <v>0</v>
      </c>
      <c r="AB12" s="50">
        <f t="shared" si="10"/>
        <v>0</v>
      </c>
      <c r="AC12" s="50">
        <f t="shared" si="11"/>
        <v>0</v>
      </c>
      <c r="AD12" s="50">
        <f t="shared" si="12"/>
        <v>0</v>
      </c>
      <c r="AF12" s="94">
        <f t="shared" si="13"/>
        <v>0</v>
      </c>
      <c r="AH12" s="95">
        <f t="shared" si="14"/>
        <v>0</v>
      </c>
      <c r="AI12" s="94">
        <f t="shared" si="15"/>
        <v>0</v>
      </c>
      <c r="AK12" s="95">
        <f t="shared" si="16"/>
        <v>0</v>
      </c>
      <c r="AO12" s="94">
        <f t="shared" si="17"/>
        <v>0</v>
      </c>
      <c r="AP12" s="95">
        <f t="shared" si="18"/>
        <v>0</v>
      </c>
      <c r="AQ12" s="96" t="str">
        <f t="shared" si="19"/>
        <v/>
      </c>
      <c r="AR12" s="94">
        <f t="shared" si="20"/>
        <v>0</v>
      </c>
      <c r="AT12" s="97">
        <f t="shared" si="21"/>
        <v>0</v>
      </c>
      <c r="AU12" s="94">
        <f t="shared" si="22"/>
        <v>0</v>
      </c>
      <c r="AW12" s="95">
        <f t="shared" si="23"/>
        <v>0</v>
      </c>
      <c r="AX12" s="94">
        <f t="shared" si="24"/>
        <v>0</v>
      </c>
      <c r="AZ12" s="95">
        <f t="shared" si="25"/>
        <v>0</v>
      </c>
      <c r="BA12" s="94">
        <f t="shared" si="26"/>
        <v>0</v>
      </c>
      <c r="BC12" s="95">
        <f t="shared" si="27"/>
        <v>0</v>
      </c>
      <c r="BD12" s="94">
        <f t="shared" si="28"/>
        <v>0</v>
      </c>
      <c r="BE12" s="50"/>
      <c r="BF12" s="95"/>
    </row>
    <row r="13" spans="1:58" ht="15" customHeight="1" x14ac:dyDescent="0.2">
      <c r="A13" s="437"/>
      <c r="B13" s="150" t="s">
        <v>216</v>
      </c>
      <c r="C13" s="85" t="s">
        <v>137</v>
      </c>
      <c r="D13" s="86" t="s">
        <v>213</v>
      </c>
      <c r="E13" s="87"/>
      <c r="F13" s="88">
        <v>98166.666666666701</v>
      </c>
      <c r="G13" s="89">
        <v>5000</v>
      </c>
      <c r="H13" s="90">
        <f t="shared" si="0"/>
        <v>98166.666666666701</v>
      </c>
      <c r="I13" s="89">
        <v>5000</v>
      </c>
      <c r="J13" s="89">
        <f t="shared" si="1"/>
        <v>5890.0000000000018</v>
      </c>
      <c r="K13" s="89">
        <f t="shared" si="2"/>
        <v>2454.1666666666674</v>
      </c>
      <c r="L13" s="89">
        <v>7600.15</v>
      </c>
      <c r="M13" s="89">
        <f t="shared" si="3"/>
        <v>63963.33333333335</v>
      </c>
      <c r="N13" s="91"/>
      <c r="O13" s="92"/>
      <c r="P13" s="93"/>
      <c r="Q13" s="93"/>
      <c r="R13" s="93"/>
      <c r="S13" s="93"/>
      <c r="T13" s="93"/>
      <c r="U13" s="94">
        <f t="shared" si="4"/>
        <v>0</v>
      </c>
      <c r="W13" s="50">
        <f t="shared" si="5"/>
        <v>0</v>
      </c>
      <c r="X13" s="95">
        <f t="shared" si="6"/>
        <v>0</v>
      </c>
      <c r="Y13" s="94">
        <f t="shared" si="7"/>
        <v>0</v>
      </c>
      <c r="Z13" s="50">
        <f t="shared" si="8"/>
        <v>0</v>
      </c>
      <c r="AA13" s="50">
        <f t="shared" si="9"/>
        <v>0</v>
      </c>
      <c r="AB13" s="50">
        <f t="shared" si="10"/>
        <v>0</v>
      </c>
      <c r="AC13" s="50">
        <f t="shared" si="11"/>
        <v>0</v>
      </c>
      <c r="AD13" s="50">
        <f t="shared" si="12"/>
        <v>0</v>
      </c>
      <c r="AF13" s="94">
        <f t="shared" si="13"/>
        <v>0</v>
      </c>
      <c r="AH13" s="95">
        <f t="shared" si="14"/>
        <v>0</v>
      </c>
      <c r="AI13" s="94">
        <f t="shared" si="15"/>
        <v>0</v>
      </c>
      <c r="AK13" s="95">
        <f t="shared" si="16"/>
        <v>0</v>
      </c>
      <c r="AO13" s="94">
        <f t="shared" si="17"/>
        <v>0</v>
      </c>
      <c r="AP13" s="95">
        <f t="shared" si="18"/>
        <v>0</v>
      </c>
      <c r="AQ13" s="96" t="str">
        <f t="shared" si="19"/>
        <v/>
      </c>
      <c r="AR13" s="94">
        <f t="shared" si="20"/>
        <v>0</v>
      </c>
      <c r="AT13" s="97">
        <f t="shared" si="21"/>
        <v>0</v>
      </c>
      <c r="AU13" s="94">
        <f t="shared" si="22"/>
        <v>0</v>
      </c>
      <c r="AW13" s="95">
        <f t="shared" si="23"/>
        <v>0</v>
      </c>
      <c r="AX13" s="94">
        <f t="shared" si="24"/>
        <v>0</v>
      </c>
      <c r="AZ13" s="95">
        <f t="shared" si="25"/>
        <v>0</v>
      </c>
      <c r="BA13" s="94">
        <f t="shared" si="26"/>
        <v>0</v>
      </c>
      <c r="BC13" s="95">
        <f t="shared" si="27"/>
        <v>0</v>
      </c>
      <c r="BD13" s="94">
        <f t="shared" si="28"/>
        <v>0</v>
      </c>
      <c r="BE13" s="50"/>
      <c r="BF13" s="95"/>
    </row>
    <row r="14" spans="1:58" ht="15" customHeight="1" x14ac:dyDescent="0.2">
      <c r="A14" s="437"/>
      <c r="B14" s="151" t="s">
        <v>206</v>
      </c>
      <c r="C14" s="85" t="s">
        <v>137</v>
      </c>
      <c r="D14" s="86" t="s">
        <v>213</v>
      </c>
      <c r="E14" s="87">
        <v>0.2</v>
      </c>
      <c r="F14" s="88">
        <v>98166.666666666701</v>
      </c>
      <c r="G14" s="89">
        <v>5000</v>
      </c>
      <c r="H14" s="90">
        <f t="shared" si="0"/>
        <v>98166.666666666701</v>
      </c>
      <c r="I14" s="89">
        <v>5000</v>
      </c>
      <c r="J14" s="89">
        <f t="shared" si="1"/>
        <v>5890.0000000000018</v>
      </c>
      <c r="K14" s="89">
        <f t="shared" si="2"/>
        <v>2454.1666666666674</v>
      </c>
      <c r="L14" s="89">
        <v>7600.15</v>
      </c>
      <c r="M14" s="89">
        <f t="shared" si="3"/>
        <v>63963.33333333335</v>
      </c>
      <c r="N14" s="91"/>
      <c r="O14" s="92"/>
      <c r="P14" s="93"/>
      <c r="Q14" s="93"/>
      <c r="R14" s="93"/>
      <c r="S14" s="93"/>
      <c r="T14" s="93"/>
      <c r="U14" s="94">
        <f t="shared" si="4"/>
        <v>20633.333333333343</v>
      </c>
      <c r="W14" s="50">
        <f t="shared" si="5"/>
        <v>0</v>
      </c>
      <c r="X14" s="95">
        <f t="shared" si="6"/>
        <v>1000</v>
      </c>
      <c r="Y14" s="94">
        <f t="shared" si="7"/>
        <v>1178.0000000000005</v>
      </c>
      <c r="Z14" s="50">
        <f t="shared" si="8"/>
        <v>0</v>
      </c>
      <c r="AA14" s="50">
        <f t="shared" si="9"/>
        <v>490.83333333333348</v>
      </c>
      <c r="AB14" s="50">
        <f t="shared" si="10"/>
        <v>0</v>
      </c>
      <c r="AC14" s="50">
        <f t="shared" si="11"/>
        <v>1520.03</v>
      </c>
      <c r="AD14" s="50">
        <f t="shared" si="12"/>
        <v>12792.666666666672</v>
      </c>
      <c r="AF14" s="94">
        <f t="shared" si="13"/>
        <v>18259.016666666685</v>
      </c>
      <c r="AH14" s="95">
        <f t="shared" si="14"/>
        <v>3651.8033333333369</v>
      </c>
      <c r="AI14" s="94">
        <f t="shared" si="15"/>
        <v>98166.666666666701</v>
      </c>
      <c r="AK14" s="95">
        <f t="shared" si="16"/>
        <v>19633.333333333339</v>
      </c>
      <c r="AO14" s="94">
        <f t="shared" si="17"/>
        <v>78533.333333333358</v>
      </c>
      <c r="AP14" s="95">
        <f t="shared" si="18"/>
        <v>14607.213333333348</v>
      </c>
      <c r="AQ14" s="96">
        <f t="shared" si="19"/>
        <v>0.18600016977928704</v>
      </c>
      <c r="AR14" s="94">
        <f t="shared" si="20"/>
        <v>12792.666666666672</v>
      </c>
      <c r="AT14" s="97">
        <f t="shared" si="21"/>
        <v>12792.666666666672</v>
      </c>
      <c r="AU14" s="94">
        <f t="shared" si="22"/>
        <v>1520.03</v>
      </c>
      <c r="AW14" s="95">
        <f t="shared" si="23"/>
        <v>1520.03</v>
      </c>
      <c r="AX14" s="94">
        <f t="shared" si="24"/>
        <v>1178.0000000000005</v>
      </c>
      <c r="AZ14" s="95">
        <f t="shared" si="25"/>
        <v>1178.0000000000005</v>
      </c>
      <c r="BA14" s="94">
        <f t="shared" si="26"/>
        <v>490.83333333333348</v>
      </c>
      <c r="BC14" s="95">
        <f t="shared" si="27"/>
        <v>490.83333333333348</v>
      </c>
      <c r="BD14" s="94">
        <f t="shared" si="28"/>
        <v>0</v>
      </c>
      <c r="BE14" s="50"/>
      <c r="BF14" s="95"/>
    </row>
    <row r="15" spans="1:58" ht="15" customHeight="1" x14ac:dyDescent="0.2">
      <c r="A15" s="437"/>
      <c r="B15" s="150" t="s">
        <v>217</v>
      </c>
      <c r="C15" s="85" t="s">
        <v>137</v>
      </c>
      <c r="D15" s="86" t="s">
        <v>213</v>
      </c>
      <c r="E15" s="87"/>
      <c r="F15" s="88">
        <v>98166.666666666701</v>
      </c>
      <c r="G15" s="89">
        <v>5000</v>
      </c>
      <c r="H15" s="90">
        <f t="shared" si="0"/>
        <v>98166.666666666701</v>
      </c>
      <c r="I15" s="89">
        <v>5000</v>
      </c>
      <c r="J15" s="89">
        <f t="shared" si="1"/>
        <v>5890.0000000000018</v>
      </c>
      <c r="K15" s="89">
        <f t="shared" si="2"/>
        <v>2454.1666666666674</v>
      </c>
      <c r="L15" s="89">
        <v>7600.15</v>
      </c>
      <c r="M15" s="89">
        <f t="shared" si="3"/>
        <v>63963.33333333335</v>
      </c>
      <c r="N15" s="91"/>
      <c r="O15" s="92"/>
      <c r="P15" s="93"/>
      <c r="Q15" s="93"/>
      <c r="R15" s="93"/>
      <c r="S15" s="93"/>
      <c r="T15" s="93"/>
      <c r="U15" s="94">
        <f t="shared" si="4"/>
        <v>0</v>
      </c>
      <c r="W15" s="50">
        <f t="shared" si="5"/>
        <v>0</v>
      </c>
      <c r="X15" s="95">
        <f t="shared" si="6"/>
        <v>0</v>
      </c>
      <c r="Y15" s="94">
        <f t="shared" si="7"/>
        <v>0</v>
      </c>
      <c r="Z15" s="50">
        <f t="shared" si="8"/>
        <v>0</v>
      </c>
      <c r="AA15" s="50">
        <f t="shared" si="9"/>
        <v>0</v>
      </c>
      <c r="AB15" s="50">
        <f t="shared" si="10"/>
        <v>0</v>
      </c>
      <c r="AC15" s="50">
        <f t="shared" si="11"/>
        <v>0</v>
      </c>
      <c r="AD15" s="50">
        <f t="shared" si="12"/>
        <v>0</v>
      </c>
      <c r="AF15" s="94">
        <f t="shared" si="13"/>
        <v>0</v>
      </c>
      <c r="AH15" s="95">
        <f t="shared" si="14"/>
        <v>0</v>
      </c>
      <c r="AI15" s="94">
        <f t="shared" si="15"/>
        <v>0</v>
      </c>
      <c r="AK15" s="95">
        <f t="shared" si="16"/>
        <v>0</v>
      </c>
      <c r="AO15" s="94">
        <f t="shared" si="17"/>
        <v>0</v>
      </c>
      <c r="AP15" s="95">
        <f t="shared" si="18"/>
        <v>0</v>
      </c>
      <c r="AQ15" s="96" t="str">
        <f t="shared" si="19"/>
        <v/>
      </c>
      <c r="AR15" s="94">
        <f t="shared" si="20"/>
        <v>0</v>
      </c>
      <c r="AT15" s="97">
        <f t="shared" si="21"/>
        <v>0</v>
      </c>
      <c r="AU15" s="94">
        <f t="shared" si="22"/>
        <v>0</v>
      </c>
      <c r="AW15" s="95">
        <f t="shared" si="23"/>
        <v>0</v>
      </c>
      <c r="AX15" s="94">
        <f t="shared" si="24"/>
        <v>0</v>
      </c>
      <c r="AZ15" s="95">
        <f t="shared" si="25"/>
        <v>0</v>
      </c>
      <c r="BA15" s="94">
        <f t="shared" si="26"/>
        <v>0</v>
      </c>
      <c r="BC15" s="95">
        <f t="shared" si="27"/>
        <v>0</v>
      </c>
      <c r="BD15" s="94">
        <f t="shared" si="28"/>
        <v>0</v>
      </c>
      <c r="BE15" s="50"/>
      <c r="BF15" s="95"/>
    </row>
    <row r="16" spans="1:58" ht="15" customHeight="1" x14ac:dyDescent="0.2">
      <c r="A16" s="437"/>
      <c r="B16" s="150" t="s">
        <v>194</v>
      </c>
      <c r="C16" s="85" t="s">
        <v>137</v>
      </c>
      <c r="D16" s="86" t="s">
        <v>213</v>
      </c>
      <c r="E16" s="87"/>
      <c r="F16" s="88">
        <v>129333.33333333299</v>
      </c>
      <c r="G16" s="89">
        <v>5000</v>
      </c>
      <c r="H16" s="90">
        <f t="shared" si="0"/>
        <v>129333.33333333299</v>
      </c>
      <c r="I16" s="89">
        <v>5000</v>
      </c>
      <c r="J16" s="89">
        <f t="shared" si="1"/>
        <v>7759.9999999999791</v>
      </c>
      <c r="K16" s="89">
        <f t="shared" si="2"/>
        <v>3233.3333333333248</v>
      </c>
      <c r="L16" s="89">
        <v>7600.15</v>
      </c>
      <c r="M16" s="89">
        <f t="shared" si="3"/>
        <v>83286.666666666453</v>
      </c>
      <c r="N16" s="91"/>
      <c r="O16" s="92"/>
      <c r="P16" s="93"/>
      <c r="Q16" s="93"/>
      <c r="R16" s="93"/>
      <c r="S16" s="93"/>
      <c r="T16" s="93"/>
      <c r="U16" s="94">
        <f t="shared" si="4"/>
        <v>0</v>
      </c>
      <c r="W16" s="50">
        <f t="shared" si="5"/>
        <v>0</v>
      </c>
      <c r="X16" s="95">
        <f t="shared" si="6"/>
        <v>0</v>
      </c>
      <c r="Y16" s="94">
        <f t="shared" si="7"/>
        <v>0</v>
      </c>
      <c r="Z16" s="50">
        <f t="shared" si="8"/>
        <v>0</v>
      </c>
      <c r="AA16" s="50">
        <f t="shared" si="9"/>
        <v>0</v>
      </c>
      <c r="AB16" s="50">
        <f t="shared" si="10"/>
        <v>0</v>
      </c>
      <c r="AC16" s="50">
        <f t="shared" si="11"/>
        <v>0</v>
      </c>
      <c r="AD16" s="50">
        <f t="shared" si="12"/>
        <v>0</v>
      </c>
      <c r="AF16" s="94">
        <f t="shared" si="13"/>
        <v>0</v>
      </c>
      <c r="AH16" s="95">
        <f t="shared" si="14"/>
        <v>0</v>
      </c>
      <c r="AI16" s="94">
        <f t="shared" si="15"/>
        <v>0</v>
      </c>
      <c r="AK16" s="95">
        <f t="shared" si="16"/>
        <v>0</v>
      </c>
      <c r="AO16" s="94">
        <f t="shared" si="17"/>
        <v>0</v>
      </c>
      <c r="AP16" s="95">
        <f t="shared" si="18"/>
        <v>0</v>
      </c>
      <c r="AQ16" s="96" t="str">
        <f t="shared" si="19"/>
        <v/>
      </c>
      <c r="AR16" s="94">
        <f t="shared" si="20"/>
        <v>0</v>
      </c>
      <c r="AT16" s="97">
        <f t="shared" si="21"/>
        <v>0</v>
      </c>
      <c r="AU16" s="94">
        <f t="shared" si="22"/>
        <v>0</v>
      </c>
      <c r="AW16" s="95">
        <f t="shared" si="23"/>
        <v>0</v>
      </c>
      <c r="AX16" s="94">
        <f t="shared" si="24"/>
        <v>0</v>
      </c>
      <c r="AZ16" s="95">
        <f t="shared" si="25"/>
        <v>0</v>
      </c>
      <c r="BA16" s="94">
        <f t="shared" si="26"/>
        <v>0</v>
      </c>
      <c r="BC16" s="95">
        <f t="shared" si="27"/>
        <v>0</v>
      </c>
      <c r="BD16" s="94">
        <f t="shared" si="28"/>
        <v>0</v>
      </c>
      <c r="BE16" s="50"/>
      <c r="BF16" s="95"/>
    </row>
    <row r="17" spans="1:58" ht="15" customHeight="1" x14ac:dyDescent="0.2">
      <c r="A17" s="437"/>
      <c r="B17" s="152" t="s">
        <v>163</v>
      </c>
      <c r="C17" s="85" t="s">
        <v>137</v>
      </c>
      <c r="D17" s="86" t="s">
        <v>213</v>
      </c>
      <c r="E17" s="87">
        <v>0.2</v>
      </c>
      <c r="F17" s="88">
        <v>137916.66666666701</v>
      </c>
      <c r="G17" s="89">
        <v>5000</v>
      </c>
      <c r="H17" s="90">
        <f t="shared" si="0"/>
        <v>137916.66666666701</v>
      </c>
      <c r="I17" s="89">
        <v>5000</v>
      </c>
      <c r="J17" s="89">
        <f t="shared" si="1"/>
        <v>8275.00000000002</v>
      </c>
      <c r="K17" s="89">
        <f t="shared" si="2"/>
        <v>3447.9166666666752</v>
      </c>
      <c r="L17" s="89">
        <v>7600.15</v>
      </c>
      <c r="M17" s="89">
        <f t="shared" si="3"/>
        <v>88608.333333333547</v>
      </c>
      <c r="N17" s="91"/>
      <c r="O17" s="92"/>
      <c r="P17" s="93"/>
      <c r="Q17" s="93"/>
      <c r="R17" s="93"/>
      <c r="S17" s="93"/>
      <c r="T17" s="93"/>
      <c r="U17" s="153">
        <f t="shared" si="4"/>
        <v>28583.333333333401</v>
      </c>
      <c r="W17" s="50">
        <f t="shared" si="5"/>
        <v>0</v>
      </c>
      <c r="X17" s="95">
        <f t="shared" si="6"/>
        <v>1000</v>
      </c>
      <c r="Y17" s="94">
        <f t="shared" si="7"/>
        <v>1655.0000000000041</v>
      </c>
      <c r="Z17" s="50">
        <f t="shared" si="8"/>
        <v>0</v>
      </c>
      <c r="AA17" s="50">
        <f t="shared" si="9"/>
        <v>689.58333333333508</v>
      </c>
      <c r="AB17" s="50">
        <f t="shared" si="10"/>
        <v>0</v>
      </c>
      <c r="AC17" s="50">
        <f t="shared" si="11"/>
        <v>1520.03</v>
      </c>
      <c r="AD17" s="50">
        <f t="shared" si="12"/>
        <v>17721.666666666712</v>
      </c>
      <c r="AF17" s="94">
        <f t="shared" si="13"/>
        <v>29985.266666666779</v>
      </c>
      <c r="AH17" s="95">
        <f t="shared" si="14"/>
        <v>5997.053333333356</v>
      </c>
      <c r="AI17" s="94">
        <f t="shared" si="15"/>
        <v>137916.66666666701</v>
      </c>
      <c r="AK17" s="95">
        <f t="shared" si="16"/>
        <v>27583.333333333401</v>
      </c>
      <c r="AO17" s="94">
        <f t="shared" si="17"/>
        <v>110333.3333333336</v>
      </c>
      <c r="AP17" s="95">
        <f t="shared" si="18"/>
        <v>23988.213333333424</v>
      </c>
      <c r="AQ17" s="96">
        <f t="shared" si="19"/>
        <v>0.21741583081571025</v>
      </c>
      <c r="AR17" s="94">
        <f t="shared" si="20"/>
        <v>17721.666666666712</v>
      </c>
      <c r="AT17" s="97">
        <f t="shared" si="21"/>
        <v>17721.666666666712</v>
      </c>
      <c r="AU17" s="94">
        <f t="shared" si="22"/>
        <v>1520.03</v>
      </c>
      <c r="AW17" s="95">
        <f t="shared" si="23"/>
        <v>1520.03</v>
      </c>
      <c r="AX17" s="94">
        <f t="shared" si="24"/>
        <v>1655.0000000000041</v>
      </c>
      <c r="AZ17" s="95">
        <f t="shared" si="25"/>
        <v>1655.0000000000041</v>
      </c>
      <c r="BA17" s="94">
        <f t="shared" si="26"/>
        <v>689.58333333333508</v>
      </c>
      <c r="BC17" s="95">
        <f t="shared" si="27"/>
        <v>689.58333333333508</v>
      </c>
      <c r="BD17" s="94">
        <f t="shared" si="28"/>
        <v>0</v>
      </c>
      <c r="BE17" s="50"/>
      <c r="BF17" s="95"/>
    </row>
    <row r="18" spans="1:58" ht="15" customHeight="1" x14ac:dyDescent="0.2">
      <c r="A18" s="437"/>
      <c r="B18" s="152" t="s">
        <v>205</v>
      </c>
      <c r="C18" s="85" t="s">
        <v>137</v>
      </c>
      <c r="D18" s="86" t="s">
        <v>213</v>
      </c>
      <c r="E18" s="87">
        <v>0.25</v>
      </c>
      <c r="F18" s="88">
        <v>117250</v>
      </c>
      <c r="G18" s="89">
        <v>5000</v>
      </c>
      <c r="H18" s="90">
        <f t="shared" si="0"/>
        <v>117250</v>
      </c>
      <c r="I18" s="89">
        <v>5000</v>
      </c>
      <c r="J18" s="89">
        <f t="shared" si="1"/>
        <v>7035</v>
      </c>
      <c r="K18" s="89">
        <f t="shared" si="2"/>
        <v>2931.25</v>
      </c>
      <c r="L18" s="89">
        <v>7600.15</v>
      </c>
      <c r="M18" s="89">
        <f t="shared" si="3"/>
        <v>75795</v>
      </c>
      <c r="N18" s="91"/>
      <c r="O18" s="92"/>
      <c r="P18" s="93"/>
      <c r="Q18" s="93"/>
      <c r="R18" s="93"/>
      <c r="S18" s="93"/>
      <c r="T18" s="93"/>
      <c r="U18" s="153">
        <f t="shared" si="4"/>
        <v>30562.5</v>
      </c>
      <c r="W18" s="50">
        <f t="shared" si="5"/>
        <v>0</v>
      </c>
      <c r="X18" s="95">
        <f t="shared" si="6"/>
        <v>1250</v>
      </c>
      <c r="Y18" s="94">
        <f t="shared" si="7"/>
        <v>1758.75</v>
      </c>
      <c r="Z18" s="50">
        <f t="shared" si="8"/>
        <v>0</v>
      </c>
      <c r="AA18" s="50">
        <f t="shared" si="9"/>
        <v>732.8125</v>
      </c>
      <c r="AB18" s="50">
        <f t="shared" si="10"/>
        <v>0</v>
      </c>
      <c r="AC18" s="50">
        <f t="shared" si="11"/>
        <v>1900.0374999999999</v>
      </c>
      <c r="AD18" s="50">
        <f t="shared" si="12"/>
        <v>18948.75</v>
      </c>
      <c r="AF18" s="94">
        <f t="shared" si="13"/>
        <v>23888.600000000006</v>
      </c>
      <c r="AH18" s="95">
        <f t="shared" si="14"/>
        <v>5972.1500000000015</v>
      </c>
      <c r="AI18" s="94">
        <f t="shared" si="15"/>
        <v>117250</v>
      </c>
      <c r="AK18" s="95">
        <f t="shared" si="16"/>
        <v>29312.5</v>
      </c>
      <c r="AO18" s="94">
        <f t="shared" si="17"/>
        <v>87937.5</v>
      </c>
      <c r="AP18" s="95">
        <f t="shared" si="18"/>
        <v>17916.450000000004</v>
      </c>
      <c r="AQ18" s="96">
        <f t="shared" si="19"/>
        <v>0.20374072494669515</v>
      </c>
      <c r="AR18" s="94">
        <f t="shared" si="20"/>
        <v>18948.75</v>
      </c>
      <c r="AT18" s="97">
        <f t="shared" si="21"/>
        <v>18948.75</v>
      </c>
      <c r="AU18" s="94">
        <f t="shared" si="22"/>
        <v>1900.0374999999999</v>
      </c>
      <c r="AW18" s="95">
        <f t="shared" si="23"/>
        <v>1900.0374999999999</v>
      </c>
      <c r="AX18" s="94">
        <f t="shared" si="24"/>
        <v>1758.75</v>
      </c>
      <c r="AZ18" s="95">
        <f t="shared" si="25"/>
        <v>1758.75</v>
      </c>
      <c r="BA18" s="94">
        <f t="shared" si="26"/>
        <v>732.8125</v>
      </c>
      <c r="BC18" s="95">
        <f t="shared" si="27"/>
        <v>732.8125</v>
      </c>
      <c r="BD18" s="94">
        <f t="shared" si="28"/>
        <v>0</v>
      </c>
      <c r="BE18" s="50"/>
      <c r="BF18" s="95"/>
    </row>
    <row r="19" spans="1:58" ht="15" customHeight="1" x14ac:dyDescent="0.2">
      <c r="A19" s="437"/>
      <c r="B19" s="152" t="s">
        <v>218</v>
      </c>
      <c r="C19" s="85" t="s">
        <v>137</v>
      </c>
      <c r="D19" s="86" t="s">
        <v>213</v>
      </c>
      <c r="E19" s="87">
        <v>0.2</v>
      </c>
      <c r="F19" s="88">
        <v>102000</v>
      </c>
      <c r="G19" s="89">
        <v>5000</v>
      </c>
      <c r="H19" s="90">
        <f t="shared" si="0"/>
        <v>102000</v>
      </c>
      <c r="I19" s="89">
        <v>5000</v>
      </c>
      <c r="J19" s="89">
        <f t="shared" si="1"/>
        <v>6120</v>
      </c>
      <c r="K19" s="89">
        <f t="shared" si="2"/>
        <v>2550</v>
      </c>
      <c r="L19" s="89">
        <v>7600.15</v>
      </c>
      <c r="M19" s="89">
        <f t="shared" si="3"/>
        <v>66340</v>
      </c>
      <c r="N19" s="91"/>
      <c r="O19" s="92"/>
      <c r="P19" s="93"/>
      <c r="Q19" s="93"/>
      <c r="R19" s="93"/>
      <c r="S19" s="93"/>
      <c r="T19" s="93"/>
      <c r="U19" s="153">
        <f t="shared" si="4"/>
        <v>21400</v>
      </c>
      <c r="W19" s="50">
        <f t="shared" si="5"/>
        <v>0</v>
      </c>
      <c r="X19" s="95">
        <f t="shared" si="6"/>
        <v>1000</v>
      </c>
      <c r="Y19" s="94">
        <f t="shared" si="7"/>
        <v>1224</v>
      </c>
      <c r="Z19" s="50">
        <f t="shared" si="8"/>
        <v>0</v>
      </c>
      <c r="AA19" s="50">
        <f t="shared" si="9"/>
        <v>510</v>
      </c>
      <c r="AB19" s="50">
        <f t="shared" si="10"/>
        <v>0</v>
      </c>
      <c r="AC19" s="50">
        <f t="shared" si="11"/>
        <v>1520.03</v>
      </c>
      <c r="AD19" s="50">
        <f t="shared" si="12"/>
        <v>13268</v>
      </c>
      <c r="AF19" s="94">
        <f t="shared" si="13"/>
        <v>19389.850000000006</v>
      </c>
      <c r="AH19" s="95">
        <f t="shared" si="14"/>
        <v>3877.9700000000012</v>
      </c>
      <c r="AI19" s="94">
        <f t="shared" si="15"/>
        <v>102000</v>
      </c>
      <c r="AK19" s="95">
        <f t="shared" si="16"/>
        <v>20400</v>
      </c>
      <c r="AO19" s="94">
        <f t="shared" si="17"/>
        <v>81600</v>
      </c>
      <c r="AP19" s="95">
        <f t="shared" si="18"/>
        <v>15511.880000000005</v>
      </c>
      <c r="AQ19" s="96">
        <f t="shared" si="19"/>
        <v>0.19009656862745103</v>
      </c>
      <c r="AR19" s="94">
        <f t="shared" si="20"/>
        <v>13268</v>
      </c>
      <c r="AT19" s="97">
        <f t="shared" si="21"/>
        <v>13268</v>
      </c>
      <c r="AU19" s="94">
        <f t="shared" si="22"/>
        <v>1520.03</v>
      </c>
      <c r="AW19" s="95">
        <f t="shared" si="23"/>
        <v>1520.03</v>
      </c>
      <c r="AX19" s="94">
        <f t="shared" si="24"/>
        <v>1224</v>
      </c>
      <c r="AZ19" s="95">
        <f t="shared" si="25"/>
        <v>1224</v>
      </c>
      <c r="BA19" s="94">
        <f t="shared" si="26"/>
        <v>510</v>
      </c>
      <c r="BC19" s="95">
        <f t="shared" si="27"/>
        <v>510</v>
      </c>
      <c r="BD19" s="94">
        <f t="shared" si="28"/>
        <v>0</v>
      </c>
      <c r="BE19" s="50"/>
      <c r="BF19" s="95"/>
    </row>
    <row r="20" spans="1:58" ht="15" customHeight="1" x14ac:dyDescent="0.2">
      <c r="A20" s="437"/>
      <c r="B20" s="152" t="s">
        <v>196</v>
      </c>
      <c r="C20" s="85" t="s">
        <v>137</v>
      </c>
      <c r="D20" s="86" t="s">
        <v>213</v>
      </c>
      <c r="E20" s="87">
        <v>0.2</v>
      </c>
      <c r="F20" s="88">
        <v>118666.66666666701</v>
      </c>
      <c r="G20" s="89">
        <v>5000</v>
      </c>
      <c r="H20" s="90">
        <f t="shared" si="0"/>
        <v>123666.66666666701</v>
      </c>
      <c r="I20" s="89">
        <v>0</v>
      </c>
      <c r="J20" s="89">
        <f t="shared" si="1"/>
        <v>7420.00000000002</v>
      </c>
      <c r="K20" s="89">
        <f t="shared" si="2"/>
        <v>3091.6666666666752</v>
      </c>
      <c r="L20" s="89">
        <v>7600.15</v>
      </c>
      <c r="M20" s="89">
        <f t="shared" si="3"/>
        <v>76673.333333333547</v>
      </c>
      <c r="N20" s="91"/>
      <c r="O20" s="92"/>
      <c r="P20" s="93"/>
      <c r="Q20" s="93"/>
      <c r="R20" s="93"/>
      <c r="S20" s="93"/>
      <c r="T20" s="93"/>
      <c r="U20" s="153">
        <f t="shared" si="4"/>
        <v>24733.333333333401</v>
      </c>
      <c r="W20" s="50">
        <f t="shared" si="5"/>
        <v>0</v>
      </c>
      <c r="X20" s="95">
        <f t="shared" si="6"/>
        <v>0</v>
      </c>
      <c r="Y20" s="94">
        <f t="shared" si="7"/>
        <v>1484.0000000000041</v>
      </c>
      <c r="Z20" s="50">
        <f t="shared" si="8"/>
        <v>0</v>
      </c>
      <c r="AA20" s="50">
        <f t="shared" si="9"/>
        <v>618.33333333333508</v>
      </c>
      <c r="AB20" s="50">
        <f t="shared" si="10"/>
        <v>0</v>
      </c>
      <c r="AC20" s="50">
        <f t="shared" si="11"/>
        <v>1520.03</v>
      </c>
      <c r="AD20" s="50">
        <f t="shared" si="12"/>
        <v>15334.66666666671</v>
      </c>
      <c r="AF20" s="94">
        <f t="shared" si="13"/>
        <v>28881.516666666779</v>
      </c>
      <c r="AH20" s="95">
        <f t="shared" si="14"/>
        <v>5776.303333333356</v>
      </c>
      <c r="AI20" s="94">
        <f t="shared" si="15"/>
        <v>123666.66666666701</v>
      </c>
      <c r="AK20" s="95">
        <f t="shared" si="16"/>
        <v>24733.333333333401</v>
      </c>
      <c r="AO20" s="94">
        <f t="shared" si="17"/>
        <v>98933.333333333605</v>
      </c>
      <c r="AP20" s="95">
        <f t="shared" si="18"/>
        <v>23105.213333333424</v>
      </c>
      <c r="AQ20" s="96">
        <f t="shared" si="19"/>
        <v>0.23354326145552587</v>
      </c>
      <c r="AR20" s="94">
        <f t="shared" si="20"/>
        <v>15334.66666666671</v>
      </c>
      <c r="AT20" s="97">
        <f t="shared" si="21"/>
        <v>15334.66666666671</v>
      </c>
      <c r="AU20" s="94">
        <f t="shared" si="22"/>
        <v>1520.03</v>
      </c>
      <c r="AW20" s="95">
        <f t="shared" si="23"/>
        <v>1520.03</v>
      </c>
      <c r="AX20" s="94">
        <f t="shared" si="24"/>
        <v>1484.0000000000041</v>
      </c>
      <c r="AZ20" s="95">
        <f t="shared" si="25"/>
        <v>1484.0000000000041</v>
      </c>
      <c r="BA20" s="94">
        <f t="shared" si="26"/>
        <v>618.33333333333508</v>
      </c>
      <c r="BC20" s="95">
        <f t="shared" si="27"/>
        <v>618.33333333333508</v>
      </c>
      <c r="BD20" s="94">
        <f t="shared" si="28"/>
        <v>0</v>
      </c>
      <c r="BE20" s="50"/>
      <c r="BF20" s="95"/>
    </row>
    <row r="21" spans="1:58" ht="15" customHeight="1" x14ac:dyDescent="0.2">
      <c r="A21" s="437"/>
      <c r="B21" s="154" t="s">
        <v>197</v>
      </c>
      <c r="C21" s="85" t="s">
        <v>137</v>
      </c>
      <c r="D21" s="86" t="s">
        <v>219</v>
      </c>
      <c r="E21" s="87">
        <f>VLOOKUP(D21,'% avancement'!$E$5:$F$11,2,FALSE())</f>
        <v>0.4</v>
      </c>
      <c r="F21" s="88">
        <v>117916.66666666701</v>
      </c>
      <c r="G21" s="89">
        <v>5000</v>
      </c>
      <c r="H21" s="90">
        <f t="shared" si="0"/>
        <v>117916.66666666701</v>
      </c>
      <c r="I21" s="89">
        <v>5000</v>
      </c>
      <c r="J21" s="89">
        <f t="shared" si="1"/>
        <v>7075.00000000002</v>
      </c>
      <c r="K21" s="89">
        <f t="shared" si="2"/>
        <v>2947.9166666666752</v>
      </c>
      <c r="L21" s="89">
        <v>7600.15</v>
      </c>
      <c r="M21" s="89">
        <f t="shared" si="3"/>
        <v>76208.333333333547</v>
      </c>
      <c r="N21" s="91"/>
      <c r="O21" s="92"/>
      <c r="P21" s="93">
        <v>7121.65</v>
      </c>
      <c r="Q21" s="93">
        <v>1483.68</v>
      </c>
      <c r="R21" s="93"/>
      <c r="S21" s="93"/>
      <c r="T21" s="93"/>
      <c r="U21" s="153">
        <f t="shared" si="4"/>
        <v>49166.666666666802</v>
      </c>
      <c r="W21" s="50">
        <f t="shared" si="5"/>
        <v>0</v>
      </c>
      <c r="X21" s="95">
        <f t="shared" si="6"/>
        <v>2000</v>
      </c>
      <c r="Y21" s="94">
        <f t="shared" si="7"/>
        <v>0</v>
      </c>
      <c r="Z21" s="50">
        <f t="shared" si="8"/>
        <v>4272.99</v>
      </c>
      <c r="AA21" s="50">
        <f t="shared" si="9"/>
        <v>0</v>
      </c>
      <c r="AB21" s="50">
        <f t="shared" si="10"/>
        <v>890.20799999999997</v>
      </c>
      <c r="AC21" s="50">
        <f t="shared" si="11"/>
        <v>3040.06</v>
      </c>
      <c r="AD21" s="50">
        <f t="shared" si="12"/>
        <v>30483.333333333419</v>
      </c>
      <c r="AF21" s="94">
        <f t="shared" si="13"/>
        <v>24085.266666666779</v>
      </c>
      <c r="AH21" s="95">
        <f t="shared" si="14"/>
        <v>9634.106666666712</v>
      </c>
      <c r="AI21" s="94">
        <f t="shared" si="15"/>
        <v>117916.66666666701</v>
      </c>
      <c r="AK21" s="95">
        <f t="shared" si="16"/>
        <v>47166.666666666802</v>
      </c>
      <c r="AO21" s="94">
        <f t="shared" si="17"/>
        <v>70750.000000000204</v>
      </c>
      <c r="AP21" s="95">
        <f t="shared" si="18"/>
        <v>14451.160000000067</v>
      </c>
      <c r="AQ21" s="96">
        <f t="shared" si="19"/>
        <v>0.20425667844523004</v>
      </c>
      <c r="AR21" s="94">
        <f t="shared" si="20"/>
        <v>30483.333333333419</v>
      </c>
      <c r="AT21" s="97">
        <f t="shared" si="21"/>
        <v>30483.333333333419</v>
      </c>
      <c r="AU21" s="94">
        <f t="shared" si="22"/>
        <v>3040.06</v>
      </c>
      <c r="AW21" s="95">
        <f t="shared" si="23"/>
        <v>3040.06</v>
      </c>
      <c r="AX21" s="94">
        <f t="shared" si="24"/>
        <v>2848.66</v>
      </c>
      <c r="AZ21" s="95">
        <f t="shared" si="25"/>
        <v>2848.66</v>
      </c>
      <c r="BA21" s="94">
        <f t="shared" si="26"/>
        <v>593.47200000000009</v>
      </c>
      <c r="BC21" s="95">
        <f t="shared" si="27"/>
        <v>593.47200000000009</v>
      </c>
      <c r="BD21" s="94">
        <f t="shared" si="28"/>
        <v>0</v>
      </c>
      <c r="BE21" s="50"/>
      <c r="BF21" s="95"/>
    </row>
    <row r="22" spans="1:58" ht="15" customHeight="1" x14ac:dyDescent="0.2">
      <c r="A22" s="437"/>
      <c r="B22" s="154" t="s">
        <v>198</v>
      </c>
      <c r="C22" s="85" t="s">
        <v>137</v>
      </c>
      <c r="D22" s="86" t="s">
        <v>219</v>
      </c>
      <c r="E22" s="87">
        <f>VLOOKUP(D22,'% avancement'!$E$5:$F$11,2,FALSE())</f>
        <v>0.4</v>
      </c>
      <c r="F22" s="88">
        <v>135750</v>
      </c>
      <c r="G22" s="89">
        <v>5000</v>
      </c>
      <c r="H22" s="90">
        <f t="shared" si="0"/>
        <v>135750</v>
      </c>
      <c r="I22" s="89">
        <v>5000</v>
      </c>
      <c r="J22" s="89">
        <f t="shared" si="1"/>
        <v>8145</v>
      </c>
      <c r="K22" s="89">
        <f t="shared" si="2"/>
        <v>3393.75</v>
      </c>
      <c r="L22" s="89">
        <v>7600.15</v>
      </c>
      <c r="M22" s="89">
        <f t="shared" si="3"/>
        <v>87265</v>
      </c>
      <c r="N22" s="91"/>
      <c r="O22" s="92"/>
      <c r="P22" s="93"/>
      <c r="Q22" s="93"/>
      <c r="R22" s="93"/>
      <c r="S22" s="93"/>
      <c r="T22" s="93">
        <v>6000</v>
      </c>
      <c r="U22" s="153">
        <f t="shared" si="4"/>
        <v>56300</v>
      </c>
      <c r="W22" s="50">
        <f t="shared" si="5"/>
        <v>0</v>
      </c>
      <c r="X22" s="95">
        <f t="shared" si="6"/>
        <v>2000</v>
      </c>
      <c r="Y22" s="94">
        <f t="shared" si="7"/>
        <v>3258</v>
      </c>
      <c r="Z22" s="50">
        <f t="shared" si="8"/>
        <v>0</v>
      </c>
      <c r="AA22" s="50">
        <f t="shared" si="9"/>
        <v>1357.5</v>
      </c>
      <c r="AB22" s="50">
        <f t="shared" si="10"/>
        <v>0</v>
      </c>
      <c r="AC22" s="50">
        <f t="shared" si="11"/>
        <v>3040.06</v>
      </c>
      <c r="AD22" s="50">
        <f t="shared" si="12"/>
        <v>34906</v>
      </c>
      <c r="AF22" s="94">
        <f t="shared" si="13"/>
        <v>29346.100000000006</v>
      </c>
      <c r="AH22" s="95">
        <f t="shared" si="14"/>
        <v>11738.440000000002</v>
      </c>
      <c r="AI22" s="94">
        <f t="shared" si="15"/>
        <v>135750</v>
      </c>
      <c r="AK22" s="95">
        <f t="shared" si="16"/>
        <v>54300</v>
      </c>
      <c r="AO22" s="94">
        <f t="shared" si="17"/>
        <v>81450</v>
      </c>
      <c r="AP22" s="95">
        <f t="shared" si="18"/>
        <v>17607.660000000003</v>
      </c>
      <c r="AQ22" s="96">
        <f t="shared" si="19"/>
        <v>0.216177532228361</v>
      </c>
      <c r="AR22" s="94">
        <f t="shared" si="20"/>
        <v>34906</v>
      </c>
      <c r="AT22" s="97">
        <f t="shared" si="21"/>
        <v>34906</v>
      </c>
      <c r="AU22" s="94">
        <f t="shared" si="22"/>
        <v>3040.06</v>
      </c>
      <c r="AW22" s="95">
        <f t="shared" si="23"/>
        <v>3040.06</v>
      </c>
      <c r="AX22" s="94">
        <f t="shared" si="24"/>
        <v>3258</v>
      </c>
      <c r="AZ22" s="95">
        <f t="shared" si="25"/>
        <v>3258</v>
      </c>
      <c r="BA22" s="94">
        <f t="shared" si="26"/>
        <v>1357.5</v>
      </c>
      <c r="BC22" s="95">
        <f t="shared" si="27"/>
        <v>1357.5</v>
      </c>
      <c r="BD22" s="94">
        <f t="shared" si="28"/>
        <v>0</v>
      </c>
      <c r="BE22" s="50"/>
      <c r="BF22" s="95"/>
    </row>
    <row r="23" spans="1:58" ht="15" customHeight="1" x14ac:dyDescent="0.2">
      <c r="A23" s="437"/>
      <c r="B23" s="144" t="s">
        <v>199</v>
      </c>
      <c r="C23" s="85" t="s">
        <v>137</v>
      </c>
      <c r="D23" s="86" t="s">
        <v>219</v>
      </c>
      <c r="E23" s="87">
        <f>VLOOKUP(D23,'% avancement'!$E$5:$F$11,2,FALSE())</f>
        <v>0.4</v>
      </c>
      <c r="F23" s="98">
        <v>119002</v>
      </c>
      <c r="G23" s="99">
        <v>5723</v>
      </c>
      <c r="H23" s="99">
        <f t="shared" si="0"/>
        <v>119725</v>
      </c>
      <c r="I23" s="99">
        <v>5000</v>
      </c>
      <c r="J23" s="99">
        <v>6818.33</v>
      </c>
      <c r="K23" s="99">
        <v>1420.83</v>
      </c>
      <c r="L23" s="99">
        <v>7600.15</v>
      </c>
      <c r="M23" s="89">
        <f t="shared" si="3"/>
        <v>77329.5</v>
      </c>
      <c r="N23" s="91">
        <v>6000</v>
      </c>
      <c r="O23" s="145"/>
      <c r="P23" s="146">
        <v>6818.33</v>
      </c>
      <c r="Q23" s="146">
        <v>1420.83</v>
      </c>
      <c r="R23" s="146"/>
      <c r="S23" s="146"/>
      <c r="T23" s="109">
        <v>6000</v>
      </c>
      <c r="U23" s="153">
        <f t="shared" si="4"/>
        <v>49890</v>
      </c>
      <c r="W23" s="155">
        <f t="shared" si="5"/>
        <v>0</v>
      </c>
      <c r="X23" s="95">
        <f t="shared" si="6"/>
        <v>2000</v>
      </c>
      <c r="Y23" s="94">
        <f t="shared" si="7"/>
        <v>0</v>
      </c>
      <c r="Z23" s="50">
        <f t="shared" si="8"/>
        <v>4090.9979999999996</v>
      </c>
      <c r="AA23" s="50">
        <f t="shared" si="9"/>
        <v>0</v>
      </c>
      <c r="AB23" s="50">
        <f t="shared" si="10"/>
        <v>852.49799999999993</v>
      </c>
      <c r="AC23" s="50">
        <f t="shared" si="11"/>
        <v>3040.06</v>
      </c>
      <c r="AD23" s="50">
        <f t="shared" si="12"/>
        <v>30931.800000000003</v>
      </c>
      <c r="AF23" s="94">
        <f t="shared" si="13"/>
        <v>20556.190000000002</v>
      </c>
      <c r="AH23" s="95">
        <f t="shared" si="14"/>
        <v>8222.4760000000006</v>
      </c>
      <c r="AI23" s="94">
        <f t="shared" si="15"/>
        <v>119725</v>
      </c>
      <c r="AK23" s="95">
        <f t="shared" si="16"/>
        <v>47890</v>
      </c>
      <c r="AO23" s="94">
        <f t="shared" si="17"/>
        <v>71835</v>
      </c>
      <c r="AP23" s="95">
        <f t="shared" si="18"/>
        <v>12333.714000000002</v>
      </c>
      <c r="AQ23" s="96">
        <f t="shared" si="19"/>
        <v>0.17169505115890585</v>
      </c>
      <c r="AR23" s="94">
        <f t="shared" si="20"/>
        <v>30931.800000000003</v>
      </c>
      <c r="AT23" s="97">
        <f t="shared" si="21"/>
        <v>30931.800000000003</v>
      </c>
      <c r="AU23" s="94">
        <f t="shared" si="22"/>
        <v>3040.06</v>
      </c>
      <c r="AW23" s="95">
        <f t="shared" si="23"/>
        <v>3040.06</v>
      </c>
      <c r="AX23" s="94">
        <f t="shared" si="24"/>
        <v>2727.3320000000003</v>
      </c>
      <c r="AZ23" s="95">
        <f t="shared" si="25"/>
        <v>2727.3320000000003</v>
      </c>
      <c r="BA23" s="94">
        <f t="shared" si="26"/>
        <v>568.33199999999999</v>
      </c>
      <c r="BC23" s="95">
        <f t="shared" si="27"/>
        <v>568.33199999999999</v>
      </c>
      <c r="BD23" s="94">
        <f t="shared" si="28"/>
        <v>2400</v>
      </c>
      <c r="BE23" s="50"/>
      <c r="BF23" s="95">
        <f>+BD23-BE23</f>
        <v>2400</v>
      </c>
    </row>
    <row r="24" spans="1:58" ht="15" customHeight="1" x14ac:dyDescent="0.2">
      <c r="A24" s="437"/>
      <c r="B24" s="144" t="s">
        <v>200</v>
      </c>
      <c r="C24" s="85" t="s">
        <v>137</v>
      </c>
      <c r="D24" s="86" t="s">
        <v>220</v>
      </c>
      <c r="E24" s="87">
        <f>VLOOKUP(D24,'% avancement'!$E$5:$F$11,2,FALSE())</f>
        <v>0.8</v>
      </c>
      <c r="F24" s="147">
        <v>120621.96</v>
      </c>
      <c r="G24" s="148">
        <v>6664.41</v>
      </c>
      <c r="H24" s="148">
        <f>120622-I24</f>
        <v>115622</v>
      </c>
      <c r="I24" s="148">
        <v>5000</v>
      </c>
      <c r="J24" s="148">
        <f>8187/1.2</f>
        <v>6822.5</v>
      </c>
      <c r="K24" s="148">
        <f>1706/1.2</f>
        <v>1421.6666666666667</v>
      </c>
      <c r="L24" s="148">
        <v>7600.15</v>
      </c>
      <c r="M24" s="99">
        <v>70635.11</v>
      </c>
      <c r="N24" s="91">
        <v>6000</v>
      </c>
      <c r="O24" s="145">
        <v>5000</v>
      </c>
      <c r="P24" s="146">
        <v>6822.5</v>
      </c>
      <c r="Q24" s="146">
        <v>1421.6666666666699</v>
      </c>
      <c r="R24" s="146"/>
      <c r="S24" s="146"/>
      <c r="T24" s="109">
        <v>6000</v>
      </c>
      <c r="U24" s="153">
        <f t="shared" si="4"/>
        <v>96497.600000000006</v>
      </c>
      <c r="W24" s="156">
        <f t="shared" si="5"/>
        <v>999.99999999999977</v>
      </c>
      <c r="X24" s="95">
        <f t="shared" si="6"/>
        <v>0</v>
      </c>
      <c r="Y24" s="94">
        <f t="shared" si="7"/>
        <v>0</v>
      </c>
      <c r="Z24" s="50">
        <f t="shared" si="8"/>
        <v>1364.4999999999998</v>
      </c>
      <c r="AA24" s="50">
        <f t="shared" si="9"/>
        <v>0</v>
      </c>
      <c r="AB24" s="50">
        <f t="shared" si="10"/>
        <v>284.33333333333394</v>
      </c>
      <c r="AC24" s="50">
        <f t="shared" si="11"/>
        <v>6080.12</v>
      </c>
      <c r="AD24" s="50">
        <f t="shared" si="12"/>
        <v>56508.088000000003</v>
      </c>
      <c r="AF24" s="94">
        <f t="shared" si="13"/>
        <v>23142.573333333334</v>
      </c>
      <c r="AH24" s="95">
        <f t="shared" si="14"/>
        <v>18514.058666666668</v>
      </c>
      <c r="AI24" s="94">
        <f t="shared" si="15"/>
        <v>115622</v>
      </c>
      <c r="AK24" s="95">
        <f t="shared" si="16"/>
        <v>92497.600000000006</v>
      </c>
      <c r="AO24" s="94">
        <f t="shared" si="17"/>
        <v>23124.399999999994</v>
      </c>
      <c r="AP24" s="95">
        <f t="shared" si="18"/>
        <v>4628.514666666666</v>
      </c>
      <c r="AQ24" s="96">
        <f t="shared" si="19"/>
        <v>0.2001571788529288</v>
      </c>
      <c r="AR24" s="94">
        <f t="shared" si="20"/>
        <v>56508.088000000003</v>
      </c>
      <c r="AT24" s="97">
        <f t="shared" si="21"/>
        <v>56508.088000000003</v>
      </c>
      <c r="AU24" s="94">
        <f t="shared" si="22"/>
        <v>6080.12</v>
      </c>
      <c r="AW24" s="95">
        <f t="shared" si="23"/>
        <v>6080.12</v>
      </c>
      <c r="AX24" s="94">
        <f t="shared" si="24"/>
        <v>5458</v>
      </c>
      <c r="AZ24" s="95">
        <f t="shared" si="25"/>
        <v>5458</v>
      </c>
      <c r="BA24" s="94">
        <f t="shared" si="26"/>
        <v>1137.333333333336</v>
      </c>
      <c r="BC24" s="95">
        <f t="shared" si="27"/>
        <v>1137.333333333336</v>
      </c>
      <c r="BD24" s="94">
        <f t="shared" si="28"/>
        <v>4800</v>
      </c>
      <c r="BE24" s="50"/>
      <c r="BF24" s="95">
        <f>+BD24-BE24</f>
        <v>4800</v>
      </c>
    </row>
    <row r="25" spans="1:58" ht="15" customHeight="1" x14ac:dyDescent="0.2">
      <c r="A25" s="437"/>
      <c r="B25" s="144" t="s">
        <v>202</v>
      </c>
      <c r="C25" s="85" t="s">
        <v>137</v>
      </c>
      <c r="D25" s="86" t="s">
        <v>219</v>
      </c>
      <c r="E25" s="87">
        <f>VLOOKUP(D25,'% avancement'!$E$5:$F$11,2,FALSE())</f>
        <v>0.4</v>
      </c>
      <c r="F25" s="147">
        <f>+H25-G25</f>
        <v>132500.65333333335</v>
      </c>
      <c r="G25" s="148">
        <f>7658/1.2</f>
        <v>6381.666666666667</v>
      </c>
      <c r="H25" s="148">
        <v>138882.32</v>
      </c>
      <c r="I25" s="148">
        <v>5000</v>
      </c>
      <c r="J25" s="99">
        <v>7867.5</v>
      </c>
      <c r="K25" s="99">
        <v>1639.15</v>
      </c>
      <c r="L25" s="99">
        <v>7600.15</v>
      </c>
      <c r="M25" s="99">
        <v>87259</v>
      </c>
      <c r="N25" s="91">
        <v>6000</v>
      </c>
      <c r="O25" s="145"/>
      <c r="P25" s="146">
        <v>7867.5</v>
      </c>
      <c r="Q25" s="146">
        <v>1639.15</v>
      </c>
      <c r="R25" s="146"/>
      <c r="S25" s="146"/>
      <c r="T25" s="109">
        <v>6000</v>
      </c>
      <c r="U25" s="153">
        <f t="shared" si="4"/>
        <v>57552.928000000007</v>
      </c>
      <c r="W25" s="155">
        <f t="shared" si="5"/>
        <v>0</v>
      </c>
      <c r="X25" s="95">
        <f t="shared" si="6"/>
        <v>2000</v>
      </c>
      <c r="Y25" s="94">
        <f t="shared" si="7"/>
        <v>0</v>
      </c>
      <c r="Z25" s="50">
        <f t="shared" si="8"/>
        <v>4720.5</v>
      </c>
      <c r="AA25" s="50">
        <f t="shared" si="9"/>
        <v>0</v>
      </c>
      <c r="AB25" s="50">
        <f t="shared" si="10"/>
        <v>983.49</v>
      </c>
      <c r="AC25" s="50">
        <f t="shared" si="11"/>
        <v>3040.06</v>
      </c>
      <c r="AD25" s="50">
        <f t="shared" si="12"/>
        <v>34903.599999999999</v>
      </c>
      <c r="AF25" s="94">
        <f t="shared" si="13"/>
        <v>28516.520000000019</v>
      </c>
      <c r="AH25" s="95">
        <f t="shared" si="14"/>
        <v>11406.608000000007</v>
      </c>
      <c r="AI25" s="94">
        <f t="shared" si="15"/>
        <v>138882.32</v>
      </c>
      <c r="AK25" s="95">
        <f t="shared" si="16"/>
        <v>55552.928000000007</v>
      </c>
      <c r="AO25" s="94">
        <f t="shared" si="17"/>
        <v>83329.391999999993</v>
      </c>
      <c r="AP25" s="95">
        <f t="shared" si="18"/>
        <v>17109.912000000011</v>
      </c>
      <c r="AQ25" s="96">
        <f t="shared" si="19"/>
        <v>0.20532865522407759</v>
      </c>
      <c r="AR25" s="94">
        <f t="shared" si="20"/>
        <v>34903.599999999999</v>
      </c>
      <c r="AT25" s="97">
        <f t="shared" si="21"/>
        <v>34903.599999999999</v>
      </c>
      <c r="AU25" s="94">
        <f t="shared" si="22"/>
        <v>3040.06</v>
      </c>
      <c r="AW25" s="95">
        <f t="shared" si="23"/>
        <v>3040.06</v>
      </c>
      <c r="AX25" s="94">
        <f t="shared" si="24"/>
        <v>3147</v>
      </c>
      <c r="AZ25" s="95">
        <f t="shared" si="25"/>
        <v>3147</v>
      </c>
      <c r="BA25" s="94">
        <f t="shared" si="26"/>
        <v>655.66000000000008</v>
      </c>
      <c r="BC25" s="95">
        <f t="shared" si="27"/>
        <v>655.66000000000008</v>
      </c>
      <c r="BD25" s="94">
        <f t="shared" si="28"/>
        <v>2400</v>
      </c>
      <c r="BE25" s="50"/>
      <c r="BF25" s="95">
        <f>+BD25-BE25</f>
        <v>2400</v>
      </c>
    </row>
    <row r="26" spans="1:58" ht="15" customHeight="1" x14ac:dyDescent="0.2">
      <c r="A26" s="437"/>
      <c r="B26" s="144" t="s">
        <v>207</v>
      </c>
      <c r="C26" s="85" t="s">
        <v>137</v>
      </c>
      <c r="D26" s="86" t="s">
        <v>220</v>
      </c>
      <c r="E26" s="87">
        <f>VLOOKUP(D26,'% avancement'!$E$5:$F$11,2,FALSE())</f>
        <v>0.8</v>
      </c>
      <c r="F26" s="98">
        <v>122642.29</v>
      </c>
      <c r="G26" s="99">
        <v>8687.59</v>
      </c>
      <c r="H26" s="99">
        <f>122642-I26</f>
        <v>117642</v>
      </c>
      <c r="I26" s="99">
        <f>6000/1.2</f>
        <v>5000</v>
      </c>
      <c r="J26" s="99">
        <f>8322.18/1.2</f>
        <v>6935.1500000000005</v>
      </c>
      <c r="K26" s="99">
        <f>1733.78/1.2</f>
        <v>1444.8166666666666</v>
      </c>
      <c r="L26" s="99">
        <v>7600</v>
      </c>
      <c r="M26" s="99">
        <v>70635</v>
      </c>
      <c r="N26" s="91">
        <v>6000</v>
      </c>
      <c r="O26" s="145">
        <v>5000</v>
      </c>
      <c r="P26" s="146">
        <v>6935.15</v>
      </c>
      <c r="Q26" s="146">
        <v>1444.81666666667</v>
      </c>
      <c r="R26" s="146"/>
      <c r="S26" s="146"/>
      <c r="T26" s="109">
        <v>6000</v>
      </c>
      <c r="U26" s="153">
        <f t="shared" si="4"/>
        <v>98113.600000000006</v>
      </c>
      <c r="W26" s="156">
        <f t="shared" si="5"/>
        <v>999.99999999999977</v>
      </c>
      <c r="X26" s="95">
        <f t="shared" si="6"/>
        <v>0</v>
      </c>
      <c r="Y26" s="94">
        <f t="shared" si="7"/>
        <v>0</v>
      </c>
      <c r="Z26" s="50">
        <f t="shared" si="8"/>
        <v>1387.0299999999995</v>
      </c>
      <c r="AA26" s="50">
        <f t="shared" si="9"/>
        <v>0</v>
      </c>
      <c r="AB26" s="50">
        <f t="shared" si="10"/>
        <v>288.96333333333394</v>
      </c>
      <c r="AC26" s="50">
        <f t="shared" si="11"/>
        <v>6080</v>
      </c>
      <c r="AD26" s="50">
        <f t="shared" si="12"/>
        <v>56508</v>
      </c>
      <c r="AF26" s="94">
        <f t="shared" si="13"/>
        <v>25027.03333333334</v>
      </c>
      <c r="AH26" s="95">
        <f t="shared" si="14"/>
        <v>20021.626666666674</v>
      </c>
      <c r="AI26" s="94">
        <f t="shared" si="15"/>
        <v>117642</v>
      </c>
      <c r="AK26" s="95">
        <f t="shared" si="16"/>
        <v>94113.600000000006</v>
      </c>
      <c r="AO26" s="94">
        <f t="shared" si="17"/>
        <v>23528.399999999994</v>
      </c>
      <c r="AP26" s="95">
        <f t="shared" si="18"/>
        <v>5005.4066666666658</v>
      </c>
      <c r="AQ26" s="96">
        <f t="shared" si="19"/>
        <v>0.21273893110737102</v>
      </c>
      <c r="AR26" s="94">
        <f t="shared" si="20"/>
        <v>56508</v>
      </c>
      <c r="AT26" s="97">
        <f t="shared" si="21"/>
        <v>56508</v>
      </c>
      <c r="AU26" s="94">
        <f t="shared" si="22"/>
        <v>6080</v>
      </c>
      <c r="AW26" s="95">
        <f t="shared" si="23"/>
        <v>6080</v>
      </c>
      <c r="AX26" s="94">
        <f t="shared" si="24"/>
        <v>5548.12</v>
      </c>
      <c r="AZ26" s="95">
        <f t="shared" si="25"/>
        <v>5548.12</v>
      </c>
      <c r="BA26" s="94">
        <f t="shared" si="26"/>
        <v>1155.8533333333362</v>
      </c>
      <c r="BC26" s="95">
        <f t="shared" si="27"/>
        <v>1155.8533333333362</v>
      </c>
      <c r="BD26" s="94">
        <f t="shared" si="28"/>
        <v>4800</v>
      </c>
      <c r="BE26" s="50"/>
      <c r="BF26" s="95">
        <f>+BD26-BE26</f>
        <v>4800</v>
      </c>
    </row>
    <row r="27" spans="1:58" ht="15" customHeight="1" x14ac:dyDescent="0.2">
      <c r="A27" s="437"/>
      <c r="B27" s="144" t="s">
        <v>208</v>
      </c>
      <c r="C27" s="85" t="s">
        <v>137</v>
      </c>
      <c r="D27" s="86" t="s">
        <v>221</v>
      </c>
      <c r="E27" s="87">
        <f>VLOOKUP(D27,'% avancement'!$E$5:$F$11,2,FALSE())</f>
        <v>0.6</v>
      </c>
      <c r="F27" s="98">
        <v>133649</v>
      </c>
      <c r="G27" s="99">
        <f>10474/1.2</f>
        <v>8728.3333333333339</v>
      </c>
      <c r="H27" s="99">
        <f>133650-I27</f>
        <v>128650</v>
      </c>
      <c r="I27" s="99">
        <v>5000</v>
      </c>
      <c r="J27" s="99">
        <v>7668</v>
      </c>
      <c r="K27" s="99">
        <v>1597.5</v>
      </c>
      <c r="L27" s="99">
        <v>7600.15</v>
      </c>
      <c r="M27" s="99">
        <v>81747</v>
      </c>
      <c r="N27" s="91">
        <v>6000</v>
      </c>
      <c r="O27" s="145">
        <v>5000</v>
      </c>
      <c r="P27" s="146">
        <v>7668</v>
      </c>
      <c r="Q27" s="146">
        <v>1597.5</v>
      </c>
      <c r="R27" s="146"/>
      <c r="S27" s="146"/>
      <c r="T27" s="109">
        <v>6000</v>
      </c>
      <c r="U27" s="153">
        <f t="shared" si="4"/>
        <v>80190</v>
      </c>
      <c r="W27" s="156">
        <f t="shared" si="5"/>
        <v>2000</v>
      </c>
      <c r="X27" s="95">
        <f t="shared" si="6"/>
        <v>0</v>
      </c>
      <c r="Y27" s="94">
        <f t="shared" si="7"/>
        <v>0</v>
      </c>
      <c r="Z27" s="50">
        <f t="shared" si="8"/>
        <v>3067.2000000000003</v>
      </c>
      <c r="AA27" s="50">
        <f t="shared" si="9"/>
        <v>0</v>
      </c>
      <c r="AB27" s="50">
        <f t="shared" si="10"/>
        <v>639</v>
      </c>
      <c r="AC27" s="50">
        <f t="shared" si="11"/>
        <v>4560.0899999999992</v>
      </c>
      <c r="AD27" s="50">
        <f t="shared" si="12"/>
        <v>49048.2</v>
      </c>
      <c r="AF27" s="94">
        <f t="shared" si="13"/>
        <v>24037.350000000006</v>
      </c>
      <c r="AH27" s="95">
        <f t="shared" si="14"/>
        <v>14422.410000000003</v>
      </c>
      <c r="AI27" s="94">
        <f t="shared" si="15"/>
        <v>128650</v>
      </c>
      <c r="AK27" s="95">
        <f t="shared" si="16"/>
        <v>77190</v>
      </c>
      <c r="AO27" s="94">
        <f t="shared" si="17"/>
        <v>51460</v>
      </c>
      <c r="AP27" s="95">
        <f t="shared" si="18"/>
        <v>9614.9400000000023</v>
      </c>
      <c r="AQ27" s="96">
        <f t="shared" si="19"/>
        <v>0.18684298484259623</v>
      </c>
      <c r="AR27" s="94">
        <f t="shared" si="20"/>
        <v>49048.2</v>
      </c>
      <c r="AT27" s="97">
        <f t="shared" si="21"/>
        <v>49048.2</v>
      </c>
      <c r="AU27" s="94">
        <f t="shared" si="22"/>
        <v>4560.0899999999992</v>
      </c>
      <c r="AW27" s="95">
        <f t="shared" si="23"/>
        <v>4560.0899999999992</v>
      </c>
      <c r="AX27" s="94">
        <f t="shared" si="24"/>
        <v>4600.7999999999993</v>
      </c>
      <c r="AZ27" s="95">
        <f t="shared" si="25"/>
        <v>4600.7999999999993</v>
      </c>
      <c r="BA27" s="94">
        <f t="shared" si="26"/>
        <v>958.5</v>
      </c>
      <c r="BC27" s="95">
        <f t="shared" si="27"/>
        <v>958.5</v>
      </c>
      <c r="BD27" s="94">
        <f t="shared" si="28"/>
        <v>3600</v>
      </c>
      <c r="BE27" s="50"/>
      <c r="BF27" s="95">
        <f>+BD27-BE27</f>
        <v>3600</v>
      </c>
    </row>
    <row r="28" spans="1:58" ht="13.5" customHeight="1" x14ac:dyDescent="0.2">
      <c r="A28" s="110"/>
      <c r="B28" s="101">
        <f>+ROWS(B3:B27)</f>
        <v>25</v>
      </c>
      <c r="C28" s="102"/>
      <c r="D28" s="103"/>
      <c r="E28" s="101"/>
      <c r="F28" s="104"/>
      <c r="G28" s="105"/>
      <c r="H28" s="105"/>
      <c r="I28" s="105"/>
      <c r="J28" s="105"/>
      <c r="K28" s="105"/>
      <c r="L28" s="105"/>
      <c r="M28" s="105"/>
      <c r="N28" s="106"/>
      <c r="O28" s="107"/>
      <c r="P28" s="108"/>
      <c r="Q28" s="108"/>
      <c r="R28" s="108"/>
      <c r="S28" s="108"/>
      <c r="T28" s="109"/>
      <c r="U28" s="94"/>
      <c r="X28" s="95"/>
      <c r="Y28" s="94"/>
      <c r="AF28" s="94"/>
      <c r="AH28" s="95"/>
      <c r="AI28" s="94"/>
      <c r="AK28" s="95"/>
      <c r="AO28" s="94"/>
      <c r="AP28" s="95"/>
      <c r="AQ28" s="96"/>
      <c r="AR28" s="94"/>
      <c r="AT28" s="97"/>
      <c r="AU28" s="94"/>
      <c r="AW28" s="95"/>
      <c r="AX28" s="94"/>
      <c r="AZ28" s="95"/>
      <c r="BA28" s="94"/>
      <c r="BC28" s="95"/>
      <c r="BD28" s="94"/>
      <c r="BE28" s="50"/>
      <c r="BF28" s="95"/>
    </row>
    <row r="29" spans="1:58" ht="14.25" customHeight="1" x14ac:dyDescent="0.2">
      <c r="A29" s="438" t="s">
        <v>222</v>
      </c>
      <c r="B29" s="157" t="s">
        <v>223</v>
      </c>
      <c r="C29" s="158" t="s">
        <v>193</v>
      </c>
      <c r="D29" s="86" t="s">
        <v>224</v>
      </c>
      <c r="E29" s="87">
        <f>VLOOKUP(D29,'% avancement'!$E$5:$F$11,2,FALSE())</f>
        <v>1</v>
      </c>
      <c r="F29" s="98">
        <v>127823.33</v>
      </c>
      <c r="G29" s="99"/>
      <c r="H29" s="90">
        <f t="shared" ref="H29:H38" si="29">F29+G29-I29</f>
        <v>119489.99666666667</v>
      </c>
      <c r="I29" s="99">
        <f>10000/1.2</f>
        <v>8333.3333333333339</v>
      </c>
      <c r="J29" s="99">
        <v>7169.4</v>
      </c>
      <c r="K29" s="99">
        <v>1493.62</v>
      </c>
      <c r="L29" s="99">
        <v>7600.15</v>
      </c>
      <c r="M29" s="99">
        <v>77412.740000000005</v>
      </c>
      <c r="N29" s="143">
        <v>0</v>
      </c>
      <c r="O29" s="107">
        <f t="shared" ref="O29:T29" si="30">+I29</f>
        <v>8333.3333333333339</v>
      </c>
      <c r="P29" s="109">
        <f t="shared" si="30"/>
        <v>7169.4</v>
      </c>
      <c r="Q29" s="109">
        <f t="shared" si="30"/>
        <v>1493.62</v>
      </c>
      <c r="R29" s="109">
        <f t="shared" si="30"/>
        <v>7600.15</v>
      </c>
      <c r="S29" s="109">
        <f t="shared" si="30"/>
        <v>77412.740000000005</v>
      </c>
      <c r="T29" s="109">
        <f t="shared" si="30"/>
        <v>0</v>
      </c>
      <c r="U29" s="153">
        <f>+H29+I29</f>
        <v>127823.33</v>
      </c>
      <c r="V29" s="156">
        <v>-60.71</v>
      </c>
      <c r="W29" s="50">
        <f t="shared" ref="W29:W38" si="31">IF(O29="",0,(1-E29)*O29)</f>
        <v>0</v>
      </c>
      <c r="X29" s="95">
        <f t="shared" ref="X29:X38" si="32">IF(O29="",I29*(E29),0)</f>
        <v>0</v>
      </c>
      <c r="Y29" s="94">
        <f>IF(P29=0,+H29*6%*E29,0)</f>
        <v>0</v>
      </c>
      <c r="Z29" s="50">
        <f>IF(P29=0,0,P29*(1-E29))</f>
        <v>0</v>
      </c>
      <c r="AA29" s="50">
        <f>IF(Q29=0,+H29*2.5%*E29,0)</f>
        <v>0</v>
      </c>
      <c r="AB29" s="50">
        <f t="shared" ref="AB29:AB38" si="33">IF(Q29="",0,Q29*(1-E29))</f>
        <v>0</v>
      </c>
      <c r="AC29" s="50">
        <f t="shared" ref="AC29:AC38" si="34">IF(R29="",+L29*E29,(1-E29)*R29)</f>
        <v>0</v>
      </c>
      <c r="AD29" s="50">
        <f t="shared" ref="AD29:AD38" si="35">IF(S29="",+M29*E29,(1-E29)*S29)</f>
        <v>0</v>
      </c>
      <c r="AF29" s="94">
        <f t="shared" ref="AF29:AF38" si="36">+H29-J29-K29-L29-M29-N29</f>
        <v>25814.086666666684</v>
      </c>
      <c r="AG29" s="50">
        <f>VLOOKUP($B29,'SUIVI 30.06.24'!$D:$BE,32,FALSE())</f>
        <v>5735.7766666666703</v>
      </c>
      <c r="AH29" s="95">
        <f t="shared" ref="AH29:AH38" si="37">AF29*E29-AG29</f>
        <v>20078.310000000012</v>
      </c>
      <c r="AI29" s="153">
        <f>H29</f>
        <v>119489.99666666667</v>
      </c>
      <c r="AJ29" s="50">
        <f>VLOOKUP($B29,'SUIVI 30.06.24'!$D:$BE,35,FALSE())</f>
        <v>12141.666666666701</v>
      </c>
      <c r="AK29" s="95">
        <f t="shared" ref="AK29:AK38" si="38">AI29*E29-AJ29</f>
        <v>107348.32999999997</v>
      </c>
      <c r="AL29" s="50">
        <v>-60.71</v>
      </c>
      <c r="AM29" s="50">
        <v>0</v>
      </c>
      <c r="AN29" s="50">
        <f t="shared" ref="AN29:AN38" si="39">+AL29</f>
        <v>-60.71</v>
      </c>
      <c r="AO29" s="94">
        <f t="shared" ref="AO29:AO38" si="40">AI29-AJ29-AK29</f>
        <v>0</v>
      </c>
      <c r="AP29" s="95">
        <f t="shared" ref="AP29:AP38" si="41">AF29-AG29-AH29</f>
        <v>0</v>
      </c>
      <c r="AQ29" s="96">
        <f t="shared" ref="AQ29:AQ38" si="42">+AF29/AI29</f>
        <v>0.2160355459602073</v>
      </c>
      <c r="AR29" s="94">
        <f t="shared" ref="AR29:AR38" si="43">IF(S29="",M29*E29,S29*E29)</f>
        <v>77412.740000000005</v>
      </c>
      <c r="AS29" s="50">
        <f>VLOOKUP($B29,'SUIVI 30.06.24'!$D:$BE,41,FALSE())</f>
        <v>4613.8333333333303</v>
      </c>
      <c r="AT29" s="97">
        <f t="shared" ref="AT29:AT38" si="44">+AR29-AS29</f>
        <v>72798.906666666677</v>
      </c>
      <c r="AU29" s="94">
        <f t="shared" ref="AU29:AU38" si="45">+L29*E29</f>
        <v>7600.15</v>
      </c>
      <c r="AV29" s="50">
        <f>VLOOKUP($B29,'SUIVI 30.06.24'!$D:$BE,44,FALSE())</f>
        <v>760.01499999999999</v>
      </c>
      <c r="AW29" s="95">
        <f t="shared" ref="AW29:AW38" si="46">+AU29-AV29</f>
        <v>6840.1349999999993</v>
      </c>
      <c r="AX29" s="94">
        <f t="shared" ref="AX29:AX38" si="47">IF(P29="",J29*E29,P29-Z29)</f>
        <v>7169.4</v>
      </c>
      <c r="AY29" s="50">
        <v>728.5</v>
      </c>
      <c r="AZ29" s="95">
        <f t="shared" ref="AZ29:AZ38" si="48">+AX29-AY29</f>
        <v>6440.9</v>
      </c>
      <c r="BA29" s="94">
        <f t="shared" ref="BA29:BA38" si="49">IF(Q29="",K29*E29,Q29-AB29)</f>
        <v>1493.62</v>
      </c>
      <c r="BB29" s="50">
        <v>303.54000000000002</v>
      </c>
      <c r="BC29" s="95">
        <f t="shared" ref="BC29:BC38" si="50">+BA29-BB29</f>
        <v>1190.08</v>
      </c>
      <c r="BD29" s="94">
        <f t="shared" ref="BD29:BD38" si="51">+E29*N29</f>
        <v>0</v>
      </c>
      <c r="BE29" s="50"/>
      <c r="BF29" s="95">
        <f t="shared" ref="BF29:BF38" si="52">+BD29-BE29</f>
        <v>0</v>
      </c>
    </row>
    <row r="30" spans="1:58" ht="15" customHeight="1" x14ac:dyDescent="0.2">
      <c r="A30" s="438"/>
      <c r="B30" s="157" t="s">
        <v>225</v>
      </c>
      <c r="C30" s="158" t="s">
        <v>193</v>
      </c>
      <c r="D30" s="86" t="s">
        <v>224</v>
      </c>
      <c r="E30" s="87">
        <f>VLOOKUP(D30,'% avancement'!$E$5:$F$11,2,FALSE())</f>
        <v>1</v>
      </c>
      <c r="F30" s="98">
        <v>127839.17</v>
      </c>
      <c r="G30" s="99"/>
      <c r="H30" s="90">
        <f t="shared" si="29"/>
        <v>121172.50333333333</v>
      </c>
      <c r="I30" s="99">
        <f>8000/1.2</f>
        <v>6666.666666666667</v>
      </c>
      <c r="J30" s="99">
        <v>7170.35</v>
      </c>
      <c r="K30" s="99">
        <v>1493.82</v>
      </c>
      <c r="L30" s="99">
        <v>7600.15</v>
      </c>
      <c r="M30" s="99">
        <v>80785.89</v>
      </c>
      <c r="N30" s="143">
        <v>2000</v>
      </c>
      <c r="O30" s="107">
        <f t="shared" ref="O30:S37" si="53">+I30</f>
        <v>6666.666666666667</v>
      </c>
      <c r="P30" s="109">
        <f t="shared" si="53"/>
        <v>7170.35</v>
      </c>
      <c r="Q30" s="109">
        <f t="shared" si="53"/>
        <v>1493.82</v>
      </c>
      <c r="R30" s="109">
        <f t="shared" si="53"/>
        <v>7600.15</v>
      </c>
      <c r="S30" s="109">
        <f t="shared" si="53"/>
        <v>80785.89</v>
      </c>
      <c r="T30" s="109">
        <v>0</v>
      </c>
      <c r="U30" s="153">
        <f>+H30+I30</f>
        <v>127839.17</v>
      </c>
      <c r="V30" s="156">
        <v>869.74</v>
      </c>
      <c r="W30" s="50">
        <f t="shared" si="31"/>
        <v>0</v>
      </c>
      <c r="X30" s="95">
        <f t="shared" si="32"/>
        <v>0</v>
      </c>
      <c r="Y30" s="94">
        <f t="shared" ref="Y30:Y38" si="54">IF(P30="",+H30*6%*E30,0)</f>
        <v>0</v>
      </c>
      <c r="Z30" s="50">
        <f t="shared" ref="Z30:Z38" si="55">IF(P30="",0,P30*(1-E30))</f>
        <v>0</v>
      </c>
      <c r="AA30" s="50">
        <f t="shared" ref="AA30:AA38" si="56">IF(Q30="",+H30*2.5%*E30,0)</f>
        <v>0</v>
      </c>
      <c r="AB30" s="50">
        <f t="shared" si="33"/>
        <v>0</v>
      </c>
      <c r="AC30" s="50">
        <f t="shared" si="34"/>
        <v>0</v>
      </c>
      <c r="AD30" s="50">
        <f t="shared" si="35"/>
        <v>0</v>
      </c>
      <c r="AF30" s="94">
        <f t="shared" si="36"/>
        <v>22122.29333333332</v>
      </c>
      <c r="AG30" s="50">
        <f>VLOOKUP(B30,'SUIVI 30.06.24'!D:BE,32,FALSE())</f>
        <v>12184.8866666667</v>
      </c>
      <c r="AH30" s="95">
        <f t="shared" si="37"/>
        <v>9937.4066666666204</v>
      </c>
      <c r="AI30" s="153">
        <f>H30+625</f>
        <v>121797.50333333333</v>
      </c>
      <c r="AJ30" s="50">
        <f>VLOOKUP($B30,'SUIVI 30.06.24'!$D:$BE,35,FALSE())</f>
        <v>25616.666666666701</v>
      </c>
      <c r="AK30" s="95">
        <f t="shared" si="38"/>
        <v>96180.836666666626</v>
      </c>
      <c r="AL30" s="50">
        <v>869.74</v>
      </c>
      <c r="AM30" s="50">
        <v>0</v>
      </c>
      <c r="AN30" s="50">
        <f t="shared" si="39"/>
        <v>869.74</v>
      </c>
      <c r="AO30" s="94">
        <f t="shared" si="40"/>
        <v>0</v>
      </c>
      <c r="AP30" s="95">
        <f t="shared" si="41"/>
        <v>0</v>
      </c>
      <c r="AQ30" s="96">
        <f t="shared" si="42"/>
        <v>0.18163174718606018</v>
      </c>
      <c r="AR30" s="94">
        <f t="shared" si="43"/>
        <v>80785.89</v>
      </c>
      <c r="AS30" s="50">
        <f>VLOOKUP($B30,'SUIVI 30.06.24'!$D:$BE,41,FALSE())</f>
        <v>9734.3333333333303</v>
      </c>
      <c r="AT30" s="97">
        <f t="shared" si="44"/>
        <v>71051.556666666671</v>
      </c>
      <c r="AU30" s="94">
        <f t="shared" si="45"/>
        <v>7600.15</v>
      </c>
      <c r="AV30" s="50">
        <f>VLOOKUP($B30,'SUIVI 30.06.24'!$D:$BE,44,FALSE())</f>
        <v>1520.03</v>
      </c>
      <c r="AW30" s="95">
        <f t="shared" si="46"/>
        <v>6080.12</v>
      </c>
      <c r="AX30" s="94">
        <f t="shared" si="47"/>
        <v>7170.35</v>
      </c>
      <c r="AY30" s="50">
        <v>1537</v>
      </c>
      <c r="AZ30" s="95">
        <f t="shared" si="48"/>
        <v>5633.35</v>
      </c>
      <c r="BA30" s="94">
        <f t="shared" si="49"/>
        <v>1493.82</v>
      </c>
      <c r="BB30" s="50">
        <v>640.41999999999996</v>
      </c>
      <c r="BC30" s="95">
        <f t="shared" si="50"/>
        <v>853.4</v>
      </c>
      <c r="BD30" s="94">
        <f t="shared" si="51"/>
        <v>2000</v>
      </c>
      <c r="BE30" s="50"/>
      <c r="BF30" s="95">
        <f t="shared" si="52"/>
        <v>2000</v>
      </c>
    </row>
    <row r="31" spans="1:58" ht="15" customHeight="1" x14ac:dyDescent="0.2">
      <c r="A31" s="438"/>
      <c r="B31" s="157" t="s">
        <v>226</v>
      </c>
      <c r="C31" s="158" t="s">
        <v>193</v>
      </c>
      <c r="D31" s="86" t="s">
        <v>224</v>
      </c>
      <c r="E31" s="87">
        <f>VLOOKUP(D31,'% avancement'!$E$5:$F$11,2,FALSE())</f>
        <v>1</v>
      </c>
      <c r="F31" s="98">
        <v>142761.67000000001</v>
      </c>
      <c r="G31" s="99"/>
      <c r="H31" s="90">
        <f t="shared" si="29"/>
        <v>137761.67000000001</v>
      </c>
      <c r="I31" s="99">
        <f>6000/1.2</f>
        <v>5000</v>
      </c>
      <c r="J31" s="99">
        <v>8065.7</v>
      </c>
      <c r="K31" s="99">
        <v>1680.35</v>
      </c>
      <c r="L31" s="99">
        <v>7600.15</v>
      </c>
      <c r="M31" s="99">
        <v>81922.009999999995</v>
      </c>
      <c r="N31" s="143">
        <v>2000</v>
      </c>
      <c r="O31" s="107">
        <f t="shared" si="53"/>
        <v>5000</v>
      </c>
      <c r="P31" s="109">
        <f t="shared" si="53"/>
        <v>8065.7</v>
      </c>
      <c r="Q31" s="109">
        <f t="shared" si="53"/>
        <v>1680.35</v>
      </c>
      <c r="R31" s="109">
        <f t="shared" si="53"/>
        <v>7600.15</v>
      </c>
      <c r="S31" s="109">
        <f t="shared" si="53"/>
        <v>81922.009999999995</v>
      </c>
      <c r="T31" s="109">
        <v>4000</v>
      </c>
      <c r="U31" s="94" t="str">
        <f t="shared" ref="U31:U37" si="57">IF(C31="oui","",(H31+I31)*E31)</f>
        <v/>
      </c>
      <c r="W31" s="50">
        <f t="shared" si="31"/>
        <v>0</v>
      </c>
      <c r="X31" s="95">
        <f t="shared" si="32"/>
        <v>0</v>
      </c>
      <c r="Y31" s="94">
        <f t="shared" si="54"/>
        <v>0</v>
      </c>
      <c r="Z31" s="50">
        <f t="shared" si="55"/>
        <v>0</v>
      </c>
      <c r="AA31" s="50">
        <f t="shared" si="56"/>
        <v>0</v>
      </c>
      <c r="AB31" s="50">
        <f t="shared" si="33"/>
        <v>0</v>
      </c>
      <c r="AC31" s="50">
        <f t="shared" si="34"/>
        <v>0</v>
      </c>
      <c r="AD31" s="50">
        <f t="shared" si="35"/>
        <v>0</v>
      </c>
      <c r="AF31" s="94">
        <f t="shared" si="36"/>
        <v>36493.460000000021</v>
      </c>
      <c r="AG31" s="50">
        <f>VLOOKUP(B31,'SUIVI 30.06.24'!D:BE,32,FALSE())</f>
        <v>6226.19333333334</v>
      </c>
      <c r="AH31" s="95">
        <f t="shared" si="37"/>
        <v>30267.266666666681</v>
      </c>
      <c r="AI31" s="153">
        <f t="shared" ref="AI31:AI38" si="58">H31</f>
        <v>137761.67000000001</v>
      </c>
      <c r="AJ31" s="50">
        <f>VLOOKUP($B31,'SUIVI 30.06.24'!$D:$BE,35,FALSE())</f>
        <v>13058.333333333299</v>
      </c>
      <c r="AK31" s="95">
        <f t="shared" si="38"/>
        <v>124703.33666666671</v>
      </c>
      <c r="AL31" s="50">
        <v>-65.290000000000006</v>
      </c>
      <c r="AM31" s="50">
        <v>0</v>
      </c>
      <c r="AN31" s="50">
        <f t="shared" si="39"/>
        <v>-65.290000000000006</v>
      </c>
      <c r="AO31" s="94">
        <f t="shared" si="40"/>
        <v>0</v>
      </c>
      <c r="AP31" s="95">
        <f t="shared" si="41"/>
        <v>0</v>
      </c>
      <c r="AQ31" s="96">
        <f t="shared" si="42"/>
        <v>0.26490285723162343</v>
      </c>
      <c r="AR31" s="94">
        <f t="shared" si="43"/>
        <v>81922.009999999995</v>
      </c>
      <c r="AS31" s="50">
        <f>VLOOKUP($B31,'SUIVI 30.06.24'!$D:$BE,41,FALSE())</f>
        <v>4962.1666666666697</v>
      </c>
      <c r="AT31" s="97">
        <f t="shared" si="44"/>
        <v>76959.843333333323</v>
      </c>
      <c r="AU31" s="94">
        <f t="shared" si="45"/>
        <v>7600.15</v>
      </c>
      <c r="AV31" s="50">
        <f>VLOOKUP($B31,'SUIVI 30.06.24'!$D:$BE,44,FALSE())</f>
        <v>760.01499999999999</v>
      </c>
      <c r="AW31" s="95">
        <f t="shared" si="46"/>
        <v>6840.1349999999993</v>
      </c>
      <c r="AX31" s="94">
        <f t="shared" si="47"/>
        <v>8065.7</v>
      </c>
      <c r="AY31" s="50">
        <v>783.5</v>
      </c>
      <c r="AZ31" s="95">
        <f t="shared" si="48"/>
        <v>7282.2</v>
      </c>
      <c r="BA31" s="94">
        <f t="shared" si="49"/>
        <v>1680.35</v>
      </c>
      <c r="BB31" s="50">
        <v>326.45999999999998</v>
      </c>
      <c r="BC31" s="95">
        <f t="shared" si="50"/>
        <v>1353.8899999999999</v>
      </c>
      <c r="BD31" s="94">
        <f t="shared" si="51"/>
        <v>2000</v>
      </c>
      <c r="BE31" s="50"/>
      <c r="BF31" s="95">
        <f t="shared" si="52"/>
        <v>2000</v>
      </c>
    </row>
    <row r="32" spans="1:58" ht="15" customHeight="1" x14ac:dyDescent="0.2">
      <c r="A32" s="438"/>
      <c r="B32" s="157" t="s">
        <v>227</v>
      </c>
      <c r="C32" s="158" t="s">
        <v>193</v>
      </c>
      <c r="D32" s="86" t="s">
        <v>224</v>
      </c>
      <c r="E32" s="87">
        <f>VLOOKUP(D32,'% avancement'!$E$5:$F$11,2,FALSE())</f>
        <v>1</v>
      </c>
      <c r="F32" s="98">
        <v>126492.65</v>
      </c>
      <c r="G32" s="99"/>
      <c r="H32" s="90">
        <f t="shared" si="29"/>
        <v>121492.65</v>
      </c>
      <c r="I32" s="99">
        <f>6000/1.2</f>
        <v>5000</v>
      </c>
      <c r="J32" s="99">
        <v>7085.7</v>
      </c>
      <c r="K32" s="99">
        <v>1476.19</v>
      </c>
      <c r="L32" s="99">
        <v>7600.15</v>
      </c>
      <c r="M32" s="99">
        <v>74584.600000000006</v>
      </c>
      <c r="N32" s="143">
        <v>0</v>
      </c>
      <c r="O32" s="107">
        <f t="shared" si="53"/>
        <v>5000</v>
      </c>
      <c r="P32" s="109">
        <f t="shared" si="53"/>
        <v>7085.7</v>
      </c>
      <c r="Q32" s="109">
        <f t="shared" si="53"/>
        <v>1476.19</v>
      </c>
      <c r="R32" s="109">
        <f t="shared" si="53"/>
        <v>7600.15</v>
      </c>
      <c r="S32" s="109">
        <f t="shared" si="53"/>
        <v>74584.600000000006</v>
      </c>
      <c r="T32" s="109">
        <f t="shared" ref="T32:T38" si="59">+N32</f>
        <v>0</v>
      </c>
      <c r="U32" s="94" t="str">
        <f t="shared" si="57"/>
        <v/>
      </c>
      <c r="W32" s="50">
        <f t="shared" si="31"/>
        <v>0</v>
      </c>
      <c r="X32" s="95">
        <f t="shared" si="32"/>
        <v>0</v>
      </c>
      <c r="Y32" s="94">
        <f t="shared" si="54"/>
        <v>0</v>
      </c>
      <c r="Z32" s="50">
        <f t="shared" si="55"/>
        <v>0</v>
      </c>
      <c r="AA32" s="50">
        <f t="shared" si="56"/>
        <v>0</v>
      </c>
      <c r="AB32" s="50">
        <f t="shared" si="33"/>
        <v>0</v>
      </c>
      <c r="AC32" s="50">
        <f t="shared" si="34"/>
        <v>0</v>
      </c>
      <c r="AD32" s="50">
        <f t="shared" si="35"/>
        <v>0</v>
      </c>
      <c r="AF32" s="94">
        <f t="shared" si="36"/>
        <v>30746.009999999995</v>
      </c>
      <c r="AG32" s="50">
        <f>VLOOKUP(B32,'SUIVI 30.06.24'!D:BE,32,FALSE())</f>
        <v>5943.2674999999999</v>
      </c>
      <c r="AH32" s="95">
        <f t="shared" si="37"/>
        <v>24802.742499999993</v>
      </c>
      <c r="AI32" s="153">
        <f t="shared" si="58"/>
        <v>121492.65</v>
      </c>
      <c r="AJ32" s="50">
        <f>VLOOKUP($B32,'SUIVI 30.06.24'!$D:$BE,35,FALSE())</f>
        <v>28666.666666666701</v>
      </c>
      <c r="AK32" s="95">
        <f t="shared" si="38"/>
        <v>92825.983333333294</v>
      </c>
      <c r="AL32" s="156">
        <v>384.4</v>
      </c>
      <c r="AM32" s="50">
        <v>0</v>
      </c>
      <c r="AN32" s="50">
        <f t="shared" si="39"/>
        <v>384.4</v>
      </c>
      <c r="AO32" s="94">
        <f t="shared" si="40"/>
        <v>0</v>
      </c>
      <c r="AP32" s="95">
        <f t="shared" si="41"/>
        <v>0</v>
      </c>
      <c r="AQ32" s="96">
        <f t="shared" si="42"/>
        <v>0.25306888935256572</v>
      </c>
      <c r="AR32" s="94">
        <f t="shared" si="43"/>
        <v>74584.600000000006</v>
      </c>
      <c r="AS32" s="50">
        <f>VLOOKUP($B32,'SUIVI 30.06.24'!$D:$BE,41,FALSE())</f>
        <v>18386.695</v>
      </c>
      <c r="AT32" s="97">
        <f t="shared" si="44"/>
        <v>56197.905000000006</v>
      </c>
      <c r="AU32" s="94">
        <f t="shared" si="45"/>
        <v>7600.15</v>
      </c>
      <c r="AV32" s="50">
        <f>VLOOKUP($B32,'SUIVI 30.06.24'!$D:$BE,44,FALSE())</f>
        <v>1900.0374999999999</v>
      </c>
      <c r="AW32" s="95">
        <f t="shared" si="46"/>
        <v>5700.1124999999993</v>
      </c>
      <c r="AX32" s="94">
        <f t="shared" si="47"/>
        <v>7085.7</v>
      </c>
      <c r="AY32" s="50">
        <v>1720</v>
      </c>
      <c r="AZ32" s="95">
        <f t="shared" si="48"/>
        <v>5365.7</v>
      </c>
      <c r="BA32" s="94">
        <f t="shared" si="49"/>
        <v>1476.19</v>
      </c>
      <c r="BB32" s="50">
        <v>716.67</v>
      </c>
      <c r="BC32" s="95">
        <f t="shared" si="50"/>
        <v>759.5200000000001</v>
      </c>
      <c r="BD32" s="94">
        <f t="shared" si="51"/>
        <v>0</v>
      </c>
      <c r="BE32" s="50"/>
      <c r="BF32" s="95">
        <f t="shared" si="52"/>
        <v>0</v>
      </c>
    </row>
    <row r="33" spans="1:58" ht="15" customHeight="1" x14ac:dyDescent="0.2">
      <c r="A33" s="438"/>
      <c r="B33" s="157" t="s">
        <v>228</v>
      </c>
      <c r="C33" s="158" t="s">
        <v>193</v>
      </c>
      <c r="D33" s="86" t="s">
        <v>224</v>
      </c>
      <c r="E33" s="87">
        <f>VLOOKUP(D33,'% avancement'!$E$5:$F$11,2,FALSE())</f>
        <v>1</v>
      </c>
      <c r="F33" s="98">
        <v>124735</v>
      </c>
      <c r="G33" s="99"/>
      <c r="H33" s="90">
        <f t="shared" si="29"/>
        <v>118901.66666666667</v>
      </c>
      <c r="I33" s="99">
        <f>7000/1.2</f>
        <v>5833.3333333333339</v>
      </c>
      <c r="J33" s="99">
        <v>6834.1</v>
      </c>
      <c r="K33" s="99">
        <v>1423.77</v>
      </c>
      <c r="L33" s="99">
        <v>7600.15</v>
      </c>
      <c r="M33" s="99">
        <v>70637.64</v>
      </c>
      <c r="N33" s="143">
        <v>3500</v>
      </c>
      <c r="O33" s="107">
        <f t="shared" si="53"/>
        <v>5833.3333333333339</v>
      </c>
      <c r="P33" s="109">
        <f t="shared" si="53"/>
        <v>6834.1</v>
      </c>
      <c r="Q33" s="109">
        <f t="shared" si="53"/>
        <v>1423.77</v>
      </c>
      <c r="R33" s="109">
        <f t="shared" si="53"/>
        <v>7600.15</v>
      </c>
      <c r="S33" s="109">
        <f t="shared" si="53"/>
        <v>70637.64</v>
      </c>
      <c r="T33" s="109">
        <f t="shared" si="59"/>
        <v>3500</v>
      </c>
      <c r="U33" s="94" t="str">
        <f t="shared" si="57"/>
        <v/>
      </c>
      <c r="W33" s="50">
        <f t="shared" si="31"/>
        <v>0</v>
      </c>
      <c r="X33" s="95">
        <f t="shared" si="32"/>
        <v>0</v>
      </c>
      <c r="Y33" s="94">
        <f t="shared" si="54"/>
        <v>0</v>
      </c>
      <c r="Z33" s="50">
        <f t="shared" si="55"/>
        <v>0</v>
      </c>
      <c r="AA33" s="50">
        <f t="shared" si="56"/>
        <v>0</v>
      </c>
      <c r="AB33" s="50">
        <f t="shared" si="33"/>
        <v>0</v>
      </c>
      <c r="AC33" s="50">
        <f t="shared" si="34"/>
        <v>0</v>
      </c>
      <c r="AD33" s="50">
        <f t="shared" si="35"/>
        <v>0</v>
      </c>
      <c r="AF33" s="94">
        <f t="shared" si="36"/>
        <v>28906.006666666668</v>
      </c>
      <c r="AG33" s="50">
        <f>VLOOKUP(B33,'SUIVI 30.06.24'!D:BE,32,FALSE())</f>
        <v>5330.06833333334</v>
      </c>
      <c r="AH33" s="95">
        <f t="shared" si="37"/>
        <v>23575.938333333328</v>
      </c>
      <c r="AI33" s="153">
        <f t="shared" si="58"/>
        <v>118901.66666666667</v>
      </c>
      <c r="AJ33" s="50">
        <f>VLOOKUP($B33,'SUIVI 30.06.24'!$D:$BE,35,FALSE())</f>
        <v>11383.333333333299</v>
      </c>
      <c r="AK33" s="95">
        <f t="shared" si="38"/>
        <v>107518.33333333337</v>
      </c>
      <c r="AL33" s="156">
        <v>-56.92</v>
      </c>
      <c r="AM33" s="50">
        <v>0</v>
      </c>
      <c r="AN33" s="50">
        <f t="shared" si="39"/>
        <v>-56.92</v>
      </c>
      <c r="AO33" s="94">
        <f t="shared" si="40"/>
        <v>0</v>
      </c>
      <c r="AP33" s="95">
        <f t="shared" si="41"/>
        <v>0</v>
      </c>
      <c r="AQ33" s="96">
        <f t="shared" si="42"/>
        <v>0.24310850702961831</v>
      </c>
      <c r="AR33" s="94">
        <f t="shared" si="43"/>
        <v>70637.64</v>
      </c>
      <c r="AS33" s="50">
        <f>VLOOKUP($B33,'SUIVI 30.06.24'!$D:$BE,41,FALSE())</f>
        <v>4325.6666666666697</v>
      </c>
      <c r="AT33" s="97">
        <f t="shared" si="44"/>
        <v>66311.973333333328</v>
      </c>
      <c r="AU33" s="94">
        <f t="shared" si="45"/>
        <v>7600.15</v>
      </c>
      <c r="AV33" s="50">
        <f>VLOOKUP($B33,'SUIVI 30.06.24'!$D:$BE,44,FALSE())</f>
        <v>760.01499999999999</v>
      </c>
      <c r="AW33" s="95">
        <f t="shared" si="46"/>
        <v>6840.1349999999993</v>
      </c>
      <c r="AX33" s="94">
        <f t="shared" si="47"/>
        <v>6834.1</v>
      </c>
      <c r="AY33" s="50">
        <v>683</v>
      </c>
      <c r="AZ33" s="95">
        <f t="shared" si="48"/>
        <v>6151.1</v>
      </c>
      <c r="BA33" s="94">
        <f t="shared" si="49"/>
        <v>1423.77</v>
      </c>
      <c r="BB33" s="50">
        <v>284.58</v>
      </c>
      <c r="BC33" s="95">
        <f t="shared" si="50"/>
        <v>1139.19</v>
      </c>
      <c r="BD33" s="94">
        <f t="shared" si="51"/>
        <v>3500</v>
      </c>
      <c r="BE33" s="50"/>
      <c r="BF33" s="95">
        <f t="shared" si="52"/>
        <v>3500</v>
      </c>
    </row>
    <row r="34" spans="1:58" ht="15" customHeight="1" x14ac:dyDescent="0.2">
      <c r="A34" s="438"/>
      <c r="B34" s="157" t="s">
        <v>229</v>
      </c>
      <c r="C34" s="158" t="s">
        <v>193</v>
      </c>
      <c r="D34" s="86" t="s">
        <v>224</v>
      </c>
      <c r="E34" s="87">
        <f>VLOOKUP(D34,'% avancement'!$E$5:$F$11,2,FALSE())</f>
        <v>1</v>
      </c>
      <c r="F34" s="98">
        <v>119182.5</v>
      </c>
      <c r="G34" s="99"/>
      <c r="H34" s="90">
        <f t="shared" si="29"/>
        <v>119182.5</v>
      </c>
      <c r="I34" s="99">
        <v>0</v>
      </c>
      <c r="J34" s="99">
        <v>6900</v>
      </c>
      <c r="K34" s="99">
        <v>2875</v>
      </c>
      <c r="L34" s="99">
        <v>7378.79</v>
      </c>
      <c r="M34" s="99">
        <v>80258.37</v>
      </c>
      <c r="N34" s="143">
        <v>0</v>
      </c>
      <c r="O34" s="107">
        <f t="shared" si="53"/>
        <v>0</v>
      </c>
      <c r="P34" s="159">
        <f t="shared" si="53"/>
        <v>6900</v>
      </c>
      <c r="Q34" s="159">
        <f t="shared" si="53"/>
        <v>2875</v>
      </c>
      <c r="R34" s="109">
        <f t="shared" si="53"/>
        <v>7378.79</v>
      </c>
      <c r="S34" s="109">
        <f t="shared" si="53"/>
        <v>80258.37</v>
      </c>
      <c r="T34" s="109">
        <f t="shared" si="59"/>
        <v>0</v>
      </c>
      <c r="U34" s="94" t="str">
        <f t="shared" si="57"/>
        <v/>
      </c>
      <c r="W34" s="50">
        <f t="shared" si="31"/>
        <v>0</v>
      </c>
      <c r="X34" s="95">
        <f t="shared" si="32"/>
        <v>0</v>
      </c>
      <c r="Y34" s="94">
        <f t="shared" si="54"/>
        <v>0</v>
      </c>
      <c r="Z34" s="50">
        <f t="shared" si="55"/>
        <v>0</v>
      </c>
      <c r="AA34" s="50">
        <f t="shared" si="56"/>
        <v>0</v>
      </c>
      <c r="AB34" s="50">
        <f t="shared" si="33"/>
        <v>0</v>
      </c>
      <c r="AC34" s="50">
        <f t="shared" si="34"/>
        <v>0</v>
      </c>
      <c r="AD34" s="50">
        <f t="shared" si="35"/>
        <v>0</v>
      </c>
      <c r="AF34" s="94">
        <f t="shared" si="36"/>
        <v>21770.340000000011</v>
      </c>
      <c r="AG34" s="50">
        <f>VLOOKUP(B34,'SUIVI 30.06.24'!D:BE,32,FALSE())</f>
        <v>16283.895</v>
      </c>
      <c r="AH34" s="95">
        <f t="shared" si="37"/>
        <v>5486.4450000000106</v>
      </c>
      <c r="AI34" s="153">
        <f t="shared" si="58"/>
        <v>119182.5</v>
      </c>
      <c r="AJ34" s="50">
        <f>VLOOKUP($B34,'SUIVI 30.06.24'!$D:$BE,35,FALSE())</f>
        <v>89343.014999999999</v>
      </c>
      <c r="AK34" s="95">
        <f t="shared" si="38"/>
        <v>29839.485000000001</v>
      </c>
      <c r="AL34" s="156">
        <v>-58.48</v>
      </c>
      <c r="AM34" s="50">
        <v>0</v>
      </c>
      <c r="AN34" s="50">
        <f t="shared" si="39"/>
        <v>-58.48</v>
      </c>
      <c r="AO34" s="94">
        <f t="shared" si="40"/>
        <v>0</v>
      </c>
      <c r="AP34" s="95">
        <f t="shared" si="41"/>
        <v>0</v>
      </c>
      <c r="AQ34" s="96">
        <f t="shared" si="42"/>
        <v>0.18266389780378839</v>
      </c>
      <c r="AR34" s="94">
        <f t="shared" si="43"/>
        <v>80258.37</v>
      </c>
      <c r="AS34" s="50">
        <f>VLOOKUP($B34,'SUIVI 30.06.24'!$D:$BE,41,FALSE())</f>
        <v>60193.777499999997</v>
      </c>
      <c r="AT34" s="97">
        <f t="shared" si="44"/>
        <v>20064.592499999999</v>
      </c>
      <c r="AU34" s="94">
        <f t="shared" si="45"/>
        <v>7378.79</v>
      </c>
      <c r="AV34" s="50">
        <f>VLOOKUP($B34,'SUIVI 30.06.24'!$D:$BE,44,FALSE())</f>
        <v>5534.0924999999997</v>
      </c>
      <c r="AW34" s="95">
        <f t="shared" si="46"/>
        <v>1844.6975000000002</v>
      </c>
      <c r="AX34" s="94">
        <f t="shared" si="47"/>
        <v>6900</v>
      </c>
      <c r="AY34" s="50">
        <f>+AX34-1725</f>
        <v>5175</v>
      </c>
      <c r="AZ34" s="95">
        <f t="shared" si="48"/>
        <v>1725</v>
      </c>
      <c r="BA34" s="94">
        <f t="shared" si="49"/>
        <v>2875</v>
      </c>
      <c r="BB34" s="50">
        <f>+BA34-718.75</f>
        <v>2156.25</v>
      </c>
      <c r="BC34" s="95">
        <f t="shared" si="50"/>
        <v>718.75</v>
      </c>
      <c r="BD34" s="94">
        <f t="shared" si="51"/>
        <v>0</v>
      </c>
      <c r="BE34" s="50"/>
      <c r="BF34" s="95">
        <f t="shared" si="52"/>
        <v>0</v>
      </c>
    </row>
    <row r="35" spans="1:58" ht="15" customHeight="1" x14ac:dyDescent="0.2">
      <c r="A35" s="438"/>
      <c r="B35" s="157" t="s">
        <v>230</v>
      </c>
      <c r="C35" s="158" t="s">
        <v>193</v>
      </c>
      <c r="D35" s="86" t="s">
        <v>224</v>
      </c>
      <c r="E35" s="87">
        <f>VLOOKUP(D35,'% avancement'!$E$5:$F$11,2,FALSE())</f>
        <v>1</v>
      </c>
      <c r="F35" s="98">
        <v>128711.54</v>
      </c>
      <c r="G35" s="99"/>
      <c r="H35" s="90">
        <f t="shared" si="29"/>
        <v>126128.20999999999</v>
      </c>
      <c r="I35" s="160">
        <v>2583.33</v>
      </c>
      <c r="J35" s="99">
        <v>7313.95</v>
      </c>
      <c r="K35" s="99">
        <v>3047.48</v>
      </c>
      <c r="L35" s="99">
        <v>7378.79</v>
      </c>
      <c r="M35" s="99">
        <v>83972.54</v>
      </c>
      <c r="N35" s="161">
        <v>0</v>
      </c>
      <c r="O35" s="107">
        <f t="shared" si="53"/>
        <v>2583.33</v>
      </c>
      <c r="P35" s="159">
        <f t="shared" si="53"/>
        <v>7313.95</v>
      </c>
      <c r="Q35" s="159">
        <f t="shared" si="53"/>
        <v>3047.48</v>
      </c>
      <c r="R35" s="109">
        <f t="shared" si="53"/>
        <v>7378.79</v>
      </c>
      <c r="S35" s="109">
        <f t="shared" si="53"/>
        <v>83972.54</v>
      </c>
      <c r="T35" s="109">
        <f t="shared" si="59"/>
        <v>0</v>
      </c>
      <c r="U35" s="94" t="str">
        <f t="shared" si="57"/>
        <v/>
      </c>
      <c r="W35" s="50">
        <f t="shared" si="31"/>
        <v>0</v>
      </c>
      <c r="X35" s="95">
        <f t="shared" si="32"/>
        <v>0</v>
      </c>
      <c r="Y35" s="94">
        <f t="shared" si="54"/>
        <v>0</v>
      </c>
      <c r="Z35" s="50">
        <f t="shared" si="55"/>
        <v>0</v>
      </c>
      <c r="AA35" s="50">
        <f t="shared" si="56"/>
        <v>0</v>
      </c>
      <c r="AB35" s="50">
        <f t="shared" si="33"/>
        <v>0</v>
      </c>
      <c r="AC35" s="50">
        <f t="shared" si="34"/>
        <v>0</v>
      </c>
      <c r="AD35" s="50">
        <f t="shared" si="35"/>
        <v>0</v>
      </c>
      <c r="AF35" s="94">
        <f t="shared" si="36"/>
        <v>24415.450000000012</v>
      </c>
      <c r="AG35" s="50">
        <f>VLOOKUP(B35,'SUIVI 30.06.24'!D:BE,32,FALSE())</f>
        <v>15830.293</v>
      </c>
      <c r="AH35" s="95">
        <f t="shared" si="37"/>
        <v>8585.157000000012</v>
      </c>
      <c r="AI35" s="153">
        <f t="shared" si="58"/>
        <v>126128.20999999999</v>
      </c>
      <c r="AJ35" s="50">
        <f>VLOOKUP($B35,'SUIVI 30.06.24'!$D:$BE,35,FALSE())</f>
        <v>81943.587</v>
      </c>
      <c r="AK35" s="95">
        <f t="shared" si="38"/>
        <v>44184.622999999992</v>
      </c>
      <c r="AL35" s="156">
        <v>-61.16</v>
      </c>
      <c r="AM35" s="50">
        <v>0</v>
      </c>
      <c r="AN35" s="50">
        <f t="shared" si="39"/>
        <v>-61.16</v>
      </c>
      <c r="AO35" s="94">
        <f t="shared" si="40"/>
        <v>0</v>
      </c>
      <c r="AP35" s="95">
        <f t="shared" si="41"/>
        <v>0</v>
      </c>
      <c r="AQ35" s="96">
        <f t="shared" si="42"/>
        <v>0.19357644098810262</v>
      </c>
      <c r="AR35" s="94">
        <f t="shared" si="43"/>
        <v>83972.54</v>
      </c>
      <c r="AS35" s="50">
        <f>VLOOKUP($B35,'SUIVI 30.06.24'!$D:$BE,41,FALSE())</f>
        <v>54582.150999999998</v>
      </c>
      <c r="AT35" s="97">
        <f t="shared" si="44"/>
        <v>29390.388999999996</v>
      </c>
      <c r="AU35" s="94">
        <f t="shared" si="45"/>
        <v>7378.79</v>
      </c>
      <c r="AV35" s="50">
        <f>VLOOKUP($B35,'SUIVI 30.06.24'!$D:$BE,44,FALSE())</f>
        <v>4796.2134999999998</v>
      </c>
      <c r="AW35" s="95">
        <f t="shared" si="46"/>
        <v>2582.5765000000001</v>
      </c>
      <c r="AX35" s="94">
        <f t="shared" si="47"/>
        <v>7313.95</v>
      </c>
      <c r="AY35" s="50">
        <f>+AX35-2559.88</f>
        <v>4754.07</v>
      </c>
      <c r="AZ35" s="95">
        <f t="shared" si="48"/>
        <v>2559.88</v>
      </c>
      <c r="BA35" s="94">
        <f t="shared" si="49"/>
        <v>3047.48</v>
      </c>
      <c r="BB35" s="50">
        <f>+BA35-1066.62</f>
        <v>1980.8600000000001</v>
      </c>
      <c r="BC35" s="95">
        <f t="shared" si="50"/>
        <v>1066.6199999999999</v>
      </c>
      <c r="BD35" s="94">
        <f t="shared" si="51"/>
        <v>0</v>
      </c>
      <c r="BE35" s="50"/>
      <c r="BF35" s="95">
        <f t="shared" si="52"/>
        <v>0</v>
      </c>
    </row>
    <row r="36" spans="1:58" ht="15" customHeight="1" x14ac:dyDescent="0.2">
      <c r="A36" s="438"/>
      <c r="B36" s="157" t="s">
        <v>231</v>
      </c>
      <c r="C36" s="158" t="s">
        <v>193</v>
      </c>
      <c r="D36" s="86" t="s">
        <v>224</v>
      </c>
      <c r="E36" s="87">
        <f>VLOOKUP(D36,'% avancement'!$E$5:$F$11,2,FALSE())</f>
        <v>1</v>
      </c>
      <c r="F36" s="98">
        <v>115625</v>
      </c>
      <c r="G36" s="99"/>
      <c r="H36" s="90">
        <f t="shared" si="29"/>
        <v>111458.33333333333</v>
      </c>
      <c r="I36" s="99">
        <f>5000/1.2</f>
        <v>4166.666666666667</v>
      </c>
      <c r="J36" s="99">
        <v>7137.5</v>
      </c>
      <c r="K36" s="99">
        <v>1486.98</v>
      </c>
      <c r="L36" s="99">
        <v>7600.15</v>
      </c>
      <c r="M36" s="99">
        <v>73603.47</v>
      </c>
      <c r="N36" s="143">
        <v>0</v>
      </c>
      <c r="O36" s="107">
        <f t="shared" si="53"/>
        <v>4166.666666666667</v>
      </c>
      <c r="P36" s="109">
        <f t="shared" si="53"/>
        <v>7137.5</v>
      </c>
      <c r="Q36" s="109">
        <f t="shared" si="53"/>
        <v>1486.98</v>
      </c>
      <c r="R36" s="109">
        <f t="shared" si="53"/>
        <v>7600.15</v>
      </c>
      <c r="S36" s="109">
        <f t="shared" si="53"/>
        <v>73603.47</v>
      </c>
      <c r="T36" s="109">
        <f t="shared" si="59"/>
        <v>0</v>
      </c>
      <c r="U36" s="94" t="str">
        <f t="shared" si="57"/>
        <v/>
      </c>
      <c r="W36" s="50">
        <f t="shared" si="31"/>
        <v>0</v>
      </c>
      <c r="X36" s="95">
        <f t="shared" si="32"/>
        <v>0</v>
      </c>
      <c r="Y36" s="94">
        <f t="shared" si="54"/>
        <v>0</v>
      </c>
      <c r="Z36" s="50">
        <f t="shared" si="55"/>
        <v>0</v>
      </c>
      <c r="AA36" s="50">
        <f t="shared" si="56"/>
        <v>0</v>
      </c>
      <c r="AB36" s="50">
        <f t="shared" si="33"/>
        <v>0</v>
      </c>
      <c r="AC36" s="50">
        <f t="shared" si="34"/>
        <v>0</v>
      </c>
      <c r="AD36" s="50">
        <f t="shared" si="35"/>
        <v>0</v>
      </c>
      <c r="AF36" s="94">
        <f t="shared" si="36"/>
        <v>21630.233333333337</v>
      </c>
      <c r="AG36" s="50">
        <f>VLOOKUP(B36,'SUIVI 30.06.24'!D:BE,32,FALSE())</f>
        <v>6289.3325000000004</v>
      </c>
      <c r="AH36" s="95">
        <f t="shared" si="37"/>
        <v>15340.900833333337</v>
      </c>
      <c r="AI36" s="153">
        <f t="shared" si="58"/>
        <v>111458.33333333333</v>
      </c>
      <c r="AJ36" s="50">
        <f>VLOOKUP($B36,'SUIVI 30.06.24'!$D:$BE,35,FALSE())</f>
        <v>28729.166666666701</v>
      </c>
      <c r="AK36" s="95">
        <f t="shared" si="38"/>
        <v>82729.166666666628</v>
      </c>
      <c r="AL36" s="156">
        <v>249.67</v>
      </c>
      <c r="AM36" s="50">
        <v>0</v>
      </c>
      <c r="AN36" s="50">
        <f t="shared" si="39"/>
        <v>249.67</v>
      </c>
      <c r="AO36" s="94">
        <f t="shared" si="40"/>
        <v>0</v>
      </c>
      <c r="AP36" s="95">
        <f t="shared" si="41"/>
        <v>0</v>
      </c>
      <c r="AQ36" s="96">
        <f t="shared" si="42"/>
        <v>0.19406564485981312</v>
      </c>
      <c r="AR36" s="94">
        <f t="shared" si="43"/>
        <v>73603.47</v>
      </c>
      <c r="AS36" s="50">
        <f>VLOOKUP($B36,'SUIVI 30.06.24'!$D:$BE,41,FALSE())</f>
        <v>18097.817500000001</v>
      </c>
      <c r="AT36" s="97">
        <f t="shared" si="44"/>
        <v>55505.652499999997</v>
      </c>
      <c r="AU36" s="94">
        <f t="shared" si="45"/>
        <v>7600.15</v>
      </c>
      <c r="AV36" s="50">
        <f>VLOOKUP($B36,'SUIVI 30.06.24'!$D:$BE,44,FALSE())</f>
        <v>1900.0374999999999</v>
      </c>
      <c r="AW36" s="95">
        <f t="shared" si="46"/>
        <v>5700.1124999999993</v>
      </c>
      <c r="AX36" s="94">
        <f t="shared" si="47"/>
        <v>7137.5</v>
      </c>
      <c r="AY36" s="50">
        <v>1723.75</v>
      </c>
      <c r="AZ36" s="95">
        <f t="shared" si="48"/>
        <v>5413.75</v>
      </c>
      <c r="BA36" s="94">
        <f t="shared" si="49"/>
        <v>1486.98</v>
      </c>
      <c r="BB36" s="50">
        <v>718.23</v>
      </c>
      <c r="BC36" s="95">
        <f t="shared" si="50"/>
        <v>768.75</v>
      </c>
      <c r="BD36" s="94">
        <f t="shared" si="51"/>
        <v>0</v>
      </c>
      <c r="BE36" s="50"/>
      <c r="BF36" s="95">
        <f t="shared" si="52"/>
        <v>0</v>
      </c>
    </row>
    <row r="37" spans="1:58" ht="15" customHeight="1" x14ac:dyDescent="0.2">
      <c r="A37" s="438"/>
      <c r="B37" s="162" t="s">
        <v>232</v>
      </c>
      <c r="C37" s="158" t="s">
        <v>193</v>
      </c>
      <c r="D37" s="86" t="s">
        <v>224</v>
      </c>
      <c r="E37" s="87">
        <f>VLOOKUP(D37,'% avancement'!$E$5:$F$11,2,FALSE())</f>
        <v>1</v>
      </c>
      <c r="F37" s="98">
        <v>121445</v>
      </c>
      <c r="G37" s="99"/>
      <c r="H37" s="90">
        <f t="shared" si="29"/>
        <v>117278.33333333333</v>
      </c>
      <c r="I37" s="99">
        <f>5000/1.2</f>
        <v>4166.666666666667</v>
      </c>
      <c r="J37" s="99">
        <v>6836.7</v>
      </c>
      <c r="K37" s="99">
        <v>1424.31</v>
      </c>
      <c r="L37" s="99">
        <v>7600.15</v>
      </c>
      <c r="M37" s="99">
        <v>71316.100000000006</v>
      </c>
      <c r="N37" s="143">
        <v>3000</v>
      </c>
      <c r="O37" s="107">
        <f t="shared" si="53"/>
        <v>4166.666666666667</v>
      </c>
      <c r="P37" s="109">
        <f t="shared" si="53"/>
        <v>6836.7</v>
      </c>
      <c r="Q37" s="109">
        <f t="shared" si="53"/>
        <v>1424.31</v>
      </c>
      <c r="R37" s="109">
        <f t="shared" si="53"/>
        <v>7600.15</v>
      </c>
      <c r="S37" s="109">
        <f t="shared" si="53"/>
        <v>71316.100000000006</v>
      </c>
      <c r="T37" s="109">
        <f t="shared" si="59"/>
        <v>3000</v>
      </c>
      <c r="U37" s="94" t="str">
        <f t="shared" si="57"/>
        <v/>
      </c>
      <c r="W37" s="50">
        <f t="shared" si="31"/>
        <v>0</v>
      </c>
      <c r="X37" s="95">
        <f t="shared" si="32"/>
        <v>0</v>
      </c>
      <c r="Y37" s="94">
        <f t="shared" si="54"/>
        <v>0</v>
      </c>
      <c r="Z37" s="50">
        <f t="shared" si="55"/>
        <v>0</v>
      </c>
      <c r="AA37" s="50">
        <f t="shared" si="56"/>
        <v>0</v>
      </c>
      <c r="AB37" s="50">
        <f t="shared" si="33"/>
        <v>0</v>
      </c>
      <c r="AC37" s="50">
        <f t="shared" si="34"/>
        <v>0</v>
      </c>
      <c r="AD37" s="50">
        <f t="shared" si="35"/>
        <v>0</v>
      </c>
      <c r="AF37" s="94">
        <f t="shared" si="36"/>
        <v>27101.073333333334</v>
      </c>
      <c r="AH37" s="95">
        <f t="shared" si="37"/>
        <v>27101.073333333334</v>
      </c>
      <c r="AI37" s="153">
        <f t="shared" si="58"/>
        <v>117278.33333333333</v>
      </c>
      <c r="AJ37" s="50">
        <f>VLOOKUP($B37,'SUIVI 30.06.24'!$D:$BE,35,FALSE())</f>
        <v>0</v>
      </c>
      <c r="AK37" s="95">
        <f t="shared" si="38"/>
        <v>117278.33333333333</v>
      </c>
      <c r="AL37" s="50">
        <v>-56.08</v>
      </c>
      <c r="AM37" s="50">
        <v>0</v>
      </c>
      <c r="AN37" s="50">
        <f t="shared" si="39"/>
        <v>-56.08</v>
      </c>
      <c r="AO37" s="94">
        <f t="shared" si="40"/>
        <v>0</v>
      </c>
      <c r="AP37" s="95">
        <f t="shared" si="41"/>
        <v>0</v>
      </c>
      <c r="AQ37" s="96">
        <f t="shared" si="42"/>
        <v>0.23108337715122146</v>
      </c>
      <c r="AR37" s="94">
        <f t="shared" si="43"/>
        <v>71316.100000000006</v>
      </c>
      <c r="AS37" s="50">
        <f>VLOOKUP($B37,'SUIVI 30.06.24'!$D:$BE,41,FALSE())</f>
        <v>0</v>
      </c>
      <c r="AT37" s="97">
        <f t="shared" si="44"/>
        <v>71316.100000000006</v>
      </c>
      <c r="AU37" s="94">
        <f t="shared" si="45"/>
        <v>7600.15</v>
      </c>
      <c r="AV37" s="50">
        <f>VLOOKUP($B37,'SUIVI 30.06.24'!$D:$BE,44,FALSE())</f>
        <v>0</v>
      </c>
      <c r="AW37" s="95">
        <f t="shared" si="46"/>
        <v>7600.15</v>
      </c>
      <c r="AX37" s="94">
        <f t="shared" si="47"/>
        <v>6836.7</v>
      </c>
      <c r="AZ37" s="95">
        <f t="shared" si="48"/>
        <v>6836.7</v>
      </c>
      <c r="BA37" s="94">
        <f t="shared" si="49"/>
        <v>1424.31</v>
      </c>
      <c r="BB37" s="50">
        <f>VLOOKUP($B37,'SUIVI 30.06.24'!$D:$BE,50,FALSE())</f>
        <v>0</v>
      </c>
      <c r="BC37" s="95">
        <f t="shared" si="50"/>
        <v>1424.31</v>
      </c>
      <c r="BD37" s="94">
        <f t="shared" si="51"/>
        <v>3000</v>
      </c>
      <c r="BE37" s="50"/>
      <c r="BF37" s="95">
        <f t="shared" si="52"/>
        <v>3000</v>
      </c>
    </row>
    <row r="38" spans="1:58" ht="15" customHeight="1" x14ac:dyDescent="0.2">
      <c r="A38" s="438"/>
      <c r="B38" s="162" t="s">
        <v>233</v>
      </c>
      <c r="C38" s="158" t="s">
        <v>193</v>
      </c>
      <c r="D38" s="86" t="s">
        <v>224</v>
      </c>
      <c r="E38" s="87">
        <f>VLOOKUP(D38,'% avancement'!$E$5:$F$11,2,FALSE())</f>
        <v>1</v>
      </c>
      <c r="F38" s="98">
        <v>120024.98</v>
      </c>
      <c r="G38" s="99"/>
      <c r="H38" s="90">
        <f t="shared" si="29"/>
        <v>115024.98</v>
      </c>
      <c r="I38" s="160">
        <v>5000</v>
      </c>
      <c r="J38" s="99">
        <v>6801.5</v>
      </c>
      <c r="K38" s="99">
        <v>1416.98</v>
      </c>
      <c r="L38" s="99">
        <v>7600.15</v>
      </c>
      <c r="M38" s="99">
        <v>68691.72</v>
      </c>
      <c r="N38" s="161">
        <v>3500</v>
      </c>
      <c r="O38" s="107">
        <f>+I38</f>
        <v>5000</v>
      </c>
      <c r="P38" s="109">
        <f>+J38</f>
        <v>6801.5</v>
      </c>
      <c r="Q38" s="109">
        <f>+K38</f>
        <v>1416.98</v>
      </c>
      <c r="R38" s="109"/>
      <c r="S38" s="109"/>
      <c r="T38" s="109">
        <f t="shared" si="59"/>
        <v>3500</v>
      </c>
      <c r="U38" s="153">
        <f>+H38+I38</f>
        <v>120024.98</v>
      </c>
      <c r="V38" s="156">
        <v>284.79000000000002</v>
      </c>
      <c r="W38" s="50">
        <f t="shared" si="31"/>
        <v>0</v>
      </c>
      <c r="X38" s="95">
        <f t="shared" si="32"/>
        <v>0</v>
      </c>
      <c r="Y38" s="94">
        <f t="shared" si="54"/>
        <v>0</v>
      </c>
      <c r="Z38" s="50">
        <f t="shared" si="55"/>
        <v>0</v>
      </c>
      <c r="AA38" s="50">
        <f t="shared" si="56"/>
        <v>0</v>
      </c>
      <c r="AB38" s="50">
        <f t="shared" si="33"/>
        <v>0</v>
      </c>
      <c r="AC38" s="50">
        <f t="shared" si="34"/>
        <v>7600.15</v>
      </c>
      <c r="AD38" s="50">
        <f t="shared" si="35"/>
        <v>68691.72</v>
      </c>
      <c r="AF38" s="94">
        <f t="shared" si="36"/>
        <v>27014.630000000005</v>
      </c>
      <c r="AH38" s="95">
        <f t="shared" si="37"/>
        <v>27014.630000000005</v>
      </c>
      <c r="AI38" s="153">
        <f t="shared" si="58"/>
        <v>115024.98</v>
      </c>
      <c r="AJ38" s="50">
        <f>VLOOKUP($B38,'SUIVI 30.06.24'!$D:$BE,35,FALSE())</f>
        <v>0</v>
      </c>
      <c r="AK38" s="95">
        <f t="shared" si="38"/>
        <v>115024.98</v>
      </c>
      <c r="AL38" s="50">
        <v>284.79000000000002</v>
      </c>
      <c r="AM38" s="50">
        <v>0</v>
      </c>
      <c r="AN38" s="50">
        <f t="shared" si="39"/>
        <v>284.79000000000002</v>
      </c>
      <c r="AO38" s="94">
        <f t="shared" si="40"/>
        <v>0</v>
      </c>
      <c r="AP38" s="95">
        <f t="shared" si="41"/>
        <v>0</v>
      </c>
      <c r="AQ38" s="96">
        <f t="shared" si="42"/>
        <v>0.23485881066877826</v>
      </c>
      <c r="AR38" s="94">
        <f t="shared" si="43"/>
        <v>68691.72</v>
      </c>
      <c r="AS38" s="50">
        <f>VLOOKUP($B38,'SUIVI 30.06.24'!$D:$BE,41,FALSE())</f>
        <v>0</v>
      </c>
      <c r="AT38" s="97">
        <f t="shared" si="44"/>
        <v>68691.72</v>
      </c>
      <c r="AU38" s="94">
        <f t="shared" si="45"/>
        <v>7600.15</v>
      </c>
      <c r="AV38" s="50">
        <f>VLOOKUP($B38,'SUIVI 30.06.24'!$D:$BE,44,FALSE())</f>
        <v>0</v>
      </c>
      <c r="AW38" s="95">
        <f t="shared" si="46"/>
        <v>7600.15</v>
      </c>
      <c r="AX38" s="94">
        <f t="shared" si="47"/>
        <v>6801.5</v>
      </c>
      <c r="AZ38" s="95">
        <f t="shared" si="48"/>
        <v>6801.5</v>
      </c>
      <c r="BA38" s="94">
        <f t="shared" si="49"/>
        <v>1416.98</v>
      </c>
      <c r="BB38" s="50">
        <f>VLOOKUP($B38,'SUIVI 30.06.24'!$D:$BE,50,FALSE())</f>
        <v>0</v>
      </c>
      <c r="BC38" s="95">
        <f t="shared" si="50"/>
        <v>1416.98</v>
      </c>
      <c r="BD38" s="94">
        <f t="shared" si="51"/>
        <v>3500</v>
      </c>
      <c r="BE38" s="50"/>
      <c r="BF38" s="95">
        <f t="shared" si="52"/>
        <v>3500</v>
      </c>
    </row>
    <row r="39" spans="1:58" s="42" customFormat="1" ht="15.75" customHeight="1" x14ac:dyDescent="0.2">
      <c r="A39" s="111" t="s">
        <v>165</v>
      </c>
      <c r="B39" s="112">
        <f>ROWS(B29:B38)</f>
        <v>10</v>
      </c>
      <c r="C39" s="113"/>
      <c r="D39" s="113"/>
      <c r="E39" s="112"/>
      <c r="F39" s="114"/>
      <c r="G39" s="115"/>
      <c r="H39" s="115"/>
      <c r="I39" s="115"/>
      <c r="J39" s="115"/>
      <c r="K39" s="115"/>
      <c r="L39" s="115"/>
      <c r="M39" s="115"/>
      <c r="N39" s="116"/>
      <c r="O39" s="117"/>
      <c r="P39" s="118"/>
      <c r="Q39" s="118"/>
      <c r="R39" s="118"/>
      <c r="S39" s="118"/>
      <c r="T39" s="118"/>
      <c r="U39" s="119"/>
      <c r="V39" s="120"/>
      <c r="W39" s="120"/>
      <c r="X39" s="121"/>
      <c r="Y39" s="94"/>
      <c r="Z39" s="50"/>
      <c r="AA39" s="50"/>
      <c r="AB39" s="50"/>
      <c r="AC39" s="50"/>
      <c r="AD39" s="50"/>
      <c r="AE39" s="50"/>
      <c r="AF39" s="119"/>
      <c r="AG39" s="120"/>
      <c r="AH39" s="121"/>
      <c r="AI39" s="119"/>
      <c r="AJ39" s="120"/>
      <c r="AK39" s="121"/>
      <c r="AL39" s="120"/>
      <c r="AM39" s="120"/>
      <c r="AN39" s="120"/>
      <c r="AO39" s="119"/>
      <c r="AP39" s="121"/>
      <c r="AQ39" s="122"/>
      <c r="AR39" s="119"/>
      <c r="AS39" s="120"/>
      <c r="AT39" s="121"/>
      <c r="AU39" s="119"/>
      <c r="AV39" s="120"/>
      <c r="AW39" s="121"/>
      <c r="AX39" s="119"/>
      <c r="AY39" s="120"/>
      <c r="AZ39" s="121"/>
      <c r="BA39" s="119"/>
      <c r="BB39" s="120"/>
      <c r="BC39" s="121"/>
      <c r="BD39" s="119"/>
      <c r="BE39" s="120"/>
      <c r="BF39" s="121"/>
    </row>
    <row r="40" spans="1:58" s="35" customFormat="1" ht="15.75" customHeight="1" x14ac:dyDescent="0.2">
      <c r="A40" s="123" t="s">
        <v>166</v>
      </c>
      <c r="B40" s="124">
        <f>B28+B39</f>
        <v>35</v>
      </c>
      <c r="C40" s="125"/>
      <c r="D40" s="126"/>
      <c r="E40" s="124"/>
      <c r="F40" s="127"/>
      <c r="G40" s="128"/>
      <c r="H40" s="128"/>
      <c r="I40" s="128"/>
      <c r="J40" s="128"/>
      <c r="K40" s="128"/>
      <c r="L40" s="128"/>
      <c r="M40" s="128"/>
      <c r="N40" s="129"/>
      <c r="O40" s="130"/>
      <c r="P40" s="131"/>
      <c r="Q40" s="131"/>
      <c r="R40" s="131"/>
      <c r="S40" s="131"/>
      <c r="T40" s="131"/>
      <c r="U40" s="132">
        <f t="shared" ref="U40:AP40" si="60">SUM(U3:U38)</f>
        <v>1036977.4413333336</v>
      </c>
      <c r="V40" s="133">
        <f t="shared" si="60"/>
        <v>1093.82</v>
      </c>
      <c r="W40" s="133">
        <f t="shared" si="60"/>
        <v>3999.9999999999995</v>
      </c>
      <c r="X40" s="134">
        <f t="shared" si="60"/>
        <v>14250</v>
      </c>
      <c r="Y40" s="132">
        <f t="shared" si="60"/>
        <v>13297.750000000004</v>
      </c>
      <c r="Z40" s="133">
        <f t="shared" si="60"/>
        <v>18903.217999999997</v>
      </c>
      <c r="AA40" s="133">
        <f t="shared" si="60"/>
        <v>5540.7291666666688</v>
      </c>
      <c r="AB40" s="133">
        <f t="shared" si="60"/>
        <v>3938.4926666666679</v>
      </c>
      <c r="AC40" s="133">
        <f t="shared" si="60"/>
        <v>47500.817499999997</v>
      </c>
      <c r="AD40" s="133">
        <f t="shared" si="60"/>
        <v>469599.8246666668</v>
      </c>
      <c r="AE40" s="133">
        <f t="shared" si="60"/>
        <v>0</v>
      </c>
      <c r="AF40" s="135">
        <f t="shared" si="60"/>
        <v>607086.90000000037</v>
      </c>
      <c r="AG40" s="136">
        <f t="shared" si="60"/>
        <v>73823.713000000062</v>
      </c>
      <c r="AH40" s="137">
        <f t="shared" si="60"/>
        <v>320616.48300000012</v>
      </c>
      <c r="AI40" s="135">
        <f t="shared" si="60"/>
        <v>2890037.163333334</v>
      </c>
      <c r="AJ40" s="138">
        <f t="shared" si="60"/>
        <v>290882.43533333339</v>
      </c>
      <c r="AK40" s="137">
        <f t="shared" si="60"/>
        <v>1553673.3693333336</v>
      </c>
      <c r="AL40" s="135">
        <f t="shared" si="60"/>
        <v>1429.9599999999998</v>
      </c>
      <c r="AM40" s="138">
        <f t="shared" si="60"/>
        <v>0</v>
      </c>
      <c r="AN40" s="137">
        <f t="shared" si="60"/>
        <v>1429.9599999999998</v>
      </c>
      <c r="AO40" s="135">
        <f t="shared" si="60"/>
        <v>1045481.3586666672</v>
      </c>
      <c r="AP40" s="97">
        <f t="shared" si="60"/>
        <v>212646.70400000023</v>
      </c>
      <c r="AQ40" s="96">
        <f>+AF40/AI40</f>
        <v>0.21006197003355959</v>
      </c>
      <c r="AR40" s="135">
        <f>SUM(AR3:AR38)</f>
        <v>1164093.1846666667</v>
      </c>
      <c r="AS40" s="138">
        <v>174896.44099999999</v>
      </c>
      <c r="AT40" s="137">
        <f t="shared" ref="AT40:AY40" si="61">SUM(AT3:AT38)</f>
        <v>989196.74366666679</v>
      </c>
      <c r="AU40" s="135">
        <f t="shared" si="61"/>
        <v>115459.44749999997</v>
      </c>
      <c r="AV40" s="138">
        <f t="shared" si="61"/>
        <v>17930.455999999998</v>
      </c>
      <c r="AW40" s="137">
        <f t="shared" si="61"/>
        <v>97528.991499999975</v>
      </c>
      <c r="AX40" s="135">
        <f t="shared" si="61"/>
        <v>108942.56200000001</v>
      </c>
      <c r="AY40" s="138">
        <f t="shared" si="61"/>
        <v>17104.82</v>
      </c>
      <c r="AZ40" s="137">
        <f>SUM(AZ3:AZ39)</f>
        <v>91837.742000000013</v>
      </c>
      <c r="BA40" s="135">
        <f>SUM(BA3:BA39)</f>
        <v>28428.379833333343</v>
      </c>
      <c r="BB40" s="138">
        <f>SUM(BB3:BB38)</f>
        <v>7127.01</v>
      </c>
      <c r="BC40" s="137">
        <f>SUM(BC3:BC39)</f>
        <v>21301.369833333341</v>
      </c>
      <c r="BD40" s="135">
        <f>SUM(BD3:BD39)</f>
        <v>32000</v>
      </c>
      <c r="BE40" s="138">
        <f>SUM(BE3:BE39)</f>
        <v>0</v>
      </c>
      <c r="BF40" s="137">
        <f>SUM(BF3:BF39)</f>
        <v>32000</v>
      </c>
    </row>
    <row r="41" spans="1:58" ht="15" customHeight="1" x14ac:dyDescent="0.2">
      <c r="U41" s="50" t="s">
        <v>234</v>
      </c>
      <c r="V41" s="50" t="s">
        <v>234</v>
      </c>
      <c r="W41" s="155" t="s">
        <v>234</v>
      </c>
      <c r="X41" s="50" t="s">
        <v>234</v>
      </c>
      <c r="Y41" s="50" t="s">
        <v>234</v>
      </c>
      <c r="Z41" s="50" t="s">
        <v>234</v>
      </c>
      <c r="AA41" s="50" t="s">
        <v>234</v>
      </c>
      <c r="AB41" s="50" t="s">
        <v>234</v>
      </c>
      <c r="AC41" s="50" t="s">
        <v>234</v>
      </c>
      <c r="AD41" s="50" t="s">
        <v>234</v>
      </c>
      <c r="AK41" s="50" t="s">
        <v>234</v>
      </c>
      <c r="AN41" s="50" t="s">
        <v>234</v>
      </c>
      <c r="AT41" s="50" t="s">
        <v>234</v>
      </c>
      <c r="AW41" s="50" t="s">
        <v>234</v>
      </c>
      <c r="AZ41" s="50" t="s">
        <v>234</v>
      </c>
      <c r="BC41" s="50" t="s">
        <v>234</v>
      </c>
    </row>
    <row r="42" spans="1:58" ht="15" customHeight="1" x14ac:dyDescent="0.2">
      <c r="AF42" s="139"/>
      <c r="AG42" s="139"/>
      <c r="AH42" s="139"/>
      <c r="AI42" s="139"/>
      <c r="AJ42" s="139"/>
    </row>
    <row r="43" spans="1:58" ht="15" customHeight="1" x14ac:dyDescent="0.2">
      <c r="A43" s="140"/>
      <c r="AF43" s="96"/>
      <c r="AG43" s="96"/>
      <c r="AI43" s="96"/>
    </row>
    <row r="44" spans="1:58" ht="15" customHeight="1" x14ac:dyDescent="0.2">
      <c r="AG44" s="141"/>
      <c r="AH44" s="141"/>
      <c r="AI44" s="141"/>
      <c r="AJ44" s="141"/>
    </row>
    <row r="47" spans="1:58" ht="15" customHeight="1" x14ac:dyDescent="0.2">
      <c r="AI47" s="142"/>
    </row>
    <row r="49" spans="32:34" ht="15" customHeight="1" x14ac:dyDescent="0.2">
      <c r="AF49" s="138"/>
      <c r="AG49" s="138"/>
      <c r="AH49" s="138"/>
    </row>
  </sheetData>
  <mergeCells count="12">
    <mergeCell ref="AQ1:AQ2"/>
    <mergeCell ref="AR1:BF1"/>
    <mergeCell ref="F1:N1"/>
    <mergeCell ref="O1:T1"/>
    <mergeCell ref="U1:X1"/>
    <mergeCell ref="Y1:AE1"/>
    <mergeCell ref="AF1:AH1"/>
    <mergeCell ref="A3:A27"/>
    <mergeCell ref="A29:A38"/>
    <mergeCell ref="AI1:AK1"/>
    <mergeCell ref="AL1:AN1"/>
    <mergeCell ref="AO1:A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49"/>
  <sheetViews>
    <sheetView zoomScale="115" zoomScaleNormal="115" workbookViewId="0">
      <pane xSplit="5" ySplit="2" topLeftCell="AD3" activePane="bottomRight" state="frozen"/>
      <selection pane="topRight" activeCell="AD1" sqref="AD1"/>
      <selection pane="bottomLeft" activeCell="A3" sqref="A3"/>
      <selection pane="bottomRight" activeCell="B22" sqref="B22"/>
    </sheetView>
  </sheetViews>
  <sheetFormatPr baseColWidth="10" defaultColWidth="8.83203125" defaultRowHeight="15" x14ac:dyDescent="0.2"/>
  <cols>
    <col min="1" max="1" width="10.5" style="47" customWidth="1"/>
    <col min="2" max="2" width="41.6640625" style="48" customWidth="1"/>
    <col min="3" max="3" width="9.83203125" style="49" customWidth="1"/>
    <col min="4" max="4" width="17.5" style="49" customWidth="1"/>
    <col min="5" max="5" width="6.1640625" style="48" customWidth="1"/>
    <col min="6" max="6" width="16.5" style="50" customWidth="1"/>
    <col min="7" max="7" width="10.5" style="50" customWidth="1"/>
    <col min="8" max="8" width="15.1640625" style="50" customWidth="1"/>
    <col min="9" max="9" width="12" style="50" customWidth="1"/>
    <col min="10" max="10" width="11.33203125" style="50" customWidth="1"/>
    <col min="11" max="11" width="9.5" style="50" customWidth="1"/>
    <col min="12" max="12" width="8.83203125" style="50"/>
    <col min="13" max="13" width="10.6640625" style="50" customWidth="1"/>
    <col min="14" max="14" width="9.83203125" style="50" customWidth="1"/>
    <col min="15" max="15" width="8.5" style="51" customWidth="1"/>
    <col min="16" max="16" width="9.5" style="51" customWidth="1"/>
    <col min="17" max="17" width="12.83203125" style="51" customWidth="1"/>
    <col min="18" max="18" width="10.1640625" style="51" customWidth="1"/>
    <col min="19" max="19" width="8.83203125" style="51"/>
    <col min="20" max="20" width="10.6640625" style="51" customWidth="1"/>
    <col min="21" max="21" width="10.1640625" style="50" customWidth="1"/>
    <col min="22" max="22" width="8" style="50" customWidth="1"/>
    <col min="23" max="23" width="8.1640625" style="50" customWidth="1"/>
    <col min="24" max="24" width="10.6640625" style="50" customWidth="1"/>
    <col min="25" max="25" width="8.83203125" style="50"/>
    <col min="26" max="26" width="13.5" style="50" customWidth="1"/>
    <col min="27" max="27" width="11.83203125" style="50" customWidth="1"/>
    <col min="28" max="28" width="8.83203125" style="50"/>
    <col min="29" max="30" width="11.1640625" style="50" customWidth="1"/>
    <col min="31" max="31" width="10.1640625" style="50" customWidth="1"/>
    <col min="32" max="32" width="11.1640625" style="50" customWidth="1"/>
    <col min="33" max="33" width="10.83203125" style="50" customWidth="1"/>
    <col min="34" max="36" width="10.1640625" style="50" customWidth="1"/>
    <col min="37" max="37" width="15.33203125" style="50" customWidth="1"/>
    <col min="38" max="38" width="15.1640625" style="50" customWidth="1"/>
    <col min="39" max="39" width="9.83203125" style="50" customWidth="1"/>
    <col min="40" max="40" width="8.83203125" style="50"/>
    <col min="41" max="41" width="9.5" style="50" customWidth="1"/>
    <col min="42" max="42" width="8.83203125" style="50"/>
    <col min="43" max="43" width="8.5" style="50" customWidth="1"/>
    <col min="44" max="44" width="9.5" style="50" customWidth="1"/>
    <col min="45" max="45" width="10.1640625" style="50" customWidth="1"/>
    <col min="46" max="46" width="8.83203125" style="50"/>
    <col min="47" max="48" width="7.5" style="50" customWidth="1"/>
    <col min="49" max="49" width="7.83203125" style="50" customWidth="1"/>
    <col min="50" max="50" width="8" style="50" customWidth="1"/>
    <col min="51" max="51" width="8.6640625" style="50" customWidth="1"/>
    <col min="52" max="52" width="10" style="47" customWidth="1"/>
    <col min="53" max="53" width="9.6640625" style="47" customWidth="1"/>
    <col min="54" max="54" width="10" style="47" customWidth="1"/>
  </cols>
  <sheetData>
    <row r="1" spans="1:54" s="35" customFormat="1" ht="16.5" customHeight="1" x14ac:dyDescent="0.2">
      <c r="A1" s="52"/>
      <c r="B1" s="53"/>
      <c r="C1" s="54"/>
      <c r="D1" s="54"/>
      <c r="E1" s="53"/>
      <c r="F1" s="432" t="s">
        <v>209</v>
      </c>
      <c r="G1" s="432"/>
      <c r="H1" s="432"/>
      <c r="I1" s="432"/>
      <c r="J1" s="432"/>
      <c r="K1" s="432"/>
      <c r="L1" s="432"/>
      <c r="M1" s="432"/>
      <c r="N1" s="432"/>
      <c r="O1" s="433" t="s">
        <v>74</v>
      </c>
      <c r="P1" s="433"/>
      <c r="Q1" s="433"/>
      <c r="R1" s="433"/>
      <c r="S1" s="433"/>
      <c r="T1" s="433"/>
      <c r="U1" s="434" t="s">
        <v>75</v>
      </c>
      <c r="V1" s="434"/>
      <c r="W1" s="434"/>
      <c r="X1" s="435" t="s">
        <v>76</v>
      </c>
      <c r="Y1" s="435"/>
      <c r="Z1" s="435"/>
      <c r="AA1" s="435"/>
      <c r="AB1" s="435"/>
      <c r="AC1" s="435"/>
      <c r="AD1" s="435"/>
      <c r="AE1" s="430" t="s">
        <v>77</v>
      </c>
      <c r="AF1" s="430"/>
      <c r="AG1" s="430"/>
      <c r="AH1" s="430" t="s">
        <v>78</v>
      </c>
      <c r="AI1" s="430"/>
      <c r="AJ1" s="430"/>
      <c r="AK1" s="430" t="s">
        <v>80</v>
      </c>
      <c r="AL1" s="430"/>
      <c r="AM1" s="431" t="s">
        <v>81</v>
      </c>
      <c r="AN1" s="430" t="s">
        <v>82</v>
      </c>
      <c r="AO1" s="430"/>
      <c r="AP1" s="430"/>
      <c r="AQ1" s="430"/>
      <c r="AR1" s="430"/>
      <c r="AS1" s="430"/>
      <c r="AT1" s="430"/>
      <c r="AU1" s="430"/>
      <c r="AV1" s="430"/>
      <c r="AW1" s="430"/>
      <c r="AX1" s="430"/>
      <c r="AY1" s="430"/>
      <c r="AZ1" s="430"/>
      <c r="BA1" s="430"/>
      <c r="BB1" s="430"/>
    </row>
    <row r="2" spans="1:54" s="83" customFormat="1" ht="40.5" customHeight="1" x14ac:dyDescent="0.2">
      <c r="A2" s="55" t="s">
        <v>83</v>
      </c>
      <c r="B2" s="56" t="s">
        <v>84</v>
      </c>
      <c r="C2" s="57" t="s">
        <v>85</v>
      </c>
      <c r="D2" s="57" t="s">
        <v>86</v>
      </c>
      <c r="E2" s="56" t="s">
        <v>87</v>
      </c>
      <c r="F2" s="58" t="s">
        <v>88</v>
      </c>
      <c r="G2" s="59" t="s">
        <v>89</v>
      </c>
      <c r="H2" s="59" t="s">
        <v>90</v>
      </c>
      <c r="I2" s="59" t="s">
        <v>91</v>
      </c>
      <c r="J2" s="59" t="s">
        <v>167</v>
      </c>
      <c r="K2" s="59" t="s">
        <v>93</v>
      </c>
      <c r="L2" s="59" t="s">
        <v>94</v>
      </c>
      <c r="M2" s="59" t="s">
        <v>210</v>
      </c>
      <c r="N2" s="60" t="s">
        <v>96</v>
      </c>
      <c r="O2" s="61" t="s">
        <v>97</v>
      </c>
      <c r="P2" s="59" t="s">
        <v>98</v>
      </c>
      <c r="Q2" s="59" t="s">
        <v>99</v>
      </c>
      <c r="R2" s="59" t="s">
        <v>100</v>
      </c>
      <c r="S2" s="59" t="s">
        <v>95</v>
      </c>
      <c r="T2" s="62" t="s">
        <v>96</v>
      </c>
      <c r="U2" s="63" t="s">
        <v>101</v>
      </c>
      <c r="V2" s="64" t="s">
        <v>103</v>
      </c>
      <c r="W2" s="65" t="s">
        <v>104</v>
      </c>
      <c r="X2" s="66" t="s">
        <v>105</v>
      </c>
      <c r="Y2" s="67" t="s">
        <v>106</v>
      </c>
      <c r="Z2" s="67" t="s">
        <v>107</v>
      </c>
      <c r="AA2" s="67" t="s">
        <v>108</v>
      </c>
      <c r="AB2" s="67" t="s">
        <v>109</v>
      </c>
      <c r="AC2" s="67" t="s">
        <v>110</v>
      </c>
      <c r="AD2" s="67" t="s">
        <v>111</v>
      </c>
      <c r="AE2" s="68" t="s">
        <v>112</v>
      </c>
      <c r="AF2" s="69" t="s">
        <v>113</v>
      </c>
      <c r="AG2" s="70" t="s">
        <v>211</v>
      </c>
      <c r="AH2" s="68" t="s">
        <v>115</v>
      </c>
      <c r="AI2" s="69" t="s">
        <v>116</v>
      </c>
      <c r="AJ2" s="70" t="s">
        <v>118</v>
      </c>
      <c r="AK2" s="68" t="s">
        <v>119</v>
      </c>
      <c r="AL2" s="70" t="s">
        <v>120</v>
      </c>
      <c r="AM2" s="431"/>
      <c r="AN2" s="71" t="s">
        <v>121</v>
      </c>
      <c r="AO2" s="72" t="s">
        <v>122</v>
      </c>
      <c r="AP2" s="73" t="s">
        <v>123</v>
      </c>
      <c r="AQ2" s="74" t="s">
        <v>124</v>
      </c>
      <c r="AR2" s="75" t="s">
        <v>125</v>
      </c>
      <c r="AS2" s="76" t="s">
        <v>126</v>
      </c>
      <c r="AT2" s="77" t="s">
        <v>127</v>
      </c>
      <c r="AU2" s="78" t="s">
        <v>128</v>
      </c>
      <c r="AV2" s="79" t="s">
        <v>129</v>
      </c>
      <c r="AW2" s="71" t="s">
        <v>130</v>
      </c>
      <c r="AX2" s="72" t="s">
        <v>131</v>
      </c>
      <c r="AY2" s="73" t="s">
        <v>132</v>
      </c>
      <c r="AZ2" s="80" t="s">
        <v>133</v>
      </c>
      <c r="BA2" s="81" t="s">
        <v>134</v>
      </c>
      <c r="BB2" s="82" t="s">
        <v>135</v>
      </c>
    </row>
    <row r="3" spans="1:54" ht="15.75" customHeight="1" x14ac:dyDescent="0.2">
      <c r="A3" s="437"/>
      <c r="B3" s="150" t="s">
        <v>212</v>
      </c>
      <c r="C3" s="85" t="s">
        <v>137</v>
      </c>
      <c r="D3" s="86" t="s">
        <v>213</v>
      </c>
      <c r="E3" s="87"/>
      <c r="F3" s="88">
        <v>128083.33333333299</v>
      </c>
      <c r="G3" s="89">
        <v>5000</v>
      </c>
      <c r="H3" s="90">
        <f t="shared" ref="H3:H23" si="0">F3+G3-I3</f>
        <v>128083.33333333299</v>
      </c>
      <c r="I3" s="89">
        <v>5000</v>
      </c>
      <c r="J3" s="89">
        <f t="shared" ref="J3:J22" si="1">(F3+G3-I3)*0.06</f>
        <v>7684.9999999999791</v>
      </c>
      <c r="K3" s="89">
        <f t="shared" ref="K3:K22" si="2">(F3+G3-I3)*0.025</f>
        <v>3202.0833333333248</v>
      </c>
      <c r="L3" s="89">
        <v>7600.15</v>
      </c>
      <c r="M3" s="89">
        <f t="shared" ref="M3:M22" si="3">(F3+G3)*0.62</f>
        <v>82511.666666666453</v>
      </c>
      <c r="N3" s="91"/>
      <c r="O3" s="92"/>
      <c r="P3" s="93"/>
      <c r="Q3" s="93"/>
      <c r="R3" s="93"/>
      <c r="S3" s="93"/>
      <c r="T3" s="93"/>
      <c r="U3" s="94">
        <f t="shared" ref="U3:U27" si="4">IF(C3="oui","",(H3+I3)*E3)</f>
        <v>0</v>
      </c>
      <c r="V3" s="50">
        <f t="shared" ref="V3:V27" si="5">IF(O3="",0,(1-E3)*O3)</f>
        <v>0</v>
      </c>
      <c r="W3" s="95">
        <f t="shared" ref="W3:W27" si="6">IF(O3="",I3*(E3),0)</f>
        <v>0</v>
      </c>
      <c r="X3" s="94">
        <f t="shared" ref="X3:X27" si="7">IF(P3="",+H3*6%*E3,0)</f>
        <v>0</v>
      </c>
      <c r="Y3" s="50">
        <f t="shared" ref="Y3:Y27" si="8">IF(P3="",0,P3*(1-E3))</f>
        <v>0</v>
      </c>
      <c r="Z3" s="50">
        <f t="shared" ref="Z3:Z27" si="9">IF(Q3="",+H3*2.5%*E3,0)</f>
        <v>0</v>
      </c>
      <c r="AA3" s="50">
        <f t="shared" ref="AA3:AA27" si="10">IF(Q3="",0,Q3*(1-E3))</f>
        <v>0</v>
      </c>
      <c r="AB3" s="50">
        <f t="shared" ref="AB3:AB27" si="11">IF(R3="",+L3*E3,(1-E3)*R3)</f>
        <v>0</v>
      </c>
      <c r="AC3" s="50">
        <f t="shared" ref="AC3:AC27" si="12">IF(S3="",M3*E3,S3*E3)</f>
        <v>0</v>
      </c>
      <c r="AD3" s="50">
        <f t="shared" ref="AD3:AD27" si="13">IF(T3="",0,T3*(1-E3))</f>
        <v>0</v>
      </c>
      <c r="AE3" s="94">
        <f t="shared" ref="AE3:AE27" si="14">IF(E3="",0,+H3-J3-K3-L3-M3-N3)</f>
        <v>0</v>
      </c>
      <c r="AG3" s="95">
        <f t="shared" ref="AG3:AG27" si="15">AE3*E3-AF3</f>
        <v>0</v>
      </c>
      <c r="AH3" s="94">
        <f t="shared" ref="AH3:AH27" si="16">IF(E3="",0,H3)</f>
        <v>0</v>
      </c>
      <c r="AJ3" s="95">
        <f t="shared" ref="AJ3:AJ27" si="17">AH3*E3-AI3</f>
        <v>0</v>
      </c>
      <c r="AK3" s="94">
        <f t="shared" ref="AK3:AK27" si="18">AH3-AI3-AJ3</f>
        <v>0</v>
      </c>
      <c r="AL3" s="95">
        <f t="shared" ref="AL3:AL27" si="19">AE3-AF3-AG3</f>
        <v>0</v>
      </c>
      <c r="AM3" s="96" t="str">
        <f t="shared" ref="AM3:AM27" si="20">IF(E3="","",+AE3/AH3)</f>
        <v/>
      </c>
      <c r="AN3" s="94">
        <f t="shared" ref="AN3:AN27" si="21">IF(S3="",M3*E3,S3*E3)</f>
        <v>0</v>
      </c>
      <c r="AP3" s="97">
        <f t="shared" ref="AP3:AP27" si="22">+AN3-AO3</f>
        <v>0</v>
      </c>
      <c r="AQ3" s="94">
        <f t="shared" ref="AQ3:AQ27" si="23">+L3*E3</f>
        <v>0</v>
      </c>
      <c r="AS3" s="95">
        <f t="shared" ref="AS3:AS27" si="24">+AQ3-AR3</f>
        <v>0</v>
      </c>
      <c r="AT3" s="94">
        <f t="shared" ref="AT3:AT27" si="25">IF(P3="",J3*E3,P3*E3)</f>
        <v>0</v>
      </c>
      <c r="AV3" s="95">
        <f t="shared" ref="AV3:AV27" si="26">+AT3-AU3</f>
        <v>0</v>
      </c>
      <c r="AW3" s="94">
        <f t="shared" ref="AW3:AW27" si="27">IF(Q3="",K3*E3,Q3*E3)</f>
        <v>0</v>
      </c>
      <c r="AY3" s="95">
        <f t="shared" ref="AY3:AY27" si="28">+AW3-AX3</f>
        <v>0</v>
      </c>
      <c r="AZ3" s="94">
        <f t="shared" ref="AZ3:AZ27" si="29">+E3*N3</f>
        <v>0</v>
      </c>
      <c r="BA3" s="50"/>
      <c r="BB3" s="95"/>
    </row>
    <row r="4" spans="1:54" ht="15" customHeight="1" x14ac:dyDescent="0.2">
      <c r="A4" s="437"/>
      <c r="B4" s="150" t="s">
        <v>189</v>
      </c>
      <c r="C4" s="85" t="s">
        <v>137</v>
      </c>
      <c r="D4" s="86" t="s">
        <v>213</v>
      </c>
      <c r="E4" s="87"/>
      <c r="F4" s="88">
        <v>133916.66666666701</v>
      </c>
      <c r="G4" s="89">
        <v>5000</v>
      </c>
      <c r="H4" s="90">
        <f t="shared" si="0"/>
        <v>133916.66666666701</v>
      </c>
      <c r="I4" s="89">
        <v>5000</v>
      </c>
      <c r="J4" s="89">
        <f t="shared" si="1"/>
        <v>8035.00000000002</v>
      </c>
      <c r="K4" s="89">
        <f t="shared" si="2"/>
        <v>3347.9166666666752</v>
      </c>
      <c r="L4" s="89">
        <v>7600.15</v>
      </c>
      <c r="M4" s="89">
        <f t="shared" si="3"/>
        <v>86128.333333333547</v>
      </c>
      <c r="N4" s="91"/>
      <c r="O4" s="92"/>
      <c r="P4" s="93"/>
      <c r="Q4" s="93"/>
      <c r="R4" s="93"/>
      <c r="S4" s="93"/>
      <c r="T4" s="93"/>
      <c r="U4" s="94">
        <f t="shared" si="4"/>
        <v>0</v>
      </c>
      <c r="V4" s="50">
        <f t="shared" si="5"/>
        <v>0</v>
      </c>
      <c r="W4" s="95">
        <f t="shared" si="6"/>
        <v>0</v>
      </c>
      <c r="X4" s="94">
        <f t="shared" si="7"/>
        <v>0</v>
      </c>
      <c r="Y4" s="50">
        <f t="shared" si="8"/>
        <v>0</v>
      </c>
      <c r="Z4" s="50">
        <f t="shared" si="9"/>
        <v>0</v>
      </c>
      <c r="AA4" s="50">
        <f t="shared" si="10"/>
        <v>0</v>
      </c>
      <c r="AB4" s="50">
        <f t="shared" si="11"/>
        <v>0</v>
      </c>
      <c r="AC4" s="50">
        <f t="shared" si="12"/>
        <v>0</v>
      </c>
      <c r="AD4" s="50">
        <f t="shared" si="13"/>
        <v>0</v>
      </c>
      <c r="AE4" s="94">
        <f t="shared" si="14"/>
        <v>0</v>
      </c>
      <c r="AG4" s="95">
        <f t="shared" si="15"/>
        <v>0</v>
      </c>
      <c r="AH4" s="94">
        <f t="shared" si="16"/>
        <v>0</v>
      </c>
      <c r="AJ4" s="95">
        <f t="shared" si="17"/>
        <v>0</v>
      </c>
      <c r="AK4" s="94">
        <f t="shared" si="18"/>
        <v>0</v>
      </c>
      <c r="AL4" s="95">
        <f t="shared" si="19"/>
        <v>0</v>
      </c>
      <c r="AM4" s="96" t="str">
        <f t="shared" si="20"/>
        <v/>
      </c>
      <c r="AN4" s="94">
        <f t="shared" si="21"/>
        <v>0</v>
      </c>
      <c r="AP4" s="97">
        <f t="shared" si="22"/>
        <v>0</v>
      </c>
      <c r="AQ4" s="94">
        <f t="shared" si="23"/>
        <v>0</v>
      </c>
      <c r="AS4" s="95">
        <f t="shared" si="24"/>
        <v>0</v>
      </c>
      <c r="AT4" s="94">
        <f t="shared" si="25"/>
        <v>0</v>
      </c>
      <c r="AV4" s="95">
        <f t="shared" si="26"/>
        <v>0</v>
      </c>
      <c r="AW4" s="94">
        <f t="shared" si="27"/>
        <v>0</v>
      </c>
      <c r="AY4" s="95">
        <f t="shared" si="28"/>
        <v>0</v>
      </c>
      <c r="AZ4" s="94">
        <f t="shared" si="29"/>
        <v>0</v>
      </c>
      <c r="BA4" s="50"/>
      <c r="BB4" s="95"/>
    </row>
    <row r="5" spans="1:54" ht="15" customHeight="1" x14ac:dyDescent="0.2">
      <c r="A5" s="437"/>
      <c r="B5" s="150" t="s">
        <v>214</v>
      </c>
      <c r="C5" s="85" t="s">
        <v>137</v>
      </c>
      <c r="D5" s="86" t="s">
        <v>213</v>
      </c>
      <c r="E5" s="87"/>
      <c r="F5" s="88">
        <v>162000</v>
      </c>
      <c r="G5" s="89">
        <v>5000</v>
      </c>
      <c r="H5" s="90">
        <f t="shared" si="0"/>
        <v>162000</v>
      </c>
      <c r="I5" s="89">
        <v>5000</v>
      </c>
      <c r="J5" s="89">
        <f t="shared" si="1"/>
        <v>9720</v>
      </c>
      <c r="K5" s="89">
        <f t="shared" si="2"/>
        <v>4050</v>
      </c>
      <c r="L5" s="89">
        <v>7600.15</v>
      </c>
      <c r="M5" s="89">
        <f t="shared" si="3"/>
        <v>103540</v>
      </c>
      <c r="N5" s="91"/>
      <c r="O5" s="92"/>
      <c r="P5" s="93"/>
      <c r="Q5" s="93"/>
      <c r="R5" s="93"/>
      <c r="S5" s="93"/>
      <c r="T5" s="93"/>
      <c r="U5" s="94">
        <f t="shared" si="4"/>
        <v>0</v>
      </c>
      <c r="V5" s="50">
        <f t="shared" si="5"/>
        <v>0</v>
      </c>
      <c r="W5" s="95">
        <f t="shared" si="6"/>
        <v>0</v>
      </c>
      <c r="X5" s="94">
        <f t="shared" si="7"/>
        <v>0</v>
      </c>
      <c r="Y5" s="50">
        <f t="shared" si="8"/>
        <v>0</v>
      </c>
      <c r="Z5" s="50">
        <f t="shared" si="9"/>
        <v>0</v>
      </c>
      <c r="AA5" s="50">
        <f t="shared" si="10"/>
        <v>0</v>
      </c>
      <c r="AB5" s="50">
        <f t="shared" si="11"/>
        <v>0</v>
      </c>
      <c r="AC5" s="50">
        <f t="shared" si="12"/>
        <v>0</v>
      </c>
      <c r="AD5" s="50">
        <f t="shared" si="13"/>
        <v>0</v>
      </c>
      <c r="AE5" s="94">
        <f t="shared" si="14"/>
        <v>0</v>
      </c>
      <c r="AG5" s="95">
        <f t="shared" si="15"/>
        <v>0</v>
      </c>
      <c r="AH5" s="94">
        <f t="shared" si="16"/>
        <v>0</v>
      </c>
      <c r="AJ5" s="95">
        <f t="shared" si="17"/>
        <v>0</v>
      </c>
      <c r="AK5" s="94">
        <f t="shared" si="18"/>
        <v>0</v>
      </c>
      <c r="AL5" s="95">
        <f t="shared" si="19"/>
        <v>0</v>
      </c>
      <c r="AM5" s="96" t="str">
        <f t="shared" si="20"/>
        <v/>
      </c>
      <c r="AN5" s="94">
        <f t="shared" si="21"/>
        <v>0</v>
      </c>
      <c r="AP5" s="97">
        <f t="shared" si="22"/>
        <v>0</v>
      </c>
      <c r="AQ5" s="94">
        <f t="shared" si="23"/>
        <v>0</v>
      </c>
      <c r="AS5" s="95">
        <f t="shared" si="24"/>
        <v>0</v>
      </c>
      <c r="AT5" s="94">
        <f t="shared" si="25"/>
        <v>0</v>
      </c>
      <c r="AV5" s="95">
        <f t="shared" si="26"/>
        <v>0</v>
      </c>
      <c r="AW5" s="94">
        <f t="shared" si="27"/>
        <v>0</v>
      </c>
      <c r="AY5" s="95">
        <f t="shared" si="28"/>
        <v>0</v>
      </c>
      <c r="AZ5" s="94">
        <f t="shared" si="29"/>
        <v>0</v>
      </c>
      <c r="BA5" s="50"/>
      <c r="BB5" s="95"/>
    </row>
    <row r="6" spans="1:54" ht="15" customHeight="1" x14ac:dyDescent="0.2">
      <c r="A6" s="437"/>
      <c r="B6" s="150" t="s">
        <v>204</v>
      </c>
      <c r="C6" s="85" t="s">
        <v>137</v>
      </c>
      <c r="D6" s="86" t="s">
        <v>213</v>
      </c>
      <c r="E6" s="87"/>
      <c r="F6" s="88">
        <v>106000</v>
      </c>
      <c r="G6" s="89">
        <v>5000</v>
      </c>
      <c r="H6" s="90">
        <f t="shared" si="0"/>
        <v>106000</v>
      </c>
      <c r="I6" s="89">
        <v>5000</v>
      </c>
      <c r="J6" s="89">
        <f t="shared" si="1"/>
        <v>6360</v>
      </c>
      <c r="K6" s="89">
        <f t="shared" si="2"/>
        <v>2650</v>
      </c>
      <c r="L6" s="89">
        <v>7600.15</v>
      </c>
      <c r="M6" s="89">
        <f t="shared" si="3"/>
        <v>68820</v>
      </c>
      <c r="N6" s="91"/>
      <c r="O6" s="92"/>
      <c r="P6" s="93"/>
      <c r="Q6" s="93"/>
      <c r="R6" s="93"/>
      <c r="S6" s="93"/>
      <c r="T6" s="93"/>
      <c r="U6" s="94">
        <f t="shared" si="4"/>
        <v>0</v>
      </c>
      <c r="V6" s="50">
        <f t="shared" si="5"/>
        <v>0</v>
      </c>
      <c r="W6" s="95">
        <f t="shared" si="6"/>
        <v>0</v>
      </c>
      <c r="X6" s="94">
        <f t="shared" si="7"/>
        <v>0</v>
      </c>
      <c r="Y6" s="50">
        <f t="shared" si="8"/>
        <v>0</v>
      </c>
      <c r="Z6" s="50">
        <f t="shared" si="9"/>
        <v>0</v>
      </c>
      <c r="AA6" s="50">
        <f t="shared" si="10"/>
        <v>0</v>
      </c>
      <c r="AB6" s="50">
        <f t="shared" si="11"/>
        <v>0</v>
      </c>
      <c r="AC6" s="50">
        <f t="shared" si="12"/>
        <v>0</v>
      </c>
      <c r="AD6" s="50">
        <f t="shared" si="13"/>
        <v>0</v>
      </c>
      <c r="AE6" s="94">
        <f t="shared" si="14"/>
        <v>0</v>
      </c>
      <c r="AG6" s="95">
        <f t="shared" si="15"/>
        <v>0</v>
      </c>
      <c r="AH6" s="94">
        <f t="shared" si="16"/>
        <v>0</v>
      </c>
      <c r="AJ6" s="95">
        <f t="shared" si="17"/>
        <v>0</v>
      </c>
      <c r="AK6" s="94">
        <f t="shared" si="18"/>
        <v>0</v>
      </c>
      <c r="AL6" s="95">
        <f t="shared" si="19"/>
        <v>0</v>
      </c>
      <c r="AM6" s="96" t="str">
        <f t="shared" si="20"/>
        <v/>
      </c>
      <c r="AN6" s="94">
        <f t="shared" si="21"/>
        <v>0</v>
      </c>
      <c r="AP6" s="97">
        <f t="shared" si="22"/>
        <v>0</v>
      </c>
      <c r="AQ6" s="94">
        <f t="shared" si="23"/>
        <v>0</v>
      </c>
      <c r="AS6" s="95">
        <f t="shared" si="24"/>
        <v>0</v>
      </c>
      <c r="AT6" s="94">
        <f t="shared" si="25"/>
        <v>0</v>
      </c>
      <c r="AV6" s="95">
        <f t="shared" si="26"/>
        <v>0</v>
      </c>
      <c r="AW6" s="94">
        <f t="shared" si="27"/>
        <v>0</v>
      </c>
      <c r="AY6" s="95">
        <f t="shared" si="28"/>
        <v>0</v>
      </c>
      <c r="AZ6" s="94">
        <f t="shared" si="29"/>
        <v>0</v>
      </c>
      <c r="BA6" s="50"/>
      <c r="BB6" s="95"/>
    </row>
    <row r="7" spans="1:54" ht="15" customHeight="1" x14ac:dyDescent="0.2">
      <c r="A7" s="437"/>
      <c r="B7" s="150" t="s">
        <v>162</v>
      </c>
      <c r="C7" s="85" t="s">
        <v>137</v>
      </c>
      <c r="D7" s="86" t="s">
        <v>213</v>
      </c>
      <c r="E7" s="87"/>
      <c r="F7" s="88">
        <v>98333.333333333299</v>
      </c>
      <c r="G7" s="89">
        <v>5000</v>
      </c>
      <c r="H7" s="90">
        <f t="shared" si="0"/>
        <v>98333.333333333299</v>
      </c>
      <c r="I7" s="89">
        <v>5000</v>
      </c>
      <c r="J7" s="89">
        <f t="shared" si="1"/>
        <v>5899.9999999999982</v>
      </c>
      <c r="K7" s="89">
        <f t="shared" si="2"/>
        <v>2458.3333333333326</v>
      </c>
      <c r="L7" s="89">
        <v>7600.15</v>
      </c>
      <c r="M7" s="89">
        <f t="shared" si="3"/>
        <v>64066.666666666642</v>
      </c>
      <c r="N7" s="91"/>
      <c r="O7" s="92"/>
      <c r="P7" s="93"/>
      <c r="Q7" s="93"/>
      <c r="R7" s="93"/>
      <c r="S7" s="93"/>
      <c r="T7" s="93"/>
      <c r="U7" s="94">
        <f t="shared" si="4"/>
        <v>0</v>
      </c>
      <c r="V7" s="50">
        <f t="shared" si="5"/>
        <v>0</v>
      </c>
      <c r="W7" s="95">
        <f t="shared" si="6"/>
        <v>0</v>
      </c>
      <c r="X7" s="94">
        <f t="shared" si="7"/>
        <v>0</v>
      </c>
      <c r="Y7" s="50">
        <f t="shared" si="8"/>
        <v>0</v>
      </c>
      <c r="Z7" s="50">
        <f t="shared" si="9"/>
        <v>0</v>
      </c>
      <c r="AA7" s="50">
        <f t="shared" si="10"/>
        <v>0</v>
      </c>
      <c r="AB7" s="50">
        <f t="shared" si="11"/>
        <v>0</v>
      </c>
      <c r="AC7" s="50">
        <f t="shared" si="12"/>
        <v>0</v>
      </c>
      <c r="AD7" s="50">
        <f t="shared" si="13"/>
        <v>0</v>
      </c>
      <c r="AE7" s="94">
        <f t="shared" si="14"/>
        <v>0</v>
      </c>
      <c r="AG7" s="95">
        <f t="shared" si="15"/>
        <v>0</v>
      </c>
      <c r="AH7" s="94">
        <f t="shared" si="16"/>
        <v>0</v>
      </c>
      <c r="AJ7" s="95">
        <f t="shared" si="17"/>
        <v>0</v>
      </c>
      <c r="AK7" s="94">
        <f t="shared" si="18"/>
        <v>0</v>
      </c>
      <c r="AL7" s="95">
        <f t="shared" si="19"/>
        <v>0</v>
      </c>
      <c r="AM7" s="96" t="str">
        <f t="shared" si="20"/>
        <v/>
      </c>
      <c r="AN7" s="94">
        <f t="shared" si="21"/>
        <v>0</v>
      </c>
      <c r="AP7" s="97">
        <f t="shared" si="22"/>
        <v>0</v>
      </c>
      <c r="AQ7" s="94">
        <f t="shared" si="23"/>
        <v>0</v>
      </c>
      <c r="AS7" s="95">
        <f t="shared" si="24"/>
        <v>0</v>
      </c>
      <c r="AT7" s="94">
        <f t="shared" si="25"/>
        <v>0</v>
      </c>
      <c r="AV7" s="95">
        <f t="shared" si="26"/>
        <v>0</v>
      </c>
      <c r="AW7" s="94">
        <f t="shared" si="27"/>
        <v>0</v>
      </c>
      <c r="AY7" s="95">
        <f t="shared" si="28"/>
        <v>0</v>
      </c>
      <c r="AZ7" s="94">
        <f t="shared" si="29"/>
        <v>0</v>
      </c>
      <c r="BA7" s="50"/>
      <c r="BB7" s="95"/>
    </row>
    <row r="8" spans="1:54" ht="15" customHeight="1" x14ac:dyDescent="0.2">
      <c r="A8" s="437"/>
      <c r="B8" s="150" t="s">
        <v>190</v>
      </c>
      <c r="C8" s="85" t="s">
        <v>137</v>
      </c>
      <c r="D8" s="86" t="s">
        <v>213</v>
      </c>
      <c r="E8" s="87"/>
      <c r="F8" s="88">
        <v>134000</v>
      </c>
      <c r="G8" s="89">
        <v>5000</v>
      </c>
      <c r="H8" s="90">
        <f t="shared" si="0"/>
        <v>134000</v>
      </c>
      <c r="I8" s="89">
        <v>5000</v>
      </c>
      <c r="J8" s="89">
        <f t="shared" si="1"/>
        <v>8040</v>
      </c>
      <c r="K8" s="89">
        <f t="shared" si="2"/>
        <v>3350</v>
      </c>
      <c r="L8" s="89">
        <v>7600.15</v>
      </c>
      <c r="M8" s="89">
        <f t="shared" si="3"/>
        <v>86180</v>
      </c>
      <c r="N8" s="91"/>
      <c r="O8" s="92"/>
      <c r="P8" s="93"/>
      <c r="Q8" s="93"/>
      <c r="R8" s="93"/>
      <c r="S8" s="93"/>
      <c r="T8" s="93"/>
      <c r="U8" s="94">
        <f t="shared" si="4"/>
        <v>0</v>
      </c>
      <c r="V8" s="50">
        <f t="shared" si="5"/>
        <v>0</v>
      </c>
      <c r="W8" s="95">
        <f t="shared" si="6"/>
        <v>0</v>
      </c>
      <c r="X8" s="94">
        <f t="shared" si="7"/>
        <v>0</v>
      </c>
      <c r="Y8" s="50">
        <f t="shared" si="8"/>
        <v>0</v>
      </c>
      <c r="Z8" s="50">
        <f t="shared" si="9"/>
        <v>0</v>
      </c>
      <c r="AA8" s="50">
        <f t="shared" si="10"/>
        <v>0</v>
      </c>
      <c r="AB8" s="50">
        <f t="shared" si="11"/>
        <v>0</v>
      </c>
      <c r="AC8" s="50">
        <f t="shared" si="12"/>
        <v>0</v>
      </c>
      <c r="AD8" s="50">
        <f t="shared" si="13"/>
        <v>0</v>
      </c>
      <c r="AE8" s="94">
        <f t="shared" si="14"/>
        <v>0</v>
      </c>
      <c r="AG8" s="95">
        <f t="shared" si="15"/>
        <v>0</v>
      </c>
      <c r="AH8" s="94">
        <f t="shared" si="16"/>
        <v>0</v>
      </c>
      <c r="AJ8" s="95">
        <f t="shared" si="17"/>
        <v>0</v>
      </c>
      <c r="AK8" s="94">
        <f t="shared" si="18"/>
        <v>0</v>
      </c>
      <c r="AL8" s="95">
        <f t="shared" si="19"/>
        <v>0</v>
      </c>
      <c r="AM8" s="96" t="str">
        <f t="shared" si="20"/>
        <v/>
      </c>
      <c r="AN8" s="94">
        <f t="shared" si="21"/>
        <v>0</v>
      </c>
      <c r="AP8" s="97">
        <f t="shared" si="22"/>
        <v>0</v>
      </c>
      <c r="AQ8" s="94">
        <f t="shared" si="23"/>
        <v>0</v>
      </c>
      <c r="AS8" s="95">
        <f t="shared" si="24"/>
        <v>0</v>
      </c>
      <c r="AT8" s="94">
        <f t="shared" si="25"/>
        <v>0</v>
      </c>
      <c r="AV8" s="95">
        <f t="shared" si="26"/>
        <v>0</v>
      </c>
      <c r="AW8" s="94">
        <f t="shared" si="27"/>
        <v>0</v>
      </c>
      <c r="AY8" s="95">
        <f t="shared" si="28"/>
        <v>0</v>
      </c>
      <c r="AZ8" s="94">
        <f t="shared" si="29"/>
        <v>0</v>
      </c>
      <c r="BA8" s="50"/>
      <c r="BB8" s="95"/>
    </row>
    <row r="9" spans="1:54" ht="15" customHeight="1" x14ac:dyDescent="0.2">
      <c r="A9" s="437"/>
      <c r="B9" s="150" t="s">
        <v>201</v>
      </c>
      <c r="C9" s="85" t="s">
        <v>137</v>
      </c>
      <c r="D9" s="86" t="s">
        <v>213</v>
      </c>
      <c r="E9" s="87"/>
      <c r="F9" s="88">
        <v>122333.33333333299</v>
      </c>
      <c r="G9" s="89">
        <v>5000</v>
      </c>
      <c r="H9" s="90">
        <f t="shared" si="0"/>
        <v>122333.33333333299</v>
      </c>
      <c r="I9" s="89">
        <v>5000</v>
      </c>
      <c r="J9" s="89">
        <f t="shared" si="1"/>
        <v>7339.9999999999791</v>
      </c>
      <c r="K9" s="89">
        <f t="shared" si="2"/>
        <v>3058.3333333333248</v>
      </c>
      <c r="L9" s="89">
        <v>7600.15</v>
      </c>
      <c r="M9" s="89">
        <f t="shared" si="3"/>
        <v>78946.666666666453</v>
      </c>
      <c r="N9" s="91"/>
      <c r="O9" s="92"/>
      <c r="P9" s="93"/>
      <c r="Q9" s="93"/>
      <c r="R9" s="93"/>
      <c r="S9" s="93"/>
      <c r="T9" s="93"/>
      <c r="U9" s="94">
        <f t="shared" si="4"/>
        <v>0</v>
      </c>
      <c r="V9" s="50">
        <f t="shared" si="5"/>
        <v>0</v>
      </c>
      <c r="W9" s="95">
        <f t="shared" si="6"/>
        <v>0</v>
      </c>
      <c r="X9" s="94">
        <f t="shared" si="7"/>
        <v>0</v>
      </c>
      <c r="Y9" s="50">
        <f t="shared" si="8"/>
        <v>0</v>
      </c>
      <c r="Z9" s="50">
        <f t="shared" si="9"/>
        <v>0</v>
      </c>
      <c r="AA9" s="50">
        <f t="shared" si="10"/>
        <v>0</v>
      </c>
      <c r="AB9" s="50">
        <f t="shared" si="11"/>
        <v>0</v>
      </c>
      <c r="AC9" s="50">
        <f t="shared" si="12"/>
        <v>0</v>
      </c>
      <c r="AD9" s="50">
        <f t="shared" si="13"/>
        <v>0</v>
      </c>
      <c r="AE9" s="94">
        <f t="shared" si="14"/>
        <v>0</v>
      </c>
      <c r="AG9" s="95">
        <f t="shared" si="15"/>
        <v>0</v>
      </c>
      <c r="AH9" s="94">
        <f t="shared" si="16"/>
        <v>0</v>
      </c>
      <c r="AJ9" s="95">
        <f t="shared" si="17"/>
        <v>0</v>
      </c>
      <c r="AK9" s="94">
        <f t="shared" si="18"/>
        <v>0</v>
      </c>
      <c r="AL9" s="95">
        <f t="shared" si="19"/>
        <v>0</v>
      </c>
      <c r="AM9" s="96" t="str">
        <f t="shared" si="20"/>
        <v/>
      </c>
      <c r="AN9" s="94">
        <f t="shared" si="21"/>
        <v>0</v>
      </c>
      <c r="AP9" s="97">
        <f t="shared" si="22"/>
        <v>0</v>
      </c>
      <c r="AQ9" s="94">
        <f t="shared" si="23"/>
        <v>0</v>
      </c>
      <c r="AS9" s="95">
        <f t="shared" si="24"/>
        <v>0</v>
      </c>
      <c r="AT9" s="94">
        <f t="shared" si="25"/>
        <v>0</v>
      </c>
      <c r="AV9" s="95">
        <f t="shared" si="26"/>
        <v>0</v>
      </c>
      <c r="AW9" s="94">
        <f t="shared" si="27"/>
        <v>0</v>
      </c>
      <c r="AY9" s="95">
        <f t="shared" si="28"/>
        <v>0</v>
      </c>
      <c r="AZ9" s="94">
        <f t="shared" si="29"/>
        <v>0</v>
      </c>
      <c r="BA9" s="50"/>
      <c r="BB9" s="95"/>
    </row>
    <row r="10" spans="1:54" ht="15" customHeight="1" x14ac:dyDescent="0.2">
      <c r="A10" s="437"/>
      <c r="B10" s="150" t="s">
        <v>191</v>
      </c>
      <c r="C10" s="85" t="s">
        <v>137</v>
      </c>
      <c r="D10" s="86" t="s">
        <v>213</v>
      </c>
      <c r="E10" s="87"/>
      <c r="F10" s="88">
        <v>134333.33333333299</v>
      </c>
      <c r="G10" s="89">
        <v>5000</v>
      </c>
      <c r="H10" s="90">
        <f t="shared" si="0"/>
        <v>134333.33333333299</v>
      </c>
      <c r="I10" s="89">
        <v>5000</v>
      </c>
      <c r="J10" s="89">
        <f t="shared" si="1"/>
        <v>8059.9999999999791</v>
      </c>
      <c r="K10" s="89">
        <f t="shared" si="2"/>
        <v>3358.3333333333248</v>
      </c>
      <c r="L10" s="89">
        <v>7600.15</v>
      </c>
      <c r="M10" s="89">
        <f t="shared" si="3"/>
        <v>86386.666666666453</v>
      </c>
      <c r="N10" s="91"/>
      <c r="O10" s="92"/>
      <c r="P10" s="93"/>
      <c r="Q10" s="93"/>
      <c r="R10" s="93"/>
      <c r="S10" s="93"/>
      <c r="T10" s="93"/>
      <c r="U10" s="94">
        <f t="shared" si="4"/>
        <v>0</v>
      </c>
      <c r="V10" s="50">
        <f t="shared" si="5"/>
        <v>0</v>
      </c>
      <c r="W10" s="95">
        <f t="shared" si="6"/>
        <v>0</v>
      </c>
      <c r="X10" s="94">
        <f t="shared" si="7"/>
        <v>0</v>
      </c>
      <c r="Y10" s="50">
        <f t="shared" si="8"/>
        <v>0</v>
      </c>
      <c r="Z10" s="50">
        <f t="shared" si="9"/>
        <v>0</v>
      </c>
      <c r="AA10" s="50">
        <f t="shared" si="10"/>
        <v>0</v>
      </c>
      <c r="AB10" s="50">
        <f t="shared" si="11"/>
        <v>0</v>
      </c>
      <c r="AC10" s="50">
        <f t="shared" si="12"/>
        <v>0</v>
      </c>
      <c r="AD10" s="50">
        <f t="shared" si="13"/>
        <v>0</v>
      </c>
      <c r="AE10" s="94">
        <f t="shared" si="14"/>
        <v>0</v>
      </c>
      <c r="AG10" s="95">
        <f t="shared" si="15"/>
        <v>0</v>
      </c>
      <c r="AH10" s="94">
        <f t="shared" si="16"/>
        <v>0</v>
      </c>
      <c r="AJ10" s="95">
        <f t="shared" si="17"/>
        <v>0</v>
      </c>
      <c r="AK10" s="94">
        <f t="shared" si="18"/>
        <v>0</v>
      </c>
      <c r="AL10" s="95">
        <f t="shared" si="19"/>
        <v>0</v>
      </c>
      <c r="AM10" s="96" t="str">
        <f t="shared" si="20"/>
        <v/>
      </c>
      <c r="AN10" s="94">
        <f t="shared" si="21"/>
        <v>0</v>
      </c>
      <c r="AP10" s="97">
        <f t="shared" si="22"/>
        <v>0</v>
      </c>
      <c r="AQ10" s="94">
        <f t="shared" si="23"/>
        <v>0</v>
      </c>
      <c r="AS10" s="95">
        <f t="shared" si="24"/>
        <v>0</v>
      </c>
      <c r="AT10" s="94">
        <f t="shared" si="25"/>
        <v>0</v>
      </c>
      <c r="AV10" s="95">
        <f t="shared" si="26"/>
        <v>0</v>
      </c>
      <c r="AW10" s="94">
        <f t="shared" si="27"/>
        <v>0</v>
      </c>
      <c r="AY10" s="95">
        <f t="shared" si="28"/>
        <v>0</v>
      </c>
      <c r="AZ10" s="94">
        <f t="shared" si="29"/>
        <v>0</v>
      </c>
      <c r="BA10" s="50"/>
      <c r="BB10" s="95"/>
    </row>
    <row r="11" spans="1:54" ht="15" customHeight="1" x14ac:dyDescent="0.2">
      <c r="A11" s="437"/>
      <c r="B11" s="150" t="s">
        <v>215</v>
      </c>
      <c r="C11" s="85" t="s">
        <v>137</v>
      </c>
      <c r="D11" s="86" t="s">
        <v>213</v>
      </c>
      <c r="E11" s="87"/>
      <c r="F11" s="88">
        <v>128916.66666666701</v>
      </c>
      <c r="G11" s="89">
        <v>5000</v>
      </c>
      <c r="H11" s="90">
        <f t="shared" si="0"/>
        <v>128916.66666666701</v>
      </c>
      <c r="I11" s="89">
        <v>5000</v>
      </c>
      <c r="J11" s="89">
        <f t="shared" si="1"/>
        <v>7735.00000000002</v>
      </c>
      <c r="K11" s="89">
        <f t="shared" si="2"/>
        <v>3222.9166666666752</v>
      </c>
      <c r="L11" s="89">
        <v>7600.15</v>
      </c>
      <c r="M11" s="89">
        <f t="shared" si="3"/>
        <v>83028.333333333547</v>
      </c>
      <c r="N11" s="91"/>
      <c r="O11" s="92"/>
      <c r="P11" s="93"/>
      <c r="Q11" s="93"/>
      <c r="R11" s="93"/>
      <c r="S11" s="93"/>
      <c r="T11" s="93"/>
      <c r="U11" s="94">
        <f t="shared" si="4"/>
        <v>0</v>
      </c>
      <c r="V11" s="50">
        <f t="shared" si="5"/>
        <v>0</v>
      </c>
      <c r="W11" s="95">
        <f t="shared" si="6"/>
        <v>0</v>
      </c>
      <c r="X11" s="94">
        <f t="shared" si="7"/>
        <v>0</v>
      </c>
      <c r="Y11" s="50">
        <f t="shared" si="8"/>
        <v>0</v>
      </c>
      <c r="Z11" s="50">
        <f t="shared" si="9"/>
        <v>0</v>
      </c>
      <c r="AA11" s="50">
        <f t="shared" si="10"/>
        <v>0</v>
      </c>
      <c r="AB11" s="50">
        <f t="shared" si="11"/>
        <v>0</v>
      </c>
      <c r="AC11" s="50">
        <f t="shared" si="12"/>
        <v>0</v>
      </c>
      <c r="AD11" s="50">
        <f t="shared" si="13"/>
        <v>0</v>
      </c>
      <c r="AE11" s="94">
        <f t="shared" si="14"/>
        <v>0</v>
      </c>
      <c r="AG11" s="95">
        <f t="shared" si="15"/>
        <v>0</v>
      </c>
      <c r="AH11" s="94">
        <f t="shared" si="16"/>
        <v>0</v>
      </c>
      <c r="AJ11" s="95">
        <f t="shared" si="17"/>
        <v>0</v>
      </c>
      <c r="AK11" s="94">
        <f t="shared" si="18"/>
        <v>0</v>
      </c>
      <c r="AL11" s="95">
        <f t="shared" si="19"/>
        <v>0</v>
      </c>
      <c r="AM11" s="96" t="str">
        <f t="shared" si="20"/>
        <v/>
      </c>
      <c r="AN11" s="94">
        <f t="shared" si="21"/>
        <v>0</v>
      </c>
      <c r="AP11" s="97">
        <f t="shared" si="22"/>
        <v>0</v>
      </c>
      <c r="AQ11" s="94">
        <f t="shared" si="23"/>
        <v>0</v>
      </c>
      <c r="AS11" s="95">
        <f t="shared" si="24"/>
        <v>0</v>
      </c>
      <c r="AT11" s="94">
        <f t="shared" si="25"/>
        <v>0</v>
      </c>
      <c r="AV11" s="95">
        <f t="shared" si="26"/>
        <v>0</v>
      </c>
      <c r="AW11" s="94">
        <f t="shared" si="27"/>
        <v>0</v>
      </c>
      <c r="AY11" s="95">
        <f t="shared" si="28"/>
        <v>0</v>
      </c>
      <c r="AZ11" s="94">
        <f t="shared" si="29"/>
        <v>0</v>
      </c>
      <c r="BA11" s="50"/>
      <c r="BB11" s="95"/>
    </row>
    <row r="12" spans="1:54" ht="15" customHeight="1" x14ac:dyDescent="0.2">
      <c r="A12" s="437"/>
      <c r="B12" s="150" t="s">
        <v>192</v>
      </c>
      <c r="C12" s="85" t="s">
        <v>137</v>
      </c>
      <c r="D12" s="86" t="s">
        <v>213</v>
      </c>
      <c r="E12" s="87"/>
      <c r="F12" s="88">
        <v>113166.66666666701</v>
      </c>
      <c r="G12" s="89">
        <v>5000</v>
      </c>
      <c r="H12" s="90">
        <f t="shared" si="0"/>
        <v>113166.66666666701</v>
      </c>
      <c r="I12" s="89">
        <v>5000</v>
      </c>
      <c r="J12" s="89">
        <f t="shared" si="1"/>
        <v>6790.00000000002</v>
      </c>
      <c r="K12" s="89">
        <f t="shared" si="2"/>
        <v>2829.1666666666752</v>
      </c>
      <c r="L12" s="89">
        <v>7600.15</v>
      </c>
      <c r="M12" s="89">
        <f t="shared" si="3"/>
        <v>73263.333333333547</v>
      </c>
      <c r="N12" s="91"/>
      <c r="O12" s="92"/>
      <c r="P12" s="93"/>
      <c r="Q12" s="93"/>
      <c r="R12" s="93"/>
      <c r="S12" s="93"/>
      <c r="T12" s="93"/>
      <c r="U12" s="94">
        <f t="shared" si="4"/>
        <v>0</v>
      </c>
      <c r="V12" s="50">
        <f t="shared" si="5"/>
        <v>0</v>
      </c>
      <c r="W12" s="95">
        <f t="shared" si="6"/>
        <v>0</v>
      </c>
      <c r="X12" s="94">
        <f t="shared" si="7"/>
        <v>0</v>
      </c>
      <c r="Y12" s="50">
        <f t="shared" si="8"/>
        <v>0</v>
      </c>
      <c r="Z12" s="50">
        <f t="shared" si="9"/>
        <v>0</v>
      </c>
      <c r="AA12" s="50">
        <f t="shared" si="10"/>
        <v>0</v>
      </c>
      <c r="AB12" s="50">
        <f t="shared" si="11"/>
        <v>0</v>
      </c>
      <c r="AC12" s="50">
        <f t="shared" si="12"/>
        <v>0</v>
      </c>
      <c r="AD12" s="50">
        <f t="shared" si="13"/>
        <v>0</v>
      </c>
      <c r="AE12" s="94">
        <f t="shared" si="14"/>
        <v>0</v>
      </c>
      <c r="AG12" s="95">
        <f t="shared" si="15"/>
        <v>0</v>
      </c>
      <c r="AH12" s="94">
        <f t="shared" si="16"/>
        <v>0</v>
      </c>
      <c r="AJ12" s="95">
        <f t="shared" si="17"/>
        <v>0</v>
      </c>
      <c r="AK12" s="94">
        <f t="shared" si="18"/>
        <v>0</v>
      </c>
      <c r="AL12" s="95">
        <f t="shared" si="19"/>
        <v>0</v>
      </c>
      <c r="AM12" s="96" t="str">
        <f t="shared" si="20"/>
        <v/>
      </c>
      <c r="AN12" s="94">
        <f t="shared" si="21"/>
        <v>0</v>
      </c>
      <c r="AP12" s="97">
        <f t="shared" si="22"/>
        <v>0</v>
      </c>
      <c r="AQ12" s="94">
        <f t="shared" si="23"/>
        <v>0</v>
      </c>
      <c r="AS12" s="95">
        <f t="shared" si="24"/>
        <v>0</v>
      </c>
      <c r="AT12" s="94">
        <f t="shared" si="25"/>
        <v>0</v>
      </c>
      <c r="AV12" s="95">
        <f t="shared" si="26"/>
        <v>0</v>
      </c>
      <c r="AW12" s="94">
        <f t="shared" si="27"/>
        <v>0</v>
      </c>
      <c r="AY12" s="95">
        <f t="shared" si="28"/>
        <v>0</v>
      </c>
      <c r="AZ12" s="94">
        <f t="shared" si="29"/>
        <v>0</v>
      </c>
      <c r="BA12" s="50"/>
      <c r="BB12" s="95"/>
    </row>
    <row r="13" spans="1:54" ht="15" customHeight="1" x14ac:dyDescent="0.2">
      <c r="A13" s="437"/>
      <c r="B13" s="150" t="s">
        <v>216</v>
      </c>
      <c r="C13" s="85" t="s">
        <v>137</v>
      </c>
      <c r="D13" s="86" t="s">
        <v>213</v>
      </c>
      <c r="E13" s="87"/>
      <c r="F13" s="88">
        <v>98166.666666666701</v>
      </c>
      <c r="G13" s="89">
        <v>5000</v>
      </c>
      <c r="H13" s="90">
        <f t="shared" si="0"/>
        <v>98166.666666666701</v>
      </c>
      <c r="I13" s="89">
        <v>5000</v>
      </c>
      <c r="J13" s="89">
        <f t="shared" si="1"/>
        <v>5890.0000000000018</v>
      </c>
      <c r="K13" s="89">
        <f t="shared" si="2"/>
        <v>2454.1666666666674</v>
      </c>
      <c r="L13" s="89">
        <v>7600.15</v>
      </c>
      <c r="M13" s="89">
        <f t="shared" si="3"/>
        <v>63963.33333333335</v>
      </c>
      <c r="N13" s="91"/>
      <c r="O13" s="92"/>
      <c r="P13" s="93"/>
      <c r="Q13" s="93"/>
      <c r="R13" s="93"/>
      <c r="S13" s="93"/>
      <c r="T13" s="93"/>
      <c r="U13" s="94">
        <f t="shared" si="4"/>
        <v>0</v>
      </c>
      <c r="V13" s="50">
        <f t="shared" si="5"/>
        <v>0</v>
      </c>
      <c r="W13" s="95">
        <f t="shared" si="6"/>
        <v>0</v>
      </c>
      <c r="X13" s="94">
        <f t="shared" si="7"/>
        <v>0</v>
      </c>
      <c r="Y13" s="50">
        <f t="shared" si="8"/>
        <v>0</v>
      </c>
      <c r="Z13" s="50">
        <f t="shared" si="9"/>
        <v>0</v>
      </c>
      <c r="AA13" s="50">
        <f t="shared" si="10"/>
        <v>0</v>
      </c>
      <c r="AB13" s="50">
        <f t="shared" si="11"/>
        <v>0</v>
      </c>
      <c r="AC13" s="50">
        <f t="shared" si="12"/>
        <v>0</v>
      </c>
      <c r="AD13" s="50">
        <f t="shared" si="13"/>
        <v>0</v>
      </c>
      <c r="AE13" s="94">
        <f t="shared" si="14"/>
        <v>0</v>
      </c>
      <c r="AG13" s="95">
        <f t="shared" si="15"/>
        <v>0</v>
      </c>
      <c r="AH13" s="94">
        <f t="shared" si="16"/>
        <v>0</v>
      </c>
      <c r="AJ13" s="95">
        <f t="shared" si="17"/>
        <v>0</v>
      </c>
      <c r="AK13" s="94">
        <f t="shared" si="18"/>
        <v>0</v>
      </c>
      <c r="AL13" s="95">
        <f t="shared" si="19"/>
        <v>0</v>
      </c>
      <c r="AM13" s="96" t="str">
        <f t="shared" si="20"/>
        <v/>
      </c>
      <c r="AN13" s="94">
        <f t="shared" si="21"/>
        <v>0</v>
      </c>
      <c r="AP13" s="97">
        <f t="shared" si="22"/>
        <v>0</v>
      </c>
      <c r="AQ13" s="94">
        <f t="shared" si="23"/>
        <v>0</v>
      </c>
      <c r="AS13" s="95">
        <f t="shared" si="24"/>
        <v>0</v>
      </c>
      <c r="AT13" s="94">
        <f t="shared" si="25"/>
        <v>0</v>
      </c>
      <c r="AV13" s="95">
        <f t="shared" si="26"/>
        <v>0</v>
      </c>
      <c r="AW13" s="94">
        <f t="shared" si="27"/>
        <v>0</v>
      </c>
      <c r="AY13" s="95">
        <f t="shared" si="28"/>
        <v>0</v>
      </c>
      <c r="AZ13" s="94">
        <f t="shared" si="29"/>
        <v>0</v>
      </c>
      <c r="BA13" s="50"/>
      <c r="BB13" s="95"/>
    </row>
    <row r="14" spans="1:54" ht="15" customHeight="1" x14ac:dyDescent="0.2">
      <c r="A14" s="437"/>
      <c r="B14" s="150" t="s">
        <v>206</v>
      </c>
      <c r="C14" s="85" t="s">
        <v>137</v>
      </c>
      <c r="D14" s="86" t="s">
        <v>213</v>
      </c>
      <c r="E14" s="87"/>
      <c r="F14" s="88">
        <v>98166.666666666701</v>
      </c>
      <c r="G14" s="89">
        <v>5000</v>
      </c>
      <c r="H14" s="90">
        <f t="shared" si="0"/>
        <v>98166.666666666701</v>
      </c>
      <c r="I14" s="89">
        <v>5000</v>
      </c>
      <c r="J14" s="89">
        <f t="shared" si="1"/>
        <v>5890.0000000000018</v>
      </c>
      <c r="K14" s="89">
        <f t="shared" si="2"/>
        <v>2454.1666666666674</v>
      </c>
      <c r="L14" s="89">
        <v>7600.15</v>
      </c>
      <c r="M14" s="89">
        <f t="shared" si="3"/>
        <v>63963.33333333335</v>
      </c>
      <c r="N14" s="91"/>
      <c r="O14" s="92"/>
      <c r="P14" s="93"/>
      <c r="Q14" s="93"/>
      <c r="R14" s="93"/>
      <c r="S14" s="93"/>
      <c r="T14" s="93"/>
      <c r="U14" s="94">
        <f t="shared" si="4"/>
        <v>0</v>
      </c>
      <c r="V14" s="50">
        <f t="shared" si="5"/>
        <v>0</v>
      </c>
      <c r="W14" s="95">
        <f t="shared" si="6"/>
        <v>0</v>
      </c>
      <c r="X14" s="94">
        <f t="shared" si="7"/>
        <v>0</v>
      </c>
      <c r="Y14" s="50">
        <f t="shared" si="8"/>
        <v>0</v>
      </c>
      <c r="Z14" s="50">
        <f t="shared" si="9"/>
        <v>0</v>
      </c>
      <c r="AA14" s="50">
        <f t="shared" si="10"/>
        <v>0</v>
      </c>
      <c r="AB14" s="50">
        <f t="shared" si="11"/>
        <v>0</v>
      </c>
      <c r="AC14" s="50">
        <f t="shared" si="12"/>
        <v>0</v>
      </c>
      <c r="AD14" s="50">
        <f t="shared" si="13"/>
        <v>0</v>
      </c>
      <c r="AE14" s="94">
        <f t="shared" si="14"/>
        <v>0</v>
      </c>
      <c r="AG14" s="95">
        <f t="shared" si="15"/>
        <v>0</v>
      </c>
      <c r="AH14" s="94">
        <f t="shared" si="16"/>
        <v>0</v>
      </c>
      <c r="AJ14" s="95">
        <f t="shared" si="17"/>
        <v>0</v>
      </c>
      <c r="AK14" s="94">
        <f t="shared" si="18"/>
        <v>0</v>
      </c>
      <c r="AL14" s="95">
        <f t="shared" si="19"/>
        <v>0</v>
      </c>
      <c r="AM14" s="96" t="str">
        <f t="shared" si="20"/>
        <v/>
      </c>
      <c r="AN14" s="94">
        <f t="shared" si="21"/>
        <v>0</v>
      </c>
      <c r="AP14" s="97">
        <f t="shared" si="22"/>
        <v>0</v>
      </c>
      <c r="AQ14" s="94">
        <f t="shared" si="23"/>
        <v>0</v>
      </c>
      <c r="AS14" s="95">
        <f t="shared" si="24"/>
        <v>0</v>
      </c>
      <c r="AT14" s="94">
        <f t="shared" si="25"/>
        <v>0</v>
      </c>
      <c r="AV14" s="95">
        <f t="shared" si="26"/>
        <v>0</v>
      </c>
      <c r="AW14" s="94">
        <f t="shared" si="27"/>
        <v>0</v>
      </c>
      <c r="AY14" s="95">
        <f t="shared" si="28"/>
        <v>0</v>
      </c>
      <c r="AZ14" s="94">
        <f t="shared" si="29"/>
        <v>0</v>
      </c>
      <c r="BA14" s="50"/>
      <c r="BB14" s="95"/>
    </row>
    <row r="15" spans="1:54" ht="15" customHeight="1" x14ac:dyDescent="0.2">
      <c r="A15" s="437"/>
      <c r="B15" s="150" t="s">
        <v>217</v>
      </c>
      <c r="C15" s="85" t="s">
        <v>137</v>
      </c>
      <c r="D15" s="86" t="s">
        <v>213</v>
      </c>
      <c r="E15" s="87"/>
      <c r="F15" s="88">
        <v>98166.666666666701</v>
      </c>
      <c r="G15" s="89">
        <v>5000</v>
      </c>
      <c r="H15" s="90">
        <f t="shared" si="0"/>
        <v>98166.666666666701</v>
      </c>
      <c r="I15" s="89">
        <v>5000</v>
      </c>
      <c r="J15" s="89">
        <f t="shared" si="1"/>
        <v>5890.0000000000018</v>
      </c>
      <c r="K15" s="89">
        <f t="shared" si="2"/>
        <v>2454.1666666666674</v>
      </c>
      <c r="L15" s="89">
        <v>7600.15</v>
      </c>
      <c r="M15" s="89">
        <f t="shared" si="3"/>
        <v>63963.33333333335</v>
      </c>
      <c r="N15" s="91"/>
      <c r="O15" s="92"/>
      <c r="P15" s="93"/>
      <c r="Q15" s="93"/>
      <c r="R15" s="93"/>
      <c r="S15" s="93"/>
      <c r="T15" s="93"/>
      <c r="U15" s="94">
        <f t="shared" si="4"/>
        <v>0</v>
      </c>
      <c r="V15" s="50">
        <f t="shared" si="5"/>
        <v>0</v>
      </c>
      <c r="W15" s="95">
        <f t="shared" si="6"/>
        <v>0</v>
      </c>
      <c r="X15" s="94">
        <f t="shared" si="7"/>
        <v>0</v>
      </c>
      <c r="Y15" s="50">
        <f t="shared" si="8"/>
        <v>0</v>
      </c>
      <c r="Z15" s="50">
        <f t="shared" si="9"/>
        <v>0</v>
      </c>
      <c r="AA15" s="50">
        <f t="shared" si="10"/>
        <v>0</v>
      </c>
      <c r="AB15" s="50">
        <f t="shared" si="11"/>
        <v>0</v>
      </c>
      <c r="AC15" s="50">
        <f t="shared" si="12"/>
        <v>0</v>
      </c>
      <c r="AD15" s="50">
        <f t="shared" si="13"/>
        <v>0</v>
      </c>
      <c r="AE15" s="94">
        <f t="shared" si="14"/>
        <v>0</v>
      </c>
      <c r="AG15" s="95">
        <f t="shared" si="15"/>
        <v>0</v>
      </c>
      <c r="AH15" s="94">
        <f t="shared" si="16"/>
        <v>0</v>
      </c>
      <c r="AJ15" s="95">
        <f t="shared" si="17"/>
        <v>0</v>
      </c>
      <c r="AK15" s="94">
        <f t="shared" si="18"/>
        <v>0</v>
      </c>
      <c r="AL15" s="95">
        <f t="shared" si="19"/>
        <v>0</v>
      </c>
      <c r="AM15" s="96" t="str">
        <f t="shared" si="20"/>
        <v/>
      </c>
      <c r="AN15" s="94">
        <f t="shared" si="21"/>
        <v>0</v>
      </c>
      <c r="AP15" s="97">
        <f t="shared" si="22"/>
        <v>0</v>
      </c>
      <c r="AQ15" s="94">
        <f t="shared" si="23"/>
        <v>0</v>
      </c>
      <c r="AS15" s="95">
        <f t="shared" si="24"/>
        <v>0</v>
      </c>
      <c r="AT15" s="94">
        <f t="shared" si="25"/>
        <v>0</v>
      </c>
      <c r="AV15" s="95">
        <f t="shared" si="26"/>
        <v>0</v>
      </c>
      <c r="AW15" s="94">
        <f t="shared" si="27"/>
        <v>0</v>
      </c>
      <c r="AY15" s="95">
        <f t="shared" si="28"/>
        <v>0</v>
      </c>
      <c r="AZ15" s="94">
        <f t="shared" si="29"/>
        <v>0</v>
      </c>
      <c r="BA15" s="50"/>
      <c r="BB15" s="95"/>
    </row>
    <row r="16" spans="1:54" ht="15" customHeight="1" x14ac:dyDescent="0.2">
      <c r="A16" s="437"/>
      <c r="B16" s="150" t="s">
        <v>194</v>
      </c>
      <c r="C16" s="85" t="s">
        <v>137</v>
      </c>
      <c r="D16" s="86" t="s">
        <v>213</v>
      </c>
      <c r="E16" s="87"/>
      <c r="F16" s="88">
        <v>129333.33333333299</v>
      </c>
      <c r="G16" s="89">
        <v>5000</v>
      </c>
      <c r="H16" s="90">
        <f t="shared" si="0"/>
        <v>129333.33333333299</v>
      </c>
      <c r="I16" s="89">
        <v>5000</v>
      </c>
      <c r="J16" s="89">
        <f t="shared" si="1"/>
        <v>7759.9999999999791</v>
      </c>
      <c r="K16" s="89">
        <f t="shared" si="2"/>
        <v>3233.3333333333248</v>
      </c>
      <c r="L16" s="89">
        <v>7600.15</v>
      </c>
      <c r="M16" s="89">
        <f t="shared" si="3"/>
        <v>83286.666666666453</v>
      </c>
      <c r="N16" s="91"/>
      <c r="O16" s="92"/>
      <c r="P16" s="93"/>
      <c r="Q16" s="93"/>
      <c r="R16" s="93"/>
      <c r="S16" s="93"/>
      <c r="T16" s="93"/>
      <c r="U16" s="94">
        <f t="shared" si="4"/>
        <v>0</v>
      </c>
      <c r="V16" s="50">
        <f t="shared" si="5"/>
        <v>0</v>
      </c>
      <c r="W16" s="95">
        <f t="shared" si="6"/>
        <v>0</v>
      </c>
      <c r="X16" s="94">
        <f t="shared" si="7"/>
        <v>0</v>
      </c>
      <c r="Y16" s="50">
        <f t="shared" si="8"/>
        <v>0</v>
      </c>
      <c r="Z16" s="50">
        <f t="shared" si="9"/>
        <v>0</v>
      </c>
      <c r="AA16" s="50">
        <f t="shared" si="10"/>
        <v>0</v>
      </c>
      <c r="AB16" s="50">
        <f t="shared" si="11"/>
        <v>0</v>
      </c>
      <c r="AC16" s="50">
        <f t="shared" si="12"/>
        <v>0</v>
      </c>
      <c r="AD16" s="50">
        <f t="shared" si="13"/>
        <v>0</v>
      </c>
      <c r="AE16" s="94">
        <f t="shared" si="14"/>
        <v>0</v>
      </c>
      <c r="AG16" s="95">
        <f t="shared" si="15"/>
        <v>0</v>
      </c>
      <c r="AH16" s="94">
        <f t="shared" si="16"/>
        <v>0</v>
      </c>
      <c r="AJ16" s="95">
        <f t="shared" si="17"/>
        <v>0</v>
      </c>
      <c r="AK16" s="94">
        <f t="shared" si="18"/>
        <v>0</v>
      </c>
      <c r="AL16" s="95">
        <f t="shared" si="19"/>
        <v>0</v>
      </c>
      <c r="AM16" s="96" t="str">
        <f t="shared" si="20"/>
        <v/>
      </c>
      <c r="AN16" s="94">
        <f t="shared" si="21"/>
        <v>0</v>
      </c>
      <c r="AP16" s="97">
        <f t="shared" si="22"/>
        <v>0</v>
      </c>
      <c r="AQ16" s="94">
        <f t="shared" si="23"/>
        <v>0</v>
      </c>
      <c r="AS16" s="95">
        <f t="shared" si="24"/>
        <v>0</v>
      </c>
      <c r="AT16" s="94">
        <f t="shared" si="25"/>
        <v>0</v>
      </c>
      <c r="AV16" s="95">
        <f t="shared" si="26"/>
        <v>0</v>
      </c>
      <c r="AW16" s="94">
        <f t="shared" si="27"/>
        <v>0</v>
      </c>
      <c r="AY16" s="95">
        <f t="shared" si="28"/>
        <v>0</v>
      </c>
      <c r="AZ16" s="94">
        <f t="shared" si="29"/>
        <v>0</v>
      </c>
      <c r="BA16" s="50"/>
      <c r="BB16" s="95"/>
    </row>
    <row r="17" spans="1:54" ht="15" customHeight="1" x14ac:dyDescent="0.2">
      <c r="A17" s="437"/>
      <c r="B17" s="152" t="s">
        <v>163</v>
      </c>
      <c r="C17" s="85" t="s">
        <v>137</v>
      </c>
      <c r="D17" s="86" t="s">
        <v>213</v>
      </c>
      <c r="E17" s="87">
        <f>VLOOKUP(D17,'% avancement'!$E$5:$F$11,2,FALSE())</f>
        <v>0.1</v>
      </c>
      <c r="F17" s="88">
        <v>137916.66666666701</v>
      </c>
      <c r="G17" s="89">
        <v>5000</v>
      </c>
      <c r="H17" s="90">
        <f t="shared" si="0"/>
        <v>137916.66666666701</v>
      </c>
      <c r="I17" s="89">
        <v>5000</v>
      </c>
      <c r="J17" s="89">
        <f t="shared" si="1"/>
        <v>8275.00000000002</v>
      </c>
      <c r="K17" s="89">
        <f t="shared" si="2"/>
        <v>3447.9166666666752</v>
      </c>
      <c r="L17" s="89">
        <v>7600.15</v>
      </c>
      <c r="M17" s="89">
        <f t="shared" si="3"/>
        <v>88608.333333333547</v>
      </c>
      <c r="N17" s="91"/>
      <c r="O17" s="92"/>
      <c r="P17" s="93"/>
      <c r="Q17" s="93"/>
      <c r="R17" s="93"/>
      <c r="S17" s="93"/>
      <c r="T17" s="93"/>
      <c r="U17" s="94">
        <f t="shared" si="4"/>
        <v>14291.666666666701</v>
      </c>
      <c r="V17" s="50">
        <f t="shared" si="5"/>
        <v>0</v>
      </c>
      <c r="W17" s="95">
        <f t="shared" si="6"/>
        <v>500</v>
      </c>
      <c r="X17" s="94">
        <f t="shared" si="7"/>
        <v>827.50000000000205</v>
      </c>
      <c r="Y17" s="50">
        <f t="shared" si="8"/>
        <v>0</v>
      </c>
      <c r="Z17" s="50">
        <f t="shared" si="9"/>
        <v>344.79166666666754</v>
      </c>
      <c r="AA17" s="50">
        <f t="shared" si="10"/>
        <v>0</v>
      </c>
      <c r="AB17" s="50">
        <f t="shared" si="11"/>
        <v>760.01499999999999</v>
      </c>
      <c r="AC17" s="50">
        <f t="shared" si="12"/>
        <v>8860.8333333333558</v>
      </c>
      <c r="AD17" s="50">
        <f t="shared" si="13"/>
        <v>0</v>
      </c>
      <c r="AE17" s="94">
        <f t="shared" si="14"/>
        <v>29985.266666666779</v>
      </c>
      <c r="AG17" s="95">
        <f t="shared" si="15"/>
        <v>2998.526666666678</v>
      </c>
      <c r="AH17" s="94">
        <f t="shared" si="16"/>
        <v>137916.66666666701</v>
      </c>
      <c r="AJ17" s="95">
        <f t="shared" si="17"/>
        <v>13791.666666666701</v>
      </c>
      <c r="AK17" s="94">
        <f t="shared" si="18"/>
        <v>124125.00000000031</v>
      </c>
      <c r="AL17" s="95">
        <f t="shared" si="19"/>
        <v>26986.7400000001</v>
      </c>
      <c r="AM17" s="96">
        <f t="shared" si="20"/>
        <v>0.21741583081571025</v>
      </c>
      <c r="AN17" s="94">
        <f t="shared" si="21"/>
        <v>8860.8333333333558</v>
      </c>
      <c r="AP17" s="97">
        <f t="shared" si="22"/>
        <v>8860.8333333333558</v>
      </c>
      <c r="AQ17" s="94">
        <f t="shared" si="23"/>
        <v>760.01499999999999</v>
      </c>
      <c r="AS17" s="95">
        <f t="shared" si="24"/>
        <v>760.01499999999999</v>
      </c>
      <c r="AT17" s="94">
        <f t="shared" si="25"/>
        <v>827.50000000000205</v>
      </c>
      <c r="AV17" s="95">
        <f t="shared" si="26"/>
        <v>827.50000000000205</v>
      </c>
      <c r="AW17" s="94">
        <f t="shared" si="27"/>
        <v>344.79166666666754</v>
      </c>
      <c r="AY17" s="95">
        <f t="shared" si="28"/>
        <v>344.79166666666754</v>
      </c>
      <c r="AZ17" s="94">
        <f t="shared" si="29"/>
        <v>0</v>
      </c>
      <c r="BA17" s="50"/>
      <c r="BB17" s="95"/>
    </row>
    <row r="18" spans="1:54" ht="15" customHeight="1" x14ac:dyDescent="0.2">
      <c r="A18" s="437"/>
      <c r="B18" s="152" t="s">
        <v>205</v>
      </c>
      <c r="C18" s="85" t="s">
        <v>137</v>
      </c>
      <c r="D18" s="86" t="s">
        <v>213</v>
      </c>
      <c r="E18" s="87">
        <f>VLOOKUP(D18,'% avancement'!$E$5:$F$11,2,FALSE())</f>
        <v>0.1</v>
      </c>
      <c r="F18" s="88">
        <v>117250</v>
      </c>
      <c r="G18" s="89">
        <v>5000</v>
      </c>
      <c r="H18" s="90">
        <f t="shared" si="0"/>
        <v>117250</v>
      </c>
      <c r="I18" s="89">
        <v>5000</v>
      </c>
      <c r="J18" s="89">
        <f t="shared" si="1"/>
        <v>7035</v>
      </c>
      <c r="K18" s="89">
        <f t="shared" si="2"/>
        <v>2931.25</v>
      </c>
      <c r="L18" s="89">
        <v>7600.15</v>
      </c>
      <c r="M18" s="89">
        <f t="shared" si="3"/>
        <v>75795</v>
      </c>
      <c r="N18" s="91"/>
      <c r="O18" s="92"/>
      <c r="P18" s="93"/>
      <c r="Q18" s="93"/>
      <c r="R18" s="93"/>
      <c r="S18" s="93"/>
      <c r="T18" s="93"/>
      <c r="U18" s="94">
        <f t="shared" si="4"/>
        <v>12225</v>
      </c>
      <c r="V18" s="50">
        <f t="shared" si="5"/>
        <v>0</v>
      </c>
      <c r="W18" s="95">
        <f t="shared" si="6"/>
        <v>500</v>
      </c>
      <c r="X18" s="94">
        <f t="shared" si="7"/>
        <v>703.5</v>
      </c>
      <c r="Y18" s="50">
        <f t="shared" si="8"/>
        <v>0</v>
      </c>
      <c r="Z18" s="50">
        <f t="shared" si="9"/>
        <v>293.125</v>
      </c>
      <c r="AA18" s="50">
        <f t="shared" si="10"/>
        <v>0</v>
      </c>
      <c r="AB18" s="50">
        <f t="shared" si="11"/>
        <v>760.01499999999999</v>
      </c>
      <c r="AC18" s="50">
        <f t="shared" si="12"/>
        <v>7579.5</v>
      </c>
      <c r="AD18" s="50">
        <f t="shared" si="13"/>
        <v>0</v>
      </c>
      <c r="AE18" s="94">
        <f t="shared" si="14"/>
        <v>23888.600000000006</v>
      </c>
      <c r="AG18" s="95">
        <f t="shared" si="15"/>
        <v>2388.8600000000006</v>
      </c>
      <c r="AH18" s="94">
        <f t="shared" si="16"/>
        <v>117250</v>
      </c>
      <c r="AJ18" s="95">
        <f t="shared" si="17"/>
        <v>11725</v>
      </c>
      <c r="AK18" s="94">
        <f t="shared" si="18"/>
        <v>105525</v>
      </c>
      <c r="AL18" s="95">
        <f t="shared" si="19"/>
        <v>21499.740000000005</v>
      </c>
      <c r="AM18" s="96">
        <f t="shared" si="20"/>
        <v>0.20374072494669515</v>
      </c>
      <c r="AN18" s="94">
        <f t="shared" si="21"/>
        <v>7579.5</v>
      </c>
      <c r="AP18" s="97">
        <f t="shared" si="22"/>
        <v>7579.5</v>
      </c>
      <c r="AQ18" s="94">
        <f t="shared" si="23"/>
        <v>760.01499999999999</v>
      </c>
      <c r="AS18" s="95">
        <f t="shared" si="24"/>
        <v>760.01499999999999</v>
      </c>
      <c r="AT18" s="94">
        <f t="shared" si="25"/>
        <v>703.5</v>
      </c>
      <c r="AV18" s="95">
        <f t="shared" si="26"/>
        <v>703.5</v>
      </c>
      <c r="AW18" s="94">
        <f t="shared" si="27"/>
        <v>293.125</v>
      </c>
      <c r="AY18" s="95">
        <f t="shared" si="28"/>
        <v>293.125</v>
      </c>
      <c r="AZ18" s="94">
        <f t="shared" si="29"/>
        <v>0</v>
      </c>
      <c r="BA18" s="50"/>
      <c r="BB18" s="95"/>
    </row>
    <row r="19" spans="1:54" ht="15" customHeight="1" x14ac:dyDescent="0.2">
      <c r="A19" s="437"/>
      <c r="B19" s="152" t="s">
        <v>218</v>
      </c>
      <c r="C19" s="85" t="s">
        <v>137</v>
      </c>
      <c r="D19" s="86" t="s">
        <v>213</v>
      </c>
      <c r="E19" s="87">
        <f>VLOOKUP(D19,'% avancement'!$E$5:$F$11,2,FALSE())</f>
        <v>0.1</v>
      </c>
      <c r="F19" s="88">
        <v>102000</v>
      </c>
      <c r="G19" s="89">
        <v>5000</v>
      </c>
      <c r="H19" s="90">
        <f t="shared" si="0"/>
        <v>102000</v>
      </c>
      <c r="I19" s="89">
        <v>5000</v>
      </c>
      <c r="J19" s="89">
        <f t="shared" si="1"/>
        <v>6120</v>
      </c>
      <c r="K19" s="89">
        <f t="shared" si="2"/>
        <v>2550</v>
      </c>
      <c r="L19" s="89">
        <v>7600.15</v>
      </c>
      <c r="M19" s="89">
        <f t="shared" si="3"/>
        <v>66340</v>
      </c>
      <c r="N19" s="91"/>
      <c r="O19" s="92"/>
      <c r="P19" s="93"/>
      <c r="Q19" s="93"/>
      <c r="R19" s="93"/>
      <c r="S19" s="93"/>
      <c r="T19" s="93"/>
      <c r="U19" s="94">
        <f t="shared" si="4"/>
        <v>10700</v>
      </c>
      <c r="V19" s="50">
        <f t="shared" si="5"/>
        <v>0</v>
      </c>
      <c r="W19" s="95">
        <f t="shared" si="6"/>
        <v>500</v>
      </c>
      <c r="X19" s="94">
        <f t="shared" si="7"/>
        <v>612</v>
      </c>
      <c r="Y19" s="50">
        <f t="shared" si="8"/>
        <v>0</v>
      </c>
      <c r="Z19" s="50">
        <f t="shared" si="9"/>
        <v>255</v>
      </c>
      <c r="AA19" s="50">
        <f t="shared" si="10"/>
        <v>0</v>
      </c>
      <c r="AB19" s="50">
        <f t="shared" si="11"/>
        <v>760.01499999999999</v>
      </c>
      <c r="AC19" s="50">
        <f t="shared" si="12"/>
        <v>6634</v>
      </c>
      <c r="AD19" s="50">
        <f t="shared" si="13"/>
        <v>0</v>
      </c>
      <c r="AE19" s="94">
        <f t="shared" si="14"/>
        <v>19389.850000000006</v>
      </c>
      <c r="AG19" s="95">
        <f t="shared" si="15"/>
        <v>1938.9850000000006</v>
      </c>
      <c r="AH19" s="94">
        <f t="shared" si="16"/>
        <v>102000</v>
      </c>
      <c r="AJ19" s="95">
        <f t="shared" si="17"/>
        <v>10200</v>
      </c>
      <c r="AK19" s="94">
        <f t="shared" si="18"/>
        <v>91800</v>
      </c>
      <c r="AL19" s="95">
        <f t="shared" si="19"/>
        <v>17450.865000000005</v>
      </c>
      <c r="AM19" s="96">
        <f t="shared" si="20"/>
        <v>0.19009656862745103</v>
      </c>
      <c r="AN19" s="94">
        <f t="shared" si="21"/>
        <v>6634</v>
      </c>
      <c r="AP19" s="97">
        <f t="shared" si="22"/>
        <v>6634</v>
      </c>
      <c r="AQ19" s="94">
        <f t="shared" si="23"/>
        <v>760.01499999999999</v>
      </c>
      <c r="AS19" s="95">
        <f t="shared" si="24"/>
        <v>760.01499999999999</v>
      </c>
      <c r="AT19" s="94">
        <f t="shared" si="25"/>
        <v>612</v>
      </c>
      <c r="AV19" s="95">
        <f t="shared" si="26"/>
        <v>612</v>
      </c>
      <c r="AW19" s="94">
        <f t="shared" si="27"/>
        <v>255</v>
      </c>
      <c r="AY19" s="95">
        <f t="shared" si="28"/>
        <v>255</v>
      </c>
      <c r="AZ19" s="94">
        <f t="shared" si="29"/>
        <v>0</v>
      </c>
      <c r="BA19" s="50"/>
      <c r="BB19" s="95"/>
    </row>
    <row r="20" spans="1:54" ht="15" customHeight="1" x14ac:dyDescent="0.2">
      <c r="A20" s="437"/>
      <c r="B20" s="152" t="s">
        <v>196</v>
      </c>
      <c r="C20" s="85" t="s">
        <v>137</v>
      </c>
      <c r="D20" s="86" t="s">
        <v>213</v>
      </c>
      <c r="E20" s="87">
        <f>VLOOKUP(D20,'% avancement'!$E$5:$F$11,2,FALSE())</f>
        <v>0.1</v>
      </c>
      <c r="F20" s="88">
        <v>118666.66666666701</v>
      </c>
      <c r="G20" s="89">
        <v>5000</v>
      </c>
      <c r="H20" s="90">
        <f t="shared" si="0"/>
        <v>123666.66666666701</v>
      </c>
      <c r="I20" s="89">
        <v>0</v>
      </c>
      <c r="J20" s="89">
        <f t="shared" si="1"/>
        <v>7420.00000000002</v>
      </c>
      <c r="K20" s="89">
        <f t="shared" si="2"/>
        <v>3091.6666666666752</v>
      </c>
      <c r="L20" s="89">
        <v>7600.15</v>
      </c>
      <c r="M20" s="89">
        <f t="shared" si="3"/>
        <v>76673.333333333547</v>
      </c>
      <c r="N20" s="91"/>
      <c r="O20" s="92"/>
      <c r="P20" s="93"/>
      <c r="Q20" s="93"/>
      <c r="R20" s="93"/>
      <c r="S20" s="93"/>
      <c r="T20" s="93"/>
      <c r="U20" s="94">
        <f t="shared" si="4"/>
        <v>12366.666666666701</v>
      </c>
      <c r="V20" s="50">
        <f t="shared" si="5"/>
        <v>0</v>
      </c>
      <c r="W20" s="95">
        <f t="shared" si="6"/>
        <v>0</v>
      </c>
      <c r="X20" s="94">
        <f t="shared" si="7"/>
        <v>742.00000000000205</v>
      </c>
      <c r="Y20" s="50">
        <f t="shared" si="8"/>
        <v>0</v>
      </c>
      <c r="Z20" s="50">
        <f t="shared" si="9"/>
        <v>309.16666666666754</v>
      </c>
      <c r="AA20" s="50">
        <f t="shared" si="10"/>
        <v>0</v>
      </c>
      <c r="AB20" s="50">
        <f t="shared" si="11"/>
        <v>760.01499999999999</v>
      </c>
      <c r="AC20" s="50">
        <f t="shared" si="12"/>
        <v>7667.3333333333549</v>
      </c>
      <c r="AD20" s="50">
        <f t="shared" si="13"/>
        <v>0</v>
      </c>
      <c r="AE20" s="94">
        <f t="shared" si="14"/>
        <v>28881.516666666779</v>
      </c>
      <c r="AG20" s="95">
        <f t="shared" si="15"/>
        <v>2888.151666666678</v>
      </c>
      <c r="AH20" s="94">
        <f t="shared" si="16"/>
        <v>123666.66666666701</v>
      </c>
      <c r="AJ20" s="95">
        <f t="shared" si="17"/>
        <v>12366.666666666701</v>
      </c>
      <c r="AK20" s="94">
        <f t="shared" si="18"/>
        <v>111300.00000000031</v>
      </c>
      <c r="AL20" s="95">
        <f t="shared" si="19"/>
        <v>25993.3650000001</v>
      </c>
      <c r="AM20" s="96">
        <f t="shared" si="20"/>
        <v>0.23354326145552587</v>
      </c>
      <c r="AN20" s="94">
        <f t="shared" si="21"/>
        <v>7667.3333333333549</v>
      </c>
      <c r="AP20" s="97">
        <f t="shared" si="22"/>
        <v>7667.3333333333549</v>
      </c>
      <c r="AQ20" s="94">
        <f t="shared" si="23"/>
        <v>760.01499999999999</v>
      </c>
      <c r="AS20" s="95">
        <f t="shared" si="24"/>
        <v>760.01499999999999</v>
      </c>
      <c r="AT20" s="94">
        <f t="shared" si="25"/>
        <v>742.00000000000205</v>
      </c>
      <c r="AV20" s="95">
        <f t="shared" si="26"/>
        <v>742.00000000000205</v>
      </c>
      <c r="AW20" s="94">
        <f t="shared" si="27"/>
        <v>309.16666666666754</v>
      </c>
      <c r="AY20" s="95">
        <f t="shared" si="28"/>
        <v>309.16666666666754</v>
      </c>
      <c r="AZ20" s="94">
        <f t="shared" si="29"/>
        <v>0</v>
      </c>
      <c r="BA20" s="50"/>
      <c r="BB20" s="95"/>
    </row>
    <row r="21" spans="1:54" ht="15" customHeight="1" x14ac:dyDescent="0.2">
      <c r="A21" s="437"/>
      <c r="B21" s="154" t="s">
        <v>197</v>
      </c>
      <c r="C21" s="85" t="s">
        <v>137</v>
      </c>
      <c r="D21" s="86" t="s">
        <v>219</v>
      </c>
      <c r="E21" s="87">
        <f>VLOOKUP(D21,'% avancement'!$E$5:$F$11,2,FALSE())</f>
        <v>0.4</v>
      </c>
      <c r="F21" s="88">
        <v>117916.66666666701</v>
      </c>
      <c r="G21" s="89">
        <v>5000</v>
      </c>
      <c r="H21" s="90">
        <f t="shared" si="0"/>
        <v>117916.66666666701</v>
      </c>
      <c r="I21" s="89">
        <v>5000</v>
      </c>
      <c r="J21" s="89">
        <f t="shared" si="1"/>
        <v>7075.00000000002</v>
      </c>
      <c r="K21" s="89">
        <f t="shared" si="2"/>
        <v>2947.9166666666752</v>
      </c>
      <c r="L21" s="89">
        <v>7600.15</v>
      </c>
      <c r="M21" s="89">
        <f t="shared" si="3"/>
        <v>76208.333333333547</v>
      </c>
      <c r="N21" s="91"/>
      <c r="O21" s="92"/>
      <c r="P21" s="93"/>
      <c r="Q21" s="93"/>
      <c r="R21" s="93"/>
      <c r="S21" s="93"/>
      <c r="T21" s="93"/>
      <c r="U21" s="94">
        <f t="shared" si="4"/>
        <v>49166.666666666802</v>
      </c>
      <c r="V21" s="50">
        <f t="shared" si="5"/>
        <v>0</v>
      </c>
      <c r="W21" s="95">
        <f t="shared" si="6"/>
        <v>2000</v>
      </c>
      <c r="X21" s="94">
        <f t="shared" si="7"/>
        <v>2830.0000000000082</v>
      </c>
      <c r="Y21" s="50">
        <f t="shared" si="8"/>
        <v>0</v>
      </c>
      <c r="Z21" s="50">
        <f t="shared" si="9"/>
        <v>1179.1666666666702</v>
      </c>
      <c r="AA21" s="50">
        <f t="shared" si="10"/>
        <v>0</v>
      </c>
      <c r="AB21" s="50">
        <f t="shared" si="11"/>
        <v>3040.06</v>
      </c>
      <c r="AC21" s="50">
        <f t="shared" si="12"/>
        <v>30483.333333333419</v>
      </c>
      <c r="AD21" s="50">
        <f t="shared" si="13"/>
        <v>0</v>
      </c>
      <c r="AE21" s="94">
        <f t="shared" si="14"/>
        <v>24085.266666666779</v>
      </c>
      <c r="AG21" s="95">
        <f t="shared" si="15"/>
        <v>9634.106666666712</v>
      </c>
      <c r="AH21" s="94">
        <f t="shared" si="16"/>
        <v>117916.66666666701</v>
      </c>
      <c r="AJ21" s="95">
        <f t="shared" si="17"/>
        <v>47166.666666666802</v>
      </c>
      <c r="AK21" s="94">
        <f t="shared" si="18"/>
        <v>70750.000000000204</v>
      </c>
      <c r="AL21" s="95">
        <f t="shared" si="19"/>
        <v>14451.160000000067</v>
      </c>
      <c r="AM21" s="96">
        <f t="shared" si="20"/>
        <v>0.20425667844523004</v>
      </c>
      <c r="AN21" s="94">
        <f t="shared" si="21"/>
        <v>30483.333333333419</v>
      </c>
      <c r="AP21" s="97">
        <f t="shared" si="22"/>
        <v>30483.333333333419</v>
      </c>
      <c r="AQ21" s="94">
        <f t="shared" si="23"/>
        <v>3040.06</v>
      </c>
      <c r="AS21" s="95">
        <f t="shared" si="24"/>
        <v>3040.06</v>
      </c>
      <c r="AT21" s="94">
        <f t="shared" si="25"/>
        <v>2830.0000000000082</v>
      </c>
      <c r="AV21" s="95">
        <f t="shared" si="26"/>
        <v>2830.0000000000082</v>
      </c>
      <c r="AW21" s="94">
        <f t="shared" si="27"/>
        <v>1179.1666666666702</v>
      </c>
      <c r="AY21" s="95">
        <f t="shared" si="28"/>
        <v>1179.1666666666702</v>
      </c>
      <c r="AZ21" s="94">
        <f t="shared" si="29"/>
        <v>0</v>
      </c>
      <c r="BA21" s="50"/>
      <c r="BB21" s="95"/>
    </row>
    <row r="22" spans="1:54" ht="15" customHeight="1" x14ac:dyDescent="0.2">
      <c r="A22" s="437"/>
      <c r="B22" s="154" t="s">
        <v>198</v>
      </c>
      <c r="C22" s="85" t="s">
        <v>137</v>
      </c>
      <c r="D22" s="86" t="s">
        <v>219</v>
      </c>
      <c r="E22" s="87">
        <f>VLOOKUP(D22,'% avancement'!$E$5:$F$11,2,FALSE())</f>
        <v>0.4</v>
      </c>
      <c r="F22" s="88">
        <v>135750</v>
      </c>
      <c r="G22" s="89">
        <v>5000</v>
      </c>
      <c r="H22" s="90">
        <f t="shared" si="0"/>
        <v>135750</v>
      </c>
      <c r="I22" s="89">
        <v>5000</v>
      </c>
      <c r="J22" s="89">
        <f t="shared" si="1"/>
        <v>8145</v>
      </c>
      <c r="K22" s="89">
        <f t="shared" si="2"/>
        <v>3393.75</v>
      </c>
      <c r="L22" s="89">
        <v>7600.15</v>
      </c>
      <c r="M22" s="89">
        <f t="shared" si="3"/>
        <v>87265</v>
      </c>
      <c r="N22" s="91"/>
      <c r="O22" s="92"/>
      <c r="P22" s="93"/>
      <c r="Q22" s="93"/>
      <c r="R22" s="93"/>
      <c r="S22" s="93"/>
      <c r="T22" s="93"/>
      <c r="U22" s="94">
        <f t="shared" si="4"/>
        <v>56300</v>
      </c>
      <c r="V22" s="50">
        <f t="shared" si="5"/>
        <v>0</v>
      </c>
      <c r="W22" s="95">
        <f t="shared" si="6"/>
        <v>2000</v>
      </c>
      <c r="X22" s="94">
        <f t="shared" si="7"/>
        <v>3258</v>
      </c>
      <c r="Y22" s="50">
        <f t="shared" si="8"/>
        <v>0</v>
      </c>
      <c r="Z22" s="50">
        <f t="shared" si="9"/>
        <v>1357.5</v>
      </c>
      <c r="AA22" s="50">
        <f t="shared" si="10"/>
        <v>0</v>
      </c>
      <c r="AB22" s="50">
        <f t="shared" si="11"/>
        <v>3040.06</v>
      </c>
      <c r="AC22" s="50">
        <f t="shared" si="12"/>
        <v>34906</v>
      </c>
      <c r="AD22" s="50">
        <f t="shared" si="13"/>
        <v>0</v>
      </c>
      <c r="AE22" s="94">
        <f t="shared" si="14"/>
        <v>29346.100000000006</v>
      </c>
      <c r="AG22" s="95">
        <f t="shared" si="15"/>
        <v>11738.440000000002</v>
      </c>
      <c r="AH22" s="94">
        <f t="shared" si="16"/>
        <v>135750</v>
      </c>
      <c r="AJ22" s="95">
        <f t="shared" si="17"/>
        <v>54300</v>
      </c>
      <c r="AK22" s="94">
        <f t="shared" si="18"/>
        <v>81450</v>
      </c>
      <c r="AL22" s="95">
        <f t="shared" si="19"/>
        <v>17607.660000000003</v>
      </c>
      <c r="AM22" s="96">
        <f t="shared" si="20"/>
        <v>0.216177532228361</v>
      </c>
      <c r="AN22" s="94">
        <f t="shared" si="21"/>
        <v>34906</v>
      </c>
      <c r="AP22" s="97">
        <f t="shared" si="22"/>
        <v>34906</v>
      </c>
      <c r="AQ22" s="94">
        <f t="shared" si="23"/>
        <v>3040.06</v>
      </c>
      <c r="AS22" s="95">
        <f t="shared" si="24"/>
        <v>3040.06</v>
      </c>
      <c r="AT22" s="94">
        <f t="shared" si="25"/>
        <v>3258</v>
      </c>
      <c r="AV22" s="95">
        <f t="shared" si="26"/>
        <v>3258</v>
      </c>
      <c r="AW22" s="94">
        <f t="shared" si="27"/>
        <v>1357.5</v>
      </c>
      <c r="AY22" s="95">
        <f t="shared" si="28"/>
        <v>1357.5</v>
      </c>
      <c r="AZ22" s="94">
        <f t="shared" si="29"/>
        <v>0</v>
      </c>
      <c r="BA22" s="50"/>
      <c r="BB22" s="95"/>
    </row>
    <row r="23" spans="1:54" ht="15" customHeight="1" x14ac:dyDescent="0.2">
      <c r="A23" s="437"/>
      <c r="B23" s="144" t="s">
        <v>199</v>
      </c>
      <c r="C23" s="85" t="s">
        <v>137</v>
      </c>
      <c r="D23" s="86" t="s">
        <v>219</v>
      </c>
      <c r="E23" s="87">
        <f>VLOOKUP(D23,'% avancement'!$E$5:$F$11,2,FALSE())</f>
        <v>0.4</v>
      </c>
      <c r="F23" s="98">
        <v>119002</v>
      </c>
      <c r="G23" s="99">
        <v>5723</v>
      </c>
      <c r="H23" s="99">
        <f t="shared" si="0"/>
        <v>119725</v>
      </c>
      <c r="I23" s="99">
        <v>5000</v>
      </c>
      <c r="J23" s="99">
        <v>6818.33</v>
      </c>
      <c r="K23" s="99">
        <v>1420.83</v>
      </c>
      <c r="L23" s="99">
        <v>7600.15</v>
      </c>
      <c r="M23" s="163">
        <v>69085.95</v>
      </c>
      <c r="N23" s="91">
        <v>6000</v>
      </c>
      <c r="O23" s="145">
        <v>5000</v>
      </c>
      <c r="P23" s="146">
        <v>6818.33</v>
      </c>
      <c r="Q23" s="146">
        <v>1420.83</v>
      </c>
      <c r="R23" s="146"/>
      <c r="S23" s="146"/>
      <c r="T23" s="146">
        <v>6000</v>
      </c>
      <c r="U23" s="94">
        <f t="shared" si="4"/>
        <v>49890</v>
      </c>
      <c r="V23" s="50">
        <f t="shared" si="5"/>
        <v>3000</v>
      </c>
      <c r="W23" s="95">
        <f t="shared" si="6"/>
        <v>0</v>
      </c>
      <c r="X23" s="94">
        <f t="shared" si="7"/>
        <v>0</v>
      </c>
      <c r="Y23" s="50">
        <f t="shared" si="8"/>
        <v>4090.9979999999996</v>
      </c>
      <c r="Z23" s="50">
        <f t="shared" si="9"/>
        <v>0</v>
      </c>
      <c r="AA23" s="50">
        <f t="shared" si="10"/>
        <v>852.49799999999993</v>
      </c>
      <c r="AB23" s="50">
        <f t="shared" si="11"/>
        <v>3040.06</v>
      </c>
      <c r="AC23" s="50">
        <f t="shared" si="12"/>
        <v>27634.38</v>
      </c>
      <c r="AD23" s="50">
        <f t="shared" si="13"/>
        <v>3600</v>
      </c>
      <c r="AE23" s="94">
        <f t="shared" si="14"/>
        <v>28799.740000000005</v>
      </c>
      <c r="AG23" s="95">
        <f t="shared" si="15"/>
        <v>11519.896000000002</v>
      </c>
      <c r="AH23" s="94">
        <f t="shared" si="16"/>
        <v>119725</v>
      </c>
      <c r="AJ23" s="95">
        <f t="shared" si="17"/>
        <v>47890</v>
      </c>
      <c r="AK23" s="94">
        <f t="shared" si="18"/>
        <v>71835</v>
      </c>
      <c r="AL23" s="95">
        <f t="shared" si="19"/>
        <v>17279.844000000005</v>
      </c>
      <c r="AM23" s="96">
        <f t="shared" si="20"/>
        <v>0.24054909166840682</v>
      </c>
      <c r="AN23" s="94">
        <f t="shared" si="21"/>
        <v>27634.38</v>
      </c>
      <c r="AP23" s="97">
        <f t="shared" si="22"/>
        <v>27634.38</v>
      </c>
      <c r="AQ23" s="94">
        <f t="shared" si="23"/>
        <v>3040.06</v>
      </c>
      <c r="AS23" s="95">
        <f t="shared" si="24"/>
        <v>3040.06</v>
      </c>
      <c r="AT23" s="94">
        <f t="shared" si="25"/>
        <v>2727.3320000000003</v>
      </c>
      <c r="AV23" s="95">
        <f t="shared" si="26"/>
        <v>2727.3320000000003</v>
      </c>
      <c r="AW23" s="94">
        <f t="shared" si="27"/>
        <v>568.33199999999999</v>
      </c>
      <c r="AY23" s="95">
        <f t="shared" si="28"/>
        <v>568.33199999999999</v>
      </c>
      <c r="AZ23" s="94">
        <f t="shared" si="29"/>
        <v>2400</v>
      </c>
      <c r="BA23" s="50"/>
      <c r="BB23" s="95">
        <f>+AZ23-BA23</f>
        <v>2400</v>
      </c>
    </row>
    <row r="24" spans="1:54" ht="15" customHeight="1" x14ac:dyDescent="0.2">
      <c r="A24" s="437"/>
      <c r="B24" s="144" t="s">
        <v>200</v>
      </c>
      <c r="C24" s="85" t="s">
        <v>137</v>
      </c>
      <c r="D24" s="86" t="s">
        <v>220</v>
      </c>
      <c r="E24" s="87">
        <f>VLOOKUP(D24,'% avancement'!$E$5:$F$11,2,FALSE())</f>
        <v>0.8</v>
      </c>
      <c r="F24" s="147">
        <v>120621.96</v>
      </c>
      <c r="G24" s="148">
        <v>6664.41</v>
      </c>
      <c r="H24" s="148">
        <f>120622-I24</f>
        <v>115622</v>
      </c>
      <c r="I24" s="148">
        <v>5000</v>
      </c>
      <c r="J24" s="148">
        <f>8187/1.2</f>
        <v>6822.5</v>
      </c>
      <c r="K24" s="148">
        <f>1706/1.2</f>
        <v>1421.6666666666667</v>
      </c>
      <c r="L24" s="148">
        <v>7600.15</v>
      </c>
      <c r="M24" s="163">
        <v>75021</v>
      </c>
      <c r="N24" s="91">
        <v>6000</v>
      </c>
      <c r="O24" s="145">
        <v>5000</v>
      </c>
      <c r="P24" s="146">
        <v>6822.5</v>
      </c>
      <c r="Q24" s="146">
        <v>1421.6666666666699</v>
      </c>
      <c r="R24" s="146"/>
      <c r="S24" s="146"/>
      <c r="T24" s="146">
        <v>6000</v>
      </c>
      <c r="U24" s="94">
        <f t="shared" si="4"/>
        <v>96497.600000000006</v>
      </c>
      <c r="V24" s="50">
        <f t="shared" si="5"/>
        <v>999.99999999999977</v>
      </c>
      <c r="W24" s="95">
        <f t="shared" si="6"/>
        <v>0</v>
      </c>
      <c r="X24" s="94">
        <f t="shared" si="7"/>
        <v>0</v>
      </c>
      <c r="Y24" s="50">
        <f t="shared" si="8"/>
        <v>1364.4999999999998</v>
      </c>
      <c r="Z24" s="50">
        <f t="shared" si="9"/>
        <v>0</v>
      </c>
      <c r="AA24" s="50">
        <f t="shared" si="10"/>
        <v>284.33333333333394</v>
      </c>
      <c r="AB24" s="50">
        <f t="shared" si="11"/>
        <v>6080.12</v>
      </c>
      <c r="AC24" s="50">
        <f t="shared" si="12"/>
        <v>60016.800000000003</v>
      </c>
      <c r="AD24" s="50">
        <f t="shared" si="13"/>
        <v>1199.9999999999998</v>
      </c>
      <c r="AE24" s="94">
        <f t="shared" si="14"/>
        <v>18756.683333333334</v>
      </c>
      <c r="AG24" s="95">
        <f t="shared" si="15"/>
        <v>15005.346666666668</v>
      </c>
      <c r="AH24" s="94">
        <f t="shared" si="16"/>
        <v>115622</v>
      </c>
      <c r="AJ24" s="95">
        <f t="shared" si="17"/>
        <v>92497.600000000006</v>
      </c>
      <c r="AK24" s="94">
        <f t="shared" si="18"/>
        <v>23124.399999999994</v>
      </c>
      <c r="AL24" s="95">
        <f t="shared" si="19"/>
        <v>3751.3366666666661</v>
      </c>
      <c r="AM24" s="96">
        <f t="shared" si="20"/>
        <v>0.16222417302358838</v>
      </c>
      <c r="AN24" s="94">
        <f t="shared" si="21"/>
        <v>60016.800000000003</v>
      </c>
      <c r="AP24" s="97">
        <f t="shared" si="22"/>
        <v>60016.800000000003</v>
      </c>
      <c r="AQ24" s="94">
        <f t="shared" si="23"/>
        <v>6080.12</v>
      </c>
      <c r="AS24" s="95">
        <f t="shared" si="24"/>
        <v>6080.12</v>
      </c>
      <c r="AT24" s="94">
        <f t="shared" si="25"/>
        <v>5458</v>
      </c>
      <c r="AV24" s="95">
        <f t="shared" si="26"/>
        <v>5458</v>
      </c>
      <c r="AW24" s="94">
        <f t="shared" si="27"/>
        <v>1137.333333333336</v>
      </c>
      <c r="AY24" s="95">
        <f t="shared" si="28"/>
        <v>1137.333333333336</v>
      </c>
      <c r="AZ24" s="94">
        <f t="shared" si="29"/>
        <v>4800</v>
      </c>
      <c r="BA24" s="50"/>
      <c r="BB24" s="95">
        <f>+AZ24-BA24</f>
        <v>4800</v>
      </c>
    </row>
    <row r="25" spans="1:54" ht="15" customHeight="1" x14ac:dyDescent="0.2">
      <c r="A25" s="437"/>
      <c r="B25" s="144" t="s">
        <v>202</v>
      </c>
      <c r="C25" s="85" t="s">
        <v>137</v>
      </c>
      <c r="D25" s="86" t="s">
        <v>219</v>
      </c>
      <c r="E25" s="87">
        <f>VLOOKUP(D25,'% avancement'!$E$5:$F$11,2,FALSE())</f>
        <v>0.4</v>
      </c>
      <c r="F25" s="147">
        <f>+H25-G25</f>
        <v>130310.33333333333</v>
      </c>
      <c r="G25" s="148">
        <f>7658/1.2</f>
        <v>6381.666666666667</v>
      </c>
      <c r="H25" s="148">
        <f>136692</f>
        <v>136692</v>
      </c>
      <c r="I25" s="148">
        <v>5000</v>
      </c>
      <c r="J25" s="99">
        <v>7867.5</v>
      </c>
      <c r="K25" s="99">
        <v>1639.15</v>
      </c>
      <c r="L25" s="99">
        <v>7600.15</v>
      </c>
      <c r="M25" s="99">
        <v>87259</v>
      </c>
      <c r="N25" s="91">
        <v>6000</v>
      </c>
      <c r="O25" s="145">
        <v>5000</v>
      </c>
      <c r="P25" s="146">
        <v>7867.5</v>
      </c>
      <c r="Q25" s="146">
        <v>1639.15</v>
      </c>
      <c r="R25" s="146"/>
      <c r="S25" s="146"/>
      <c r="T25" s="146">
        <v>6000</v>
      </c>
      <c r="U25" s="94">
        <f t="shared" si="4"/>
        <v>56676.800000000003</v>
      </c>
      <c r="V25" s="50">
        <f t="shared" si="5"/>
        <v>3000</v>
      </c>
      <c r="W25" s="95">
        <f t="shared" si="6"/>
        <v>0</v>
      </c>
      <c r="X25" s="94">
        <f t="shared" si="7"/>
        <v>0</v>
      </c>
      <c r="Y25" s="50">
        <f t="shared" si="8"/>
        <v>4720.5</v>
      </c>
      <c r="Z25" s="50">
        <f t="shared" si="9"/>
        <v>0</v>
      </c>
      <c r="AA25" s="50">
        <f t="shared" si="10"/>
        <v>983.49</v>
      </c>
      <c r="AB25" s="50">
        <f t="shared" si="11"/>
        <v>3040.06</v>
      </c>
      <c r="AC25" s="50">
        <f t="shared" si="12"/>
        <v>34903.599999999999</v>
      </c>
      <c r="AD25" s="50">
        <f t="shared" si="13"/>
        <v>3600</v>
      </c>
      <c r="AE25" s="94">
        <f t="shared" si="14"/>
        <v>26326.200000000012</v>
      </c>
      <c r="AG25" s="95">
        <f t="shared" si="15"/>
        <v>10530.480000000005</v>
      </c>
      <c r="AH25" s="94">
        <f t="shared" si="16"/>
        <v>136692</v>
      </c>
      <c r="AJ25" s="95">
        <f t="shared" si="17"/>
        <v>54676.800000000003</v>
      </c>
      <c r="AK25" s="94">
        <f t="shared" si="18"/>
        <v>82015.199999999997</v>
      </c>
      <c r="AL25" s="95">
        <f t="shared" si="19"/>
        <v>15795.720000000007</v>
      </c>
      <c r="AM25" s="96">
        <f t="shared" si="20"/>
        <v>0.19259503116495488</v>
      </c>
      <c r="AN25" s="94">
        <f t="shared" si="21"/>
        <v>34903.599999999999</v>
      </c>
      <c r="AP25" s="97">
        <f t="shared" si="22"/>
        <v>34903.599999999999</v>
      </c>
      <c r="AQ25" s="94">
        <f t="shared" si="23"/>
        <v>3040.06</v>
      </c>
      <c r="AS25" s="95">
        <f t="shared" si="24"/>
        <v>3040.06</v>
      </c>
      <c r="AT25" s="94">
        <f t="shared" si="25"/>
        <v>3147</v>
      </c>
      <c r="AV25" s="95">
        <f t="shared" si="26"/>
        <v>3147</v>
      </c>
      <c r="AW25" s="94">
        <f t="shared" si="27"/>
        <v>655.66000000000008</v>
      </c>
      <c r="AY25" s="95">
        <f t="shared" si="28"/>
        <v>655.66000000000008</v>
      </c>
      <c r="AZ25" s="94">
        <f t="shared" si="29"/>
        <v>2400</v>
      </c>
      <c r="BA25" s="50"/>
      <c r="BB25" s="95">
        <f>+AZ25-BA25</f>
        <v>2400</v>
      </c>
    </row>
    <row r="26" spans="1:54" ht="15" customHeight="1" x14ac:dyDescent="0.2">
      <c r="A26" s="437"/>
      <c r="B26" s="144" t="s">
        <v>207</v>
      </c>
      <c r="C26" s="85" t="s">
        <v>137</v>
      </c>
      <c r="D26" s="86" t="s">
        <v>220</v>
      </c>
      <c r="E26" s="87">
        <f>VLOOKUP(D26,'% avancement'!$E$5:$F$11,2,FALSE())</f>
        <v>0.8</v>
      </c>
      <c r="F26" s="98">
        <v>122642.29</v>
      </c>
      <c r="G26" s="99">
        <v>8687.59</v>
      </c>
      <c r="H26" s="99">
        <f>122642-I26</f>
        <v>117642</v>
      </c>
      <c r="I26" s="99">
        <f>6000/1.2</f>
        <v>5000</v>
      </c>
      <c r="J26" s="99">
        <f>8322.18/1.2</f>
        <v>6935.1500000000005</v>
      </c>
      <c r="K26" s="99">
        <f>1733.78/1.2</f>
        <v>1444.8166666666666</v>
      </c>
      <c r="L26" s="99">
        <v>7600</v>
      </c>
      <c r="M26" s="99">
        <v>70635</v>
      </c>
      <c r="N26" s="91">
        <v>6000</v>
      </c>
      <c r="O26" s="145">
        <v>5000</v>
      </c>
      <c r="P26" s="146">
        <v>6935.15</v>
      </c>
      <c r="Q26" s="146">
        <v>1444.81666666667</v>
      </c>
      <c r="R26" s="146"/>
      <c r="S26" s="146"/>
      <c r="T26" s="146">
        <v>6000</v>
      </c>
      <c r="U26" s="94">
        <f t="shared" si="4"/>
        <v>98113.600000000006</v>
      </c>
      <c r="V26" s="50">
        <f t="shared" si="5"/>
        <v>999.99999999999977</v>
      </c>
      <c r="W26" s="95">
        <f t="shared" si="6"/>
        <v>0</v>
      </c>
      <c r="X26" s="94">
        <f t="shared" si="7"/>
        <v>0</v>
      </c>
      <c r="Y26" s="50">
        <f t="shared" si="8"/>
        <v>1387.0299999999995</v>
      </c>
      <c r="Z26" s="50">
        <f t="shared" si="9"/>
        <v>0</v>
      </c>
      <c r="AA26" s="50">
        <f t="shared" si="10"/>
        <v>288.96333333333394</v>
      </c>
      <c r="AB26" s="50">
        <f t="shared" si="11"/>
        <v>6080</v>
      </c>
      <c r="AC26" s="50">
        <f t="shared" si="12"/>
        <v>56508</v>
      </c>
      <c r="AD26" s="50">
        <f t="shared" si="13"/>
        <v>1199.9999999999998</v>
      </c>
      <c r="AE26" s="94">
        <f t="shared" si="14"/>
        <v>25027.03333333334</v>
      </c>
      <c r="AG26" s="95">
        <f t="shared" si="15"/>
        <v>20021.626666666674</v>
      </c>
      <c r="AH26" s="94">
        <f t="shared" si="16"/>
        <v>117642</v>
      </c>
      <c r="AJ26" s="95">
        <f t="shared" si="17"/>
        <v>94113.600000000006</v>
      </c>
      <c r="AK26" s="94">
        <f t="shared" si="18"/>
        <v>23528.399999999994</v>
      </c>
      <c r="AL26" s="95">
        <f t="shared" si="19"/>
        <v>5005.4066666666658</v>
      </c>
      <c r="AM26" s="96">
        <f t="shared" si="20"/>
        <v>0.21273893110737102</v>
      </c>
      <c r="AN26" s="94">
        <f t="shared" si="21"/>
        <v>56508</v>
      </c>
      <c r="AP26" s="97">
        <f t="shared" si="22"/>
        <v>56508</v>
      </c>
      <c r="AQ26" s="94">
        <f t="shared" si="23"/>
        <v>6080</v>
      </c>
      <c r="AS26" s="95">
        <f t="shared" si="24"/>
        <v>6080</v>
      </c>
      <c r="AT26" s="94">
        <f t="shared" si="25"/>
        <v>5548.12</v>
      </c>
      <c r="AV26" s="95">
        <f t="shared" si="26"/>
        <v>5548.12</v>
      </c>
      <c r="AW26" s="94">
        <f t="shared" si="27"/>
        <v>1155.853333333336</v>
      </c>
      <c r="AY26" s="95">
        <f t="shared" si="28"/>
        <v>1155.853333333336</v>
      </c>
      <c r="AZ26" s="94">
        <f t="shared" si="29"/>
        <v>4800</v>
      </c>
      <c r="BA26" s="50"/>
      <c r="BB26" s="95">
        <f>+AZ26-BA26</f>
        <v>4800</v>
      </c>
    </row>
    <row r="27" spans="1:54" ht="15" customHeight="1" x14ac:dyDescent="0.2">
      <c r="A27" s="437"/>
      <c r="B27" s="144" t="s">
        <v>208</v>
      </c>
      <c r="C27" s="85" t="s">
        <v>137</v>
      </c>
      <c r="D27" s="86" t="s">
        <v>221</v>
      </c>
      <c r="E27" s="87">
        <f>VLOOKUP(D27,'% avancement'!$E$5:$F$11,2,FALSE())</f>
        <v>0.6</v>
      </c>
      <c r="F27" s="98">
        <v>133649</v>
      </c>
      <c r="G27" s="99">
        <f>10474/1.2</f>
        <v>8728.3333333333339</v>
      </c>
      <c r="H27" s="99">
        <f>133650-I27</f>
        <v>128650</v>
      </c>
      <c r="I27" s="99">
        <v>5000</v>
      </c>
      <c r="J27" s="99">
        <v>7668</v>
      </c>
      <c r="K27" s="99">
        <v>1597.5</v>
      </c>
      <c r="L27" s="99">
        <v>7600.15</v>
      </c>
      <c r="M27" s="99">
        <v>81747</v>
      </c>
      <c r="N27" s="91">
        <v>6000</v>
      </c>
      <c r="O27" s="145">
        <v>5000</v>
      </c>
      <c r="P27" s="146">
        <v>7668</v>
      </c>
      <c r="Q27" s="146">
        <v>1597.5</v>
      </c>
      <c r="R27" s="146"/>
      <c r="S27" s="146"/>
      <c r="T27" s="146">
        <v>6000</v>
      </c>
      <c r="U27" s="94">
        <f t="shared" si="4"/>
        <v>80190</v>
      </c>
      <c r="V27" s="50">
        <f t="shared" si="5"/>
        <v>2000</v>
      </c>
      <c r="W27" s="95">
        <f t="shared" si="6"/>
        <v>0</v>
      </c>
      <c r="X27" s="94">
        <f t="shared" si="7"/>
        <v>0</v>
      </c>
      <c r="Y27" s="50">
        <f t="shared" si="8"/>
        <v>3067.2000000000003</v>
      </c>
      <c r="Z27" s="50">
        <f t="shared" si="9"/>
        <v>0</v>
      </c>
      <c r="AA27" s="50">
        <f t="shared" si="10"/>
        <v>639</v>
      </c>
      <c r="AB27" s="50">
        <f t="shared" si="11"/>
        <v>4560.0899999999992</v>
      </c>
      <c r="AC27" s="50">
        <f t="shared" si="12"/>
        <v>49048.2</v>
      </c>
      <c r="AD27" s="50">
        <f t="shared" si="13"/>
        <v>2400</v>
      </c>
      <c r="AE27" s="94">
        <f t="shared" si="14"/>
        <v>24037.350000000006</v>
      </c>
      <c r="AG27" s="95">
        <f t="shared" si="15"/>
        <v>14422.410000000003</v>
      </c>
      <c r="AH27" s="94">
        <f t="shared" si="16"/>
        <v>128650</v>
      </c>
      <c r="AJ27" s="95">
        <f t="shared" si="17"/>
        <v>77190</v>
      </c>
      <c r="AK27" s="94">
        <f t="shared" si="18"/>
        <v>51460</v>
      </c>
      <c r="AL27" s="95">
        <f t="shared" si="19"/>
        <v>9614.9400000000023</v>
      </c>
      <c r="AM27" s="96">
        <f t="shared" si="20"/>
        <v>0.18684298484259623</v>
      </c>
      <c r="AN27" s="94">
        <f t="shared" si="21"/>
        <v>49048.2</v>
      </c>
      <c r="AP27" s="97">
        <f t="shared" si="22"/>
        <v>49048.2</v>
      </c>
      <c r="AQ27" s="94">
        <f t="shared" si="23"/>
        <v>4560.0899999999992</v>
      </c>
      <c r="AS27" s="95">
        <f t="shared" si="24"/>
        <v>4560.0899999999992</v>
      </c>
      <c r="AT27" s="94">
        <f t="shared" si="25"/>
        <v>4600.8</v>
      </c>
      <c r="AV27" s="95">
        <f t="shared" si="26"/>
        <v>4600.8</v>
      </c>
      <c r="AW27" s="94">
        <f t="shared" si="27"/>
        <v>958.5</v>
      </c>
      <c r="AY27" s="95">
        <f t="shared" si="28"/>
        <v>958.5</v>
      </c>
      <c r="AZ27" s="94">
        <f t="shared" si="29"/>
        <v>3600</v>
      </c>
      <c r="BA27" s="50"/>
      <c r="BB27" s="95">
        <f>+AZ27-BA27</f>
        <v>3600</v>
      </c>
    </row>
    <row r="28" spans="1:54" ht="15" customHeight="1" x14ac:dyDescent="0.2">
      <c r="A28" s="110"/>
      <c r="B28" s="101">
        <f>+ROWS(B3:B27)</f>
        <v>25</v>
      </c>
      <c r="C28" s="102"/>
      <c r="D28" s="103"/>
      <c r="E28" s="101"/>
      <c r="F28" s="104"/>
      <c r="G28" s="105"/>
      <c r="H28" s="105"/>
      <c r="I28" s="105"/>
      <c r="J28" s="105"/>
      <c r="K28" s="105"/>
      <c r="L28" s="105"/>
      <c r="M28" s="105"/>
      <c r="N28" s="106"/>
      <c r="O28" s="107"/>
      <c r="P28" s="108"/>
      <c r="Q28" s="108"/>
      <c r="R28" s="108"/>
      <c r="S28" s="108"/>
      <c r="T28" s="108"/>
      <c r="U28" s="94"/>
      <c r="W28" s="95"/>
      <c r="X28" s="94"/>
      <c r="AE28" s="94"/>
      <c r="AG28" s="95"/>
      <c r="AH28" s="94"/>
      <c r="AJ28" s="95"/>
      <c r="AK28" s="94"/>
      <c r="AL28" s="95"/>
      <c r="AM28" s="96"/>
      <c r="AN28" s="94"/>
      <c r="AP28" s="97"/>
      <c r="AQ28" s="94"/>
      <c r="AS28" s="95"/>
      <c r="AT28" s="94"/>
      <c r="AV28" s="95"/>
      <c r="AW28" s="94"/>
      <c r="AY28" s="95"/>
      <c r="AZ28" s="94"/>
      <c r="BA28" s="50"/>
      <c r="BB28" s="95"/>
    </row>
    <row r="29" spans="1:54" ht="14.25" customHeight="1" x14ac:dyDescent="0.2">
      <c r="A29" s="438" t="s">
        <v>222</v>
      </c>
      <c r="B29" s="157" t="s">
        <v>223</v>
      </c>
      <c r="C29" s="158" t="s">
        <v>193</v>
      </c>
      <c r="D29" s="86" t="s">
        <v>224</v>
      </c>
      <c r="E29" s="87">
        <f>VLOOKUP(D29,'% avancement'!$E$5:$F$11,2,FALSE())</f>
        <v>1</v>
      </c>
      <c r="F29" s="98">
        <v>127823.33</v>
      </c>
      <c r="G29" s="99"/>
      <c r="H29" s="90">
        <f t="shared" ref="H29:H38" si="30">F29+G29-I29</f>
        <v>119489.99666666667</v>
      </c>
      <c r="I29" s="99">
        <f>10000/1.2</f>
        <v>8333.3333333333339</v>
      </c>
      <c r="J29" s="99">
        <v>7169.4</v>
      </c>
      <c r="K29" s="99">
        <v>1493.62</v>
      </c>
      <c r="L29" s="99">
        <v>7600.15</v>
      </c>
      <c r="M29" s="99">
        <v>77412.740000000005</v>
      </c>
      <c r="N29" s="143">
        <v>0</v>
      </c>
      <c r="O29" s="107">
        <f t="shared" ref="O29:O38" si="31">+I29</f>
        <v>8333.3333333333339</v>
      </c>
      <c r="P29" s="109">
        <f t="shared" ref="P29:P38" si="32">+J29</f>
        <v>7169.4</v>
      </c>
      <c r="Q29" s="109">
        <f t="shared" ref="Q29:Q38" si="33">+K29</f>
        <v>1493.62</v>
      </c>
      <c r="R29" s="109">
        <f t="shared" ref="R29:R38" si="34">+L29</f>
        <v>7600.15</v>
      </c>
      <c r="S29" s="109">
        <f t="shared" ref="S29:S38" si="35">+M29</f>
        <v>77412.740000000005</v>
      </c>
      <c r="T29" s="109">
        <f t="shared" ref="T29:T38" si="36">+N29</f>
        <v>0</v>
      </c>
      <c r="U29" s="94" t="str">
        <f t="shared" ref="U29:U38" si="37">IF(C29="oui","",(H29+I29)*E29)</f>
        <v/>
      </c>
      <c r="V29" s="50">
        <f t="shared" ref="V29:V38" si="38">IF(O29="",0,(1-E29)*O29)</f>
        <v>0</v>
      </c>
      <c r="W29" s="95">
        <f t="shared" ref="W29:W38" si="39">IF(O29="",I29*(E29),0)</f>
        <v>0</v>
      </c>
      <c r="X29" s="94">
        <f>IF(P29=0,+H29*6%*E29,0)</f>
        <v>0</v>
      </c>
      <c r="Y29" s="50">
        <f>IF(P29=0,0,P29*(1-E29))</f>
        <v>0</v>
      </c>
      <c r="Z29" s="50">
        <f>IF(Q29=0,+H29*2.5%*E29,0)</f>
        <v>0</v>
      </c>
      <c r="AA29" s="50">
        <f t="shared" ref="AA29:AA38" si="40">IF(Q29="",0,Q29*(1-E29))</f>
        <v>0</v>
      </c>
      <c r="AB29" s="50">
        <f t="shared" ref="AB29:AB38" si="41">IF(R29="",+L29*E29,(1-E29)*R29)</f>
        <v>0</v>
      </c>
      <c r="AC29" s="50">
        <f t="shared" ref="AC29:AC38" si="42">IF(S29="",+M29*E29,(1-E29)*S29)</f>
        <v>0</v>
      </c>
      <c r="AD29" s="50">
        <f t="shared" ref="AD29:AD39" si="43">IF(T29="",0,T29*(1-E29))</f>
        <v>0</v>
      </c>
      <c r="AE29" s="94">
        <f t="shared" ref="AE29:AE38" si="44">+H29-J29-K29-L29-M29-N29</f>
        <v>25814.086666666684</v>
      </c>
      <c r="AF29" s="50">
        <f>VLOOKUP($B29,'SUIVI 30.06.24'!$D:$BE,32,FALSE())</f>
        <v>5735.7766666666703</v>
      </c>
      <c r="AG29" s="95">
        <f t="shared" ref="AG29:AG38" si="45">AE29*E29-AF29</f>
        <v>20078.310000000012</v>
      </c>
      <c r="AH29" s="94">
        <f t="shared" ref="AH29:AH38" si="46">H29</f>
        <v>119489.99666666667</v>
      </c>
      <c r="AI29" s="50">
        <f>VLOOKUP($B29,'SUIVI 30.06.24'!$D:$BE,35,FALSE())</f>
        <v>12141.666666666701</v>
      </c>
      <c r="AJ29" s="95">
        <f t="shared" ref="AJ29:AJ38" si="47">AH29*E29-AI29</f>
        <v>107348.32999999997</v>
      </c>
      <c r="AK29" s="94">
        <f t="shared" ref="AK29:AK38" si="48">AH29-AI29-AJ29</f>
        <v>0</v>
      </c>
      <c r="AL29" s="95">
        <f t="shared" ref="AL29:AL38" si="49">AE29-AF29-AG29</f>
        <v>0</v>
      </c>
      <c r="AM29" s="96">
        <f t="shared" ref="AM29:AM38" si="50">+AE29/AH29</f>
        <v>0.2160355459602073</v>
      </c>
      <c r="AN29" s="94">
        <f t="shared" ref="AN29:AN38" si="51">IF(S29="",M29*E29,S29*E29)</f>
        <v>77412.740000000005</v>
      </c>
      <c r="AO29" s="50">
        <f>VLOOKUP($B29,'SUIVI 30.06.24'!$D:$BE,41,FALSE())</f>
        <v>4613.8333333333303</v>
      </c>
      <c r="AP29" s="97">
        <f t="shared" ref="AP29:AP38" si="52">+AN29-AO29</f>
        <v>72798.906666666677</v>
      </c>
      <c r="AQ29" s="94">
        <f t="shared" ref="AQ29:AQ38" si="53">+L29*E29</f>
        <v>7600.15</v>
      </c>
      <c r="AR29" s="50">
        <f>VLOOKUP($B29,'SUIVI 30.06.24'!$D:$BE,44,FALSE())</f>
        <v>760.01499999999999</v>
      </c>
      <c r="AS29" s="95">
        <f t="shared" ref="AS29:AS38" si="54">+AQ29-AR29</f>
        <v>6840.1349999999993</v>
      </c>
      <c r="AT29" s="94">
        <f t="shared" ref="AT29:AT38" si="55">IF(P29="",J29*E29,P29*E29)</f>
        <v>7169.4</v>
      </c>
      <c r="AU29" s="50">
        <f>VLOOKUP($B29,'SUIVI 30.06.24'!$D:$BE,47,FALSE())</f>
        <v>728.5</v>
      </c>
      <c r="AV29" s="95">
        <f t="shared" ref="AV29:AV38" si="56">+AT29-AU29</f>
        <v>6440.9</v>
      </c>
      <c r="AW29" s="94">
        <f t="shared" ref="AW29:AW38" si="57">IF(Q29="",K29*E29,Q29*E29)</f>
        <v>1493.62</v>
      </c>
      <c r="AX29" s="50">
        <f>VLOOKUP($B29,'SUIVI 30.06.24'!$D:$BE,50,FALSE())</f>
        <v>303.54166666666703</v>
      </c>
      <c r="AY29" s="95">
        <f t="shared" ref="AY29:AY38" si="58">+AW29-AX29</f>
        <v>1190.0783333333329</v>
      </c>
      <c r="AZ29" s="94">
        <f t="shared" ref="AZ29:AZ38" si="59">+E29*N29</f>
        <v>0</v>
      </c>
      <c r="BA29" s="50"/>
      <c r="BB29" s="95">
        <f t="shared" ref="BB29:BB38" si="60">+AZ29-BA29</f>
        <v>0</v>
      </c>
    </row>
    <row r="30" spans="1:54" ht="15" customHeight="1" x14ac:dyDescent="0.2">
      <c r="A30" s="438"/>
      <c r="B30" s="157" t="s">
        <v>225</v>
      </c>
      <c r="C30" s="158" t="s">
        <v>193</v>
      </c>
      <c r="D30" s="86" t="s">
        <v>224</v>
      </c>
      <c r="E30" s="87">
        <f>VLOOKUP(D30,'% avancement'!$E$5:$F$11,2,FALSE())</f>
        <v>1</v>
      </c>
      <c r="F30" s="98">
        <v>127839.17</v>
      </c>
      <c r="G30" s="99"/>
      <c r="H30" s="90">
        <f t="shared" si="30"/>
        <v>121172.50333333333</v>
      </c>
      <c r="I30" s="99">
        <f>8000/1.2</f>
        <v>6666.666666666667</v>
      </c>
      <c r="J30" s="99">
        <v>7170.35</v>
      </c>
      <c r="K30" s="99">
        <v>1493.82</v>
      </c>
      <c r="L30" s="99">
        <v>7600.15</v>
      </c>
      <c r="M30" s="99">
        <v>80785.89</v>
      </c>
      <c r="N30" s="143">
        <v>2000</v>
      </c>
      <c r="O30" s="107">
        <f t="shared" si="31"/>
        <v>6666.666666666667</v>
      </c>
      <c r="P30" s="109">
        <f t="shared" si="32"/>
        <v>7170.35</v>
      </c>
      <c r="Q30" s="109">
        <f t="shared" si="33"/>
        <v>1493.82</v>
      </c>
      <c r="R30" s="109">
        <f t="shared" si="34"/>
        <v>7600.15</v>
      </c>
      <c r="S30" s="109">
        <f t="shared" si="35"/>
        <v>80785.89</v>
      </c>
      <c r="T30" s="109">
        <f t="shared" si="36"/>
        <v>2000</v>
      </c>
      <c r="U30" s="94" t="str">
        <f t="shared" si="37"/>
        <v/>
      </c>
      <c r="V30" s="50">
        <f t="shared" si="38"/>
        <v>0</v>
      </c>
      <c r="W30" s="95">
        <f t="shared" si="39"/>
        <v>0</v>
      </c>
      <c r="X30" s="94">
        <f t="shared" ref="X30:X38" si="61">IF(P30="",+H30*6%*E30,0)</f>
        <v>0</v>
      </c>
      <c r="Y30" s="50">
        <f t="shared" ref="Y30:Y38" si="62">IF(P30="",0,P30*(1-E30))</f>
        <v>0</v>
      </c>
      <c r="Z30" s="50">
        <f t="shared" ref="Z30:Z38" si="63">IF(Q30="",+H30*2.5%*E30,0)</f>
        <v>0</v>
      </c>
      <c r="AA30" s="50">
        <f t="shared" si="40"/>
        <v>0</v>
      </c>
      <c r="AB30" s="50">
        <f t="shared" si="41"/>
        <v>0</v>
      </c>
      <c r="AC30" s="50">
        <f t="shared" si="42"/>
        <v>0</v>
      </c>
      <c r="AD30" s="50">
        <f t="shared" si="43"/>
        <v>0</v>
      </c>
      <c r="AE30" s="94">
        <f t="shared" si="44"/>
        <v>22122.29333333332</v>
      </c>
      <c r="AF30" s="50">
        <f>VLOOKUP(B30,'SUIVI 30.06.24'!D:BE,32,FALSE())</f>
        <v>12184.8866666667</v>
      </c>
      <c r="AG30" s="95">
        <f t="shared" si="45"/>
        <v>9937.4066666666204</v>
      </c>
      <c r="AH30" s="94">
        <f t="shared" si="46"/>
        <v>121172.50333333333</v>
      </c>
      <c r="AI30" s="50">
        <f>VLOOKUP($B30,'SUIVI 30.06.24'!$D:$BE,35,FALSE())</f>
        <v>25616.666666666701</v>
      </c>
      <c r="AJ30" s="95">
        <f t="shared" si="47"/>
        <v>95555.836666666626</v>
      </c>
      <c r="AK30" s="94">
        <f t="shared" si="48"/>
        <v>0</v>
      </c>
      <c r="AL30" s="95">
        <f t="shared" si="49"/>
        <v>0</v>
      </c>
      <c r="AM30" s="96">
        <f t="shared" si="50"/>
        <v>0.18256859208790235</v>
      </c>
      <c r="AN30" s="94">
        <f t="shared" si="51"/>
        <v>80785.89</v>
      </c>
      <c r="AO30" s="50">
        <f>VLOOKUP($B30,'SUIVI 30.06.24'!$D:$BE,41,FALSE())</f>
        <v>9734.3333333333303</v>
      </c>
      <c r="AP30" s="97">
        <f t="shared" si="52"/>
        <v>71051.556666666671</v>
      </c>
      <c r="AQ30" s="94">
        <f t="shared" si="53"/>
        <v>7600.15</v>
      </c>
      <c r="AR30" s="50">
        <f>VLOOKUP($B30,'SUIVI 30.06.24'!$D:$BE,44,FALSE())</f>
        <v>1520.03</v>
      </c>
      <c r="AS30" s="95">
        <f t="shared" si="54"/>
        <v>6080.12</v>
      </c>
      <c r="AT30" s="94">
        <f t="shared" si="55"/>
        <v>7170.35</v>
      </c>
      <c r="AU30" s="50">
        <f>VLOOKUP($B30,'SUIVI 30.06.24'!$D:$BE,47,FALSE())</f>
        <v>1537</v>
      </c>
      <c r="AV30" s="95">
        <f t="shared" si="56"/>
        <v>5633.35</v>
      </c>
      <c r="AW30" s="94">
        <f t="shared" si="57"/>
        <v>1493.82</v>
      </c>
      <c r="AX30" s="50">
        <f>VLOOKUP($B30,'SUIVI 30.06.24'!$D:$BE,50,FALSE())</f>
        <v>640.41666666666697</v>
      </c>
      <c r="AY30" s="95">
        <f t="shared" si="58"/>
        <v>853.40333333333297</v>
      </c>
      <c r="AZ30" s="94">
        <f t="shared" si="59"/>
        <v>2000</v>
      </c>
      <c r="BA30" s="50"/>
      <c r="BB30" s="95">
        <f t="shared" si="60"/>
        <v>2000</v>
      </c>
    </row>
    <row r="31" spans="1:54" ht="15" customHeight="1" x14ac:dyDescent="0.2">
      <c r="A31" s="438"/>
      <c r="B31" s="157" t="s">
        <v>226</v>
      </c>
      <c r="C31" s="158" t="s">
        <v>193</v>
      </c>
      <c r="D31" s="86" t="s">
        <v>224</v>
      </c>
      <c r="E31" s="87">
        <f>VLOOKUP(D31,'% avancement'!$E$5:$F$11,2,FALSE())</f>
        <v>1</v>
      </c>
      <c r="F31" s="98">
        <v>142761.67000000001</v>
      </c>
      <c r="G31" s="99"/>
      <c r="H31" s="90">
        <f t="shared" si="30"/>
        <v>137761.67000000001</v>
      </c>
      <c r="I31" s="99">
        <f>6000/1.2</f>
        <v>5000</v>
      </c>
      <c r="J31" s="99">
        <v>8065.7</v>
      </c>
      <c r="K31" s="99">
        <v>1680.35</v>
      </c>
      <c r="L31" s="99">
        <v>7600.15</v>
      </c>
      <c r="M31" s="99">
        <v>81922.009999999995</v>
      </c>
      <c r="N31" s="143">
        <v>2000</v>
      </c>
      <c r="O31" s="107">
        <f t="shared" si="31"/>
        <v>5000</v>
      </c>
      <c r="P31" s="109">
        <f t="shared" si="32"/>
        <v>8065.7</v>
      </c>
      <c r="Q31" s="109">
        <f t="shared" si="33"/>
        <v>1680.35</v>
      </c>
      <c r="R31" s="109">
        <f t="shared" si="34"/>
        <v>7600.15</v>
      </c>
      <c r="S31" s="109">
        <f t="shared" si="35"/>
        <v>81922.009999999995</v>
      </c>
      <c r="T31" s="109">
        <f t="shared" si="36"/>
        <v>2000</v>
      </c>
      <c r="U31" s="94" t="str">
        <f t="shared" si="37"/>
        <v/>
      </c>
      <c r="V31" s="50">
        <f t="shared" si="38"/>
        <v>0</v>
      </c>
      <c r="W31" s="95">
        <f t="shared" si="39"/>
        <v>0</v>
      </c>
      <c r="X31" s="94">
        <f t="shared" si="61"/>
        <v>0</v>
      </c>
      <c r="Y31" s="50">
        <f t="shared" si="62"/>
        <v>0</v>
      </c>
      <c r="Z31" s="50">
        <f t="shared" si="63"/>
        <v>0</v>
      </c>
      <c r="AA31" s="50">
        <f t="shared" si="40"/>
        <v>0</v>
      </c>
      <c r="AB31" s="50">
        <f t="shared" si="41"/>
        <v>0</v>
      </c>
      <c r="AC31" s="50">
        <f t="shared" si="42"/>
        <v>0</v>
      </c>
      <c r="AD31" s="50">
        <f t="shared" si="43"/>
        <v>0</v>
      </c>
      <c r="AE31" s="94">
        <f t="shared" si="44"/>
        <v>36493.460000000021</v>
      </c>
      <c r="AF31" s="50">
        <f>VLOOKUP(B31,'SUIVI 30.06.24'!D:BE,32,FALSE())</f>
        <v>6226.19333333334</v>
      </c>
      <c r="AG31" s="95">
        <f t="shared" si="45"/>
        <v>30267.266666666681</v>
      </c>
      <c r="AH31" s="94">
        <f t="shared" si="46"/>
        <v>137761.67000000001</v>
      </c>
      <c r="AI31" s="50">
        <f>VLOOKUP($B31,'SUIVI 30.06.24'!$D:$BE,35,FALSE())</f>
        <v>13058.333333333299</v>
      </c>
      <c r="AJ31" s="95">
        <f t="shared" si="47"/>
        <v>124703.33666666671</v>
      </c>
      <c r="AK31" s="94">
        <f t="shared" si="48"/>
        <v>0</v>
      </c>
      <c r="AL31" s="95">
        <f t="shared" si="49"/>
        <v>0</v>
      </c>
      <c r="AM31" s="96">
        <f t="shared" si="50"/>
        <v>0.26490285723162343</v>
      </c>
      <c r="AN31" s="94">
        <f t="shared" si="51"/>
        <v>81922.009999999995</v>
      </c>
      <c r="AO31" s="50">
        <f>VLOOKUP($B31,'SUIVI 30.06.24'!$D:$BE,41,FALSE())</f>
        <v>4962.1666666666697</v>
      </c>
      <c r="AP31" s="97">
        <f t="shared" si="52"/>
        <v>76959.843333333323</v>
      </c>
      <c r="AQ31" s="94">
        <f t="shared" si="53"/>
        <v>7600.15</v>
      </c>
      <c r="AR31" s="50">
        <f>VLOOKUP($B31,'SUIVI 30.06.24'!$D:$BE,44,FALSE())</f>
        <v>760.01499999999999</v>
      </c>
      <c r="AS31" s="95">
        <f t="shared" si="54"/>
        <v>6840.1349999999993</v>
      </c>
      <c r="AT31" s="94">
        <f t="shared" si="55"/>
        <v>8065.7</v>
      </c>
      <c r="AU31" s="50">
        <f>VLOOKUP($B31,'SUIVI 30.06.24'!$D:$BE,47,FALSE())</f>
        <v>783.5</v>
      </c>
      <c r="AV31" s="95">
        <f t="shared" si="56"/>
        <v>7282.2</v>
      </c>
      <c r="AW31" s="94">
        <f t="shared" si="57"/>
        <v>1680.35</v>
      </c>
      <c r="AX31" s="50">
        <f>VLOOKUP($B31,'SUIVI 30.06.24'!$D:$BE,50,FALSE())</f>
        <v>326.45833333333297</v>
      </c>
      <c r="AY31" s="95">
        <f t="shared" si="58"/>
        <v>1353.8916666666669</v>
      </c>
      <c r="AZ31" s="94">
        <f t="shared" si="59"/>
        <v>2000</v>
      </c>
      <c r="BA31" s="50"/>
      <c r="BB31" s="95">
        <f t="shared" si="60"/>
        <v>2000</v>
      </c>
    </row>
    <row r="32" spans="1:54" ht="15" customHeight="1" x14ac:dyDescent="0.2">
      <c r="A32" s="438"/>
      <c r="B32" s="157" t="s">
        <v>227</v>
      </c>
      <c r="C32" s="158" t="s">
        <v>193</v>
      </c>
      <c r="D32" s="86" t="s">
        <v>224</v>
      </c>
      <c r="E32" s="87">
        <f>VLOOKUP(D32,'% avancement'!$E$5:$F$11,2,FALSE())</f>
        <v>1</v>
      </c>
      <c r="F32" s="98">
        <v>126492.65</v>
      </c>
      <c r="G32" s="99"/>
      <c r="H32" s="90">
        <f t="shared" si="30"/>
        <v>121492.65</v>
      </c>
      <c r="I32" s="99">
        <f>6000/1.2</f>
        <v>5000</v>
      </c>
      <c r="J32" s="99">
        <v>7085.7</v>
      </c>
      <c r="K32" s="99">
        <v>1476.19</v>
      </c>
      <c r="L32" s="99">
        <v>7600.15</v>
      </c>
      <c r="M32" s="99">
        <v>74584.600000000006</v>
      </c>
      <c r="N32" s="143">
        <v>0</v>
      </c>
      <c r="O32" s="107">
        <f t="shared" si="31"/>
        <v>5000</v>
      </c>
      <c r="P32" s="109">
        <f t="shared" si="32"/>
        <v>7085.7</v>
      </c>
      <c r="Q32" s="109">
        <f t="shared" si="33"/>
        <v>1476.19</v>
      </c>
      <c r="R32" s="109">
        <f t="shared" si="34"/>
        <v>7600.15</v>
      </c>
      <c r="S32" s="109">
        <f t="shared" si="35"/>
        <v>74584.600000000006</v>
      </c>
      <c r="T32" s="109">
        <f t="shared" si="36"/>
        <v>0</v>
      </c>
      <c r="U32" s="94" t="str">
        <f t="shared" si="37"/>
        <v/>
      </c>
      <c r="V32" s="50">
        <f t="shared" si="38"/>
        <v>0</v>
      </c>
      <c r="W32" s="95">
        <f t="shared" si="39"/>
        <v>0</v>
      </c>
      <c r="X32" s="94">
        <f t="shared" si="61"/>
        <v>0</v>
      </c>
      <c r="Y32" s="50">
        <f t="shared" si="62"/>
        <v>0</v>
      </c>
      <c r="Z32" s="50">
        <f t="shared" si="63"/>
        <v>0</v>
      </c>
      <c r="AA32" s="50">
        <f t="shared" si="40"/>
        <v>0</v>
      </c>
      <c r="AB32" s="50">
        <f t="shared" si="41"/>
        <v>0</v>
      </c>
      <c r="AC32" s="50">
        <f t="shared" si="42"/>
        <v>0</v>
      </c>
      <c r="AD32" s="50">
        <f t="shared" si="43"/>
        <v>0</v>
      </c>
      <c r="AE32" s="94">
        <f t="shared" si="44"/>
        <v>30746.009999999995</v>
      </c>
      <c r="AF32" s="50">
        <f>VLOOKUP(B32,'SUIVI 30.06.24'!D:BE,32,FALSE())</f>
        <v>5943.2674999999999</v>
      </c>
      <c r="AG32" s="95">
        <f t="shared" si="45"/>
        <v>24802.742499999993</v>
      </c>
      <c r="AH32" s="94">
        <f t="shared" si="46"/>
        <v>121492.65</v>
      </c>
      <c r="AI32" s="50">
        <f>VLOOKUP($B32,'SUIVI 30.06.24'!$D:$BE,35,FALSE())</f>
        <v>28666.666666666701</v>
      </c>
      <c r="AJ32" s="95">
        <f t="shared" si="47"/>
        <v>92825.983333333294</v>
      </c>
      <c r="AK32" s="94">
        <f t="shared" si="48"/>
        <v>0</v>
      </c>
      <c r="AL32" s="95">
        <f t="shared" si="49"/>
        <v>0</v>
      </c>
      <c r="AM32" s="96">
        <f t="shared" si="50"/>
        <v>0.25306888935256572</v>
      </c>
      <c r="AN32" s="94">
        <f t="shared" si="51"/>
        <v>74584.600000000006</v>
      </c>
      <c r="AO32" s="50">
        <f>VLOOKUP($B32,'SUIVI 30.06.24'!$D:$BE,41,FALSE())</f>
        <v>18386.695</v>
      </c>
      <c r="AP32" s="97">
        <f t="shared" si="52"/>
        <v>56197.905000000006</v>
      </c>
      <c r="AQ32" s="94">
        <f t="shared" si="53"/>
        <v>7600.15</v>
      </c>
      <c r="AR32" s="50">
        <f>VLOOKUP($B32,'SUIVI 30.06.24'!$D:$BE,44,FALSE())</f>
        <v>1900.0374999999999</v>
      </c>
      <c r="AS32" s="95">
        <f t="shared" si="54"/>
        <v>5700.1124999999993</v>
      </c>
      <c r="AT32" s="94">
        <f t="shared" si="55"/>
        <v>7085.7</v>
      </c>
      <c r="AU32" s="50">
        <f>VLOOKUP($B32,'SUIVI 30.06.24'!$D:$BE,47,FALSE())</f>
        <v>1720</v>
      </c>
      <c r="AV32" s="95">
        <f t="shared" si="56"/>
        <v>5365.7</v>
      </c>
      <c r="AW32" s="94">
        <f t="shared" si="57"/>
        <v>1476.19</v>
      </c>
      <c r="AX32" s="50">
        <f>VLOOKUP($B32,'SUIVI 30.06.24'!$D:$BE,50,FALSE())</f>
        <v>716.66666666666697</v>
      </c>
      <c r="AY32" s="95">
        <f t="shared" si="58"/>
        <v>759.52333333333308</v>
      </c>
      <c r="AZ32" s="94">
        <f t="shared" si="59"/>
        <v>0</v>
      </c>
      <c r="BA32" s="50"/>
      <c r="BB32" s="95">
        <f t="shared" si="60"/>
        <v>0</v>
      </c>
    </row>
    <row r="33" spans="1:54" ht="15" customHeight="1" x14ac:dyDescent="0.2">
      <c r="A33" s="438"/>
      <c r="B33" s="157" t="s">
        <v>228</v>
      </c>
      <c r="C33" s="158" t="s">
        <v>193</v>
      </c>
      <c r="D33" s="86" t="s">
        <v>224</v>
      </c>
      <c r="E33" s="87">
        <f>VLOOKUP(D33,'% avancement'!$E$5:$F$11,2,FALSE())</f>
        <v>1</v>
      </c>
      <c r="F33" s="98">
        <v>124735</v>
      </c>
      <c r="G33" s="99"/>
      <c r="H33" s="90">
        <f t="shared" si="30"/>
        <v>118901.66666666667</v>
      </c>
      <c r="I33" s="99">
        <f>7000/1.2</f>
        <v>5833.3333333333339</v>
      </c>
      <c r="J33" s="99">
        <v>6834.1</v>
      </c>
      <c r="K33" s="99">
        <v>1423.77</v>
      </c>
      <c r="L33" s="99">
        <v>7600.15</v>
      </c>
      <c r="M33" s="99">
        <v>70637.64</v>
      </c>
      <c r="N33" s="143">
        <v>3500</v>
      </c>
      <c r="O33" s="107">
        <f t="shared" si="31"/>
        <v>5833.3333333333339</v>
      </c>
      <c r="P33" s="109">
        <f t="shared" si="32"/>
        <v>6834.1</v>
      </c>
      <c r="Q33" s="109">
        <f t="shared" si="33"/>
        <v>1423.77</v>
      </c>
      <c r="R33" s="109">
        <f t="shared" si="34"/>
        <v>7600.15</v>
      </c>
      <c r="S33" s="109">
        <f t="shared" si="35"/>
        <v>70637.64</v>
      </c>
      <c r="T33" s="109">
        <f t="shared" si="36"/>
        <v>3500</v>
      </c>
      <c r="U33" s="94" t="str">
        <f t="shared" si="37"/>
        <v/>
      </c>
      <c r="V33" s="50">
        <f t="shared" si="38"/>
        <v>0</v>
      </c>
      <c r="W33" s="95">
        <f t="shared" si="39"/>
        <v>0</v>
      </c>
      <c r="X33" s="94">
        <f t="shared" si="61"/>
        <v>0</v>
      </c>
      <c r="Y33" s="50">
        <f t="shared" si="62"/>
        <v>0</v>
      </c>
      <c r="Z33" s="50">
        <f t="shared" si="63"/>
        <v>0</v>
      </c>
      <c r="AA33" s="50">
        <f t="shared" si="40"/>
        <v>0</v>
      </c>
      <c r="AB33" s="50">
        <f t="shared" si="41"/>
        <v>0</v>
      </c>
      <c r="AC33" s="50">
        <f t="shared" si="42"/>
        <v>0</v>
      </c>
      <c r="AD33" s="50">
        <f t="shared" si="43"/>
        <v>0</v>
      </c>
      <c r="AE33" s="94">
        <f t="shared" si="44"/>
        <v>28906.006666666668</v>
      </c>
      <c r="AF33" s="50">
        <f>VLOOKUP(B33,'SUIVI 30.06.24'!D:BE,32,FALSE())</f>
        <v>5330.06833333334</v>
      </c>
      <c r="AG33" s="95">
        <f t="shared" si="45"/>
        <v>23575.938333333328</v>
      </c>
      <c r="AH33" s="94">
        <f t="shared" si="46"/>
        <v>118901.66666666667</v>
      </c>
      <c r="AI33" s="50">
        <f>VLOOKUP($B33,'SUIVI 30.06.24'!$D:$BE,35,FALSE())</f>
        <v>11383.333333333299</v>
      </c>
      <c r="AJ33" s="95">
        <f t="shared" si="47"/>
        <v>107518.33333333337</v>
      </c>
      <c r="AK33" s="94">
        <f t="shared" si="48"/>
        <v>0</v>
      </c>
      <c r="AL33" s="95">
        <f t="shared" si="49"/>
        <v>0</v>
      </c>
      <c r="AM33" s="96">
        <f t="shared" si="50"/>
        <v>0.24310850702961831</v>
      </c>
      <c r="AN33" s="94">
        <f t="shared" si="51"/>
        <v>70637.64</v>
      </c>
      <c r="AO33" s="50">
        <f>VLOOKUP($B33,'SUIVI 30.06.24'!$D:$BE,41,FALSE())</f>
        <v>4325.6666666666697</v>
      </c>
      <c r="AP33" s="97">
        <f t="shared" si="52"/>
        <v>66311.973333333328</v>
      </c>
      <c r="AQ33" s="94">
        <f t="shared" si="53"/>
        <v>7600.15</v>
      </c>
      <c r="AR33" s="50">
        <f>VLOOKUP($B33,'SUIVI 30.06.24'!$D:$BE,44,FALSE())</f>
        <v>760.01499999999999</v>
      </c>
      <c r="AS33" s="95">
        <f t="shared" si="54"/>
        <v>6840.1349999999993</v>
      </c>
      <c r="AT33" s="94">
        <f t="shared" si="55"/>
        <v>6834.1</v>
      </c>
      <c r="AU33" s="50">
        <f>VLOOKUP($B33,'SUIVI 30.06.24'!$D:$BE,47,FALSE())</f>
        <v>683</v>
      </c>
      <c r="AV33" s="95">
        <f t="shared" si="56"/>
        <v>6151.1</v>
      </c>
      <c r="AW33" s="94">
        <f t="shared" si="57"/>
        <v>1423.77</v>
      </c>
      <c r="AX33" s="50">
        <f>VLOOKUP($B33,'SUIVI 30.06.24'!$D:$BE,50,FALSE())</f>
        <v>284.58333333333297</v>
      </c>
      <c r="AY33" s="95">
        <f t="shared" si="58"/>
        <v>1139.186666666667</v>
      </c>
      <c r="AZ33" s="94">
        <f t="shared" si="59"/>
        <v>3500</v>
      </c>
      <c r="BA33" s="50"/>
      <c r="BB33" s="95">
        <f t="shared" si="60"/>
        <v>3500</v>
      </c>
    </row>
    <row r="34" spans="1:54" ht="15" customHeight="1" x14ac:dyDescent="0.2">
      <c r="A34" s="438"/>
      <c r="B34" s="157" t="s">
        <v>229</v>
      </c>
      <c r="C34" s="158" t="s">
        <v>193</v>
      </c>
      <c r="D34" s="86" t="s">
        <v>224</v>
      </c>
      <c r="E34" s="87">
        <f>VLOOKUP(D34,'% avancement'!$E$5:$F$11,2,FALSE())</f>
        <v>1</v>
      </c>
      <c r="F34" s="98">
        <v>119182.5</v>
      </c>
      <c r="G34" s="99"/>
      <c r="H34" s="90">
        <f t="shared" si="30"/>
        <v>119182.5</v>
      </c>
      <c r="I34" s="99">
        <v>0</v>
      </c>
      <c r="J34" s="99">
        <v>6900</v>
      </c>
      <c r="K34" s="99">
        <v>2875</v>
      </c>
      <c r="L34" s="99">
        <v>7378.79</v>
      </c>
      <c r="M34" s="99">
        <v>80258.37</v>
      </c>
      <c r="N34" s="143">
        <v>0</v>
      </c>
      <c r="O34" s="107">
        <f t="shared" si="31"/>
        <v>0</v>
      </c>
      <c r="P34" s="109">
        <f t="shared" si="32"/>
        <v>6900</v>
      </c>
      <c r="Q34" s="109">
        <f t="shared" si="33"/>
        <v>2875</v>
      </c>
      <c r="R34" s="109">
        <f t="shared" si="34"/>
        <v>7378.79</v>
      </c>
      <c r="S34" s="109">
        <f t="shared" si="35"/>
        <v>80258.37</v>
      </c>
      <c r="T34" s="109">
        <f t="shared" si="36"/>
        <v>0</v>
      </c>
      <c r="U34" s="94" t="str">
        <f t="shared" si="37"/>
        <v/>
      </c>
      <c r="V34" s="50">
        <f t="shared" si="38"/>
        <v>0</v>
      </c>
      <c r="W34" s="95">
        <f t="shared" si="39"/>
        <v>0</v>
      </c>
      <c r="X34" s="94">
        <f t="shared" si="61"/>
        <v>0</v>
      </c>
      <c r="Y34" s="50">
        <f t="shared" si="62"/>
        <v>0</v>
      </c>
      <c r="Z34" s="50">
        <f t="shared" si="63"/>
        <v>0</v>
      </c>
      <c r="AA34" s="50">
        <f t="shared" si="40"/>
        <v>0</v>
      </c>
      <c r="AB34" s="50">
        <f t="shared" si="41"/>
        <v>0</v>
      </c>
      <c r="AC34" s="50">
        <f t="shared" si="42"/>
        <v>0</v>
      </c>
      <c r="AD34" s="50">
        <f t="shared" si="43"/>
        <v>0</v>
      </c>
      <c r="AE34" s="94">
        <f t="shared" si="44"/>
        <v>21770.340000000011</v>
      </c>
      <c r="AF34" s="50">
        <f>VLOOKUP(B34,'SUIVI 30.06.24'!D:BE,32,FALSE())</f>
        <v>16283.895</v>
      </c>
      <c r="AG34" s="95">
        <f t="shared" si="45"/>
        <v>5486.4450000000106</v>
      </c>
      <c r="AH34" s="94">
        <f t="shared" si="46"/>
        <v>119182.5</v>
      </c>
      <c r="AI34" s="50">
        <f>VLOOKUP($B34,'SUIVI 30.06.24'!$D:$BE,35,FALSE())</f>
        <v>89343.014999999999</v>
      </c>
      <c r="AJ34" s="95">
        <f t="shared" si="47"/>
        <v>29839.485000000001</v>
      </c>
      <c r="AK34" s="94">
        <f t="shared" si="48"/>
        <v>0</v>
      </c>
      <c r="AL34" s="95">
        <f t="shared" si="49"/>
        <v>0</v>
      </c>
      <c r="AM34" s="96">
        <f t="shared" si="50"/>
        <v>0.18266389780378839</v>
      </c>
      <c r="AN34" s="94">
        <f t="shared" si="51"/>
        <v>80258.37</v>
      </c>
      <c r="AO34" s="50">
        <f>VLOOKUP($B34,'SUIVI 30.06.24'!$D:$BE,41,FALSE())</f>
        <v>60193.777499999997</v>
      </c>
      <c r="AP34" s="97">
        <f t="shared" si="52"/>
        <v>20064.592499999999</v>
      </c>
      <c r="AQ34" s="94">
        <f t="shared" si="53"/>
        <v>7378.79</v>
      </c>
      <c r="AR34" s="50">
        <f>VLOOKUP($B34,'SUIVI 30.06.24'!$D:$BE,44,FALSE())</f>
        <v>5534.0924999999997</v>
      </c>
      <c r="AS34" s="95">
        <f t="shared" si="54"/>
        <v>1844.6975000000002</v>
      </c>
      <c r="AT34" s="94">
        <f t="shared" si="55"/>
        <v>6900</v>
      </c>
      <c r="AU34" s="50">
        <f>VLOOKUP($B34,'SUIVI 30.06.24'!$D:$BE,47,FALSE())</f>
        <v>5175</v>
      </c>
      <c r="AV34" s="95">
        <f t="shared" si="56"/>
        <v>1725</v>
      </c>
      <c r="AW34" s="94">
        <f t="shared" si="57"/>
        <v>2875</v>
      </c>
      <c r="AX34" s="50">
        <f>VLOOKUP($B34,'SUIVI 30.06.24'!$D:$BE,50,FALSE())</f>
        <v>2156.25</v>
      </c>
      <c r="AY34" s="95">
        <f t="shared" si="58"/>
        <v>718.75</v>
      </c>
      <c r="AZ34" s="94">
        <f t="shared" si="59"/>
        <v>0</v>
      </c>
      <c r="BA34" s="50"/>
      <c r="BB34" s="95">
        <f t="shared" si="60"/>
        <v>0</v>
      </c>
    </row>
    <row r="35" spans="1:54" ht="15" customHeight="1" x14ac:dyDescent="0.2">
      <c r="A35" s="438"/>
      <c r="B35" s="157" t="s">
        <v>230</v>
      </c>
      <c r="C35" s="158" t="s">
        <v>193</v>
      </c>
      <c r="D35" s="86" t="s">
        <v>224</v>
      </c>
      <c r="E35" s="87">
        <f>VLOOKUP(D35,'% avancement'!$E$5:$F$11,2,FALSE())</f>
        <v>1</v>
      </c>
      <c r="F35" s="98">
        <v>128711.54</v>
      </c>
      <c r="G35" s="99"/>
      <c r="H35" s="90">
        <f t="shared" si="30"/>
        <v>126128.20999999999</v>
      </c>
      <c r="I35" s="160">
        <v>2583.33</v>
      </c>
      <c r="J35" s="99">
        <v>7313.95</v>
      </c>
      <c r="K35" s="99">
        <v>3047.48</v>
      </c>
      <c r="L35" s="99">
        <v>7378.79</v>
      </c>
      <c r="M35" s="99">
        <v>83972.54</v>
      </c>
      <c r="N35" s="161">
        <v>0</v>
      </c>
      <c r="O35" s="107">
        <f t="shared" si="31"/>
        <v>2583.33</v>
      </c>
      <c r="P35" s="109">
        <f t="shared" si="32"/>
        <v>7313.95</v>
      </c>
      <c r="Q35" s="109">
        <f t="shared" si="33"/>
        <v>3047.48</v>
      </c>
      <c r="R35" s="109">
        <f t="shared" si="34"/>
        <v>7378.79</v>
      </c>
      <c r="S35" s="109">
        <f t="shared" si="35"/>
        <v>83972.54</v>
      </c>
      <c r="T35" s="109">
        <f t="shared" si="36"/>
        <v>0</v>
      </c>
      <c r="U35" s="94" t="str">
        <f t="shared" si="37"/>
        <v/>
      </c>
      <c r="V35" s="50">
        <f t="shared" si="38"/>
        <v>0</v>
      </c>
      <c r="W35" s="95">
        <f t="shared" si="39"/>
        <v>0</v>
      </c>
      <c r="X35" s="94">
        <f t="shared" si="61"/>
        <v>0</v>
      </c>
      <c r="Y35" s="50">
        <f t="shared" si="62"/>
        <v>0</v>
      </c>
      <c r="Z35" s="50">
        <f t="shared" si="63"/>
        <v>0</v>
      </c>
      <c r="AA35" s="50">
        <f t="shared" si="40"/>
        <v>0</v>
      </c>
      <c r="AB35" s="50">
        <f t="shared" si="41"/>
        <v>0</v>
      </c>
      <c r="AC35" s="50">
        <f t="shared" si="42"/>
        <v>0</v>
      </c>
      <c r="AD35" s="50">
        <f t="shared" si="43"/>
        <v>0</v>
      </c>
      <c r="AE35" s="94">
        <f t="shared" si="44"/>
        <v>24415.450000000012</v>
      </c>
      <c r="AF35" s="50">
        <f>VLOOKUP(B35,'SUIVI 30.06.24'!D:BE,32,FALSE())</f>
        <v>15830.293</v>
      </c>
      <c r="AG35" s="95">
        <f t="shared" si="45"/>
        <v>8585.157000000012</v>
      </c>
      <c r="AH35" s="94">
        <f t="shared" si="46"/>
        <v>126128.20999999999</v>
      </c>
      <c r="AI35" s="50">
        <f>VLOOKUP($B35,'SUIVI 30.06.24'!$D:$BE,35,FALSE())</f>
        <v>81943.587</v>
      </c>
      <c r="AJ35" s="95">
        <f t="shared" si="47"/>
        <v>44184.622999999992</v>
      </c>
      <c r="AK35" s="94">
        <f t="shared" si="48"/>
        <v>0</v>
      </c>
      <c r="AL35" s="95">
        <f t="shared" si="49"/>
        <v>0</v>
      </c>
      <c r="AM35" s="96">
        <f t="shared" si="50"/>
        <v>0.19357644098810262</v>
      </c>
      <c r="AN35" s="94">
        <f t="shared" si="51"/>
        <v>83972.54</v>
      </c>
      <c r="AO35" s="50">
        <f>VLOOKUP($B35,'SUIVI 30.06.24'!$D:$BE,41,FALSE())</f>
        <v>54582.150999999998</v>
      </c>
      <c r="AP35" s="97">
        <f t="shared" si="52"/>
        <v>29390.388999999996</v>
      </c>
      <c r="AQ35" s="94">
        <f t="shared" si="53"/>
        <v>7378.79</v>
      </c>
      <c r="AR35" s="50">
        <f>VLOOKUP($B35,'SUIVI 30.06.24'!$D:$BE,44,FALSE())</f>
        <v>4796.2134999999998</v>
      </c>
      <c r="AS35" s="95">
        <f t="shared" si="54"/>
        <v>2582.5765000000001</v>
      </c>
      <c r="AT35" s="94">
        <f t="shared" si="55"/>
        <v>7313.95</v>
      </c>
      <c r="AU35" s="50">
        <f>VLOOKUP($B35,'SUIVI 30.06.24'!$D:$BE,47,FALSE())</f>
        <v>4754.0675000000001</v>
      </c>
      <c r="AV35" s="95">
        <f t="shared" si="56"/>
        <v>2559.8824999999997</v>
      </c>
      <c r="AW35" s="94">
        <f t="shared" si="57"/>
        <v>3047.48</v>
      </c>
      <c r="AX35" s="50">
        <f>VLOOKUP($B35,'SUIVI 30.06.24'!$D:$BE,50,FALSE())</f>
        <v>1980.8620000000001</v>
      </c>
      <c r="AY35" s="95">
        <f t="shared" si="58"/>
        <v>1066.6179999999999</v>
      </c>
      <c r="AZ35" s="94">
        <f t="shared" si="59"/>
        <v>0</v>
      </c>
      <c r="BA35" s="50"/>
      <c r="BB35" s="95">
        <f t="shared" si="60"/>
        <v>0</v>
      </c>
    </row>
    <row r="36" spans="1:54" ht="15" customHeight="1" x14ac:dyDescent="0.2">
      <c r="A36" s="438"/>
      <c r="B36" s="157" t="s">
        <v>231</v>
      </c>
      <c r="C36" s="158" t="s">
        <v>193</v>
      </c>
      <c r="D36" s="86" t="s">
        <v>224</v>
      </c>
      <c r="E36" s="87">
        <f>VLOOKUP(D36,'% avancement'!$E$5:$F$11,2,FALSE())</f>
        <v>1</v>
      </c>
      <c r="F36" s="98">
        <v>115625</v>
      </c>
      <c r="G36" s="99"/>
      <c r="H36" s="90">
        <f t="shared" si="30"/>
        <v>111458.33333333333</v>
      </c>
      <c r="I36" s="99">
        <f>5000/1.2</f>
        <v>4166.666666666667</v>
      </c>
      <c r="J36" s="99">
        <v>7137.5</v>
      </c>
      <c r="K36" s="99">
        <v>1486.98</v>
      </c>
      <c r="L36" s="99">
        <v>7600.15</v>
      </c>
      <c r="M36" s="99">
        <v>73603.47</v>
      </c>
      <c r="N36" s="143">
        <v>0</v>
      </c>
      <c r="O36" s="107">
        <f t="shared" si="31"/>
        <v>4166.666666666667</v>
      </c>
      <c r="P36" s="109">
        <f t="shared" si="32"/>
        <v>7137.5</v>
      </c>
      <c r="Q36" s="109">
        <f t="shared" si="33"/>
        <v>1486.98</v>
      </c>
      <c r="R36" s="109">
        <f t="shared" si="34"/>
        <v>7600.15</v>
      </c>
      <c r="S36" s="109">
        <f t="shared" si="35"/>
        <v>73603.47</v>
      </c>
      <c r="T36" s="109">
        <f t="shared" si="36"/>
        <v>0</v>
      </c>
      <c r="U36" s="94" t="str">
        <f t="shared" si="37"/>
        <v/>
      </c>
      <c r="V36" s="50">
        <f t="shared" si="38"/>
        <v>0</v>
      </c>
      <c r="W36" s="95">
        <f t="shared" si="39"/>
        <v>0</v>
      </c>
      <c r="X36" s="94">
        <f t="shared" si="61"/>
        <v>0</v>
      </c>
      <c r="Y36" s="50">
        <f t="shared" si="62"/>
        <v>0</v>
      </c>
      <c r="Z36" s="50">
        <f t="shared" si="63"/>
        <v>0</v>
      </c>
      <c r="AA36" s="50">
        <f t="shared" si="40"/>
        <v>0</v>
      </c>
      <c r="AB36" s="50">
        <f t="shared" si="41"/>
        <v>0</v>
      </c>
      <c r="AC36" s="50">
        <f t="shared" si="42"/>
        <v>0</v>
      </c>
      <c r="AD36" s="50">
        <f t="shared" si="43"/>
        <v>0</v>
      </c>
      <c r="AE36" s="94">
        <f t="shared" si="44"/>
        <v>21630.233333333337</v>
      </c>
      <c r="AF36" s="50">
        <f>VLOOKUP(B36,'SUIVI 30.06.24'!D:BE,32,FALSE())</f>
        <v>6289.3325000000004</v>
      </c>
      <c r="AG36" s="95">
        <f t="shared" si="45"/>
        <v>15340.900833333337</v>
      </c>
      <c r="AH36" s="94">
        <f t="shared" si="46"/>
        <v>111458.33333333333</v>
      </c>
      <c r="AI36" s="50">
        <f>VLOOKUP($B36,'SUIVI 30.06.24'!$D:$BE,35,FALSE())</f>
        <v>28729.166666666701</v>
      </c>
      <c r="AJ36" s="95">
        <f t="shared" si="47"/>
        <v>82729.166666666628</v>
      </c>
      <c r="AK36" s="94">
        <f t="shared" si="48"/>
        <v>0</v>
      </c>
      <c r="AL36" s="95">
        <f t="shared" si="49"/>
        <v>0</v>
      </c>
      <c r="AM36" s="96">
        <f t="shared" si="50"/>
        <v>0.19406564485981312</v>
      </c>
      <c r="AN36" s="94">
        <f t="shared" si="51"/>
        <v>73603.47</v>
      </c>
      <c r="AO36" s="50">
        <f>VLOOKUP($B36,'SUIVI 30.06.24'!$D:$BE,41,FALSE())</f>
        <v>18097.817500000001</v>
      </c>
      <c r="AP36" s="97">
        <f t="shared" si="52"/>
        <v>55505.652499999997</v>
      </c>
      <c r="AQ36" s="94">
        <f t="shared" si="53"/>
        <v>7600.15</v>
      </c>
      <c r="AR36" s="50">
        <f>VLOOKUP($B36,'SUIVI 30.06.24'!$D:$BE,44,FALSE())</f>
        <v>1900.0374999999999</v>
      </c>
      <c r="AS36" s="95">
        <f t="shared" si="54"/>
        <v>5700.1124999999993</v>
      </c>
      <c r="AT36" s="94">
        <f t="shared" si="55"/>
        <v>7137.5</v>
      </c>
      <c r="AU36" s="50">
        <f>VLOOKUP($B36,'SUIVI 30.06.24'!$D:$BE,47,FALSE())</f>
        <v>1723.75</v>
      </c>
      <c r="AV36" s="95">
        <f t="shared" si="56"/>
        <v>5413.75</v>
      </c>
      <c r="AW36" s="94">
        <f t="shared" si="57"/>
        <v>1486.98</v>
      </c>
      <c r="AX36" s="50">
        <f>VLOOKUP($B36,'SUIVI 30.06.24'!$D:$BE,50,FALSE())</f>
        <v>718.22916666666697</v>
      </c>
      <c r="AY36" s="95">
        <f t="shared" si="58"/>
        <v>768.75083333333305</v>
      </c>
      <c r="AZ36" s="94">
        <f t="shared" si="59"/>
        <v>0</v>
      </c>
      <c r="BA36" s="50"/>
      <c r="BB36" s="95">
        <f t="shared" si="60"/>
        <v>0</v>
      </c>
    </row>
    <row r="37" spans="1:54" ht="15" customHeight="1" x14ac:dyDescent="0.2">
      <c r="A37" s="438"/>
      <c r="B37" s="162" t="s">
        <v>232</v>
      </c>
      <c r="C37" s="158" t="s">
        <v>193</v>
      </c>
      <c r="D37" s="86" t="s">
        <v>224</v>
      </c>
      <c r="E37" s="87">
        <f>VLOOKUP(D37,'% avancement'!$E$5:$F$11,2,FALSE())</f>
        <v>1</v>
      </c>
      <c r="F37" s="98">
        <v>118746.61</v>
      </c>
      <c r="G37" s="99"/>
      <c r="H37" s="90">
        <f t="shared" si="30"/>
        <v>114579.94333333333</v>
      </c>
      <c r="I37" s="99">
        <f>5000/1.2</f>
        <v>4166.666666666667</v>
      </c>
      <c r="J37" s="99">
        <v>6836.7</v>
      </c>
      <c r="K37" s="99">
        <v>1424.31</v>
      </c>
      <c r="L37" s="99">
        <v>7600.15</v>
      </c>
      <c r="M37" s="99">
        <v>71316.100000000006</v>
      </c>
      <c r="N37" s="143">
        <v>3000</v>
      </c>
      <c r="O37" s="107">
        <f t="shared" si="31"/>
        <v>4166.666666666667</v>
      </c>
      <c r="P37" s="109">
        <f t="shared" si="32"/>
        <v>6836.7</v>
      </c>
      <c r="Q37" s="109">
        <f t="shared" si="33"/>
        <v>1424.31</v>
      </c>
      <c r="R37" s="109">
        <f t="shared" si="34"/>
        <v>7600.15</v>
      </c>
      <c r="S37" s="109">
        <f t="shared" si="35"/>
        <v>71316.100000000006</v>
      </c>
      <c r="T37" s="109">
        <f t="shared" si="36"/>
        <v>3000</v>
      </c>
      <c r="U37" s="94" t="str">
        <f t="shared" si="37"/>
        <v/>
      </c>
      <c r="V37" s="50">
        <f t="shared" si="38"/>
        <v>0</v>
      </c>
      <c r="W37" s="95">
        <f t="shared" si="39"/>
        <v>0</v>
      </c>
      <c r="X37" s="94">
        <f t="shared" si="61"/>
        <v>0</v>
      </c>
      <c r="Y37" s="50">
        <f t="shared" si="62"/>
        <v>0</v>
      </c>
      <c r="Z37" s="50">
        <f t="shared" si="63"/>
        <v>0</v>
      </c>
      <c r="AA37" s="50">
        <f t="shared" si="40"/>
        <v>0</v>
      </c>
      <c r="AB37" s="50">
        <f t="shared" si="41"/>
        <v>0</v>
      </c>
      <c r="AC37" s="50">
        <f t="shared" si="42"/>
        <v>0</v>
      </c>
      <c r="AD37" s="50">
        <f t="shared" si="43"/>
        <v>0</v>
      </c>
      <c r="AE37" s="94">
        <f t="shared" si="44"/>
        <v>24402.683333333334</v>
      </c>
      <c r="AG37" s="95">
        <f t="shared" si="45"/>
        <v>24402.683333333334</v>
      </c>
      <c r="AH37" s="94">
        <f t="shared" si="46"/>
        <v>114579.94333333333</v>
      </c>
      <c r="AI37" s="50">
        <f>VLOOKUP($B37,'SUIVI 30.06.24'!$D:$BE,35,FALSE())</f>
        <v>0</v>
      </c>
      <c r="AJ37" s="95">
        <f t="shared" si="47"/>
        <v>114579.94333333333</v>
      </c>
      <c r="AK37" s="94">
        <f t="shared" si="48"/>
        <v>0</v>
      </c>
      <c r="AL37" s="95">
        <f t="shared" si="49"/>
        <v>0</v>
      </c>
      <c r="AM37" s="96">
        <f t="shared" si="50"/>
        <v>0.2129751736945934</v>
      </c>
      <c r="AN37" s="94">
        <f t="shared" si="51"/>
        <v>71316.100000000006</v>
      </c>
      <c r="AO37" s="50">
        <f>VLOOKUP($B37,'SUIVI 30.06.24'!$D:$BE,41,FALSE())</f>
        <v>0</v>
      </c>
      <c r="AP37" s="97">
        <f t="shared" si="52"/>
        <v>71316.100000000006</v>
      </c>
      <c r="AQ37" s="94">
        <f t="shared" si="53"/>
        <v>7600.15</v>
      </c>
      <c r="AR37" s="50">
        <f>VLOOKUP($B37,'SUIVI 30.06.24'!$D:$BE,44,FALSE())</f>
        <v>0</v>
      </c>
      <c r="AS37" s="95">
        <f t="shared" si="54"/>
        <v>7600.15</v>
      </c>
      <c r="AT37" s="94">
        <f t="shared" si="55"/>
        <v>6836.7</v>
      </c>
      <c r="AU37" s="50">
        <f>VLOOKUP($B37,'SUIVI 30.06.24'!$D:$BE,47,FALSE())</f>
        <v>0</v>
      </c>
      <c r="AV37" s="95">
        <f t="shared" si="56"/>
        <v>6836.7</v>
      </c>
      <c r="AW37" s="94">
        <f t="shared" si="57"/>
        <v>1424.31</v>
      </c>
      <c r="AX37" s="50">
        <f>VLOOKUP($B37,'SUIVI 30.06.24'!$D:$BE,50,FALSE())</f>
        <v>0</v>
      </c>
      <c r="AY37" s="95">
        <f t="shared" si="58"/>
        <v>1424.31</v>
      </c>
      <c r="AZ37" s="94">
        <f t="shared" si="59"/>
        <v>3000</v>
      </c>
      <c r="BA37" s="50"/>
      <c r="BB37" s="95">
        <f t="shared" si="60"/>
        <v>3000</v>
      </c>
    </row>
    <row r="38" spans="1:54" ht="15" customHeight="1" x14ac:dyDescent="0.2">
      <c r="A38" s="438"/>
      <c r="B38" s="162" t="s">
        <v>233</v>
      </c>
      <c r="C38" s="158" t="s">
        <v>193</v>
      </c>
      <c r="D38" s="86" t="s">
        <v>224</v>
      </c>
      <c r="E38" s="87">
        <f>VLOOKUP(D38,'% avancement'!$E$5:$F$11,2,FALSE())</f>
        <v>1</v>
      </c>
      <c r="F38" s="98">
        <v>118994.6</v>
      </c>
      <c r="G38" s="99"/>
      <c r="H38" s="90">
        <f t="shared" si="30"/>
        <v>113994.6</v>
      </c>
      <c r="I38" s="160">
        <v>5000</v>
      </c>
      <c r="J38" s="99">
        <v>6801.5</v>
      </c>
      <c r="K38" s="99">
        <v>1416.98</v>
      </c>
      <c r="L38" s="99">
        <v>7600.15</v>
      </c>
      <c r="M38" s="163">
        <v>67314.12</v>
      </c>
      <c r="N38" s="161">
        <v>3500</v>
      </c>
      <c r="O38" s="107">
        <f t="shared" si="31"/>
        <v>5000</v>
      </c>
      <c r="P38" s="109">
        <f t="shared" si="32"/>
        <v>6801.5</v>
      </c>
      <c r="Q38" s="109">
        <f t="shared" si="33"/>
        <v>1416.98</v>
      </c>
      <c r="R38" s="109">
        <f t="shared" si="34"/>
        <v>7600.15</v>
      </c>
      <c r="S38" s="109">
        <f t="shared" si="35"/>
        <v>67314.12</v>
      </c>
      <c r="T38" s="109">
        <f t="shared" si="36"/>
        <v>3500</v>
      </c>
      <c r="U38" s="94" t="str">
        <f t="shared" si="37"/>
        <v/>
      </c>
      <c r="V38" s="50">
        <f t="shared" si="38"/>
        <v>0</v>
      </c>
      <c r="W38" s="95">
        <f t="shared" si="39"/>
        <v>0</v>
      </c>
      <c r="X38" s="94">
        <f t="shared" si="61"/>
        <v>0</v>
      </c>
      <c r="Y38" s="50">
        <f t="shared" si="62"/>
        <v>0</v>
      </c>
      <c r="Z38" s="50">
        <f t="shared" si="63"/>
        <v>0</v>
      </c>
      <c r="AA38" s="50">
        <f t="shared" si="40"/>
        <v>0</v>
      </c>
      <c r="AB38" s="50">
        <f t="shared" si="41"/>
        <v>0</v>
      </c>
      <c r="AC38" s="50">
        <f t="shared" si="42"/>
        <v>0</v>
      </c>
      <c r="AD38" s="50">
        <f t="shared" si="43"/>
        <v>0</v>
      </c>
      <c r="AE38" s="94">
        <f t="shared" si="44"/>
        <v>27361.85000000002</v>
      </c>
      <c r="AG38" s="95">
        <f t="shared" si="45"/>
        <v>27361.85000000002</v>
      </c>
      <c r="AH38" s="94">
        <f t="shared" si="46"/>
        <v>113994.6</v>
      </c>
      <c r="AI38" s="50">
        <f>VLOOKUP($B38,'SUIVI 30.06.24'!$D:$BE,35,FALSE())</f>
        <v>0</v>
      </c>
      <c r="AJ38" s="95">
        <f t="shared" si="47"/>
        <v>113994.6</v>
      </c>
      <c r="AK38" s="94">
        <f t="shared" si="48"/>
        <v>0</v>
      </c>
      <c r="AL38" s="95">
        <f t="shared" si="49"/>
        <v>0</v>
      </c>
      <c r="AM38" s="96">
        <f t="shared" si="50"/>
        <v>0.24002759779849236</v>
      </c>
      <c r="AN38" s="94">
        <f t="shared" si="51"/>
        <v>67314.12</v>
      </c>
      <c r="AO38" s="50">
        <f>VLOOKUP($B38,'SUIVI 30.06.24'!$D:$BE,41,FALSE())</f>
        <v>0</v>
      </c>
      <c r="AP38" s="97">
        <f t="shared" si="52"/>
        <v>67314.12</v>
      </c>
      <c r="AQ38" s="94">
        <f t="shared" si="53"/>
        <v>7600.15</v>
      </c>
      <c r="AR38" s="50">
        <f>VLOOKUP($B38,'SUIVI 30.06.24'!$D:$BE,44,FALSE())</f>
        <v>0</v>
      </c>
      <c r="AS38" s="95">
        <f t="shared" si="54"/>
        <v>7600.15</v>
      </c>
      <c r="AT38" s="94">
        <f t="shared" si="55"/>
        <v>6801.5</v>
      </c>
      <c r="AU38" s="50">
        <f>VLOOKUP($B38,'SUIVI 30.06.24'!$D:$BE,47,FALSE())</f>
        <v>0</v>
      </c>
      <c r="AV38" s="95">
        <f t="shared" si="56"/>
        <v>6801.5</v>
      </c>
      <c r="AW38" s="94">
        <f t="shared" si="57"/>
        <v>1416.98</v>
      </c>
      <c r="AX38" s="50">
        <f>VLOOKUP($B38,'SUIVI 30.06.24'!$D:$BE,50,FALSE())</f>
        <v>0</v>
      </c>
      <c r="AY38" s="95">
        <f t="shared" si="58"/>
        <v>1416.98</v>
      </c>
      <c r="AZ38" s="94">
        <f t="shared" si="59"/>
        <v>3500</v>
      </c>
      <c r="BA38" s="50"/>
      <c r="BB38" s="95">
        <f t="shared" si="60"/>
        <v>3500</v>
      </c>
    </row>
    <row r="39" spans="1:54" s="42" customFormat="1" ht="15.75" customHeight="1" x14ac:dyDescent="0.2">
      <c r="A39" s="111" t="s">
        <v>165</v>
      </c>
      <c r="B39" s="112">
        <f>ROWS(B29:B38)</f>
        <v>10</v>
      </c>
      <c r="C39" s="113"/>
      <c r="D39" s="113"/>
      <c r="E39" s="112"/>
      <c r="F39" s="114"/>
      <c r="G39" s="115"/>
      <c r="H39" s="115"/>
      <c r="I39" s="115"/>
      <c r="J39" s="115"/>
      <c r="K39" s="115"/>
      <c r="L39" s="115"/>
      <c r="M39" s="115"/>
      <c r="N39" s="116"/>
      <c r="O39" s="117"/>
      <c r="P39" s="118"/>
      <c r="Q39" s="118"/>
      <c r="R39" s="118"/>
      <c r="S39" s="118"/>
      <c r="T39" s="118"/>
      <c r="U39" s="119"/>
      <c r="V39" s="120"/>
      <c r="W39" s="121"/>
      <c r="X39" s="94"/>
      <c r="Y39" s="50"/>
      <c r="Z39" s="50"/>
      <c r="AA39" s="50"/>
      <c r="AB39" s="50"/>
      <c r="AC39" s="50"/>
      <c r="AD39" s="50">
        <f t="shared" si="43"/>
        <v>0</v>
      </c>
      <c r="AE39" s="119"/>
      <c r="AF39" s="120"/>
      <c r="AG39" s="121"/>
      <c r="AH39" s="119"/>
      <c r="AI39" s="120"/>
      <c r="AJ39" s="121"/>
      <c r="AK39" s="119"/>
      <c r="AL39" s="121"/>
      <c r="AM39" s="122"/>
      <c r="AN39" s="119"/>
      <c r="AO39" s="120"/>
      <c r="AP39" s="121"/>
      <c r="AQ39" s="119"/>
      <c r="AR39" s="120"/>
      <c r="AS39" s="121"/>
      <c r="AT39" s="119"/>
      <c r="AU39" s="120"/>
      <c r="AV39" s="121"/>
      <c r="AW39" s="119"/>
      <c r="AX39" s="120"/>
      <c r="AY39" s="121"/>
      <c r="AZ39" s="119"/>
      <c r="BA39" s="120"/>
      <c r="BB39" s="121"/>
    </row>
    <row r="40" spans="1:54" s="35" customFormat="1" ht="15.75" customHeight="1" x14ac:dyDescent="0.2">
      <c r="A40" s="123" t="s">
        <v>166</v>
      </c>
      <c r="B40" s="124">
        <f>B28+B39</f>
        <v>35</v>
      </c>
      <c r="C40" s="125"/>
      <c r="D40" s="126"/>
      <c r="E40" s="124"/>
      <c r="F40" s="127"/>
      <c r="G40" s="128"/>
      <c r="H40" s="128"/>
      <c r="I40" s="128"/>
      <c r="J40" s="128"/>
      <c r="K40" s="128"/>
      <c r="L40" s="128"/>
      <c r="M40" s="128"/>
      <c r="N40" s="129"/>
      <c r="O40" s="130"/>
      <c r="P40" s="131"/>
      <c r="Q40" s="131"/>
      <c r="R40" s="131"/>
      <c r="S40" s="131"/>
      <c r="T40" s="131"/>
      <c r="U40" s="132">
        <f>SUM(U3:U38)</f>
        <v>536418.00000000023</v>
      </c>
      <c r="V40" s="133">
        <f>SUM(V3:V24)</f>
        <v>4000</v>
      </c>
      <c r="W40" s="134">
        <f>SUM(W3:W24)</f>
        <v>5500</v>
      </c>
      <c r="X40" s="132">
        <f t="shared" ref="X40:AL40" si="64">SUM(X3:X38)</f>
        <v>8973.0000000000109</v>
      </c>
      <c r="Y40" s="133">
        <f t="shared" si="64"/>
        <v>14630.227999999999</v>
      </c>
      <c r="Z40" s="133">
        <f t="shared" si="64"/>
        <v>3738.7500000000055</v>
      </c>
      <c r="AA40" s="133">
        <f t="shared" si="64"/>
        <v>3048.2846666666683</v>
      </c>
      <c r="AB40" s="133">
        <f t="shared" si="64"/>
        <v>31920.510000000002</v>
      </c>
      <c r="AC40" s="133">
        <f t="shared" si="64"/>
        <v>324241.98000000016</v>
      </c>
      <c r="AD40" s="133">
        <f t="shared" si="64"/>
        <v>12000</v>
      </c>
      <c r="AE40" s="135">
        <f t="shared" si="64"/>
        <v>542186.02000000048</v>
      </c>
      <c r="AF40" s="136">
        <f t="shared" si="64"/>
        <v>73823.713000000062</v>
      </c>
      <c r="AG40" s="137">
        <f t="shared" si="64"/>
        <v>292925.52966666681</v>
      </c>
      <c r="AH40" s="135">
        <f t="shared" si="64"/>
        <v>2556993.0733333346</v>
      </c>
      <c r="AI40" s="138">
        <f t="shared" si="64"/>
        <v>290882.43533333339</v>
      </c>
      <c r="AJ40" s="137">
        <f t="shared" si="64"/>
        <v>1429197.6380000003</v>
      </c>
      <c r="AK40" s="135">
        <f t="shared" si="64"/>
        <v>836913.00000000081</v>
      </c>
      <c r="AL40" s="97">
        <f t="shared" si="64"/>
        <v>175436.77733333365</v>
      </c>
      <c r="AM40" s="96">
        <f>+AE40/AH40</f>
        <v>0.21204047271555515</v>
      </c>
      <c r="AN40" s="135">
        <f>SUM(AN3:AN38)</f>
        <v>1086049.46</v>
      </c>
      <c r="AO40" s="138">
        <v>174896.44099999999</v>
      </c>
      <c r="AP40" s="137">
        <f>SUM(AP3:AP38)</f>
        <v>911153.0190000002</v>
      </c>
      <c r="AQ40" s="135">
        <f>SUM(AQ3:AQ38)</f>
        <v>107479.28999999998</v>
      </c>
      <c r="AR40" s="138">
        <v>17930.455999999998</v>
      </c>
      <c r="AS40" s="137">
        <f>SUM(AS3:AS38)</f>
        <v>89548.834000000003</v>
      </c>
      <c r="AT40" s="135">
        <f>SUM(AT3:AT38)</f>
        <v>101769.152</v>
      </c>
      <c r="AU40" s="138">
        <v>17104.817500000001</v>
      </c>
      <c r="AV40" s="137">
        <f>SUM(AV3:AV39)</f>
        <v>84664.334499999997</v>
      </c>
      <c r="AW40" s="135">
        <f>SUM(AW3:AW39)</f>
        <v>26032.928666666678</v>
      </c>
      <c r="AX40" s="138">
        <v>7127.0078333333304</v>
      </c>
      <c r="AY40" s="137">
        <f>SUM(AY3:AY39)</f>
        <v>18905.920833333344</v>
      </c>
      <c r="AZ40" s="135">
        <f>SUM(AZ3:AZ39)</f>
        <v>32000</v>
      </c>
      <c r="BA40" s="138">
        <f>SUM(BA3:BA39)</f>
        <v>0</v>
      </c>
      <c r="BB40" s="137">
        <f>SUM(BB3:BB39)</f>
        <v>32000</v>
      </c>
    </row>
    <row r="42" spans="1:54" ht="15" customHeight="1" x14ac:dyDescent="0.2">
      <c r="AF42" s="139"/>
      <c r="AG42" s="139"/>
      <c r="AH42" s="139"/>
      <c r="AI42" s="139"/>
      <c r="AJ42" s="139"/>
    </row>
    <row r="43" spans="1:54" ht="15" customHeight="1" x14ac:dyDescent="0.2">
      <c r="A43" s="140"/>
      <c r="AF43" s="96"/>
      <c r="AG43" s="96"/>
      <c r="AI43" s="96"/>
    </row>
    <row r="44" spans="1:54" ht="15" customHeight="1" x14ac:dyDescent="0.2">
      <c r="AG44" s="141"/>
      <c r="AH44" s="141"/>
      <c r="AI44" s="141"/>
      <c r="AJ44" s="141"/>
    </row>
    <row r="47" spans="1:54" ht="15" customHeight="1" x14ac:dyDescent="0.2">
      <c r="AI47" s="142"/>
    </row>
    <row r="49" spans="32:34" ht="15" customHeight="1" x14ac:dyDescent="0.2">
      <c r="AF49" s="138"/>
      <c r="AG49" s="138"/>
      <c r="AH49" s="138"/>
    </row>
  </sheetData>
  <mergeCells count="11">
    <mergeCell ref="A29:A38"/>
    <mergeCell ref="AH1:AJ1"/>
    <mergeCell ref="AK1:AL1"/>
    <mergeCell ref="AM1:AM2"/>
    <mergeCell ref="AN1:BB1"/>
    <mergeCell ref="A3:A27"/>
    <mergeCell ref="F1:N1"/>
    <mergeCell ref="O1:T1"/>
    <mergeCell ref="U1:W1"/>
    <mergeCell ref="X1:AD1"/>
    <mergeCell ref="AE1:A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8"/>
  <sheetViews>
    <sheetView zoomScale="150" zoomScaleNormal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6" sqref="F16"/>
    </sheetView>
  </sheetViews>
  <sheetFormatPr baseColWidth="10" defaultColWidth="10.6640625" defaultRowHeight="15" x14ac:dyDescent="0.2"/>
  <cols>
    <col min="1" max="1" width="42" customWidth="1"/>
    <col min="2" max="13" width="10" customWidth="1"/>
  </cols>
  <sheetData>
    <row r="1" spans="1:27" ht="21.75" customHeight="1" x14ac:dyDescent="0.2">
      <c r="A1" s="424" t="s">
        <v>235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</row>
    <row r="2" spans="1:27" ht="13.5" customHeight="1" x14ac:dyDescent="0.2">
      <c r="A2" s="425" t="s">
        <v>236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</row>
    <row r="3" spans="1:27" ht="18" customHeight="1" x14ac:dyDescent="0.2">
      <c r="A3" s="165" t="s">
        <v>237</v>
      </c>
      <c r="B3" s="166" t="s">
        <v>238</v>
      </c>
      <c r="C3" s="166" t="s">
        <v>239</v>
      </c>
      <c r="D3" s="166" t="s">
        <v>240</v>
      </c>
      <c r="E3" s="166" t="s">
        <v>241</v>
      </c>
      <c r="F3" s="166" t="s">
        <v>242</v>
      </c>
      <c r="G3" s="166" t="s">
        <v>243</v>
      </c>
      <c r="H3" s="166" t="s">
        <v>244</v>
      </c>
      <c r="I3" s="166" t="s">
        <v>245</v>
      </c>
      <c r="J3" s="166" t="s">
        <v>246</v>
      </c>
      <c r="K3" s="166" t="s">
        <v>247</v>
      </c>
      <c r="L3" s="166" t="s">
        <v>248</v>
      </c>
      <c r="M3" s="166" t="s">
        <v>249</v>
      </c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</row>
    <row r="4" spans="1:27" ht="15" customHeight="1" x14ac:dyDescent="0.2">
      <c r="A4" s="422" t="s">
        <v>250</v>
      </c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</row>
    <row r="5" spans="1:27" ht="21" customHeight="1" x14ac:dyDescent="0.2">
      <c r="A5" s="167" t="s">
        <v>251</v>
      </c>
      <c r="B5" s="168">
        <v>100</v>
      </c>
      <c r="C5" s="169">
        <f t="shared" ref="C5:M5" si="0">IF(B25&lt;&gt;"",B25,B23)</f>
        <v>98.071110000000004</v>
      </c>
      <c r="D5" s="169">
        <f t="shared" si="0"/>
        <v>36.75018</v>
      </c>
      <c r="E5" s="169">
        <f t="shared" si="0"/>
        <v>70.765219999999999</v>
      </c>
      <c r="F5" s="169">
        <f t="shared" si="0"/>
        <v>35.24999333333335</v>
      </c>
      <c r="G5" s="169">
        <f t="shared" si="0"/>
        <v>-9.3930049999999738</v>
      </c>
      <c r="H5" s="169">
        <f t="shared" si="0"/>
        <v>-46.689943333333304</v>
      </c>
      <c r="I5" s="169">
        <f t="shared" si="0"/>
        <v>-108.2712383333333</v>
      </c>
      <c r="J5" s="169">
        <f t="shared" si="0"/>
        <v>-111.87744499999997</v>
      </c>
      <c r="K5" s="169">
        <f t="shared" si="0"/>
        <v>-149.00221666666661</v>
      </c>
      <c r="L5" s="169">
        <f t="shared" si="0"/>
        <v>-183.37637833333326</v>
      </c>
      <c r="M5" s="169">
        <f t="shared" si="0"/>
        <v>-210.85053999999991</v>
      </c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</row>
    <row r="6" spans="1:27" ht="15" customHeight="1" x14ac:dyDescent="0.2">
      <c r="A6" s="426" t="s">
        <v>252</v>
      </c>
      <c r="B6" s="426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</row>
    <row r="7" spans="1:27" ht="21" customHeight="1" x14ac:dyDescent="0.2">
      <c r="A7" s="169" t="s">
        <v>253</v>
      </c>
      <c r="B7" s="169">
        <f>'Tréso chantiers'!T4/1000</f>
        <v>82.689739999999986</v>
      </c>
      <c r="C7" s="169">
        <f>'Tréso chantiers'!U4/1000</f>
        <v>55.776769999999999</v>
      </c>
      <c r="D7" s="169">
        <f>'Tréso chantiers'!V4/1000</f>
        <v>103.21361</v>
      </c>
      <c r="E7" s="169">
        <f>'Tréso chantiers'!W4/1000</f>
        <v>63.019279999999995</v>
      </c>
      <c r="F7" s="169">
        <f>'Tréso chantiers'!X4/1000</f>
        <v>9.5703899999999997</v>
      </c>
      <c r="G7" s="169">
        <f>'Tréso chantiers'!Y4/1000</f>
        <v>21.063509999999997</v>
      </c>
      <c r="H7" s="169">
        <f>'Tréso chantiers'!Z4/1000</f>
        <v>16.006040000000002</v>
      </c>
      <c r="I7" s="169">
        <f>'Tréso chantiers'!AA4/1000</f>
        <v>56.569129999999994</v>
      </c>
      <c r="J7" s="169">
        <f>'Tréso chantiers'!AB4/1000</f>
        <v>18.399060000000002</v>
      </c>
      <c r="K7" s="169">
        <f>'Tréso chantiers'!AC4/1000</f>
        <v>17.250119999999999</v>
      </c>
      <c r="L7" s="169">
        <f>'Tréso chantiers'!AD4/1000</f>
        <v>19.987939999999998</v>
      </c>
      <c r="M7" s="169">
        <f>'Tréso chantiers'!AE4/1000</f>
        <v>11.70448</v>
      </c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</row>
    <row r="8" spans="1:27" ht="15.75" customHeight="1" x14ac:dyDescent="0.2">
      <c r="A8" s="170" t="s">
        <v>254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</row>
    <row r="9" spans="1:27" ht="15" customHeight="1" x14ac:dyDescent="0.2">
      <c r="A9" s="170" t="s">
        <v>255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</row>
    <row r="10" spans="1:27" ht="15" customHeight="1" x14ac:dyDescent="0.2">
      <c r="A10" s="172" t="s">
        <v>256</v>
      </c>
      <c r="B10" s="173">
        <f t="shared" ref="B10:M10" si="1">SUM(B7:B9)</f>
        <v>82.689739999999986</v>
      </c>
      <c r="C10" s="173">
        <f t="shared" si="1"/>
        <v>55.776769999999999</v>
      </c>
      <c r="D10" s="173">
        <f t="shared" si="1"/>
        <v>103.21361</v>
      </c>
      <c r="E10" s="173">
        <f t="shared" si="1"/>
        <v>63.019279999999995</v>
      </c>
      <c r="F10" s="173">
        <f t="shared" si="1"/>
        <v>9.5703899999999997</v>
      </c>
      <c r="G10" s="173">
        <f t="shared" si="1"/>
        <v>21.063509999999997</v>
      </c>
      <c r="H10" s="173">
        <f t="shared" si="1"/>
        <v>16.006040000000002</v>
      </c>
      <c r="I10" s="173">
        <f t="shared" si="1"/>
        <v>56.569129999999994</v>
      </c>
      <c r="J10" s="173">
        <f t="shared" si="1"/>
        <v>18.399060000000002</v>
      </c>
      <c r="K10" s="173">
        <f t="shared" si="1"/>
        <v>17.250119999999999</v>
      </c>
      <c r="L10" s="173">
        <f t="shared" si="1"/>
        <v>19.987939999999998</v>
      </c>
      <c r="M10" s="173">
        <f t="shared" si="1"/>
        <v>11.70448</v>
      </c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</row>
    <row r="11" spans="1:27" ht="15" customHeight="1" x14ac:dyDescent="0.2">
      <c r="A11" s="427" t="s">
        <v>257</v>
      </c>
      <c r="B11" s="427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</row>
    <row r="12" spans="1:27" ht="15" customHeight="1" x14ac:dyDescent="0.2">
      <c r="A12" s="170" t="s">
        <v>258</v>
      </c>
      <c r="B12" s="169">
        <f>'Projection P&amp;L'!$C$18*1.2/12</f>
        <v>22.739999999999995</v>
      </c>
      <c r="C12" s="169">
        <f>'Projection P&amp;L'!$C$18*1.2/12</f>
        <v>22.739999999999995</v>
      </c>
      <c r="D12" s="169">
        <f>'Projection P&amp;L'!$C$18*1.2/12</f>
        <v>22.739999999999995</v>
      </c>
      <c r="E12" s="169">
        <f>'Projection P&amp;L'!$C$18*1.2/12</f>
        <v>22.739999999999995</v>
      </c>
      <c r="F12" s="169">
        <f>'Projection P&amp;L'!$C$18*1.2/12</f>
        <v>22.739999999999995</v>
      </c>
      <c r="G12" s="169">
        <f>'Projection P&amp;L'!$C$18*1.2/12</f>
        <v>22.739999999999995</v>
      </c>
      <c r="H12" s="169">
        <f>'Projection P&amp;L'!$C$18*1.2/12</f>
        <v>22.739999999999995</v>
      </c>
      <c r="I12" s="169">
        <f>'Projection P&amp;L'!$C$18*1.2/12</f>
        <v>22.739999999999995</v>
      </c>
      <c r="J12" s="169">
        <f>'Projection P&amp;L'!$C$18*1.2/12</f>
        <v>22.739999999999995</v>
      </c>
      <c r="K12" s="169">
        <f>'Projection P&amp;L'!$C$18*1.2/12</f>
        <v>22.739999999999995</v>
      </c>
      <c r="L12" s="169">
        <f>'Projection P&amp;L'!$C$18*1.2/12</f>
        <v>22.739999999999995</v>
      </c>
      <c r="M12" s="169">
        <f>'Projection P&amp;L'!$C$18*1.2/12</f>
        <v>22.739999999999995</v>
      </c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</row>
    <row r="13" spans="1:27" ht="15" customHeight="1" x14ac:dyDescent="0.2">
      <c r="A13" s="170" t="s">
        <v>259</v>
      </c>
      <c r="B13" s="169">
        <f>'Projection P&amp;L'!$C$15/12</f>
        <v>17.599999999999998</v>
      </c>
      <c r="C13" s="169">
        <f>'Projection P&amp;L'!$I$57/12</f>
        <v>17.599999999999998</v>
      </c>
      <c r="D13" s="169">
        <f>'Projection P&amp;L'!$I$57/12</f>
        <v>17.599999999999998</v>
      </c>
      <c r="E13" s="169">
        <f>'Projection P&amp;L'!$I$57/12</f>
        <v>17.599999999999998</v>
      </c>
      <c r="F13" s="169">
        <f>'Projection P&amp;L'!$I$57/12</f>
        <v>17.599999999999998</v>
      </c>
      <c r="G13" s="169">
        <f>'Projection P&amp;L'!$I$57/12</f>
        <v>17.599999999999998</v>
      </c>
      <c r="H13" s="169">
        <f>'Projection P&amp;L'!$I$57/12</f>
        <v>17.599999999999998</v>
      </c>
      <c r="I13" s="169">
        <f>'Projection P&amp;L'!$I$57/12</f>
        <v>17.599999999999998</v>
      </c>
      <c r="J13" s="169">
        <f>'Projection P&amp;L'!$I$57/12</f>
        <v>17.599999999999998</v>
      </c>
      <c r="K13" s="169">
        <f>'Projection P&amp;L'!$I$57/12</f>
        <v>17.599999999999998</v>
      </c>
      <c r="L13" s="169">
        <f>'Projection P&amp;L'!$I$57/12</f>
        <v>17.599999999999998</v>
      </c>
      <c r="M13" s="169">
        <f>'Projection P&amp;L'!$I$57/12</f>
        <v>17.599999999999998</v>
      </c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</row>
    <row r="14" spans="1:27" ht="21" customHeight="1" x14ac:dyDescent="0.2">
      <c r="A14" s="170" t="s">
        <v>260</v>
      </c>
      <c r="B14" s="174"/>
      <c r="C14" s="169">
        <f>'Tréso chantiers'!U5/1000-C12/1.2*0.2</f>
        <v>47.172943333333329</v>
      </c>
      <c r="D14" s="169">
        <f>'Tréso chantiers'!V5/1000-D12/1.2*0.2</f>
        <v>45.291428333333336</v>
      </c>
      <c r="E14" s="169">
        <f>'Tréso chantiers'!W5/1000-E12/1.2*0.2</f>
        <v>57.194506666666655</v>
      </c>
      <c r="F14" s="169">
        <f>'Tréso chantiers'!X5/1000-F12/1.2*0.2</f>
        <v>12.873388333333338</v>
      </c>
      <c r="G14" s="169">
        <f>'Tréso chantiers'!Y5/1000-G12/1.2*0.2</f>
        <v>12.370448333333336</v>
      </c>
      <c r="H14" s="169">
        <f>'Tréso chantiers'!Z5/1000-H12/1.2*0.2</f>
        <v>36.247335000000007</v>
      </c>
      <c r="I14" s="169">
        <f>'Tréso chantiers'!AA5/1000-I12/1.2*0.2</f>
        <v>18.83533666666667</v>
      </c>
      <c r="J14" s="169">
        <f>'Tréso chantiers'!AB5/1000-J12/1.2*0.2</f>
        <v>9.533831666666666</v>
      </c>
      <c r="K14" s="169">
        <f>'Tréso chantiers'!AC5/1000-K12/1.2*0.2</f>
        <v>10.28428166666667</v>
      </c>
      <c r="L14" s="169">
        <f>'Tréso chantiers'!AD5/1000-L12/1.2*0.2</f>
        <v>6.1221016666666692</v>
      </c>
      <c r="M14" s="169">
        <f>'Tréso chantiers'!AE5/1000-M12/1.2*0.2</f>
        <v>-2.5488749999999989</v>
      </c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</row>
    <row r="15" spans="1:27" ht="15.75" customHeight="1" x14ac:dyDescent="0.2">
      <c r="A15" s="170" t="s">
        <v>261</v>
      </c>
      <c r="B15" s="169">
        <v>0</v>
      </c>
      <c r="C15" s="169">
        <v>0</v>
      </c>
      <c r="D15" s="169">
        <f>'Projection P&amp;L'!$I$50/4/1000</f>
        <v>4.6500000000000004</v>
      </c>
      <c r="E15" s="169">
        <v>0</v>
      </c>
      <c r="F15" s="169">
        <v>0</v>
      </c>
      <c r="G15" s="169">
        <f>'Projection P&amp;L'!$I$50/4/1000</f>
        <v>4.6500000000000004</v>
      </c>
      <c r="H15" s="169">
        <v>0</v>
      </c>
      <c r="I15" s="169">
        <v>0</v>
      </c>
      <c r="J15" s="169">
        <f>'Projection P&amp;L'!$I$50/4/1000</f>
        <v>4.6500000000000004</v>
      </c>
      <c r="K15" s="169">
        <v>0</v>
      </c>
      <c r="L15" s="169">
        <v>0</v>
      </c>
      <c r="M15" s="169">
        <f>'Projection P&amp;L'!$I$50/4/1000</f>
        <v>4.6500000000000004</v>
      </c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</row>
    <row r="16" spans="1:27" ht="15" customHeight="1" x14ac:dyDescent="0.2">
      <c r="A16" s="170" t="s">
        <v>262</v>
      </c>
      <c r="B16" s="169">
        <v>0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74"/>
      <c r="M16" s="169">
        <v>0</v>
      </c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</row>
    <row r="17" spans="1:27" ht="15" customHeight="1" x14ac:dyDescent="0.2">
      <c r="A17" s="170" t="s">
        <v>263</v>
      </c>
      <c r="B17" s="174">
        <v>1</v>
      </c>
      <c r="C17" s="174">
        <v>1</v>
      </c>
      <c r="D17" s="174">
        <v>1</v>
      </c>
      <c r="E17" s="174">
        <v>1</v>
      </c>
      <c r="F17" s="174">
        <v>1</v>
      </c>
      <c r="G17" s="174">
        <v>1</v>
      </c>
      <c r="H17" s="174">
        <v>1</v>
      </c>
      <c r="I17" s="174">
        <v>1</v>
      </c>
      <c r="J17" s="174">
        <v>1</v>
      </c>
      <c r="K17" s="174">
        <v>1</v>
      </c>
      <c r="L17" s="174">
        <v>1</v>
      </c>
      <c r="M17" s="174">
        <v>1</v>
      </c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</row>
    <row r="18" spans="1:27" ht="15" customHeight="1" x14ac:dyDescent="0.2">
      <c r="A18" s="170" t="s">
        <v>264</v>
      </c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</row>
    <row r="19" spans="1:27" ht="15" customHeight="1" x14ac:dyDescent="0.2">
      <c r="A19" s="170" t="s">
        <v>265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</row>
    <row r="20" spans="1:27" ht="15" customHeight="1" x14ac:dyDescent="0.2">
      <c r="A20" s="175" t="s">
        <v>266</v>
      </c>
      <c r="B20" s="176">
        <f t="shared" ref="B20:M20" si="2">SUM(B12:B19)</f>
        <v>41.339999999999989</v>
      </c>
      <c r="C20" s="176">
        <f t="shared" si="2"/>
        <v>88.512943333333311</v>
      </c>
      <c r="D20" s="176">
        <f t="shared" si="2"/>
        <v>91.281428333333338</v>
      </c>
      <c r="E20" s="176">
        <f t="shared" si="2"/>
        <v>98.534506666666644</v>
      </c>
      <c r="F20" s="176">
        <f t="shared" si="2"/>
        <v>54.213388333333327</v>
      </c>
      <c r="G20" s="176">
        <f t="shared" si="2"/>
        <v>58.360448333333323</v>
      </c>
      <c r="H20" s="176">
        <f t="shared" si="2"/>
        <v>77.587334999999996</v>
      </c>
      <c r="I20" s="176">
        <f t="shared" si="2"/>
        <v>60.175336666666659</v>
      </c>
      <c r="J20" s="176">
        <f t="shared" si="2"/>
        <v>55.523831666666652</v>
      </c>
      <c r="K20" s="176">
        <f t="shared" si="2"/>
        <v>51.624281666666661</v>
      </c>
      <c r="L20" s="176">
        <f t="shared" si="2"/>
        <v>47.462101666666655</v>
      </c>
      <c r="M20" s="176">
        <f t="shared" si="2"/>
        <v>43.441124999999992</v>
      </c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</row>
    <row r="21" spans="1:27" ht="15" customHeight="1" x14ac:dyDescent="0.2">
      <c r="A21" s="422" t="s">
        <v>267</v>
      </c>
      <c r="B21" s="422"/>
      <c r="C21" s="422"/>
      <c r="D21" s="422"/>
      <c r="E21" s="422"/>
      <c r="F21" s="422"/>
      <c r="G21" s="422"/>
      <c r="H21" s="422"/>
      <c r="I21" s="422"/>
      <c r="J21" s="422"/>
      <c r="K21" s="422"/>
      <c r="L21" s="422"/>
      <c r="M21" s="422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</row>
    <row r="22" spans="1:27" ht="15" customHeight="1" x14ac:dyDescent="0.2">
      <c r="A22" s="167" t="s">
        <v>268</v>
      </c>
      <c r="B22" s="177">
        <f t="shared" ref="B22:M22" si="3">B10-B20</f>
        <v>41.349739999999997</v>
      </c>
      <c r="C22" s="177">
        <f t="shared" si="3"/>
        <v>-32.736173333333312</v>
      </c>
      <c r="D22" s="177">
        <f t="shared" si="3"/>
        <v>11.932181666666665</v>
      </c>
      <c r="E22" s="177">
        <f t="shared" si="3"/>
        <v>-35.515226666666649</v>
      </c>
      <c r="F22" s="177">
        <f t="shared" si="3"/>
        <v>-44.642998333333324</v>
      </c>
      <c r="G22" s="177">
        <f t="shared" si="3"/>
        <v>-37.29693833333333</v>
      </c>
      <c r="H22" s="177">
        <f t="shared" si="3"/>
        <v>-61.581294999999997</v>
      </c>
      <c r="I22" s="177">
        <f t="shared" si="3"/>
        <v>-3.6062066666666652</v>
      </c>
      <c r="J22" s="177">
        <f t="shared" si="3"/>
        <v>-37.124771666666646</v>
      </c>
      <c r="K22" s="177">
        <f t="shared" si="3"/>
        <v>-34.374161666666666</v>
      </c>
      <c r="L22" s="177">
        <f t="shared" si="3"/>
        <v>-27.474161666666657</v>
      </c>
      <c r="M22" s="177">
        <f t="shared" si="3"/>
        <v>-31.736644999999992</v>
      </c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</row>
    <row r="23" spans="1:27" ht="15" customHeight="1" x14ac:dyDescent="0.2">
      <c r="A23" s="178" t="s">
        <v>269</v>
      </c>
      <c r="B23" s="179">
        <f t="shared" ref="B23:M23" si="4">B5+B22</f>
        <v>141.34974</v>
      </c>
      <c r="C23" s="179">
        <f t="shared" si="4"/>
        <v>65.334936666666692</v>
      </c>
      <c r="D23" s="179">
        <f t="shared" si="4"/>
        <v>48.682361666666665</v>
      </c>
      <c r="E23" s="179">
        <f t="shared" si="4"/>
        <v>35.24999333333335</v>
      </c>
      <c r="F23" s="179">
        <f t="shared" si="4"/>
        <v>-9.3930049999999738</v>
      </c>
      <c r="G23" s="179">
        <f t="shared" si="4"/>
        <v>-46.689943333333304</v>
      </c>
      <c r="H23" s="179">
        <f t="shared" si="4"/>
        <v>-108.2712383333333</v>
      </c>
      <c r="I23" s="179">
        <f t="shared" si="4"/>
        <v>-111.87744499999997</v>
      </c>
      <c r="J23" s="179">
        <f t="shared" si="4"/>
        <v>-149.00221666666661</v>
      </c>
      <c r="K23" s="179">
        <f t="shared" si="4"/>
        <v>-183.37637833333326</v>
      </c>
      <c r="L23" s="179">
        <f t="shared" si="4"/>
        <v>-210.85053999999991</v>
      </c>
      <c r="M23" s="179">
        <f t="shared" si="4"/>
        <v>-242.58718499999989</v>
      </c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</row>
    <row r="24" spans="1:27" ht="15" customHeight="1" x14ac:dyDescent="0.2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</row>
    <row r="25" spans="1:27" ht="15" customHeight="1" x14ac:dyDescent="0.2">
      <c r="A25" s="180" t="s">
        <v>270</v>
      </c>
      <c r="B25" s="174">
        <v>98.071110000000004</v>
      </c>
      <c r="C25" s="174">
        <v>36.75018</v>
      </c>
      <c r="D25" s="174">
        <v>70.765219999999999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</row>
    <row r="26" spans="1:27" ht="21" customHeight="1" x14ac:dyDescent="0.2">
      <c r="A26" s="423" t="s">
        <v>271</v>
      </c>
      <c r="B26" s="423"/>
      <c r="C26" s="423"/>
      <c r="D26" s="423"/>
      <c r="E26" s="423"/>
      <c r="F26" s="423"/>
      <c r="G26" s="423"/>
      <c r="H26" s="423"/>
      <c r="I26" s="423"/>
      <c r="J26" s="423"/>
      <c r="K26" s="423"/>
      <c r="L26" s="423"/>
      <c r="M26" s="423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</row>
    <row r="27" spans="1:27" ht="15" customHeight="1" x14ac:dyDescent="0.2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</row>
    <row r="28" spans="1:27" s="181" customFormat="1" ht="15" customHeight="1" x14ac:dyDescent="0.2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</row>
  </sheetData>
  <mergeCells count="7">
    <mergeCell ref="A21:M21"/>
    <mergeCell ref="A26:M26"/>
    <mergeCell ref="A1:M1"/>
    <mergeCell ref="A2:M2"/>
    <mergeCell ref="A4:M4"/>
    <mergeCell ref="A6:M6"/>
    <mergeCell ref="A11:M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048576"/>
  <sheetViews>
    <sheetView zoomScale="125" zoomScaleNormal="177" workbookViewId="0">
      <pane xSplit="5" ySplit="5" topLeftCell="AR6" activePane="bottomRight" state="frozen"/>
      <selection pane="topRight" activeCell="F1" sqref="F1"/>
      <selection pane="bottomLeft" activeCell="A6" sqref="A6"/>
      <selection pane="bottomRight" activeCell="B37" sqref="B37"/>
    </sheetView>
  </sheetViews>
  <sheetFormatPr baseColWidth="10" defaultColWidth="10.6640625" defaultRowHeight="15" x14ac:dyDescent="0.2"/>
  <cols>
    <col min="1" max="1" width="52.6640625" customWidth="1"/>
    <col min="2" max="2" width="16.33203125" customWidth="1"/>
    <col min="3" max="3" width="8.5" style="35" customWidth="1"/>
    <col min="4" max="4" width="16.1640625" customWidth="1"/>
    <col min="5" max="5" width="15.1640625" style="16" customWidth="1"/>
    <col min="6" max="11" width="10.83203125" hidden="1" customWidth="1"/>
    <col min="12" max="19" width="0" hidden="1" customWidth="1"/>
    <col min="32" max="43" width="0" hidden="1" customWidth="1"/>
  </cols>
  <sheetData>
    <row r="1" spans="1:43" ht="15" customHeight="1" x14ac:dyDescent="0.2"/>
    <row r="2" spans="1:43" s="3" customFormat="1" ht="15" customHeight="1" x14ac:dyDescent="0.2">
      <c r="A2" s="182" t="s">
        <v>272</v>
      </c>
      <c r="B2" s="182" t="s">
        <v>273</v>
      </c>
      <c r="C2" s="182" t="s">
        <v>274</v>
      </c>
      <c r="D2" s="182" t="s">
        <v>275</v>
      </c>
      <c r="E2" s="183" t="s">
        <v>276</v>
      </c>
      <c r="F2" s="184">
        <v>45597</v>
      </c>
      <c r="G2" s="184">
        <v>45627</v>
      </c>
      <c r="H2" s="184">
        <v>45658</v>
      </c>
      <c r="I2" s="184">
        <v>45689</v>
      </c>
      <c r="J2" s="184">
        <v>45717</v>
      </c>
      <c r="K2" s="184">
        <v>45748</v>
      </c>
      <c r="L2" s="184">
        <v>45778</v>
      </c>
      <c r="M2" s="184">
        <v>45809</v>
      </c>
      <c r="N2" s="184">
        <v>45839</v>
      </c>
      <c r="O2" s="184">
        <v>45870</v>
      </c>
      <c r="P2" s="184">
        <v>45901</v>
      </c>
      <c r="Q2" s="184">
        <v>45931</v>
      </c>
      <c r="R2" s="184">
        <v>45962</v>
      </c>
      <c r="S2" s="184">
        <v>45992</v>
      </c>
      <c r="T2" s="184">
        <v>46023</v>
      </c>
      <c r="U2" s="184">
        <v>46054</v>
      </c>
      <c r="V2" s="184">
        <v>46082</v>
      </c>
      <c r="W2" s="184">
        <v>46113</v>
      </c>
      <c r="X2" s="184">
        <v>46143</v>
      </c>
      <c r="Y2" s="184">
        <v>46174</v>
      </c>
      <c r="Z2" s="184">
        <v>46204</v>
      </c>
      <c r="AA2" s="184">
        <v>46235</v>
      </c>
      <c r="AB2" s="184">
        <v>46266</v>
      </c>
      <c r="AC2" s="184">
        <v>46296</v>
      </c>
      <c r="AD2" s="184">
        <v>46327</v>
      </c>
      <c r="AE2" s="184">
        <v>46357</v>
      </c>
      <c r="AF2" s="184">
        <v>46388</v>
      </c>
      <c r="AG2" s="184">
        <v>46419</v>
      </c>
      <c r="AH2" s="184">
        <v>46447</v>
      </c>
      <c r="AI2" s="184">
        <v>46478</v>
      </c>
      <c r="AJ2" s="184">
        <v>46508</v>
      </c>
      <c r="AK2" s="184">
        <v>46539</v>
      </c>
      <c r="AL2" s="184">
        <v>46569</v>
      </c>
      <c r="AM2" s="184">
        <v>46600</v>
      </c>
      <c r="AN2" s="184">
        <v>46631</v>
      </c>
      <c r="AO2" s="184">
        <v>46661</v>
      </c>
      <c r="AP2" s="184">
        <v>46692</v>
      </c>
      <c r="AQ2" s="184">
        <v>46722</v>
      </c>
    </row>
    <row r="3" spans="1:43" s="3" customFormat="1" ht="18" customHeight="1" x14ac:dyDescent="0.2">
      <c r="A3" s="185" t="s">
        <v>272</v>
      </c>
      <c r="B3" s="185" t="s">
        <v>277</v>
      </c>
      <c r="C3" s="185" t="s">
        <v>274</v>
      </c>
      <c r="D3" s="185" t="s">
        <v>278</v>
      </c>
      <c r="E3" s="185" t="s">
        <v>279</v>
      </c>
      <c r="F3" s="186" t="s">
        <v>280</v>
      </c>
      <c r="G3" s="186" t="s">
        <v>281</v>
      </c>
      <c r="H3" s="186" t="s">
        <v>282</v>
      </c>
      <c r="I3" s="186" t="s">
        <v>283</v>
      </c>
      <c r="J3" s="186" t="s">
        <v>284</v>
      </c>
      <c r="K3" s="186" t="s">
        <v>285</v>
      </c>
      <c r="L3" s="186" t="s">
        <v>286</v>
      </c>
      <c r="M3" s="186" t="s">
        <v>287</v>
      </c>
      <c r="N3" s="186" t="s">
        <v>288</v>
      </c>
      <c r="O3" s="186" t="s">
        <v>289</v>
      </c>
      <c r="P3" s="186" t="s">
        <v>290</v>
      </c>
      <c r="Q3" s="186" t="s">
        <v>291</v>
      </c>
      <c r="R3" s="186" t="s">
        <v>292</v>
      </c>
      <c r="S3" s="186" t="s">
        <v>293</v>
      </c>
      <c r="T3" s="186" t="s">
        <v>238</v>
      </c>
      <c r="U3" s="186" t="s">
        <v>239</v>
      </c>
      <c r="V3" s="186" t="s">
        <v>240</v>
      </c>
      <c r="W3" s="186" t="s">
        <v>241</v>
      </c>
      <c r="X3" s="186" t="s">
        <v>242</v>
      </c>
      <c r="Y3" s="186" t="s">
        <v>243</v>
      </c>
      <c r="Z3" s="186" t="s">
        <v>244</v>
      </c>
      <c r="AA3" s="186" t="s">
        <v>245</v>
      </c>
      <c r="AB3" s="186" t="s">
        <v>246</v>
      </c>
      <c r="AC3" s="186" t="s">
        <v>247</v>
      </c>
      <c r="AD3" s="186" t="s">
        <v>248</v>
      </c>
      <c r="AE3" s="186" t="s">
        <v>249</v>
      </c>
      <c r="AF3" s="186" t="s">
        <v>294</v>
      </c>
      <c r="AG3" s="186" t="s">
        <v>295</v>
      </c>
      <c r="AH3" s="186" t="s">
        <v>296</v>
      </c>
      <c r="AI3" s="186" t="s">
        <v>297</v>
      </c>
      <c r="AJ3" s="186" t="s">
        <v>298</v>
      </c>
      <c r="AK3" s="186" t="s">
        <v>299</v>
      </c>
      <c r="AL3" s="186" t="s">
        <v>300</v>
      </c>
      <c r="AM3" s="186" t="s">
        <v>301</v>
      </c>
      <c r="AN3" s="186" t="s">
        <v>302</v>
      </c>
      <c r="AO3" s="186" t="s">
        <v>303</v>
      </c>
      <c r="AP3" s="186" t="s">
        <v>304</v>
      </c>
      <c r="AQ3" s="186" t="s">
        <v>305</v>
      </c>
    </row>
    <row r="4" spans="1:43" s="3" customFormat="1" ht="15" customHeight="1" x14ac:dyDescent="0.2">
      <c r="A4" s="187" t="s">
        <v>306</v>
      </c>
      <c r="B4" s="164"/>
      <c r="C4" s="164"/>
      <c r="D4" s="164"/>
      <c r="E4" s="188">
        <f>(SUMIFS(E6:E2000,D6:D2000,"Franchise",C6:C2000,"non")-SUMIFS(E6:E2000,A6:A2000,"Solde de marge",C6:C2000,"non")-SUMIFS(E6:E2000,A6:A2000,"4.Assurances",C6:C2000,"non"))/1.2+SUMIFS(E6:E2000,A6:A2000,"Solde de marge",C6:C2000,"non")+SUMIFS(E6:E2000,A6:A2000,"4.Assurances",C6:C2000,"non")</f>
        <v>170550.67</v>
      </c>
      <c r="F4" s="189">
        <f t="shared" ref="F4:AQ4" si="0">SUMIF($D$6:$D$2000,"Franchise",F6:F2000)</f>
        <v>0</v>
      </c>
      <c r="G4" s="189">
        <f t="shared" si="0"/>
        <v>40387.120000000003</v>
      </c>
      <c r="H4" s="189">
        <f t="shared" si="0"/>
        <v>0</v>
      </c>
      <c r="I4" s="189">
        <f t="shared" si="0"/>
        <v>80234.41</v>
      </c>
      <c r="J4" s="189">
        <f t="shared" si="0"/>
        <v>0</v>
      </c>
      <c r="K4" s="189">
        <f t="shared" si="0"/>
        <v>119977.92</v>
      </c>
      <c r="L4" s="189">
        <f t="shared" si="0"/>
        <v>82237.87999999999</v>
      </c>
      <c r="M4" s="189">
        <f t="shared" si="0"/>
        <v>25029.67</v>
      </c>
      <c r="N4" s="189">
        <f t="shared" si="0"/>
        <v>39688.35</v>
      </c>
      <c r="O4" s="189">
        <f t="shared" si="0"/>
        <v>114826.44999999998</v>
      </c>
      <c r="P4" s="189">
        <f t="shared" si="0"/>
        <v>36639.1</v>
      </c>
      <c r="Q4" s="189">
        <f t="shared" si="0"/>
        <v>211450.54</v>
      </c>
      <c r="R4" s="189">
        <f t="shared" si="0"/>
        <v>121970.76</v>
      </c>
      <c r="S4" s="189">
        <f t="shared" si="0"/>
        <v>52435.240000000005</v>
      </c>
      <c r="T4" s="189">
        <f t="shared" si="0"/>
        <v>82689.739999999991</v>
      </c>
      <c r="U4" s="189">
        <f t="shared" si="0"/>
        <v>55776.77</v>
      </c>
      <c r="V4" s="189">
        <f t="shared" si="0"/>
        <v>103213.61</v>
      </c>
      <c r="W4" s="189">
        <f t="shared" si="0"/>
        <v>63019.279999999992</v>
      </c>
      <c r="X4" s="189">
        <f t="shared" si="0"/>
        <v>9570.39</v>
      </c>
      <c r="Y4" s="189">
        <f t="shared" si="0"/>
        <v>21063.51</v>
      </c>
      <c r="Z4" s="189">
        <f t="shared" si="0"/>
        <v>16006.04</v>
      </c>
      <c r="AA4" s="189">
        <f t="shared" si="0"/>
        <v>56569.13</v>
      </c>
      <c r="AB4" s="189">
        <f t="shared" si="0"/>
        <v>18399.060000000001</v>
      </c>
      <c r="AC4" s="189">
        <f t="shared" si="0"/>
        <v>17250.12</v>
      </c>
      <c r="AD4" s="189">
        <f t="shared" si="0"/>
        <v>19987.939999999999</v>
      </c>
      <c r="AE4" s="189">
        <f t="shared" si="0"/>
        <v>11704.48</v>
      </c>
      <c r="AF4" s="189">
        <f t="shared" si="0"/>
        <v>0</v>
      </c>
      <c r="AG4" s="189">
        <f t="shared" si="0"/>
        <v>0</v>
      </c>
      <c r="AH4" s="189">
        <f t="shared" si="0"/>
        <v>0</v>
      </c>
      <c r="AI4" s="189">
        <f t="shared" si="0"/>
        <v>0</v>
      </c>
      <c r="AJ4" s="189">
        <f t="shared" si="0"/>
        <v>0</v>
      </c>
      <c r="AK4" s="189">
        <f t="shared" si="0"/>
        <v>0</v>
      </c>
      <c r="AL4" s="189">
        <f t="shared" si="0"/>
        <v>0</v>
      </c>
      <c r="AM4" s="189">
        <f t="shared" si="0"/>
        <v>0</v>
      </c>
      <c r="AN4" s="189">
        <f t="shared" si="0"/>
        <v>0</v>
      </c>
      <c r="AO4" s="189">
        <f t="shared" si="0"/>
        <v>0</v>
      </c>
      <c r="AP4" s="189">
        <f t="shared" si="0"/>
        <v>0</v>
      </c>
      <c r="AQ4" s="189">
        <f t="shared" si="0"/>
        <v>0</v>
      </c>
    </row>
    <row r="5" spans="1:43" s="3" customFormat="1" ht="15" customHeight="1" x14ac:dyDescent="0.2">
      <c r="A5" s="190" t="s">
        <v>307</v>
      </c>
      <c r="B5" s="164"/>
      <c r="C5" s="164"/>
      <c r="D5" s="164"/>
      <c r="E5" s="164"/>
      <c r="F5" s="191">
        <f>(F4-SUMIF($A$6:$A$2000,"4.Assurances",F6:F2000)-SUMIF($A$6:$A$2000,"Solde de marge",F6:F2000))/1.2*0.2+SUMIF($D$6:$D$2000,"MKT Promotion",F6:F2000)/1.2*0.2</f>
        <v>0</v>
      </c>
      <c r="G5" s="191">
        <f t="shared" ref="G5:AQ5" si="1">(F4-SUMIF($A$6:$A$2000,"4.Assurances",F6:F2000)-SUMIF($A$6:$A$2000,"Solde de marge",F6:F2000))/1.2*0.2+SUMIF($D$6:$D$2000,"MKT Promotion",F6:F2000)/1.2*0.2</f>
        <v>0</v>
      </c>
      <c r="H5" s="191">
        <f t="shared" si="1"/>
        <v>5066.336666666668</v>
      </c>
      <c r="I5" s="191">
        <f t="shared" si="1"/>
        <v>0</v>
      </c>
      <c r="J5" s="191">
        <f t="shared" si="1"/>
        <v>10116.201666666668</v>
      </c>
      <c r="K5" s="191">
        <f t="shared" si="1"/>
        <v>0</v>
      </c>
      <c r="L5" s="191">
        <f t="shared" si="1"/>
        <v>28971.181666666671</v>
      </c>
      <c r="M5" s="191">
        <f t="shared" si="1"/>
        <v>10401.629999999999</v>
      </c>
      <c r="N5" s="191">
        <f t="shared" si="1"/>
        <v>30906.583333333336</v>
      </c>
      <c r="O5" s="191">
        <f t="shared" si="1"/>
        <v>57483.276666666672</v>
      </c>
      <c r="P5" s="191">
        <f t="shared" si="1"/>
        <v>15243.39333333333</v>
      </c>
      <c r="Q5" s="191">
        <f t="shared" si="1"/>
        <v>4521.9916666666668</v>
      </c>
      <c r="R5" s="191">
        <f t="shared" si="1"/>
        <v>61709.23</v>
      </c>
      <c r="S5" s="191">
        <f t="shared" si="1"/>
        <v>28767.000000000007</v>
      </c>
      <c r="T5" s="191">
        <f t="shared" si="1"/>
        <v>37101.458333333343</v>
      </c>
      <c r="U5" s="191">
        <f t="shared" si="1"/>
        <v>50962.943333333329</v>
      </c>
      <c r="V5" s="191">
        <f t="shared" si="1"/>
        <v>49081.428333333337</v>
      </c>
      <c r="W5" s="191">
        <f t="shared" si="1"/>
        <v>60984.506666666653</v>
      </c>
      <c r="X5" s="191">
        <f t="shared" si="1"/>
        <v>16663.388333333336</v>
      </c>
      <c r="Y5" s="191">
        <f t="shared" si="1"/>
        <v>16160.448333333334</v>
      </c>
      <c r="Z5" s="191">
        <f t="shared" si="1"/>
        <v>40037.335000000006</v>
      </c>
      <c r="AA5" s="191">
        <f t="shared" si="1"/>
        <v>22625.33666666667</v>
      </c>
      <c r="AB5" s="191">
        <f t="shared" si="1"/>
        <v>13323.831666666665</v>
      </c>
      <c r="AC5" s="191">
        <f t="shared" si="1"/>
        <v>14074.281666666669</v>
      </c>
      <c r="AD5" s="191">
        <f t="shared" si="1"/>
        <v>9912.1016666666692</v>
      </c>
      <c r="AE5" s="191">
        <f t="shared" si="1"/>
        <v>1241.125</v>
      </c>
      <c r="AF5" s="191">
        <f t="shared" si="1"/>
        <v>0</v>
      </c>
      <c r="AG5" s="191">
        <f t="shared" si="1"/>
        <v>0</v>
      </c>
      <c r="AH5" s="191">
        <f t="shared" si="1"/>
        <v>0</v>
      </c>
      <c r="AI5" s="191">
        <f t="shared" si="1"/>
        <v>0</v>
      </c>
      <c r="AJ5" s="191">
        <f t="shared" si="1"/>
        <v>0</v>
      </c>
      <c r="AK5" s="191">
        <f t="shared" si="1"/>
        <v>0</v>
      </c>
      <c r="AL5" s="191">
        <f t="shared" si="1"/>
        <v>0</v>
      </c>
      <c r="AM5" s="191">
        <f t="shared" si="1"/>
        <v>0</v>
      </c>
      <c r="AN5" s="191">
        <f t="shared" si="1"/>
        <v>0</v>
      </c>
      <c r="AO5" s="191">
        <f t="shared" si="1"/>
        <v>0</v>
      </c>
      <c r="AP5" s="191">
        <f t="shared" si="1"/>
        <v>0</v>
      </c>
      <c r="AQ5" s="191">
        <f t="shared" si="1"/>
        <v>0</v>
      </c>
    </row>
    <row r="6" spans="1:43" s="3" customFormat="1" ht="15.75" customHeight="1" x14ac:dyDescent="0.2">
      <c r="A6" s="192" t="s">
        <v>308</v>
      </c>
      <c r="B6" s="193" t="s">
        <v>309</v>
      </c>
      <c r="C6" s="194"/>
      <c r="D6" s="194"/>
      <c r="E6" s="194"/>
      <c r="F6" s="189">
        <f t="shared" ref="F6:AQ6" si="2">SUMIF($D$7:$D$18,"Franchise",F7:F18)</f>
        <v>0</v>
      </c>
      <c r="G6" s="189">
        <f t="shared" si="2"/>
        <v>40387.120000000003</v>
      </c>
      <c r="H6" s="189">
        <f t="shared" si="2"/>
        <v>0</v>
      </c>
      <c r="I6" s="189">
        <f t="shared" si="2"/>
        <v>0</v>
      </c>
      <c r="J6" s="189">
        <f t="shared" si="2"/>
        <v>0</v>
      </c>
      <c r="K6" s="189">
        <f t="shared" si="2"/>
        <v>0</v>
      </c>
      <c r="L6" s="189">
        <f t="shared" si="2"/>
        <v>0</v>
      </c>
      <c r="M6" s="189">
        <f t="shared" si="2"/>
        <v>0</v>
      </c>
      <c r="N6" s="189">
        <f t="shared" si="2"/>
        <v>0</v>
      </c>
      <c r="O6" s="189">
        <f t="shared" si="2"/>
        <v>10101.31</v>
      </c>
      <c r="P6" s="189">
        <f t="shared" si="2"/>
        <v>0</v>
      </c>
      <c r="Q6" s="189">
        <f t="shared" si="2"/>
        <v>0</v>
      </c>
      <c r="R6" s="189">
        <f t="shared" si="2"/>
        <v>0</v>
      </c>
      <c r="S6" s="189">
        <f t="shared" si="2"/>
        <v>0</v>
      </c>
      <c r="T6" s="189">
        <f t="shared" si="2"/>
        <v>0</v>
      </c>
      <c r="U6" s="189">
        <f t="shared" si="2"/>
        <v>0</v>
      </c>
      <c r="V6" s="189">
        <f t="shared" si="2"/>
        <v>0</v>
      </c>
      <c r="W6" s="189">
        <f t="shared" si="2"/>
        <v>0</v>
      </c>
      <c r="X6" s="189">
        <f t="shared" si="2"/>
        <v>0</v>
      </c>
      <c r="Y6" s="189">
        <f t="shared" si="2"/>
        <v>0</v>
      </c>
      <c r="Z6" s="189">
        <f t="shared" si="2"/>
        <v>0</v>
      </c>
      <c r="AA6" s="189">
        <f t="shared" si="2"/>
        <v>0</v>
      </c>
      <c r="AB6" s="189">
        <f t="shared" si="2"/>
        <v>0</v>
      </c>
      <c r="AC6" s="189">
        <f t="shared" si="2"/>
        <v>0</v>
      </c>
      <c r="AD6" s="189">
        <f t="shared" si="2"/>
        <v>0</v>
      </c>
      <c r="AE6" s="189">
        <f t="shared" si="2"/>
        <v>0</v>
      </c>
      <c r="AF6" s="189">
        <f t="shared" si="2"/>
        <v>0</v>
      </c>
      <c r="AG6" s="189">
        <f t="shared" si="2"/>
        <v>0</v>
      </c>
      <c r="AH6" s="189">
        <f t="shared" si="2"/>
        <v>0</v>
      </c>
      <c r="AI6" s="189">
        <f t="shared" si="2"/>
        <v>0</v>
      </c>
      <c r="AJ6" s="189">
        <f t="shared" si="2"/>
        <v>0</v>
      </c>
      <c r="AK6" s="189">
        <f t="shared" si="2"/>
        <v>0</v>
      </c>
      <c r="AL6" s="189">
        <f t="shared" si="2"/>
        <v>0</v>
      </c>
      <c r="AM6" s="189">
        <f t="shared" si="2"/>
        <v>0</v>
      </c>
      <c r="AN6" s="189">
        <f t="shared" si="2"/>
        <v>0</v>
      </c>
      <c r="AO6" s="189">
        <f t="shared" si="2"/>
        <v>0</v>
      </c>
      <c r="AP6" s="189">
        <f t="shared" si="2"/>
        <v>0</v>
      </c>
      <c r="AQ6" s="189">
        <f t="shared" si="2"/>
        <v>0</v>
      </c>
    </row>
    <row r="7" spans="1:43" ht="13.5" customHeight="1" x14ac:dyDescent="0.2">
      <c r="A7" s="195" t="s">
        <v>310</v>
      </c>
      <c r="B7" s="196"/>
      <c r="C7" s="197" t="s">
        <v>193</v>
      </c>
      <c r="D7" s="198" t="s">
        <v>311</v>
      </c>
      <c r="E7" s="196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</row>
    <row r="8" spans="1:43" ht="13.5" customHeight="1" x14ac:dyDescent="0.2">
      <c r="A8" s="195" t="s">
        <v>312</v>
      </c>
      <c r="B8" s="196"/>
      <c r="C8" s="197" t="s">
        <v>193</v>
      </c>
      <c r="D8" s="198" t="s">
        <v>311</v>
      </c>
      <c r="E8" s="199">
        <v>-6000</v>
      </c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</row>
    <row r="9" spans="1:43" ht="13.5" customHeight="1" x14ac:dyDescent="0.2">
      <c r="A9" s="195" t="s">
        <v>313</v>
      </c>
      <c r="B9" s="196"/>
      <c r="C9" s="197" t="s">
        <v>193</v>
      </c>
      <c r="D9" s="198" t="s">
        <v>311</v>
      </c>
      <c r="E9" s="199">
        <v>23503.7</v>
      </c>
      <c r="F9" s="164"/>
      <c r="G9" s="200">
        <v>23503.7</v>
      </c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</row>
    <row r="10" spans="1:43" ht="13.5" customHeight="1" x14ac:dyDescent="0.2">
      <c r="A10" s="195" t="s">
        <v>314</v>
      </c>
      <c r="B10" s="196"/>
      <c r="C10" s="197" t="s">
        <v>193</v>
      </c>
      <c r="D10" s="198" t="s">
        <v>311</v>
      </c>
      <c r="E10" s="199">
        <v>16335.8</v>
      </c>
      <c r="F10" s="164"/>
      <c r="G10" s="200">
        <v>16335.8</v>
      </c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</row>
    <row r="11" spans="1:43" ht="13.5" customHeight="1" x14ac:dyDescent="0.2">
      <c r="A11" s="195" t="s">
        <v>315</v>
      </c>
      <c r="B11" s="196"/>
      <c r="C11" s="197" t="s">
        <v>193</v>
      </c>
      <c r="D11" s="198" t="s">
        <v>311</v>
      </c>
      <c r="E11" s="199">
        <v>-9441.48</v>
      </c>
      <c r="F11" s="164"/>
      <c r="G11" s="200">
        <v>-9441.48</v>
      </c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</row>
    <row r="12" spans="1:43" ht="13.5" customHeight="1" x14ac:dyDescent="0.2">
      <c r="A12" s="195" t="s">
        <v>316</v>
      </c>
      <c r="B12" s="196"/>
      <c r="C12" s="197" t="s">
        <v>193</v>
      </c>
      <c r="D12" s="198" t="s">
        <v>311</v>
      </c>
      <c r="E12" s="199">
        <v>9989.1</v>
      </c>
      <c r="F12" s="164"/>
      <c r="G12" s="200">
        <v>9989.1</v>
      </c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</row>
    <row r="13" spans="1:43" ht="13.5" customHeight="1" x14ac:dyDescent="0.2">
      <c r="A13" s="195" t="s">
        <v>317</v>
      </c>
      <c r="B13" s="196"/>
      <c r="C13" s="197" t="s">
        <v>193</v>
      </c>
      <c r="D13" s="198" t="s">
        <v>318</v>
      </c>
      <c r="E13" s="199">
        <v>29344.02</v>
      </c>
      <c r="F13" s="164"/>
      <c r="G13" s="164"/>
      <c r="H13" s="164"/>
      <c r="I13" s="164"/>
      <c r="J13" s="164"/>
      <c r="K13" s="200">
        <v>29344.02</v>
      </c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</row>
    <row r="14" spans="1:43" ht="13.5" customHeight="1" x14ac:dyDescent="0.2">
      <c r="A14" s="195" t="s">
        <v>319</v>
      </c>
      <c r="B14" s="196"/>
      <c r="C14" s="197" t="s">
        <v>193</v>
      </c>
      <c r="D14" s="198" t="s">
        <v>318</v>
      </c>
      <c r="E14" s="199">
        <v>34591.760000000002</v>
      </c>
      <c r="F14" s="164"/>
      <c r="G14" s="164"/>
      <c r="H14" s="164"/>
      <c r="I14" s="164"/>
      <c r="J14" s="164"/>
      <c r="K14" s="164"/>
      <c r="L14" s="164"/>
      <c r="M14" s="200">
        <v>34591.760000000002</v>
      </c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</row>
    <row r="15" spans="1:43" ht="13.5" customHeight="1" x14ac:dyDescent="0.2">
      <c r="A15" s="195" t="s">
        <v>320</v>
      </c>
      <c r="B15" s="196"/>
      <c r="C15" s="197" t="s">
        <v>193</v>
      </c>
      <c r="D15" s="198" t="s">
        <v>318</v>
      </c>
      <c r="E15" s="199">
        <v>-1966.98</v>
      </c>
      <c r="F15" s="164"/>
      <c r="G15" s="164"/>
      <c r="H15" s="164"/>
      <c r="I15" s="164"/>
      <c r="J15" s="164"/>
      <c r="K15" s="164"/>
      <c r="L15" s="164"/>
      <c r="M15" s="200">
        <v>-1966.98</v>
      </c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</row>
    <row r="16" spans="1:43" ht="13.5" customHeight="1" x14ac:dyDescent="0.2">
      <c r="A16" s="195" t="s">
        <v>321</v>
      </c>
      <c r="B16" s="196"/>
      <c r="C16" s="197" t="s">
        <v>193</v>
      </c>
      <c r="D16" s="198" t="s">
        <v>318</v>
      </c>
      <c r="E16" s="199">
        <v>60535.57</v>
      </c>
      <c r="F16" s="164"/>
      <c r="G16" s="164"/>
      <c r="H16" s="164"/>
      <c r="I16" s="164"/>
      <c r="J16" s="164"/>
      <c r="K16" s="164"/>
      <c r="L16" s="164"/>
      <c r="M16" s="164"/>
      <c r="N16" s="200">
        <v>60535.57</v>
      </c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</row>
    <row r="17" spans="1:43" ht="13.5" customHeight="1" x14ac:dyDescent="0.2">
      <c r="A17" s="195" t="s">
        <v>322</v>
      </c>
      <c r="B17" s="196"/>
      <c r="C17" s="197" t="s">
        <v>193</v>
      </c>
      <c r="D17" s="198" t="s">
        <v>318</v>
      </c>
      <c r="E17" s="199">
        <v>8647.94</v>
      </c>
      <c r="F17" s="164"/>
      <c r="G17" s="164"/>
      <c r="H17" s="164"/>
      <c r="I17" s="164"/>
      <c r="J17" s="164"/>
      <c r="K17" s="164"/>
      <c r="L17" s="164"/>
      <c r="M17" s="164"/>
      <c r="N17" s="164"/>
      <c r="O17" s="200">
        <v>8647.94</v>
      </c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</row>
    <row r="18" spans="1:43" ht="13.5" customHeight="1" x14ac:dyDescent="0.2">
      <c r="A18" s="195" t="s">
        <v>323</v>
      </c>
      <c r="B18" s="196"/>
      <c r="C18" s="197" t="s">
        <v>193</v>
      </c>
      <c r="D18" s="198" t="s">
        <v>311</v>
      </c>
      <c r="E18" s="199">
        <v>10101.31</v>
      </c>
      <c r="F18" s="164"/>
      <c r="G18" s="164"/>
      <c r="H18" s="164"/>
      <c r="I18" s="164"/>
      <c r="J18" s="164"/>
      <c r="K18" s="164"/>
      <c r="L18" s="164"/>
      <c r="M18" s="164"/>
      <c r="N18" s="164"/>
      <c r="O18" s="200">
        <v>10101.31</v>
      </c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</row>
    <row r="19" spans="1:43" ht="15" customHeight="1" x14ac:dyDescent="0.2">
      <c r="A19" s="192" t="s">
        <v>324</v>
      </c>
      <c r="B19" s="193" t="s">
        <v>309</v>
      </c>
      <c r="C19" s="194"/>
      <c r="D19" s="194"/>
      <c r="E19" s="194"/>
      <c r="F19" s="189">
        <f t="shared" ref="F19:AQ19" si="3">SUMIF($D$20:$D$31,"Franchise",F20:F31)</f>
        <v>0</v>
      </c>
      <c r="G19" s="189">
        <f t="shared" si="3"/>
        <v>0</v>
      </c>
      <c r="H19" s="189">
        <f t="shared" si="3"/>
        <v>0</v>
      </c>
      <c r="I19" s="189">
        <f t="shared" si="3"/>
        <v>36656.770000000004</v>
      </c>
      <c r="J19" s="189">
        <f t="shared" si="3"/>
        <v>0</v>
      </c>
      <c r="K19" s="189">
        <f t="shared" si="3"/>
        <v>0</v>
      </c>
      <c r="L19" s="189">
        <f t="shared" si="3"/>
        <v>0</v>
      </c>
      <c r="M19" s="189">
        <f t="shared" si="3"/>
        <v>0</v>
      </c>
      <c r="N19" s="189">
        <f t="shared" si="3"/>
        <v>24261</v>
      </c>
      <c r="O19" s="189">
        <f t="shared" si="3"/>
        <v>0</v>
      </c>
      <c r="P19" s="189">
        <f t="shared" si="3"/>
        <v>0</v>
      </c>
      <c r="Q19" s="189">
        <f t="shared" si="3"/>
        <v>0</v>
      </c>
      <c r="R19" s="189">
        <f t="shared" si="3"/>
        <v>0</v>
      </c>
      <c r="S19" s="189">
        <f t="shared" si="3"/>
        <v>0</v>
      </c>
      <c r="T19" s="189">
        <f t="shared" si="3"/>
        <v>0</v>
      </c>
      <c r="U19" s="189">
        <f t="shared" si="3"/>
        <v>0</v>
      </c>
      <c r="V19" s="189">
        <f t="shared" si="3"/>
        <v>0</v>
      </c>
      <c r="W19" s="189">
        <f t="shared" si="3"/>
        <v>0</v>
      </c>
      <c r="X19" s="189">
        <f t="shared" si="3"/>
        <v>0</v>
      </c>
      <c r="Y19" s="189">
        <f t="shared" si="3"/>
        <v>0</v>
      </c>
      <c r="Z19" s="189">
        <f t="shared" si="3"/>
        <v>0</v>
      </c>
      <c r="AA19" s="189">
        <f t="shared" si="3"/>
        <v>0</v>
      </c>
      <c r="AB19" s="189">
        <f t="shared" si="3"/>
        <v>0</v>
      </c>
      <c r="AC19" s="189">
        <f t="shared" si="3"/>
        <v>0</v>
      </c>
      <c r="AD19" s="189">
        <f t="shared" si="3"/>
        <v>0</v>
      </c>
      <c r="AE19" s="189">
        <f t="shared" si="3"/>
        <v>0</v>
      </c>
      <c r="AF19" s="189">
        <f t="shared" si="3"/>
        <v>0</v>
      </c>
      <c r="AG19" s="189">
        <f t="shared" si="3"/>
        <v>0</v>
      </c>
      <c r="AH19" s="189">
        <f t="shared" si="3"/>
        <v>0</v>
      </c>
      <c r="AI19" s="189">
        <f t="shared" si="3"/>
        <v>0</v>
      </c>
      <c r="AJ19" s="189">
        <f t="shared" si="3"/>
        <v>0</v>
      </c>
      <c r="AK19" s="189">
        <f t="shared" si="3"/>
        <v>0</v>
      </c>
      <c r="AL19" s="189">
        <f t="shared" si="3"/>
        <v>0</v>
      </c>
      <c r="AM19" s="189">
        <f t="shared" si="3"/>
        <v>0</v>
      </c>
      <c r="AN19" s="189">
        <f t="shared" si="3"/>
        <v>0</v>
      </c>
      <c r="AO19" s="189">
        <f t="shared" si="3"/>
        <v>0</v>
      </c>
      <c r="AP19" s="189">
        <f t="shared" si="3"/>
        <v>0</v>
      </c>
      <c r="AQ19" s="189">
        <f t="shared" si="3"/>
        <v>0</v>
      </c>
    </row>
    <row r="20" spans="1:43" ht="15.75" customHeight="1" x14ac:dyDescent="0.2">
      <c r="A20" s="195" t="s">
        <v>310</v>
      </c>
      <c r="B20" s="196"/>
      <c r="C20" s="197" t="s">
        <v>193</v>
      </c>
      <c r="D20" s="198" t="s">
        <v>311</v>
      </c>
      <c r="E20" s="196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</row>
    <row r="21" spans="1:43" ht="13.5" customHeight="1" x14ac:dyDescent="0.2">
      <c r="A21" s="195" t="s">
        <v>312</v>
      </c>
      <c r="B21" s="196"/>
      <c r="C21" s="197" t="s">
        <v>193</v>
      </c>
      <c r="D21" s="198" t="s">
        <v>311</v>
      </c>
      <c r="E21" s="199">
        <v>-6000</v>
      </c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</row>
    <row r="22" spans="1:43" ht="13.5" customHeight="1" x14ac:dyDescent="0.2">
      <c r="A22" s="195" t="s">
        <v>313</v>
      </c>
      <c r="B22" s="196"/>
      <c r="C22" s="197" t="s">
        <v>193</v>
      </c>
      <c r="D22" s="198" t="s">
        <v>311</v>
      </c>
      <c r="E22" s="199">
        <v>21264.95</v>
      </c>
      <c r="F22" s="164"/>
      <c r="G22" s="164"/>
      <c r="H22" s="164"/>
      <c r="I22" s="200">
        <v>21264.95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</row>
    <row r="23" spans="1:43" ht="13.5" customHeight="1" x14ac:dyDescent="0.2">
      <c r="A23" s="195" t="s">
        <v>314</v>
      </c>
      <c r="B23" s="196"/>
      <c r="C23" s="197" t="s">
        <v>193</v>
      </c>
      <c r="D23" s="198" t="s">
        <v>311</v>
      </c>
      <c r="E23" s="199">
        <v>14843.3</v>
      </c>
      <c r="F23" s="164"/>
      <c r="G23" s="164"/>
      <c r="H23" s="164"/>
      <c r="I23" s="200">
        <v>14843.3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</row>
    <row r="24" spans="1:43" ht="13.5" customHeight="1" x14ac:dyDescent="0.2">
      <c r="A24" s="195" t="s">
        <v>315</v>
      </c>
      <c r="B24" s="196"/>
      <c r="C24" s="197" t="s">
        <v>193</v>
      </c>
      <c r="D24" s="198" t="s">
        <v>311</v>
      </c>
      <c r="E24" s="199">
        <v>-8545.98</v>
      </c>
      <c r="F24" s="164"/>
      <c r="G24" s="164"/>
      <c r="H24" s="164"/>
      <c r="I24" s="200">
        <v>-8545.98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</row>
    <row r="25" spans="1:43" ht="13.5" customHeight="1" x14ac:dyDescent="0.2">
      <c r="A25" s="195" t="s">
        <v>316</v>
      </c>
      <c r="B25" s="196"/>
      <c r="C25" s="197" t="s">
        <v>193</v>
      </c>
      <c r="D25" s="198" t="s">
        <v>311</v>
      </c>
      <c r="E25" s="199">
        <v>9094.5</v>
      </c>
      <c r="F25" s="164"/>
      <c r="G25" s="164"/>
      <c r="H25" s="164"/>
      <c r="I25" s="200">
        <v>9094.5</v>
      </c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</row>
    <row r="26" spans="1:43" ht="13.5" customHeight="1" x14ac:dyDescent="0.2">
      <c r="A26" s="195" t="s">
        <v>317</v>
      </c>
      <c r="B26" s="196"/>
      <c r="C26" s="197" t="s">
        <v>193</v>
      </c>
      <c r="D26" s="198" t="s">
        <v>318</v>
      </c>
      <c r="E26" s="199">
        <v>23864.95</v>
      </c>
      <c r="F26" s="164"/>
      <c r="G26" s="164"/>
      <c r="H26" s="164"/>
      <c r="I26" s="164"/>
      <c r="J26" s="164"/>
      <c r="K26" s="200">
        <v>23864.95</v>
      </c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</row>
    <row r="27" spans="1:43" ht="13.5" customHeight="1" x14ac:dyDescent="0.2">
      <c r="A27" s="195" t="s">
        <v>319</v>
      </c>
      <c r="B27" s="196"/>
      <c r="C27" s="197" t="s">
        <v>193</v>
      </c>
      <c r="D27" s="198" t="s">
        <v>318</v>
      </c>
      <c r="E27" s="199">
        <v>30486.6</v>
      </c>
      <c r="F27" s="164"/>
      <c r="G27" s="164"/>
      <c r="H27" s="164"/>
      <c r="I27" s="164"/>
      <c r="J27" s="164"/>
      <c r="K27" s="164"/>
      <c r="L27" s="164"/>
      <c r="M27" s="200">
        <v>30486.6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</row>
    <row r="28" spans="1:43" ht="13.5" customHeight="1" x14ac:dyDescent="0.2">
      <c r="A28" s="195" t="s">
        <v>320</v>
      </c>
      <c r="B28" s="196"/>
      <c r="C28" s="197" t="s">
        <v>193</v>
      </c>
      <c r="D28" s="198" t="s">
        <v>318</v>
      </c>
      <c r="E28" s="199">
        <v>-1780.42</v>
      </c>
      <c r="F28" s="164"/>
      <c r="G28" s="164"/>
      <c r="H28" s="164"/>
      <c r="I28" s="164"/>
      <c r="J28" s="164"/>
      <c r="K28" s="164"/>
      <c r="L28" s="164"/>
      <c r="M28" s="200">
        <v>-1780.42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</row>
    <row r="29" spans="1:43" ht="13.5" customHeight="1" x14ac:dyDescent="0.2">
      <c r="A29" s="195" t="s">
        <v>321</v>
      </c>
      <c r="B29" s="196"/>
      <c r="C29" s="197" t="s">
        <v>193</v>
      </c>
      <c r="D29" s="198" t="s">
        <v>318</v>
      </c>
      <c r="E29" s="199">
        <v>53351.55</v>
      </c>
      <c r="F29" s="164"/>
      <c r="G29" s="164"/>
      <c r="H29" s="164"/>
      <c r="I29" s="164"/>
      <c r="J29" s="164"/>
      <c r="K29" s="164"/>
      <c r="L29" s="164"/>
      <c r="M29" s="200">
        <v>53351.55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</row>
    <row r="30" spans="1:43" ht="13.5" customHeight="1" x14ac:dyDescent="0.2">
      <c r="A30" s="195" t="s">
        <v>322</v>
      </c>
      <c r="B30" s="196"/>
      <c r="C30" s="197" t="s">
        <v>193</v>
      </c>
      <c r="D30" s="198" t="s">
        <v>318</v>
      </c>
      <c r="E30" s="199">
        <v>7621.65</v>
      </c>
      <c r="F30" s="164"/>
      <c r="G30" s="164"/>
      <c r="H30" s="164"/>
      <c r="I30" s="164"/>
      <c r="J30" s="164"/>
      <c r="K30" s="164"/>
      <c r="L30" s="164"/>
      <c r="M30" s="164"/>
      <c r="N30" s="200">
        <v>7621.65</v>
      </c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</row>
    <row r="31" spans="1:43" ht="13.5" customHeight="1" x14ac:dyDescent="0.2">
      <c r="A31" s="195" t="s">
        <v>323</v>
      </c>
      <c r="B31" s="196"/>
      <c r="C31" s="197" t="s">
        <v>193</v>
      </c>
      <c r="D31" s="198" t="s">
        <v>311</v>
      </c>
      <c r="E31" s="199">
        <v>24261</v>
      </c>
      <c r="F31" s="164"/>
      <c r="G31" s="164"/>
      <c r="H31" s="164"/>
      <c r="I31" s="164"/>
      <c r="J31" s="164"/>
      <c r="K31" s="164"/>
      <c r="L31" s="164"/>
      <c r="M31" s="164"/>
      <c r="N31" s="200">
        <v>24261</v>
      </c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</row>
    <row r="32" spans="1:43" ht="13.5" customHeight="1" x14ac:dyDescent="0.2">
      <c r="A32" s="192" t="s">
        <v>325</v>
      </c>
      <c r="B32" s="193" t="s">
        <v>309</v>
      </c>
      <c r="C32" s="194"/>
      <c r="D32" s="194"/>
      <c r="E32" s="194"/>
      <c r="F32" s="189">
        <f t="shared" ref="F32:AQ32" si="4">SUMIF($D$33:$D$44,"Franchise",F33:F44)</f>
        <v>0</v>
      </c>
      <c r="G32" s="189">
        <f t="shared" si="4"/>
        <v>0</v>
      </c>
      <c r="H32" s="189">
        <f t="shared" si="4"/>
        <v>0</v>
      </c>
      <c r="I32" s="189">
        <f t="shared" si="4"/>
        <v>0</v>
      </c>
      <c r="J32" s="189">
        <f t="shared" si="4"/>
        <v>0</v>
      </c>
      <c r="K32" s="189">
        <f t="shared" si="4"/>
        <v>39308.42</v>
      </c>
      <c r="L32" s="189">
        <f t="shared" si="4"/>
        <v>0</v>
      </c>
      <c r="M32" s="189">
        <f t="shared" si="4"/>
        <v>0</v>
      </c>
      <c r="N32" s="189">
        <f t="shared" si="4"/>
        <v>0</v>
      </c>
      <c r="O32" s="189">
        <f t="shared" si="4"/>
        <v>7749.23</v>
      </c>
      <c r="P32" s="189">
        <f t="shared" si="4"/>
        <v>0</v>
      </c>
      <c r="Q32" s="189">
        <f t="shared" si="4"/>
        <v>0</v>
      </c>
      <c r="R32" s="189">
        <f t="shared" si="4"/>
        <v>0</v>
      </c>
      <c r="S32" s="189">
        <f t="shared" si="4"/>
        <v>0</v>
      </c>
      <c r="T32" s="189">
        <f t="shared" si="4"/>
        <v>0</v>
      </c>
      <c r="U32" s="189">
        <f t="shared" si="4"/>
        <v>0</v>
      </c>
      <c r="V32" s="189">
        <f t="shared" si="4"/>
        <v>0</v>
      </c>
      <c r="W32" s="189">
        <f t="shared" si="4"/>
        <v>0</v>
      </c>
      <c r="X32" s="189">
        <f t="shared" si="4"/>
        <v>0</v>
      </c>
      <c r="Y32" s="189">
        <f t="shared" si="4"/>
        <v>0</v>
      </c>
      <c r="Z32" s="189">
        <f t="shared" si="4"/>
        <v>0</v>
      </c>
      <c r="AA32" s="189">
        <f t="shared" si="4"/>
        <v>0</v>
      </c>
      <c r="AB32" s="189">
        <f t="shared" si="4"/>
        <v>0</v>
      </c>
      <c r="AC32" s="189">
        <f t="shared" si="4"/>
        <v>0</v>
      </c>
      <c r="AD32" s="189">
        <f t="shared" si="4"/>
        <v>0</v>
      </c>
      <c r="AE32" s="189">
        <f t="shared" si="4"/>
        <v>0</v>
      </c>
      <c r="AF32" s="189">
        <f t="shared" si="4"/>
        <v>0</v>
      </c>
      <c r="AG32" s="189">
        <f t="shared" si="4"/>
        <v>0</v>
      </c>
      <c r="AH32" s="189">
        <f t="shared" si="4"/>
        <v>0</v>
      </c>
      <c r="AI32" s="189">
        <f t="shared" si="4"/>
        <v>0</v>
      </c>
      <c r="AJ32" s="189">
        <f t="shared" si="4"/>
        <v>0</v>
      </c>
      <c r="AK32" s="189">
        <f t="shared" si="4"/>
        <v>0</v>
      </c>
      <c r="AL32" s="189">
        <f t="shared" si="4"/>
        <v>0</v>
      </c>
      <c r="AM32" s="189">
        <f t="shared" si="4"/>
        <v>0</v>
      </c>
      <c r="AN32" s="189">
        <f t="shared" si="4"/>
        <v>0</v>
      </c>
      <c r="AO32" s="189">
        <f t="shared" si="4"/>
        <v>0</v>
      </c>
      <c r="AP32" s="189">
        <f t="shared" si="4"/>
        <v>0</v>
      </c>
      <c r="AQ32" s="189">
        <f t="shared" si="4"/>
        <v>0</v>
      </c>
    </row>
    <row r="33" spans="1:43" ht="15" customHeight="1" x14ac:dyDescent="0.2">
      <c r="A33" s="195" t="s">
        <v>310</v>
      </c>
      <c r="B33" s="196"/>
      <c r="C33" s="197" t="s">
        <v>193</v>
      </c>
      <c r="D33" s="198" t="s">
        <v>311</v>
      </c>
      <c r="E33" s="196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</row>
    <row r="34" spans="1:43" ht="15.75" customHeight="1" x14ac:dyDescent="0.2">
      <c r="A34" s="195" t="s">
        <v>312</v>
      </c>
      <c r="B34" s="196"/>
      <c r="C34" s="197" t="s">
        <v>193</v>
      </c>
      <c r="D34" s="198" t="s">
        <v>311</v>
      </c>
      <c r="E34" s="199">
        <v>-6000</v>
      </c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</row>
    <row r="35" spans="1:43" ht="13.5" customHeight="1" x14ac:dyDescent="0.2">
      <c r="A35" s="195" t="s">
        <v>313</v>
      </c>
      <c r="B35" s="196"/>
      <c r="C35" s="197" t="s">
        <v>193</v>
      </c>
      <c r="D35" s="198" t="s">
        <v>311</v>
      </c>
      <c r="E35" s="199">
        <v>22989.45</v>
      </c>
      <c r="F35" s="164"/>
      <c r="G35" s="164"/>
      <c r="H35" s="164"/>
      <c r="I35" s="164"/>
      <c r="J35" s="164"/>
      <c r="K35" s="200">
        <v>22989.45</v>
      </c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</row>
    <row r="36" spans="1:43" ht="13.5" customHeight="1" x14ac:dyDescent="0.2">
      <c r="A36" s="195" t="s">
        <v>314</v>
      </c>
      <c r="B36" s="196"/>
      <c r="C36" s="197" t="s">
        <v>193</v>
      </c>
      <c r="D36" s="198" t="s">
        <v>311</v>
      </c>
      <c r="E36" s="199">
        <v>15326.3</v>
      </c>
      <c r="F36" s="164"/>
      <c r="G36" s="164"/>
      <c r="H36" s="164"/>
      <c r="I36" s="164"/>
      <c r="J36" s="164"/>
      <c r="K36" s="200">
        <v>15326.3</v>
      </c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</row>
    <row r="37" spans="1:43" ht="13.5" customHeight="1" x14ac:dyDescent="0.2">
      <c r="A37" s="195" t="s">
        <v>315</v>
      </c>
      <c r="B37" s="196"/>
      <c r="C37" s="197" t="s">
        <v>193</v>
      </c>
      <c r="D37" s="198" t="s">
        <v>311</v>
      </c>
      <c r="E37" s="199">
        <v>-8835.7800000000007</v>
      </c>
      <c r="F37" s="164"/>
      <c r="G37" s="164"/>
      <c r="H37" s="164"/>
      <c r="I37" s="164"/>
      <c r="J37" s="164"/>
      <c r="K37" s="200">
        <v>-8835.7800000000007</v>
      </c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</row>
    <row r="38" spans="1:43" ht="13.5" customHeight="1" x14ac:dyDescent="0.2">
      <c r="A38" s="195" t="s">
        <v>316</v>
      </c>
      <c r="B38" s="196"/>
      <c r="C38" s="197" t="s">
        <v>193</v>
      </c>
      <c r="D38" s="198" t="s">
        <v>311</v>
      </c>
      <c r="E38" s="199">
        <v>9828.4500000000007</v>
      </c>
      <c r="F38" s="164"/>
      <c r="G38" s="164"/>
      <c r="H38" s="164"/>
      <c r="I38" s="164"/>
      <c r="J38" s="164"/>
      <c r="K38" s="200">
        <v>9828.4500000000007</v>
      </c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</row>
    <row r="39" spans="1:43" ht="13.5" customHeight="1" x14ac:dyDescent="0.2">
      <c r="A39" s="195" t="s">
        <v>317</v>
      </c>
      <c r="B39" s="196"/>
      <c r="C39" s="197" t="s">
        <v>193</v>
      </c>
      <c r="D39" s="198" t="s">
        <v>318</v>
      </c>
      <c r="E39" s="199">
        <v>23129.1</v>
      </c>
      <c r="F39" s="164"/>
      <c r="G39" s="164"/>
      <c r="H39" s="164"/>
      <c r="I39" s="164"/>
      <c r="J39" s="164"/>
      <c r="K39" s="164"/>
      <c r="L39" s="164"/>
      <c r="M39" s="200">
        <v>23129.1</v>
      </c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</row>
    <row r="40" spans="1:43" ht="13.5" customHeight="1" x14ac:dyDescent="0.2">
      <c r="A40" s="195" t="s">
        <v>319</v>
      </c>
      <c r="B40" s="196"/>
      <c r="C40" s="197" t="s">
        <v>193</v>
      </c>
      <c r="D40" s="198" t="s">
        <v>318</v>
      </c>
      <c r="E40" s="199">
        <v>30722.42</v>
      </c>
      <c r="F40" s="164"/>
      <c r="G40" s="164"/>
      <c r="H40" s="164"/>
      <c r="I40" s="164"/>
      <c r="J40" s="164"/>
      <c r="K40" s="164"/>
      <c r="L40" s="164"/>
      <c r="M40" s="164"/>
      <c r="N40" s="200">
        <v>30722.42</v>
      </c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</row>
    <row r="41" spans="1:43" ht="13.5" customHeight="1" x14ac:dyDescent="0.2">
      <c r="A41" s="195" t="s">
        <v>320</v>
      </c>
      <c r="B41" s="196"/>
      <c r="C41" s="197" t="s">
        <v>193</v>
      </c>
      <c r="D41" s="198" t="s">
        <v>318</v>
      </c>
      <c r="E41" s="199">
        <v>-1840.79</v>
      </c>
      <c r="F41" s="164"/>
      <c r="G41" s="164"/>
      <c r="H41" s="164"/>
      <c r="I41" s="164"/>
      <c r="J41" s="164"/>
      <c r="K41" s="164"/>
      <c r="L41" s="164"/>
      <c r="M41" s="164"/>
      <c r="N41" s="200">
        <v>-1840.79</v>
      </c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</row>
    <row r="42" spans="1:43" ht="13.5" customHeight="1" x14ac:dyDescent="0.2">
      <c r="A42" s="195" t="s">
        <v>321</v>
      </c>
      <c r="B42" s="196"/>
      <c r="C42" s="197" t="s">
        <v>193</v>
      </c>
      <c r="D42" s="198" t="s">
        <v>318</v>
      </c>
      <c r="E42" s="199">
        <v>53764.24</v>
      </c>
      <c r="F42" s="164"/>
      <c r="G42" s="164"/>
      <c r="H42" s="164"/>
      <c r="I42" s="164"/>
      <c r="J42" s="164"/>
      <c r="K42" s="164"/>
      <c r="L42" s="164"/>
      <c r="M42" s="164"/>
      <c r="N42" s="200">
        <v>53764.24</v>
      </c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</row>
    <row r="43" spans="1:43" ht="13.5" customHeight="1" x14ac:dyDescent="0.2">
      <c r="A43" s="195" t="s">
        <v>322</v>
      </c>
      <c r="B43" s="196"/>
      <c r="C43" s="197" t="s">
        <v>193</v>
      </c>
      <c r="D43" s="198" t="s">
        <v>318</v>
      </c>
      <c r="E43" s="199">
        <v>7680.61</v>
      </c>
      <c r="F43" s="164"/>
      <c r="G43" s="164"/>
      <c r="H43" s="164"/>
      <c r="I43" s="164"/>
      <c r="J43" s="164"/>
      <c r="K43" s="164"/>
      <c r="L43" s="164"/>
      <c r="M43" s="164"/>
      <c r="N43" s="164"/>
      <c r="O43" s="200">
        <v>7680.61</v>
      </c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</row>
    <row r="44" spans="1:43" ht="13.5" customHeight="1" x14ac:dyDescent="0.2">
      <c r="A44" s="195" t="s">
        <v>323</v>
      </c>
      <c r="B44" s="196"/>
      <c r="C44" s="197" t="s">
        <v>193</v>
      </c>
      <c r="D44" s="198" t="s">
        <v>311</v>
      </c>
      <c r="E44" s="199">
        <v>7749.23</v>
      </c>
      <c r="F44" s="164"/>
      <c r="G44" s="164"/>
      <c r="H44" s="164"/>
      <c r="I44" s="164"/>
      <c r="J44" s="164"/>
      <c r="K44" s="164"/>
      <c r="L44" s="164"/>
      <c r="M44" s="164"/>
      <c r="N44" s="164"/>
      <c r="O44" s="200">
        <v>7749.23</v>
      </c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</row>
    <row r="45" spans="1:43" ht="13.5" customHeight="1" x14ac:dyDescent="0.2">
      <c r="A45" s="192" t="s">
        <v>326</v>
      </c>
      <c r="B45" s="193" t="s">
        <v>309</v>
      </c>
      <c r="C45" s="194"/>
      <c r="D45" s="194"/>
      <c r="E45" s="194"/>
      <c r="F45" s="189">
        <f t="shared" ref="F45:AQ45" si="5">SUMIF($D$46:$D$57,"Franchise",F46:F57)</f>
        <v>0</v>
      </c>
      <c r="G45" s="189">
        <f t="shared" si="5"/>
        <v>0</v>
      </c>
      <c r="H45" s="189">
        <f t="shared" si="5"/>
        <v>0</v>
      </c>
      <c r="I45" s="189">
        <f t="shared" si="5"/>
        <v>0</v>
      </c>
      <c r="J45" s="189">
        <f t="shared" si="5"/>
        <v>0</v>
      </c>
      <c r="K45" s="189">
        <f t="shared" si="5"/>
        <v>40105.300000000003</v>
      </c>
      <c r="L45" s="189">
        <f t="shared" si="5"/>
        <v>-7296.54</v>
      </c>
      <c r="M45" s="189">
        <f t="shared" si="5"/>
        <v>0</v>
      </c>
      <c r="N45" s="189">
        <f t="shared" si="5"/>
        <v>0</v>
      </c>
      <c r="O45" s="189">
        <f t="shared" si="5"/>
        <v>0</v>
      </c>
      <c r="P45" s="189">
        <f t="shared" si="5"/>
        <v>0</v>
      </c>
      <c r="Q45" s="189">
        <f t="shared" si="5"/>
        <v>20618.43</v>
      </c>
      <c r="R45" s="189">
        <f t="shared" si="5"/>
        <v>0</v>
      </c>
      <c r="S45" s="189">
        <f t="shared" si="5"/>
        <v>0</v>
      </c>
      <c r="T45" s="189">
        <f t="shared" si="5"/>
        <v>0</v>
      </c>
      <c r="U45" s="189">
        <f t="shared" si="5"/>
        <v>0</v>
      </c>
      <c r="V45" s="189">
        <f t="shared" si="5"/>
        <v>0</v>
      </c>
      <c r="W45" s="189">
        <f t="shared" si="5"/>
        <v>0</v>
      </c>
      <c r="X45" s="189">
        <f t="shared" si="5"/>
        <v>0</v>
      </c>
      <c r="Y45" s="189">
        <f t="shared" si="5"/>
        <v>0</v>
      </c>
      <c r="Z45" s="189">
        <f t="shared" si="5"/>
        <v>0</v>
      </c>
      <c r="AA45" s="189">
        <f t="shared" si="5"/>
        <v>0</v>
      </c>
      <c r="AB45" s="189">
        <f t="shared" si="5"/>
        <v>0</v>
      </c>
      <c r="AC45" s="189">
        <f t="shared" si="5"/>
        <v>0</v>
      </c>
      <c r="AD45" s="189">
        <f t="shared" si="5"/>
        <v>0</v>
      </c>
      <c r="AE45" s="189">
        <f t="shared" si="5"/>
        <v>0</v>
      </c>
      <c r="AF45" s="189">
        <f t="shared" si="5"/>
        <v>0</v>
      </c>
      <c r="AG45" s="189">
        <f t="shared" si="5"/>
        <v>0</v>
      </c>
      <c r="AH45" s="189">
        <f t="shared" si="5"/>
        <v>0</v>
      </c>
      <c r="AI45" s="189">
        <f t="shared" si="5"/>
        <v>0</v>
      </c>
      <c r="AJ45" s="189">
        <f t="shared" si="5"/>
        <v>0</v>
      </c>
      <c r="AK45" s="189">
        <f t="shared" si="5"/>
        <v>0</v>
      </c>
      <c r="AL45" s="189">
        <f t="shared" si="5"/>
        <v>0</v>
      </c>
      <c r="AM45" s="189">
        <f t="shared" si="5"/>
        <v>0</v>
      </c>
      <c r="AN45" s="189">
        <f t="shared" si="5"/>
        <v>0</v>
      </c>
      <c r="AO45" s="189">
        <f t="shared" si="5"/>
        <v>0</v>
      </c>
      <c r="AP45" s="189">
        <f t="shared" si="5"/>
        <v>0</v>
      </c>
      <c r="AQ45" s="189">
        <f t="shared" si="5"/>
        <v>0</v>
      </c>
    </row>
    <row r="46" spans="1:43" ht="13.5" customHeight="1" x14ac:dyDescent="0.2">
      <c r="A46" s="195" t="s">
        <v>310</v>
      </c>
      <c r="B46" s="196"/>
      <c r="C46" s="197" t="s">
        <v>193</v>
      </c>
      <c r="D46" s="198" t="s">
        <v>311</v>
      </c>
      <c r="E46" s="196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</row>
    <row r="47" spans="1:43" ht="15" customHeight="1" x14ac:dyDescent="0.2">
      <c r="A47" s="195" t="s">
        <v>312</v>
      </c>
      <c r="B47" s="196"/>
      <c r="C47" s="197" t="s">
        <v>193</v>
      </c>
      <c r="D47" s="198" t="s">
        <v>311</v>
      </c>
      <c r="E47" s="199">
        <v>-6000</v>
      </c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</row>
    <row r="48" spans="1:43" ht="15.75" customHeight="1" x14ac:dyDescent="0.2">
      <c r="A48" s="195" t="s">
        <v>313</v>
      </c>
      <c r="B48" s="196"/>
      <c r="C48" s="197" t="s">
        <v>193</v>
      </c>
      <c r="D48" s="198" t="s">
        <v>311</v>
      </c>
      <c r="E48" s="199">
        <v>19141.349999999999</v>
      </c>
      <c r="F48" s="164"/>
      <c r="G48" s="164"/>
      <c r="H48" s="164"/>
      <c r="I48" s="164"/>
      <c r="J48" s="164"/>
      <c r="K48" s="200">
        <v>19141.349999999999</v>
      </c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</row>
    <row r="49" spans="1:43" ht="13.5" customHeight="1" x14ac:dyDescent="0.2">
      <c r="A49" s="195" t="s">
        <v>314</v>
      </c>
      <c r="B49" s="196"/>
      <c r="C49" s="197" t="s">
        <v>193</v>
      </c>
      <c r="D49" s="198" t="s">
        <v>311</v>
      </c>
      <c r="E49" s="199">
        <v>12760.9</v>
      </c>
      <c r="F49" s="164"/>
      <c r="G49" s="164"/>
      <c r="H49" s="164"/>
      <c r="I49" s="164"/>
      <c r="J49" s="164"/>
      <c r="K49" s="200">
        <v>12760.9</v>
      </c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</row>
    <row r="50" spans="1:43" ht="13.5" customHeight="1" x14ac:dyDescent="0.2">
      <c r="A50" s="195" t="s">
        <v>315</v>
      </c>
      <c r="B50" s="196"/>
      <c r="C50" s="197" t="s">
        <v>193</v>
      </c>
      <c r="D50" s="198" t="s">
        <v>311</v>
      </c>
      <c r="E50" s="199">
        <v>-7296.54</v>
      </c>
      <c r="F50" s="164"/>
      <c r="G50" s="164"/>
      <c r="H50" s="164"/>
      <c r="I50" s="164"/>
      <c r="J50" s="164"/>
      <c r="K50" s="164"/>
      <c r="L50" s="200">
        <v>-7296.54</v>
      </c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</row>
    <row r="51" spans="1:43" ht="13.5" customHeight="1" x14ac:dyDescent="0.2">
      <c r="A51" s="195" t="s">
        <v>316</v>
      </c>
      <c r="B51" s="196"/>
      <c r="C51" s="197" t="s">
        <v>193</v>
      </c>
      <c r="D51" s="198" t="s">
        <v>311</v>
      </c>
      <c r="E51" s="199">
        <v>8203.0499999999993</v>
      </c>
      <c r="F51" s="164"/>
      <c r="G51" s="164"/>
      <c r="H51" s="164"/>
      <c r="I51" s="164"/>
      <c r="J51" s="164"/>
      <c r="K51" s="200">
        <v>8203.0499999999993</v>
      </c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</row>
    <row r="52" spans="1:43" ht="13.5" customHeight="1" x14ac:dyDescent="0.2">
      <c r="A52" s="195" t="s">
        <v>317</v>
      </c>
      <c r="B52" s="196"/>
      <c r="C52" s="197" t="s">
        <v>193</v>
      </c>
      <c r="D52" s="198" t="s">
        <v>318</v>
      </c>
      <c r="E52" s="199">
        <v>19413.48</v>
      </c>
      <c r="F52" s="164"/>
      <c r="G52" s="164"/>
      <c r="H52" s="164"/>
      <c r="I52" s="164"/>
      <c r="J52" s="164"/>
      <c r="K52" s="164"/>
      <c r="L52" s="164"/>
      <c r="M52" s="164"/>
      <c r="N52" s="200">
        <v>19413.48</v>
      </c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</row>
    <row r="53" spans="1:43" ht="13.5" customHeight="1" x14ac:dyDescent="0.2">
      <c r="A53" s="195" t="s">
        <v>319</v>
      </c>
      <c r="B53" s="196"/>
      <c r="C53" s="197" t="s">
        <v>193</v>
      </c>
      <c r="D53" s="198" t="s">
        <v>318</v>
      </c>
      <c r="E53" s="199">
        <v>25657.86</v>
      </c>
      <c r="F53" s="164"/>
      <c r="G53" s="164"/>
      <c r="H53" s="164"/>
      <c r="I53" s="164"/>
      <c r="J53" s="164"/>
      <c r="K53" s="164"/>
      <c r="L53" s="164"/>
      <c r="M53" s="164"/>
      <c r="N53" s="200">
        <v>25657.86</v>
      </c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</row>
    <row r="54" spans="1:43" ht="13.5" customHeight="1" x14ac:dyDescent="0.2">
      <c r="A54" s="195" t="s">
        <v>320</v>
      </c>
      <c r="B54" s="196"/>
      <c r="C54" s="197" t="s">
        <v>193</v>
      </c>
      <c r="D54" s="198" t="s">
        <v>318</v>
      </c>
      <c r="E54" s="199">
        <v>-1520.11</v>
      </c>
      <c r="F54" s="164"/>
      <c r="G54" s="164"/>
      <c r="H54" s="164"/>
      <c r="I54" s="164"/>
      <c r="J54" s="164"/>
      <c r="K54" s="164"/>
      <c r="L54" s="164"/>
      <c r="M54" s="164"/>
      <c r="N54" s="200">
        <v>-1520.11</v>
      </c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</row>
    <row r="55" spans="1:43" ht="13.5" customHeight="1" x14ac:dyDescent="0.2">
      <c r="A55" s="195" t="s">
        <v>321</v>
      </c>
      <c r="B55" s="196"/>
      <c r="C55" s="197" t="s">
        <v>193</v>
      </c>
      <c r="D55" s="198" t="s">
        <v>318</v>
      </c>
      <c r="E55" s="199">
        <v>44901.26</v>
      </c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200">
        <v>44901.26</v>
      </c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</row>
    <row r="56" spans="1:43" ht="13.5" customHeight="1" x14ac:dyDescent="0.2">
      <c r="A56" s="195" t="s">
        <v>322</v>
      </c>
      <c r="B56" s="196"/>
      <c r="C56" s="197" t="s">
        <v>193</v>
      </c>
      <c r="D56" s="198" t="s">
        <v>318</v>
      </c>
      <c r="E56" s="199">
        <v>6414.47</v>
      </c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200">
        <v>6414.47</v>
      </c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</row>
    <row r="57" spans="1:43" ht="13.5" customHeight="1" x14ac:dyDescent="0.2">
      <c r="A57" s="195" t="s">
        <v>323</v>
      </c>
      <c r="B57" s="196"/>
      <c r="C57" s="197" t="s">
        <v>193</v>
      </c>
      <c r="D57" s="198" t="s">
        <v>311</v>
      </c>
      <c r="E57" s="199">
        <v>20618.43</v>
      </c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200">
        <v>20618.43</v>
      </c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</row>
    <row r="58" spans="1:43" ht="13.5" customHeight="1" x14ac:dyDescent="0.2">
      <c r="A58" s="192" t="s">
        <v>327</v>
      </c>
      <c r="B58" s="193" t="s">
        <v>309</v>
      </c>
      <c r="C58" s="194"/>
      <c r="D58" s="194"/>
      <c r="E58" s="194"/>
      <c r="F58" s="189">
        <f t="shared" ref="F58:AQ58" si="6">SUMIF($D$59:$D$70,"Franchise",F59:F70)</f>
        <v>0</v>
      </c>
      <c r="G58" s="189">
        <f t="shared" si="6"/>
        <v>0</v>
      </c>
      <c r="H58" s="189">
        <f t="shared" si="6"/>
        <v>0</v>
      </c>
      <c r="I58" s="189">
        <f t="shared" si="6"/>
        <v>0</v>
      </c>
      <c r="J58" s="189">
        <f t="shared" si="6"/>
        <v>0</v>
      </c>
      <c r="K58" s="189">
        <f t="shared" si="6"/>
        <v>40564.199999999997</v>
      </c>
      <c r="L58" s="189">
        <f t="shared" si="6"/>
        <v>-7375.68</v>
      </c>
      <c r="M58" s="189">
        <f t="shared" si="6"/>
        <v>0</v>
      </c>
      <c r="N58" s="189">
        <f t="shared" si="6"/>
        <v>0</v>
      </c>
      <c r="O58" s="189">
        <f t="shared" si="6"/>
        <v>0</v>
      </c>
      <c r="P58" s="189">
        <f t="shared" si="6"/>
        <v>0</v>
      </c>
      <c r="Q58" s="189">
        <f t="shared" si="6"/>
        <v>17793.87</v>
      </c>
      <c r="R58" s="189">
        <f t="shared" si="6"/>
        <v>0</v>
      </c>
      <c r="S58" s="189">
        <f t="shared" si="6"/>
        <v>0</v>
      </c>
      <c r="T58" s="189">
        <f t="shared" si="6"/>
        <v>0</v>
      </c>
      <c r="U58" s="189">
        <f t="shared" si="6"/>
        <v>0</v>
      </c>
      <c r="V58" s="189">
        <f t="shared" si="6"/>
        <v>0</v>
      </c>
      <c r="W58" s="189">
        <f t="shared" si="6"/>
        <v>0</v>
      </c>
      <c r="X58" s="189">
        <f t="shared" si="6"/>
        <v>0</v>
      </c>
      <c r="Y58" s="189">
        <f t="shared" si="6"/>
        <v>0</v>
      </c>
      <c r="Z58" s="189">
        <f t="shared" si="6"/>
        <v>0</v>
      </c>
      <c r="AA58" s="189">
        <f t="shared" si="6"/>
        <v>0</v>
      </c>
      <c r="AB58" s="189">
        <f t="shared" si="6"/>
        <v>0</v>
      </c>
      <c r="AC58" s="189">
        <f t="shared" si="6"/>
        <v>0</v>
      </c>
      <c r="AD58" s="189">
        <f t="shared" si="6"/>
        <v>0</v>
      </c>
      <c r="AE58" s="189">
        <f t="shared" si="6"/>
        <v>0</v>
      </c>
      <c r="AF58" s="189">
        <f t="shared" si="6"/>
        <v>0</v>
      </c>
      <c r="AG58" s="189">
        <f t="shared" si="6"/>
        <v>0</v>
      </c>
      <c r="AH58" s="189">
        <f t="shared" si="6"/>
        <v>0</v>
      </c>
      <c r="AI58" s="189">
        <f t="shared" si="6"/>
        <v>0</v>
      </c>
      <c r="AJ58" s="189">
        <f t="shared" si="6"/>
        <v>0</v>
      </c>
      <c r="AK58" s="189">
        <f t="shared" si="6"/>
        <v>0</v>
      </c>
      <c r="AL58" s="189">
        <f t="shared" si="6"/>
        <v>0</v>
      </c>
      <c r="AM58" s="189">
        <f t="shared" si="6"/>
        <v>0</v>
      </c>
      <c r="AN58" s="189">
        <f t="shared" si="6"/>
        <v>0</v>
      </c>
      <c r="AO58" s="189">
        <f t="shared" si="6"/>
        <v>0</v>
      </c>
      <c r="AP58" s="189">
        <f t="shared" si="6"/>
        <v>0</v>
      </c>
      <c r="AQ58" s="189">
        <f t="shared" si="6"/>
        <v>0</v>
      </c>
    </row>
    <row r="59" spans="1:43" ht="13.5" customHeight="1" x14ac:dyDescent="0.2">
      <c r="A59" s="195" t="s">
        <v>310</v>
      </c>
      <c r="B59" s="196"/>
      <c r="C59" s="197" t="s">
        <v>193</v>
      </c>
      <c r="D59" s="198" t="s">
        <v>311</v>
      </c>
      <c r="E59" s="196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</row>
    <row r="60" spans="1:43" ht="13.5" customHeight="1" x14ac:dyDescent="0.2">
      <c r="A60" s="195" t="s">
        <v>312</v>
      </c>
      <c r="B60" s="196"/>
      <c r="C60" s="197" t="s">
        <v>193</v>
      </c>
      <c r="D60" s="198" t="s">
        <v>311</v>
      </c>
      <c r="E60" s="199">
        <v>-6000</v>
      </c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</row>
    <row r="61" spans="1:43" ht="15" customHeight="1" x14ac:dyDescent="0.2">
      <c r="A61" s="195" t="s">
        <v>313</v>
      </c>
      <c r="B61" s="196"/>
      <c r="C61" s="197" t="s">
        <v>193</v>
      </c>
      <c r="D61" s="198" t="s">
        <v>311</v>
      </c>
      <c r="E61" s="199">
        <v>19339.2</v>
      </c>
      <c r="F61" s="164"/>
      <c r="G61" s="164"/>
      <c r="H61" s="164"/>
      <c r="I61" s="164"/>
      <c r="J61" s="164"/>
      <c r="K61" s="200">
        <v>19339.2</v>
      </c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</row>
    <row r="62" spans="1:43" ht="15.75" customHeight="1" x14ac:dyDescent="0.2">
      <c r="A62" s="195" t="s">
        <v>314</v>
      </c>
      <c r="B62" s="196"/>
      <c r="C62" s="197" t="s">
        <v>193</v>
      </c>
      <c r="D62" s="198" t="s">
        <v>311</v>
      </c>
      <c r="E62" s="199">
        <v>12892.8</v>
      </c>
      <c r="F62" s="164"/>
      <c r="G62" s="164"/>
      <c r="H62" s="164"/>
      <c r="I62" s="164"/>
      <c r="J62" s="164"/>
      <c r="K62" s="200">
        <v>12892.8</v>
      </c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</row>
    <row r="63" spans="1:43" ht="13.5" customHeight="1" x14ac:dyDescent="0.2">
      <c r="A63" s="195" t="s">
        <v>315</v>
      </c>
      <c r="B63" s="196"/>
      <c r="C63" s="197" t="s">
        <v>193</v>
      </c>
      <c r="D63" s="198" t="s">
        <v>311</v>
      </c>
      <c r="E63" s="199">
        <v>-7375.68</v>
      </c>
      <c r="F63" s="164"/>
      <c r="G63" s="164"/>
      <c r="H63" s="164"/>
      <c r="I63" s="164"/>
      <c r="J63" s="164"/>
      <c r="K63" s="164"/>
      <c r="L63" s="200">
        <v>-7375.68</v>
      </c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</row>
    <row r="64" spans="1:43" ht="13.5" customHeight="1" x14ac:dyDescent="0.2">
      <c r="A64" s="195" t="s">
        <v>316</v>
      </c>
      <c r="B64" s="196"/>
      <c r="C64" s="197" t="s">
        <v>193</v>
      </c>
      <c r="D64" s="198" t="s">
        <v>311</v>
      </c>
      <c r="E64" s="199">
        <v>8332.2000000000007</v>
      </c>
      <c r="F64" s="164"/>
      <c r="G64" s="164"/>
      <c r="H64" s="164"/>
      <c r="I64" s="164"/>
      <c r="J64" s="164"/>
      <c r="K64" s="200">
        <v>8332.2000000000007</v>
      </c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</row>
    <row r="65" spans="1:43" ht="13.5" customHeight="1" x14ac:dyDescent="0.2">
      <c r="A65" s="195" t="s">
        <v>317</v>
      </c>
      <c r="B65" s="196"/>
      <c r="C65" s="197" t="s">
        <v>193</v>
      </c>
      <c r="D65" s="198" t="s">
        <v>318</v>
      </c>
      <c r="E65" s="199">
        <v>20594.14</v>
      </c>
      <c r="F65" s="164"/>
      <c r="G65" s="164"/>
      <c r="H65" s="164"/>
      <c r="I65" s="164"/>
      <c r="J65" s="164"/>
      <c r="K65" s="164"/>
      <c r="L65" s="164"/>
      <c r="M65" s="164"/>
      <c r="N65" s="200">
        <v>20594.14</v>
      </c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</row>
    <row r="66" spans="1:43" ht="13.5" customHeight="1" x14ac:dyDescent="0.2">
      <c r="A66" s="195" t="s">
        <v>319</v>
      </c>
      <c r="B66" s="196"/>
      <c r="C66" s="197" t="s">
        <v>193</v>
      </c>
      <c r="D66" s="198" t="s">
        <v>318</v>
      </c>
      <c r="E66" s="199">
        <v>26413.07</v>
      </c>
      <c r="F66" s="164"/>
      <c r="G66" s="164"/>
      <c r="H66" s="164"/>
      <c r="I66" s="164"/>
      <c r="J66" s="164"/>
      <c r="K66" s="164"/>
      <c r="L66" s="164"/>
      <c r="M66" s="164"/>
      <c r="N66" s="200">
        <v>26413.07</v>
      </c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</row>
    <row r="67" spans="1:43" ht="13.5" customHeight="1" x14ac:dyDescent="0.2">
      <c r="A67" s="195" t="s">
        <v>320</v>
      </c>
      <c r="B67" s="196"/>
      <c r="C67" s="197" t="s">
        <v>193</v>
      </c>
      <c r="D67" s="198" t="s">
        <v>318</v>
      </c>
      <c r="E67" s="199">
        <v>-1536.6</v>
      </c>
      <c r="F67" s="164"/>
      <c r="G67" s="164"/>
      <c r="H67" s="164"/>
      <c r="I67" s="164"/>
      <c r="J67" s="164"/>
      <c r="K67" s="164"/>
      <c r="L67" s="164"/>
      <c r="M67" s="164"/>
      <c r="N67" s="200">
        <v>-1536.6</v>
      </c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</row>
    <row r="68" spans="1:43" ht="13.5" customHeight="1" x14ac:dyDescent="0.2">
      <c r="A68" s="195" t="s">
        <v>321</v>
      </c>
      <c r="B68" s="196"/>
      <c r="C68" s="197" t="s">
        <v>193</v>
      </c>
      <c r="D68" s="198" t="s">
        <v>318</v>
      </c>
      <c r="E68" s="199">
        <v>46222.87</v>
      </c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200">
        <v>46222.87</v>
      </c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</row>
    <row r="69" spans="1:43" ht="13.5" customHeight="1" x14ac:dyDescent="0.2">
      <c r="A69" s="195" t="s">
        <v>322</v>
      </c>
      <c r="B69" s="196"/>
      <c r="C69" s="197" t="s">
        <v>193</v>
      </c>
      <c r="D69" s="198" t="s">
        <v>318</v>
      </c>
      <c r="E69" s="199">
        <v>6603.27</v>
      </c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200">
        <v>6603.27</v>
      </c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</row>
    <row r="70" spans="1:43" ht="13.5" customHeight="1" x14ac:dyDescent="0.2">
      <c r="A70" s="195" t="s">
        <v>323</v>
      </c>
      <c r="B70" s="196"/>
      <c r="C70" s="197" t="s">
        <v>193</v>
      </c>
      <c r="D70" s="198" t="s">
        <v>311</v>
      </c>
      <c r="E70" s="199">
        <v>17793.87</v>
      </c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200">
        <v>17793.87</v>
      </c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</row>
    <row r="71" spans="1:43" ht="13.5" customHeight="1" x14ac:dyDescent="0.2">
      <c r="A71" s="192" t="s">
        <v>328</v>
      </c>
      <c r="B71" s="193" t="s">
        <v>309</v>
      </c>
      <c r="C71" s="194"/>
      <c r="D71" s="194"/>
      <c r="E71" s="194"/>
      <c r="F71" s="189">
        <f t="shared" ref="F71:AQ71" si="7">SUMIF($D$72:$D$83,"Franchise",F72:F83)</f>
        <v>0</v>
      </c>
      <c r="G71" s="189">
        <f t="shared" si="7"/>
        <v>0</v>
      </c>
      <c r="H71" s="189">
        <f t="shared" si="7"/>
        <v>0</v>
      </c>
      <c r="I71" s="189">
        <f t="shared" si="7"/>
        <v>0</v>
      </c>
      <c r="J71" s="189">
        <f t="shared" si="7"/>
        <v>0</v>
      </c>
      <c r="K71" s="189">
        <f t="shared" si="7"/>
        <v>0</v>
      </c>
      <c r="L71" s="189">
        <f t="shared" si="7"/>
        <v>45095.7</v>
      </c>
      <c r="M71" s="189">
        <f t="shared" si="7"/>
        <v>-8245.3799999999992</v>
      </c>
      <c r="N71" s="189">
        <f t="shared" si="7"/>
        <v>0</v>
      </c>
      <c r="O71" s="189">
        <f t="shared" si="7"/>
        <v>0</v>
      </c>
      <c r="P71" s="189">
        <f t="shared" si="7"/>
        <v>0</v>
      </c>
      <c r="Q71" s="189">
        <f t="shared" si="7"/>
        <v>0</v>
      </c>
      <c r="R71" s="189">
        <f t="shared" si="7"/>
        <v>0</v>
      </c>
      <c r="S71" s="189">
        <f t="shared" si="7"/>
        <v>21043.919999999998</v>
      </c>
      <c r="T71" s="189">
        <f t="shared" si="7"/>
        <v>0</v>
      </c>
      <c r="U71" s="189">
        <f t="shared" si="7"/>
        <v>0</v>
      </c>
      <c r="V71" s="189">
        <f t="shared" si="7"/>
        <v>0</v>
      </c>
      <c r="W71" s="189">
        <f t="shared" si="7"/>
        <v>0</v>
      </c>
      <c r="X71" s="189">
        <f t="shared" si="7"/>
        <v>0</v>
      </c>
      <c r="Y71" s="189">
        <f t="shared" si="7"/>
        <v>0</v>
      </c>
      <c r="Z71" s="189">
        <f t="shared" si="7"/>
        <v>0</v>
      </c>
      <c r="AA71" s="189">
        <f t="shared" si="7"/>
        <v>0</v>
      </c>
      <c r="AB71" s="189">
        <f t="shared" si="7"/>
        <v>0</v>
      </c>
      <c r="AC71" s="189">
        <f t="shared" si="7"/>
        <v>0</v>
      </c>
      <c r="AD71" s="189">
        <f t="shared" si="7"/>
        <v>0</v>
      </c>
      <c r="AE71" s="189">
        <f t="shared" si="7"/>
        <v>0</v>
      </c>
      <c r="AF71" s="189">
        <f t="shared" si="7"/>
        <v>0</v>
      </c>
      <c r="AG71" s="189">
        <f t="shared" si="7"/>
        <v>0</v>
      </c>
      <c r="AH71" s="189">
        <f t="shared" si="7"/>
        <v>0</v>
      </c>
      <c r="AI71" s="189">
        <f t="shared" si="7"/>
        <v>0</v>
      </c>
      <c r="AJ71" s="189">
        <f t="shared" si="7"/>
        <v>0</v>
      </c>
      <c r="AK71" s="189">
        <f t="shared" si="7"/>
        <v>0</v>
      </c>
      <c r="AL71" s="189">
        <f t="shared" si="7"/>
        <v>0</v>
      </c>
      <c r="AM71" s="189">
        <f t="shared" si="7"/>
        <v>0</v>
      </c>
      <c r="AN71" s="189">
        <f t="shared" si="7"/>
        <v>0</v>
      </c>
      <c r="AO71" s="189">
        <f t="shared" si="7"/>
        <v>0</v>
      </c>
      <c r="AP71" s="189">
        <f t="shared" si="7"/>
        <v>0</v>
      </c>
      <c r="AQ71" s="189">
        <f t="shared" si="7"/>
        <v>0</v>
      </c>
    </row>
    <row r="72" spans="1:43" ht="13.5" customHeight="1" x14ac:dyDescent="0.2">
      <c r="A72" s="195" t="s">
        <v>310</v>
      </c>
      <c r="B72" s="196"/>
      <c r="C72" s="197" t="s">
        <v>193</v>
      </c>
      <c r="D72" s="198" t="s">
        <v>311</v>
      </c>
      <c r="E72" s="196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</row>
    <row r="73" spans="1:43" ht="13.5" customHeight="1" x14ac:dyDescent="0.2">
      <c r="A73" s="195" t="s">
        <v>312</v>
      </c>
      <c r="B73" s="196"/>
      <c r="C73" s="197" t="s">
        <v>193</v>
      </c>
      <c r="D73" s="198" t="s">
        <v>311</v>
      </c>
      <c r="E73" s="199">
        <v>-6000</v>
      </c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</row>
    <row r="74" spans="1:43" ht="13.5" customHeight="1" x14ac:dyDescent="0.2">
      <c r="A74" s="195" t="s">
        <v>313</v>
      </c>
      <c r="B74" s="196"/>
      <c r="C74" s="197" t="s">
        <v>193</v>
      </c>
      <c r="D74" s="198" t="s">
        <v>311</v>
      </c>
      <c r="E74" s="199">
        <v>21513.45</v>
      </c>
      <c r="F74" s="164"/>
      <c r="G74" s="164"/>
      <c r="H74" s="164"/>
      <c r="I74" s="164"/>
      <c r="J74" s="164"/>
      <c r="K74" s="164"/>
      <c r="L74" s="200">
        <v>21513.45</v>
      </c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</row>
    <row r="75" spans="1:43" ht="15" customHeight="1" x14ac:dyDescent="0.2">
      <c r="A75" s="195" t="s">
        <v>314</v>
      </c>
      <c r="B75" s="196"/>
      <c r="C75" s="197" t="s">
        <v>193</v>
      </c>
      <c r="D75" s="198" t="s">
        <v>311</v>
      </c>
      <c r="E75" s="199">
        <v>14342.3</v>
      </c>
      <c r="F75" s="164"/>
      <c r="G75" s="164"/>
      <c r="H75" s="164"/>
      <c r="I75" s="164"/>
      <c r="J75" s="164"/>
      <c r="K75" s="164"/>
      <c r="L75" s="200">
        <v>14342.3</v>
      </c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</row>
    <row r="76" spans="1:43" ht="15.75" customHeight="1" x14ac:dyDescent="0.2">
      <c r="A76" s="195" t="s">
        <v>315</v>
      </c>
      <c r="B76" s="196"/>
      <c r="C76" s="197" t="s">
        <v>193</v>
      </c>
      <c r="D76" s="198" t="s">
        <v>311</v>
      </c>
      <c r="E76" s="199">
        <v>-8245.3799999999992</v>
      </c>
      <c r="F76" s="164"/>
      <c r="G76" s="164"/>
      <c r="H76" s="164"/>
      <c r="I76" s="164"/>
      <c r="J76" s="164"/>
      <c r="K76" s="164"/>
      <c r="L76" s="164"/>
      <c r="M76" s="200">
        <v>-8245.3799999999992</v>
      </c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</row>
    <row r="77" spans="1:43" ht="13.5" customHeight="1" x14ac:dyDescent="0.2">
      <c r="A77" s="195" t="s">
        <v>316</v>
      </c>
      <c r="B77" s="196"/>
      <c r="C77" s="197" t="s">
        <v>193</v>
      </c>
      <c r="D77" s="198" t="s">
        <v>311</v>
      </c>
      <c r="E77" s="199">
        <v>9239.9500000000007</v>
      </c>
      <c r="F77" s="164"/>
      <c r="G77" s="164"/>
      <c r="H77" s="164"/>
      <c r="I77" s="164"/>
      <c r="J77" s="164"/>
      <c r="K77" s="164"/>
      <c r="L77" s="200">
        <v>9239.9500000000007</v>
      </c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</row>
    <row r="78" spans="1:43" ht="13.5" customHeight="1" x14ac:dyDescent="0.2">
      <c r="A78" s="195" t="s">
        <v>317</v>
      </c>
      <c r="B78" s="196"/>
      <c r="C78" s="197" t="s">
        <v>193</v>
      </c>
      <c r="D78" s="198" t="s">
        <v>318</v>
      </c>
      <c r="E78" s="199">
        <v>21906.99</v>
      </c>
      <c r="F78" s="164"/>
      <c r="G78" s="164"/>
      <c r="H78" s="164"/>
      <c r="I78" s="164"/>
      <c r="J78" s="164"/>
      <c r="K78" s="164"/>
      <c r="L78" s="164"/>
      <c r="M78" s="164"/>
      <c r="N78" s="200">
        <v>21906.99</v>
      </c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</row>
    <row r="79" spans="1:43" ht="13.5" customHeight="1" x14ac:dyDescent="0.2">
      <c r="A79" s="195" t="s">
        <v>319</v>
      </c>
      <c r="B79" s="196"/>
      <c r="C79" s="197" t="s">
        <v>193</v>
      </c>
      <c r="D79" s="198" t="s">
        <v>318</v>
      </c>
      <c r="E79" s="199">
        <v>28881.37</v>
      </c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200">
        <v>28881.37</v>
      </c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</row>
    <row r="80" spans="1:43" ht="13.5" customHeight="1" x14ac:dyDescent="0.2">
      <c r="A80" s="195" t="s">
        <v>320</v>
      </c>
      <c r="B80" s="196"/>
      <c r="C80" s="197" t="s">
        <v>193</v>
      </c>
      <c r="D80" s="198" t="s">
        <v>318</v>
      </c>
      <c r="E80" s="199">
        <v>-1717.79</v>
      </c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200">
        <v>-1717.79</v>
      </c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</row>
    <row r="81" spans="1:43" ht="13.5" customHeight="1" x14ac:dyDescent="0.2">
      <c r="A81" s="195" t="s">
        <v>321</v>
      </c>
      <c r="B81" s="196"/>
      <c r="C81" s="197" t="s">
        <v>193</v>
      </c>
      <c r="D81" s="198" t="s">
        <v>318</v>
      </c>
      <c r="E81" s="199">
        <v>50542.400000000001</v>
      </c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200">
        <v>50542.400000000001</v>
      </c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</row>
    <row r="82" spans="1:43" ht="13.5" customHeight="1" x14ac:dyDescent="0.2">
      <c r="A82" s="195" t="s">
        <v>322</v>
      </c>
      <c r="B82" s="196"/>
      <c r="C82" s="197" t="s">
        <v>193</v>
      </c>
      <c r="D82" s="198" t="s">
        <v>318</v>
      </c>
      <c r="E82" s="199">
        <v>7220.34</v>
      </c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200">
        <v>7220.34</v>
      </c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</row>
    <row r="83" spans="1:43" ht="13.5" customHeight="1" x14ac:dyDescent="0.2">
      <c r="A83" s="195" t="s">
        <v>323</v>
      </c>
      <c r="B83" s="196"/>
      <c r="C83" s="197" t="s">
        <v>193</v>
      </c>
      <c r="D83" s="198" t="s">
        <v>311</v>
      </c>
      <c r="E83" s="199">
        <v>21043.919999999998</v>
      </c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200">
        <v>21043.919999999998</v>
      </c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</row>
    <row r="84" spans="1:43" ht="13.5" customHeight="1" x14ac:dyDescent="0.2">
      <c r="A84" s="192" t="s">
        <v>329</v>
      </c>
      <c r="B84" s="193" t="s">
        <v>309</v>
      </c>
      <c r="C84" s="194"/>
      <c r="D84" s="194"/>
      <c r="E84" s="194"/>
      <c r="F84" s="189">
        <f t="shared" ref="F84:AQ84" si="8">SUMIF($D$85:$D$96,"Franchise",F85:F96)</f>
        <v>0</v>
      </c>
      <c r="G84" s="189">
        <f t="shared" si="8"/>
        <v>0</v>
      </c>
      <c r="H84" s="189">
        <f t="shared" si="8"/>
        <v>0</v>
      </c>
      <c r="I84" s="189">
        <f t="shared" si="8"/>
        <v>0</v>
      </c>
      <c r="J84" s="189">
        <f t="shared" si="8"/>
        <v>0</v>
      </c>
      <c r="K84" s="189">
        <f t="shared" si="8"/>
        <v>0</v>
      </c>
      <c r="L84" s="189">
        <f t="shared" si="8"/>
        <v>51814.400000000001</v>
      </c>
      <c r="M84" s="189">
        <f t="shared" si="8"/>
        <v>-9534.2999999999993</v>
      </c>
      <c r="N84" s="189">
        <f t="shared" si="8"/>
        <v>0</v>
      </c>
      <c r="O84" s="189">
        <f t="shared" si="8"/>
        <v>0</v>
      </c>
      <c r="P84" s="189">
        <f t="shared" si="8"/>
        <v>0</v>
      </c>
      <c r="Q84" s="189">
        <f t="shared" si="8"/>
        <v>0</v>
      </c>
      <c r="R84" s="189">
        <f t="shared" si="8"/>
        <v>0</v>
      </c>
      <c r="S84" s="189">
        <f t="shared" si="8"/>
        <v>0</v>
      </c>
      <c r="T84" s="189">
        <f t="shared" si="8"/>
        <v>23288.75</v>
      </c>
      <c r="U84" s="189">
        <f t="shared" si="8"/>
        <v>0</v>
      </c>
      <c r="V84" s="189">
        <f t="shared" si="8"/>
        <v>0</v>
      </c>
      <c r="W84" s="189">
        <f t="shared" si="8"/>
        <v>0</v>
      </c>
      <c r="X84" s="189">
        <f t="shared" si="8"/>
        <v>0</v>
      </c>
      <c r="Y84" s="189">
        <f t="shared" si="8"/>
        <v>0</v>
      </c>
      <c r="Z84" s="189">
        <f t="shared" si="8"/>
        <v>0</v>
      </c>
      <c r="AA84" s="189">
        <f t="shared" si="8"/>
        <v>0</v>
      </c>
      <c r="AB84" s="189">
        <f t="shared" si="8"/>
        <v>0</v>
      </c>
      <c r="AC84" s="189">
        <f t="shared" si="8"/>
        <v>0</v>
      </c>
      <c r="AD84" s="189">
        <f t="shared" si="8"/>
        <v>0</v>
      </c>
      <c r="AE84" s="189">
        <f t="shared" si="8"/>
        <v>0</v>
      </c>
      <c r="AF84" s="189">
        <f t="shared" si="8"/>
        <v>0</v>
      </c>
      <c r="AG84" s="189">
        <f t="shared" si="8"/>
        <v>0</v>
      </c>
      <c r="AH84" s="189">
        <f t="shared" si="8"/>
        <v>0</v>
      </c>
      <c r="AI84" s="189">
        <f t="shared" si="8"/>
        <v>0</v>
      </c>
      <c r="AJ84" s="189">
        <f t="shared" si="8"/>
        <v>0</v>
      </c>
      <c r="AK84" s="189">
        <f t="shared" si="8"/>
        <v>0</v>
      </c>
      <c r="AL84" s="189">
        <f t="shared" si="8"/>
        <v>0</v>
      </c>
      <c r="AM84" s="189">
        <f t="shared" si="8"/>
        <v>0</v>
      </c>
      <c r="AN84" s="189">
        <f t="shared" si="8"/>
        <v>0</v>
      </c>
      <c r="AO84" s="189">
        <f t="shared" si="8"/>
        <v>0</v>
      </c>
      <c r="AP84" s="189">
        <f t="shared" si="8"/>
        <v>0</v>
      </c>
      <c r="AQ84" s="189">
        <f t="shared" si="8"/>
        <v>0</v>
      </c>
    </row>
    <row r="85" spans="1:43" ht="13.5" customHeight="1" x14ac:dyDescent="0.2">
      <c r="A85" s="195" t="s">
        <v>310</v>
      </c>
      <c r="B85" s="196"/>
      <c r="C85" s="197" t="s">
        <v>193</v>
      </c>
      <c r="D85" s="198" t="s">
        <v>311</v>
      </c>
      <c r="E85" s="196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</row>
    <row r="86" spans="1:43" ht="13.5" customHeight="1" x14ac:dyDescent="0.2">
      <c r="A86" s="195" t="s">
        <v>312</v>
      </c>
      <c r="B86" s="196"/>
      <c r="C86" s="197" t="s">
        <v>193</v>
      </c>
      <c r="D86" s="198" t="s">
        <v>311</v>
      </c>
      <c r="E86" s="199">
        <v>-6000</v>
      </c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</row>
    <row r="87" spans="1:43" ht="13.5" customHeight="1" x14ac:dyDescent="0.2">
      <c r="A87" s="195" t="s">
        <v>313</v>
      </c>
      <c r="B87" s="196"/>
      <c r="C87" s="197" t="s">
        <v>193</v>
      </c>
      <c r="D87" s="198" t="s">
        <v>311</v>
      </c>
      <c r="E87" s="199">
        <v>24735.75</v>
      </c>
      <c r="F87" s="164"/>
      <c r="G87" s="164"/>
      <c r="H87" s="164"/>
      <c r="I87" s="164"/>
      <c r="J87" s="164"/>
      <c r="K87" s="164"/>
      <c r="L87" s="200">
        <v>24735.75</v>
      </c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</row>
    <row r="88" spans="1:43" ht="13.5" customHeight="1" x14ac:dyDescent="0.2">
      <c r="A88" s="195" t="s">
        <v>314</v>
      </c>
      <c r="B88" s="196"/>
      <c r="C88" s="197" t="s">
        <v>193</v>
      </c>
      <c r="D88" s="198" t="s">
        <v>311</v>
      </c>
      <c r="E88" s="199">
        <v>16490.5</v>
      </c>
      <c r="F88" s="164"/>
      <c r="G88" s="164"/>
      <c r="H88" s="164"/>
      <c r="I88" s="164"/>
      <c r="J88" s="164"/>
      <c r="K88" s="164"/>
      <c r="L88" s="200">
        <v>16490.5</v>
      </c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</row>
    <row r="89" spans="1:43" ht="15" customHeight="1" x14ac:dyDescent="0.2">
      <c r="A89" s="195" t="s">
        <v>315</v>
      </c>
      <c r="B89" s="196"/>
      <c r="C89" s="197" t="s">
        <v>193</v>
      </c>
      <c r="D89" s="198" t="s">
        <v>311</v>
      </c>
      <c r="E89" s="199">
        <v>-9534.2999999999993</v>
      </c>
      <c r="F89" s="164"/>
      <c r="G89" s="164"/>
      <c r="H89" s="164"/>
      <c r="I89" s="164"/>
      <c r="J89" s="164"/>
      <c r="K89" s="164"/>
      <c r="L89" s="164"/>
      <c r="M89" s="200">
        <v>-9534.2999999999993</v>
      </c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</row>
    <row r="90" spans="1:43" ht="15.75" customHeight="1" x14ac:dyDescent="0.2">
      <c r="A90" s="195" t="s">
        <v>316</v>
      </c>
      <c r="B90" s="196"/>
      <c r="C90" s="197" t="s">
        <v>193</v>
      </c>
      <c r="D90" s="198" t="s">
        <v>311</v>
      </c>
      <c r="E90" s="199">
        <v>10588.15</v>
      </c>
      <c r="F90" s="164"/>
      <c r="G90" s="164"/>
      <c r="H90" s="164"/>
      <c r="I90" s="164"/>
      <c r="J90" s="164"/>
      <c r="K90" s="164"/>
      <c r="L90" s="200">
        <v>10588.15</v>
      </c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</row>
    <row r="91" spans="1:43" ht="13.5" customHeight="1" x14ac:dyDescent="0.2">
      <c r="A91" s="195" t="s">
        <v>317</v>
      </c>
      <c r="B91" s="196"/>
      <c r="C91" s="197" t="s">
        <v>193</v>
      </c>
      <c r="D91" s="198" t="s">
        <v>318</v>
      </c>
      <c r="E91" s="199">
        <v>25137.65</v>
      </c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200">
        <v>25137.65</v>
      </c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</row>
    <row r="92" spans="1:43" ht="13.5" customHeight="1" x14ac:dyDescent="0.2">
      <c r="A92" s="195" t="s">
        <v>319</v>
      </c>
      <c r="B92" s="196"/>
      <c r="C92" s="197" t="s">
        <v>193</v>
      </c>
      <c r="D92" s="198" t="s">
        <v>318</v>
      </c>
      <c r="E92" s="199">
        <v>33181.949999999997</v>
      </c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200">
        <v>33181.949999999997</v>
      </c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</row>
    <row r="93" spans="1:43" ht="13.5" customHeight="1" x14ac:dyDescent="0.2">
      <c r="A93" s="195" t="s">
        <v>320</v>
      </c>
      <c r="B93" s="196"/>
      <c r="C93" s="197" t="s">
        <v>193</v>
      </c>
      <c r="D93" s="198" t="s">
        <v>318</v>
      </c>
      <c r="E93" s="199">
        <v>-1986.31</v>
      </c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200">
        <v>-1986.31</v>
      </c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</row>
    <row r="94" spans="1:43" ht="13.5" customHeight="1" x14ac:dyDescent="0.2">
      <c r="A94" s="195" t="s">
        <v>321</v>
      </c>
      <c r="B94" s="196"/>
      <c r="C94" s="197" t="s">
        <v>193</v>
      </c>
      <c r="D94" s="198" t="s">
        <v>318</v>
      </c>
      <c r="E94" s="199">
        <v>58068.41</v>
      </c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200">
        <v>58068.41</v>
      </c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</row>
    <row r="95" spans="1:43" ht="13.5" customHeight="1" x14ac:dyDescent="0.2">
      <c r="A95" s="195" t="s">
        <v>322</v>
      </c>
      <c r="B95" s="196"/>
      <c r="C95" s="197" t="s">
        <v>193</v>
      </c>
      <c r="D95" s="198" t="s">
        <v>318</v>
      </c>
      <c r="E95" s="199">
        <v>8295.49</v>
      </c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200">
        <v>8295.49</v>
      </c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</row>
    <row r="96" spans="1:43" ht="13.5" customHeight="1" x14ac:dyDescent="0.2">
      <c r="A96" s="195" t="s">
        <v>323</v>
      </c>
      <c r="B96" s="196"/>
      <c r="C96" s="197" t="s">
        <v>193</v>
      </c>
      <c r="D96" s="198" t="s">
        <v>311</v>
      </c>
      <c r="E96" s="199">
        <v>23288.75</v>
      </c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200">
        <v>23288.75</v>
      </c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</row>
    <row r="97" spans="1:43" ht="13.5" customHeight="1" x14ac:dyDescent="0.2">
      <c r="A97" s="192" t="s">
        <v>330</v>
      </c>
      <c r="B97" s="193" t="s">
        <v>309</v>
      </c>
      <c r="C97" s="194"/>
      <c r="D97" s="194"/>
      <c r="E97" s="194"/>
      <c r="F97" s="189">
        <f t="shared" ref="F97:AQ97" si="9">SUMIF($D$98:$D$109,"Franchise",F98:F109)</f>
        <v>0</v>
      </c>
      <c r="G97" s="189">
        <f t="shared" si="9"/>
        <v>0</v>
      </c>
      <c r="H97" s="189">
        <f t="shared" si="9"/>
        <v>0</v>
      </c>
      <c r="I97" s="189">
        <f t="shared" si="9"/>
        <v>0</v>
      </c>
      <c r="J97" s="189">
        <f t="shared" si="9"/>
        <v>0</v>
      </c>
      <c r="K97" s="189">
        <f t="shared" si="9"/>
        <v>0</v>
      </c>
      <c r="L97" s="189">
        <f t="shared" si="9"/>
        <v>0</v>
      </c>
      <c r="M97" s="189">
        <f t="shared" si="9"/>
        <v>42809.35</v>
      </c>
      <c r="N97" s="189">
        <f t="shared" si="9"/>
        <v>-7811.7</v>
      </c>
      <c r="O97" s="189">
        <f t="shared" si="9"/>
        <v>0</v>
      </c>
      <c r="P97" s="189">
        <f t="shared" si="9"/>
        <v>0</v>
      </c>
      <c r="Q97" s="189">
        <f t="shared" si="9"/>
        <v>0</v>
      </c>
      <c r="R97" s="189">
        <f t="shared" si="9"/>
        <v>0</v>
      </c>
      <c r="S97" s="189">
        <f t="shared" si="9"/>
        <v>0</v>
      </c>
      <c r="T97" s="189">
        <f t="shared" si="9"/>
        <v>13723.74</v>
      </c>
      <c r="U97" s="189">
        <f t="shared" si="9"/>
        <v>0</v>
      </c>
      <c r="V97" s="189">
        <f t="shared" si="9"/>
        <v>0</v>
      </c>
      <c r="W97" s="189">
        <f t="shared" si="9"/>
        <v>0</v>
      </c>
      <c r="X97" s="189">
        <f t="shared" si="9"/>
        <v>0</v>
      </c>
      <c r="Y97" s="189">
        <f t="shared" si="9"/>
        <v>0</v>
      </c>
      <c r="Z97" s="189">
        <f t="shared" si="9"/>
        <v>0</v>
      </c>
      <c r="AA97" s="189">
        <f t="shared" si="9"/>
        <v>0</v>
      </c>
      <c r="AB97" s="189">
        <f t="shared" si="9"/>
        <v>0</v>
      </c>
      <c r="AC97" s="189">
        <f t="shared" si="9"/>
        <v>0</v>
      </c>
      <c r="AD97" s="189">
        <f t="shared" si="9"/>
        <v>0</v>
      </c>
      <c r="AE97" s="189">
        <f t="shared" si="9"/>
        <v>0</v>
      </c>
      <c r="AF97" s="189">
        <f t="shared" si="9"/>
        <v>0</v>
      </c>
      <c r="AG97" s="189">
        <f t="shared" si="9"/>
        <v>0</v>
      </c>
      <c r="AH97" s="189">
        <f t="shared" si="9"/>
        <v>0</v>
      </c>
      <c r="AI97" s="189">
        <f t="shared" si="9"/>
        <v>0</v>
      </c>
      <c r="AJ97" s="189">
        <f t="shared" si="9"/>
        <v>0</v>
      </c>
      <c r="AK97" s="189">
        <f t="shared" si="9"/>
        <v>0</v>
      </c>
      <c r="AL97" s="189">
        <f t="shared" si="9"/>
        <v>0</v>
      </c>
      <c r="AM97" s="189">
        <f t="shared" si="9"/>
        <v>0</v>
      </c>
      <c r="AN97" s="189">
        <f t="shared" si="9"/>
        <v>0</v>
      </c>
      <c r="AO97" s="189">
        <f t="shared" si="9"/>
        <v>0</v>
      </c>
      <c r="AP97" s="189">
        <f t="shared" si="9"/>
        <v>0</v>
      </c>
      <c r="AQ97" s="189">
        <f t="shared" si="9"/>
        <v>0</v>
      </c>
    </row>
    <row r="98" spans="1:43" ht="13.5" customHeight="1" x14ac:dyDescent="0.2">
      <c r="A98" s="195" t="s">
        <v>310</v>
      </c>
      <c r="B98" s="196"/>
      <c r="C98" s="197" t="s">
        <v>193</v>
      </c>
      <c r="D98" s="198" t="s">
        <v>311</v>
      </c>
      <c r="E98" s="196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</row>
    <row r="99" spans="1:43" ht="13.5" customHeight="1" x14ac:dyDescent="0.2">
      <c r="A99" s="195" t="s">
        <v>312</v>
      </c>
      <c r="B99" s="196"/>
      <c r="C99" s="197" t="s">
        <v>193</v>
      </c>
      <c r="D99" s="198" t="s">
        <v>311</v>
      </c>
      <c r="E99" s="199">
        <v>-6000</v>
      </c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</row>
    <row r="100" spans="1:43" ht="13.5" customHeight="1" x14ac:dyDescent="0.2">
      <c r="A100" s="195" t="s">
        <v>313</v>
      </c>
      <c r="B100" s="196"/>
      <c r="C100" s="197" t="s">
        <v>193</v>
      </c>
      <c r="D100" s="198" t="s">
        <v>311</v>
      </c>
      <c r="E100" s="199">
        <v>20429.25</v>
      </c>
      <c r="F100" s="164"/>
      <c r="G100" s="164"/>
      <c r="H100" s="164"/>
      <c r="I100" s="164"/>
      <c r="J100" s="164"/>
      <c r="K100" s="164"/>
      <c r="L100" s="164"/>
      <c r="M100" s="200">
        <v>20429.25</v>
      </c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</row>
    <row r="101" spans="1:43" ht="13.5" customHeight="1" x14ac:dyDescent="0.2">
      <c r="A101" s="195" t="s">
        <v>314</v>
      </c>
      <c r="B101" s="196"/>
      <c r="C101" s="197" t="s">
        <v>193</v>
      </c>
      <c r="D101" s="198" t="s">
        <v>311</v>
      </c>
      <c r="E101" s="199">
        <v>13619.5</v>
      </c>
      <c r="F101" s="164"/>
      <c r="G101" s="164"/>
      <c r="H101" s="164"/>
      <c r="I101" s="164"/>
      <c r="J101" s="164"/>
      <c r="K101" s="164"/>
      <c r="L101" s="164"/>
      <c r="M101" s="200">
        <v>13619.5</v>
      </c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</row>
    <row r="102" spans="1:43" ht="13.5" customHeight="1" x14ac:dyDescent="0.2">
      <c r="A102" s="195" t="s">
        <v>315</v>
      </c>
      <c r="B102" s="196"/>
      <c r="C102" s="197" t="s">
        <v>193</v>
      </c>
      <c r="D102" s="198" t="s">
        <v>311</v>
      </c>
      <c r="E102" s="199">
        <v>-7811.7</v>
      </c>
      <c r="F102" s="164"/>
      <c r="G102" s="164"/>
      <c r="H102" s="164"/>
      <c r="I102" s="164"/>
      <c r="J102" s="164"/>
      <c r="K102" s="164"/>
      <c r="L102" s="164"/>
      <c r="M102" s="164"/>
      <c r="N102" s="200">
        <v>-7811.7</v>
      </c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</row>
    <row r="103" spans="1:43" ht="15" customHeight="1" x14ac:dyDescent="0.2">
      <c r="A103" s="195" t="s">
        <v>316</v>
      </c>
      <c r="B103" s="196"/>
      <c r="C103" s="197" t="s">
        <v>193</v>
      </c>
      <c r="D103" s="198" t="s">
        <v>311</v>
      </c>
      <c r="E103" s="199">
        <v>8760.6</v>
      </c>
      <c r="F103" s="164"/>
      <c r="G103" s="164"/>
      <c r="H103" s="164"/>
      <c r="I103" s="164"/>
      <c r="J103" s="164"/>
      <c r="K103" s="164"/>
      <c r="L103" s="164"/>
      <c r="M103" s="200">
        <v>8760.6</v>
      </c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</row>
    <row r="104" spans="1:43" ht="15.75" customHeight="1" x14ac:dyDescent="0.2">
      <c r="A104" s="195" t="s">
        <v>317</v>
      </c>
      <c r="B104" s="196"/>
      <c r="C104" s="197" t="s">
        <v>193</v>
      </c>
      <c r="D104" s="198" t="s">
        <v>318</v>
      </c>
      <c r="E104" s="199">
        <v>20969.04</v>
      </c>
      <c r="F104" s="164"/>
      <c r="G104" s="164"/>
      <c r="H104" s="164"/>
      <c r="I104" s="164"/>
      <c r="J104" s="164"/>
      <c r="K104" s="164"/>
      <c r="L104" s="164"/>
      <c r="M104" s="164"/>
      <c r="N104" s="200">
        <v>20969.04</v>
      </c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</row>
    <row r="105" spans="1:43" ht="13.5" customHeight="1" x14ac:dyDescent="0.2">
      <c r="A105" s="195" t="s">
        <v>319</v>
      </c>
      <c r="B105" s="196"/>
      <c r="C105" s="197" t="s">
        <v>193</v>
      </c>
      <c r="D105" s="198" t="s">
        <v>318</v>
      </c>
      <c r="E105" s="199">
        <v>27508.9</v>
      </c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200">
        <v>27508.9</v>
      </c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</row>
    <row r="106" spans="1:43" ht="13.5" customHeight="1" x14ac:dyDescent="0.2">
      <c r="A106" s="195" t="s">
        <v>320</v>
      </c>
      <c r="B106" s="196"/>
      <c r="C106" s="197" t="s">
        <v>193</v>
      </c>
      <c r="D106" s="198" t="s">
        <v>318</v>
      </c>
      <c r="E106" s="199">
        <v>-1627.44</v>
      </c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200">
        <v>-1627.44</v>
      </c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</row>
    <row r="107" spans="1:43" ht="13.5" customHeight="1" x14ac:dyDescent="0.2">
      <c r="A107" s="195" t="s">
        <v>321</v>
      </c>
      <c r="B107" s="196"/>
      <c r="C107" s="197" t="s">
        <v>193</v>
      </c>
      <c r="D107" s="198" t="s">
        <v>318</v>
      </c>
      <c r="E107" s="199">
        <v>48140.57</v>
      </c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200">
        <v>48140.57</v>
      </c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</row>
    <row r="108" spans="1:43" ht="13.5" customHeight="1" x14ac:dyDescent="0.2">
      <c r="A108" s="195" t="s">
        <v>322</v>
      </c>
      <c r="B108" s="196"/>
      <c r="C108" s="197" t="s">
        <v>193</v>
      </c>
      <c r="D108" s="198" t="s">
        <v>318</v>
      </c>
      <c r="E108" s="199">
        <v>6877.22</v>
      </c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200">
        <v>6877.22</v>
      </c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</row>
    <row r="109" spans="1:43" ht="13.5" customHeight="1" x14ac:dyDescent="0.2">
      <c r="A109" s="195" t="s">
        <v>323</v>
      </c>
      <c r="B109" s="196"/>
      <c r="C109" s="197" t="s">
        <v>193</v>
      </c>
      <c r="D109" s="198" t="s">
        <v>311</v>
      </c>
      <c r="E109" s="199">
        <v>13723.74</v>
      </c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200">
        <v>13723.74</v>
      </c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</row>
    <row r="110" spans="1:43" ht="13.5" customHeight="1" x14ac:dyDescent="0.2">
      <c r="A110" s="192" t="s">
        <v>331</v>
      </c>
      <c r="B110" s="193" t="s">
        <v>309</v>
      </c>
      <c r="C110" s="194"/>
      <c r="D110" s="194"/>
      <c r="E110" s="194"/>
      <c r="F110" s="189">
        <f t="shared" ref="F110:AQ110" si="10">SUMIF($D$111:$D$122,"Franchise",F111:F122)</f>
        <v>0</v>
      </c>
      <c r="G110" s="189">
        <f t="shared" si="10"/>
        <v>0</v>
      </c>
      <c r="H110" s="189">
        <f t="shared" si="10"/>
        <v>0</v>
      </c>
      <c r="I110" s="189">
        <f t="shared" si="10"/>
        <v>0</v>
      </c>
      <c r="J110" s="189">
        <f t="shared" si="10"/>
        <v>0</v>
      </c>
      <c r="K110" s="189">
        <f t="shared" si="10"/>
        <v>0</v>
      </c>
      <c r="L110" s="189">
        <f t="shared" si="10"/>
        <v>0</v>
      </c>
      <c r="M110" s="189">
        <f t="shared" si="10"/>
        <v>0</v>
      </c>
      <c r="N110" s="189">
        <f t="shared" si="10"/>
        <v>0</v>
      </c>
      <c r="O110" s="189">
        <f t="shared" si="10"/>
        <v>53348.2</v>
      </c>
      <c r="P110" s="189">
        <f t="shared" si="10"/>
        <v>-9825.2999999999993</v>
      </c>
      <c r="Q110" s="189">
        <f t="shared" si="10"/>
        <v>0</v>
      </c>
      <c r="R110" s="189">
        <f t="shared" si="10"/>
        <v>0</v>
      </c>
      <c r="S110" s="189">
        <f t="shared" si="10"/>
        <v>0</v>
      </c>
      <c r="T110" s="189">
        <f t="shared" si="10"/>
        <v>0</v>
      </c>
      <c r="U110" s="189">
        <f t="shared" si="10"/>
        <v>0</v>
      </c>
      <c r="V110" s="189">
        <f t="shared" si="10"/>
        <v>19392.8</v>
      </c>
      <c r="W110" s="189">
        <f t="shared" si="10"/>
        <v>0</v>
      </c>
      <c r="X110" s="189">
        <f t="shared" si="10"/>
        <v>0</v>
      </c>
      <c r="Y110" s="189">
        <f t="shared" si="10"/>
        <v>0</v>
      </c>
      <c r="Z110" s="189">
        <f t="shared" si="10"/>
        <v>0</v>
      </c>
      <c r="AA110" s="189">
        <f t="shared" si="10"/>
        <v>0</v>
      </c>
      <c r="AB110" s="189">
        <f t="shared" si="10"/>
        <v>0</v>
      </c>
      <c r="AC110" s="189">
        <f t="shared" si="10"/>
        <v>0</v>
      </c>
      <c r="AD110" s="189">
        <f t="shared" si="10"/>
        <v>0</v>
      </c>
      <c r="AE110" s="189">
        <f t="shared" si="10"/>
        <v>0</v>
      </c>
      <c r="AF110" s="189">
        <f t="shared" si="10"/>
        <v>0</v>
      </c>
      <c r="AG110" s="189">
        <f t="shared" si="10"/>
        <v>0</v>
      </c>
      <c r="AH110" s="189">
        <f t="shared" si="10"/>
        <v>0</v>
      </c>
      <c r="AI110" s="189">
        <f t="shared" si="10"/>
        <v>0</v>
      </c>
      <c r="AJ110" s="189">
        <f t="shared" si="10"/>
        <v>0</v>
      </c>
      <c r="AK110" s="189">
        <f t="shared" si="10"/>
        <v>0</v>
      </c>
      <c r="AL110" s="189">
        <f t="shared" si="10"/>
        <v>0</v>
      </c>
      <c r="AM110" s="189">
        <f t="shared" si="10"/>
        <v>0</v>
      </c>
      <c r="AN110" s="189">
        <f t="shared" si="10"/>
        <v>0</v>
      </c>
      <c r="AO110" s="189">
        <f t="shared" si="10"/>
        <v>0</v>
      </c>
      <c r="AP110" s="189">
        <f t="shared" si="10"/>
        <v>0</v>
      </c>
      <c r="AQ110" s="189">
        <f t="shared" si="10"/>
        <v>0</v>
      </c>
    </row>
    <row r="111" spans="1:43" ht="13.5" customHeight="1" x14ac:dyDescent="0.2">
      <c r="A111" s="195" t="s">
        <v>310</v>
      </c>
      <c r="B111" s="196"/>
      <c r="C111" s="197" t="s">
        <v>193</v>
      </c>
      <c r="D111" s="198" t="s">
        <v>311</v>
      </c>
      <c r="E111" s="196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</row>
    <row r="112" spans="1:43" ht="13.5" customHeight="1" x14ac:dyDescent="0.2">
      <c r="A112" s="195" t="s">
        <v>312</v>
      </c>
      <c r="B112" s="196"/>
      <c r="C112" s="197" t="s">
        <v>193</v>
      </c>
      <c r="D112" s="198" t="s">
        <v>311</v>
      </c>
      <c r="E112" s="199">
        <v>-6000</v>
      </c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</row>
    <row r="113" spans="1:43" ht="13.5" customHeight="1" x14ac:dyDescent="0.2">
      <c r="A113" s="195" t="s">
        <v>313</v>
      </c>
      <c r="B113" s="196"/>
      <c r="C113" s="197" t="s">
        <v>193</v>
      </c>
      <c r="D113" s="198" t="s">
        <v>311</v>
      </c>
      <c r="E113" s="199">
        <v>25463.25</v>
      </c>
      <c r="F113" s="164"/>
      <c r="G113" s="164"/>
      <c r="H113" s="164"/>
      <c r="I113" s="164"/>
      <c r="J113" s="164"/>
      <c r="K113" s="164"/>
      <c r="L113" s="164"/>
      <c r="M113" s="164"/>
      <c r="N113" s="164"/>
      <c r="O113" s="200">
        <v>25463.25</v>
      </c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</row>
    <row r="114" spans="1:43" ht="13.5" customHeight="1" x14ac:dyDescent="0.2">
      <c r="A114" s="195" t="s">
        <v>314</v>
      </c>
      <c r="B114" s="196"/>
      <c r="C114" s="197" t="s">
        <v>193</v>
      </c>
      <c r="D114" s="198" t="s">
        <v>311</v>
      </c>
      <c r="E114" s="199">
        <v>16975.5</v>
      </c>
      <c r="F114" s="164"/>
      <c r="G114" s="164"/>
      <c r="H114" s="164"/>
      <c r="I114" s="164"/>
      <c r="J114" s="164"/>
      <c r="K114" s="164"/>
      <c r="L114" s="164"/>
      <c r="M114" s="164"/>
      <c r="N114" s="164"/>
      <c r="O114" s="200">
        <v>16975.5</v>
      </c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</row>
    <row r="115" spans="1:43" ht="13.5" customHeight="1" x14ac:dyDescent="0.2">
      <c r="A115" s="195" t="s">
        <v>315</v>
      </c>
      <c r="B115" s="196"/>
      <c r="C115" s="197" t="s">
        <v>193</v>
      </c>
      <c r="D115" s="198" t="s">
        <v>311</v>
      </c>
      <c r="E115" s="199">
        <v>-9825.2999999999993</v>
      </c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200">
        <v>-9825.2999999999993</v>
      </c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</row>
    <row r="116" spans="1:43" ht="13.5" customHeight="1" x14ac:dyDescent="0.2">
      <c r="A116" s="195" t="s">
        <v>316</v>
      </c>
      <c r="B116" s="196"/>
      <c r="C116" s="197" t="s">
        <v>193</v>
      </c>
      <c r="D116" s="198" t="s">
        <v>311</v>
      </c>
      <c r="E116" s="199">
        <v>10909.45</v>
      </c>
      <c r="F116" s="164"/>
      <c r="G116" s="164"/>
      <c r="H116" s="164"/>
      <c r="I116" s="164"/>
      <c r="J116" s="164"/>
      <c r="K116" s="164"/>
      <c r="L116" s="164"/>
      <c r="M116" s="164"/>
      <c r="N116" s="164"/>
      <c r="O116" s="200">
        <v>10909.45</v>
      </c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</row>
    <row r="117" spans="1:43" ht="15" customHeight="1" x14ac:dyDescent="0.2">
      <c r="A117" s="195" t="s">
        <v>317</v>
      </c>
      <c r="B117" s="196"/>
      <c r="C117" s="197" t="s">
        <v>193</v>
      </c>
      <c r="D117" s="198" t="s">
        <v>318</v>
      </c>
      <c r="E117" s="199">
        <v>26081.95</v>
      </c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200">
        <v>26081.95</v>
      </c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</row>
    <row r="118" spans="1:43" ht="15.75" customHeight="1" x14ac:dyDescent="0.2">
      <c r="A118" s="195" t="s">
        <v>319</v>
      </c>
      <c r="B118" s="196"/>
      <c r="C118" s="197" t="s">
        <v>193</v>
      </c>
      <c r="D118" s="198" t="s">
        <v>318</v>
      </c>
      <c r="E118" s="199">
        <v>34260.35</v>
      </c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200">
        <v>34260.35</v>
      </c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</row>
    <row r="119" spans="1:43" ht="13.5" customHeight="1" x14ac:dyDescent="0.2">
      <c r="A119" s="195" t="s">
        <v>320</v>
      </c>
      <c r="B119" s="196"/>
      <c r="C119" s="197" t="s">
        <v>193</v>
      </c>
      <c r="D119" s="198" t="s">
        <v>318</v>
      </c>
      <c r="E119" s="199">
        <v>-2046.94</v>
      </c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200">
        <v>-2046.94</v>
      </c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</row>
    <row r="120" spans="1:43" ht="13.5" customHeight="1" x14ac:dyDescent="0.2">
      <c r="A120" s="195" t="s">
        <v>321</v>
      </c>
      <c r="B120" s="196"/>
      <c r="C120" s="197" t="s">
        <v>193</v>
      </c>
      <c r="D120" s="198" t="s">
        <v>318</v>
      </c>
      <c r="E120" s="199">
        <v>59955.61</v>
      </c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200">
        <v>59955.61</v>
      </c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</row>
    <row r="121" spans="1:43" ht="13.5" customHeight="1" x14ac:dyDescent="0.2">
      <c r="A121" s="195" t="s">
        <v>322</v>
      </c>
      <c r="B121" s="196"/>
      <c r="C121" s="197" t="s">
        <v>193</v>
      </c>
      <c r="D121" s="198" t="s">
        <v>318</v>
      </c>
      <c r="E121" s="199">
        <v>8565.09</v>
      </c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200">
        <v>8565.09</v>
      </c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</row>
    <row r="122" spans="1:43" ht="13.5" customHeight="1" x14ac:dyDescent="0.2">
      <c r="A122" s="195" t="s">
        <v>323</v>
      </c>
      <c r="B122" s="196"/>
      <c r="C122" s="197" t="s">
        <v>193</v>
      </c>
      <c r="D122" s="198" t="s">
        <v>311</v>
      </c>
      <c r="E122" s="199">
        <v>19392.8</v>
      </c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200">
        <v>19392.8</v>
      </c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</row>
    <row r="123" spans="1:43" ht="13.5" customHeight="1" x14ac:dyDescent="0.2">
      <c r="A123" s="192" t="s">
        <v>332</v>
      </c>
      <c r="B123" s="193" t="s">
        <v>309</v>
      </c>
      <c r="C123" s="194"/>
      <c r="D123" s="194"/>
      <c r="E123" s="194"/>
      <c r="F123" s="189">
        <f t="shared" ref="F123:AQ123" si="11">SUMIF($D$124:$D$135,"Franchise",F124:F135)</f>
        <v>0</v>
      </c>
      <c r="G123" s="189">
        <f t="shared" si="11"/>
        <v>0</v>
      </c>
      <c r="H123" s="189">
        <f t="shared" si="11"/>
        <v>0</v>
      </c>
      <c r="I123" s="189">
        <f t="shared" si="11"/>
        <v>0</v>
      </c>
      <c r="J123" s="189">
        <f t="shared" si="11"/>
        <v>0</v>
      </c>
      <c r="K123" s="189">
        <f t="shared" si="11"/>
        <v>0</v>
      </c>
      <c r="L123" s="189">
        <f t="shared" si="11"/>
        <v>0</v>
      </c>
      <c r="M123" s="189">
        <f t="shared" si="11"/>
        <v>0</v>
      </c>
      <c r="N123" s="189">
        <f t="shared" si="11"/>
        <v>0</v>
      </c>
      <c r="O123" s="189">
        <f t="shared" si="11"/>
        <v>43627.71</v>
      </c>
      <c r="P123" s="189">
        <f t="shared" si="11"/>
        <v>0</v>
      </c>
      <c r="Q123" s="189">
        <f t="shared" si="11"/>
        <v>0</v>
      </c>
      <c r="R123" s="189">
        <f t="shared" si="11"/>
        <v>0</v>
      </c>
      <c r="S123" s="189">
        <f t="shared" si="11"/>
        <v>0</v>
      </c>
      <c r="T123" s="189">
        <f t="shared" si="11"/>
        <v>0</v>
      </c>
      <c r="U123" s="189">
        <f t="shared" si="11"/>
        <v>0</v>
      </c>
      <c r="V123" s="189">
        <f t="shared" si="11"/>
        <v>28608.94</v>
      </c>
      <c r="W123" s="189">
        <f t="shared" si="11"/>
        <v>0</v>
      </c>
      <c r="X123" s="189">
        <f t="shared" si="11"/>
        <v>0</v>
      </c>
      <c r="Y123" s="189">
        <f t="shared" si="11"/>
        <v>0</v>
      </c>
      <c r="Z123" s="189">
        <f t="shared" si="11"/>
        <v>0</v>
      </c>
      <c r="AA123" s="189">
        <f t="shared" si="11"/>
        <v>0</v>
      </c>
      <c r="AB123" s="189">
        <f t="shared" si="11"/>
        <v>0</v>
      </c>
      <c r="AC123" s="189">
        <f t="shared" si="11"/>
        <v>0</v>
      </c>
      <c r="AD123" s="189">
        <f t="shared" si="11"/>
        <v>0</v>
      </c>
      <c r="AE123" s="189">
        <f t="shared" si="11"/>
        <v>0</v>
      </c>
      <c r="AF123" s="189">
        <f t="shared" si="11"/>
        <v>0</v>
      </c>
      <c r="AG123" s="189">
        <f t="shared" si="11"/>
        <v>0</v>
      </c>
      <c r="AH123" s="189">
        <f t="shared" si="11"/>
        <v>0</v>
      </c>
      <c r="AI123" s="189">
        <f t="shared" si="11"/>
        <v>0</v>
      </c>
      <c r="AJ123" s="189">
        <f t="shared" si="11"/>
        <v>0</v>
      </c>
      <c r="AK123" s="189">
        <f t="shared" si="11"/>
        <v>0</v>
      </c>
      <c r="AL123" s="189">
        <f t="shared" si="11"/>
        <v>0</v>
      </c>
      <c r="AM123" s="189">
        <f t="shared" si="11"/>
        <v>0</v>
      </c>
      <c r="AN123" s="189">
        <f t="shared" si="11"/>
        <v>0</v>
      </c>
      <c r="AO123" s="189">
        <f t="shared" si="11"/>
        <v>0</v>
      </c>
      <c r="AP123" s="189">
        <f t="shared" si="11"/>
        <v>0</v>
      </c>
      <c r="AQ123" s="189">
        <f t="shared" si="11"/>
        <v>0</v>
      </c>
    </row>
    <row r="124" spans="1:43" ht="13.5" customHeight="1" x14ac:dyDescent="0.2">
      <c r="A124" s="195" t="s">
        <v>310</v>
      </c>
      <c r="B124" s="196"/>
      <c r="C124" s="197" t="s">
        <v>193</v>
      </c>
      <c r="D124" s="198" t="s">
        <v>311</v>
      </c>
      <c r="E124" s="196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</row>
    <row r="125" spans="1:43" ht="13.5" customHeight="1" x14ac:dyDescent="0.2">
      <c r="A125" s="195" t="s">
        <v>312</v>
      </c>
      <c r="B125" s="196"/>
      <c r="C125" s="197" t="s">
        <v>193</v>
      </c>
      <c r="D125" s="198" t="s">
        <v>311</v>
      </c>
      <c r="E125" s="199">
        <v>-6000</v>
      </c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</row>
    <row r="126" spans="1:43" ht="13.5" customHeight="1" x14ac:dyDescent="0.2">
      <c r="A126" s="195" t="s">
        <v>313</v>
      </c>
      <c r="B126" s="196"/>
      <c r="C126" s="197" t="s">
        <v>193</v>
      </c>
      <c r="D126" s="198" t="s">
        <v>311</v>
      </c>
      <c r="E126" s="199">
        <v>25526.1</v>
      </c>
      <c r="F126" s="164"/>
      <c r="G126" s="164"/>
      <c r="H126" s="164"/>
      <c r="I126" s="164"/>
      <c r="J126" s="164"/>
      <c r="K126" s="164"/>
      <c r="L126" s="164"/>
      <c r="M126" s="164"/>
      <c r="N126" s="164"/>
      <c r="O126" s="200">
        <v>25526.1</v>
      </c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</row>
    <row r="127" spans="1:43" ht="13.5" customHeight="1" x14ac:dyDescent="0.2">
      <c r="A127" s="195" t="s">
        <v>314</v>
      </c>
      <c r="B127" s="196"/>
      <c r="C127" s="197" t="s">
        <v>193</v>
      </c>
      <c r="D127" s="198" t="s">
        <v>311</v>
      </c>
      <c r="E127" s="199">
        <v>17017.400000000001</v>
      </c>
      <c r="F127" s="164"/>
      <c r="G127" s="164"/>
      <c r="H127" s="164"/>
      <c r="I127" s="164"/>
      <c r="J127" s="164"/>
      <c r="K127" s="164"/>
      <c r="L127" s="164"/>
      <c r="M127" s="164"/>
      <c r="N127" s="164"/>
      <c r="O127" s="200">
        <v>17017.400000000001</v>
      </c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</row>
    <row r="128" spans="1:43" ht="13.5" customHeight="1" x14ac:dyDescent="0.2">
      <c r="A128" s="195" t="s">
        <v>315</v>
      </c>
      <c r="B128" s="196"/>
      <c r="C128" s="197" t="s">
        <v>193</v>
      </c>
      <c r="D128" s="198" t="s">
        <v>311</v>
      </c>
      <c r="E128" s="199">
        <v>-9850.44</v>
      </c>
      <c r="F128" s="164"/>
      <c r="G128" s="164"/>
      <c r="H128" s="164"/>
      <c r="I128" s="164"/>
      <c r="J128" s="164"/>
      <c r="K128" s="164"/>
      <c r="L128" s="164"/>
      <c r="M128" s="164"/>
      <c r="N128" s="164"/>
      <c r="O128" s="200">
        <v>-9850.44</v>
      </c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</row>
    <row r="129" spans="1:43" ht="13.5" customHeight="1" x14ac:dyDescent="0.2">
      <c r="A129" s="195" t="s">
        <v>316</v>
      </c>
      <c r="B129" s="196"/>
      <c r="C129" s="197" t="s">
        <v>193</v>
      </c>
      <c r="D129" s="198" t="s">
        <v>311</v>
      </c>
      <c r="E129" s="199">
        <v>10934.65</v>
      </c>
      <c r="F129" s="164"/>
      <c r="G129" s="164"/>
      <c r="H129" s="164"/>
      <c r="I129" s="164"/>
      <c r="J129" s="164"/>
      <c r="K129" s="164"/>
      <c r="L129" s="164"/>
      <c r="M129" s="164"/>
      <c r="N129" s="164"/>
      <c r="O129" s="200">
        <v>10934.65</v>
      </c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</row>
    <row r="130" spans="1:43" ht="13.5" customHeight="1" x14ac:dyDescent="0.2">
      <c r="A130" s="195" t="s">
        <v>317</v>
      </c>
      <c r="B130" s="196"/>
      <c r="C130" s="197" t="s">
        <v>193</v>
      </c>
      <c r="D130" s="198" t="s">
        <v>318</v>
      </c>
      <c r="E130" s="199">
        <v>26408.1</v>
      </c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200">
        <v>26408.1</v>
      </c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</row>
    <row r="131" spans="1:43" ht="15" customHeight="1" x14ac:dyDescent="0.2">
      <c r="A131" s="195" t="s">
        <v>319</v>
      </c>
      <c r="B131" s="196"/>
      <c r="C131" s="197" t="s">
        <v>193</v>
      </c>
      <c r="D131" s="198" t="s">
        <v>318</v>
      </c>
      <c r="E131" s="199">
        <v>34475.800000000003</v>
      </c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200">
        <v>34475.800000000003</v>
      </c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</row>
    <row r="132" spans="1:43" ht="15.75" customHeight="1" x14ac:dyDescent="0.2">
      <c r="A132" s="195" t="s">
        <v>320</v>
      </c>
      <c r="B132" s="196"/>
      <c r="C132" s="197" t="s">
        <v>193</v>
      </c>
      <c r="D132" s="198" t="s">
        <v>318</v>
      </c>
      <c r="E132" s="199">
        <v>-4104.3500000000004</v>
      </c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200">
        <v>-4104.3500000000004</v>
      </c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</row>
    <row r="133" spans="1:43" ht="13.5" customHeight="1" x14ac:dyDescent="0.2">
      <c r="A133" s="195" t="s">
        <v>321</v>
      </c>
      <c r="B133" s="196"/>
      <c r="C133" s="197" t="s">
        <v>193</v>
      </c>
      <c r="D133" s="198" t="s">
        <v>318</v>
      </c>
      <c r="E133" s="199">
        <v>60332.65</v>
      </c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200">
        <v>60332.65</v>
      </c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</row>
    <row r="134" spans="1:43" ht="13.5" customHeight="1" x14ac:dyDescent="0.2">
      <c r="A134" s="195" t="s">
        <v>322</v>
      </c>
      <c r="B134" s="196"/>
      <c r="C134" s="197" t="s">
        <v>193</v>
      </c>
      <c r="D134" s="198" t="s">
        <v>318</v>
      </c>
      <c r="E134" s="199">
        <v>8618.9500000000007</v>
      </c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200">
        <v>8618.9500000000007</v>
      </c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</row>
    <row r="135" spans="1:43" ht="13.5" customHeight="1" x14ac:dyDescent="0.2">
      <c r="A135" s="195" t="s">
        <v>323</v>
      </c>
      <c r="B135" s="196"/>
      <c r="C135" s="197" t="s">
        <v>193</v>
      </c>
      <c r="D135" s="198" t="s">
        <v>311</v>
      </c>
      <c r="E135" s="199">
        <v>28608.94</v>
      </c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200">
        <v>28608.94</v>
      </c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</row>
    <row r="136" spans="1:43" ht="13.5" customHeight="1" x14ac:dyDescent="0.2">
      <c r="A136" s="192" t="s">
        <v>333</v>
      </c>
      <c r="B136" s="192" t="s">
        <v>334</v>
      </c>
      <c r="C136" s="194"/>
      <c r="D136" s="194"/>
      <c r="E136" s="194"/>
      <c r="F136" s="189">
        <f t="shared" ref="F136:AQ136" si="12">SUMIF($D$137:$D$148,"Franchise",F137:F148)</f>
        <v>0</v>
      </c>
      <c r="G136" s="189">
        <f t="shared" si="12"/>
        <v>0</v>
      </c>
      <c r="H136" s="189">
        <f t="shared" si="12"/>
        <v>0</v>
      </c>
      <c r="I136" s="189">
        <f t="shared" si="12"/>
        <v>0</v>
      </c>
      <c r="J136" s="189">
        <f t="shared" si="12"/>
        <v>0</v>
      </c>
      <c r="K136" s="189">
        <f t="shared" si="12"/>
        <v>0</v>
      </c>
      <c r="L136" s="189">
        <f t="shared" si="12"/>
        <v>0</v>
      </c>
      <c r="M136" s="189">
        <f t="shared" si="12"/>
        <v>0</v>
      </c>
      <c r="N136" s="189">
        <f t="shared" si="12"/>
        <v>0</v>
      </c>
      <c r="O136" s="189">
        <f t="shared" si="12"/>
        <v>0</v>
      </c>
      <c r="P136" s="189">
        <f t="shared" si="12"/>
        <v>0</v>
      </c>
      <c r="Q136" s="189">
        <f t="shared" si="12"/>
        <v>43939.1</v>
      </c>
      <c r="R136" s="189">
        <f t="shared" si="12"/>
        <v>0</v>
      </c>
      <c r="S136" s="189">
        <f t="shared" si="12"/>
        <v>0</v>
      </c>
      <c r="T136" s="189">
        <f t="shared" si="12"/>
        <v>0</v>
      </c>
      <c r="U136" s="189">
        <f t="shared" si="12"/>
        <v>0</v>
      </c>
      <c r="V136" s="189">
        <f t="shared" si="12"/>
        <v>0</v>
      </c>
      <c r="W136" s="189">
        <f t="shared" si="12"/>
        <v>0</v>
      </c>
      <c r="X136" s="189">
        <f t="shared" si="12"/>
        <v>9570.39</v>
      </c>
      <c r="Y136" s="189">
        <f t="shared" si="12"/>
        <v>0</v>
      </c>
      <c r="Z136" s="189">
        <f t="shared" si="12"/>
        <v>0</v>
      </c>
      <c r="AA136" s="189">
        <f t="shared" si="12"/>
        <v>0</v>
      </c>
      <c r="AB136" s="189">
        <f t="shared" si="12"/>
        <v>0</v>
      </c>
      <c r="AC136" s="189">
        <f t="shared" si="12"/>
        <v>0</v>
      </c>
      <c r="AD136" s="189">
        <f t="shared" si="12"/>
        <v>0</v>
      </c>
      <c r="AE136" s="189">
        <f t="shared" si="12"/>
        <v>0</v>
      </c>
      <c r="AF136" s="189">
        <f t="shared" si="12"/>
        <v>0</v>
      </c>
      <c r="AG136" s="189">
        <f t="shared" si="12"/>
        <v>0</v>
      </c>
      <c r="AH136" s="189">
        <f t="shared" si="12"/>
        <v>0</v>
      </c>
      <c r="AI136" s="189">
        <f t="shared" si="12"/>
        <v>0</v>
      </c>
      <c r="AJ136" s="189">
        <f t="shared" si="12"/>
        <v>0</v>
      </c>
      <c r="AK136" s="189">
        <f t="shared" si="12"/>
        <v>0</v>
      </c>
      <c r="AL136" s="189">
        <f t="shared" si="12"/>
        <v>0</v>
      </c>
      <c r="AM136" s="189">
        <f t="shared" si="12"/>
        <v>0</v>
      </c>
      <c r="AN136" s="189">
        <f t="shared" si="12"/>
        <v>0</v>
      </c>
      <c r="AO136" s="189">
        <f t="shared" si="12"/>
        <v>0</v>
      </c>
      <c r="AP136" s="189">
        <f t="shared" si="12"/>
        <v>0</v>
      </c>
      <c r="AQ136" s="189">
        <f t="shared" si="12"/>
        <v>0</v>
      </c>
    </row>
    <row r="137" spans="1:43" ht="13.5" customHeight="1" x14ac:dyDescent="0.2">
      <c r="A137" s="195" t="s">
        <v>310</v>
      </c>
      <c r="B137" s="196"/>
      <c r="C137" s="197" t="s">
        <v>193</v>
      </c>
      <c r="D137" s="198" t="s">
        <v>311</v>
      </c>
      <c r="E137" s="196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</row>
    <row r="138" spans="1:43" ht="13.5" customHeight="1" x14ac:dyDescent="0.2">
      <c r="A138" s="195" t="s">
        <v>312</v>
      </c>
      <c r="B138" s="196"/>
      <c r="C138" s="197" t="s">
        <v>193</v>
      </c>
      <c r="D138" s="198" t="s">
        <v>311</v>
      </c>
      <c r="E138" s="199">
        <v>-6000</v>
      </c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</row>
    <row r="139" spans="1:43" ht="13.5" customHeight="1" x14ac:dyDescent="0.2">
      <c r="A139" s="195" t="s">
        <v>313</v>
      </c>
      <c r="B139" s="196"/>
      <c r="C139" s="197" t="s">
        <v>193</v>
      </c>
      <c r="D139" s="198" t="s">
        <v>311</v>
      </c>
      <c r="E139" s="199">
        <v>26031</v>
      </c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200">
        <v>26031</v>
      </c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</row>
    <row r="140" spans="1:43" ht="13.5" customHeight="1" x14ac:dyDescent="0.2">
      <c r="A140" s="195" t="s">
        <v>314</v>
      </c>
      <c r="B140" s="196"/>
      <c r="C140" s="197" t="s">
        <v>193</v>
      </c>
      <c r="D140" s="198" t="s">
        <v>311</v>
      </c>
      <c r="E140" s="199">
        <v>17354</v>
      </c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200">
        <v>17354</v>
      </c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</row>
    <row r="141" spans="1:43" ht="13.5" customHeight="1" x14ac:dyDescent="0.2">
      <c r="A141" s="195" t="s">
        <v>315</v>
      </c>
      <c r="B141" s="196"/>
      <c r="C141" s="197" t="s">
        <v>193</v>
      </c>
      <c r="D141" s="198" t="s">
        <v>311</v>
      </c>
      <c r="E141" s="199">
        <v>-10052.4</v>
      </c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200">
        <v>-10052.4</v>
      </c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</row>
    <row r="142" spans="1:43" ht="13.5" customHeight="1" x14ac:dyDescent="0.2">
      <c r="A142" s="195" t="s">
        <v>316</v>
      </c>
      <c r="B142" s="196"/>
      <c r="C142" s="197" t="s">
        <v>193</v>
      </c>
      <c r="D142" s="198" t="s">
        <v>311</v>
      </c>
      <c r="E142" s="199">
        <v>10606.5</v>
      </c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200">
        <v>10606.5</v>
      </c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</row>
    <row r="143" spans="1:43" ht="13.5" customHeight="1" x14ac:dyDescent="0.2">
      <c r="A143" s="195" t="s">
        <v>317</v>
      </c>
      <c r="B143" s="196"/>
      <c r="C143" s="197" t="s">
        <v>193</v>
      </c>
      <c r="D143" s="198" t="s">
        <v>318</v>
      </c>
      <c r="E143" s="199">
        <v>26401.08</v>
      </c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200">
        <v>26401.08</v>
      </c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</row>
    <row r="144" spans="1:43" ht="13.5" customHeight="1" x14ac:dyDescent="0.2">
      <c r="A144" s="195" t="s">
        <v>319</v>
      </c>
      <c r="B144" s="196"/>
      <c r="C144" s="197" t="s">
        <v>193</v>
      </c>
      <c r="D144" s="198" t="s">
        <v>318</v>
      </c>
      <c r="E144" s="199">
        <v>34893.040000000001</v>
      </c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200">
        <v>34893.040000000001</v>
      </c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</row>
    <row r="145" spans="1:43" ht="15" customHeight="1" x14ac:dyDescent="0.2">
      <c r="A145" s="195" t="s">
        <v>320</v>
      </c>
      <c r="B145" s="196"/>
      <c r="C145" s="197" t="s">
        <v>193</v>
      </c>
      <c r="D145" s="198" t="s">
        <v>318</v>
      </c>
      <c r="E145" s="199">
        <v>-4188.5</v>
      </c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200">
        <v>-4188.5</v>
      </c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</row>
    <row r="146" spans="1:43" ht="15.75" customHeight="1" x14ac:dyDescent="0.2">
      <c r="A146" s="195" t="s">
        <v>321</v>
      </c>
      <c r="B146" s="196"/>
      <c r="C146" s="197" t="s">
        <v>193</v>
      </c>
      <c r="D146" s="198" t="s">
        <v>318</v>
      </c>
      <c r="E146" s="199">
        <v>61062.82</v>
      </c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200">
        <v>61062.82</v>
      </c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</row>
    <row r="147" spans="1:43" ht="13.5" customHeight="1" x14ac:dyDescent="0.2">
      <c r="A147" s="195" t="s">
        <v>322</v>
      </c>
      <c r="B147" s="196"/>
      <c r="C147" s="201" t="s">
        <v>137</v>
      </c>
      <c r="D147" s="198" t="s">
        <v>318</v>
      </c>
      <c r="E147" s="199">
        <v>8723.26</v>
      </c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200">
        <v>8723.26</v>
      </c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</row>
    <row r="148" spans="1:43" ht="13.5" customHeight="1" x14ac:dyDescent="0.2">
      <c r="A148" s="195" t="s">
        <v>323</v>
      </c>
      <c r="B148" s="196"/>
      <c r="C148" s="201" t="s">
        <v>137</v>
      </c>
      <c r="D148" s="198" t="s">
        <v>311</v>
      </c>
      <c r="E148" s="199">
        <v>9570.39</v>
      </c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202">
        <v>9570.39</v>
      </c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</row>
    <row r="149" spans="1:43" ht="13.5" customHeight="1" x14ac:dyDescent="0.2">
      <c r="A149" s="192" t="s">
        <v>335</v>
      </c>
      <c r="B149" s="193" t="s">
        <v>309</v>
      </c>
      <c r="C149" s="194"/>
      <c r="D149" s="194"/>
      <c r="E149" s="194"/>
      <c r="F149" s="189">
        <f t="shared" ref="F149:AQ149" si="13">SUMIF($D$150:$D$161,"Franchise",F150:F161)</f>
        <v>0</v>
      </c>
      <c r="G149" s="189">
        <f t="shared" si="13"/>
        <v>0</v>
      </c>
      <c r="H149" s="189">
        <f t="shared" si="13"/>
        <v>0</v>
      </c>
      <c r="I149" s="189">
        <f t="shared" si="13"/>
        <v>0</v>
      </c>
      <c r="J149" s="189">
        <f t="shared" si="13"/>
        <v>0</v>
      </c>
      <c r="K149" s="189">
        <f t="shared" si="13"/>
        <v>0</v>
      </c>
      <c r="L149" s="189">
        <f t="shared" si="13"/>
        <v>0</v>
      </c>
      <c r="M149" s="189">
        <f t="shared" si="13"/>
        <v>0</v>
      </c>
      <c r="N149" s="189">
        <f t="shared" si="13"/>
        <v>0</v>
      </c>
      <c r="O149" s="189">
        <f t="shared" si="13"/>
        <v>0</v>
      </c>
      <c r="P149" s="189">
        <f t="shared" si="13"/>
        <v>46464.4</v>
      </c>
      <c r="Q149" s="189">
        <f t="shared" si="13"/>
        <v>-8509.74</v>
      </c>
      <c r="R149" s="189">
        <f t="shared" si="13"/>
        <v>0</v>
      </c>
      <c r="S149" s="189">
        <f t="shared" si="13"/>
        <v>0</v>
      </c>
      <c r="T149" s="189">
        <f t="shared" si="13"/>
        <v>0</v>
      </c>
      <c r="U149" s="189">
        <f t="shared" si="13"/>
        <v>19871.28</v>
      </c>
      <c r="V149" s="189">
        <f t="shared" si="13"/>
        <v>0</v>
      </c>
      <c r="W149" s="189">
        <f t="shared" si="13"/>
        <v>0</v>
      </c>
      <c r="X149" s="189">
        <f t="shared" si="13"/>
        <v>0</v>
      </c>
      <c r="Y149" s="189">
        <f t="shared" si="13"/>
        <v>0</v>
      </c>
      <c r="Z149" s="189">
        <f t="shared" si="13"/>
        <v>0</v>
      </c>
      <c r="AA149" s="189">
        <f t="shared" si="13"/>
        <v>0</v>
      </c>
      <c r="AB149" s="189">
        <f t="shared" si="13"/>
        <v>0</v>
      </c>
      <c r="AC149" s="189">
        <f t="shared" si="13"/>
        <v>0</v>
      </c>
      <c r="AD149" s="189">
        <f t="shared" si="13"/>
        <v>0</v>
      </c>
      <c r="AE149" s="189">
        <f t="shared" si="13"/>
        <v>0</v>
      </c>
      <c r="AF149" s="189">
        <f t="shared" si="13"/>
        <v>0</v>
      </c>
      <c r="AG149" s="189">
        <f t="shared" si="13"/>
        <v>0</v>
      </c>
      <c r="AH149" s="189">
        <f t="shared" si="13"/>
        <v>0</v>
      </c>
      <c r="AI149" s="189">
        <f t="shared" si="13"/>
        <v>0</v>
      </c>
      <c r="AJ149" s="189">
        <f t="shared" si="13"/>
        <v>0</v>
      </c>
      <c r="AK149" s="189">
        <f t="shared" si="13"/>
        <v>0</v>
      </c>
      <c r="AL149" s="189">
        <f t="shared" si="13"/>
        <v>0</v>
      </c>
      <c r="AM149" s="189">
        <f t="shared" si="13"/>
        <v>0</v>
      </c>
      <c r="AN149" s="189">
        <f t="shared" si="13"/>
        <v>0</v>
      </c>
      <c r="AO149" s="189">
        <f t="shared" si="13"/>
        <v>0</v>
      </c>
      <c r="AP149" s="189">
        <f t="shared" si="13"/>
        <v>0</v>
      </c>
      <c r="AQ149" s="189">
        <f t="shared" si="13"/>
        <v>0</v>
      </c>
    </row>
    <row r="150" spans="1:43" ht="13.5" customHeight="1" x14ac:dyDescent="0.2">
      <c r="A150" s="195" t="s">
        <v>310</v>
      </c>
      <c r="B150" s="196"/>
      <c r="C150" s="197" t="s">
        <v>193</v>
      </c>
      <c r="D150" s="198" t="s">
        <v>311</v>
      </c>
      <c r="E150" s="196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</row>
    <row r="151" spans="1:43" ht="13.5" customHeight="1" x14ac:dyDescent="0.2">
      <c r="A151" s="195" t="s">
        <v>312</v>
      </c>
      <c r="B151" s="196"/>
      <c r="C151" s="197" t="s">
        <v>193</v>
      </c>
      <c r="D151" s="198" t="s">
        <v>311</v>
      </c>
      <c r="E151" s="199">
        <v>-6000</v>
      </c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</row>
    <row r="152" spans="1:43" ht="13.5" customHeight="1" x14ac:dyDescent="0.2">
      <c r="A152" s="195" t="s">
        <v>313</v>
      </c>
      <c r="B152" s="196"/>
      <c r="C152" s="197" t="s">
        <v>193</v>
      </c>
      <c r="D152" s="198" t="s">
        <v>311</v>
      </c>
      <c r="E152" s="199">
        <v>22174.35</v>
      </c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200">
        <v>22174.35</v>
      </c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</row>
    <row r="153" spans="1:43" ht="13.5" customHeight="1" x14ac:dyDescent="0.2">
      <c r="A153" s="195" t="s">
        <v>314</v>
      </c>
      <c r="B153" s="196"/>
      <c r="C153" s="197" t="s">
        <v>193</v>
      </c>
      <c r="D153" s="198" t="s">
        <v>311</v>
      </c>
      <c r="E153" s="199">
        <v>14782.9</v>
      </c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200">
        <v>14782.9</v>
      </c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</row>
    <row r="154" spans="1:43" ht="13.5" customHeight="1" x14ac:dyDescent="0.2">
      <c r="A154" s="195" t="s">
        <v>315</v>
      </c>
      <c r="B154" s="196"/>
      <c r="C154" s="197" t="s">
        <v>193</v>
      </c>
      <c r="D154" s="198" t="s">
        <v>311</v>
      </c>
      <c r="E154" s="199">
        <v>-8509.74</v>
      </c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200">
        <v>-8509.74</v>
      </c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</row>
    <row r="155" spans="1:43" ht="13.5" customHeight="1" x14ac:dyDescent="0.2">
      <c r="A155" s="195" t="s">
        <v>316</v>
      </c>
      <c r="B155" s="196"/>
      <c r="C155" s="197" t="s">
        <v>193</v>
      </c>
      <c r="D155" s="198" t="s">
        <v>311</v>
      </c>
      <c r="E155" s="199">
        <v>9507.15</v>
      </c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200">
        <v>9507.15</v>
      </c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</row>
    <row r="156" spans="1:43" ht="13.5" customHeight="1" x14ac:dyDescent="0.2">
      <c r="A156" s="195" t="s">
        <v>317</v>
      </c>
      <c r="B156" s="196"/>
      <c r="C156" s="197" t="s">
        <v>193</v>
      </c>
      <c r="D156" s="198" t="s">
        <v>318</v>
      </c>
      <c r="E156" s="199">
        <v>22940.54</v>
      </c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200">
        <v>22940.54</v>
      </c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</row>
    <row r="157" spans="1:43" ht="13.5" customHeight="1" x14ac:dyDescent="0.2">
      <c r="A157" s="195" t="s">
        <v>319</v>
      </c>
      <c r="B157" s="196"/>
      <c r="C157" s="197" t="s">
        <v>193</v>
      </c>
      <c r="D157" s="198" t="s">
        <v>318</v>
      </c>
      <c r="E157" s="199">
        <v>29948.89</v>
      </c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200">
        <v>29948.89</v>
      </c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</row>
    <row r="158" spans="1:43" ht="13.5" customHeight="1" x14ac:dyDescent="0.2">
      <c r="A158" s="195" t="s">
        <v>320</v>
      </c>
      <c r="B158" s="196"/>
      <c r="C158" s="197" t="s">
        <v>193</v>
      </c>
      <c r="D158" s="198" t="s">
        <v>318</v>
      </c>
      <c r="E158" s="199">
        <v>-3545.72</v>
      </c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200">
        <v>-3545.72</v>
      </c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</row>
    <row r="159" spans="1:43" ht="15" customHeight="1" x14ac:dyDescent="0.2">
      <c r="A159" s="195" t="s">
        <v>321</v>
      </c>
      <c r="B159" s="196"/>
      <c r="C159" s="197" t="s">
        <v>193</v>
      </c>
      <c r="D159" s="198" t="s">
        <v>318</v>
      </c>
      <c r="E159" s="199">
        <v>52410.559999999998</v>
      </c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200">
        <v>52410.559999999998</v>
      </c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</row>
    <row r="160" spans="1:43" ht="15.75" customHeight="1" x14ac:dyDescent="0.2">
      <c r="A160" s="195" t="s">
        <v>322</v>
      </c>
      <c r="B160" s="196"/>
      <c r="C160" s="197" t="s">
        <v>193</v>
      </c>
      <c r="D160" s="198" t="s">
        <v>318</v>
      </c>
      <c r="E160" s="199">
        <v>7487.22</v>
      </c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200">
        <v>7487.22</v>
      </c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</row>
    <row r="161" spans="1:43" ht="13.5" customHeight="1" x14ac:dyDescent="0.2">
      <c r="A161" s="195" t="s">
        <v>323</v>
      </c>
      <c r="B161" s="196"/>
      <c r="C161" s="197" t="s">
        <v>193</v>
      </c>
      <c r="D161" s="198" t="s">
        <v>311</v>
      </c>
      <c r="E161" s="199">
        <v>19871.28</v>
      </c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200">
        <v>19871.28</v>
      </c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</row>
    <row r="162" spans="1:43" ht="13.5" customHeight="1" x14ac:dyDescent="0.2">
      <c r="A162" s="192" t="s">
        <v>336</v>
      </c>
      <c r="B162" s="193" t="s">
        <v>309</v>
      </c>
      <c r="C162" s="194"/>
      <c r="D162" s="194"/>
      <c r="E162" s="194"/>
      <c r="F162" s="189">
        <f t="shared" ref="F162:AQ162" si="14">SUMIF($D$163:$D$174,"Franchise",F163:F174)</f>
        <v>0</v>
      </c>
      <c r="G162" s="189">
        <f t="shared" si="14"/>
        <v>0</v>
      </c>
      <c r="H162" s="189">
        <f t="shared" si="14"/>
        <v>0</v>
      </c>
      <c r="I162" s="189">
        <f t="shared" si="14"/>
        <v>0</v>
      </c>
      <c r="J162" s="189">
        <f t="shared" si="14"/>
        <v>0</v>
      </c>
      <c r="K162" s="189">
        <f t="shared" si="14"/>
        <v>0</v>
      </c>
      <c r="L162" s="189">
        <f t="shared" si="14"/>
        <v>0</v>
      </c>
      <c r="M162" s="189">
        <f t="shared" si="14"/>
        <v>0</v>
      </c>
      <c r="N162" s="189">
        <f t="shared" si="14"/>
        <v>0</v>
      </c>
      <c r="O162" s="189">
        <f t="shared" si="14"/>
        <v>0</v>
      </c>
      <c r="P162" s="189">
        <f t="shared" si="14"/>
        <v>0</v>
      </c>
      <c r="Q162" s="189">
        <f t="shared" si="14"/>
        <v>44224.88</v>
      </c>
      <c r="R162" s="189">
        <f t="shared" si="14"/>
        <v>0</v>
      </c>
      <c r="S162" s="189">
        <f t="shared" si="14"/>
        <v>0</v>
      </c>
      <c r="T162" s="189">
        <f t="shared" si="14"/>
        <v>0</v>
      </c>
      <c r="U162" s="189">
        <f t="shared" si="14"/>
        <v>0</v>
      </c>
      <c r="V162" s="189">
        <f t="shared" si="14"/>
        <v>23496.7</v>
      </c>
      <c r="W162" s="189">
        <f t="shared" si="14"/>
        <v>0</v>
      </c>
      <c r="X162" s="189">
        <f t="shared" si="14"/>
        <v>0</v>
      </c>
      <c r="Y162" s="189">
        <f t="shared" si="14"/>
        <v>0</v>
      </c>
      <c r="Z162" s="189">
        <f t="shared" si="14"/>
        <v>0</v>
      </c>
      <c r="AA162" s="189">
        <f t="shared" si="14"/>
        <v>0</v>
      </c>
      <c r="AB162" s="189">
        <f t="shared" si="14"/>
        <v>0</v>
      </c>
      <c r="AC162" s="189">
        <f t="shared" si="14"/>
        <v>0</v>
      </c>
      <c r="AD162" s="189">
        <f t="shared" si="14"/>
        <v>0</v>
      </c>
      <c r="AE162" s="189">
        <f t="shared" si="14"/>
        <v>0</v>
      </c>
      <c r="AF162" s="189">
        <f t="shared" si="14"/>
        <v>0</v>
      </c>
      <c r="AG162" s="189">
        <f t="shared" si="14"/>
        <v>0</v>
      </c>
      <c r="AH162" s="189">
        <f t="shared" si="14"/>
        <v>0</v>
      </c>
      <c r="AI162" s="189">
        <f t="shared" si="14"/>
        <v>0</v>
      </c>
      <c r="AJ162" s="189">
        <f t="shared" si="14"/>
        <v>0</v>
      </c>
      <c r="AK162" s="189">
        <f t="shared" si="14"/>
        <v>0</v>
      </c>
      <c r="AL162" s="189">
        <f t="shared" si="14"/>
        <v>0</v>
      </c>
      <c r="AM162" s="189">
        <f t="shared" si="14"/>
        <v>0</v>
      </c>
      <c r="AN162" s="189">
        <f t="shared" si="14"/>
        <v>0</v>
      </c>
      <c r="AO162" s="189">
        <f t="shared" si="14"/>
        <v>0</v>
      </c>
      <c r="AP162" s="189">
        <f t="shared" si="14"/>
        <v>0</v>
      </c>
      <c r="AQ162" s="189">
        <f t="shared" si="14"/>
        <v>0</v>
      </c>
    </row>
    <row r="163" spans="1:43" ht="13.5" customHeight="1" x14ac:dyDescent="0.2">
      <c r="A163" s="195" t="s">
        <v>310</v>
      </c>
      <c r="B163" s="196"/>
      <c r="C163" s="197" t="s">
        <v>193</v>
      </c>
      <c r="D163" s="198" t="s">
        <v>311</v>
      </c>
      <c r="E163" s="196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</row>
    <row r="164" spans="1:43" ht="13.5" customHeight="1" x14ac:dyDescent="0.2">
      <c r="A164" s="195" t="s">
        <v>312</v>
      </c>
      <c r="B164" s="196"/>
      <c r="C164" s="197" t="s">
        <v>193</v>
      </c>
      <c r="D164" s="198" t="s">
        <v>311</v>
      </c>
      <c r="E164" s="199">
        <v>-6000</v>
      </c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</row>
    <row r="165" spans="1:43" ht="13.5" customHeight="1" x14ac:dyDescent="0.2">
      <c r="A165" s="195" t="s">
        <v>313</v>
      </c>
      <c r="B165" s="196"/>
      <c r="C165" s="197" t="s">
        <v>193</v>
      </c>
      <c r="D165" s="198" t="s">
        <v>311</v>
      </c>
      <c r="E165" s="199">
        <v>25894.2</v>
      </c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200">
        <v>25894.2</v>
      </c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</row>
    <row r="166" spans="1:43" ht="13.5" customHeight="1" x14ac:dyDescent="0.2">
      <c r="A166" s="195" t="s">
        <v>314</v>
      </c>
      <c r="B166" s="196"/>
      <c r="C166" s="197" t="s">
        <v>193</v>
      </c>
      <c r="D166" s="198" t="s">
        <v>311</v>
      </c>
      <c r="E166" s="199">
        <v>17262.8</v>
      </c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200">
        <v>17262.8</v>
      </c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</row>
    <row r="167" spans="1:43" ht="13.5" customHeight="1" x14ac:dyDescent="0.2">
      <c r="A167" s="195" t="s">
        <v>315</v>
      </c>
      <c r="B167" s="196"/>
      <c r="C167" s="197" t="s">
        <v>193</v>
      </c>
      <c r="D167" s="198" t="s">
        <v>311</v>
      </c>
      <c r="E167" s="199">
        <v>-9997.68</v>
      </c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200">
        <v>-9997.68</v>
      </c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</row>
    <row r="168" spans="1:43" ht="13.5" customHeight="1" x14ac:dyDescent="0.2">
      <c r="A168" s="195" t="s">
        <v>316</v>
      </c>
      <c r="B168" s="196"/>
      <c r="C168" s="197" t="s">
        <v>193</v>
      </c>
      <c r="D168" s="198" t="s">
        <v>311</v>
      </c>
      <c r="E168" s="199">
        <v>11065.56</v>
      </c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200">
        <v>11065.56</v>
      </c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</row>
    <row r="169" spans="1:43" ht="13.5" customHeight="1" x14ac:dyDescent="0.2">
      <c r="A169" s="195" t="s">
        <v>317</v>
      </c>
      <c r="B169" s="196"/>
      <c r="C169" s="197" t="s">
        <v>193</v>
      </c>
      <c r="D169" s="198" t="s">
        <v>318</v>
      </c>
      <c r="E169" s="199">
        <v>27400.92</v>
      </c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200">
        <v>27400.92</v>
      </c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</row>
    <row r="170" spans="1:43" ht="13.5" customHeight="1" x14ac:dyDescent="0.2">
      <c r="A170" s="195" t="s">
        <v>319</v>
      </c>
      <c r="B170" s="196"/>
      <c r="C170" s="197" t="s">
        <v>193</v>
      </c>
      <c r="D170" s="198" t="s">
        <v>318</v>
      </c>
      <c r="E170" s="199">
        <v>35278.959999999999</v>
      </c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200">
        <v>35278.959999999999</v>
      </c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</row>
    <row r="171" spans="1:43" ht="13.5" customHeight="1" x14ac:dyDescent="0.2">
      <c r="A171" s="195" t="s">
        <v>320</v>
      </c>
      <c r="B171" s="196"/>
      <c r="C171" s="197" t="s">
        <v>193</v>
      </c>
      <c r="D171" s="198" t="s">
        <v>318</v>
      </c>
      <c r="E171" s="199">
        <v>-4165.7</v>
      </c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200">
        <v>-4165.7</v>
      </c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</row>
    <row r="172" spans="1:43" ht="13.5" customHeight="1" x14ac:dyDescent="0.2">
      <c r="A172" s="195" t="s">
        <v>321</v>
      </c>
      <c r="B172" s="196"/>
      <c r="C172" s="197" t="s">
        <v>193</v>
      </c>
      <c r="D172" s="198" t="s">
        <v>318</v>
      </c>
      <c r="E172" s="199">
        <v>61738.18</v>
      </c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200">
        <v>61738.18</v>
      </c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</row>
    <row r="173" spans="1:43" ht="15" customHeight="1" x14ac:dyDescent="0.2">
      <c r="A173" s="195" t="s">
        <v>322</v>
      </c>
      <c r="B173" s="196"/>
      <c r="C173" s="197" t="s">
        <v>193</v>
      </c>
      <c r="D173" s="198" t="s">
        <v>318</v>
      </c>
      <c r="E173" s="199">
        <v>8819.74</v>
      </c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200">
        <v>8819.74</v>
      </c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</row>
    <row r="174" spans="1:43" ht="15.75" customHeight="1" x14ac:dyDescent="0.2">
      <c r="A174" s="195" t="s">
        <v>323</v>
      </c>
      <c r="B174" s="196"/>
      <c r="C174" s="197" t="s">
        <v>193</v>
      </c>
      <c r="D174" s="198" t="s">
        <v>311</v>
      </c>
      <c r="E174" s="199">
        <v>23496.7</v>
      </c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200">
        <v>23496.7</v>
      </c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</row>
    <row r="175" spans="1:43" ht="13.5" customHeight="1" x14ac:dyDescent="0.2">
      <c r="A175" s="192" t="s">
        <v>337</v>
      </c>
      <c r="B175" s="193" t="s">
        <v>309</v>
      </c>
      <c r="C175" s="194"/>
      <c r="D175" s="194"/>
      <c r="E175" s="194"/>
      <c r="F175" s="189">
        <f t="shared" ref="F175:AQ175" si="15">SUMIF($D$176:$D$187,"Franchise",F176:F187)</f>
        <v>0</v>
      </c>
      <c r="G175" s="189">
        <f t="shared" si="15"/>
        <v>0</v>
      </c>
      <c r="H175" s="189">
        <f t="shared" si="15"/>
        <v>0</v>
      </c>
      <c r="I175" s="189">
        <f t="shared" si="15"/>
        <v>0</v>
      </c>
      <c r="J175" s="189">
        <f t="shared" si="15"/>
        <v>0</v>
      </c>
      <c r="K175" s="189">
        <f t="shared" si="15"/>
        <v>0</v>
      </c>
      <c r="L175" s="189">
        <f t="shared" si="15"/>
        <v>0</v>
      </c>
      <c r="M175" s="189">
        <f t="shared" si="15"/>
        <v>0</v>
      </c>
      <c r="N175" s="189">
        <f t="shared" si="15"/>
        <v>0</v>
      </c>
      <c r="O175" s="189">
        <f t="shared" si="15"/>
        <v>0</v>
      </c>
      <c r="P175" s="189">
        <f t="shared" si="15"/>
        <v>0</v>
      </c>
      <c r="Q175" s="189">
        <f t="shared" si="15"/>
        <v>49172.45</v>
      </c>
      <c r="R175" s="189">
        <f t="shared" si="15"/>
        <v>-9779.51</v>
      </c>
      <c r="S175" s="189">
        <f t="shared" si="15"/>
        <v>0</v>
      </c>
      <c r="T175" s="189">
        <f t="shared" si="15"/>
        <v>0</v>
      </c>
      <c r="U175" s="189">
        <f t="shared" si="15"/>
        <v>0</v>
      </c>
      <c r="V175" s="189">
        <f t="shared" si="15"/>
        <v>0</v>
      </c>
      <c r="W175" s="189">
        <f t="shared" si="15"/>
        <v>26136.2</v>
      </c>
      <c r="X175" s="189">
        <f t="shared" si="15"/>
        <v>0</v>
      </c>
      <c r="Y175" s="189">
        <f t="shared" si="15"/>
        <v>0</v>
      </c>
      <c r="Z175" s="189">
        <f t="shared" si="15"/>
        <v>0</v>
      </c>
      <c r="AA175" s="189">
        <f t="shared" si="15"/>
        <v>0</v>
      </c>
      <c r="AB175" s="189">
        <f t="shared" si="15"/>
        <v>0</v>
      </c>
      <c r="AC175" s="189">
        <f t="shared" si="15"/>
        <v>0</v>
      </c>
      <c r="AD175" s="189">
        <f t="shared" si="15"/>
        <v>0</v>
      </c>
      <c r="AE175" s="189">
        <f t="shared" si="15"/>
        <v>0</v>
      </c>
      <c r="AF175" s="189">
        <f t="shared" si="15"/>
        <v>0</v>
      </c>
      <c r="AG175" s="189">
        <f t="shared" si="15"/>
        <v>0</v>
      </c>
      <c r="AH175" s="189">
        <f t="shared" si="15"/>
        <v>0</v>
      </c>
      <c r="AI175" s="189">
        <f t="shared" si="15"/>
        <v>0</v>
      </c>
      <c r="AJ175" s="189">
        <f t="shared" si="15"/>
        <v>0</v>
      </c>
      <c r="AK175" s="189">
        <f t="shared" si="15"/>
        <v>0</v>
      </c>
      <c r="AL175" s="189">
        <f t="shared" si="15"/>
        <v>0</v>
      </c>
      <c r="AM175" s="189">
        <f t="shared" si="15"/>
        <v>0</v>
      </c>
      <c r="AN175" s="189">
        <f t="shared" si="15"/>
        <v>0</v>
      </c>
      <c r="AO175" s="189">
        <f t="shared" si="15"/>
        <v>0</v>
      </c>
      <c r="AP175" s="189">
        <f t="shared" si="15"/>
        <v>0</v>
      </c>
      <c r="AQ175" s="189">
        <f t="shared" si="15"/>
        <v>0</v>
      </c>
    </row>
    <row r="176" spans="1:43" ht="13.5" customHeight="1" x14ac:dyDescent="0.2">
      <c r="A176" s="195" t="s">
        <v>310</v>
      </c>
      <c r="B176" s="196"/>
      <c r="C176" s="197" t="s">
        <v>193</v>
      </c>
      <c r="D176" s="198" t="s">
        <v>311</v>
      </c>
      <c r="E176" s="196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</row>
    <row r="177" spans="1:43" ht="13.5" customHeight="1" x14ac:dyDescent="0.2">
      <c r="A177" s="195" t="s">
        <v>312</v>
      </c>
      <c r="B177" s="196"/>
      <c r="C177" s="197" t="s">
        <v>193</v>
      </c>
      <c r="D177" s="198" t="s">
        <v>311</v>
      </c>
      <c r="E177" s="199">
        <v>-6000</v>
      </c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</row>
    <row r="178" spans="1:43" ht="13.5" customHeight="1" x14ac:dyDescent="0.2">
      <c r="A178" s="195" t="s">
        <v>313</v>
      </c>
      <c r="B178" s="196"/>
      <c r="C178" s="197" t="s">
        <v>193</v>
      </c>
      <c r="D178" s="198" t="s">
        <v>311</v>
      </c>
      <c r="E178" s="199">
        <v>23468.1</v>
      </c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200">
        <v>23468.1</v>
      </c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</row>
    <row r="179" spans="1:43" ht="13.5" customHeight="1" x14ac:dyDescent="0.2">
      <c r="A179" s="195" t="s">
        <v>314</v>
      </c>
      <c r="B179" s="196"/>
      <c r="C179" s="197" t="s">
        <v>193</v>
      </c>
      <c r="D179" s="198" t="s">
        <v>311</v>
      </c>
      <c r="E179" s="199">
        <v>15645.4</v>
      </c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200">
        <v>15645.4</v>
      </c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</row>
    <row r="180" spans="1:43" ht="13.5" customHeight="1" x14ac:dyDescent="0.2">
      <c r="A180" s="195" t="s">
        <v>315</v>
      </c>
      <c r="B180" s="196"/>
      <c r="C180" s="197" t="s">
        <v>193</v>
      </c>
      <c r="D180" s="198" t="s">
        <v>311</v>
      </c>
      <c r="E180" s="199">
        <v>-9779.51</v>
      </c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200">
        <v>-9779.51</v>
      </c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</row>
    <row r="181" spans="1:43" ht="13.5" customHeight="1" x14ac:dyDescent="0.2">
      <c r="A181" s="195" t="s">
        <v>316</v>
      </c>
      <c r="B181" s="196"/>
      <c r="C181" s="197" t="s">
        <v>193</v>
      </c>
      <c r="D181" s="198" t="s">
        <v>311</v>
      </c>
      <c r="E181" s="199">
        <v>10058.950000000001</v>
      </c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200">
        <v>10058.950000000001</v>
      </c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</row>
    <row r="182" spans="1:43" ht="13.5" customHeight="1" x14ac:dyDescent="0.2">
      <c r="A182" s="195" t="s">
        <v>317</v>
      </c>
      <c r="B182" s="196"/>
      <c r="C182" s="197" t="s">
        <v>193</v>
      </c>
      <c r="D182" s="198" t="s">
        <v>318</v>
      </c>
      <c r="E182" s="199">
        <v>24541.84</v>
      </c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200">
        <v>24541.84</v>
      </c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</row>
    <row r="183" spans="1:43" ht="13.5" customHeight="1" x14ac:dyDescent="0.2">
      <c r="A183" s="195" t="s">
        <v>319</v>
      </c>
      <c r="B183" s="196"/>
      <c r="C183" s="197" t="s">
        <v>193</v>
      </c>
      <c r="D183" s="198" t="s">
        <v>318</v>
      </c>
      <c r="E183" s="199">
        <v>31827.67</v>
      </c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200">
        <v>31827.67</v>
      </c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</row>
    <row r="184" spans="1:43" ht="13.5" customHeight="1" x14ac:dyDescent="0.2">
      <c r="A184" s="195" t="s">
        <v>320</v>
      </c>
      <c r="B184" s="196"/>
      <c r="C184" s="197" t="s">
        <v>193</v>
      </c>
      <c r="D184" s="198" t="s">
        <v>318</v>
      </c>
      <c r="E184" s="199">
        <v>-3761.35</v>
      </c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200">
        <v>-3761.35</v>
      </c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</row>
    <row r="185" spans="1:43" ht="13.5" customHeight="1" x14ac:dyDescent="0.2">
      <c r="A185" s="195" t="s">
        <v>321</v>
      </c>
      <c r="B185" s="196"/>
      <c r="C185" s="197" t="s">
        <v>193</v>
      </c>
      <c r="D185" s="198" t="s">
        <v>318</v>
      </c>
      <c r="E185" s="199">
        <v>55698.43</v>
      </c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200">
        <v>55698.43</v>
      </c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</row>
    <row r="186" spans="1:43" ht="13.5" customHeight="1" x14ac:dyDescent="0.2">
      <c r="A186" s="195" t="s">
        <v>322</v>
      </c>
      <c r="B186" s="196"/>
      <c r="C186" s="197" t="s">
        <v>193</v>
      </c>
      <c r="D186" s="198" t="s">
        <v>318</v>
      </c>
      <c r="E186" s="199">
        <v>7956.92</v>
      </c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200">
        <v>7956.92</v>
      </c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</row>
    <row r="187" spans="1:43" ht="15" customHeight="1" x14ac:dyDescent="0.2">
      <c r="A187" s="195" t="s">
        <v>323</v>
      </c>
      <c r="B187" s="196"/>
      <c r="C187" s="197" t="s">
        <v>193</v>
      </c>
      <c r="D187" s="198" t="s">
        <v>311</v>
      </c>
      <c r="E187" s="199">
        <v>26136.2</v>
      </c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200">
        <v>26136.2</v>
      </c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</row>
    <row r="188" spans="1:43" ht="15.75" customHeight="1" x14ac:dyDescent="0.2">
      <c r="A188" s="192" t="s">
        <v>338</v>
      </c>
      <c r="B188" s="192" t="s">
        <v>334</v>
      </c>
      <c r="C188" s="194"/>
      <c r="D188" s="194"/>
      <c r="E188" s="194"/>
      <c r="F188" s="189">
        <f t="shared" ref="F188:AQ188" si="16">SUMIF($D$189:$D$200,"Franchise",F189:F200)</f>
        <v>0</v>
      </c>
      <c r="G188" s="189">
        <f t="shared" si="16"/>
        <v>0</v>
      </c>
      <c r="H188" s="189">
        <f t="shared" si="16"/>
        <v>0</v>
      </c>
      <c r="I188" s="189">
        <f t="shared" si="16"/>
        <v>0</v>
      </c>
      <c r="J188" s="189">
        <f t="shared" si="16"/>
        <v>0</v>
      </c>
      <c r="K188" s="189">
        <f t="shared" si="16"/>
        <v>0</v>
      </c>
      <c r="L188" s="189">
        <f t="shared" si="16"/>
        <v>0</v>
      </c>
      <c r="M188" s="189">
        <f t="shared" si="16"/>
        <v>0</v>
      </c>
      <c r="N188" s="189">
        <f t="shared" si="16"/>
        <v>0</v>
      </c>
      <c r="O188" s="189">
        <f t="shared" si="16"/>
        <v>0</v>
      </c>
      <c r="P188" s="189">
        <f t="shared" si="16"/>
        <v>0</v>
      </c>
      <c r="Q188" s="189">
        <f t="shared" si="16"/>
        <v>0</v>
      </c>
      <c r="R188" s="189">
        <f t="shared" si="16"/>
        <v>51553.65</v>
      </c>
      <c r="S188" s="189">
        <f t="shared" si="16"/>
        <v>-10277.41</v>
      </c>
      <c r="T188" s="189">
        <f t="shared" si="16"/>
        <v>0</v>
      </c>
      <c r="U188" s="189">
        <f t="shared" si="16"/>
        <v>0</v>
      </c>
      <c r="V188" s="189">
        <f t="shared" si="16"/>
        <v>0</v>
      </c>
      <c r="W188" s="189">
        <f t="shared" si="16"/>
        <v>0</v>
      </c>
      <c r="X188" s="189">
        <f t="shared" si="16"/>
        <v>0</v>
      </c>
      <c r="Y188" s="189">
        <f t="shared" si="16"/>
        <v>0</v>
      </c>
      <c r="Z188" s="189">
        <f t="shared" si="16"/>
        <v>0</v>
      </c>
      <c r="AA188" s="189">
        <f t="shared" si="16"/>
        <v>20103.900000000001</v>
      </c>
      <c r="AB188" s="189">
        <f t="shared" si="16"/>
        <v>0</v>
      </c>
      <c r="AC188" s="189">
        <f t="shared" si="16"/>
        <v>0</v>
      </c>
      <c r="AD188" s="189">
        <f t="shared" si="16"/>
        <v>0</v>
      </c>
      <c r="AE188" s="189">
        <f t="shared" si="16"/>
        <v>0</v>
      </c>
      <c r="AF188" s="189">
        <f t="shared" si="16"/>
        <v>0</v>
      </c>
      <c r="AG188" s="189">
        <f t="shared" si="16"/>
        <v>0</v>
      </c>
      <c r="AH188" s="189">
        <f t="shared" si="16"/>
        <v>0</v>
      </c>
      <c r="AI188" s="189">
        <f t="shared" si="16"/>
        <v>0</v>
      </c>
      <c r="AJ188" s="189">
        <f t="shared" si="16"/>
        <v>0</v>
      </c>
      <c r="AK188" s="189">
        <f t="shared" si="16"/>
        <v>0</v>
      </c>
      <c r="AL188" s="189">
        <f t="shared" si="16"/>
        <v>0</v>
      </c>
      <c r="AM188" s="189">
        <f t="shared" si="16"/>
        <v>0</v>
      </c>
      <c r="AN188" s="189">
        <f t="shared" si="16"/>
        <v>0</v>
      </c>
      <c r="AO188" s="189">
        <f t="shared" si="16"/>
        <v>0</v>
      </c>
      <c r="AP188" s="189">
        <f t="shared" si="16"/>
        <v>0</v>
      </c>
      <c r="AQ188" s="189">
        <f t="shared" si="16"/>
        <v>0</v>
      </c>
    </row>
    <row r="189" spans="1:43" ht="13.5" customHeight="1" x14ac:dyDescent="0.2">
      <c r="A189" s="195" t="s">
        <v>310</v>
      </c>
      <c r="B189" s="196"/>
      <c r="C189" s="197" t="s">
        <v>193</v>
      </c>
      <c r="D189" s="198" t="s">
        <v>311</v>
      </c>
      <c r="E189" s="196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</row>
    <row r="190" spans="1:43" ht="13.5" customHeight="1" x14ac:dyDescent="0.2">
      <c r="A190" s="195" t="s">
        <v>312</v>
      </c>
      <c r="B190" s="196"/>
      <c r="C190" s="197" t="s">
        <v>193</v>
      </c>
      <c r="D190" s="198" t="s">
        <v>311</v>
      </c>
      <c r="E190" s="199">
        <v>-6000</v>
      </c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</row>
    <row r="191" spans="1:43" ht="13.5" customHeight="1" x14ac:dyDescent="0.2">
      <c r="A191" s="195" t="s">
        <v>313</v>
      </c>
      <c r="B191" s="196"/>
      <c r="C191" s="197" t="s">
        <v>193</v>
      </c>
      <c r="D191" s="198" t="s">
        <v>311</v>
      </c>
      <c r="E191" s="199">
        <v>24617.1</v>
      </c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200">
        <v>24617.1</v>
      </c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</row>
    <row r="192" spans="1:43" ht="13.5" customHeight="1" x14ac:dyDescent="0.2">
      <c r="A192" s="195" t="s">
        <v>314</v>
      </c>
      <c r="B192" s="196"/>
      <c r="C192" s="197" t="s">
        <v>193</v>
      </c>
      <c r="D192" s="198" t="s">
        <v>311</v>
      </c>
      <c r="E192" s="199">
        <v>16411.400000000001</v>
      </c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200">
        <v>16411.400000000001</v>
      </c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</row>
    <row r="193" spans="1:43" ht="13.5" customHeight="1" x14ac:dyDescent="0.2">
      <c r="A193" s="195" t="s">
        <v>315</v>
      </c>
      <c r="B193" s="196"/>
      <c r="C193" s="197" t="s">
        <v>193</v>
      </c>
      <c r="D193" s="198" t="s">
        <v>311</v>
      </c>
      <c r="E193" s="199">
        <v>-10277.41</v>
      </c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200">
        <v>-10277.41</v>
      </c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</row>
    <row r="194" spans="1:43" ht="13.5" customHeight="1" x14ac:dyDescent="0.2">
      <c r="A194" s="195" t="s">
        <v>316</v>
      </c>
      <c r="B194" s="196"/>
      <c r="C194" s="197" t="s">
        <v>193</v>
      </c>
      <c r="D194" s="198" t="s">
        <v>311</v>
      </c>
      <c r="E194" s="199">
        <v>10525.15</v>
      </c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200">
        <v>10525.15</v>
      </c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</row>
    <row r="195" spans="1:43" ht="13.5" customHeight="1" x14ac:dyDescent="0.2">
      <c r="A195" s="195" t="s">
        <v>317</v>
      </c>
      <c r="B195" s="196"/>
      <c r="C195" s="197" t="s">
        <v>193</v>
      </c>
      <c r="D195" s="198" t="s">
        <v>318</v>
      </c>
      <c r="E195" s="199">
        <v>25313.34</v>
      </c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200">
        <v>25313.34</v>
      </c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</row>
    <row r="196" spans="1:43" ht="13.5" customHeight="1" x14ac:dyDescent="0.2">
      <c r="A196" s="195" t="s">
        <v>319</v>
      </c>
      <c r="B196" s="196"/>
      <c r="C196" s="201" t="s">
        <v>137</v>
      </c>
      <c r="D196" s="198" t="s">
        <v>318</v>
      </c>
      <c r="E196" s="199">
        <v>33170.92</v>
      </c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203">
        <v>33170.92</v>
      </c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</row>
    <row r="197" spans="1:43" ht="13.5" customHeight="1" x14ac:dyDescent="0.2">
      <c r="A197" s="195" t="s">
        <v>320</v>
      </c>
      <c r="B197" s="196"/>
      <c r="C197" s="201" t="s">
        <v>137</v>
      </c>
      <c r="D197" s="198" t="s">
        <v>318</v>
      </c>
      <c r="E197" s="199">
        <v>-3455.3</v>
      </c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203">
        <v>-3455.3</v>
      </c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</row>
    <row r="198" spans="1:43" ht="13.5" customHeight="1" x14ac:dyDescent="0.2">
      <c r="A198" s="195" t="s">
        <v>321</v>
      </c>
      <c r="B198" s="196"/>
      <c r="C198" s="201" t="s">
        <v>137</v>
      </c>
      <c r="D198" s="198" t="s">
        <v>318</v>
      </c>
      <c r="E198" s="199">
        <v>58049.11</v>
      </c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204">
        <v>58049.11</v>
      </c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</row>
    <row r="199" spans="1:43" ht="13.5" customHeight="1" x14ac:dyDescent="0.2">
      <c r="A199" s="195" t="s">
        <v>322</v>
      </c>
      <c r="B199" s="196"/>
      <c r="C199" s="201" t="s">
        <v>137</v>
      </c>
      <c r="D199" s="198" t="s">
        <v>318</v>
      </c>
      <c r="E199" s="199">
        <v>8292.73</v>
      </c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204">
        <v>8292.73</v>
      </c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</row>
    <row r="200" spans="1:43" ht="13.5" customHeight="1" x14ac:dyDescent="0.2">
      <c r="A200" s="195" t="s">
        <v>323</v>
      </c>
      <c r="B200" s="196"/>
      <c r="C200" s="201" t="s">
        <v>137</v>
      </c>
      <c r="D200" s="198" t="s">
        <v>311</v>
      </c>
      <c r="E200" s="199">
        <v>20103.900000000001</v>
      </c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204">
        <v>20103.900000000001</v>
      </c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</row>
    <row r="201" spans="1:43" ht="15" customHeight="1" x14ac:dyDescent="0.2">
      <c r="A201" s="192" t="s">
        <v>339</v>
      </c>
      <c r="B201" s="192" t="s">
        <v>334</v>
      </c>
      <c r="C201" s="194"/>
      <c r="D201" s="194"/>
      <c r="E201" s="194"/>
      <c r="F201" s="189">
        <f t="shared" ref="F201:AQ201" si="17">SUMIF($D$202:$D$213,"Franchise",F202:F213)</f>
        <v>0</v>
      </c>
      <c r="G201" s="189">
        <f t="shared" si="17"/>
        <v>0</v>
      </c>
      <c r="H201" s="189">
        <f t="shared" si="17"/>
        <v>0</v>
      </c>
      <c r="I201" s="189">
        <f t="shared" si="17"/>
        <v>0</v>
      </c>
      <c r="J201" s="189">
        <f t="shared" si="17"/>
        <v>0</v>
      </c>
      <c r="K201" s="189">
        <f t="shared" si="17"/>
        <v>0</v>
      </c>
      <c r="L201" s="189">
        <f t="shared" si="17"/>
        <v>0</v>
      </c>
      <c r="M201" s="189">
        <f t="shared" si="17"/>
        <v>0</v>
      </c>
      <c r="N201" s="189">
        <f t="shared" si="17"/>
        <v>0</v>
      </c>
      <c r="O201" s="189">
        <f t="shared" si="17"/>
        <v>0</v>
      </c>
      <c r="P201" s="189">
        <f t="shared" si="17"/>
        <v>0</v>
      </c>
      <c r="Q201" s="189">
        <f t="shared" si="17"/>
        <v>0</v>
      </c>
      <c r="R201" s="189">
        <f t="shared" si="17"/>
        <v>0</v>
      </c>
      <c r="S201" s="189">
        <f t="shared" si="17"/>
        <v>0</v>
      </c>
      <c r="T201" s="189">
        <f t="shared" si="17"/>
        <v>0</v>
      </c>
      <c r="U201" s="189">
        <f t="shared" si="17"/>
        <v>35905.49</v>
      </c>
      <c r="V201" s="189">
        <f t="shared" si="17"/>
        <v>0</v>
      </c>
      <c r="W201" s="189">
        <f t="shared" si="17"/>
        <v>0</v>
      </c>
      <c r="X201" s="189">
        <f t="shared" si="17"/>
        <v>0</v>
      </c>
      <c r="Y201" s="189">
        <f t="shared" si="17"/>
        <v>0</v>
      </c>
      <c r="Z201" s="189">
        <f t="shared" si="17"/>
        <v>0</v>
      </c>
      <c r="AA201" s="189">
        <f t="shared" si="17"/>
        <v>0</v>
      </c>
      <c r="AB201" s="189">
        <f t="shared" si="17"/>
        <v>0</v>
      </c>
      <c r="AC201" s="189">
        <f t="shared" si="17"/>
        <v>0</v>
      </c>
      <c r="AD201" s="189">
        <f t="shared" si="17"/>
        <v>19987.939999999999</v>
      </c>
      <c r="AE201" s="189">
        <f t="shared" si="17"/>
        <v>0</v>
      </c>
      <c r="AF201" s="189">
        <f t="shared" si="17"/>
        <v>0</v>
      </c>
      <c r="AG201" s="189">
        <f t="shared" si="17"/>
        <v>0</v>
      </c>
      <c r="AH201" s="189">
        <f t="shared" si="17"/>
        <v>0</v>
      </c>
      <c r="AI201" s="189">
        <f t="shared" si="17"/>
        <v>0</v>
      </c>
      <c r="AJ201" s="189">
        <f t="shared" si="17"/>
        <v>0</v>
      </c>
      <c r="AK201" s="189">
        <f t="shared" si="17"/>
        <v>0</v>
      </c>
      <c r="AL201" s="189">
        <f t="shared" si="17"/>
        <v>0</v>
      </c>
      <c r="AM201" s="189">
        <f t="shared" si="17"/>
        <v>0</v>
      </c>
      <c r="AN201" s="189">
        <f t="shared" si="17"/>
        <v>0</v>
      </c>
      <c r="AO201" s="189">
        <f t="shared" si="17"/>
        <v>0</v>
      </c>
      <c r="AP201" s="189">
        <f t="shared" si="17"/>
        <v>0</v>
      </c>
      <c r="AQ201" s="189">
        <f t="shared" si="17"/>
        <v>0</v>
      </c>
    </row>
    <row r="202" spans="1:43" ht="15.75" customHeight="1" x14ac:dyDescent="0.2">
      <c r="A202" s="195" t="s">
        <v>310</v>
      </c>
      <c r="B202" s="196"/>
      <c r="C202" s="197" t="s">
        <v>193</v>
      </c>
      <c r="D202" s="198" t="s">
        <v>311</v>
      </c>
      <c r="E202" s="196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</row>
    <row r="203" spans="1:43" ht="13.5" customHeight="1" x14ac:dyDescent="0.2">
      <c r="A203" s="195" t="s">
        <v>312</v>
      </c>
      <c r="B203" s="196"/>
      <c r="C203" s="197" t="s">
        <v>193</v>
      </c>
      <c r="D203" s="198" t="s">
        <v>311</v>
      </c>
      <c r="E203" s="199">
        <v>-6000</v>
      </c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</row>
    <row r="204" spans="1:43" ht="13.5" customHeight="1" x14ac:dyDescent="0.2">
      <c r="A204" s="195" t="s">
        <v>313</v>
      </c>
      <c r="B204" s="196"/>
      <c r="C204" s="197" t="s">
        <v>193</v>
      </c>
      <c r="D204" s="198" t="s">
        <v>311</v>
      </c>
      <c r="E204" s="199">
        <v>21854.1</v>
      </c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200">
        <v>21854.1</v>
      </c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</row>
    <row r="205" spans="1:43" ht="13.5" customHeight="1" x14ac:dyDescent="0.2">
      <c r="A205" s="195" t="s">
        <v>314</v>
      </c>
      <c r="B205" s="196"/>
      <c r="C205" s="197" t="s">
        <v>193</v>
      </c>
      <c r="D205" s="198" t="s">
        <v>311</v>
      </c>
      <c r="E205" s="199">
        <v>14569.4</v>
      </c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200">
        <v>14569.4</v>
      </c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</row>
    <row r="206" spans="1:43" ht="13.5" customHeight="1" x14ac:dyDescent="0.2">
      <c r="A206" s="195" t="s">
        <v>315</v>
      </c>
      <c r="B206" s="196"/>
      <c r="C206" s="197" t="s">
        <v>193</v>
      </c>
      <c r="D206" s="198" t="s">
        <v>311</v>
      </c>
      <c r="E206" s="199">
        <v>-9080.11</v>
      </c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200">
        <v>-9080.11</v>
      </c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</row>
    <row r="207" spans="1:43" ht="13.5" customHeight="1" x14ac:dyDescent="0.2">
      <c r="A207" s="195" t="s">
        <v>316</v>
      </c>
      <c r="B207" s="196"/>
      <c r="C207" s="197" t="s">
        <v>193</v>
      </c>
      <c r="D207" s="198" t="s">
        <v>311</v>
      </c>
      <c r="E207" s="199">
        <v>8562.1</v>
      </c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200">
        <v>8562.1</v>
      </c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</row>
    <row r="208" spans="1:43" ht="13.5" customHeight="1" x14ac:dyDescent="0.2">
      <c r="A208" s="195" t="s">
        <v>317</v>
      </c>
      <c r="B208" s="196"/>
      <c r="C208" s="197" t="s">
        <v>193</v>
      </c>
      <c r="D208" s="198" t="s">
        <v>318</v>
      </c>
      <c r="E208" s="199">
        <v>22339.38</v>
      </c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200">
        <v>22339.38</v>
      </c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</row>
    <row r="209" spans="1:43" ht="13.5" customHeight="1" x14ac:dyDescent="0.2">
      <c r="A209" s="195" t="s">
        <v>319</v>
      </c>
      <c r="B209" s="196"/>
      <c r="C209" s="201" t="s">
        <v>137</v>
      </c>
      <c r="D209" s="198" t="s">
        <v>318</v>
      </c>
      <c r="E209" s="199">
        <v>29381.439999999999</v>
      </c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204">
        <v>29381.439999999999</v>
      </c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</row>
    <row r="210" spans="1:43" ht="13.5" customHeight="1" x14ac:dyDescent="0.2">
      <c r="A210" s="195" t="s">
        <v>320</v>
      </c>
      <c r="B210" s="196"/>
      <c r="C210" s="201" t="s">
        <v>137</v>
      </c>
      <c r="D210" s="198" t="s">
        <v>318</v>
      </c>
      <c r="E210" s="199">
        <v>-3060.57</v>
      </c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204">
        <v>-3060.57</v>
      </c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</row>
    <row r="211" spans="1:43" ht="13.5" customHeight="1" x14ac:dyDescent="0.2">
      <c r="A211" s="195" t="s">
        <v>321</v>
      </c>
      <c r="B211" s="196"/>
      <c r="C211" s="201" t="s">
        <v>137</v>
      </c>
      <c r="D211" s="198" t="s">
        <v>318</v>
      </c>
      <c r="E211" s="199">
        <v>51417.52</v>
      </c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204">
        <v>51417.52</v>
      </c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</row>
    <row r="212" spans="1:43" ht="13.5" customHeight="1" x14ac:dyDescent="0.2">
      <c r="A212" s="195" t="s">
        <v>322</v>
      </c>
      <c r="B212" s="196"/>
      <c r="C212" s="201" t="s">
        <v>137</v>
      </c>
      <c r="D212" s="198" t="s">
        <v>318</v>
      </c>
      <c r="E212" s="199">
        <v>7345.36</v>
      </c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204">
        <v>7345.36</v>
      </c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</row>
    <row r="213" spans="1:43" ht="13.5" customHeight="1" x14ac:dyDescent="0.2">
      <c r="A213" s="195" t="s">
        <v>323</v>
      </c>
      <c r="B213" s="196"/>
      <c r="C213" s="201" t="s">
        <v>137</v>
      </c>
      <c r="D213" s="198" t="s">
        <v>311</v>
      </c>
      <c r="E213" s="199">
        <v>19987.939999999999</v>
      </c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204">
        <v>19987.939999999999</v>
      </c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</row>
    <row r="214" spans="1:43" ht="13.5" customHeight="1" x14ac:dyDescent="0.2">
      <c r="A214" s="192" t="s">
        <v>340</v>
      </c>
      <c r="B214" s="193" t="s">
        <v>309</v>
      </c>
      <c r="C214" s="194"/>
      <c r="D214" s="194"/>
      <c r="E214" s="194"/>
      <c r="F214" s="189">
        <f t="shared" ref="F214:AQ214" si="18">SUMIF($D$215:$D$226,"Franchise",F215:F226)</f>
        <v>0</v>
      </c>
      <c r="G214" s="189">
        <f t="shared" si="18"/>
        <v>0</v>
      </c>
      <c r="H214" s="189">
        <f t="shared" si="18"/>
        <v>0</v>
      </c>
      <c r="I214" s="189">
        <f t="shared" si="18"/>
        <v>43577.64</v>
      </c>
      <c r="J214" s="189">
        <f t="shared" si="18"/>
        <v>0</v>
      </c>
      <c r="K214" s="189">
        <f t="shared" si="18"/>
        <v>0</v>
      </c>
      <c r="L214" s="189">
        <f t="shared" si="18"/>
        <v>0</v>
      </c>
      <c r="M214" s="189">
        <f t="shared" si="18"/>
        <v>0</v>
      </c>
      <c r="N214" s="189">
        <f t="shared" si="18"/>
        <v>23239.05</v>
      </c>
      <c r="O214" s="189">
        <f t="shared" si="18"/>
        <v>0</v>
      </c>
      <c r="P214" s="189">
        <f t="shared" si="18"/>
        <v>0</v>
      </c>
      <c r="Q214" s="189">
        <f t="shared" si="18"/>
        <v>0</v>
      </c>
      <c r="R214" s="189">
        <f t="shared" si="18"/>
        <v>0</v>
      </c>
      <c r="S214" s="189">
        <f t="shared" si="18"/>
        <v>0</v>
      </c>
      <c r="T214" s="189">
        <f t="shared" si="18"/>
        <v>0</v>
      </c>
      <c r="U214" s="189">
        <f t="shared" si="18"/>
        <v>0</v>
      </c>
      <c r="V214" s="189">
        <f t="shared" si="18"/>
        <v>0</v>
      </c>
      <c r="W214" s="189">
        <f t="shared" si="18"/>
        <v>0</v>
      </c>
      <c r="X214" s="189">
        <f t="shared" si="18"/>
        <v>0</v>
      </c>
      <c r="Y214" s="189">
        <f t="shared" si="18"/>
        <v>0</v>
      </c>
      <c r="Z214" s="189">
        <f t="shared" si="18"/>
        <v>0</v>
      </c>
      <c r="AA214" s="189">
        <f t="shared" si="18"/>
        <v>0</v>
      </c>
      <c r="AB214" s="189">
        <f t="shared" si="18"/>
        <v>0</v>
      </c>
      <c r="AC214" s="189">
        <f t="shared" si="18"/>
        <v>0</v>
      </c>
      <c r="AD214" s="189">
        <f t="shared" si="18"/>
        <v>0</v>
      </c>
      <c r="AE214" s="189">
        <f t="shared" si="18"/>
        <v>0</v>
      </c>
      <c r="AF214" s="189">
        <f t="shared" si="18"/>
        <v>0</v>
      </c>
      <c r="AG214" s="189">
        <f t="shared" si="18"/>
        <v>0</v>
      </c>
      <c r="AH214" s="189">
        <f t="shared" si="18"/>
        <v>0</v>
      </c>
      <c r="AI214" s="189">
        <f t="shared" si="18"/>
        <v>0</v>
      </c>
      <c r="AJ214" s="189">
        <f t="shared" si="18"/>
        <v>0</v>
      </c>
      <c r="AK214" s="189">
        <f t="shared" si="18"/>
        <v>0</v>
      </c>
      <c r="AL214" s="189">
        <f t="shared" si="18"/>
        <v>0</v>
      </c>
      <c r="AM214" s="189">
        <f t="shared" si="18"/>
        <v>0</v>
      </c>
      <c r="AN214" s="189">
        <f t="shared" si="18"/>
        <v>0</v>
      </c>
      <c r="AO214" s="189">
        <f t="shared" si="18"/>
        <v>0</v>
      </c>
      <c r="AP214" s="189">
        <f t="shared" si="18"/>
        <v>0</v>
      </c>
      <c r="AQ214" s="189">
        <f t="shared" si="18"/>
        <v>0</v>
      </c>
    </row>
    <row r="215" spans="1:43" ht="15" customHeight="1" x14ac:dyDescent="0.2">
      <c r="A215" s="195" t="s">
        <v>310</v>
      </c>
      <c r="B215" s="196"/>
      <c r="C215" s="197" t="s">
        <v>193</v>
      </c>
      <c r="D215" s="198" t="s">
        <v>311</v>
      </c>
      <c r="E215" s="196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</row>
    <row r="216" spans="1:43" ht="15.75" customHeight="1" x14ac:dyDescent="0.2">
      <c r="A216" s="195" t="s">
        <v>312</v>
      </c>
      <c r="B216" s="196"/>
      <c r="C216" s="197" t="s">
        <v>193</v>
      </c>
      <c r="D216" s="198" t="s">
        <v>311</v>
      </c>
      <c r="E216" s="199">
        <v>-7500</v>
      </c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</row>
    <row r="217" spans="1:43" ht="13.5" customHeight="1" x14ac:dyDescent="0.2">
      <c r="A217" s="195" t="s">
        <v>313</v>
      </c>
      <c r="B217" s="196"/>
      <c r="C217" s="197" t="s">
        <v>193</v>
      </c>
      <c r="D217" s="198" t="s">
        <v>311</v>
      </c>
      <c r="E217" s="199">
        <v>25803.9</v>
      </c>
      <c r="F217" s="164"/>
      <c r="G217" s="164"/>
      <c r="H217" s="164"/>
      <c r="I217" s="200">
        <v>25803.9</v>
      </c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</row>
    <row r="218" spans="1:43" ht="13.5" customHeight="1" x14ac:dyDescent="0.2">
      <c r="A218" s="195" t="s">
        <v>314</v>
      </c>
      <c r="B218" s="196"/>
      <c r="C218" s="197" t="s">
        <v>193</v>
      </c>
      <c r="D218" s="198" t="s">
        <v>311</v>
      </c>
      <c r="E218" s="199">
        <v>17202.599999999999</v>
      </c>
      <c r="F218" s="164"/>
      <c r="G218" s="164"/>
      <c r="H218" s="164"/>
      <c r="I218" s="200">
        <v>17202.599999999999</v>
      </c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</row>
    <row r="219" spans="1:43" ht="13.5" customHeight="1" x14ac:dyDescent="0.2">
      <c r="A219" s="195" t="s">
        <v>315</v>
      </c>
      <c r="B219" s="196"/>
      <c r="C219" s="197" t="s">
        <v>193</v>
      </c>
      <c r="D219" s="198" t="s">
        <v>311</v>
      </c>
      <c r="E219" s="199">
        <v>-9871.56</v>
      </c>
      <c r="F219" s="164"/>
      <c r="G219" s="164"/>
      <c r="H219" s="164"/>
      <c r="I219" s="200">
        <v>-9871.56</v>
      </c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</row>
    <row r="220" spans="1:43" ht="13.5" customHeight="1" x14ac:dyDescent="0.2">
      <c r="A220" s="195" t="s">
        <v>316</v>
      </c>
      <c r="B220" s="196"/>
      <c r="C220" s="197" t="s">
        <v>193</v>
      </c>
      <c r="D220" s="198" t="s">
        <v>311</v>
      </c>
      <c r="E220" s="199">
        <v>10442.700000000001</v>
      </c>
      <c r="F220" s="164"/>
      <c r="G220" s="164"/>
      <c r="H220" s="164"/>
      <c r="I220" s="200">
        <v>10442.700000000001</v>
      </c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</row>
    <row r="221" spans="1:43" ht="13.5" customHeight="1" x14ac:dyDescent="0.2">
      <c r="A221" s="195" t="s">
        <v>317</v>
      </c>
      <c r="B221" s="196"/>
      <c r="C221" s="197" t="s">
        <v>193</v>
      </c>
      <c r="D221" s="198" t="s">
        <v>318</v>
      </c>
      <c r="E221" s="199">
        <v>27003.9</v>
      </c>
      <c r="F221" s="164"/>
      <c r="G221" s="164"/>
      <c r="H221" s="164"/>
      <c r="I221" s="164"/>
      <c r="J221" s="164"/>
      <c r="K221" s="200">
        <v>27003.9</v>
      </c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</row>
    <row r="222" spans="1:43" ht="13.5" customHeight="1" x14ac:dyDescent="0.2">
      <c r="A222" s="195" t="s">
        <v>319</v>
      </c>
      <c r="B222" s="196"/>
      <c r="C222" s="197" t="s">
        <v>193</v>
      </c>
      <c r="D222" s="198" t="s">
        <v>318</v>
      </c>
      <c r="E222" s="199">
        <v>35005.199999999997</v>
      </c>
      <c r="F222" s="164"/>
      <c r="G222" s="164"/>
      <c r="H222" s="164"/>
      <c r="I222" s="164"/>
      <c r="J222" s="164"/>
      <c r="K222" s="164"/>
      <c r="L222" s="164"/>
      <c r="M222" s="200">
        <v>35005.199999999997</v>
      </c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</row>
    <row r="223" spans="1:43" ht="13.5" customHeight="1" x14ac:dyDescent="0.2">
      <c r="A223" s="195" t="s">
        <v>320</v>
      </c>
      <c r="B223" s="196"/>
      <c r="C223" s="197" t="s">
        <v>193</v>
      </c>
      <c r="D223" s="198" t="s">
        <v>318</v>
      </c>
      <c r="E223" s="199">
        <v>-3646.38</v>
      </c>
      <c r="F223" s="164"/>
      <c r="G223" s="164"/>
      <c r="H223" s="164"/>
      <c r="I223" s="164"/>
      <c r="J223" s="164"/>
      <c r="K223" s="164"/>
      <c r="L223" s="164"/>
      <c r="M223" s="200">
        <v>-3646.38</v>
      </c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</row>
    <row r="224" spans="1:43" ht="13.5" customHeight="1" x14ac:dyDescent="0.2">
      <c r="A224" s="195" t="s">
        <v>321</v>
      </c>
      <c r="B224" s="196"/>
      <c r="C224" s="197" t="s">
        <v>193</v>
      </c>
      <c r="D224" s="198" t="s">
        <v>318</v>
      </c>
      <c r="E224" s="199">
        <v>61259.1</v>
      </c>
      <c r="F224" s="164"/>
      <c r="G224" s="164"/>
      <c r="H224" s="164"/>
      <c r="I224" s="164"/>
      <c r="J224" s="164"/>
      <c r="K224" s="164"/>
      <c r="L224" s="164"/>
      <c r="M224" s="164"/>
      <c r="N224" s="200">
        <v>61259.1</v>
      </c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</row>
    <row r="225" spans="1:43" ht="13.5" customHeight="1" x14ac:dyDescent="0.2">
      <c r="A225" s="195" t="s">
        <v>322</v>
      </c>
      <c r="B225" s="196"/>
      <c r="C225" s="197" t="s">
        <v>193</v>
      </c>
      <c r="D225" s="198" t="s">
        <v>318</v>
      </c>
      <c r="E225" s="199">
        <v>8751.2999999999993</v>
      </c>
      <c r="F225" s="164"/>
      <c r="G225" s="164"/>
      <c r="H225" s="164"/>
      <c r="I225" s="164"/>
      <c r="J225" s="164"/>
      <c r="K225" s="164"/>
      <c r="L225" s="164"/>
      <c r="M225" s="164"/>
      <c r="N225" s="200">
        <v>8751.2999999999993</v>
      </c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</row>
    <row r="226" spans="1:43" ht="13.5" customHeight="1" x14ac:dyDescent="0.2">
      <c r="A226" s="195" t="s">
        <v>323</v>
      </c>
      <c r="B226" s="196"/>
      <c r="C226" s="197" t="s">
        <v>193</v>
      </c>
      <c r="D226" s="198" t="s">
        <v>311</v>
      </c>
      <c r="E226" s="199">
        <v>23239.05</v>
      </c>
      <c r="F226" s="164"/>
      <c r="G226" s="164"/>
      <c r="H226" s="164"/>
      <c r="I226" s="164"/>
      <c r="J226" s="164"/>
      <c r="K226" s="164"/>
      <c r="L226" s="164"/>
      <c r="M226" s="164"/>
      <c r="N226" s="200">
        <v>23239.05</v>
      </c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</row>
    <row r="227" spans="1:43" ht="13.5" customHeight="1" x14ac:dyDescent="0.2">
      <c r="A227" s="192" t="s">
        <v>341</v>
      </c>
      <c r="B227" s="192" t="s">
        <v>334</v>
      </c>
      <c r="C227" s="194"/>
      <c r="D227" s="194"/>
      <c r="E227" s="194"/>
      <c r="F227" s="189">
        <f t="shared" ref="F227:AQ227" si="19">SUMIF($D$228:$D$239,"Franchise",F228:F239)</f>
        <v>0</v>
      </c>
      <c r="G227" s="189">
        <f t="shared" si="19"/>
        <v>0</v>
      </c>
      <c r="H227" s="189">
        <f t="shared" si="19"/>
        <v>0</v>
      </c>
      <c r="I227" s="189">
        <f t="shared" si="19"/>
        <v>0</v>
      </c>
      <c r="J227" s="189">
        <f t="shared" si="19"/>
        <v>0</v>
      </c>
      <c r="K227" s="189">
        <f t="shared" si="19"/>
        <v>0</v>
      </c>
      <c r="L227" s="189">
        <f t="shared" si="19"/>
        <v>0</v>
      </c>
      <c r="M227" s="189">
        <f t="shared" si="19"/>
        <v>0</v>
      </c>
      <c r="N227" s="189">
        <f t="shared" si="19"/>
        <v>0</v>
      </c>
      <c r="O227" s="189">
        <f t="shared" si="19"/>
        <v>0</v>
      </c>
      <c r="P227" s="189">
        <f t="shared" si="19"/>
        <v>0</v>
      </c>
      <c r="Q227" s="189">
        <f t="shared" si="19"/>
        <v>44211.55</v>
      </c>
      <c r="R227" s="189">
        <f t="shared" si="19"/>
        <v>-8756.68</v>
      </c>
      <c r="S227" s="189">
        <f t="shared" si="19"/>
        <v>0</v>
      </c>
      <c r="T227" s="189">
        <f t="shared" si="19"/>
        <v>0</v>
      </c>
      <c r="U227" s="189">
        <f t="shared" si="19"/>
        <v>0</v>
      </c>
      <c r="V227" s="189">
        <f t="shared" si="19"/>
        <v>0</v>
      </c>
      <c r="W227" s="189">
        <f t="shared" si="19"/>
        <v>0</v>
      </c>
      <c r="X227" s="189">
        <f t="shared" si="19"/>
        <v>0</v>
      </c>
      <c r="Y227" s="189">
        <f t="shared" si="19"/>
        <v>0</v>
      </c>
      <c r="Z227" s="189">
        <f t="shared" si="19"/>
        <v>16006.04</v>
      </c>
      <c r="AA227" s="189">
        <f t="shared" si="19"/>
        <v>0</v>
      </c>
      <c r="AB227" s="189">
        <f t="shared" si="19"/>
        <v>0</v>
      </c>
      <c r="AC227" s="189">
        <f t="shared" si="19"/>
        <v>0</v>
      </c>
      <c r="AD227" s="189">
        <f t="shared" si="19"/>
        <v>0</v>
      </c>
      <c r="AE227" s="189">
        <f t="shared" si="19"/>
        <v>0</v>
      </c>
      <c r="AF227" s="189">
        <f t="shared" si="19"/>
        <v>0</v>
      </c>
      <c r="AG227" s="189">
        <f t="shared" si="19"/>
        <v>0</v>
      </c>
      <c r="AH227" s="189">
        <f t="shared" si="19"/>
        <v>0</v>
      </c>
      <c r="AI227" s="189">
        <f t="shared" si="19"/>
        <v>0</v>
      </c>
      <c r="AJ227" s="189">
        <f t="shared" si="19"/>
        <v>0</v>
      </c>
      <c r="AK227" s="189">
        <f t="shared" si="19"/>
        <v>0</v>
      </c>
      <c r="AL227" s="189">
        <f t="shared" si="19"/>
        <v>0</v>
      </c>
      <c r="AM227" s="189">
        <f t="shared" si="19"/>
        <v>0</v>
      </c>
      <c r="AN227" s="189">
        <f t="shared" si="19"/>
        <v>0</v>
      </c>
      <c r="AO227" s="189">
        <f t="shared" si="19"/>
        <v>0</v>
      </c>
      <c r="AP227" s="189">
        <f t="shared" si="19"/>
        <v>0</v>
      </c>
      <c r="AQ227" s="189">
        <f t="shared" si="19"/>
        <v>0</v>
      </c>
    </row>
    <row r="228" spans="1:43" ht="13.5" customHeight="1" x14ac:dyDescent="0.2">
      <c r="A228" s="195" t="s">
        <v>310</v>
      </c>
      <c r="B228" s="196"/>
      <c r="C228" s="197" t="s">
        <v>193</v>
      </c>
      <c r="D228" s="198" t="s">
        <v>311</v>
      </c>
      <c r="E228" s="196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</row>
    <row r="229" spans="1:43" ht="15" customHeight="1" x14ac:dyDescent="0.2">
      <c r="A229" s="195" t="s">
        <v>312</v>
      </c>
      <c r="B229" s="196"/>
      <c r="C229" s="197" t="s">
        <v>193</v>
      </c>
      <c r="D229" s="198" t="s">
        <v>311</v>
      </c>
      <c r="E229" s="199">
        <v>-6000</v>
      </c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</row>
    <row r="230" spans="1:43" ht="15.75" customHeight="1" x14ac:dyDescent="0.2">
      <c r="A230" s="195" t="s">
        <v>313</v>
      </c>
      <c r="B230" s="196"/>
      <c r="C230" s="197" t="s">
        <v>193</v>
      </c>
      <c r="D230" s="198" t="s">
        <v>311</v>
      </c>
      <c r="E230" s="199">
        <v>21107.7</v>
      </c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200">
        <v>21107.7</v>
      </c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</row>
    <row r="231" spans="1:43" ht="13.5" customHeight="1" x14ac:dyDescent="0.2">
      <c r="A231" s="195" t="s">
        <v>314</v>
      </c>
      <c r="B231" s="196"/>
      <c r="C231" s="197" t="s">
        <v>193</v>
      </c>
      <c r="D231" s="198" t="s">
        <v>311</v>
      </c>
      <c r="E231" s="199">
        <v>14071.8</v>
      </c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200">
        <v>14071.8</v>
      </c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</row>
    <row r="232" spans="1:43" ht="13.5" customHeight="1" x14ac:dyDescent="0.2">
      <c r="A232" s="195" t="s">
        <v>315</v>
      </c>
      <c r="B232" s="196"/>
      <c r="C232" s="197" t="s">
        <v>193</v>
      </c>
      <c r="D232" s="198" t="s">
        <v>311</v>
      </c>
      <c r="E232" s="199">
        <v>-8756.68</v>
      </c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200">
        <v>-8756.68</v>
      </c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</row>
    <row r="233" spans="1:43" ht="13.5" customHeight="1" x14ac:dyDescent="0.2">
      <c r="A233" s="195" t="s">
        <v>316</v>
      </c>
      <c r="B233" s="196"/>
      <c r="C233" s="197" t="s">
        <v>193</v>
      </c>
      <c r="D233" s="198" t="s">
        <v>311</v>
      </c>
      <c r="E233" s="199">
        <v>9032.0499999999993</v>
      </c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200">
        <v>9032.0499999999993</v>
      </c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</row>
    <row r="234" spans="1:43" ht="13.5" customHeight="1" x14ac:dyDescent="0.2">
      <c r="A234" s="195" t="s">
        <v>317</v>
      </c>
      <c r="B234" s="196"/>
      <c r="C234" s="197" t="s">
        <v>193</v>
      </c>
      <c r="D234" s="198" t="s">
        <v>318</v>
      </c>
      <c r="E234" s="199">
        <v>21789.46</v>
      </c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200">
        <v>21789.46</v>
      </c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</row>
    <row r="235" spans="1:43" ht="13.5" customHeight="1" x14ac:dyDescent="0.2">
      <c r="A235" s="195" t="s">
        <v>319</v>
      </c>
      <c r="B235" s="196"/>
      <c r="C235" s="197" t="s">
        <v>193</v>
      </c>
      <c r="D235" s="198" t="s">
        <v>318</v>
      </c>
      <c r="E235" s="199">
        <v>28484.48</v>
      </c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200">
        <v>28484.48</v>
      </c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</row>
    <row r="236" spans="1:43" ht="13.5" customHeight="1" x14ac:dyDescent="0.2">
      <c r="A236" s="195" t="s">
        <v>320</v>
      </c>
      <c r="B236" s="196"/>
      <c r="C236" s="197" t="s">
        <v>193</v>
      </c>
      <c r="D236" s="198" t="s">
        <v>318</v>
      </c>
      <c r="E236" s="199">
        <v>-2967.13</v>
      </c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200">
        <v>-2967.13</v>
      </c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</row>
    <row r="237" spans="1:43" ht="13.5" customHeight="1" x14ac:dyDescent="0.2">
      <c r="A237" s="195" t="s">
        <v>321</v>
      </c>
      <c r="B237" s="196"/>
      <c r="C237" s="201" t="s">
        <v>137</v>
      </c>
      <c r="D237" s="198" t="s">
        <v>318</v>
      </c>
      <c r="E237" s="199">
        <v>49847.83</v>
      </c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204">
        <v>49847.83</v>
      </c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</row>
    <row r="238" spans="1:43" ht="13.5" customHeight="1" x14ac:dyDescent="0.2">
      <c r="A238" s="195" t="s">
        <v>322</v>
      </c>
      <c r="B238" s="196"/>
      <c r="C238" s="201" t="s">
        <v>137</v>
      </c>
      <c r="D238" s="198" t="s">
        <v>318</v>
      </c>
      <c r="E238" s="199">
        <v>7121.12</v>
      </c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204">
        <v>7121.12</v>
      </c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</row>
    <row r="239" spans="1:43" ht="13.5" customHeight="1" x14ac:dyDescent="0.2">
      <c r="A239" s="195" t="s">
        <v>323</v>
      </c>
      <c r="B239" s="196"/>
      <c r="C239" s="201" t="s">
        <v>137</v>
      </c>
      <c r="D239" s="198" t="s">
        <v>311</v>
      </c>
      <c r="E239" s="199">
        <v>16006.04</v>
      </c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204">
        <v>16006.04</v>
      </c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  <c r="AK239" s="164"/>
      <c r="AL239" s="164"/>
      <c r="AM239" s="164"/>
      <c r="AN239" s="164"/>
      <c r="AO239" s="164"/>
      <c r="AP239" s="164"/>
      <c r="AQ239" s="164"/>
    </row>
    <row r="240" spans="1:43" ht="13.5" customHeight="1" x14ac:dyDescent="0.2">
      <c r="A240" s="192" t="s">
        <v>342</v>
      </c>
      <c r="B240" s="192" t="s">
        <v>334</v>
      </c>
      <c r="C240" s="194"/>
      <c r="D240" s="194"/>
      <c r="E240" s="194"/>
      <c r="F240" s="189">
        <f t="shared" ref="F240:AQ240" si="20">SUMIF($D$241:$D$252,"Franchise",F241:F252)</f>
        <v>0</v>
      </c>
      <c r="G240" s="189">
        <f t="shared" si="20"/>
        <v>0</v>
      </c>
      <c r="H240" s="189">
        <f t="shared" si="20"/>
        <v>0</v>
      </c>
      <c r="I240" s="189">
        <f t="shared" si="20"/>
        <v>0</v>
      </c>
      <c r="J240" s="189">
        <f t="shared" si="20"/>
        <v>0</v>
      </c>
      <c r="K240" s="189">
        <f t="shared" si="20"/>
        <v>0</v>
      </c>
      <c r="L240" s="189">
        <f t="shared" si="20"/>
        <v>0</v>
      </c>
      <c r="M240" s="189">
        <f t="shared" si="20"/>
        <v>0</v>
      </c>
      <c r="N240" s="189">
        <f t="shared" si="20"/>
        <v>0</v>
      </c>
      <c r="O240" s="189">
        <f t="shared" si="20"/>
        <v>0</v>
      </c>
      <c r="P240" s="189">
        <f t="shared" si="20"/>
        <v>0</v>
      </c>
      <c r="Q240" s="189">
        <f t="shared" si="20"/>
        <v>0</v>
      </c>
      <c r="R240" s="189">
        <f t="shared" si="20"/>
        <v>41621.230000000003</v>
      </c>
      <c r="S240" s="189">
        <f t="shared" si="20"/>
        <v>0</v>
      </c>
      <c r="T240" s="189">
        <f t="shared" si="20"/>
        <v>0</v>
      </c>
      <c r="U240" s="189">
        <f t="shared" si="20"/>
        <v>0</v>
      </c>
      <c r="V240" s="189">
        <f t="shared" si="20"/>
        <v>0</v>
      </c>
      <c r="W240" s="189">
        <f t="shared" si="20"/>
        <v>0</v>
      </c>
      <c r="X240" s="189">
        <f t="shared" si="20"/>
        <v>0</v>
      </c>
      <c r="Y240" s="189">
        <f t="shared" si="20"/>
        <v>0</v>
      </c>
      <c r="Z240" s="189">
        <f t="shared" si="20"/>
        <v>0</v>
      </c>
      <c r="AA240" s="189">
        <f t="shared" si="20"/>
        <v>19687.939999999999</v>
      </c>
      <c r="AB240" s="189">
        <f t="shared" si="20"/>
        <v>0</v>
      </c>
      <c r="AC240" s="189">
        <f t="shared" si="20"/>
        <v>0</v>
      </c>
      <c r="AD240" s="189">
        <f t="shared" si="20"/>
        <v>0</v>
      </c>
      <c r="AE240" s="189">
        <f t="shared" si="20"/>
        <v>0</v>
      </c>
      <c r="AF240" s="189">
        <f t="shared" si="20"/>
        <v>0</v>
      </c>
      <c r="AG240" s="189">
        <f t="shared" si="20"/>
        <v>0</v>
      </c>
      <c r="AH240" s="189">
        <f t="shared" si="20"/>
        <v>0</v>
      </c>
      <c r="AI240" s="189">
        <f t="shared" si="20"/>
        <v>0</v>
      </c>
      <c r="AJ240" s="189">
        <f t="shared" si="20"/>
        <v>0</v>
      </c>
      <c r="AK240" s="189">
        <f t="shared" si="20"/>
        <v>0</v>
      </c>
      <c r="AL240" s="189">
        <f t="shared" si="20"/>
        <v>0</v>
      </c>
      <c r="AM240" s="189">
        <f t="shared" si="20"/>
        <v>0</v>
      </c>
      <c r="AN240" s="189">
        <f t="shared" si="20"/>
        <v>0</v>
      </c>
      <c r="AO240" s="189">
        <f t="shared" si="20"/>
        <v>0</v>
      </c>
      <c r="AP240" s="189">
        <f t="shared" si="20"/>
        <v>0</v>
      </c>
      <c r="AQ240" s="189">
        <f t="shared" si="20"/>
        <v>0</v>
      </c>
    </row>
    <row r="241" spans="1:43" ht="13.5" customHeight="1" x14ac:dyDescent="0.2">
      <c r="A241" s="195" t="s">
        <v>310</v>
      </c>
      <c r="B241" s="196"/>
      <c r="C241" s="197" t="s">
        <v>193</v>
      </c>
      <c r="D241" s="198" t="s">
        <v>311</v>
      </c>
      <c r="E241" s="196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  <c r="AP241" s="164"/>
      <c r="AQ241" s="164"/>
    </row>
    <row r="242" spans="1:43" ht="13.5" customHeight="1" x14ac:dyDescent="0.2">
      <c r="A242" s="195" t="s">
        <v>312</v>
      </c>
      <c r="B242" s="196"/>
      <c r="C242" s="197" t="s">
        <v>193</v>
      </c>
      <c r="D242" s="198" t="s">
        <v>311</v>
      </c>
      <c r="E242" s="199">
        <v>-6000</v>
      </c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  <c r="AP242" s="164"/>
      <c r="AQ242" s="164"/>
    </row>
    <row r="243" spans="1:43" ht="15" customHeight="1" x14ac:dyDescent="0.2">
      <c r="A243" s="195" t="s">
        <v>313</v>
      </c>
      <c r="B243" s="196"/>
      <c r="C243" s="197" t="s">
        <v>193</v>
      </c>
      <c r="D243" s="198" t="s">
        <v>311</v>
      </c>
      <c r="E243" s="199">
        <v>24820.2</v>
      </c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200">
        <v>24820.2</v>
      </c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164"/>
      <c r="AQ243" s="164"/>
    </row>
    <row r="244" spans="1:43" ht="15.75" customHeight="1" x14ac:dyDescent="0.2">
      <c r="A244" s="195" t="s">
        <v>314</v>
      </c>
      <c r="B244" s="196"/>
      <c r="C244" s="197" t="s">
        <v>193</v>
      </c>
      <c r="D244" s="198" t="s">
        <v>311</v>
      </c>
      <c r="E244" s="199">
        <v>16546.8</v>
      </c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200">
        <v>16546.8</v>
      </c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L244" s="164"/>
      <c r="AM244" s="164"/>
      <c r="AN244" s="164"/>
      <c r="AO244" s="164"/>
      <c r="AP244" s="164"/>
      <c r="AQ244" s="164"/>
    </row>
    <row r="245" spans="1:43" ht="13.5" customHeight="1" x14ac:dyDescent="0.2">
      <c r="A245" s="195" t="s">
        <v>315</v>
      </c>
      <c r="B245" s="196"/>
      <c r="C245" s="197" t="s">
        <v>193</v>
      </c>
      <c r="D245" s="198" t="s">
        <v>311</v>
      </c>
      <c r="E245" s="199">
        <v>-10365.42</v>
      </c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200">
        <v>-10365.42</v>
      </c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L245" s="164"/>
      <c r="AM245" s="164"/>
      <c r="AN245" s="164"/>
      <c r="AO245" s="164"/>
      <c r="AP245" s="164"/>
      <c r="AQ245" s="164"/>
    </row>
    <row r="246" spans="1:43" ht="13.5" customHeight="1" x14ac:dyDescent="0.2">
      <c r="A246" s="195" t="s">
        <v>316</v>
      </c>
      <c r="B246" s="196"/>
      <c r="C246" s="197" t="s">
        <v>193</v>
      </c>
      <c r="D246" s="198" t="s">
        <v>311</v>
      </c>
      <c r="E246" s="199">
        <v>10619.65</v>
      </c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200">
        <v>10619.65</v>
      </c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L246" s="164"/>
      <c r="AM246" s="164"/>
      <c r="AN246" s="164"/>
      <c r="AO246" s="164"/>
      <c r="AP246" s="164"/>
      <c r="AQ246" s="164"/>
    </row>
    <row r="247" spans="1:43" ht="13.5" customHeight="1" x14ac:dyDescent="0.2">
      <c r="A247" s="195" t="s">
        <v>317</v>
      </c>
      <c r="B247" s="196"/>
      <c r="C247" s="197" t="s">
        <v>193</v>
      </c>
      <c r="D247" s="198" t="s">
        <v>318</v>
      </c>
      <c r="E247" s="199">
        <v>25523.78</v>
      </c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200">
        <v>25523.78</v>
      </c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  <c r="AP247" s="164"/>
      <c r="AQ247" s="164"/>
    </row>
    <row r="248" spans="1:43" ht="13.5" customHeight="1" x14ac:dyDescent="0.2">
      <c r="A248" s="195" t="s">
        <v>319</v>
      </c>
      <c r="B248" s="196"/>
      <c r="C248" s="197" t="s">
        <v>193</v>
      </c>
      <c r="D248" s="198" t="s">
        <v>318</v>
      </c>
      <c r="E248" s="199">
        <v>33445.39</v>
      </c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200">
        <v>33445.39</v>
      </c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  <c r="AP248" s="164"/>
      <c r="AQ248" s="164"/>
    </row>
    <row r="249" spans="1:43" ht="13.5" customHeight="1" x14ac:dyDescent="0.2">
      <c r="A249" s="195" t="s">
        <v>320</v>
      </c>
      <c r="B249" s="196"/>
      <c r="C249" s="197" t="s">
        <v>193</v>
      </c>
      <c r="D249" s="198" t="s">
        <v>318</v>
      </c>
      <c r="E249" s="199">
        <v>-3483.89</v>
      </c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200">
        <v>-3483.89</v>
      </c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  <c r="AP249" s="164"/>
      <c r="AQ249" s="164"/>
    </row>
    <row r="250" spans="1:43" ht="13.5" customHeight="1" x14ac:dyDescent="0.2">
      <c r="A250" s="195" t="s">
        <v>321</v>
      </c>
      <c r="B250" s="196"/>
      <c r="C250" s="201" t="s">
        <v>137</v>
      </c>
      <c r="D250" s="198" t="s">
        <v>318</v>
      </c>
      <c r="E250" s="199">
        <v>58529.440000000002</v>
      </c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204">
        <v>58529.440000000002</v>
      </c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L250" s="164"/>
      <c r="AM250" s="164"/>
      <c r="AN250" s="164"/>
      <c r="AO250" s="164"/>
      <c r="AP250" s="164"/>
      <c r="AQ250" s="164"/>
    </row>
    <row r="251" spans="1:43" ht="13.5" customHeight="1" x14ac:dyDescent="0.2">
      <c r="A251" s="195" t="s">
        <v>322</v>
      </c>
      <c r="B251" s="196"/>
      <c r="C251" s="201" t="s">
        <v>137</v>
      </c>
      <c r="D251" s="198" t="s">
        <v>318</v>
      </c>
      <c r="E251" s="199">
        <v>8361.35</v>
      </c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204">
        <v>8361.35</v>
      </c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L251" s="164"/>
      <c r="AM251" s="164"/>
      <c r="AN251" s="164"/>
      <c r="AO251" s="164"/>
      <c r="AP251" s="164"/>
      <c r="AQ251" s="164"/>
    </row>
    <row r="252" spans="1:43" ht="13.5" customHeight="1" x14ac:dyDescent="0.2">
      <c r="A252" s="195" t="s">
        <v>323</v>
      </c>
      <c r="B252" s="196"/>
      <c r="C252" s="201" t="s">
        <v>137</v>
      </c>
      <c r="D252" s="198" t="s">
        <v>311</v>
      </c>
      <c r="E252" s="199">
        <v>19687.939999999999</v>
      </c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204">
        <v>19687.939999999999</v>
      </c>
      <c r="AB252" s="164"/>
      <c r="AC252" s="164"/>
      <c r="AD252" s="164"/>
      <c r="AE252" s="164"/>
      <c r="AF252" s="164"/>
      <c r="AG252" s="164"/>
      <c r="AH252" s="164"/>
      <c r="AI252" s="164"/>
      <c r="AJ252" s="164"/>
      <c r="AK252" s="164"/>
      <c r="AL252" s="164"/>
      <c r="AM252" s="164"/>
      <c r="AN252" s="164"/>
      <c r="AO252" s="164"/>
      <c r="AP252" s="164"/>
      <c r="AQ252" s="164"/>
    </row>
    <row r="253" spans="1:43" ht="13.5" customHeight="1" x14ac:dyDescent="0.2">
      <c r="A253" s="192" t="s">
        <v>343</v>
      </c>
      <c r="B253" s="192" t="s">
        <v>334</v>
      </c>
      <c r="C253" s="194"/>
      <c r="D253" s="194"/>
      <c r="E253" s="194"/>
      <c r="F253" s="189">
        <f t="shared" ref="F253:AQ253" si="21">SUMIF($D$254:$D$265,"Franchise",F254:F265)</f>
        <v>0</v>
      </c>
      <c r="G253" s="189">
        <f t="shared" si="21"/>
        <v>0</v>
      </c>
      <c r="H253" s="189">
        <f t="shared" si="21"/>
        <v>0</v>
      </c>
      <c r="I253" s="189">
        <f t="shared" si="21"/>
        <v>0</v>
      </c>
      <c r="J253" s="189">
        <f t="shared" si="21"/>
        <v>0</v>
      </c>
      <c r="K253" s="189">
        <f t="shared" si="21"/>
        <v>0</v>
      </c>
      <c r="L253" s="189">
        <f t="shared" si="21"/>
        <v>0</v>
      </c>
      <c r="M253" s="189">
        <f t="shared" si="21"/>
        <v>0</v>
      </c>
      <c r="N253" s="189">
        <f t="shared" si="21"/>
        <v>0</v>
      </c>
      <c r="O253" s="189">
        <f t="shared" si="21"/>
        <v>0</v>
      </c>
      <c r="P253" s="189">
        <f t="shared" si="21"/>
        <v>0</v>
      </c>
      <c r="Q253" s="189">
        <f t="shared" si="21"/>
        <v>0</v>
      </c>
      <c r="R253" s="189">
        <f t="shared" si="21"/>
        <v>47332.07</v>
      </c>
      <c r="S253" s="189">
        <f t="shared" si="21"/>
        <v>0</v>
      </c>
      <c r="T253" s="189">
        <f t="shared" si="21"/>
        <v>0</v>
      </c>
      <c r="U253" s="189">
        <f t="shared" si="21"/>
        <v>0</v>
      </c>
      <c r="V253" s="189">
        <f t="shared" si="21"/>
        <v>0</v>
      </c>
      <c r="W253" s="189">
        <f t="shared" si="21"/>
        <v>0</v>
      </c>
      <c r="X253" s="189">
        <f t="shared" si="21"/>
        <v>0</v>
      </c>
      <c r="Y253" s="189">
        <f t="shared" si="21"/>
        <v>0</v>
      </c>
      <c r="Z253" s="189">
        <f t="shared" si="21"/>
        <v>0</v>
      </c>
      <c r="AA253" s="189">
        <f t="shared" si="21"/>
        <v>16777.29</v>
      </c>
      <c r="AB253" s="189">
        <f t="shared" si="21"/>
        <v>0</v>
      </c>
      <c r="AC253" s="189">
        <f t="shared" si="21"/>
        <v>0</v>
      </c>
      <c r="AD253" s="189">
        <f t="shared" si="21"/>
        <v>0</v>
      </c>
      <c r="AE253" s="189">
        <f t="shared" si="21"/>
        <v>0</v>
      </c>
      <c r="AF253" s="189">
        <f t="shared" si="21"/>
        <v>0</v>
      </c>
      <c r="AG253" s="189">
        <f t="shared" si="21"/>
        <v>0</v>
      </c>
      <c r="AH253" s="189">
        <f t="shared" si="21"/>
        <v>0</v>
      </c>
      <c r="AI253" s="189">
        <f t="shared" si="21"/>
        <v>0</v>
      </c>
      <c r="AJ253" s="189">
        <f t="shared" si="21"/>
        <v>0</v>
      </c>
      <c r="AK253" s="189">
        <f t="shared" si="21"/>
        <v>0</v>
      </c>
      <c r="AL253" s="189">
        <f t="shared" si="21"/>
        <v>0</v>
      </c>
      <c r="AM253" s="189">
        <f t="shared" si="21"/>
        <v>0</v>
      </c>
      <c r="AN253" s="189">
        <f t="shared" si="21"/>
        <v>0</v>
      </c>
      <c r="AO253" s="189">
        <f t="shared" si="21"/>
        <v>0</v>
      </c>
      <c r="AP253" s="189">
        <f t="shared" si="21"/>
        <v>0</v>
      </c>
      <c r="AQ253" s="189">
        <f t="shared" si="21"/>
        <v>0</v>
      </c>
    </row>
    <row r="254" spans="1:43" ht="13.5" customHeight="1" x14ac:dyDescent="0.2">
      <c r="A254" s="195" t="s">
        <v>310</v>
      </c>
      <c r="B254" s="196"/>
      <c r="C254" s="197" t="s">
        <v>193</v>
      </c>
      <c r="D254" s="198" t="s">
        <v>311</v>
      </c>
      <c r="E254" s="196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  <c r="AP254" s="164"/>
      <c r="AQ254" s="164"/>
    </row>
    <row r="255" spans="1:43" ht="13.5" customHeight="1" x14ac:dyDescent="0.2">
      <c r="A255" s="195" t="s">
        <v>312</v>
      </c>
      <c r="B255" s="196"/>
      <c r="C255" s="197" t="s">
        <v>193</v>
      </c>
      <c r="D255" s="198" t="s">
        <v>311</v>
      </c>
      <c r="E255" s="199">
        <v>-6000</v>
      </c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  <c r="AP255" s="164"/>
      <c r="AQ255" s="164"/>
    </row>
    <row r="256" spans="1:43" ht="13.5" customHeight="1" x14ac:dyDescent="0.2">
      <c r="A256" s="195" t="s">
        <v>313</v>
      </c>
      <c r="B256" s="196"/>
      <c r="C256" s="197" t="s">
        <v>193</v>
      </c>
      <c r="D256" s="198" t="s">
        <v>311</v>
      </c>
      <c r="E256" s="199">
        <v>28275.75</v>
      </c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200">
        <v>28275.75</v>
      </c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  <c r="AK256" s="164"/>
      <c r="AL256" s="164"/>
      <c r="AM256" s="164"/>
      <c r="AN256" s="164"/>
      <c r="AO256" s="164"/>
      <c r="AP256" s="164"/>
      <c r="AQ256" s="164"/>
    </row>
    <row r="257" spans="1:43" ht="15" customHeight="1" x14ac:dyDescent="0.2">
      <c r="A257" s="195" t="s">
        <v>314</v>
      </c>
      <c r="B257" s="196"/>
      <c r="C257" s="197" t="s">
        <v>193</v>
      </c>
      <c r="D257" s="198" t="s">
        <v>311</v>
      </c>
      <c r="E257" s="199">
        <v>18850.5</v>
      </c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200">
        <v>18850.5</v>
      </c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  <c r="AK257" s="164"/>
      <c r="AL257" s="164"/>
      <c r="AM257" s="164"/>
      <c r="AN257" s="164"/>
      <c r="AO257" s="164"/>
      <c r="AP257" s="164"/>
      <c r="AQ257" s="164"/>
    </row>
    <row r="258" spans="1:43" ht="15.75" customHeight="1" x14ac:dyDescent="0.2">
      <c r="A258" s="195" t="s">
        <v>315</v>
      </c>
      <c r="B258" s="196"/>
      <c r="C258" s="197" t="s">
        <v>193</v>
      </c>
      <c r="D258" s="198" t="s">
        <v>311</v>
      </c>
      <c r="E258" s="199">
        <v>-11862.83</v>
      </c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200">
        <v>-11862.83</v>
      </c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</row>
    <row r="259" spans="1:43" ht="13.5" customHeight="1" x14ac:dyDescent="0.2">
      <c r="A259" s="195" t="s">
        <v>316</v>
      </c>
      <c r="B259" s="196"/>
      <c r="C259" s="197" t="s">
        <v>193</v>
      </c>
      <c r="D259" s="198" t="s">
        <v>311</v>
      </c>
      <c r="E259" s="199">
        <v>12068.65</v>
      </c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200">
        <v>12068.65</v>
      </c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  <c r="AK259" s="164"/>
      <c r="AL259" s="164"/>
      <c r="AM259" s="164"/>
      <c r="AN259" s="164"/>
      <c r="AO259" s="164"/>
      <c r="AP259" s="164"/>
      <c r="AQ259" s="164"/>
    </row>
    <row r="260" spans="1:43" ht="13.5" customHeight="1" x14ac:dyDescent="0.2">
      <c r="A260" s="195" t="s">
        <v>317</v>
      </c>
      <c r="B260" s="196"/>
      <c r="C260" s="197" t="s">
        <v>193</v>
      </c>
      <c r="D260" s="198" t="s">
        <v>318</v>
      </c>
      <c r="E260" s="199">
        <v>29075.48</v>
      </c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200">
        <v>29075.48</v>
      </c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  <c r="AK260" s="164"/>
      <c r="AL260" s="164"/>
      <c r="AM260" s="164"/>
      <c r="AN260" s="164"/>
      <c r="AO260" s="164"/>
      <c r="AP260" s="164"/>
      <c r="AQ260" s="164"/>
    </row>
    <row r="261" spans="1:43" ht="13.5" customHeight="1" x14ac:dyDescent="0.2">
      <c r="A261" s="195" t="s">
        <v>319</v>
      </c>
      <c r="B261" s="196"/>
      <c r="C261" s="197" t="s">
        <v>193</v>
      </c>
      <c r="D261" s="198" t="s">
        <v>318</v>
      </c>
      <c r="E261" s="199">
        <v>38100.86</v>
      </c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200">
        <v>38100.86</v>
      </c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  <c r="AK261" s="164"/>
      <c r="AL261" s="164"/>
      <c r="AM261" s="164"/>
      <c r="AN261" s="164"/>
      <c r="AO261" s="164"/>
      <c r="AP261" s="164"/>
      <c r="AQ261" s="164"/>
    </row>
    <row r="262" spans="1:43" ht="13.5" customHeight="1" x14ac:dyDescent="0.2">
      <c r="A262" s="195" t="s">
        <v>320</v>
      </c>
      <c r="B262" s="196"/>
      <c r="C262" s="197" t="s">
        <v>193</v>
      </c>
      <c r="D262" s="198" t="s">
        <v>318</v>
      </c>
      <c r="E262" s="199">
        <v>-3968.84</v>
      </c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200">
        <v>-3968.84</v>
      </c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  <c r="AP262" s="164"/>
      <c r="AQ262" s="164"/>
    </row>
    <row r="263" spans="1:43" ht="13.5" customHeight="1" x14ac:dyDescent="0.2">
      <c r="A263" s="195" t="s">
        <v>321</v>
      </c>
      <c r="B263" s="196"/>
      <c r="C263" s="201" t="s">
        <v>137</v>
      </c>
      <c r="D263" s="198" t="s">
        <v>318</v>
      </c>
      <c r="E263" s="199">
        <v>66676.509999999995</v>
      </c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204">
        <v>66676.509999999995</v>
      </c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  <c r="AP263" s="164"/>
      <c r="AQ263" s="164"/>
    </row>
    <row r="264" spans="1:43" ht="13.5" customHeight="1" x14ac:dyDescent="0.2">
      <c r="A264" s="195" t="s">
        <v>322</v>
      </c>
      <c r="B264" s="196"/>
      <c r="C264" s="201" t="s">
        <v>137</v>
      </c>
      <c r="D264" s="198" t="s">
        <v>318</v>
      </c>
      <c r="E264" s="199">
        <v>9525.2199999999993</v>
      </c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204">
        <v>9525.2199999999993</v>
      </c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  <c r="AK264" s="164"/>
      <c r="AL264" s="164"/>
      <c r="AM264" s="164"/>
      <c r="AN264" s="164"/>
      <c r="AO264" s="164"/>
      <c r="AP264" s="164"/>
      <c r="AQ264" s="164"/>
    </row>
    <row r="265" spans="1:43" ht="13.5" customHeight="1" x14ac:dyDescent="0.2">
      <c r="A265" s="195" t="s">
        <v>323</v>
      </c>
      <c r="B265" s="196"/>
      <c r="C265" s="201" t="s">
        <v>137</v>
      </c>
      <c r="D265" s="198" t="s">
        <v>311</v>
      </c>
      <c r="E265" s="199">
        <v>16777.29</v>
      </c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204">
        <v>16777.29</v>
      </c>
      <c r="AB265" s="164"/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  <c r="AP265" s="164"/>
      <c r="AQ265" s="164"/>
    </row>
    <row r="266" spans="1:43" ht="13.5" customHeight="1" x14ac:dyDescent="0.2">
      <c r="A266" s="192" t="s">
        <v>344</v>
      </c>
      <c r="B266" s="192" t="s">
        <v>334</v>
      </c>
      <c r="C266" s="194"/>
      <c r="D266" s="194"/>
      <c r="E266" s="194"/>
      <c r="F266" s="189">
        <f t="shared" ref="F266:AQ266" si="22">SUMIF($D$267:$D$278,"Franchise",F267:F278)</f>
        <v>0</v>
      </c>
      <c r="G266" s="189">
        <f t="shared" si="22"/>
        <v>0</v>
      </c>
      <c r="H266" s="189">
        <f t="shared" si="22"/>
        <v>0</v>
      </c>
      <c r="I266" s="189">
        <f t="shared" si="22"/>
        <v>0</v>
      </c>
      <c r="J266" s="189">
        <f t="shared" si="22"/>
        <v>0</v>
      </c>
      <c r="K266" s="189">
        <f t="shared" si="22"/>
        <v>0</v>
      </c>
      <c r="L266" s="189">
        <f t="shared" si="22"/>
        <v>0</v>
      </c>
      <c r="M266" s="189">
        <f t="shared" si="22"/>
        <v>0</v>
      </c>
      <c r="N266" s="189">
        <f t="shared" si="22"/>
        <v>0</v>
      </c>
      <c r="O266" s="189">
        <f t="shared" si="22"/>
        <v>0</v>
      </c>
      <c r="P266" s="189">
        <f t="shared" si="22"/>
        <v>0</v>
      </c>
      <c r="Q266" s="189">
        <f t="shared" si="22"/>
        <v>0</v>
      </c>
      <c r="R266" s="189">
        <f t="shared" si="22"/>
        <v>0</v>
      </c>
      <c r="S266" s="189">
        <f t="shared" si="22"/>
        <v>41668.729999999996</v>
      </c>
      <c r="T266" s="189">
        <f t="shared" si="22"/>
        <v>0</v>
      </c>
      <c r="U266" s="189">
        <f t="shared" si="22"/>
        <v>0</v>
      </c>
      <c r="V266" s="189">
        <f t="shared" si="22"/>
        <v>0</v>
      </c>
      <c r="W266" s="189">
        <f t="shared" si="22"/>
        <v>0</v>
      </c>
      <c r="X266" s="189">
        <f t="shared" si="22"/>
        <v>0</v>
      </c>
      <c r="Y266" s="189">
        <f t="shared" si="22"/>
        <v>21063.51</v>
      </c>
      <c r="Z266" s="189">
        <f t="shared" si="22"/>
        <v>0</v>
      </c>
      <c r="AA266" s="189">
        <f t="shared" si="22"/>
        <v>0</v>
      </c>
      <c r="AB266" s="189">
        <f t="shared" si="22"/>
        <v>0</v>
      </c>
      <c r="AC266" s="189">
        <f t="shared" si="22"/>
        <v>0</v>
      </c>
      <c r="AD266" s="189">
        <f t="shared" si="22"/>
        <v>0</v>
      </c>
      <c r="AE266" s="189">
        <f t="shared" si="22"/>
        <v>0</v>
      </c>
      <c r="AF266" s="189">
        <f t="shared" si="22"/>
        <v>0</v>
      </c>
      <c r="AG266" s="189">
        <f t="shared" si="22"/>
        <v>0</v>
      </c>
      <c r="AH266" s="189">
        <f t="shared" si="22"/>
        <v>0</v>
      </c>
      <c r="AI266" s="189">
        <f t="shared" si="22"/>
        <v>0</v>
      </c>
      <c r="AJ266" s="189">
        <f t="shared" si="22"/>
        <v>0</v>
      </c>
      <c r="AK266" s="189">
        <f t="shared" si="22"/>
        <v>0</v>
      </c>
      <c r="AL266" s="189">
        <f t="shared" si="22"/>
        <v>0</v>
      </c>
      <c r="AM266" s="189">
        <f t="shared" si="22"/>
        <v>0</v>
      </c>
      <c r="AN266" s="189">
        <f t="shared" si="22"/>
        <v>0</v>
      </c>
      <c r="AO266" s="189">
        <f t="shared" si="22"/>
        <v>0</v>
      </c>
      <c r="AP266" s="189">
        <f t="shared" si="22"/>
        <v>0</v>
      </c>
      <c r="AQ266" s="189">
        <f t="shared" si="22"/>
        <v>0</v>
      </c>
    </row>
    <row r="267" spans="1:43" ht="13.5" customHeight="1" x14ac:dyDescent="0.2">
      <c r="A267" s="195" t="s">
        <v>310</v>
      </c>
      <c r="B267" s="196"/>
      <c r="C267" s="197" t="s">
        <v>193</v>
      </c>
      <c r="D267" s="198" t="s">
        <v>311</v>
      </c>
      <c r="E267" s="196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  <c r="AP267" s="164"/>
      <c r="AQ267" s="164"/>
    </row>
    <row r="268" spans="1:43" ht="13.5" customHeight="1" x14ac:dyDescent="0.2">
      <c r="A268" s="195" t="s">
        <v>312</v>
      </c>
      <c r="B268" s="196"/>
      <c r="C268" s="197" t="s">
        <v>193</v>
      </c>
      <c r="D268" s="198" t="s">
        <v>311</v>
      </c>
      <c r="E268" s="199">
        <v>-6000</v>
      </c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  <c r="AP268" s="164"/>
      <c r="AQ268" s="164"/>
    </row>
    <row r="269" spans="1:43" ht="13.5" customHeight="1" x14ac:dyDescent="0.2">
      <c r="A269" s="195" t="s">
        <v>313</v>
      </c>
      <c r="B269" s="196"/>
      <c r="C269" s="197" t="s">
        <v>193</v>
      </c>
      <c r="D269" s="198" t="s">
        <v>311</v>
      </c>
      <c r="E269" s="199">
        <v>24879.15</v>
      </c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200">
        <v>24879.15</v>
      </c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  <c r="AP269" s="164"/>
      <c r="AQ269" s="164"/>
    </row>
    <row r="270" spans="1:43" ht="13.5" customHeight="1" x14ac:dyDescent="0.2">
      <c r="A270" s="195" t="s">
        <v>314</v>
      </c>
      <c r="B270" s="196"/>
      <c r="C270" s="197" t="s">
        <v>193</v>
      </c>
      <c r="D270" s="198" t="s">
        <v>311</v>
      </c>
      <c r="E270" s="199">
        <v>16586.099999999999</v>
      </c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200">
        <v>16586.099999999999</v>
      </c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  <c r="AK270" s="164"/>
      <c r="AL270" s="164"/>
      <c r="AM270" s="164"/>
      <c r="AN270" s="164"/>
      <c r="AO270" s="164"/>
      <c r="AP270" s="164"/>
      <c r="AQ270" s="164"/>
    </row>
    <row r="271" spans="1:43" ht="15" customHeight="1" x14ac:dyDescent="0.2">
      <c r="A271" s="195" t="s">
        <v>315</v>
      </c>
      <c r="B271" s="196"/>
      <c r="C271" s="197" t="s">
        <v>193</v>
      </c>
      <c r="D271" s="198" t="s">
        <v>311</v>
      </c>
      <c r="E271" s="199">
        <v>-10390.969999999999</v>
      </c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200">
        <v>-10390.969999999999</v>
      </c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  <c r="AP271" s="164"/>
      <c r="AQ271" s="164"/>
    </row>
    <row r="272" spans="1:43" ht="15.75" customHeight="1" x14ac:dyDescent="0.2">
      <c r="A272" s="195" t="s">
        <v>316</v>
      </c>
      <c r="B272" s="196"/>
      <c r="C272" s="197" t="s">
        <v>193</v>
      </c>
      <c r="D272" s="198" t="s">
        <v>311</v>
      </c>
      <c r="E272" s="199">
        <v>10594.45</v>
      </c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200">
        <v>10594.45</v>
      </c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  <c r="AP272" s="164"/>
      <c r="AQ272" s="164"/>
    </row>
    <row r="273" spans="1:43" ht="13.5" customHeight="1" x14ac:dyDescent="0.2">
      <c r="A273" s="195" t="s">
        <v>317</v>
      </c>
      <c r="B273" s="196"/>
      <c r="C273" s="197" t="s">
        <v>193</v>
      </c>
      <c r="D273" s="198" t="s">
        <v>318</v>
      </c>
      <c r="E273" s="199">
        <v>25481.82</v>
      </c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200">
        <v>25481.82</v>
      </c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  <c r="AK273" s="164"/>
      <c r="AL273" s="164"/>
      <c r="AM273" s="164"/>
      <c r="AN273" s="164"/>
      <c r="AO273" s="164"/>
      <c r="AP273" s="164"/>
      <c r="AQ273" s="164"/>
    </row>
    <row r="274" spans="1:43" ht="13.5" customHeight="1" x14ac:dyDescent="0.2">
      <c r="A274" s="195" t="s">
        <v>319</v>
      </c>
      <c r="B274" s="196"/>
      <c r="C274" s="197" t="s">
        <v>193</v>
      </c>
      <c r="D274" s="198" t="s">
        <v>318</v>
      </c>
      <c r="E274" s="199">
        <v>33923.54</v>
      </c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200">
        <v>33923.54</v>
      </c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  <c r="AK274" s="164"/>
      <c r="AL274" s="164"/>
      <c r="AM274" s="164"/>
      <c r="AN274" s="164"/>
      <c r="AO274" s="164"/>
      <c r="AP274" s="164"/>
      <c r="AQ274" s="164"/>
    </row>
    <row r="275" spans="1:43" ht="13.5" customHeight="1" x14ac:dyDescent="0.2">
      <c r="A275" s="195" t="s">
        <v>320</v>
      </c>
      <c r="B275" s="196"/>
      <c r="C275" s="197" t="s">
        <v>193</v>
      </c>
      <c r="D275" s="198" t="s">
        <v>318</v>
      </c>
      <c r="E275" s="199">
        <v>-3502.45</v>
      </c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200">
        <v>-3502.45</v>
      </c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  <c r="AK275" s="164"/>
      <c r="AL275" s="164"/>
      <c r="AM275" s="164"/>
      <c r="AN275" s="164"/>
      <c r="AO275" s="164"/>
      <c r="AP275" s="164"/>
      <c r="AQ275" s="164"/>
    </row>
    <row r="276" spans="1:43" ht="13.5" customHeight="1" x14ac:dyDescent="0.2">
      <c r="A276" s="195" t="s">
        <v>321</v>
      </c>
      <c r="B276" s="196"/>
      <c r="C276" s="201" t="s">
        <v>137</v>
      </c>
      <c r="D276" s="198" t="s">
        <v>318</v>
      </c>
      <c r="E276" s="199">
        <v>58841.19</v>
      </c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202">
        <v>58841.19</v>
      </c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/>
      <c r="AJ276" s="164"/>
      <c r="AK276" s="164"/>
      <c r="AL276" s="164"/>
      <c r="AM276" s="164"/>
      <c r="AN276" s="164"/>
      <c r="AO276" s="164"/>
      <c r="AP276" s="164"/>
      <c r="AQ276" s="164"/>
    </row>
    <row r="277" spans="1:43" ht="13.5" customHeight="1" x14ac:dyDescent="0.2">
      <c r="A277" s="195" t="s">
        <v>322</v>
      </c>
      <c r="B277" s="196"/>
      <c r="C277" s="201" t="s">
        <v>137</v>
      </c>
      <c r="D277" s="198" t="s">
        <v>318</v>
      </c>
      <c r="E277" s="199">
        <v>8405.8799999999992</v>
      </c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202">
        <v>8405.8799999999992</v>
      </c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/>
      <c r="AJ277" s="164"/>
      <c r="AK277" s="164"/>
      <c r="AL277" s="164"/>
      <c r="AM277" s="164"/>
      <c r="AN277" s="164"/>
      <c r="AO277" s="164"/>
      <c r="AP277" s="164"/>
      <c r="AQ277" s="164"/>
    </row>
    <row r="278" spans="1:43" ht="13.5" customHeight="1" x14ac:dyDescent="0.2">
      <c r="A278" s="195" t="s">
        <v>323</v>
      </c>
      <c r="B278" s="196"/>
      <c r="C278" s="201" t="s">
        <v>137</v>
      </c>
      <c r="D278" s="198" t="s">
        <v>311</v>
      </c>
      <c r="E278" s="199">
        <v>21063.51</v>
      </c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202">
        <v>21063.51</v>
      </c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/>
      <c r="AJ278" s="164"/>
      <c r="AK278" s="164"/>
      <c r="AL278" s="164"/>
      <c r="AM278" s="164"/>
      <c r="AN278" s="164"/>
      <c r="AO278" s="164"/>
      <c r="AP278" s="164"/>
      <c r="AQ278" s="164"/>
    </row>
    <row r="279" spans="1:43" ht="13.5" customHeight="1" x14ac:dyDescent="0.2">
      <c r="A279" s="192" t="s">
        <v>345</v>
      </c>
      <c r="B279" s="192" t="s">
        <v>334</v>
      </c>
      <c r="C279" s="194"/>
      <c r="D279" s="194"/>
      <c r="E279" s="194"/>
      <c r="F279" s="189">
        <f t="shared" ref="F279:AQ279" si="23">SUMIF($D$280:$D$291,"Franchise",F280:F291)</f>
        <v>0</v>
      </c>
      <c r="G279" s="189">
        <f t="shared" si="23"/>
        <v>0</v>
      </c>
      <c r="H279" s="189">
        <f t="shared" si="23"/>
        <v>0</v>
      </c>
      <c r="I279" s="189">
        <f t="shared" si="23"/>
        <v>0</v>
      </c>
      <c r="J279" s="189">
        <f t="shared" si="23"/>
        <v>0</v>
      </c>
      <c r="K279" s="189">
        <f t="shared" si="23"/>
        <v>0</v>
      </c>
      <c r="L279" s="189">
        <f t="shared" si="23"/>
        <v>0</v>
      </c>
      <c r="M279" s="189">
        <f t="shared" si="23"/>
        <v>0</v>
      </c>
      <c r="N279" s="189">
        <f t="shared" si="23"/>
        <v>0</v>
      </c>
      <c r="O279" s="189">
        <f t="shared" si="23"/>
        <v>0</v>
      </c>
      <c r="P279" s="189">
        <f t="shared" si="23"/>
        <v>0</v>
      </c>
      <c r="Q279" s="189">
        <f t="shared" si="23"/>
        <v>0</v>
      </c>
      <c r="R279" s="189">
        <f t="shared" si="23"/>
        <v>0</v>
      </c>
      <c r="S279" s="189">
        <f t="shared" si="23"/>
        <v>0</v>
      </c>
      <c r="T279" s="189">
        <f t="shared" si="23"/>
        <v>45677.25</v>
      </c>
      <c r="U279" s="189">
        <f t="shared" si="23"/>
        <v>0</v>
      </c>
      <c r="V279" s="189">
        <f t="shared" si="23"/>
        <v>0</v>
      </c>
      <c r="W279" s="189">
        <f t="shared" si="23"/>
        <v>0</v>
      </c>
      <c r="X279" s="189">
        <f t="shared" si="23"/>
        <v>0</v>
      </c>
      <c r="Y279" s="189">
        <f t="shared" si="23"/>
        <v>0</v>
      </c>
      <c r="Z279" s="189">
        <f t="shared" si="23"/>
        <v>0</v>
      </c>
      <c r="AA279" s="189">
        <f t="shared" si="23"/>
        <v>0</v>
      </c>
      <c r="AB279" s="189">
        <f t="shared" si="23"/>
        <v>18399.060000000001</v>
      </c>
      <c r="AC279" s="189">
        <f t="shared" si="23"/>
        <v>0</v>
      </c>
      <c r="AD279" s="189">
        <f t="shared" si="23"/>
        <v>0</v>
      </c>
      <c r="AE279" s="189">
        <f t="shared" si="23"/>
        <v>0</v>
      </c>
      <c r="AF279" s="189">
        <f t="shared" si="23"/>
        <v>0</v>
      </c>
      <c r="AG279" s="189">
        <f t="shared" si="23"/>
        <v>0</v>
      </c>
      <c r="AH279" s="189">
        <f t="shared" si="23"/>
        <v>0</v>
      </c>
      <c r="AI279" s="189">
        <f t="shared" si="23"/>
        <v>0</v>
      </c>
      <c r="AJ279" s="189">
        <f t="shared" si="23"/>
        <v>0</v>
      </c>
      <c r="AK279" s="189">
        <f t="shared" si="23"/>
        <v>0</v>
      </c>
      <c r="AL279" s="189">
        <f t="shared" si="23"/>
        <v>0</v>
      </c>
      <c r="AM279" s="189">
        <f t="shared" si="23"/>
        <v>0</v>
      </c>
      <c r="AN279" s="189">
        <f t="shared" si="23"/>
        <v>0</v>
      </c>
      <c r="AO279" s="189">
        <f t="shared" si="23"/>
        <v>0</v>
      </c>
      <c r="AP279" s="189">
        <f t="shared" si="23"/>
        <v>0</v>
      </c>
      <c r="AQ279" s="189">
        <f t="shared" si="23"/>
        <v>0</v>
      </c>
    </row>
    <row r="280" spans="1:43" ht="13.5" customHeight="1" x14ac:dyDescent="0.2">
      <c r="A280" s="195" t="s">
        <v>310</v>
      </c>
      <c r="B280" s="196"/>
      <c r="C280" s="197" t="s">
        <v>193</v>
      </c>
      <c r="D280" s="198" t="s">
        <v>311</v>
      </c>
      <c r="E280" s="196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  <c r="AG280" s="164"/>
      <c r="AH280" s="164"/>
      <c r="AI280" s="164"/>
      <c r="AJ280" s="164"/>
      <c r="AK280" s="164"/>
      <c r="AL280" s="164"/>
      <c r="AM280" s="164"/>
      <c r="AN280" s="164"/>
      <c r="AO280" s="164"/>
      <c r="AP280" s="164"/>
      <c r="AQ280" s="164"/>
    </row>
    <row r="281" spans="1:43" ht="13.5" customHeight="1" x14ac:dyDescent="0.2">
      <c r="A281" s="195" t="s">
        <v>312</v>
      </c>
      <c r="B281" s="196"/>
      <c r="C281" s="197" t="s">
        <v>193</v>
      </c>
      <c r="D281" s="198" t="s">
        <v>311</v>
      </c>
      <c r="E281" s="199">
        <v>-6000</v>
      </c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  <c r="AG281" s="164"/>
      <c r="AH281" s="164"/>
      <c r="AI281" s="164"/>
      <c r="AJ281" s="164"/>
      <c r="AK281" s="164"/>
      <c r="AL281" s="164"/>
      <c r="AM281" s="164"/>
      <c r="AN281" s="164"/>
      <c r="AO281" s="164"/>
      <c r="AP281" s="164"/>
      <c r="AQ281" s="164"/>
    </row>
    <row r="282" spans="1:43" ht="13.5" customHeight="1" x14ac:dyDescent="0.2">
      <c r="A282" s="195" t="s">
        <v>313</v>
      </c>
      <c r="B282" s="196"/>
      <c r="C282" s="197" t="s">
        <v>193</v>
      </c>
      <c r="D282" s="198" t="s">
        <v>311</v>
      </c>
      <c r="E282" s="199">
        <v>27312</v>
      </c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200">
        <v>27312</v>
      </c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  <c r="AG282" s="164"/>
      <c r="AH282" s="164"/>
      <c r="AI282" s="164"/>
      <c r="AJ282" s="164"/>
      <c r="AK282" s="164"/>
      <c r="AL282" s="164"/>
      <c r="AM282" s="164"/>
      <c r="AN282" s="164"/>
      <c r="AO282" s="164"/>
      <c r="AP282" s="164"/>
      <c r="AQ282" s="164"/>
    </row>
    <row r="283" spans="1:43" ht="13.5" customHeight="1" x14ac:dyDescent="0.2">
      <c r="A283" s="195" t="s">
        <v>314</v>
      </c>
      <c r="B283" s="196"/>
      <c r="C283" s="197" t="s">
        <v>193</v>
      </c>
      <c r="D283" s="198" t="s">
        <v>311</v>
      </c>
      <c r="E283" s="199">
        <v>18208</v>
      </c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200">
        <v>18208</v>
      </c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/>
      <c r="AJ283" s="164"/>
      <c r="AK283" s="164"/>
      <c r="AL283" s="164"/>
      <c r="AM283" s="164"/>
      <c r="AN283" s="164"/>
      <c r="AO283" s="164"/>
      <c r="AP283" s="164"/>
      <c r="AQ283" s="164"/>
    </row>
    <row r="284" spans="1:43" ht="13.5" customHeight="1" x14ac:dyDescent="0.2">
      <c r="A284" s="195" t="s">
        <v>315</v>
      </c>
      <c r="B284" s="196"/>
      <c r="C284" s="197" t="s">
        <v>193</v>
      </c>
      <c r="D284" s="198" t="s">
        <v>311</v>
      </c>
      <c r="E284" s="199">
        <v>-11445.2</v>
      </c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200">
        <v>-11445.2</v>
      </c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64"/>
      <c r="AJ284" s="164"/>
      <c r="AK284" s="164"/>
      <c r="AL284" s="164"/>
      <c r="AM284" s="164"/>
      <c r="AN284" s="164"/>
      <c r="AO284" s="164"/>
      <c r="AP284" s="164"/>
      <c r="AQ284" s="164"/>
    </row>
    <row r="285" spans="1:43" ht="15" customHeight="1" x14ac:dyDescent="0.2">
      <c r="A285" s="195" t="s">
        <v>316</v>
      </c>
      <c r="B285" s="196"/>
      <c r="C285" s="197" t="s">
        <v>193</v>
      </c>
      <c r="D285" s="198" t="s">
        <v>311</v>
      </c>
      <c r="E285" s="199">
        <v>11602.45</v>
      </c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200">
        <v>11602.45</v>
      </c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  <c r="AJ285" s="164"/>
      <c r="AK285" s="164"/>
      <c r="AL285" s="164"/>
      <c r="AM285" s="164"/>
      <c r="AN285" s="164"/>
      <c r="AO285" s="164"/>
      <c r="AP285" s="164"/>
      <c r="AQ285" s="164"/>
    </row>
    <row r="286" spans="1:43" ht="15.75" customHeight="1" x14ac:dyDescent="0.2">
      <c r="A286" s="195" t="s">
        <v>317</v>
      </c>
      <c r="B286" s="196"/>
      <c r="C286" s="197" t="s">
        <v>193</v>
      </c>
      <c r="D286" s="198" t="s">
        <v>318</v>
      </c>
      <c r="E286" s="199">
        <v>28194.14</v>
      </c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200">
        <v>28194.14</v>
      </c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  <c r="AK286" s="164"/>
      <c r="AL286" s="164"/>
      <c r="AM286" s="164"/>
      <c r="AN286" s="164"/>
      <c r="AO286" s="164"/>
      <c r="AP286" s="164"/>
      <c r="AQ286" s="164"/>
    </row>
    <row r="287" spans="1:43" ht="13.5" customHeight="1" x14ac:dyDescent="0.2">
      <c r="A287" s="195" t="s">
        <v>319</v>
      </c>
      <c r="B287" s="196"/>
      <c r="C287" s="197" t="s">
        <v>193</v>
      </c>
      <c r="D287" s="198" t="s">
        <v>318</v>
      </c>
      <c r="E287" s="199">
        <v>36857.07</v>
      </c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200">
        <v>36857.07</v>
      </c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64"/>
      <c r="AJ287" s="164"/>
      <c r="AK287" s="164"/>
      <c r="AL287" s="164"/>
      <c r="AM287" s="164"/>
      <c r="AN287" s="164"/>
      <c r="AO287" s="164"/>
      <c r="AP287" s="164"/>
      <c r="AQ287" s="164"/>
    </row>
    <row r="288" spans="1:43" ht="13.5" customHeight="1" x14ac:dyDescent="0.2">
      <c r="A288" s="195" t="s">
        <v>320</v>
      </c>
      <c r="B288" s="196"/>
      <c r="C288" s="197" t="s">
        <v>193</v>
      </c>
      <c r="D288" s="198" t="s">
        <v>318</v>
      </c>
      <c r="E288" s="199">
        <v>-3839.28</v>
      </c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200">
        <v>-3839.28</v>
      </c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64"/>
      <c r="AJ288" s="164"/>
      <c r="AK288" s="164"/>
      <c r="AL288" s="164"/>
      <c r="AM288" s="164"/>
      <c r="AN288" s="164"/>
      <c r="AO288" s="164"/>
      <c r="AP288" s="164"/>
      <c r="AQ288" s="164"/>
    </row>
    <row r="289" spans="1:43" ht="13.5" customHeight="1" x14ac:dyDescent="0.2">
      <c r="A289" s="195" t="s">
        <v>321</v>
      </c>
      <c r="B289" s="196"/>
      <c r="C289" s="201" t="s">
        <v>137</v>
      </c>
      <c r="D289" s="198" t="s">
        <v>318</v>
      </c>
      <c r="E289" s="199">
        <v>64499.88</v>
      </c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204">
        <v>64499.88</v>
      </c>
      <c r="AA289" s="164"/>
      <c r="AB289" s="164"/>
      <c r="AC289" s="164"/>
      <c r="AD289" s="164"/>
      <c r="AE289" s="164"/>
      <c r="AF289" s="164"/>
      <c r="AG289" s="164"/>
      <c r="AH289" s="164"/>
      <c r="AI289" s="164"/>
      <c r="AJ289" s="164"/>
      <c r="AK289" s="164"/>
      <c r="AL289" s="164"/>
      <c r="AM289" s="164"/>
      <c r="AN289" s="164"/>
      <c r="AO289" s="164"/>
      <c r="AP289" s="164"/>
      <c r="AQ289" s="164"/>
    </row>
    <row r="290" spans="1:43" ht="13.5" customHeight="1" x14ac:dyDescent="0.2">
      <c r="A290" s="195" t="s">
        <v>322</v>
      </c>
      <c r="B290" s="196"/>
      <c r="C290" s="201" t="s">
        <v>137</v>
      </c>
      <c r="D290" s="198" t="s">
        <v>318</v>
      </c>
      <c r="E290" s="199">
        <v>9214.27</v>
      </c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204">
        <v>9214.27</v>
      </c>
      <c r="AB290" s="164"/>
      <c r="AC290" s="164"/>
      <c r="AD290" s="164"/>
      <c r="AE290" s="164"/>
      <c r="AF290" s="164"/>
      <c r="AG290" s="164"/>
      <c r="AH290" s="164"/>
      <c r="AI290" s="164"/>
      <c r="AJ290" s="164"/>
      <c r="AK290" s="164"/>
      <c r="AL290" s="164"/>
      <c r="AM290" s="164"/>
      <c r="AN290" s="164"/>
      <c r="AO290" s="164"/>
      <c r="AP290" s="164"/>
      <c r="AQ290" s="164"/>
    </row>
    <row r="291" spans="1:43" ht="13.5" customHeight="1" x14ac:dyDescent="0.2">
      <c r="A291" s="195" t="s">
        <v>323</v>
      </c>
      <c r="B291" s="196"/>
      <c r="C291" s="201" t="s">
        <v>137</v>
      </c>
      <c r="D291" s="198" t="s">
        <v>311</v>
      </c>
      <c r="E291" s="199">
        <v>18399.060000000001</v>
      </c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204">
        <v>18399.060000000001</v>
      </c>
      <c r="AC291" s="164"/>
      <c r="AD291" s="164"/>
      <c r="AE291" s="164"/>
      <c r="AF291" s="164"/>
      <c r="AG291" s="164"/>
      <c r="AH291" s="164"/>
      <c r="AI291" s="164"/>
      <c r="AJ291" s="164"/>
      <c r="AK291" s="164"/>
      <c r="AL291" s="164"/>
      <c r="AM291" s="164"/>
      <c r="AN291" s="164"/>
      <c r="AO291" s="164"/>
      <c r="AP291" s="164"/>
      <c r="AQ291" s="164"/>
    </row>
    <row r="292" spans="1:43" ht="13.5" customHeight="1" x14ac:dyDescent="0.2">
      <c r="A292" s="192" t="s">
        <v>346</v>
      </c>
      <c r="B292" s="192" t="s">
        <v>334</v>
      </c>
      <c r="C292" s="194"/>
      <c r="D292" s="194"/>
      <c r="E292" s="194"/>
      <c r="F292" s="189">
        <f t="shared" ref="F292:AQ292" si="24">SUMIF($D$293:$D$304,"Franchise",F293:F304)</f>
        <v>0</v>
      </c>
      <c r="G292" s="189">
        <f t="shared" si="24"/>
        <v>0</v>
      </c>
      <c r="H292" s="189">
        <f t="shared" si="24"/>
        <v>0</v>
      </c>
      <c r="I292" s="189">
        <f t="shared" si="24"/>
        <v>0</v>
      </c>
      <c r="J292" s="189">
        <f t="shared" si="24"/>
        <v>0</v>
      </c>
      <c r="K292" s="189">
        <f t="shared" si="24"/>
        <v>0</v>
      </c>
      <c r="L292" s="189">
        <f t="shared" si="24"/>
        <v>0</v>
      </c>
      <c r="M292" s="189">
        <f t="shared" si="24"/>
        <v>0</v>
      </c>
      <c r="N292" s="189">
        <f t="shared" si="24"/>
        <v>0</v>
      </c>
      <c r="O292" s="189">
        <f t="shared" si="24"/>
        <v>0</v>
      </c>
      <c r="P292" s="189">
        <f t="shared" si="24"/>
        <v>0</v>
      </c>
      <c r="Q292" s="189">
        <f t="shared" si="24"/>
        <v>0</v>
      </c>
      <c r="R292" s="189">
        <f t="shared" si="24"/>
        <v>0</v>
      </c>
      <c r="S292" s="189">
        <f t="shared" si="24"/>
        <v>0</v>
      </c>
      <c r="T292" s="189">
        <f t="shared" si="24"/>
        <v>0</v>
      </c>
      <c r="U292" s="189">
        <f t="shared" si="24"/>
        <v>0</v>
      </c>
      <c r="V292" s="189">
        <f t="shared" si="24"/>
        <v>31715.170000000002</v>
      </c>
      <c r="W292" s="189">
        <f t="shared" si="24"/>
        <v>0</v>
      </c>
      <c r="X292" s="189">
        <f t="shared" si="24"/>
        <v>0</v>
      </c>
      <c r="Y292" s="189">
        <f t="shared" si="24"/>
        <v>0</v>
      </c>
      <c r="Z292" s="189">
        <f t="shared" si="24"/>
        <v>0</v>
      </c>
      <c r="AA292" s="189">
        <f t="shared" si="24"/>
        <v>0</v>
      </c>
      <c r="AB292" s="189">
        <f t="shared" si="24"/>
        <v>0</v>
      </c>
      <c r="AC292" s="189">
        <f t="shared" si="24"/>
        <v>17250.12</v>
      </c>
      <c r="AD292" s="189">
        <f t="shared" si="24"/>
        <v>0</v>
      </c>
      <c r="AE292" s="189">
        <f t="shared" si="24"/>
        <v>0</v>
      </c>
      <c r="AF292" s="189">
        <f t="shared" si="24"/>
        <v>0</v>
      </c>
      <c r="AG292" s="189">
        <f t="shared" si="24"/>
        <v>0</v>
      </c>
      <c r="AH292" s="189">
        <f t="shared" si="24"/>
        <v>0</v>
      </c>
      <c r="AI292" s="189">
        <f t="shared" si="24"/>
        <v>0</v>
      </c>
      <c r="AJ292" s="189">
        <f t="shared" si="24"/>
        <v>0</v>
      </c>
      <c r="AK292" s="189">
        <f t="shared" si="24"/>
        <v>0</v>
      </c>
      <c r="AL292" s="189">
        <f t="shared" si="24"/>
        <v>0</v>
      </c>
      <c r="AM292" s="189">
        <f t="shared" si="24"/>
        <v>0</v>
      </c>
      <c r="AN292" s="189">
        <f t="shared" si="24"/>
        <v>0</v>
      </c>
      <c r="AO292" s="189">
        <f t="shared" si="24"/>
        <v>0</v>
      </c>
      <c r="AP292" s="189">
        <f t="shared" si="24"/>
        <v>0</v>
      </c>
      <c r="AQ292" s="189">
        <f t="shared" si="24"/>
        <v>0</v>
      </c>
    </row>
    <row r="293" spans="1:43" ht="13.5" customHeight="1" x14ac:dyDescent="0.2">
      <c r="A293" s="195" t="s">
        <v>310</v>
      </c>
      <c r="B293" s="196"/>
      <c r="C293" s="197" t="s">
        <v>193</v>
      </c>
      <c r="D293" s="198" t="s">
        <v>311</v>
      </c>
      <c r="E293" s="196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/>
      <c r="AJ293" s="164"/>
      <c r="AK293" s="164"/>
      <c r="AL293" s="164"/>
      <c r="AM293" s="164"/>
      <c r="AN293" s="164"/>
      <c r="AO293" s="164"/>
      <c r="AP293" s="164"/>
      <c r="AQ293" s="164"/>
    </row>
    <row r="294" spans="1:43" ht="13.5" customHeight="1" x14ac:dyDescent="0.2">
      <c r="A294" s="195" t="s">
        <v>312</v>
      </c>
      <c r="B294" s="196"/>
      <c r="C294" s="197" t="s">
        <v>193</v>
      </c>
      <c r="D294" s="198" t="s">
        <v>311</v>
      </c>
      <c r="E294" s="199">
        <v>-6000</v>
      </c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64"/>
      <c r="AJ294" s="164"/>
      <c r="AK294" s="164"/>
      <c r="AL294" s="164"/>
      <c r="AM294" s="164"/>
      <c r="AN294" s="164"/>
      <c r="AO294" s="164"/>
      <c r="AP294" s="164"/>
      <c r="AQ294" s="164"/>
    </row>
    <row r="295" spans="1:43" ht="13.5" customHeight="1" x14ac:dyDescent="0.2">
      <c r="A295" s="195" t="s">
        <v>313</v>
      </c>
      <c r="B295" s="196"/>
      <c r="C295" s="197" t="s">
        <v>193</v>
      </c>
      <c r="D295" s="198" t="s">
        <v>311</v>
      </c>
      <c r="E295" s="199">
        <v>18831.75</v>
      </c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200">
        <v>18831.75</v>
      </c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  <c r="AJ295" s="164"/>
      <c r="AK295" s="164"/>
      <c r="AL295" s="164"/>
      <c r="AM295" s="164"/>
      <c r="AN295" s="164"/>
      <c r="AO295" s="164"/>
      <c r="AP295" s="164"/>
      <c r="AQ295" s="164"/>
    </row>
    <row r="296" spans="1:43" ht="13.5" customHeight="1" x14ac:dyDescent="0.2">
      <c r="A296" s="195" t="s">
        <v>314</v>
      </c>
      <c r="B296" s="196"/>
      <c r="C296" s="197" t="s">
        <v>193</v>
      </c>
      <c r="D296" s="198" t="s">
        <v>311</v>
      </c>
      <c r="E296" s="199">
        <v>12554.5</v>
      </c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200">
        <v>12554.5</v>
      </c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64"/>
      <c r="AJ296" s="164"/>
      <c r="AK296" s="164"/>
      <c r="AL296" s="164"/>
      <c r="AM296" s="164"/>
      <c r="AN296" s="164"/>
      <c r="AO296" s="164"/>
      <c r="AP296" s="164"/>
      <c r="AQ296" s="164"/>
    </row>
    <row r="297" spans="1:43" ht="13.5" customHeight="1" x14ac:dyDescent="0.2">
      <c r="A297" s="195" t="s">
        <v>315</v>
      </c>
      <c r="B297" s="196"/>
      <c r="C297" s="197" t="s">
        <v>193</v>
      </c>
      <c r="D297" s="198" t="s">
        <v>311</v>
      </c>
      <c r="E297" s="199">
        <v>-7770.42</v>
      </c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200">
        <v>-7770.42</v>
      </c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/>
      <c r="AJ297" s="164"/>
      <c r="AK297" s="164"/>
      <c r="AL297" s="164"/>
      <c r="AM297" s="164"/>
      <c r="AN297" s="164"/>
      <c r="AO297" s="164"/>
      <c r="AP297" s="164"/>
      <c r="AQ297" s="164"/>
    </row>
    <row r="298" spans="1:43" ht="13.5" customHeight="1" x14ac:dyDescent="0.2">
      <c r="A298" s="195" t="s">
        <v>316</v>
      </c>
      <c r="B298" s="196"/>
      <c r="C298" s="197" t="s">
        <v>193</v>
      </c>
      <c r="D298" s="198" t="s">
        <v>311</v>
      </c>
      <c r="E298" s="199">
        <v>8099.34</v>
      </c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200">
        <v>8099.34</v>
      </c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64"/>
      <c r="AJ298" s="164"/>
      <c r="AK298" s="164"/>
      <c r="AL298" s="164"/>
      <c r="AM298" s="164"/>
      <c r="AN298" s="164"/>
      <c r="AO298" s="164"/>
      <c r="AP298" s="164"/>
      <c r="AQ298" s="164"/>
    </row>
    <row r="299" spans="1:43" ht="15" customHeight="1" x14ac:dyDescent="0.2">
      <c r="A299" s="195" t="s">
        <v>317</v>
      </c>
      <c r="B299" s="196"/>
      <c r="C299" s="197" t="s">
        <v>193</v>
      </c>
      <c r="D299" s="198" t="s">
        <v>318</v>
      </c>
      <c r="E299" s="199">
        <v>19365.580000000002</v>
      </c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200">
        <v>19365.580000000002</v>
      </c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64"/>
      <c r="AJ299" s="164"/>
      <c r="AK299" s="164"/>
      <c r="AL299" s="164"/>
      <c r="AM299" s="164"/>
      <c r="AN299" s="164"/>
      <c r="AO299" s="164"/>
      <c r="AP299" s="164"/>
      <c r="AQ299" s="164"/>
    </row>
    <row r="300" spans="1:43" ht="15.75" customHeight="1" x14ac:dyDescent="0.2">
      <c r="A300" s="195" t="s">
        <v>319</v>
      </c>
      <c r="B300" s="196"/>
      <c r="C300" s="201" t="s">
        <v>137</v>
      </c>
      <c r="D300" s="198" t="s">
        <v>318</v>
      </c>
      <c r="E300" s="199">
        <v>25375.91</v>
      </c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204">
        <v>25375.91</v>
      </c>
      <c r="AA300" s="164"/>
      <c r="AB300" s="164"/>
      <c r="AC300" s="164"/>
      <c r="AD300" s="164"/>
      <c r="AE300" s="164"/>
      <c r="AF300" s="164"/>
      <c r="AG300" s="164"/>
      <c r="AH300" s="164"/>
      <c r="AI300" s="164"/>
      <c r="AJ300" s="164"/>
      <c r="AK300" s="164"/>
      <c r="AL300" s="164"/>
      <c r="AM300" s="164"/>
      <c r="AN300" s="164"/>
      <c r="AO300" s="164"/>
      <c r="AP300" s="164"/>
      <c r="AQ300" s="164"/>
    </row>
    <row r="301" spans="1:43" ht="13.5" customHeight="1" x14ac:dyDescent="0.2">
      <c r="A301" s="195" t="s">
        <v>320</v>
      </c>
      <c r="B301" s="196"/>
      <c r="C301" s="201" t="s">
        <v>137</v>
      </c>
      <c r="D301" s="198" t="s">
        <v>318</v>
      </c>
      <c r="E301" s="199">
        <v>-2643.32</v>
      </c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204">
        <v>-2643.32</v>
      </c>
      <c r="AA301" s="164"/>
      <c r="AB301" s="164"/>
      <c r="AC301" s="164"/>
      <c r="AD301" s="164"/>
      <c r="AE301" s="164"/>
      <c r="AF301" s="164"/>
      <c r="AG301" s="164"/>
      <c r="AH301" s="164"/>
      <c r="AI301" s="164"/>
      <c r="AJ301" s="164"/>
      <c r="AK301" s="164"/>
      <c r="AL301" s="164"/>
      <c r="AM301" s="164"/>
      <c r="AN301" s="164"/>
      <c r="AO301" s="164"/>
      <c r="AP301" s="164"/>
      <c r="AQ301" s="164"/>
    </row>
    <row r="302" spans="1:43" ht="13.5" customHeight="1" x14ac:dyDescent="0.2">
      <c r="A302" s="195" t="s">
        <v>321</v>
      </c>
      <c r="B302" s="196"/>
      <c r="C302" s="201" t="s">
        <v>137</v>
      </c>
      <c r="D302" s="198" t="s">
        <v>318</v>
      </c>
      <c r="E302" s="199">
        <v>44407.85</v>
      </c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204">
        <v>44407.85</v>
      </c>
      <c r="AB302" s="164"/>
      <c r="AC302" s="164"/>
      <c r="AD302" s="164"/>
      <c r="AE302" s="164"/>
      <c r="AF302" s="164"/>
      <c r="AG302" s="164"/>
      <c r="AH302" s="164"/>
      <c r="AI302" s="164"/>
      <c r="AJ302" s="164"/>
      <c r="AK302" s="164"/>
      <c r="AL302" s="164"/>
      <c r="AM302" s="164"/>
      <c r="AN302" s="164"/>
      <c r="AO302" s="164"/>
      <c r="AP302" s="164"/>
      <c r="AQ302" s="164"/>
    </row>
    <row r="303" spans="1:43" ht="13.5" customHeight="1" x14ac:dyDescent="0.2">
      <c r="A303" s="195" t="s">
        <v>322</v>
      </c>
      <c r="B303" s="196"/>
      <c r="C303" s="201" t="s">
        <v>137</v>
      </c>
      <c r="D303" s="198" t="s">
        <v>318</v>
      </c>
      <c r="E303" s="199">
        <v>6343.98</v>
      </c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204">
        <v>6343.98</v>
      </c>
      <c r="AC303" s="164"/>
      <c r="AD303" s="164"/>
      <c r="AE303" s="164"/>
      <c r="AF303" s="164"/>
      <c r="AG303" s="164"/>
      <c r="AH303" s="164"/>
      <c r="AI303" s="164"/>
      <c r="AJ303" s="164"/>
      <c r="AK303" s="164"/>
      <c r="AL303" s="164"/>
      <c r="AM303" s="164"/>
      <c r="AN303" s="164"/>
      <c r="AO303" s="164"/>
      <c r="AP303" s="164"/>
      <c r="AQ303" s="164"/>
    </row>
    <row r="304" spans="1:43" ht="13.5" customHeight="1" x14ac:dyDescent="0.2">
      <c r="A304" s="195" t="s">
        <v>323</v>
      </c>
      <c r="B304" s="196"/>
      <c r="C304" s="201" t="s">
        <v>137</v>
      </c>
      <c r="D304" s="198" t="s">
        <v>311</v>
      </c>
      <c r="E304" s="199">
        <v>17250.12</v>
      </c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204">
        <v>17250.12</v>
      </c>
      <c r="AD304" s="164"/>
      <c r="AE304" s="164"/>
      <c r="AF304" s="164"/>
      <c r="AG304" s="164"/>
      <c r="AH304" s="164"/>
      <c r="AI304" s="164"/>
      <c r="AJ304" s="164"/>
      <c r="AK304" s="164"/>
      <c r="AL304" s="164"/>
      <c r="AM304" s="164"/>
      <c r="AN304" s="164"/>
      <c r="AO304" s="164"/>
      <c r="AP304" s="164"/>
      <c r="AQ304" s="164"/>
    </row>
    <row r="305" spans="1:43" ht="13.5" customHeight="1" x14ac:dyDescent="0.2">
      <c r="A305" s="192" t="s">
        <v>347</v>
      </c>
      <c r="B305" s="192" t="s">
        <v>334</v>
      </c>
      <c r="C305" s="194"/>
      <c r="D305" s="194"/>
      <c r="E305" s="194"/>
      <c r="F305" s="189">
        <f t="shared" ref="F305:AQ305" si="25">SUMIF($D$306:$D$317,"Franchise",F306:F317)</f>
        <v>0</v>
      </c>
      <c r="G305" s="189">
        <f t="shared" si="25"/>
        <v>0</v>
      </c>
      <c r="H305" s="189">
        <f t="shared" si="25"/>
        <v>0</v>
      </c>
      <c r="I305" s="189">
        <f t="shared" si="25"/>
        <v>0</v>
      </c>
      <c r="J305" s="189">
        <f t="shared" si="25"/>
        <v>0</v>
      </c>
      <c r="K305" s="189">
        <f t="shared" si="25"/>
        <v>0</v>
      </c>
      <c r="L305" s="189">
        <f t="shared" si="25"/>
        <v>0</v>
      </c>
      <c r="M305" s="189">
        <f t="shared" si="25"/>
        <v>0</v>
      </c>
      <c r="N305" s="189">
        <f t="shared" si="25"/>
        <v>0</v>
      </c>
      <c r="O305" s="189">
        <f t="shared" si="25"/>
        <v>0</v>
      </c>
      <c r="P305" s="189">
        <f t="shared" si="25"/>
        <v>0</v>
      </c>
      <c r="Q305" s="189">
        <f t="shared" si="25"/>
        <v>0</v>
      </c>
      <c r="R305" s="189">
        <f t="shared" si="25"/>
        <v>0</v>
      </c>
      <c r="S305" s="189">
        <f t="shared" si="25"/>
        <v>0</v>
      </c>
      <c r="T305" s="189">
        <f t="shared" si="25"/>
        <v>0</v>
      </c>
      <c r="U305" s="189">
        <f t="shared" si="25"/>
        <v>0</v>
      </c>
      <c r="V305" s="189">
        <f t="shared" si="25"/>
        <v>0</v>
      </c>
      <c r="W305" s="189">
        <f t="shared" si="25"/>
        <v>36883.08</v>
      </c>
      <c r="X305" s="189">
        <f t="shared" si="25"/>
        <v>0</v>
      </c>
      <c r="Y305" s="189">
        <f t="shared" si="25"/>
        <v>0</v>
      </c>
      <c r="Z305" s="189">
        <f t="shared" si="25"/>
        <v>0</v>
      </c>
      <c r="AA305" s="189">
        <f t="shared" si="25"/>
        <v>0</v>
      </c>
      <c r="AB305" s="189">
        <f t="shared" si="25"/>
        <v>0</v>
      </c>
      <c r="AC305" s="189">
        <f t="shared" si="25"/>
        <v>0</v>
      </c>
      <c r="AD305" s="189">
        <f t="shared" si="25"/>
        <v>0</v>
      </c>
      <c r="AE305" s="189">
        <f t="shared" si="25"/>
        <v>11704.48</v>
      </c>
      <c r="AF305" s="189">
        <f t="shared" si="25"/>
        <v>0</v>
      </c>
      <c r="AG305" s="189">
        <f t="shared" si="25"/>
        <v>0</v>
      </c>
      <c r="AH305" s="189">
        <f t="shared" si="25"/>
        <v>0</v>
      </c>
      <c r="AI305" s="189">
        <f t="shared" si="25"/>
        <v>0</v>
      </c>
      <c r="AJ305" s="189">
        <f t="shared" si="25"/>
        <v>0</v>
      </c>
      <c r="AK305" s="189">
        <f t="shared" si="25"/>
        <v>0</v>
      </c>
      <c r="AL305" s="189">
        <f t="shared" si="25"/>
        <v>0</v>
      </c>
      <c r="AM305" s="189">
        <f t="shared" si="25"/>
        <v>0</v>
      </c>
      <c r="AN305" s="189">
        <f t="shared" si="25"/>
        <v>0</v>
      </c>
      <c r="AO305" s="189">
        <f t="shared" si="25"/>
        <v>0</v>
      </c>
      <c r="AP305" s="189">
        <f t="shared" si="25"/>
        <v>0</v>
      </c>
      <c r="AQ305" s="189">
        <f t="shared" si="25"/>
        <v>0</v>
      </c>
    </row>
    <row r="306" spans="1:43" ht="13.5" customHeight="1" x14ac:dyDescent="0.2">
      <c r="A306" s="195" t="s">
        <v>310</v>
      </c>
      <c r="B306" s="196"/>
      <c r="C306" s="197" t="s">
        <v>193</v>
      </c>
      <c r="D306" s="198" t="s">
        <v>311</v>
      </c>
      <c r="E306" s="196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64"/>
      <c r="AJ306" s="164"/>
      <c r="AK306" s="164"/>
      <c r="AL306" s="164"/>
      <c r="AM306" s="164"/>
      <c r="AN306" s="164"/>
      <c r="AO306" s="164"/>
      <c r="AP306" s="164"/>
      <c r="AQ306" s="164"/>
    </row>
    <row r="307" spans="1:43" ht="13.5" customHeight="1" x14ac:dyDescent="0.2">
      <c r="A307" s="195" t="s">
        <v>312</v>
      </c>
      <c r="B307" s="196"/>
      <c r="C307" s="197" t="s">
        <v>193</v>
      </c>
      <c r="D307" s="198" t="s">
        <v>311</v>
      </c>
      <c r="E307" s="199">
        <v>-6000</v>
      </c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164"/>
      <c r="AI307" s="164"/>
      <c r="AJ307" s="164"/>
      <c r="AK307" s="164"/>
      <c r="AL307" s="164"/>
      <c r="AM307" s="164"/>
      <c r="AN307" s="164"/>
      <c r="AO307" s="164"/>
      <c r="AP307" s="164"/>
      <c r="AQ307" s="164"/>
    </row>
    <row r="308" spans="1:43" ht="13.5" customHeight="1" x14ac:dyDescent="0.2">
      <c r="A308" s="195" t="s">
        <v>313</v>
      </c>
      <c r="B308" s="196"/>
      <c r="C308" s="197" t="s">
        <v>193</v>
      </c>
      <c r="D308" s="198" t="s">
        <v>311</v>
      </c>
      <c r="E308" s="199">
        <v>22340.25</v>
      </c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200">
        <v>22340.25</v>
      </c>
      <c r="X308" s="164"/>
      <c r="Y308" s="164"/>
      <c r="Z308" s="164"/>
      <c r="AA308" s="164"/>
      <c r="AB308" s="164"/>
      <c r="AC308" s="164"/>
      <c r="AD308" s="164"/>
      <c r="AE308" s="164"/>
      <c r="AF308" s="164"/>
      <c r="AG308" s="164"/>
      <c r="AH308" s="164"/>
      <c r="AI308" s="164"/>
      <c r="AJ308" s="164"/>
      <c r="AK308" s="164"/>
      <c r="AL308" s="164"/>
      <c r="AM308" s="164"/>
      <c r="AN308" s="164"/>
      <c r="AO308" s="164"/>
      <c r="AP308" s="164"/>
      <c r="AQ308" s="164"/>
    </row>
    <row r="309" spans="1:43" ht="13.5" customHeight="1" x14ac:dyDescent="0.2">
      <c r="A309" s="195" t="s">
        <v>314</v>
      </c>
      <c r="B309" s="196"/>
      <c r="C309" s="197" t="s">
        <v>193</v>
      </c>
      <c r="D309" s="198" t="s">
        <v>311</v>
      </c>
      <c r="E309" s="199">
        <v>14893.5</v>
      </c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200">
        <v>14893.5</v>
      </c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64"/>
      <c r="AJ309" s="164"/>
      <c r="AK309" s="164"/>
      <c r="AL309" s="164"/>
      <c r="AM309" s="164"/>
      <c r="AN309" s="164"/>
      <c r="AO309" s="164"/>
      <c r="AP309" s="164"/>
      <c r="AQ309" s="164"/>
    </row>
    <row r="310" spans="1:43" ht="13.5" customHeight="1" x14ac:dyDescent="0.2">
      <c r="A310" s="195" t="s">
        <v>315</v>
      </c>
      <c r="B310" s="196"/>
      <c r="C310" s="197" t="s">
        <v>193</v>
      </c>
      <c r="D310" s="198" t="s">
        <v>311</v>
      </c>
      <c r="E310" s="199">
        <v>-9290.77</v>
      </c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200">
        <v>-9290.77</v>
      </c>
      <c r="X310" s="164"/>
      <c r="Y310" s="164"/>
      <c r="Z310" s="164"/>
      <c r="AA310" s="164"/>
      <c r="AB310" s="164"/>
      <c r="AC310" s="164"/>
      <c r="AD310" s="164"/>
      <c r="AE310" s="164"/>
      <c r="AF310" s="164"/>
      <c r="AG310" s="164"/>
      <c r="AH310" s="164"/>
      <c r="AI310" s="164"/>
      <c r="AJ310" s="164"/>
      <c r="AK310" s="164"/>
      <c r="AL310" s="164"/>
      <c r="AM310" s="164"/>
      <c r="AN310" s="164"/>
      <c r="AO310" s="164"/>
      <c r="AP310" s="164"/>
      <c r="AQ310" s="164"/>
    </row>
    <row r="311" spans="1:43" ht="13.5" customHeight="1" x14ac:dyDescent="0.2">
      <c r="A311" s="195" t="s">
        <v>316</v>
      </c>
      <c r="B311" s="196"/>
      <c r="C311" s="197" t="s">
        <v>193</v>
      </c>
      <c r="D311" s="198" t="s">
        <v>311</v>
      </c>
      <c r="E311" s="199">
        <v>8940.1</v>
      </c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200">
        <v>8940.1</v>
      </c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64"/>
      <c r="AJ311" s="164"/>
      <c r="AK311" s="164"/>
      <c r="AL311" s="164"/>
      <c r="AM311" s="164"/>
      <c r="AN311" s="164"/>
      <c r="AO311" s="164"/>
      <c r="AP311" s="164"/>
      <c r="AQ311" s="164"/>
    </row>
    <row r="312" spans="1:43" ht="13.5" customHeight="1" x14ac:dyDescent="0.2">
      <c r="A312" s="195" t="s">
        <v>317</v>
      </c>
      <c r="B312" s="196"/>
      <c r="C312" s="201" t="s">
        <v>137</v>
      </c>
      <c r="D312" s="198" t="s">
        <v>318</v>
      </c>
      <c r="E312" s="199">
        <v>22340.25</v>
      </c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204">
        <v>22340.25</v>
      </c>
      <c r="AA312" s="164"/>
      <c r="AB312" s="164"/>
      <c r="AC312" s="164"/>
      <c r="AD312" s="164"/>
      <c r="AE312" s="164"/>
      <c r="AF312" s="164"/>
      <c r="AG312" s="164"/>
      <c r="AH312" s="164"/>
      <c r="AI312" s="164"/>
      <c r="AJ312" s="164"/>
      <c r="AK312" s="164"/>
      <c r="AL312" s="164"/>
      <c r="AM312" s="164"/>
      <c r="AN312" s="164"/>
      <c r="AO312" s="164"/>
      <c r="AP312" s="164"/>
      <c r="AQ312" s="164"/>
    </row>
    <row r="313" spans="1:43" ht="15" customHeight="1" x14ac:dyDescent="0.2">
      <c r="A313" s="195" t="s">
        <v>319</v>
      </c>
      <c r="B313" s="196"/>
      <c r="C313" s="201" t="s">
        <v>137</v>
      </c>
      <c r="D313" s="198" t="s">
        <v>318</v>
      </c>
      <c r="E313" s="199">
        <v>29787</v>
      </c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204">
        <v>29787</v>
      </c>
      <c r="AC313" s="164"/>
      <c r="AD313" s="164"/>
      <c r="AE313" s="164"/>
      <c r="AF313" s="164"/>
      <c r="AG313" s="164"/>
      <c r="AH313" s="164"/>
      <c r="AI313" s="164"/>
      <c r="AJ313" s="164"/>
      <c r="AK313" s="164"/>
      <c r="AL313" s="164"/>
      <c r="AM313" s="164"/>
      <c r="AN313" s="164"/>
      <c r="AO313" s="164"/>
      <c r="AP313" s="164"/>
      <c r="AQ313" s="164"/>
    </row>
    <row r="314" spans="1:43" ht="15.75" customHeight="1" x14ac:dyDescent="0.2">
      <c r="A314" s="195" t="s">
        <v>320</v>
      </c>
      <c r="B314" s="196"/>
      <c r="C314" s="201" t="s">
        <v>137</v>
      </c>
      <c r="D314" s="198" t="s">
        <v>318</v>
      </c>
      <c r="E314" s="199">
        <v>-3102.81</v>
      </c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204">
        <v>-3102.81</v>
      </c>
      <c r="AC314" s="164"/>
      <c r="AD314" s="164"/>
      <c r="AE314" s="164"/>
      <c r="AF314" s="164"/>
      <c r="AG314" s="164"/>
      <c r="AH314" s="164"/>
      <c r="AI314" s="164"/>
      <c r="AJ314" s="164"/>
      <c r="AK314" s="164"/>
      <c r="AL314" s="164"/>
      <c r="AM314" s="164"/>
      <c r="AN314" s="164"/>
      <c r="AO314" s="164"/>
      <c r="AP314" s="164"/>
      <c r="AQ314" s="164"/>
    </row>
    <row r="315" spans="1:43" ht="13.5" customHeight="1" x14ac:dyDescent="0.2">
      <c r="A315" s="195" t="s">
        <v>321</v>
      </c>
      <c r="B315" s="196"/>
      <c r="C315" s="201" t="s">
        <v>137</v>
      </c>
      <c r="D315" s="198" t="s">
        <v>318</v>
      </c>
      <c r="E315" s="199">
        <v>52127.25</v>
      </c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204">
        <v>52127.25</v>
      </c>
      <c r="AD315" s="164"/>
      <c r="AE315" s="164"/>
      <c r="AF315" s="164"/>
      <c r="AG315" s="164"/>
      <c r="AH315" s="164"/>
      <c r="AI315" s="164"/>
      <c r="AJ315" s="164"/>
      <c r="AK315" s="164"/>
      <c r="AL315" s="164"/>
      <c r="AM315" s="164"/>
      <c r="AN315" s="164"/>
      <c r="AO315" s="164"/>
      <c r="AP315" s="164"/>
      <c r="AQ315" s="164"/>
    </row>
    <row r="316" spans="1:43" ht="13.5" customHeight="1" x14ac:dyDescent="0.2">
      <c r="A316" s="195" t="s">
        <v>322</v>
      </c>
      <c r="B316" s="196"/>
      <c r="C316" s="201" t="s">
        <v>137</v>
      </c>
      <c r="D316" s="198" t="s">
        <v>318</v>
      </c>
      <c r="E316" s="199">
        <v>7446.75</v>
      </c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204">
        <v>7446.75</v>
      </c>
      <c r="AE316" s="164"/>
      <c r="AF316" s="164"/>
      <c r="AG316" s="164"/>
      <c r="AH316" s="164"/>
      <c r="AI316" s="164"/>
      <c r="AJ316" s="164"/>
      <c r="AK316" s="164"/>
      <c r="AL316" s="164"/>
      <c r="AM316" s="164"/>
      <c r="AN316" s="164"/>
      <c r="AO316" s="164"/>
      <c r="AP316" s="164"/>
      <c r="AQ316" s="164"/>
    </row>
    <row r="317" spans="1:43" ht="13.5" customHeight="1" x14ac:dyDescent="0.2">
      <c r="A317" s="195" t="s">
        <v>323</v>
      </c>
      <c r="B317" s="196"/>
      <c r="C317" s="201" t="s">
        <v>137</v>
      </c>
      <c r="D317" s="198" t="s">
        <v>311</v>
      </c>
      <c r="E317" s="199">
        <v>11704.48</v>
      </c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204">
        <v>11704.48</v>
      </c>
      <c r="AF317" s="164"/>
      <c r="AG317" s="164"/>
      <c r="AH317" s="164"/>
      <c r="AI317" s="164"/>
      <c r="AJ317" s="164"/>
      <c r="AK317" s="164"/>
      <c r="AL317" s="164"/>
      <c r="AM317" s="164"/>
      <c r="AN317" s="164"/>
      <c r="AO317" s="164"/>
      <c r="AP317" s="164"/>
      <c r="AQ317" s="164"/>
    </row>
    <row r="318" spans="1:43" ht="13.5" customHeight="1" x14ac:dyDescent="0.2"/>
    <row r="319" spans="1:43" ht="13.5" customHeight="1" x14ac:dyDescent="0.2"/>
    <row r="320" spans="1:43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8" ht="15.7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1048576" ht="15" customHeight="1" x14ac:dyDescent="0.2"/>
  </sheetData>
  <autoFilter ref="A3:E3" xr:uid="{00000000-0009-0000-0000-000006000000}"/>
  <conditionalFormatting sqref="C1:C1048576">
    <cfRule type="cellIs" dxfId="58" priority="2" operator="equal">
      <formula>"non"</formula>
    </cfRule>
  </conditionalFormatting>
  <conditionalFormatting sqref="F6:AQ6">
    <cfRule type="expression" dxfId="57" priority="3">
      <formula>F6=0</formula>
    </cfRule>
    <cfRule type="expression" dxfId="56" priority="4">
      <formula>F6&gt;0</formula>
    </cfRule>
  </conditionalFormatting>
  <conditionalFormatting sqref="F19:AQ19">
    <cfRule type="expression" dxfId="55" priority="5">
      <formula>F19=0</formula>
    </cfRule>
    <cfRule type="expression" dxfId="54" priority="6">
      <formula>F19&gt;0</formula>
    </cfRule>
  </conditionalFormatting>
  <conditionalFormatting sqref="F32:AQ32">
    <cfRule type="expression" dxfId="53" priority="7">
      <formula>F32=0</formula>
    </cfRule>
    <cfRule type="expression" dxfId="52" priority="8">
      <formula>F32&gt;0</formula>
    </cfRule>
  </conditionalFormatting>
  <conditionalFormatting sqref="F45:AQ45">
    <cfRule type="expression" dxfId="51" priority="9">
      <formula>F45=0</formula>
    </cfRule>
    <cfRule type="expression" dxfId="50" priority="10">
      <formula>F45&gt;0</formula>
    </cfRule>
  </conditionalFormatting>
  <conditionalFormatting sqref="F58:AQ58">
    <cfRule type="expression" dxfId="49" priority="11">
      <formula>F58=0</formula>
    </cfRule>
    <cfRule type="expression" dxfId="48" priority="12">
      <formula>F58&gt;0</formula>
    </cfRule>
  </conditionalFormatting>
  <conditionalFormatting sqref="F71:AQ71">
    <cfRule type="expression" dxfId="47" priority="13">
      <formula>F71=0</formula>
    </cfRule>
    <cfRule type="expression" dxfId="46" priority="14">
      <formula>F71&gt;0</formula>
    </cfRule>
  </conditionalFormatting>
  <conditionalFormatting sqref="F84:AQ84">
    <cfRule type="expression" dxfId="45" priority="15">
      <formula>F84=0</formula>
    </cfRule>
    <cfRule type="expression" dxfId="44" priority="16">
      <formula>F84&gt;0</formula>
    </cfRule>
  </conditionalFormatting>
  <conditionalFormatting sqref="F97:AQ97">
    <cfRule type="expression" dxfId="43" priority="17">
      <formula>F97=0</formula>
    </cfRule>
    <cfRule type="expression" dxfId="42" priority="18">
      <formula>F97&gt;0</formula>
    </cfRule>
  </conditionalFormatting>
  <conditionalFormatting sqref="F110:AQ110">
    <cfRule type="expression" dxfId="41" priority="19">
      <formula>F110=0</formula>
    </cfRule>
    <cfRule type="expression" dxfId="40" priority="20">
      <formula>F110&gt;0</formula>
    </cfRule>
  </conditionalFormatting>
  <conditionalFormatting sqref="F123:AQ123">
    <cfRule type="expression" dxfId="39" priority="21">
      <formula>F123=0</formula>
    </cfRule>
    <cfRule type="expression" dxfId="38" priority="22">
      <formula>F123&gt;0</formula>
    </cfRule>
  </conditionalFormatting>
  <conditionalFormatting sqref="F136:AQ136">
    <cfRule type="expression" dxfId="37" priority="23">
      <formula>F136=0</formula>
    </cfRule>
    <cfRule type="expression" dxfId="36" priority="24">
      <formula>F136&gt;0</formula>
    </cfRule>
  </conditionalFormatting>
  <conditionalFormatting sqref="F149:AQ149">
    <cfRule type="expression" dxfId="35" priority="26">
      <formula>F149&gt;0</formula>
    </cfRule>
    <cfRule type="expression" dxfId="34" priority="25">
      <formula>F149=0</formula>
    </cfRule>
  </conditionalFormatting>
  <conditionalFormatting sqref="F162:AQ162">
    <cfRule type="expression" dxfId="33" priority="27">
      <formula>F162=0</formula>
    </cfRule>
    <cfRule type="expression" dxfId="32" priority="28">
      <formula>F162&gt;0</formula>
    </cfRule>
  </conditionalFormatting>
  <conditionalFormatting sqref="F175:AQ175">
    <cfRule type="expression" dxfId="31" priority="29">
      <formula>F175=0</formula>
    </cfRule>
    <cfRule type="expression" dxfId="30" priority="30">
      <formula>F175&gt;0</formula>
    </cfRule>
  </conditionalFormatting>
  <conditionalFormatting sqref="F188:AQ188">
    <cfRule type="expression" dxfId="29" priority="31">
      <formula>F188=0</formula>
    </cfRule>
    <cfRule type="expression" dxfId="28" priority="32">
      <formula>F188&gt;0</formula>
    </cfRule>
  </conditionalFormatting>
  <conditionalFormatting sqref="F201:AQ201">
    <cfRule type="expression" dxfId="27" priority="33">
      <formula>F201=0</formula>
    </cfRule>
    <cfRule type="expression" dxfId="26" priority="34">
      <formula>F201&gt;0</formula>
    </cfRule>
  </conditionalFormatting>
  <conditionalFormatting sqref="F214:AQ214">
    <cfRule type="expression" dxfId="25" priority="35">
      <formula>F214=0</formula>
    </cfRule>
    <cfRule type="expression" dxfId="24" priority="36">
      <formula>F214&gt;0</formula>
    </cfRule>
  </conditionalFormatting>
  <conditionalFormatting sqref="F227:AQ227">
    <cfRule type="expression" dxfId="23" priority="38">
      <formula>F227&gt;0</formula>
    </cfRule>
    <cfRule type="expression" dxfId="22" priority="37">
      <formula>F227=0</formula>
    </cfRule>
  </conditionalFormatting>
  <conditionalFormatting sqref="F240:AQ240">
    <cfRule type="expression" dxfId="21" priority="39">
      <formula>F240=0</formula>
    </cfRule>
    <cfRule type="expression" dxfId="20" priority="40">
      <formula>F240&gt;0</formula>
    </cfRule>
  </conditionalFormatting>
  <conditionalFormatting sqref="F253:AQ253">
    <cfRule type="expression" dxfId="19" priority="41">
      <formula>F253=0</formula>
    </cfRule>
    <cfRule type="expression" dxfId="18" priority="42">
      <formula>F253&gt;0</formula>
    </cfRule>
  </conditionalFormatting>
  <conditionalFormatting sqref="F266:AQ266">
    <cfRule type="expression" dxfId="17" priority="43">
      <formula>F266=0</formula>
    </cfRule>
    <cfRule type="expression" dxfId="16" priority="44">
      <formula>F266&gt;0</formula>
    </cfRule>
  </conditionalFormatting>
  <conditionalFormatting sqref="F279:AQ279">
    <cfRule type="expression" dxfId="15" priority="45">
      <formula>F279=0</formula>
    </cfRule>
    <cfRule type="expression" dxfId="14" priority="46">
      <formula>F279&gt;0</formula>
    </cfRule>
  </conditionalFormatting>
  <conditionalFormatting sqref="F292:AQ292">
    <cfRule type="expression" dxfId="13" priority="47">
      <formula>F292=0</formula>
    </cfRule>
    <cfRule type="expression" dxfId="12" priority="48">
      <formula>F292&gt;0</formula>
    </cfRule>
  </conditionalFormatting>
  <conditionalFormatting sqref="F305:AQ305">
    <cfRule type="expression" dxfId="11" priority="49">
      <formula>F305=0</formula>
    </cfRule>
    <cfRule type="expression" dxfId="10" priority="50">
      <formula>F305&gt;0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N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14" width="9" customWidth="1"/>
  </cols>
  <sheetData>
    <row r="1" spans="1:14" ht="19.5" customHeight="1" x14ac:dyDescent="0.2">
      <c r="A1" s="439" t="s">
        <v>348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</row>
    <row r="2" spans="1:14" ht="15.75" customHeight="1" x14ac:dyDescent="0.2">
      <c r="A2" s="205" t="s">
        <v>237</v>
      </c>
      <c r="B2" s="206" t="s">
        <v>349</v>
      </c>
      <c r="C2" s="207" t="s">
        <v>350</v>
      </c>
      <c r="D2" s="207" t="s">
        <v>351</v>
      </c>
      <c r="E2" s="207" t="s">
        <v>352</v>
      </c>
      <c r="F2" s="207" t="s">
        <v>353</v>
      </c>
      <c r="G2" s="207" t="s">
        <v>354</v>
      </c>
      <c r="H2" s="207" t="s">
        <v>355</v>
      </c>
      <c r="I2" s="207" t="s">
        <v>356</v>
      </c>
      <c r="J2" s="207" t="s">
        <v>357</v>
      </c>
      <c r="K2" s="207" t="s">
        <v>358</v>
      </c>
      <c r="L2" s="207" t="s">
        <v>359</v>
      </c>
      <c r="M2" s="207" t="s">
        <v>360</v>
      </c>
      <c r="N2" s="207" t="s">
        <v>361</v>
      </c>
    </row>
    <row r="3" spans="1:14" x14ac:dyDescent="0.2">
      <c r="A3" s="443" t="s">
        <v>362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</row>
    <row r="4" spans="1:14" ht="15.75" customHeight="1" x14ac:dyDescent="0.2">
      <c r="A4" s="440" t="s">
        <v>363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</row>
    <row r="5" spans="1:14" ht="13.5" customHeight="1" x14ac:dyDescent="0.2">
      <c r="A5" s="208" t="s">
        <v>364</v>
      </c>
      <c r="B5" s="209">
        <f>SUMIF(_Data_2026!$B:$B,"Achats non stockés",_Data_2026!$D:$D)</f>
        <v>1421.35</v>
      </c>
      <c r="C5" s="209">
        <f>SUMIFS(_Data_2026!$D:$D,_Data_2026!$B:$B,"Achats non stockés",_Data_2026!$A:$A,1)</f>
        <v>630.45000000000005</v>
      </c>
      <c r="D5" s="209">
        <f>SUMIFS(_Data_2026!$D:$D,_Data_2026!$B:$B,"Achats non stockés",_Data_2026!$A:$A,2)</f>
        <v>62.19</v>
      </c>
      <c r="E5" s="209">
        <f>SUMIFS(_Data_2026!$D:$D,_Data_2026!$B:$B,"Achats non stockés",_Data_2026!$A:$A,3)</f>
        <v>728.71</v>
      </c>
      <c r="F5" s="210"/>
      <c r="G5" s="210"/>
      <c r="H5" s="210"/>
      <c r="I5" s="210"/>
      <c r="J5" s="210"/>
      <c r="K5" s="210"/>
      <c r="L5" s="210"/>
      <c r="M5" s="210"/>
      <c r="N5" s="210"/>
    </row>
    <row r="6" spans="1:14" ht="13.5" customHeight="1" x14ac:dyDescent="0.2">
      <c r="A6" s="208" t="s">
        <v>30</v>
      </c>
      <c r="B6" s="209">
        <f>SUMIF(_Data_2026!$B:$B,"Assurances",_Data_2026!$D:$D)</f>
        <v>2414.81</v>
      </c>
      <c r="C6" s="209">
        <f>SUMIFS(_Data_2026!$D:$D,_Data_2026!$B:$B,"Assurances",_Data_2026!$A:$A,1)</f>
        <v>403.11</v>
      </c>
      <c r="D6" s="209">
        <f>SUMIFS(_Data_2026!$D:$D,_Data_2026!$B:$B,"Assurances",_Data_2026!$A:$A,2)</f>
        <v>1667.21</v>
      </c>
      <c r="E6" s="209">
        <f>SUMIFS(_Data_2026!$D:$D,_Data_2026!$B:$B,"Assurances",_Data_2026!$A:$A,3)</f>
        <v>344.49</v>
      </c>
      <c r="F6" s="210"/>
      <c r="G6" s="210"/>
      <c r="H6" s="210"/>
      <c r="I6" s="210"/>
      <c r="J6" s="210"/>
      <c r="K6" s="210"/>
      <c r="L6" s="210"/>
      <c r="M6" s="210"/>
      <c r="N6" s="210"/>
    </row>
    <row r="7" spans="1:14" ht="13.5" customHeight="1" x14ac:dyDescent="0.2">
      <c r="A7" s="208" t="s">
        <v>365</v>
      </c>
      <c r="B7" s="209">
        <f>SUMIF(_Data_2026!$B:$B,"Maintenance et entretien",_Data_2026!$D:$D)</f>
        <v>511.69</v>
      </c>
      <c r="C7" s="209">
        <f>SUMIFS(_Data_2026!$D:$D,_Data_2026!$B:$B,"Maintenance et entretien",_Data_2026!$A:$A,1)</f>
        <v>127.64</v>
      </c>
      <c r="D7" s="209">
        <f>SUMIFS(_Data_2026!$D:$D,_Data_2026!$B:$B,"Maintenance et entretien",_Data_2026!$A:$A,2)</f>
        <v>259.07</v>
      </c>
      <c r="E7" s="209">
        <f>SUMIFS(_Data_2026!$D:$D,_Data_2026!$B:$B,"Maintenance et entretien",_Data_2026!$A:$A,3)</f>
        <v>124.98</v>
      </c>
      <c r="F7" s="210"/>
      <c r="G7" s="210"/>
      <c r="H7" s="210"/>
      <c r="I7" s="210"/>
      <c r="J7" s="210"/>
      <c r="K7" s="210"/>
      <c r="L7" s="210"/>
      <c r="M7" s="210"/>
      <c r="N7" s="210"/>
    </row>
    <row r="8" spans="1:14" ht="13.5" customHeight="1" x14ac:dyDescent="0.2">
      <c r="A8" s="208" t="s">
        <v>34</v>
      </c>
      <c r="B8" s="209">
        <f>SUMIF(_Data_2026!$B:$B,"Locations immobilières",_Data_2026!$D:$D)</f>
        <v>4896</v>
      </c>
      <c r="C8" s="209">
        <f>SUMIFS(_Data_2026!$D:$D,_Data_2026!$B:$B,"Locations immobilières",_Data_2026!$A:$A,1)</f>
        <v>1632</v>
      </c>
      <c r="D8" s="209">
        <f>SUMIFS(_Data_2026!$D:$D,_Data_2026!$B:$B,"Locations immobilières",_Data_2026!$A:$A,2)</f>
        <v>1632</v>
      </c>
      <c r="E8" s="209">
        <f>SUMIFS(_Data_2026!$D:$D,_Data_2026!$B:$B,"Locations immobilières",_Data_2026!$A:$A,3)</f>
        <v>1632</v>
      </c>
      <c r="F8" s="210"/>
      <c r="G8" s="210"/>
      <c r="H8" s="210"/>
      <c r="I8" s="210"/>
      <c r="J8" s="210"/>
      <c r="K8" s="210"/>
      <c r="L8" s="210"/>
      <c r="M8" s="210"/>
      <c r="N8" s="210"/>
    </row>
    <row r="9" spans="1:14" ht="13.5" customHeight="1" x14ac:dyDescent="0.2">
      <c r="A9" s="208" t="s">
        <v>35</v>
      </c>
      <c r="B9" s="209">
        <f>SUMIF(_Data_2026!$B:$B,"Locations mobilières (y compris véhicules)",_Data_2026!$D:$D)</f>
        <v>4237.8900000000021</v>
      </c>
      <c r="C9" s="209">
        <f>SUMIFS(_Data_2026!$D:$D,_Data_2026!$B:$B,"Locations mobilières (y compris véhicules)",_Data_2026!$A:$A,1)</f>
        <v>1838.63</v>
      </c>
      <c r="D9" s="209">
        <f>SUMIFS(_Data_2026!$D:$D,_Data_2026!$B:$B,"Locations mobilières (y compris véhicules)",_Data_2026!$A:$A,2)</f>
        <v>1481.77</v>
      </c>
      <c r="E9" s="209">
        <f>SUMIFS(_Data_2026!$D:$D,_Data_2026!$B:$B,"Locations mobilières (y compris véhicules)",_Data_2026!$A:$A,3)</f>
        <v>917.49</v>
      </c>
      <c r="F9" s="210"/>
      <c r="G9" s="210"/>
      <c r="H9" s="210"/>
      <c r="I9" s="210"/>
      <c r="J9" s="210"/>
      <c r="K9" s="210"/>
      <c r="L9" s="210"/>
      <c r="M9" s="210"/>
      <c r="N9" s="210"/>
    </row>
    <row r="10" spans="1:14" ht="13.5" customHeight="1" x14ac:dyDescent="0.2">
      <c r="A10" s="208" t="s">
        <v>37</v>
      </c>
      <c r="B10" s="209">
        <f>SUMIF(_Data_2026!$B:$B,"Marketing et Communication (hors redevances de Pub Mikit)",_Data_2026!$D:$D)</f>
        <v>20436.119999999995</v>
      </c>
      <c r="C10" s="209">
        <f>SUMIFS(_Data_2026!$D:$D,_Data_2026!$B:$B,"Marketing et Communication (hors redevances de Pub Mikit)",_Data_2026!$A:$A,1)</f>
        <v>9250.94</v>
      </c>
      <c r="D10" s="209">
        <f>SUMIFS(_Data_2026!$D:$D,_Data_2026!$B:$B,"Marketing et Communication (hors redevances de Pub Mikit)",_Data_2026!$A:$A,2)</f>
        <v>6305.42</v>
      </c>
      <c r="E10" s="209">
        <f>SUMIFS(_Data_2026!$D:$D,_Data_2026!$B:$B,"Marketing et Communication (hors redevances de Pub Mikit)",_Data_2026!$A:$A,3)</f>
        <v>4879.76</v>
      </c>
      <c r="F10" s="210"/>
      <c r="G10" s="210"/>
      <c r="H10" s="210"/>
      <c r="I10" s="210"/>
      <c r="J10" s="210"/>
      <c r="K10" s="210"/>
      <c r="L10" s="210"/>
      <c r="M10" s="210"/>
      <c r="N10" s="210"/>
    </row>
    <row r="11" spans="1:14" ht="13.5" customHeight="1" x14ac:dyDescent="0.2">
      <c r="A11" s="208" t="s">
        <v>38</v>
      </c>
      <c r="B11" s="209">
        <f>SUMIF(_Data_2026!$B:$B,"Honoraires divers",_Data_2026!$D:$D)</f>
        <v>3022.6</v>
      </c>
      <c r="C11" s="209">
        <f>SUMIFS(_Data_2026!$D:$D,_Data_2026!$B:$B,"Honoraires divers",_Data_2026!$A:$A,1)</f>
        <v>592</v>
      </c>
      <c r="D11" s="209">
        <f>SUMIFS(_Data_2026!$D:$D,_Data_2026!$B:$B,"Honoraires divers",_Data_2026!$A:$A,2)</f>
        <v>1398</v>
      </c>
      <c r="E11" s="209">
        <f>SUMIFS(_Data_2026!$D:$D,_Data_2026!$B:$B,"Honoraires divers",_Data_2026!$A:$A,3)</f>
        <v>1032.5999999999999</v>
      </c>
      <c r="F11" s="210"/>
      <c r="G11" s="210"/>
      <c r="H11" s="210"/>
      <c r="I11" s="210"/>
      <c r="J11" s="210"/>
      <c r="K11" s="210"/>
      <c r="L11" s="210"/>
      <c r="M11" s="210"/>
      <c r="N11" s="210"/>
    </row>
    <row r="12" spans="1:14" ht="13.5" customHeight="1" x14ac:dyDescent="0.2">
      <c r="A12" s="208" t="s">
        <v>40</v>
      </c>
      <c r="B12" s="209">
        <f>SUMIF(_Data_2026!$B:$B,"Voyages et déplacements (dont carburant)",_Data_2026!$D:$D)</f>
        <v>4061.4899999999984</v>
      </c>
      <c r="C12" s="209">
        <f>SUMIFS(_Data_2026!$D:$D,_Data_2026!$B:$B,"Voyages et déplacements (dont carburant)",_Data_2026!$A:$A,1)</f>
        <v>1123.7100000000003</v>
      </c>
      <c r="D12" s="209">
        <f>SUMIFS(_Data_2026!$D:$D,_Data_2026!$B:$B,"Voyages et déplacements (dont carburant)",_Data_2026!$A:$A,2)</f>
        <v>2025.0600000000004</v>
      </c>
      <c r="E12" s="209">
        <f>SUMIFS(_Data_2026!$D:$D,_Data_2026!$B:$B,"Voyages et déplacements (dont carburant)",_Data_2026!$A:$A,3)</f>
        <v>912.71999999999991</v>
      </c>
      <c r="F12" s="210"/>
      <c r="G12" s="210"/>
      <c r="H12" s="210"/>
      <c r="I12" s="210"/>
      <c r="J12" s="210"/>
      <c r="K12" s="210"/>
      <c r="L12" s="210"/>
      <c r="M12" s="210"/>
      <c r="N12" s="210"/>
    </row>
    <row r="13" spans="1:14" ht="13.5" customHeight="1" x14ac:dyDescent="0.2">
      <c r="A13" s="208" t="s">
        <v>41</v>
      </c>
      <c r="B13" s="209">
        <f>SUMIF(_Data_2026!$B:$B,"Téléphonie, frais postaux et frais bancaires",_Data_2026!$D:$D)</f>
        <v>583.51000000000022</v>
      </c>
      <c r="C13" s="209">
        <f>SUMIFS(_Data_2026!$D:$D,_Data_2026!$B:$B,"Téléphonie, frais postaux et frais bancaires",_Data_2026!$A:$A,1)</f>
        <v>291.35999999999996</v>
      </c>
      <c r="D13" s="209">
        <f>SUMIFS(_Data_2026!$D:$D,_Data_2026!$B:$B,"Téléphonie, frais postaux et frais bancaires",_Data_2026!$A:$A,2)</f>
        <v>148.66</v>
      </c>
      <c r="E13" s="209">
        <f>SUMIFS(_Data_2026!$D:$D,_Data_2026!$B:$B,"Téléphonie, frais postaux et frais bancaires",_Data_2026!$A:$A,3)</f>
        <v>143.49</v>
      </c>
      <c r="F13" s="210"/>
      <c r="G13" s="210"/>
      <c r="H13" s="210"/>
      <c r="I13" s="210"/>
      <c r="J13" s="210"/>
      <c r="K13" s="210"/>
      <c r="L13" s="210"/>
      <c r="M13" s="210"/>
      <c r="N13" s="210"/>
    </row>
    <row r="14" spans="1:14" ht="13.5" customHeight="1" x14ac:dyDescent="0.2">
      <c r="A14" s="208" t="s">
        <v>366</v>
      </c>
      <c r="B14" s="209">
        <f>SUMIF(_Data_2026!$B:$B,"Impôts et taxes",_Data_2026!$D:$D)</f>
        <v>116.32000000000002</v>
      </c>
      <c r="C14" s="209">
        <f>SUMIFS(_Data_2026!$D:$D,_Data_2026!$B:$B,"Impôts et taxes",_Data_2026!$A:$A,1)</f>
        <v>22.03</v>
      </c>
      <c r="D14" s="209">
        <f>SUMIFS(_Data_2026!$D:$D,_Data_2026!$B:$B,"Impôts et taxes",_Data_2026!$A:$A,2)</f>
        <v>57.940000000000005</v>
      </c>
      <c r="E14" s="209">
        <f>SUMIFS(_Data_2026!$D:$D,_Data_2026!$B:$B,"Impôts et taxes",_Data_2026!$A:$A,3)</f>
        <v>36.35</v>
      </c>
      <c r="F14" s="210"/>
      <c r="G14" s="210"/>
      <c r="H14" s="210"/>
      <c r="I14" s="210"/>
      <c r="J14" s="210"/>
      <c r="K14" s="210"/>
      <c r="L14" s="210"/>
      <c r="M14" s="210"/>
      <c r="N14" s="210"/>
    </row>
    <row r="15" spans="1:14" ht="13.5" customHeight="1" x14ac:dyDescent="0.2">
      <c r="A15" s="208" t="s">
        <v>367</v>
      </c>
      <c r="B15" s="209">
        <f>SUMIF(_Data_2026!$B:$B,"Charges financières",_Data_2026!$D:$D)</f>
        <v>435.4</v>
      </c>
      <c r="C15" s="209">
        <f>SUMIFS(_Data_2026!$D:$D,_Data_2026!$B:$B,"Charges financières",_Data_2026!$A:$A,1)</f>
        <v>148.16999999999999</v>
      </c>
      <c r="D15" s="209">
        <f>SUMIFS(_Data_2026!$D:$D,_Data_2026!$B:$B,"Charges financières",_Data_2026!$A:$A,2)</f>
        <v>145.14999999999998</v>
      </c>
      <c r="E15" s="209">
        <f>SUMIFS(_Data_2026!$D:$D,_Data_2026!$B:$B,"Charges financières",_Data_2026!$A:$A,3)</f>
        <v>142.08000000000001</v>
      </c>
      <c r="F15" s="210"/>
      <c r="G15" s="210"/>
      <c r="H15" s="210"/>
      <c r="I15" s="210"/>
      <c r="J15" s="210"/>
      <c r="K15" s="210"/>
      <c r="L15" s="210"/>
      <c r="M15" s="210"/>
      <c r="N15" s="210"/>
    </row>
    <row r="16" spans="1:14" ht="13.5" customHeight="1" x14ac:dyDescent="0.2">
      <c r="A16" s="208" t="s">
        <v>47</v>
      </c>
      <c r="B16" s="209">
        <f>SUMIF(_Data_2026!$B:$B,"Amortissements et provisions",_Data_2026!$D:$D)</f>
        <v>0</v>
      </c>
      <c r="C16" s="209">
        <f>SUMIFS(_Data_2026!$D:$D,_Data_2026!$B:$B,"Amortissements et provisions",_Data_2026!$A:$A,1)</f>
        <v>0</v>
      </c>
      <c r="D16" s="209">
        <f>SUMIFS(_Data_2026!$D:$D,_Data_2026!$B:$B,"Amortissements et provisions",_Data_2026!$A:$A,2)</f>
        <v>0</v>
      </c>
      <c r="E16" s="209">
        <f>SUMIFS(_Data_2026!$D:$D,_Data_2026!$B:$B,"Amortissements et provisions",_Data_2026!$A:$A,3)</f>
        <v>0</v>
      </c>
      <c r="F16" s="210"/>
      <c r="G16" s="210"/>
      <c r="H16" s="210"/>
      <c r="I16" s="210"/>
      <c r="J16" s="210"/>
      <c r="K16" s="210"/>
      <c r="L16" s="210"/>
      <c r="M16" s="210"/>
      <c r="N16" s="210"/>
    </row>
    <row r="17" spans="1:14" ht="13.5" customHeight="1" x14ac:dyDescent="0.2">
      <c r="A17" s="208" t="s">
        <v>368</v>
      </c>
      <c r="B17" s="209">
        <f>SUMIF(_Data_2026!$B:$B,"Autres charges diverses",_Data_2026!$D:$D)</f>
        <v>7.55</v>
      </c>
      <c r="C17" s="209">
        <f>SUMIFS(_Data_2026!$D:$D,_Data_2026!$B:$B,"Autres charges diverses",_Data_2026!$A:$A,1)</f>
        <v>3.5300000000000002</v>
      </c>
      <c r="D17" s="209">
        <f>SUMIFS(_Data_2026!$D:$D,_Data_2026!$B:$B,"Autres charges diverses",_Data_2026!$A:$A,2)</f>
        <v>0.01</v>
      </c>
      <c r="E17" s="209">
        <f>SUMIFS(_Data_2026!$D:$D,_Data_2026!$B:$B,"Autres charges diverses",_Data_2026!$A:$A,3)</f>
        <v>4.01</v>
      </c>
      <c r="F17" s="210"/>
      <c r="G17" s="210"/>
      <c r="H17" s="210"/>
      <c r="I17" s="210"/>
      <c r="J17" s="210"/>
      <c r="K17" s="210"/>
      <c r="L17" s="210"/>
      <c r="M17" s="210"/>
      <c r="N17" s="210"/>
    </row>
    <row r="18" spans="1:14" ht="15" customHeight="1" x14ac:dyDescent="0.2">
      <c r="A18" s="211" t="s">
        <v>369</v>
      </c>
      <c r="B18" s="212">
        <f>SUM(B5:B17)</f>
        <v>42144.73</v>
      </c>
      <c r="C18" s="212">
        <f>SUM(C5:C17)</f>
        <v>16063.570000000003</v>
      </c>
      <c r="D18" s="212">
        <f>SUM(D5:D17)</f>
        <v>15182.480000000001</v>
      </c>
      <c r="E18" s="212">
        <f>SUM(E5:E17)</f>
        <v>10898.68</v>
      </c>
      <c r="F18" s="212"/>
      <c r="G18" s="212"/>
      <c r="H18" s="212"/>
      <c r="I18" s="212"/>
      <c r="J18" s="212"/>
      <c r="K18" s="212"/>
      <c r="L18" s="212"/>
      <c r="M18" s="212"/>
      <c r="N18" s="212"/>
    </row>
    <row r="20" spans="1:14" ht="15.75" customHeight="1" x14ac:dyDescent="0.2">
      <c r="A20" s="441" t="s">
        <v>370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 ht="13.5" customHeight="1" x14ac:dyDescent="0.2">
      <c r="A21" s="208" t="s">
        <v>371</v>
      </c>
      <c r="B21" s="209">
        <f>SUMIF(_Data_2026!$C:$C,"Masse Salariale",_Data_2026!$D:$D)</f>
        <v>51369.19000000001</v>
      </c>
      <c r="C21" s="209">
        <f>SUMIFS(_Data_2026!$D:$D,_Data_2026!$C:$C,"Masse Salariale",_Data_2026!$A:$A,1)</f>
        <v>18310.68</v>
      </c>
      <c r="D21" s="209">
        <f>SUMIFS(_Data_2026!$D:$D,_Data_2026!$C:$C,"Masse Salariale",_Data_2026!$A:$A,2)</f>
        <v>18985.129999999997</v>
      </c>
      <c r="E21" s="209">
        <f>SUMIFS(_Data_2026!$D:$D,_Data_2026!$C:$C,"Masse Salariale",_Data_2026!$A:$A,3)</f>
        <v>14073.38</v>
      </c>
      <c r="F21" s="210"/>
      <c r="G21" s="210"/>
      <c r="H21" s="210"/>
      <c r="I21" s="210"/>
      <c r="J21" s="210"/>
      <c r="K21" s="210"/>
      <c r="L21" s="210"/>
      <c r="M21" s="210"/>
      <c r="N21" s="210"/>
    </row>
    <row r="22" spans="1:14" ht="12.75" customHeight="1" x14ac:dyDescent="0.2">
      <c r="A22" s="213" t="s">
        <v>372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</row>
    <row r="23" spans="1:14" ht="12.75" customHeight="1" x14ac:dyDescent="0.2">
      <c r="A23" s="213" t="s">
        <v>373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</row>
    <row r="24" spans="1:14" ht="12.75" customHeight="1" x14ac:dyDescent="0.2">
      <c r="A24" s="213" t="s">
        <v>374</v>
      </c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</row>
    <row r="25" spans="1:14" ht="12.75" customHeight="1" x14ac:dyDescent="0.2">
      <c r="A25" s="213" t="s">
        <v>375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</row>
    <row r="26" spans="1:14" ht="12.75" customHeight="1" x14ac:dyDescent="0.2">
      <c r="A26" s="213" t="s">
        <v>376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</row>
    <row r="27" spans="1:14" ht="12.75" customHeight="1" x14ac:dyDescent="0.2">
      <c r="A27" s="213" t="s">
        <v>377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</row>
    <row r="28" spans="1:14" ht="12.75" customHeight="1" x14ac:dyDescent="0.2">
      <c r="A28" s="442" t="s">
        <v>378</v>
      </c>
      <c r="B28" s="442"/>
      <c r="C28" s="442"/>
      <c r="D28" s="442"/>
      <c r="E28" s="442"/>
      <c r="F28" s="442"/>
      <c r="G28" s="442"/>
      <c r="H28" s="442"/>
      <c r="I28" s="442"/>
      <c r="J28" s="442"/>
      <c r="K28" s="442"/>
      <c r="L28" s="442"/>
      <c r="M28" s="442"/>
      <c r="N28" s="442"/>
    </row>
    <row r="29" spans="1:14" ht="15" customHeight="1" x14ac:dyDescent="0.2">
      <c r="A29" s="215" t="s">
        <v>379</v>
      </c>
      <c r="B29" s="216">
        <f>B21</f>
        <v>51369.19000000001</v>
      </c>
      <c r="C29" s="216">
        <f>C21</f>
        <v>18310.68</v>
      </c>
      <c r="D29" s="216">
        <f>D21</f>
        <v>18985.129999999997</v>
      </c>
      <c r="E29" s="216">
        <f>E21</f>
        <v>14073.38</v>
      </c>
      <c r="F29" s="216"/>
      <c r="G29" s="216"/>
      <c r="H29" s="216"/>
      <c r="I29" s="216"/>
      <c r="J29" s="216"/>
      <c r="K29" s="216"/>
      <c r="L29" s="216"/>
      <c r="M29" s="216"/>
      <c r="N29" s="216"/>
    </row>
    <row r="31" spans="1:14" ht="15.75" customHeight="1" x14ac:dyDescent="0.2">
      <c r="A31" s="217" t="s">
        <v>380</v>
      </c>
      <c r="B31" s="218">
        <f>B18+B29</f>
        <v>93513.920000000013</v>
      </c>
      <c r="C31" s="218">
        <f>C18+C29</f>
        <v>34374.25</v>
      </c>
      <c r="D31" s="218">
        <f>D18+D29</f>
        <v>34167.61</v>
      </c>
      <c r="E31" s="218">
        <f>E18+E29</f>
        <v>24972.059999999998</v>
      </c>
      <c r="F31" s="218"/>
      <c r="G31" s="218"/>
      <c r="H31" s="218"/>
      <c r="I31" s="218"/>
      <c r="J31" s="218"/>
      <c r="K31" s="218"/>
      <c r="L31" s="218"/>
      <c r="M31" s="218"/>
      <c r="N31" s="218"/>
    </row>
    <row r="34" spans="1:14" ht="19.5" customHeight="1" x14ac:dyDescent="0.2">
      <c r="A34" s="439" t="s">
        <v>381</v>
      </c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</row>
    <row r="35" spans="1:14" ht="15.75" customHeight="1" x14ac:dyDescent="0.2">
      <c r="A35" s="205" t="s">
        <v>237</v>
      </c>
      <c r="B35" s="206" t="s">
        <v>349</v>
      </c>
      <c r="C35" s="207" t="s">
        <v>350</v>
      </c>
      <c r="D35" s="207" t="s">
        <v>351</v>
      </c>
      <c r="E35" s="207" t="s">
        <v>352</v>
      </c>
      <c r="F35" s="207" t="s">
        <v>353</v>
      </c>
      <c r="G35" s="207" t="s">
        <v>354</v>
      </c>
      <c r="H35" s="207" t="s">
        <v>355</v>
      </c>
      <c r="I35" s="207" t="s">
        <v>356</v>
      </c>
      <c r="J35" s="207" t="s">
        <v>357</v>
      </c>
      <c r="K35" s="207" t="s">
        <v>358</v>
      </c>
      <c r="L35" s="207" t="s">
        <v>359</v>
      </c>
      <c r="M35" s="207" t="s">
        <v>360</v>
      </c>
      <c r="N35" s="207" t="s">
        <v>361</v>
      </c>
    </row>
    <row r="36" spans="1:14" ht="15.75" customHeight="1" x14ac:dyDescent="0.2">
      <c r="A36" s="440" t="s">
        <v>363</v>
      </c>
      <c r="B36" s="440"/>
      <c r="C36" s="440"/>
      <c r="D36" s="440"/>
      <c r="E36" s="440"/>
      <c r="F36" s="440"/>
      <c r="G36" s="440"/>
      <c r="H36" s="440"/>
      <c r="I36" s="440"/>
      <c r="J36" s="440"/>
      <c r="K36" s="440"/>
      <c r="L36" s="440"/>
      <c r="M36" s="440"/>
      <c r="N36" s="440"/>
    </row>
    <row r="37" spans="1:14" ht="13.5" customHeight="1" x14ac:dyDescent="0.2">
      <c r="A37" s="208" t="s">
        <v>364</v>
      </c>
      <c r="B37" s="209">
        <f>SUMIF(_Data_2025!$B:$B,"Achats non stockés",_Data_2025!$D:$D)</f>
        <v>9988.7099999999955</v>
      </c>
      <c r="C37" s="209">
        <f>SUMIFS(_Data_2025!$D:$D,_Data_2025!$B:$B,"Achats non stockés",_Data_2025!$A:$A,1)</f>
        <v>979.75</v>
      </c>
      <c r="D37" s="209">
        <f>SUMIFS(_Data_2025!$D:$D,_Data_2025!$B:$B,"Achats non stockés",_Data_2025!$A:$A,2)</f>
        <v>116.33</v>
      </c>
      <c r="E37" s="209">
        <f>SUMIFS(_Data_2025!$D:$D,_Data_2025!$B:$B,"Achats non stockés",_Data_2025!$A:$A,3)</f>
        <v>440.34</v>
      </c>
      <c r="F37" s="209">
        <f>SUMIFS(_Data_2025!$D:$D,_Data_2025!$B:$B,"Achats non stockés",_Data_2025!$A:$A,4)</f>
        <v>1370.4600000000003</v>
      </c>
      <c r="G37" s="209">
        <f>SUMIFS(_Data_2025!$D:$D,_Data_2025!$B:$B,"Achats non stockés",_Data_2025!$A:$A,5)</f>
        <v>1405.74</v>
      </c>
      <c r="H37" s="209">
        <f>SUMIFS(_Data_2025!$D:$D,_Data_2025!$B:$B,"Achats non stockés",_Data_2025!$A:$A,6)</f>
        <v>493.07000000000005</v>
      </c>
      <c r="I37" s="209">
        <f>SUMIFS(_Data_2025!$D:$D,_Data_2025!$B:$B,"Achats non stockés",_Data_2025!$A:$A,7)</f>
        <v>1439.5299999999997</v>
      </c>
      <c r="J37" s="209">
        <f>SUMIFS(_Data_2025!$D:$D,_Data_2025!$B:$B,"Achats non stockés",_Data_2025!$A:$A,8)</f>
        <v>711.7</v>
      </c>
      <c r="K37" s="209">
        <f>SUMIFS(_Data_2025!$D:$D,_Data_2025!$B:$B,"Achats non stockés",_Data_2025!$A:$A,9)</f>
        <v>811.99</v>
      </c>
      <c r="L37" s="209">
        <f>SUMIFS(_Data_2025!$D:$D,_Data_2025!$B:$B,"Achats non stockés",_Data_2025!$A:$A,10)</f>
        <v>917.18999999999994</v>
      </c>
      <c r="M37" s="209">
        <f>SUMIFS(_Data_2025!$D:$D,_Data_2025!$B:$B,"Achats non stockés",_Data_2025!$A:$A,11)</f>
        <v>378.15999999999997</v>
      </c>
      <c r="N37" s="209">
        <f>SUMIFS(_Data_2025!$D:$D,_Data_2025!$B:$B,"Achats non stockés",_Data_2025!$A:$A,12)</f>
        <v>924.45</v>
      </c>
    </row>
    <row r="38" spans="1:14" ht="13.5" customHeight="1" x14ac:dyDescent="0.2">
      <c r="A38" s="208" t="s">
        <v>30</v>
      </c>
      <c r="B38" s="209">
        <f>SUMIF(_Data_2025!$B:$B,"Assurances",_Data_2025!$D:$D)</f>
        <v>5803.7000000000035</v>
      </c>
      <c r="C38" s="209">
        <f>SUMIFS(_Data_2025!$D:$D,_Data_2025!$B:$B,"Assurances",_Data_2025!$A:$A,1)</f>
        <v>677.59999999999991</v>
      </c>
      <c r="D38" s="209">
        <f>SUMIFS(_Data_2025!$D:$D,_Data_2025!$B:$B,"Assurances",_Data_2025!$A:$A,2)</f>
        <v>358.34</v>
      </c>
      <c r="E38" s="209">
        <f>SUMIFS(_Data_2025!$D:$D,_Data_2025!$B:$B,"Assurances",_Data_2025!$A:$A,3)</f>
        <v>411.7</v>
      </c>
      <c r="F38" s="209">
        <f>SUMIFS(_Data_2025!$D:$D,_Data_2025!$B:$B,"Assurances",_Data_2025!$A:$A,4)</f>
        <v>522.19999999999993</v>
      </c>
      <c r="G38" s="209">
        <f>SUMIFS(_Data_2025!$D:$D,_Data_2025!$B:$B,"Assurances",_Data_2025!$A:$A,5)</f>
        <v>541.92999999999995</v>
      </c>
      <c r="H38" s="209">
        <f>SUMIFS(_Data_2025!$D:$D,_Data_2025!$B:$B,"Assurances",_Data_2025!$A:$A,6)</f>
        <v>141.96999999999994</v>
      </c>
      <c r="I38" s="209">
        <f>SUMIFS(_Data_2025!$D:$D,_Data_2025!$B:$B,"Assurances",_Data_2025!$A:$A,7)</f>
        <v>1132.79</v>
      </c>
      <c r="J38" s="209">
        <f>SUMIFS(_Data_2025!$D:$D,_Data_2025!$B:$B,"Assurances",_Data_2025!$A:$A,8)</f>
        <v>477.3</v>
      </c>
      <c r="K38" s="209">
        <f>SUMIFS(_Data_2025!$D:$D,_Data_2025!$B:$B,"Assurances",_Data_2025!$A:$A,9)</f>
        <v>360.42999999999995</v>
      </c>
      <c r="L38" s="209">
        <f>SUMIFS(_Data_2025!$D:$D,_Data_2025!$B:$B,"Assurances",_Data_2025!$A:$A,10)</f>
        <v>858.62</v>
      </c>
      <c r="M38" s="209">
        <f>SUMIFS(_Data_2025!$D:$D,_Data_2025!$B:$B,"Assurances",_Data_2025!$A:$A,11)</f>
        <v>390.79999999999995</v>
      </c>
      <c r="N38" s="209">
        <f>SUMIFS(_Data_2025!$D:$D,_Data_2025!$B:$B,"Assurances",_Data_2025!$A:$A,12)</f>
        <v>-69.980000000000075</v>
      </c>
    </row>
    <row r="39" spans="1:14" ht="13.5" customHeight="1" x14ac:dyDescent="0.2">
      <c r="A39" s="208" t="s">
        <v>365</v>
      </c>
      <c r="B39" s="209">
        <f>SUMIF(_Data_2025!$B:$B,"Maintenance et entretien",_Data_2025!$D:$D)</f>
        <v>6425.159999999988</v>
      </c>
      <c r="C39" s="209">
        <f>SUMIFS(_Data_2025!$D:$D,_Data_2025!$B:$B,"Maintenance et entretien",_Data_2025!$A:$A,1)</f>
        <v>281.34000000000003</v>
      </c>
      <c r="D39" s="209">
        <f>SUMIFS(_Data_2025!$D:$D,_Data_2025!$B:$B,"Maintenance et entretien",_Data_2025!$A:$A,2)</f>
        <v>1206.5900000000001</v>
      </c>
      <c r="E39" s="209">
        <f>SUMIFS(_Data_2025!$D:$D,_Data_2025!$B:$B,"Maintenance et entretien",_Data_2025!$A:$A,3)</f>
        <v>1153.8300000000002</v>
      </c>
      <c r="F39" s="209">
        <f>SUMIFS(_Data_2025!$D:$D,_Data_2025!$B:$B,"Maintenance et entretien",_Data_2025!$A:$A,4)</f>
        <v>1162.9299999999998</v>
      </c>
      <c r="G39" s="209">
        <f>SUMIFS(_Data_2025!$D:$D,_Data_2025!$B:$B,"Maintenance et entretien",_Data_2025!$A:$A,5)</f>
        <v>570.11000000000013</v>
      </c>
      <c r="H39" s="209">
        <f>SUMIFS(_Data_2025!$D:$D,_Data_2025!$B:$B,"Maintenance et entretien",_Data_2025!$A:$A,6)</f>
        <v>271.24</v>
      </c>
      <c r="I39" s="209">
        <f>SUMIFS(_Data_2025!$D:$D,_Data_2025!$B:$B,"Maintenance et entretien",_Data_2025!$A:$A,7)</f>
        <v>893.9</v>
      </c>
      <c r="J39" s="209">
        <f>SUMIFS(_Data_2025!$D:$D,_Data_2025!$B:$B,"Maintenance et entretien",_Data_2025!$A:$A,8)</f>
        <v>226.56000000000006</v>
      </c>
      <c r="K39" s="209">
        <f>SUMIFS(_Data_2025!$D:$D,_Data_2025!$B:$B,"Maintenance et entretien",_Data_2025!$A:$A,9)</f>
        <v>918.32</v>
      </c>
      <c r="L39" s="209">
        <f>SUMIFS(_Data_2025!$D:$D,_Data_2025!$B:$B,"Maintenance et entretien",_Data_2025!$A:$A,10)</f>
        <v>299.03000000000003</v>
      </c>
      <c r="M39" s="209">
        <f>SUMIFS(_Data_2025!$D:$D,_Data_2025!$B:$B,"Maintenance et entretien",_Data_2025!$A:$A,11)</f>
        <v>194.15000000000003</v>
      </c>
      <c r="N39" s="209">
        <f>SUMIFS(_Data_2025!$D:$D,_Data_2025!$B:$B,"Maintenance et entretien",_Data_2025!$A:$A,12)</f>
        <v>-752.84</v>
      </c>
    </row>
    <row r="40" spans="1:14" ht="13.5" customHeight="1" x14ac:dyDescent="0.2">
      <c r="A40" s="208" t="s">
        <v>34</v>
      </c>
      <c r="B40" s="209">
        <f>SUMIF(_Data_2025!$B:$B,"Locations immobilières",_Data_2025!$D:$D)</f>
        <v>19032</v>
      </c>
      <c r="C40" s="209">
        <f>SUMIFS(_Data_2025!$D:$D,_Data_2025!$B:$B,"Locations immobilières",_Data_2025!$A:$A,1)</f>
        <v>1540</v>
      </c>
      <c r="D40" s="209">
        <f>SUMIFS(_Data_2025!$D:$D,_Data_2025!$B:$B,"Locations immobilières",_Data_2025!$A:$A,2)</f>
        <v>1540</v>
      </c>
      <c r="E40" s="209">
        <f>SUMIFS(_Data_2025!$D:$D,_Data_2025!$B:$B,"Locations immobilières",_Data_2025!$A:$A,3)</f>
        <v>1540</v>
      </c>
      <c r="F40" s="209">
        <f>SUMIFS(_Data_2025!$D:$D,_Data_2025!$B:$B,"Locations immobilières",_Data_2025!$A:$A,4)</f>
        <v>1540</v>
      </c>
      <c r="G40" s="209">
        <f>SUMIFS(_Data_2025!$D:$D,_Data_2025!$B:$B,"Locations immobilières",_Data_2025!$A:$A,5)</f>
        <v>1540</v>
      </c>
      <c r="H40" s="209">
        <f>SUMIFS(_Data_2025!$D:$D,_Data_2025!$B:$B,"Locations immobilières",_Data_2025!$A:$A,6)</f>
        <v>1540</v>
      </c>
      <c r="I40" s="209">
        <f>SUMIFS(_Data_2025!$D:$D,_Data_2025!$B:$B,"Locations immobilières",_Data_2025!$A:$A,7)</f>
        <v>1632</v>
      </c>
      <c r="J40" s="209">
        <f>SUMIFS(_Data_2025!$D:$D,_Data_2025!$B:$B,"Locations immobilières",_Data_2025!$A:$A,8)</f>
        <v>1632</v>
      </c>
      <c r="K40" s="209">
        <f>SUMIFS(_Data_2025!$D:$D,_Data_2025!$B:$B,"Locations immobilières",_Data_2025!$A:$A,9)</f>
        <v>1632</v>
      </c>
      <c r="L40" s="209">
        <f>SUMIFS(_Data_2025!$D:$D,_Data_2025!$B:$B,"Locations immobilières",_Data_2025!$A:$A,10)</f>
        <v>1632</v>
      </c>
      <c r="M40" s="209">
        <f>SUMIFS(_Data_2025!$D:$D,_Data_2025!$B:$B,"Locations immobilières",_Data_2025!$A:$A,11)</f>
        <v>1632</v>
      </c>
      <c r="N40" s="209">
        <f>SUMIFS(_Data_2025!$D:$D,_Data_2025!$B:$B,"Locations immobilières",_Data_2025!$A:$A,12)</f>
        <v>1632</v>
      </c>
    </row>
    <row r="41" spans="1:14" ht="13.5" customHeight="1" x14ac:dyDescent="0.2">
      <c r="A41" s="208" t="s">
        <v>35</v>
      </c>
      <c r="B41" s="209">
        <f>SUMIF(_Data_2025!$B:$B,"Locations mobilières (y compris véhicules)",_Data_2025!$D:$D)</f>
        <v>21696.140000000003</v>
      </c>
      <c r="C41" s="209">
        <f>SUMIFS(_Data_2025!$D:$D,_Data_2025!$B:$B,"Locations mobilières (y compris véhicules)",_Data_2025!$A:$A,1)</f>
        <v>1649.88</v>
      </c>
      <c r="D41" s="209">
        <f>SUMIFS(_Data_2025!$D:$D,_Data_2025!$B:$B,"Locations mobilières (y compris véhicules)",_Data_2025!$A:$A,2)</f>
        <v>1108.99</v>
      </c>
      <c r="E41" s="209">
        <f>SUMIFS(_Data_2025!$D:$D,_Data_2025!$B:$B,"Locations mobilières (y compris véhicules)",_Data_2025!$A:$A,3)</f>
        <v>1583.4399999999998</v>
      </c>
      <c r="F41" s="209">
        <f>SUMIFS(_Data_2025!$D:$D,_Data_2025!$B:$B,"Locations mobilières (y compris véhicules)",_Data_2025!$A:$A,4)</f>
        <v>1477.75</v>
      </c>
      <c r="G41" s="209">
        <f>SUMIFS(_Data_2025!$D:$D,_Data_2025!$B:$B,"Locations mobilières (y compris véhicules)",_Data_2025!$A:$A,5)</f>
        <v>1934.54</v>
      </c>
      <c r="H41" s="209">
        <f>SUMIFS(_Data_2025!$D:$D,_Data_2025!$B:$B,"Locations mobilières (y compris véhicules)",_Data_2025!$A:$A,6)</f>
        <v>1870.0300000000004</v>
      </c>
      <c r="I41" s="209">
        <f>SUMIFS(_Data_2025!$D:$D,_Data_2025!$B:$B,"Locations mobilières (y compris véhicules)",_Data_2025!$A:$A,7)</f>
        <v>2167.9</v>
      </c>
      <c r="J41" s="209">
        <f>SUMIFS(_Data_2025!$D:$D,_Data_2025!$B:$B,"Locations mobilières (y compris véhicules)",_Data_2025!$A:$A,8)</f>
        <v>1834.6100000000001</v>
      </c>
      <c r="K41" s="209">
        <f>SUMIFS(_Data_2025!$D:$D,_Data_2025!$B:$B,"Locations mobilières (y compris véhicules)",_Data_2025!$A:$A,9)</f>
        <v>2197.8500000000004</v>
      </c>
      <c r="L41" s="209">
        <f>SUMIFS(_Data_2025!$D:$D,_Data_2025!$B:$B,"Locations mobilières (y compris véhicules)",_Data_2025!$A:$A,10)</f>
        <v>1834.6100000000001</v>
      </c>
      <c r="M41" s="209">
        <f>SUMIFS(_Data_2025!$D:$D,_Data_2025!$B:$B,"Locations mobilières (y compris véhicules)",_Data_2025!$A:$A,11)</f>
        <v>1834.6100000000001</v>
      </c>
      <c r="N41" s="209">
        <f>SUMIFS(_Data_2025!$D:$D,_Data_2025!$B:$B,"Locations mobilières (y compris véhicules)",_Data_2025!$A:$A,12)</f>
        <v>2201.9299999999998</v>
      </c>
    </row>
    <row r="42" spans="1:14" ht="13.5" customHeight="1" x14ac:dyDescent="0.2">
      <c r="A42" s="208" t="s">
        <v>37</v>
      </c>
      <c r="B42" s="209">
        <f>SUMIF(_Data_2025!$B:$B,"Marketing et Communication (hors redevances de Pub Mikit)",_Data_2025!$D:$D)</f>
        <v>88696.249999999985</v>
      </c>
      <c r="C42" s="209">
        <f>SUMIFS(_Data_2025!$D:$D,_Data_2025!$B:$B,"Marketing et Communication (hors redevances de Pub Mikit)",_Data_2025!$A:$A,1)</f>
        <v>2902.68</v>
      </c>
      <c r="D42" s="209">
        <f>SUMIFS(_Data_2025!$D:$D,_Data_2025!$B:$B,"Marketing et Communication (hors redevances de Pub Mikit)",_Data_2025!$A:$A,2)</f>
        <v>7249.2300000000005</v>
      </c>
      <c r="E42" s="209">
        <f>SUMIFS(_Data_2025!$D:$D,_Data_2025!$B:$B,"Marketing et Communication (hors redevances de Pub Mikit)",_Data_2025!$A:$A,3)</f>
        <v>6056.2</v>
      </c>
      <c r="F42" s="209">
        <f>SUMIFS(_Data_2025!$D:$D,_Data_2025!$B:$B,"Marketing et Communication (hors redevances de Pub Mikit)",_Data_2025!$A:$A,4)</f>
        <v>4763.75</v>
      </c>
      <c r="G42" s="209">
        <f>SUMIFS(_Data_2025!$D:$D,_Data_2025!$B:$B,"Marketing et Communication (hors redevances de Pub Mikit)",_Data_2025!$A:$A,5)</f>
        <v>10862.54</v>
      </c>
      <c r="H42" s="209">
        <f>SUMIFS(_Data_2025!$D:$D,_Data_2025!$B:$B,"Marketing et Communication (hors redevances de Pub Mikit)",_Data_2025!$A:$A,6)</f>
        <v>6493.88</v>
      </c>
      <c r="I42" s="209">
        <f>SUMIFS(_Data_2025!$D:$D,_Data_2025!$B:$B,"Marketing et Communication (hors redevances de Pub Mikit)",_Data_2025!$A:$A,7)</f>
        <v>6715.31</v>
      </c>
      <c r="J42" s="209">
        <f>SUMIFS(_Data_2025!$D:$D,_Data_2025!$B:$B,"Marketing et Communication (hors redevances de Pub Mikit)",_Data_2025!$A:$A,8)</f>
        <v>7515.92</v>
      </c>
      <c r="K42" s="209">
        <f>SUMIFS(_Data_2025!$D:$D,_Data_2025!$B:$B,"Marketing et Communication (hors redevances de Pub Mikit)",_Data_2025!$A:$A,9)</f>
        <v>10905.279999999999</v>
      </c>
      <c r="L42" s="209">
        <f>SUMIFS(_Data_2025!$D:$D,_Data_2025!$B:$B,"Marketing et Communication (hors redevances de Pub Mikit)",_Data_2025!$A:$A,10)</f>
        <v>9580.7999999999993</v>
      </c>
      <c r="M42" s="209">
        <f>SUMIFS(_Data_2025!$D:$D,_Data_2025!$B:$B,"Marketing et Communication (hors redevances de Pub Mikit)",_Data_2025!$A:$A,11)</f>
        <v>8962.3100000000013</v>
      </c>
      <c r="N42" s="209">
        <f>SUMIFS(_Data_2025!$D:$D,_Data_2025!$B:$B,"Marketing et Communication (hors redevances de Pub Mikit)",_Data_2025!$A:$A,12)</f>
        <v>6688.3499999999995</v>
      </c>
    </row>
    <row r="43" spans="1:14" ht="13.5" customHeight="1" x14ac:dyDescent="0.2">
      <c r="A43" s="208" t="s">
        <v>38</v>
      </c>
      <c r="B43" s="209">
        <f>SUMIF(_Data_2025!$B:$B,"Honoraires divers",_Data_2025!$D:$D)</f>
        <v>31576.560000000009</v>
      </c>
      <c r="C43" s="209">
        <f>SUMIFS(_Data_2025!$D:$D,_Data_2025!$B:$B,"Honoraires divers",_Data_2025!$A:$A,1)</f>
        <v>928.30000000000018</v>
      </c>
      <c r="D43" s="209">
        <f>SUMIFS(_Data_2025!$D:$D,_Data_2025!$B:$B,"Honoraires divers",_Data_2025!$A:$A,2)</f>
        <v>2735.07</v>
      </c>
      <c r="E43" s="209">
        <f>SUMIFS(_Data_2025!$D:$D,_Data_2025!$B:$B,"Honoraires divers",_Data_2025!$A:$A,3)</f>
        <v>1826.7399999999998</v>
      </c>
      <c r="F43" s="209">
        <f>SUMIFS(_Data_2025!$D:$D,_Data_2025!$B:$B,"Honoraires divers",_Data_2025!$A:$A,4)</f>
        <v>2682.3</v>
      </c>
      <c r="G43" s="209">
        <f>SUMIFS(_Data_2025!$D:$D,_Data_2025!$B:$B,"Honoraires divers",_Data_2025!$A:$A,5)</f>
        <v>592</v>
      </c>
      <c r="H43" s="209">
        <f>SUMIFS(_Data_2025!$D:$D,_Data_2025!$B:$B,"Honoraires divers",_Data_2025!$A:$A,6)</f>
        <v>4602.3999999999996</v>
      </c>
      <c r="I43" s="209">
        <f>SUMIFS(_Data_2025!$D:$D,_Data_2025!$B:$B,"Honoraires divers",_Data_2025!$A:$A,7)</f>
        <v>7854.510000000002</v>
      </c>
      <c r="J43" s="209">
        <f>SUMIFS(_Data_2025!$D:$D,_Data_2025!$B:$B,"Honoraires divers",_Data_2025!$A:$A,8)</f>
        <v>592</v>
      </c>
      <c r="K43" s="209">
        <f>SUMIFS(_Data_2025!$D:$D,_Data_2025!$B:$B,"Honoraires divers",_Data_2025!$A:$A,9)</f>
        <v>4564.74</v>
      </c>
      <c r="L43" s="209">
        <f>SUMIFS(_Data_2025!$D:$D,_Data_2025!$B:$B,"Honoraires divers",_Data_2025!$A:$A,10)</f>
        <v>1168</v>
      </c>
      <c r="M43" s="209">
        <f>SUMIFS(_Data_2025!$D:$D,_Data_2025!$B:$B,"Honoraires divers",_Data_2025!$A:$A,11)</f>
        <v>592</v>
      </c>
      <c r="N43" s="209">
        <f>SUMIFS(_Data_2025!$D:$D,_Data_2025!$B:$B,"Honoraires divers",_Data_2025!$A:$A,12)</f>
        <v>3438.5</v>
      </c>
    </row>
    <row r="44" spans="1:14" ht="13.5" customHeight="1" x14ac:dyDescent="0.2">
      <c r="A44" s="208" t="s">
        <v>40</v>
      </c>
      <c r="B44" s="209">
        <f>SUMIF(_Data_2025!$B:$B,"Voyages et déplacements (dont carburant)",_Data_2025!$D:$D)</f>
        <v>42963.249999999978</v>
      </c>
      <c r="C44" s="209">
        <f>SUMIFS(_Data_2025!$D:$D,_Data_2025!$B:$B,"Voyages et déplacements (dont carburant)",_Data_2025!$A:$A,1)</f>
        <v>4402.91</v>
      </c>
      <c r="D44" s="209">
        <f>SUMIFS(_Data_2025!$D:$D,_Data_2025!$B:$B,"Voyages et déplacements (dont carburant)",_Data_2025!$A:$A,2)</f>
        <v>1755.6299999999997</v>
      </c>
      <c r="E44" s="209">
        <f>SUMIFS(_Data_2025!$D:$D,_Data_2025!$B:$B,"Voyages et déplacements (dont carburant)",_Data_2025!$A:$A,3)</f>
        <v>5423.8999999999987</v>
      </c>
      <c r="F44" s="209">
        <f>SUMIFS(_Data_2025!$D:$D,_Data_2025!$B:$B,"Voyages et déplacements (dont carburant)",_Data_2025!$A:$A,4)</f>
        <v>3897.0799999999995</v>
      </c>
      <c r="G44" s="209">
        <f>SUMIFS(_Data_2025!$D:$D,_Data_2025!$B:$B,"Voyages et déplacements (dont carburant)",_Data_2025!$A:$A,5)</f>
        <v>2137.0499999999997</v>
      </c>
      <c r="H44" s="209">
        <f>SUMIFS(_Data_2025!$D:$D,_Data_2025!$B:$B,"Voyages et déplacements (dont carburant)",_Data_2025!$A:$A,6)</f>
        <v>8034.680000000003</v>
      </c>
      <c r="I44" s="209">
        <f>SUMIFS(_Data_2025!$D:$D,_Data_2025!$B:$B,"Voyages et déplacements (dont carburant)",_Data_2025!$A:$A,7)</f>
        <v>-1307.7299999999998</v>
      </c>
      <c r="J44" s="209">
        <f>SUMIFS(_Data_2025!$D:$D,_Data_2025!$B:$B,"Voyages et déplacements (dont carburant)",_Data_2025!$A:$A,8)</f>
        <v>1820.0300000000002</v>
      </c>
      <c r="K44" s="209">
        <f>SUMIFS(_Data_2025!$D:$D,_Data_2025!$B:$B,"Voyages et déplacements (dont carburant)",_Data_2025!$A:$A,9)</f>
        <v>1723.7700000000002</v>
      </c>
      <c r="L44" s="209">
        <f>SUMIFS(_Data_2025!$D:$D,_Data_2025!$B:$B,"Voyages et déplacements (dont carburant)",_Data_2025!$A:$A,10)</f>
        <v>1650.8299999999997</v>
      </c>
      <c r="M44" s="209">
        <f>SUMIFS(_Data_2025!$D:$D,_Data_2025!$B:$B,"Voyages et déplacements (dont carburant)",_Data_2025!$A:$A,11)</f>
        <v>2425.0500000000002</v>
      </c>
      <c r="N44" s="209">
        <f>SUMIFS(_Data_2025!$D:$D,_Data_2025!$B:$B,"Voyages et déplacements (dont carburant)",_Data_2025!$A:$A,12)</f>
        <v>11000.050000000001</v>
      </c>
    </row>
    <row r="45" spans="1:14" ht="13.5" customHeight="1" x14ac:dyDescent="0.2">
      <c r="A45" s="208" t="s">
        <v>41</v>
      </c>
      <c r="B45" s="209">
        <f>SUMIF(_Data_2025!$B:$B,"Téléphonie, frais postaux et frais bancaires",_Data_2025!$D:$D)</f>
        <v>5089.1899999999996</v>
      </c>
      <c r="C45" s="209">
        <f>SUMIFS(_Data_2025!$D:$D,_Data_2025!$B:$B,"Téléphonie, frais postaux et frais bancaires",_Data_2025!$A:$A,1)</f>
        <v>316.86</v>
      </c>
      <c r="D45" s="209">
        <f>SUMIFS(_Data_2025!$D:$D,_Data_2025!$B:$B,"Téléphonie, frais postaux et frais bancaires",_Data_2025!$A:$A,2)</f>
        <v>245.17999999999998</v>
      </c>
      <c r="E45" s="209">
        <f>SUMIFS(_Data_2025!$D:$D,_Data_2025!$B:$B,"Téléphonie, frais postaux et frais bancaires",_Data_2025!$A:$A,3)</f>
        <v>267.91999999999996</v>
      </c>
      <c r="F45" s="209">
        <f>SUMIFS(_Data_2025!$D:$D,_Data_2025!$B:$B,"Téléphonie, frais postaux et frais bancaires",_Data_2025!$A:$A,4)</f>
        <v>225.59000000000003</v>
      </c>
      <c r="G45" s="209">
        <f>SUMIFS(_Data_2025!$D:$D,_Data_2025!$B:$B,"Téléphonie, frais postaux et frais bancaires",_Data_2025!$A:$A,5)</f>
        <v>127.36</v>
      </c>
      <c r="H45" s="209">
        <f>SUMIFS(_Data_2025!$D:$D,_Data_2025!$B:$B,"Téléphonie, frais postaux et frais bancaires",_Data_2025!$A:$A,6)</f>
        <v>211.18000000000004</v>
      </c>
      <c r="I45" s="209">
        <f>SUMIFS(_Data_2025!$D:$D,_Data_2025!$B:$B,"Téléphonie, frais postaux et frais bancaires",_Data_2025!$A:$A,7)</f>
        <v>1420.5800000000002</v>
      </c>
      <c r="J45" s="209">
        <f>SUMIFS(_Data_2025!$D:$D,_Data_2025!$B:$B,"Téléphonie, frais postaux et frais bancaires",_Data_2025!$A:$A,8)</f>
        <v>487.11</v>
      </c>
      <c r="K45" s="209">
        <f>SUMIFS(_Data_2025!$D:$D,_Data_2025!$B:$B,"Téléphonie, frais postaux et frais bancaires",_Data_2025!$A:$A,9)</f>
        <v>408.60000000000008</v>
      </c>
      <c r="L45" s="209">
        <f>SUMIFS(_Data_2025!$D:$D,_Data_2025!$B:$B,"Téléphonie, frais postaux et frais bancaires",_Data_2025!$A:$A,10)</f>
        <v>385.93000000000012</v>
      </c>
      <c r="M45" s="209">
        <f>SUMIFS(_Data_2025!$D:$D,_Data_2025!$B:$B,"Téléphonie, frais postaux et frais bancaires",_Data_2025!$A:$A,11)</f>
        <v>449.54000000000008</v>
      </c>
      <c r="N45" s="209">
        <f>SUMIFS(_Data_2025!$D:$D,_Data_2025!$B:$B,"Téléphonie, frais postaux et frais bancaires",_Data_2025!$A:$A,12)</f>
        <v>543.34</v>
      </c>
    </row>
    <row r="46" spans="1:14" ht="13.5" customHeight="1" x14ac:dyDescent="0.2">
      <c r="A46" s="208" t="s">
        <v>366</v>
      </c>
      <c r="B46" s="209">
        <f>SUMIF(_Data_2025!$B:$B,"Impôts et taxes",_Data_2025!$D:$D)</f>
        <v>12537.970000000001</v>
      </c>
      <c r="C46" s="209">
        <f>SUMIFS(_Data_2025!$D:$D,_Data_2025!$B:$B,"Impôts et taxes",_Data_2025!$A:$A,1)</f>
        <v>38.270000000000003</v>
      </c>
      <c r="D46" s="209">
        <f>SUMIFS(_Data_2025!$D:$D,_Data_2025!$B:$B,"Impôts et taxes",_Data_2025!$A:$A,2)</f>
        <v>29.33</v>
      </c>
      <c r="E46" s="209">
        <f>SUMIFS(_Data_2025!$D:$D,_Data_2025!$B:$B,"Impôts et taxes",_Data_2025!$A:$A,3)</f>
        <v>54.88</v>
      </c>
      <c r="F46" s="209">
        <f>SUMIFS(_Data_2025!$D:$D,_Data_2025!$B:$B,"Impôts et taxes",_Data_2025!$A:$A,4)</f>
        <v>66.84</v>
      </c>
      <c r="G46" s="209">
        <f>SUMIFS(_Data_2025!$D:$D,_Data_2025!$B:$B,"Impôts et taxes",_Data_2025!$A:$A,5)</f>
        <v>50.18</v>
      </c>
      <c r="H46" s="209">
        <f>SUMIFS(_Data_2025!$D:$D,_Data_2025!$B:$B,"Impôts et taxes",_Data_2025!$A:$A,6)</f>
        <v>1040.76</v>
      </c>
      <c r="I46" s="209">
        <f>SUMIFS(_Data_2025!$D:$D,_Data_2025!$B:$B,"Impôts et taxes",_Data_2025!$A:$A,7)</f>
        <v>-910.89</v>
      </c>
      <c r="J46" s="209">
        <f>SUMIFS(_Data_2025!$D:$D,_Data_2025!$B:$B,"Impôts et taxes",_Data_2025!$A:$A,8)</f>
        <v>69.489999999999995</v>
      </c>
      <c r="K46" s="209">
        <f>SUMIFS(_Data_2025!$D:$D,_Data_2025!$B:$B,"Impôts et taxes",_Data_2025!$A:$A,9)</f>
        <v>69.180000000000007</v>
      </c>
      <c r="L46" s="209">
        <f>SUMIFS(_Data_2025!$D:$D,_Data_2025!$B:$B,"Impôts et taxes",_Data_2025!$A:$A,10)</f>
        <v>68.88</v>
      </c>
      <c r="M46" s="209">
        <f>SUMIFS(_Data_2025!$D:$D,_Data_2025!$B:$B,"Impôts et taxes",_Data_2025!$A:$A,11)</f>
        <v>43.38</v>
      </c>
      <c r="N46" s="209">
        <f>SUMIFS(_Data_2025!$D:$D,_Data_2025!$B:$B,"Impôts et taxes",_Data_2025!$A:$A,12)</f>
        <v>11917.67</v>
      </c>
    </row>
    <row r="47" spans="1:14" ht="13.5" customHeight="1" x14ac:dyDescent="0.2">
      <c r="A47" s="208" t="s">
        <v>367</v>
      </c>
      <c r="B47" s="209">
        <f>SUMIF(_Data_2025!$B:$B,"Charges financières",_Data_2025!$D:$D)</f>
        <v>1653.6099999999994</v>
      </c>
      <c r="C47" s="209">
        <f>SUMIFS(_Data_2025!$D:$D,_Data_2025!$B:$B,"Charges financières",_Data_2025!$A:$A,1)</f>
        <v>10.380000000000003</v>
      </c>
      <c r="D47" s="209">
        <f>SUMIFS(_Data_2025!$D:$D,_Data_2025!$B:$B,"Charges financières",_Data_2025!$A:$A,2)</f>
        <v>63.400000000000006</v>
      </c>
      <c r="E47" s="209">
        <f>SUMIFS(_Data_2025!$D:$D,_Data_2025!$B:$B,"Charges financières",_Data_2025!$A:$A,3)</f>
        <v>62.17</v>
      </c>
      <c r="F47" s="209">
        <f>SUMIFS(_Data_2025!$D:$D,_Data_2025!$B:$B,"Charges financières",_Data_2025!$A:$A,4)</f>
        <v>61.12</v>
      </c>
      <c r="G47" s="209">
        <f>SUMIFS(_Data_2025!$D:$D,_Data_2025!$B:$B,"Charges financières",_Data_2025!$A:$A,5)</f>
        <v>59.989999999999995</v>
      </c>
      <c r="H47" s="209">
        <f>SUMIFS(_Data_2025!$D:$D,_Data_2025!$B:$B,"Charges financières",_Data_2025!$A:$A,6)</f>
        <v>58.92</v>
      </c>
      <c r="I47" s="209">
        <f>SUMIFS(_Data_2025!$D:$D,_Data_2025!$B:$B,"Charges financières",_Data_2025!$A:$A,7)</f>
        <v>57.960000000000008</v>
      </c>
      <c r="J47" s="209">
        <f>SUMIFS(_Data_2025!$D:$D,_Data_2025!$B:$B,"Charges financières",_Data_2025!$A:$A,8)</f>
        <v>56.8</v>
      </c>
      <c r="K47" s="209">
        <f>SUMIFS(_Data_2025!$D:$D,_Data_2025!$B:$B,"Charges financières",_Data_2025!$A:$A,9)</f>
        <v>55.7</v>
      </c>
      <c r="L47" s="209">
        <f>SUMIFS(_Data_2025!$D:$D,_Data_2025!$B:$B,"Charges financières",_Data_2025!$A:$A,10)</f>
        <v>813.97</v>
      </c>
      <c r="M47" s="209">
        <f>SUMIFS(_Data_2025!$D:$D,_Data_2025!$B:$B,"Charges financières",_Data_2025!$A:$A,11)</f>
        <v>135.65999999999997</v>
      </c>
      <c r="N47" s="209">
        <f>SUMIFS(_Data_2025!$D:$D,_Data_2025!$B:$B,"Charges financières",_Data_2025!$A:$A,12)</f>
        <v>217.53999999999996</v>
      </c>
    </row>
    <row r="48" spans="1:14" ht="13.5" customHeight="1" x14ac:dyDescent="0.2">
      <c r="A48" s="208" t="s">
        <v>47</v>
      </c>
      <c r="B48" s="209">
        <f>SUMIF(_Data_2025!$B:$B,"Amortissements et provisions",_Data_2025!$D:$D)</f>
        <v>9355.0199999999986</v>
      </c>
      <c r="C48" s="209">
        <f>SUMIFS(_Data_2025!$D:$D,_Data_2025!$B:$B,"Amortissements et provisions",_Data_2025!$A:$A,1)</f>
        <v>0</v>
      </c>
      <c r="D48" s="209">
        <f>SUMIFS(_Data_2025!$D:$D,_Data_2025!$B:$B,"Amortissements et provisions",_Data_2025!$A:$A,2)</f>
        <v>0</v>
      </c>
      <c r="E48" s="209">
        <f>SUMIFS(_Data_2025!$D:$D,_Data_2025!$B:$B,"Amortissements et provisions",_Data_2025!$A:$A,3)</f>
        <v>0</v>
      </c>
      <c r="F48" s="209">
        <f>SUMIFS(_Data_2025!$D:$D,_Data_2025!$B:$B,"Amortissements et provisions",_Data_2025!$A:$A,4)</f>
        <v>0</v>
      </c>
      <c r="G48" s="209">
        <f>SUMIFS(_Data_2025!$D:$D,_Data_2025!$B:$B,"Amortissements et provisions",_Data_2025!$A:$A,5)</f>
        <v>0</v>
      </c>
      <c r="H48" s="209">
        <f>SUMIFS(_Data_2025!$D:$D,_Data_2025!$B:$B,"Amortissements et provisions",_Data_2025!$A:$A,6)</f>
        <v>5252.3799999999992</v>
      </c>
      <c r="I48" s="209">
        <f>SUMIFS(_Data_2025!$D:$D,_Data_2025!$B:$B,"Amortissements et provisions",_Data_2025!$A:$A,7)</f>
        <v>-5252.38</v>
      </c>
      <c r="J48" s="209">
        <f>SUMIFS(_Data_2025!$D:$D,_Data_2025!$B:$B,"Amortissements et provisions",_Data_2025!$A:$A,8)</f>
        <v>0</v>
      </c>
      <c r="K48" s="209">
        <f>SUMIFS(_Data_2025!$D:$D,_Data_2025!$B:$B,"Amortissements et provisions",_Data_2025!$A:$A,9)</f>
        <v>0</v>
      </c>
      <c r="L48" s="209">
        <f>SUMIFS(_Data_2025!$D:$D,_Data_2025!$B:$B,"Amortissements et provisions",_Data_2025!$A:$A,10)</f>
        <v>0</v>
      </c>
      <c r="M48" s="209">
        <f>SUMIFS(_Data_2025!$D:$D,_Data_2025!$B:$B,"Amortissements et provisions",_Data_2025!$A:$A,11)</f>
        <v>0</v>
      </c>
      <c r="N48" s="209">
        <f>SUMIFS(_Data_2025!$D:$D,_Data_2025!$B:$B,"Amortissements et provisions",_Data_2025!$A:$A,12)</f>
        <v>9355.0199999999986</v>
      </c>
    </row>
    <row r="49" spans="1:14" ht="13.5" customHeight="1" x14ac:dyDescent="0.2">
      <c r="A49" s="208" t="s">
        <v>368</v>
      </c>
      <c r="B49" s="209">
        <f>SUMIF(_Data_2025!$B:$B,"Autres charges diverses",_Data_2025!$D:$D)</f>
        <v>4290.9200000000019</v>
      </c>
      <c r="C49" s="209">
        <f>SUMIFS(_Data_2025!$D:$D,_Data_2025!$B:$B,"Autres charges diverses",_Data_2025!$A:$A,1)</f>
        <v>62.27</v>
      </c>
      <c r="D49" s="209">
        <f>SUMIFS(_Data_2025!$D:$D,_Data_2025!$B:$B,"Autres charges diverses",_Data_2025!$A:$A,2)</f>
        <v>92</v>
      </c>
      <c r="E49" s="209">
        <f>SUMIFS(_Data_2025!$D:$D,_Data_2025!$B:$B,"Autres charges diverses",_Data_2025!$A:$A,3)</f>
        <v>2.64</v>
      </c>
      <c r="F49" s="209">
        <f>SUMIFS(_Data_2025!$D:$D,_Data_2025!$B:$B,"Autres charges diverses",_Data_2025!$A:$A,4)</f>
        <v>3.6199999999999997</v>
      </c>
      <c r="G49" s="209">
        <f>SUMIFS(_Data_2025!$D:$D,_Data_2025!$B:$B,"Autres charges diverses",_Data_2025!$A:$A,5)</f>
        <v>3005.01</v>
      </c>
      <c r="H49" s="209">
        <f>SUMIFS(_Data_2025!$D:$D,_Data_2025!$B:$B,"Autres charges diverses",_Data_2025!$A:$A,6)</f>
        <v>-1196.93</v>
      </c>
      <c r="I49" s="209">
        <f>SUMIFS(_Data_2025!$D:$D,_Data_2025!$B:$B,"Autres charges diverses",_Data_2025!$A:$A,7)</f>
        <v>3211.3900000000003</v>
      </c>
      <c r="J49" s="209">
        <f>SUMIFS(_Data_2025!$D:$D,_Data_2025!$B:$B,"Autres charges diverses",_Data_2025!$A:$A,8)</f>
        <v>121.92</v>
      </c>
      <c r="K49" s="209">
        <f>SUMIFS(_Data_2025!$D:$D,_Data_2025!$B:$B,"Autres charges diverses",_Data_2025!$A:$A,9)</f>
        <v>0</v>
      </c>
      <c r="L49" s="209">
        <f>SUMIFS(_Data_2025!$D:$D,_Data_2025!$B:$B,"Autres charges diverses",_Data_2025!$A:$A,10)</f>
        <v>109</v>
      </c>
      <c r="M49" s="209">
        <f>SUMIFS(_Data_2025!$D:$D,_Data_2025!$B:$B,"Autres charges diverses",_Data_2025!$A:$A,11)</f>
        <v>650</v>
      </c>
      <c r="N49" s="209">
        <f>SUMIFS(_Data_2025!$D:$D,_Data_2025!$B:$B,"Autres charges diverses",_Data_2025!$A:$A,12)</f>
        <v>-1770</v>
      </c>
    </row>
    <row r="50" spans="1:14" ht="15" customHeight="1" x14ac:dyDescent="0.2">
      <c r="A50" s="211" t="s">
        <v>369</v>
      </c>
      <c r="B50" s="212">
        <f t="shared" ref="B50:N50" si="0">SUM(B37:B49)</f>
        <v>259108.47999999992</v>
      </c>
      <c r="C50" s="212">
        <f t="shared" si="0"/>
        <v>13790.24</v>
      </c>
      <c r="D50" s="212">
        <f t="shared" si="0"/>
        <v>16500.09</v>
      </c>
      <c r="E50" s="212">
        <f t="shared" si="0"/>
        <v>18823.759999999995</v>
      </c>
      <c r="F50" s="212">
        <f t="shared" si="0"/>
        <v>17773.639999999996</v>
      </c>
      <c r="G50" s="212">
        <f t="shared" si="0"/>
        <v>22826.450000000004</v>
      </c>
      <c r="H50" s="212">
        <f t="shared" si="0"/>
        <v>28813.58</v>
      </c>
      <c r="I50" s="212">
        <f t="shared" si="0"/>
        <v>19054.870000000003</v>
      </c>
      <c r="J50" s="212">
        <f t="shared" si="0"/>
        <v>15545.44</v>
      </c>
      <c r="K50" s="212">
        <f t="shared" si="0"/>
        <v>23647.86</v>
      </c>
      <c r="L50" s="212">
        <f t="shared" si="0"/>
        <v>19318.86</v>
      </c>
      <c r="M50" s="212">
        <f t="shared" si="0"/>
        <v>17687.660000000003</v>
      </c>
      <c r="N50" s="212">
        <f t="shared" si="0"/>
        <v>45326.03</v>
      </c>
    </row>
    <row r="52" spans="1:14" ht="15.75" customHeight="1" x14ac:dyDescent="0.2">
      <c r="A52" s="441" t="s">
        <v>370</v>
      </c>
      <c r="B52" s="441"/>
      <c r="C52" s="441"/>
      <c r="D52" s="441"/>
      <c r="E52" s="441"/>
      <c r="F52" s="441"/>
      <c r="G52" s="441"/>
      <c r="H52" s="441"/>
      <c r="I52" s="441"/>
      <c r="J52" s="441"/>
      <c r="K52" s="441"/>
      <c r="L52" s="441"/>
      <c r="M52" s="441"/>
      <c r="N52" s="441"/>
    </row>
    <row r="53" spans="1:14" ht="13.5" customHeight="1" x14ac:dyDescent="0.2">
      <c r="A53" s="208" t="s">
        <v>371</v>
      </c>
      <c r="B53" s="209">
        <f>SUMIF(_Data_2025!$C:$C,"Masse Salariale",_Data_2025!$D:$D)</f>
        <v>214336.65999999997</v>
      </c>
      <c r="C53" s="209">
        <f>SUMIFS(_Data_2025!$D:$D,_Data_2025!$C:$C,"Masse Salariale",_Data_2025!$A:$A,1)</f>
        <v>9106.6500000000015</v>
      </c>
      <c r="D53" s="209">
        <f>SUMIFS(_Data_2025!$D:$D,_Data_2025!$C:$C,"Masse Salariale",_Data_2025!$A:$A,2)</f>
        <v>15960.199999999999</v>
      </c>
      <c r="E53" s="209">
        <f>SUMIFS(_Data_2025!$D:$D,_Data_2025!$C:$C,"Masse Salariale",_Data_2025!$A:$A,3)</f>
        <v>18486.680000000004</v>
      </c>
      <c r="F53" s="209">
        <f>SUMIFS(_Data_2025!$D:$D,_Data_2025!$C:$C,"Masse Salariale",_Data_2025!$A:$A,4)</f>
        <v>20297.130000000005</v>
      </c>
      <c r="G53" s="209">
        <f>SUMIFS(_Data_2025!$D:$D,_Data_2025!$C:$C,"Masse Salariale",_Data_2025!$A:$A,5)</f>
        <v>15496.14</v>
      </c>
      <c r="H53" s="209">
        <f>SUMIFS(_Data_2025!$D:$D,_Data_2025!$C:$C,"Masse Salariale",_Data_2025!$A:$A,6)</f>
        <v>22195.350000000006</v>
      </c>
      <c r="I53" s="209">
        <f>SUMIFS(_Data_2025!$D:$D,_Data_2025!$C:$C,"Masse Salariale",_Data_2025!$A:$A,7)</f>
        <v>13480.460000000001</v>
      </c>
      <c r="J53" s="209">
        <f>SUMIFS(_Data_2025!$D:$D,_Data_2025!$C:$C,"Masse Salariale",_Data_2025!$A:$A,8)</f>
        <v>16635.980000000003</v>
      </c>
      <c r="K53" s="209">
        <f>SUMIFS(_Data_2025!$D:$D,_Data_2025!$C:$C,"Masse Salariale",_Data_2025!$A:$A,9)</f>
        <v>20249.359999999997</v>
      </c>
      <c r="L53" s="209">
        <f>SUMIFS(_Data_2025!$D:$D,_Data_2025!$C:$C,"Masse Salariale",_Data_2025!$A:$A,10)</f>
        <v>23523.73</v>
      </c>
      <c r="M53" s="209">
        <f>SUMIFS(_Data_2025!$D:$D,_Data_2025!$C:$C,"Masse Salariale",_Data_2025!$A:$A,11)</f>
        <v>17801.759999999998</v>
      </c>
      <c r="N53" s="209">
        <f>SUMIFS(_Data_2025!$D:$D,_Data_2025!$C:$C,"Masse Salariale",_Data_2025!$A:$A,12)</f>
        <v>21103.219999999998</v>
      </c>
    </row>
    <row r="54" spans="1:14" ht="12.75" customHeight="1" x14ac:dyDescent="0.2">
      <c r="A54" s="213" t="s">
        <v>372</v>
      </c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</row>
    <row r="55" spans="1:14" ht="12.75" customHeight="1" x14ac:dyDescent="0.2">
      <c r="A55" s="213" t="s">
        <v>373</v>
      </c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</row>
    <row r="56" spans="1:14" ht="12.75" customHeight="1" x14ac:dyDescent="0.2">
      <c r="A56" s="213" t="s">
        <v>374</v>
      </c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</row>
    <row r="57" spans="1:14" ht="12.75" customHeight="1" x14ac:dyDescent="0.2">
      <c r="A57" s="213" t="s">
        <v>375</v>
      </c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</row>
    <row r="58" spans="1:14" ht="12.75" customHeight="1" x14ac:dyDescent="0.2">
      <c r="A58" s="213" t="s">
        <v>376</v>
      </c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</row>
    <row r="59" spans="1:14" ht="12.75" customHeight="1" x14ac:dyDescent="0.2">
      <c r="A59" s="213" t="s">
        <v>377</v>
      </c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</row>
    <row r="60" spans="1:14" ht="12.75" customHeight="1" x14ac:dyDescent="0.2">
      <c r="A60" s="442" t="s">
        <v>378</v>
      </c>
      <c r="B60" s="442"/>
      <c r="C60" s="442"/>
      <c r="D60" s="442"/>
      <c r="E60" s="442"/>
      <c r="F60" s="442"/>
      <c r="G60" s="442"/>
      <c r="H60" s="442"/>
      <c r="I60" s="442"/>
      <c r="J60" s="442"/>
      <c r="K60" s="442"/>
      <c r="L60" s="442"/>
      <c r="M60" s="442"/>
      <c r="N60" s="442"/>
    </row>
    <row r="61" spans="1:14" ht="15" customHeight="1" x14ac:dyDescent="0.2">
      <c r="A61" s="215" t="s">
        <v>379</v>
      </c>
      <c r="B61" s="216">
        <f t="shared" ref="B61:N61" si="1">B53</f>
        <v>214336.65999999997</v>
      </c>
      <c r="C61" s="216">
        <f t="shared" si="1"/>
        <v>9106.6500000000015</v>
      </c>
      <c r="D61" s="216">
        <f t="shared" si="1"/>
        <v>15960.199999999999</v>
      </c>
      <c r="E61" s="216">
        <f t="shared" si="1"/>
        <v>18486.680000000004</v>
      </c>
      <c r="F61" s="216">
        <f t="shared" si="1"/>
        <v>20297.130000000005</v>
      </c>
      <c r="G61" s="216">
        <f t="shared" si="1"/>
        <v>15496.14</v>
      </c>
      <c r="H61" s="216">
        <f t="shared" si="1"/>
        <v>22195.350000000006</v>
      </c>
      <c r="I61" s="216">
        <f t="shared" si="1"/>
        <v>13480.460000000001</v>
      </c>
      <c r="J61" s="216">
        <f t="shared" si="1"/>
        <v>16635.980000000003</v>
      </c>
      <c r="K61" s="216">
        <f t="shared" si="1"/>
        <v>20249.359999999997</v>
      </c>
      <c r="L61" s="216">
        <f t="shared" si="1"/>
        <v>23523.73</v>
      </c>
      <c r="M61" s="216">
        <f t="shared" si="1"/>
        <v>17801.759999999998</v>
      </c>
      <c r="N61" s="216">
        <f t="shared" si="1"/>
        <v>21103.219999999998</v>
      </c>
    </row>
    <row r="63" spans="1:14" ht="15.75" customHeight="1" x14ac:dyDescent="0.2">
      <c r="A63" s="217" t="s">
        <v>380</v>
      </c>
      <c r="B63" s="218">
        <f t="shared" ref="B63:N63" si="2">B50+B61</f>
        <v>473445.1399999999</v>
      </c>
      <c r="C63" s="218">
        <f t="shared" si="2"/>
        <v>22896.89</v>
      </c>
      <c r="D63" s="218">
        <f t="shared" si="2"/>
        <v>32460.29</v>
      </c>
      <c r="E63" s="218">
        <f t="shared" si="2"/>
        <v>37310.44</v>
      </c>
      <c r="F63" s="218">
        <f t="shared" si="2"/>
        <v>38070.770000000004</v>
      </c>
      <c r="G63" s="218">
        <f t="shared" si="2"/>
        <v>38322.590000000004</v>
      </c>
      <c r="H63" s="218">
        <f t="shared" si="2"/>
        <v>51008.930000000008</v>
      </c>
      <c r="I63" s="218">
        <f t="shared" si="2"/>
        <v>32535.33</v>
      </c>
      <c r="J63" s="218">
        <f t="shared" si="2"/>
        <v>32181.420000000006</v>
      </c>
      <c r="K63" s="218">
        <f t="shared" si="2"/>
        <v>43897.22</v>
      </c>
      <c r="L63" s="218">
        <f t="shared" si="2"/>
        <v>42842.59</v>
      </c>
      <c r="M63" s="218">
        <f t="shared" si="2"/>
        <v>35489.42</v>
      </c>
      <c r="N63" s="218">
        <f t="shared" si="2"/>
        <v>66429.25</v>
      </c>
    </row>
  </sheetData>
  <mergeCells count="9">
    <mergeCell ref="A34:N34"/>
    <mergeCell ref="A36:N36"/>
    <mergeCell ref="A52:N52"/>
    <mergeCell ref="A60:N60"/>
    <mergeCell ref="A1:N1"/>
    <mergeCell ref="A3:N3"/>
    <mergeCell ref="A4:N4"/>
    <mergeCell ref="A20:N20"/>
    <mergeCell ref="A28:N2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42" customWidth="1"/>
    <col min="2" max="4" width="16" customWidth="1"/>
    <col min="5" max="5" width="14" customWidth="1"/>
    <col min="6" max="6" width="10" customWidth="1"/>
    <col min="8" max="8" width="14" customWidth="1"/>
    <col min="9" max="9" width="6" customWidth="1"/>
    <col min="10" max="10" width="5" customWidth="1"/>
  </cols>
  <sheetData>
    <row r="1" spans="1:10" ht="21.75" customHeight="1" x14ac:dyDescent="0.2">
      <c r="A1" s="445" t="s">
        <v>382</v>
      </c>
      <c r="B1" s="445"/>
      <c r="C1" s="445"/>
      <c r="D1" s="445"/>
      <c r="E1" s="445"/>
      <c r="F1" s="445"/>
      <c r="H1" s="219" t="s">
        <v>383</v>
      </c>
      <c r="I1" s="220">
        <v>3</v>
      </c>
      <c r="J1" s="221" t="s">
        <v>384</v>
      </c>
    </row>
    <row r="2" spans="1:10" ht="13.5" customHeight="1" x14ac:dyDescent="0.2">
      <c r="A2" s="446" t="str">
        <f>"Période : jan — "&amp;TEXT(DATE(2026,I1,1),"mmmm yyyy")&amp;"  |  Prorata : "&amp;TEXT(I1/12,"0%")&amp;"  |  CA &amp; Marge : Suivi 2026  |  Charges : Grand livre GL"</f>
        <v>Période : jan — mars yyyy  |  Prorata : 25%  |  CA &amp; Marge : Suivi 2026  |  Charges : Grand livre GL</v>
      </c>
      <c r="B2" s="446"/>
      <c r="C2" s="446"/>
      <c r="D2" s="446"/>
      <c r="E2" s="446"/>
      <c r="F2" s="446"/>
    </row>
    <row r="3" spans="1:10" ht="6" customHeight="1" x14ac:dyDescent="0.2"/>
    <row r="4" spans="1:10" ht="15.75" customHeight="1" x14ac:dyDescent="0.2">
      <c r="A4" s="205" t="s">
        <v>385</v>
      </c>
      <c r="B4" s="206" t="s">
        <v>386</v>
      </c>
      <c r="C4" s="206" t="str">
        <f>"Budget prorata "&amp;TEXT(I1/12,"0%")</f>
        <v>Budget prorata 25%</v>
      </c>
      <c r="D4" s="206" t="str">
        <f>"Réel jan-"&amp;TEXT(DATE(2026,I1,1),"mmm")</f>
        <v>Réel jan-mars</v>
      </c>
      <c r="E4" s="206" t="s">
        <v>387</v>
      </c>
      <c r="F4" s="207" t="s">
        <v>388</v>
      </c>
    </row>
    <row r="5" spans="1:10" ht="13.5" customHeight="1" x14ac:dyDescent="0.2">
      <c r="A5" s="447" t="s">
        <v>389</v>
      </c>
      <c r="B5" s="447"/>
      <c r="C5" s="447"/>
      <c r="D5" s="447"/>
      <c r="E5" s="447"/>
      <c r="F5" s="447"/>
    </row>
    <row r="6" spans="1:10" ht="13.5" customHeight="1" x14ac:dyDescent="0.2">
      <c r="A6" s="222" t="s">
        <v>390</v>
      </c>
      <c r="B6" s="223">
        <f>'Projection P&amp;L'!C3*1000</f>
        <v>2686557.0888895895</v>
      </c>
      <c r="C6" s="223">
        <f>'Projection P&amp;L'!C3*1000*($I$1/12)</f>
        <v>671639.27222239738</v>
      </c>
      <c r="D6" s="223">
        <f>'Suivi 2026'!AK29</f>
        <v>640832.16816493345</v>
      </c>
      <c r="E6" s="224">
        <f>D6-C6</f>
        <v>-30807.104057463934</v>
      </c>
      <c r="F6" s="225">
        <f>IFERROR(D6/C6,"—")</f>
        <v>0.95413147305170853</v>
      </c>
    </row>
    <row r="7" spans="1:10" ht="13.5" customHeight="1" x14ac:dyDescent="0.2">
      <c r="A7" s="222" t="s">
        <v>391</v>
      </c>
      <c r="B7" s="223">
        <f>'Projection P&amp;L'!C3*1000-'Projection P&amp;L'!C7*1000</f>
        <v>2186932.9547754377</v>
      </c>
      <c r="C7" s="223">
        <f>('Projection P&amp;L'!C3*1000-'Projection P&amp;L'!C7*1000)*($I$1/12)</f>
        <v>546733.23869385943</v>
      </c>
      <c r="D7" s="223">
        <f>'Suivi 2026'!AK29-'Suivi 2026'!AH29</f>
        <v>544487.69167068473</v>
      </c>
      <c r="E7" s="224">
        <f>D7-C7</f>
        <v>-2245.5470231747022</v>
      </c>
      <c r="F7" s="225">
        <f>IFERROR(D7/C7,"—")</f>
        <v>0.99589279219873428</v>
      </c>
    </row>
    <row r="8" spans="1:10" ht="19.5" customHeight="1" x14ac:dyDescent="0.2">
      <c r="A8" s="226" t="s">
        <v>392</v>
      </c>
      <c r="B8" s="227">
        <f>'Projection P&amp;L'!C7*1000</f>
        <v>499624.1341141517</v>
      </c>
      <c r="C8" s="227">
        <f>'Projection P&amp;L'!C7*1000*($I$1/12)</f>
        <v>124906.03352853793</v>
      </c>
      <c r="D8" s="227">
        <f>'Suivi 2026'!AH29</f>
        <v>96344.476494248738</v>
      </c>
      <c r="E8" s="228">
        <f>D8-C8</f>
        <v>-28561.557034289188</v>
      </c>
      <c r="F8" s="229">
        <f>IFERROR(D8/C8,"—")</f>
        <v>0.77133564946833744</v>
      </c>
    </row>
    <row r="9" spans="1:10" ht="4.5" customHeight="1" x14ac:dyDescent="0.2">
      <c r="A9" s="230"/>
      <c r="B9" s="230"/>
      <c r="C9" s="230"/>
      <c r="D9" s="230"/>
      <c r="E9" s="230"/>
      <c r="F9" s="230"/>
    </row>
    <row r="10" spans="1:10" ht="13.5" customHeight="1" x14ac:dyDescent="0.2">
      <c r="A10" s="448" t="s">
        <v>393</v>
      </c>
      <c r="B10" s="448"/>
      <c r="C10" s="448"/>
      <c r="D10" s="448"/>
      <c r="E10" s="448"/>
      <c r="F10" s="448"/>
    </row>
    <row r="11" spans="1:10" ht="13.5" customHeight="1" x14ac:dyDescent="0.2">
      <c r="A11" s="222" t="s">
        <v>394</v>
      </c>
      <c r="B11" s="223">
        <f>'Projection P&amp;L'!C15*1000</f>
        <v>211200</v>
      </c>
      <c r="C11" s="223">
        <f>'Projection P&amp;L'!C15*1000*($I$1/12)</f>
        <v>52800</v>
      </c>
      <c r="D11" s="223">
        <f>'Charges réelles GL'!B29</f>
        <v>51369.19000000001</v>
      </c>
      <c r="E11" s="224">
        <f>D11-C11</f>
        <v>-1430.8099999999904</v>
      </c>
      <c r="F11" s="225">
        <f>IFERROR(D11/C11,"—")</f>
        <v>0.97290132575757593</v>
      </c>
    </row>
    <row r="12" spans="1:10" ht="13.5" customHeight="1" x14ac:dyDescent="0.2">
      <c r="A12" s="222" t="s">
        <v>395</v>
      </c>
      <c r="B12" s="223">
        <f>'Projection P&amp;L'!C18*1000</f>
        <v>227399.99999999997</v>
      </c>
      <c r="C12" s="223">
        <f>'Projection P&amp;L'!C18*1000*($I$1/12)</f>
        <v>56849.999999999993</v>
      </c>
      <c r="D12" s="223">
        <f>'Charges réelles GL'!B18</f>
        <v>42144.73</v>
      </c>
      <c r="E12" s="224">
        <f>D12-C12</f>
        <v>-14705.26999999999</v>
      </c>
      <c r="F12" s="225">
        <f>IFERROR(D12/C12,"—")</f>
        <v>0.74133210202286737</v>
      </c>
    </row>
    <row r="13" spans="1:10" ht="19.5" customHeight="1" x14ac:dyDescent="0.2">
      <c r="A13" s="231" t="s">
        <v>396</v>
      </c>
      <c r="B13" s="232">
        <f>'Projection P&amp;L'!C15*1000+'Projection P&amp;L'!C18*1000</f>
        <v>438600</v>
      </c>
      <c r="C13" s="232">
        <f>('Projection P&amp;L'!C15*1000+'Projection P&amp;L'!C18*1000)*($I$1/12)</f>
        <v>109650</v>
      </c>
      <c r="D13" s="232">
        <f>'Charges réelles GL'!B29+'Charges réelles GL'!B18</f>
        <v>93513.920000000013</v>
      </c>
      <c r="E13" s="233">
        <f>D13-C13</f>
        <v>-16136.079999999987</v>
      </c>
      <c r="F13" s="234">
        <f>IFERROR(D13/C13,"—")</f>
        <v>0.85284012767897865</v>
      </c>
    </row>
    <row r="14" spans="1:10" ht="4.5" customHeight="1" x14ac:dyDescent="0.2">
      <c r="A14" s="230"/>
      <c r="B14" s="230"/>
      <c r="C14" s="230"/>
      <c r="D14" s="230"/>
      <c r="E14" s="230"/>
      <c r="F14" s="230"/>
    </row>
    <row r="15" spans="1:10" ht="19.5" customHeight="1" x14ac:dyDescent="0.2">
      <c r="A15" s="235" t="s">
        <v>397</v>
      </c>
      <c r="B15" s="236">
        <f>'Projection P&amp;L'!C33*1000</f>
        <v>47024.134114151762</v>
      </c>
      <c r="C15" s="236">
        <f>'Projection P&amp;L'!C33*1000*($I$1/12)</f>
        <v>11756.033528537941</v>
      </c>
      <c r="D15" s="236">
        <f>D8-D13</f>
        <v>2830.5564942487254</v>
      </c>
      <c r="E15" s="237">
        <f>D15-C15</f>
        <v>-8925.4770342892152</v>
      </c>
      <c r="F15" s="238">
        <f>IFERROR(D15/C15,"—")</f>
        <v>0.24077478916485809</v>
      </c>
    </row>
    <row r="16" spans="1:10" ht="4.5" customHeight="1" x14ac:dyDescent="0.2">
      <c r="A16" s="230"/>
      <c r="B16" s="230"/>
      <c r="C16" s="230"/>
      <c r="D16" s="230"/>
      <c r="E16" s="230"/>
      <c r="F16" s="230"/>
    </row>
    <row r="17" spans="1:6" ht="13.5" customHeight="1" x14ac:dyDescent="0.2">
      <c r="A17" s="449" t="s">
        <v>398</v>
      </c>
      <c r="B17" s="449"/>
      <c r="C17" s="449"/>
      <c r="D17" s="449"/>
      <c r="E17" s="449"/>
      <c r="F17" s="449"/>
    </row>
    <row r="18" spans="1:6" ht="13.5" customHeight="1" x14ac:dyDescent="0.2">
      <c r="A18" s="222" t="s">
        <v>399</v>
      </c>
      <c r="B18" s="223">
        <f>'Projection P&amp;L'!C35*1000</f>
        <v>-2000</v>
      </c>
      <c r="C18" s="223">
        <f>'Projection P&amp;L'!C35*1000*($I$1/12)</f>
        <v>-500</v>
      </c>
      <c r="D18" s="223">
        <f>-'Charges réelles GL'!B14</f>
        <v>-116.32000000000002</v>
      </c>
      <c r="E18" s="224">
        <f>D18-C18</f>
        <v>383.67999999999995</v>
      </c>
      <c r="F18" s="225">
        <f>IFERROR(D18/C18,"—")</f>
        <v>0.23264000000000004</v>
      </c>
    </row>
    <row r="19" spans="1:6" ht="4.5" customHeight="1" x14ac:dyDescent="0.2">
      <c r="A19" s="230"/>
      <c r="B19" s="230"/>
      <c r="C19" s="230"/>
      <c r="D19" s="230"/>
      <c r="E19" s="230"/>
      <c r="F19" s="230"/>
    </row>
    <row r="20" spans="1:6" ht="21.75" customHeight="1" x14ac:dyDescent="0.2">
      <c r="A20" s="239" t="s">
        <v>400</v>
      </c>
      <c r="B20" s="240">
        <f>'Projection P&amp;L'!C33*1000+('Projection P&amp;L'!C35*1000)</f>
        <v>45024.134114151762</v>
      </c>
      <c r="C20" s="240">
        <f>('Projection P&amp;L'!C33*1000+('Projection P&amp;L'!C35*1000))*($I$1/12)</f>
        <v>11256.033528537941</v>
      </c>
      <c r="D20" s="240">
        <f>D15+D18</f>
        <v>2714.2364942487252</v>
      </c>
      <c r="E20" s="241">
        <f>D20-C20</f>
        <v>-8541.7970342892149</v>
      </c>
      <c r="F20" s="242">
        <f>IFERROR(D20/C20,"—")</f>
        <v>0.24113614155174612</v>
      </c>
    </row>
    <row r="21" spans="1:6" ht="7.5" customHeight="1" x14ac:dyDescent="0.2">
      <c r="A21" s="230"/>
      <c r="B21" s="230"/>
      <c r="C21" s="230"/>
      <c r="D21" s="230"/>
      <c r="E21" s="230"/>
      <c r="F21" s="230"/>
    </row>
    <row r="22" spans="1:6" ht="19.5" customHeight="1" x14ac:dyDescent="0.2">
      <c r="A22" s="444" t="s">
        <v>401</v>
      </c>
      <c r="B22" s="444"/>
      <c r="C22" s="444"/>
      <c r="D22" s="444"/>
      <c r="E22" s="444"/>
      <c r="F22" s="444"/>
    </row>
  </sheetData>
  <mergeCells count="6">
    <mergeCell ref="A22:F22"/>
    <mergeCell ref="A1:F1"/>
    <mergeCell ref="A2:F2"/>
    <mergeCell ref="A5:F5"/>
    <mergeCell ref="A10:F10"/>
    <mergeCell ref="A17:F17"/>
  </mergeCells>
  <conditionalFormatting sqref="E6">
    <cfRule type="expression" dxfId="9" priority="2">
      <formula>E6&gt;0</formula>
    </cfRule>
    <cfRule type="expression" dxfId="8" priority="3">
      <formula>E6&lt;0</formula>
    </cfRule>
  </conditionalFormatting>
  <conditionalFormatting sqref="E7">
    <cfRule type="expression" dxfId="7" priority="12">
      <formula>E7&lt;0</formula>
    </cfRule>
    <cfRule type="expression" dxfId="6" priority="13">
      <formula>E7&gt;0</formula>
    </cfRule>
  </conditionalFormatting>
  <conditionalFormatting sqref="E8">
    <cfRule type="expression" dxfId="5" priority="4">
      <formula>E8&gt;0</formula>
    </cfRule>
    <cfRule type="expression" dxfId="4" priority="5">
      <formula>E8&lt;0</formula>
    </cfRule>
  </conditionalFormatting>
  <conditionalFormatting sqref="E11:E13">
    <cfRule type="expression" dxfId="3" priority="14">
      <formula>E11&lt;0</formula>
    </cfRule>
    <cfRule type="expression" dxfId="2" priority="15">
      <formula>E11&gt;0</formula>
    </cfRule>
  </conditionalFormatting>
  <conditionalFormatting sqref="E15:E17">
    <cfRule type="expression" dxfId="1" priority="6">
      <formula>E15&gt;0</formula>
    </cfRule>
    <cfRule type="expression" dxfId="0" priority="7">
      <formula>E15&lt;0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"/>
  <sheetViews>
    <sheetView zoomScaleNormal="100" workbookViewId="0">
      <pane ySplit="7" topLeftCell="A8" activePane="bottomLeft" state="frozen"/>
      <selection pane="bottomLeft" sqref="A1:G1"/>
    </sheetView>
  </sheetViews>
  <sheetFormatPr baseColWidth="10" defaultColWidth="8.6640625" defaultRowHeight="15" x14ac:dyDescent="0.2"/>
  <cols>
    <col min="1" max="1" width="44" customWidth="1"/>
    <col min="2" max="5" width="14" customWidth="1"/>
    <col min="6" max="6" width="11" customWidth="1"/>
    <col min="7" max="7" width="12" customWidth="1"/>
  </cols>
  <sheetData>
    <row r="1" spans="1:7" ht="21.75" customHeight="1" x14ac:dyDescent="0.2">
      <c r="A1" s="439" t="s">
        <v>402</v>
      </c>
      <c r="B1" s="439"/>
      <c r="C1" s="439"/>
      <c r="D1" s="439"/>
      <c r="E1" s="439"/>
      <c r="F1" s="439"/>
      <c r="G1" s="439"/>
    </row>
    <row r="2" spans="1:7" ht="13.5" customHeight="1" x14ac:dyDescent="0.2">
      <c r="A2" s="443" t="s">
        <v>403</v>
      </c>
      <c r="B2" s="443"/>
      <c r="C2" s="443"/>
      <c r="D2" s="443"/>
      <c r="E2" s="443"/>
      <c r="F2" s="443"/>
      <c r="G2" s="443"/>
    </row>
    <row r="3" spans="1:7" ht="7.5" customHeight="1" x14ac:dyDescent="0.2"/>
    <row r="4" spans="1:7" ht="13.5" customHeight="1" x14ac:dyDescent="0.2">
      <c r="A4" s="243" t="s">
        <v>386</v>
      </c>
      <c r="B4" s="243" t="s">
        <v>404</v>
      </c>
      <c r="C4" s="243" t="s">
        <v>405</v>
      </c>
      <c r="D4" s="244" t="s">
        <v>406</v>
      </c>
      <c r="E4" s="245"/>
      <c r="F4" s="245"/>
      <c r="G4" s="245"/>
    </row>
    <row r="5" spans="1:7" ht="24" customHeight="1" x14ac:dyDescent="0.2">
      <c r="A5" s="246" t="s">
        <v>407</v>
      </c>
      <c r="B5" s="246" t="s">
        <v>408</v>
      </c>
      <c r="C5" s="246" t="s">
        <v>409</v>
      </c>
      <c r="D5" s="247" t="s">
        <v>410</v>
      </c>
      <c r="E5" s="245"/>
      <c r="F5" s="245"/>
      <c r="G5" s="245"/>
    </row>
    <row r="6" spans="1:7" ht="7.5" customHeight="1" x14ac:dyDescent="0.2"/>
    <row r="7" spans="1:7" ht="15.75" customHeight="1" x14ac:dyDescent="0.2">
      <c r="A7" s="205" t="s">
        <v>237</v>
      </c>
      <c r="B7" s="206" t="s">
        <v>386</v>
      </c>
      <c r="C7" s="206" t="s">
        <v>404</v>
      </c>
      <c r="D7" s="206" t="s">
        <v>405</v>
      </c>
      <c r="E7" s="206" t="s">
        <v>387</v>
      </c>
      <c r="F7" s="207" t="s">
        <v>411</v>
      </c>
      <c r="G7" s="207" t="s">
        <v>277</v>
      </c>
    </row>
    <row r="8" spans="1:7" ht="15.75" customHeight="1" x14ac:dyDescent="0.2">
      <c r="A8" s="450" t="s">
        <v>27</v>
      </c>
      <c r="B8" s="450"/>
      <c r="C8" s="450"/>
      <c r="D8" s="450"/>
      <c r="E8" s="450"/>
      <c r="F8" s="450"/>
      <c r="G8" s="450"/>
    </row>
    <row r="9" spans="1:7" ht="13.5" customHeight="1" x14ac:dyDescent="0.2">
      <c r="A9" s="208" t="s">
        <v>364</v>
      </c>
      <c r="B9" s="248">
        <v>8800</v>
      </c>
      <c r="C9" s="248">
        <v>2200</v>
      </c>
      <c r="D9" s="248">
        <v>1421</v>
      </c>
      <c r="E9" s="249">
        <v>-779</v>
      </c>
      <c r="F9" s="250">
        <v>0.65</v>
      </c>
      <c r="G9" s="251" t="s">
        <v>234</v>
      </c>
    </row>
    <row r="10" spans="1:7" ht="13.5" customHeight="1" x14ac:dyDescent="0.2">
      <c r="A10" s="208" t="s">
        <v>30</v>
      </c>
      <c r="B10" s="248">
        <v>4400</v>
      </c>
      <c r="C10" s="248">
        <v>1100</v>
      </c>
      <c r="D10" s="248">
        <v>2415</v>
      </c>
      <c r="E10" s="252">
        <v>1315</v>
      </c>
      <c r="F10" s="253">
        <v>2.2000000000000002</v>
      </c>
      <c r="G10" s="254" t="s">
        <v>412</v>
      </c>
    </row>
    <row r="11" spans="1:7" ht="13.5" customHeight="1" x14ac:dyDescent="0.2">
      <c r="A11" s="208" t="s">
        <v>365</v>
      </c>
      <c r="B11" s="248">
        <v>12000</v>
      </c>
      <c r="C11" s="248">
        <v>3000</v>
      </c>
      <c r="D11" s="248">
        <v>512</v>
      </c>
      <c r="E11" s="249">
        <v>-2488</v>
      </c>
      <c r="F11" s="250">
        <v>0.17</v>
      </c>
      <c r="G11" s="251" t="s">
        <v>234</v>
      </c>
    </row>
    <row r="12" spans="1:7" ht="13.5" customHeight="1" x14ac:dyDescent="0.2">
      <c r="A12" s="208" t="s">
        <v>34</v>
      </c>
      <c r="B12" s="248">
        <v>20000</v>
      </c>
      <c r="C12" s="248">
        <v>5000</v>
      </c>
      <c r="D12" s="248">
        <v>4896</v>
      </c>
      <c r="E12" s="249">
        <v>-104</v>
      </c>
      <c r="F12" s="250">
        <v>0.98</v>
      </c>
      <c r="G12" s="251" t="s">
        <v>234</v>
      </c>
    </row>
    <row r="13" spans="1:7" ht="13.5" customHeight="1" x14ac:dyDescent="0.2">
      <c r="A13" s="208" t="s">
        <v>35</v>
      </c>
      <c r="B13" s="248">
        <v>20000</v>
      </c>
      <c r="C13" s="248">
        <v>5000</v>
      </c>
      <c r="D13" s="248">
        <v>4238</v>
      </c>
      <c r="E13" s="249">
        <v>-762</v>
      </c>
      <c r="F13" s="250">
        <v>0.85</v>
      </c>
      <c r="G13" s="251" t="s">
        <v>234</v>
      </c>
    </row>
    <row r="14" spans="1:7" ht="13.5" customHeight="1" x14ac:dyDescent="0.2">
      <c r="A14" s="208" t="s">
        <v>413</v>
      </c>
      <c r="B14" s="248">
        <v>80000</v>
      </c>
      <c r="C14" s="248">
        <v>20000</v>
      </c>
      <c r="D14" s="248">
        <v>20436</v>
      </c>
      <c r="E14" s="255">
        <v>436</v>
      </c>
      <c r="F14" s="256">
        <v>1.02</v>
      </c>
      <c r="G14" s="257" t="s">
        <v>414</v>
      </c>
    </row>
    <row r="15" spans="1:7" ht="13.5" customHeight="1" x14ac:dyDescent="0.2">
      <c r="A15" s="208" t="s">
        <v>38</v>
      </c>
      <c r="B15" s="248">
        <v>30000</v>
      </c>
      <c r="C15" s="248">
        <v>7500</v>
      </c>
      <c r="D15" s="248">
        <v>3023</v>
      </c>
      <c r="E15" s="249">
        <v>-4477</v>
      </c>
      <c r="F15" s="250">
        <v>0.4</v>
      </c>
      <c r="G15" s="251" t="s">
        <v>234</v>
      </c>
    </row>
    <row r="16" spans="1:7" ht="13.5" customHeight="1" x14ac:dyDescent="0.2">
      <c r="A16" s="208" t="s">
        <v>415</v>
      </c>
      <c r="B16" s="248">
        <v>50000</v>
      </c>
      <c r="C16" s="248">
        <v>12500</v>
      </c>
      <c r="D16" s="248">
        <v>4061</v>
      </c>
      <c r="E16" s="249">
        <v>-8439</v>
      </c>
      <c r="F16" s="250">
        <v>0.32</v>
      </c>
      <c r="G16" s="251" t="s">
        <v>234</v>
      </c>
    </row>
    <row r="17" spans="1:7" ht="13.5" customHeight="1" x14ac:dyDescent="0.2">
      <c r="A17" s="208" t="s">
        <v>416</v>
      </c>
      <c r="B17" s="248">
        <v>2200</v>
      </c>
      <c r="C17" s="248">
        <v>550</v>
      </c>
      <c r="D17" s="248">
        <v>584</v>
      </c>
      <c r="E17" s="255">
        <v>34</v>
      </c>
      <c r="F17" s="256">
        <v>1.06</v>
      </c>
      <c r="G17" s="257" t="s">
        <v>414</v>
      </c>
    </row>
    <row r="18" spans="1:7" ht="13.5" customHeight="1" x14ac:dyDescent="0.2">
      <c r="A18" s="208" t="s">
        <v>366</v>
      </c>
      <c r="B18" s="248">
        <v>3000</v>
      </c>
      <c r="C18" s="248">
        <v>750</v>
      </c>
      <c r="D18" s="248">
        <v>116</v>
      </c>
      <c r="E18" s="249">
        <v>-634</v>
      </c>
      <c r="F18" s="250">
        <v>0.15</v>
      </c>
      <c r="G18" s="251" t="s">
        <v>234</v>
      </c>
    </row>
    <row r="19" spans="1:7" ht="13.5" customHeight="1" x14ac:dyDescent="0.2">
      <c r="A19" s="208" t="s">
        <v>367</v>
      </c>
      <c r="B19" s="248"/>
      <c r="C19" s="248"/>
      <c r="D19" s="248">
        <v>435</v>
      </c>
      <c r="E19" s="258">
        <v>435</v>
      </c>
      <c r="F19" s="259"/>
      <c r="G19" s="260" t="s">
        <v>417</v>
      </c>
    </row>
    <row r="20" spans="1:7" ht="13.5" customHeight="1" x14ac:dyDescent="0.2">
      <c r="A20" s="208" t="s">
        <v>47</v>
      </c>
      <c r="B20" s="248">
        <v>9000</v>
      </c>
      <c r="C20" s="248">
        <v>2250</v>
      </c>
      <c r="D20" s="248"/>
      <c r="E20" s="249">
        <v>-2250</v>
      </c>
      <c r="F20" s="250">
        <v>0</v>
      </c>
      <c r="G20" s="251" t="s">
        <v>234</v>
      </c>
    </row>
    <row r="21" spans="1:7" ht="13.5" customHeight="1" x14ac:dyDescent="0.2">
      <c r="A21" s="208" t="s">
        <v>368</v>
      </c>
      <c r="B21" s="248"/>
      <c r="C21" s="248"/>
      <c r="D21" s="248">
        <v>8</v>
      </c>
      <c r="E21" s="258">
        <v>8</v>
      </c>
      <c r="F21" s="259"/>
      <c r="G21" s="260" t="s">
        <v>417</v>
      </c>
    </row>
    <row r="22" spans="1:7" ht="15" customHeight="1" x14ac:dyDescent="0.2">
      <c r="A22" s="261" t="s">
        <v>166</v>
      </c>
      <c r="B22" s="262">
        <v>239400</v>
      </c>
      <c r="C22" s="262">
        <v>59850</v>
      </c>
      <c r="D22" s="262">
        <v>42145</v>
      </c>
      <c r="E22" s="263">
        <v>-17705</v>
      </c>
      <c r="F22" s="264">
        <v>0.7</v>
      </c>
      <c r="G22" s="265"/>
    </row>
    <row r="24" spans="1:7" ht="15.75" customHeight="1" x14ac:dyDescent="0.2">
      <c r="A24" s="451" t="s">
        <v>418</v>
      </c>
      <c r="B24" s="451"/>
      <c r="C24" s="451"/>
      <c r="D24" s="451"/>
      <c r="E24" s="451"/>
      <c r="F24" s="451"/>
      <c r="G24" s="451"/>
    </row>
    <row r="25" spans="1:7" ht="13.5" customHeight="1" x14ac:dyDescent="0.2">
      <c r="A25" s="208" t="s">
        <v>419</v>
      </c>
      <c r="B25" s="248">
        <v>211200</v>
      </c>
      <c r="C25" s="248">
        <v>52800</v>
      </c>
      <c r="D25" s="248">
        <v>51369</v>
      </c>
      <c r="E25" s="249">
        <v>-1431</v>
      </c>
      <c r="F25" s="250">
        <v>0.97</v>
      </c>
      <c r="G25" s="251" t="s">
        <v>234</v>
      </c>
    </row>
    <row r="26" spans="1:7" ht="15" customHeight="1" x14ac:dyDescent="0.2">
      <c r="A26" s="261" t="s">
        <v>166</v>
      </c>
      <c r="B26" s="262">
        <v>211200</v>
      </c>
      <c r="C26" s="262">
        <v>52800</v>
      </c>
      <c r="D26" s="262">
        <v>51369</v>
      </c>
      <c r="E26" s="263">
        <v>-1431</v>
      </c>
      <c r="F26" s="264">
        <v>0.97</v>
      </c>
      <c r="G26" s="265"/>
    </row>
    <row r="28" spans="1:7" ht="18" customHeight="1" x14ac:dyDescent="0.2">
      <c r="A28" s="217" t="s">
        <v>420</v>
      </c>
      <c r="B28" s="266">
        <v>450600</v>
      </c>
      <c r="C28" s="266">
        <v>112650</v>
      </c>
      <c r="D28" s="266">
        <v>93514</v>
      </c>
      <c r="E28" s="267">
        <v>-19136</v>
      </c>
      <c r="F28" s="268">
        <v>0.83</v>
      </c>
      <c r="G28" s="269"/>
    </row>
    <row r="30" spans="1:7" ht="15" customHeight="1" x14ac:dyDescent="0.2">
      <c r="A30" s="452" t="s">
        <v>421</v>
      </c>
      <c r="B30" s="452"/>
      <c r="C30" s="452"/>
      <c r="D30" s="452"/>
      <c r="E30" s="452"/>
      <c r="F30" s="452"/>
      <c r="G30" s="452"/>
    </row>
  </sheetData>
  <mergeCells count="5">
    <mergeCell ref="A1:G1"/>
    <mergeCell ref="A2:G2"/>
    <mergeCell ref="A8:G8"/>
    <mergeCell ref="A24:G24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0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10" customWidth="1"/>
    <col min="3" max="3" width="14" customWidth="1"/>
    <col min="4" max="4" width="32" customWidth="1"/>
    <col min="5" max="5" width="50" customWidth="1"/>
    <col min="6" max="6" width="20" customWidth="1"/>
    <col min="7" max="7" width="52" customWidth="1"/>
    <col min="8" max="8" width="12" customWidth="1"/>
  </cols>
  <sheetData>
    <row r="1" spans="1:8" ht="15.75" customHeight="1" x14ac:dyDescent="0.2">
      <c r="A1" s="270" t="s">
        <v>422</v>
      </c>
      <c r="B1" s="270" t="s">
        <v>423</v>
      </c>
      <c r="C1" s="270" t="s">
        <v>424</v>
      </c>
      <c r="D1" s="271" t="s">
        <v>425</v>
      </c>
      <c r="E1" s="271" t="s">
        <v>426</v>
      </c>
      <c r="F1" s="271" t="s">
        <v>427</v>
      </c>
      <c r="G1" s="271" t="s">
        <v>428</v>
      </c>
      <c r="H1" s="272" t="s">
        <v>276</v>
      </c>
    </row>
    <row r="2" spans="1:8" ht="12.75" customHeight="1" x14ac:dyDescent="0.2">
      <c r="A2" s="273">
        <v>2025</v>
      </c>
      <c r="B2" s="274" t="s">
        <v>429</v>
      </c>
      <c r="C2" s="274" t="s">
        <v>430</v>
      </c>
      <c r="D2" s="208" t="s">
        <v>431</v>
      </c>
      <c r="E2" s="208" t="s">
        <v>432</v>
      </c>
      <c r="F2" s="208" t="s">
        <v>27</v>
      </c>
      <c r="G2" s="208" t="s">
        <v>364</v>
      </c>
      <c r="H2" s="275">
        <v>46.37</v>
      </c>
    </row>
    <row r="3" spans="1:8" ht="12.75" customHeight="1" x14ac:dyDescent="0.2">
      <c r="A3" s="273">
        <v>2025</v>
      </c>
      <c r="B3" s="274" t="s">
        <v>433</v>
      </c>
      <c r="C3" s="274" t="s">
        <v>430</v>
      </c>
      <c r="D3" s="208" t="s">
        <v>431</v>
      </c>
      <c r="E3" s="208" t="s">
        <v>434</v>
      </c>
      <c r="F3" s="208" t="s">
        <v>27</v>
      </c>
      <c r="G3" s="208" t="s">
        <v>364</v>
      </c>
      <c r="H3" s="275">
        <v>16.96</v>
      </c>
    </row>
    <row r="4" spans="1:8" ht="12.75" customHeight="1" x14ac:dyDescent="0.2">
      <c r="A4" s="273">
        <v>2025</v>
      </c>
      <c r="B4" s="274" t="s">
        <v>433</v>
      </c>
      <c r="C4" s="274" t="s">
        <v>435</v>
      </c>
      <c r="D4" s="208" t="s">
        <v>436</v>
      </c>
      <c r="E4" s="208" t="s">
        <v>437</v>
      </c>
      <c r="F4" s="208" t="s">
        <v>27</v>
      </c>
      <c r="G4" s="208" t="s">
        <v>364</v>
      </c>
      <c r="H4" s="275">
        <v>19.36</v>
      </c>
    </row>
    <row r="5" spans="1:8" ht="12.75" customHeight="1" x14ac:dyDescent="0.2">
      <c r="A5" s="273">
        <v>2025</v>
      </c>
      <c r="B5" s="274" t="s">
        <v>433</v>
      </c>
      <c r="C5" s="274" t="s">
        <v>438</v>
      </c>
      <c r="D5" s="208" t="s">
        <v>439</v>
      </c>
      <c r="E5" s="208" t="s">
        <v>437</v>
      </c>
      <c r="F5" s="208" t="s">
        <v>27</v>
      </c>
      <c r="G5" s="208" t="s">
        <v>364</v>
      </c>
      <c r="H5" s="275">
        <v>14.15</v>
      </c>
    </row>
    <row r="6" spans="1:8" ht="12.75" customHeight="1" x14ac:dyDescent="0.2">
      <c r="A6" s="273">
        <v>2025</v>
      </c>
      <c r="B6" s="274" t="s">
        <v>440</v>
      </c>
      <c r="C6" s="274" t="s">
        <v>435</v>
      </c>
      <c r="D6" s="208" t="s">
        <v>436</v>
      </c>
      <c r="E6" s="208" t="s">
        <v>441</v>
      </c>
      <c r="F6" s="208" t="s">
        <v>27</v>
      </c>
      <c r="G6" s="208" t="s">
        <v>364</v>
      </c>
      <c r="H6" s="275">
        <v>8.74</v>
      </c>
    </row>
    <row r="7" spans="1:8" ht="12.75" customHeight="1" x14ac:dyDescent="0.2">
      <c r="A7" s="273">
        <v>2025</v>
      </c>
      <c r="B7" s="274" t="s">
        <v>440</v>
      </c>
      <c r="C7" s="274" t="s">
        <v>435</v>
      </c>
      <c r="D7" s="208" t="s">
        <v>436</v>
      </c>
      <c r="E7" s="208" t="s">
        <v>442</v>
      </c>
      <c r="F7" s="208" t="s">
        <v>27</v>
      </c>
      <c r="G7" s="208" t="s">
        <v>364</v>
      </c>
      <c r="H7" s="275">
        <v>49.92</v>
      </c>
    </row>
    <row r="8" spans="1:8" ht="12.75" customHeight="1" x14ac:dyDescent="0.2">
      <c r="A8" s="273">
        <v>2025</v>
      </c>
      <c r="B8" s="274" t="s">
        <v>440</v>
      </c>
      <c r="C8" s="274" t="s">
        <v>435</v>
      </c>
      <c r="D8" s="208" t="s">
        <v>436</v>
      </c>
      <c r="E8" s="208" t="s">
        <v>443</v>
      </c>
      <c r="F8" s="208" t="s">
        <v>27</v>
      </c>
      <c r="G8" s="208" t="s">
        <v>364</v>
      </c>
      <c r="H8" s="275">
        <v>28.46</v>
      </c>
    </row>
    <row r="9" spans="1:8" ht="12.75" customHeight="1" x14ac:dyDescent="0.2">
      <c r="A9" s="273">
        <v>2025</v>
      </c>
      <c r="B9" s="274" t="s">
        <v>440</v>
      </c>
      <c r="C9" s="274" t="s">
        <v>435</v>
      </c>
      <c r="D9" s="208" t="s">
        <v>436</v>
      </c>
      <c r="E9" s="208" t="s">
        <v>444</v>
      </c>
      <c r="F9" s="208" t="s">
        <v>27</v>
      </c>
      <c r="G9" s="208" t="s">
        <v>364</v>
      </c>
      <c r="H9" s="275">
        <v>28.04</v>
      </c>
    </row>
    <row r="10" spans="1:8" ht="12.75" customHeight="1" x14ac:dyDescent="0.2">
      <c r="A10" s="273">
        <v>2025</v>
      </c>
      <c r="B10" s="274" t="s">
        <v>440</v>
      </c>
      <c r="C10" s="274" t="s">
        <v>435</v>
      </c>
      <c r="D10" s="208" t="s">
        <v>436</v>
      </c>
      <c r="E10" s="208" t="s">
        <v>445</v>
      </c>
      <c r="F10" s="208" t="s">
        <v>27</v>
      </c>
      <c r="G10" s="208" t="s">
        <v>364</v>
      </c>
      <c r="H10" s="275">
        <v>49.92</v>
      </c>
    </row>
    <row r="11" spans="1:8" ht="12.75" customHeight="1" x14ac:dyDescent="0.2">
      <c r="A11" s="273">
        <v>2025</v>
      </c>
      <c r="B11" s="274" t="s">
        <v>440</v>
      </c>
      <c r="C11" s="274" t="s">
        <v>438</v>
      </c>
      <c r="D11" s="208" t="s">
        <v>439</v>
      </c>
      <c r="E11" s="208" t="s">
        <v>446</v>
      </c>
      <c r="F11" s="208" t="s">
        <v>27</v>
      </c>
      <c r="G11" s="208" t="s">
        <v>364</v>
      </c>
      <c r="H11" s="275">
        <v>24.98</v>
      </c>
    </row>
    <row r="12" spans="1:8" ht="12.75" customHeight="1" x14ac:dyDescent="0.2">
      <c r="A12" s="273">
        <v>2025</v>
      </c>
      <c r="B12" s="274" t="s">
        <v>447</v>
      </c>
      <c r="C12" s="274" t="s">
        <v>435</v>
      </c>
      <c r="D12" s="208" t="s">
        <v>436</v>
      </c>
      <c r="E12" s="208" t="s">
        <v>448</v>
      </c>
      <c r="F12" s="208" t="s">
        <v>27</v>
      </c>
      <c r="G12" s="208" t="s">
        <v>364</v>
      </c>
      <c r="H12" s="275">
        <v>501.29</v>
      </c>
    </row>
    <row r="13" spans="1:8" ht="12.75" customHeight="1" x14ac:dyDescent="0.2">
      <c r="A13" s="273">
        <v>2025</v>
      </c>
      <c r="B13" s="274" t="s">
        <v>447</v>
      </c>
      <c r="C13" s="274" t="s">
        <v>438</v>
      </c>
      <c r="D13" s="208" t="s">
        <v>439</v>
      </c>
      <c r="E13" s="208" t="s">
        <v>449</v>
      </c>
      <c r="F13" s="208" t="s">
        <v>27</v>
      </c>
      <c r="G13" s="208" t="s">
        <v>364</v>
      </c>
      <c r="H13" s="275">
        <v>55.44</v>
      </c>
    </row>
    <row r="14" spans="1:8" ht="12.75" customHeight="1" x14ac:dyDescent="0.2">
      <c r="A14" s="273">
        <v>2025</v>
      </c>
      <c r="B14" s="274" t="s">
        <v>450</v>
      </c>
      <c r="C14" s="274" t="s">
        <v>435</v>
      </c>
      <c r="D14" s="208" t="s">
        <v>436</v>
      </c>
      <c r="E14" s="208" t="s">
        <v>451</v>
      </c>
      <c r="F14" s="208" t="s">
        <v>27</v>
      </c>
      <c r="G14" s="208" t="s">
        <v>364</v>
      </c>
      <c r="H14" s="275">
        <v>86.22</v>
      </c>
    </row>
    <row r="15" spans="1:8" ht="12.75" customHeight="1" x14ac:dyDescent="0.2">
      <c r="A15" s="273">
        <v>2025</v>
      </c>
      <c r="B15" s="274" t="s">
        <v>452</v>
      </c>
      <c r="C15" s="274" t="s">
        <v>453</v>
      </c>
      <c r="D15" s="208" t="s">
        <v>454</v>
      </c>
      <c r="E15" s="208" t="s">
        <v>455</v>
      </c>
      <c r="F15" s="208" t="s">
        <v>27</v>
      </c>
      <c r="G15" s="208" t="s">
        <v>364</v>
      </c>
      <c r="H15" s="275">
        <v>49.9</v>
      </c>
    </row>
    <row r="16" spans="1:8" ht="12.75" customHeight="1" x14ac:dyDescent="0.2">
      <c r="A16" s="273">
        <v>2025</v>
      </c>
      <c r="B16" s="274" t="s">
        <v>456</v>
      </c>
      <c r="C16" s="274" t="s">
        <v>430</v>
      </c>
      <c r="D16" s="208" t="s">
        <v>431</v>
      </c>
      <c r="E16" s="208" t="s">
        <v>432</v>
      </c>
      <c r="F16" s="208" t="s">
        <v>27</v>
      </c>
      <c r="G16" s="208" t="s">
        <v>364</v>
      </c>
      <c r="H16" s="275">
        <v>42.34</v>
      </c>
    </row>
    <row r="17" spans="1:8" ht="12.75" customHeight="1" x14ac:dyDescent="0.2">
      <c r="A17" s="273">
        <v>2025</v>
      </c>
      <c r="B17" s="274" t="s">
        <v>457</v>
      </c>
      <c r="C17" s="274" t="s">
        <v>453</v>
      </c>
      <c r="D17" s="208" t="s">
        <v>454</v>
      </c>
      <c r="E17" s="208" t="s">
        <v>458</v>
      </c>
      <c r="F17" s="208" t="s">
        <v>27</v>
      </c>
      <c r="G17" s="208" t="s">
        <v>364</v>
      </c>
      <c r="H17" s="275">
        <v>68.569999999999993</v>
      </c>
    </row>
    <row r="18" spans="1:8" ht="12.75" customHeight="1" x14ac:dyDescent="0.2">
      <c r="A18" s="273">
        <v>2025</v>
      </c>
      <c r="B18" s="274" t="s">
        <v>459</v>
      </c>
      <c r="C18" s="274" t="s">
        <v>438</v>
      </c>
      <c r="D18" s="208" t="s">
        <v>439</v>
      </c>
      <c r="E18" s="208" t="s">
        <v>460</v>
      </c>
      <c r="F18" s="208" t="s">
        <v>27</v>
      </c>
      <c r="G18" s="208" t="s">
        <v>364</v>
      </c>
      <c r="H18" s="275">
        <v>5.42</v>
      </c>
    </row>
    <row r="19" spans="1:8" ht="12.75" customHeight="1" x14ac:dyDescent="0.2">
      <c r="A19" s="273">
        <v>2025</v>
      </c>
      <c r="B19" s="274" t="s">
        <v>461</v>
      </c>
      <c r="C19" s="274" t="s">
        <v>430</v>
      </c>
      <c r="D19" s="208" t="s">
        <v>431</v>
      </c>
      <c r="E19" s="208" t="s">
        <v>432</v>
      </c>
      <c r="F19" s="208" t="s">
        <v>27</v>
      </c>
      <c r="G19" s="208" t="s">
        <v>364</v>
      </c>
      <c r="H19" s="275">
        <v>42.34</v>
      </c>
    </row>
    <row r="20" spans="1:8" ht="12.75" customHeight="1" x14ac:dyDescent="0.2">
      <c r="A20" s="273">
        <v>2025</v>
      </c>
      <c r="B20" s="274" t="s">
        <v>462</v>
      </c>
      <c r="C20" s="274" t="s">
        <v>438</v>
      </c>
      <c r="D20" s="208" t="s">
        <v>439</v>
      </c>
      <c r="E20" s="208" t="s">
        <v>463</v>
      </c>
      <c r="F20" s="208" t="s">
        <v>27</v>
      </c>
      <c r="G20" s="208" t="s">
        <v>364</v>
      </c>
      <c r="H20" s="275">
        <v>26.64</v>
      </c>
    </row>
    <row r="21" spans="1:8" ht="12.75" customHeight="1" x14ac:dyDescent="0.2">
      <c r="A21" s="273">
        <v>2025</v>
      </c>
      <c r="B21" s="274" t="s">
        <v>464</v>
      </c>
      <c r="C21" s="274" t="s">
        <v>435</v>
      </c>
      <c r="D21" s="208" t="s">
        <v>436</v>
      </c>
      <c r="E21" s="208" t="s">
        <v>465</v>
      </c>
      <c r="F21" s="208" t="s">
        <v>27</v>
      </c>
      <c r="G21" s="208" t="s">
        <v>364</v>
      </c>
      <c r="H21" s="275">
        <v>41.5</v>
      </c>
    </row>
    <row r="22" spans="1:8" ht="12.75" customHeight="1" x14ac:dyDescent="0.2">
      <c r="A22" s="273">
        <v>2025</v>
      </c>
      <c r="B22" s="274" t="s">
        <v>466</v>
      </c>
      <c r="C22" s="274" t="s">
        <v>453</v>
      </c>
      <c r="D22" s="208" t="s">
        <v>454</v>
      </c>
      <c r="E22" s="208" t="s">
        <v>467</v>
      </c>
      <c r="F22" s="208" t="s">
        <v>27</v>
      </c>
      <c r="G22" s="208" t="s">
        <v>364</v>
      </c>
      <c r="H22" s="275">
        <v>53.86</v>
      </c>
    </row>
    <row r="23" spans="1:8" ht="12.75" customHeight="1" x14ac:dyDescent="0.2">
      <c r="A23" s="273">
        <v>2025</v>
      </c>
      <c r="B23" s="274" t="s">
        <v>468</v>
      </c>
      <c r="C23" s="274" t="s">
        <v>435</v>
      </c>
      <c r="D23" s="208" t="s">
        <v>436</v>
      </c>
      <c r="E23" s="208" t="s">
        <v>469</v>
      </c>
      <c r="F23" s="208" t="s">
        <v>27</v>
      </c>
      <c r="G23" s="208" t="s">
        <v>364</v>
      </c>
      <c r="H23" s="275">
        <v>276</v>
      </c>
    </row>
    <row r="24" spans="1:8" ht="12.75" customHeight="1" x14ac:dyDescent="0.2">
      <c r="A24" s="273">
        <v>2025</v>
      </c>
      <c r="B24" s="274" t="s">
        <v>470</v>
      </c>
      <c r="C24" s="274" t="s">
        <v>430</v>
      </c>
      <c r="D24" s="208" t="s">
        <v>431</v>
      </c>
      <c r="E24" s="208" t="s">
        <v>432</v>
      </c>
      <c r="F24" s="208" t="s">
        <v>27</v>
      </c>
      <c r="G24" s="208" t="s">
        <v>364</v>
      </c>
      <c r="H24" s="275">
        <v>139.9</v>
      </c>
    </row>
    <row r="25" spans="1:8" ht="12.75" customHeight="1" x14ac:dyDescent="0.2">
      <c r="A25" s="273">
        <v>2025</v>
      </c>
      <c r="B25" s="274" t="s">
        <v>471</v>
      </c>
      <c r="C25" s="274" t="s">
        <v>435</v>
      </c>
      <c r="D25" s="208" t="s">
        <v>436</v>
      </c>
      <c r="E25" s="208" t="s">
        <v>472</v>
      </c>
      <c r="F25" s="208" t="s">
        <v>27</v>
      </c>
      <c r="G25" s="208" t="s">
        <v>364</v>
      </c>
      <c r="H25" s="275">
        <v>53.08</v>
      </c>
    </row>
    <row r="26" spans="1:8" ht="12.75" customHeight="1" x14ac:dyDescent="0.2">
      <c r="A26" s="273">
        <v>2025</v>
      </c>
      <c r="B26" s="274" t="s">
        <v>473</v>
      </c>
      <c r="C26" s="274" t="s">
        <v>438</v>
      </c>
      <c r="D26" s="208" t="s">
        <v>439</v>
      </c>
      <c r="E26" s="208" t="s">
        <v>474</v>
      </c>
      <c r="F26" s="208" t="s">
        <v>27</v>
      </c>
      <c r="G26" s="208" t="s">
        <v>364</v>
      </c>
      <c r="H26" s="275">
        <v>75.91</v>
      </c>
    </row>
    <row r="27" spans="1:8" ht="12.75" customHeight="1" x14ac:dyDescent="0.2">
      <c r="A27" s="273">
        <v>2025</v>
      </c>
      <c r="B27" s="274" t="s">
        <v>475</v>
      </c>
      <c r="C27" s="274" t="s">
        <v>453</v>
      </c>
      <c r="D27" s="208" t="s">
        <v>454</v>
      </c>
      <c r="E27" s="208" t="s">
        <v>476</v>
      </c>
      <c r="F27" s="208" t="s">
        <v>27</v>
      </c>
      <c r="G27" s="208" t="s">
        <v>364</v>
      </c>
      <c r="H27" s="275">
        <v>51.41</v>
      </c>
    </row>
    <row r="28" spans="1:8" ht="12.75" customHeight="1" x14ac:dyDescent="0.2">
      <c r="A28" s="273">
        <v>2025</v>
      </c>
      <c r="B28" s="274" t="s">
        <v>477</v>
      </c>
      <c r="C28" s="274" t="s">
        <v>435</v>
      </c>
      <c r="D28" s="208" t="s">
        <v>436</v>
      </c>
      <c r="E28" s="208" t="s">
        <v>478</v>
      </c>
      <c r="F28" s="208" t="s">
        <v>27</v>
      </c>
      <c r="G28" s="208" t="s">
        <v>364</v>
      </c>
      <c r="H28" s="275">
        <v>404.49</v>
      </c>
    </row>
    <row r="29" spans="1:8" ht="12.75" customHeight="1" x14ac:dyDescent="0.2">
      <c r="A29" s="273">
        <v>2025</v>
      </c>
      <c r="B29" s="274" t="s">
        <v>477</v>
      </c>
      <c r="C29" s="274" t="s">
        <v>435</v>
      </c>
      <c r="D29" s="208" t="s">
        <v>436</v>
      </c>
      <c r="E29" s="208" t="s">
        <v>479</v>
      </c>
      <c r="F29" s="208" t="s">
        <v>27</v>
      </c>
      <c r="G29" s="208" t="s">
        <v>364</v>
      </c>
      <c r="H29" s="275">
        <v>275</v>
      </c>
    </row>
    <row r="30" spans="1:8" ht="12.75" customHeight="1" x14ac:dyDescent="0.2">
      <c r="A30" s="273">
        <v>2025</v>
      </c>
      <c r="B30" s="274" t="s">
        <v>480</v>
      </c>
      <c r="C30" s="274" t="s">
        <v>430</v>
      </c>
      <c r="D30" s="208" t="s">
        <v>431</v>
      </c>
      <c r="E30" s="208" t="s">
        <v>481</v>
      </c>
      <c r="F30" s="208" t="s">
        <v>27</v>
      </c>
      <c r="G30" s="208" t="s">
        <v>364</v>
      </c>
      <c r="H30" s="275">
        <v>132.86000000000001</v>
      </c>
    </row>
    <row r="31" spans="1:8" ht="12.75" customHeight="1" x14ac:dyDescent="0.2">
      <c r="A31" s="273">
        <v>2025</v>
      </c>
      <c r="B31" s="274" t="s">
        <v>480</v>
      </c>
      <c r="C31" s="274" t="s">
        <v>435</v>
      </c>
      <c r="D31" s="208" t="s">
        <v>436</v>
      </c>
      <c r="E31" s="208" t="s">
        <v>482</v>
      </c>
      <c r="F31" s="208" t="s">
        <v>27</v>
      </c>
      <c r="G31" s="208" t="s">
        <v>364</v>
      </c>
      <c r="H31" s="275">
        <v>41.4</v>
      </c>
    </row>
    <row r="32" spans="1:8" ht="12.75" customHeight="1" x14ac:dyDescent="0.2">
      <c r="A32" s="273">
        <v>2025</v>
      </c>
      <c r="B32" s="274" t="s">
        <v>480</v>
      </c>
      <c r="C32" s="274" t="s">
        <v>438</v>
      </c>
      <c r="D32" s="208" t="s">
        <v>439</v>
      </c>
      <c r="E32" s="208" t="s">
        <v>483</v>
      </c>
      <c r="F32" s="208" t="s">
        <v>27</v>
      </c>
      <c r="G32" s="208" t="s">
        <v>364</v>
      </c>
      <c r="H32" s="275">
        <v>196.41</v>
      </c>
    </row>
    <row r="33" spans="1:8" ht="12.75" customHeight="1" x14ac:dyDescent="0.2">
      <c r="A33" s="273">
        <v>2025</v>
      </c>
      <c r="B33" s="274" t="s">
        <v>484</v>
      </c>
      <c r="C33" s="274" t="s">
        <v>430</v>
      </c>
      <c r="D33" s="208" t="s">
        <v>431</v>
      </c>
      <c r="E33" s="208" t="s">
        <v>432</v>
      </c>
      <c r="F33" s="208" t="s">
        <v>27</v>
      </c>
      <c r="G33" s="208" t="s">
        <v>364</v>
      </c>
      <c r="H33" s="275">
        <v>146.26</v>
      </c>
    </row>
    <row r="34" spans="1:8" ht="12.75" customHeight="1" x14ac:dyDescent="0.2">
      <c r="A34" s="273">
        <v>2025</v>
      </c>
      <c r="B34" s="274" t="s">
        <v>485</v>
      </c>
      <c r="C34" s="274" t="s">
        <v>430</v>
      </c>
      <c r="D34" s="208" t="s">
        <v>431</v>
      </c>
      <c r="E34" s="208" t="s">
        <v>486</v>
      </c>
      <c r="F34" s="208" t="s">
        <v>27</v>
      </c>
      <c r="G34" s="208" t="s">
        <v>364</v>
      </c>
      <c r="H34" s="275">
        <v>21.32</v>
      </c>
    </row>
    <row r="35" spans="1:8" ht="12.75" customHeight="1" x14ac:dyDescent="0.2">
      <c r="A35" s="273">
        <v>2025</v>
      </c>
      <c r="B35" s="274" t="s">
        <v>487</v>
      </c>
      <c r="C35" s="274" t="s">
        <v>438</v>
      </c>
      <c r="D35" s="208" t="s">
        <v>439</v>
      </c>
      <c r="E35" s="208" t="s">
        <v>488</v>
      </c>
      <c r="F35" s="208" t="s">
        <v>27</v>
      </c>
      <c r="G35" s="208" t="s">
        <v>364</v>
      </c>
      <c r="H35" s="275">
        <v>26.64</v>
      </c>
    </row>
    <row r="36" spans="1:8" ht="12.75" customHeight="1" x14ac:dyDescent="0.2">
      <c r="A36" s="273">
        <v>2025</v>
      </c>
      <c r="B36" s="274" t="s">
        <v>489</v>
      </c>
      <c r="C36" s="274" t="s">
        <v>453</v>
      </c>
      <c r="D36" s="208" t="s">
        <v>454</v>
      </c>
      <c r="E36" s="208" t="s">
        <v>490</v>
      </c>
      <c r="F36" s="208" t="s">
        <v>27</v>
      </c>
      <c r="G36" s="208" t="s">
        <v>364</v>
      </c>
      <c r="H36" s="275">
        <v>46.75</v>
      </c>
    </row>
    <row r="37" spans="1:8" ht="12.75" customHeight="1" x14ac:dyDescent="0.2">
      <c r="A37" s="273">
        <v>2025</v>
      </c>
      <c r="B37" s="274" t="s">
        <v>491</v>
      </c>
      <c r="C37" s="274" t="s">
        <v>435</v>
      </c>
      <c r="D37" s="208" t="s">
        <v>436</v>
      </c>
      <c r="E37" s="208" t="s">
        <v>492</v>
      </c>
      <c r="F37" s="208" t="s">
        <v>27</v>
      </c>
      <c r="G37" s="208" t="s">
        <v>364</v>
      </c>
      <c r="H37" s="275">
        <v>499.17</v>
      </c>
    </row>
    <row r="38" spans="1:8" ht="12.75" customHeight="1" x14ac:dyDescent="0.2">
      <c r="A38" s="273">
        <v>2025</v>
      </c>
      <c r="B38" s="274" t="s">
        <v>491</v>
      </c>
      <c r="C38" s="274" t="s">
        <v>435</v>
      </c>
      <c r="D38" s="208" t="s">
        <v>436</v>
      </c>
      <c r="E38" s="208" t="s">
        <v>492</v>
      </c>
      <c r="F38" s="208" t="s">
        <v>27</v>
      </c>
      <c r="G38" s="208" t="s">
        <v>364</v>
      </c>
      <c r="H38" s="275">
        <v>415.83</v>
      </c>
    </row>
    <row r="39" spans="1:8" ht="12.75" customHeight="1" x14ac:dyDescent="0.2">
      <c r="A39" s="273">
        <v>2025</v>
      </c>
      <c r="B39" s="274" t="s">
        <v>493</v>
      </c>
      <c r="C39" s="274" t="s">
        <v>435</v>
      </c>
      <c r="D39" s="208" t="s">
        <v>436</v>
      </c>
      <c r="E39" s="208" t="s">
        <v>494</v>
      </c>
      <c r="F39" s="208" t="s">
        <v>27</v>
      </c>
      <c r="G39" s="208" t="s">
        <v>364</v>
      </c>
      <c r="H39" s="275">
        <v>95</v>
      </c>
    </row>
    <row r="40" spans="1:8" ht="12.75" customHeight="1" x14ac:dyDescent="0.2">
      <c r="A40" s="273">
        <v>2025</v>
      </c>
      <c r="B40" s="274" t="s">
        <v>495</v>
      </c>
      <c r="C40" s="274" t="s">
        <v>435</v>
      </c>
      <c r="D40" s="208" t="s">
        <v>436</v>
      </c>
      <c r="E40" s="208" t="s">
        <v>496</v>
      </c>
      <c r="F40" s="208" t="s">
        <v>27</v>
      </c>
      <c r="G40" s="208" t="s">
        <v>364</v>
      </c>
      <c r="H40" s="275">
        <v>70.05</v>
      </c>
    </row>
    <row r="41" spans="1:8" ht="12.75" customHeight="1" x14ac:dyDescent="0.2">
      <c r="A41" s="273">
        <v>2025</v>
      </c>
      <c r="B41" s="274" t="s">
        <v>497</v>
      </c>
      <c r="C41" s="274" t="s">
        <v>430</v>
      </c>
      <c r="D41" s="208" t="s">
        <v>431</v>
      </c>
      <c r="E41" s="208" t="s">
        <v>498</v>
      </c>
      <c r="F41" s="208" t="s">
        <v>27</v>
      </c>
      <c r="G41" s="208" t="s">
        <v>364</v>
      </c>
      <c r="H41" s="275">
        <v>84.72</v>
      </c>
    </row>
    <row r="42" spans="1:8" ht="12.75" customHeight="1" x14ac:dyDescent="0.2">
      <c r="A42" s="273">
        <v>2025</v>
      </c>
      <c r="B42" s="274" t="s">
        <v>499</v>
      </c>
      <c r="C42" s="274" t="s">
        <v>430</v>
      </c>
      <c r="D42" s="208" t="s">
        <v>431</v>
      </c>
      <c r="E42" s="208" t="s">
        <v>432</v>
      </c>
      <c r="F42" s="208" t="s">
        <v>27</v>
      </c>
      <c r="G42" s="208" t="s">
        <v>364</v>
      </c>
      <c r="H42" s="275">
        <v>127.18</v>
      </c>
    </row>
    <row r="43" spans="1:8" ht="12.75" customHeight="1" x14ac:dyDescent="0.2">
      <c r="A43" s="273">
        <v>2025</v>
      </c>
      <c r="B43" s="274" t="s">
        <v>500</v>
      </c>
      <c r="C43" s="274" t="s">
        <v>430</v>
      </c>
      <c r="D43" s="208" t="s">
        <v>431</v>
      </c>
      <c r="E43" s="208" t="s">
        <v>501</v>
      </c>
      <c r="F43" s="208" t="s">
        <v>27</v>
      </c>
      <c r="G43" s="208" t="s">
        <v>364</v>
      </c>
      <c r="H43" s="275">
        <v>46.92</v>
      </c>
    </row>
    <row r="44" spans="1:8" ht="12.75" customHeight="1" x14ac:dyDescent="0.2">
      <c r="A44" s="273">
        <v>2025</v>
      </c>
      <c r="B44" s="274" t="s">
        <v>502</v>
      </c>
      <c r="C44" s="274" t="s">
        <v>435</v>
      </c>
      <c r="D44" s="208" t="s">
        <v>436</v>
      </c>
      <c r="E44" s="208" t="s">
        <v>503</v>
      </c>
      <c r="F44" s="208" t="s">
        <v>27</v>
      </c>
      <c r="G44" s="208" t="s">
        <v>364</v>
      </c>
      <c r="H44" s="275">
        <v>34.15</v>
      </c>
    </row>
    <row r="45" spans="1:8" ht="12.75" customHeight="1" x14ac:dyDescent="0.2">
      <c r="A45" s="273">
        <v>2025</v>
      </c>
      <c r="B45" s="274" t="s">
        <v>502</v>
      </c>
      <c r="C45" s="274" t="s">
        <v>438</v>
      </c>
      <c r="D45" s="208" t="s">
        <v>439</v>
      </c>
      <c r="E45" s="208" t="s">
        <v>504</v>
      </c>
      <c r="F45" s="208" t="s">
        <v>27</v>
      </c>
      <c r="G45" s="208" t="s">
        <v>364</v>
      </c>
      <c r="H45" s="275">
        <v>174.22</v>
      </c>
    </row>
    <row r="46" spans="1:8" ht="12.75" customHeight="1" x14ac:dyDescent="0.2">
      <c r="A46" s="273">
        <v>2025</v>
      </c>
      <c r="B46" s="274" t="s">
        <v>505</v>
      </c>
      <c r="C46" s="274" t="s">
        <v>453</v>
      </c>
      <c r="D46" s="208" t="s">
        <v>454</v>
      </c>
      <c r="E46" s="208" t="s">
        <v>506</v>
      </c>
      <c r="F46" s="208" t="s">
        <v>27</v>
      </c>
      <c r="G46" s="208" t="s">
        <v>364</v>
      </c>
      <c r="H46" s="275">
        <v>47.99</v>
      </c>
    </row>
    <row r="47" spans="1:8" ht="12.75" customHeight="1" x14ac:dyDescent="0.2">
      <c r="A47" s="273">
        <v>2025</v>
      </c>
      <c r="B47" s="274" t="s">
        <v>505</v>
      </c>
      <c r="C47" s="274" t="s">
        <v>507</v>
      </c>
      <c r="D47" s="208" t="s">
        <v>508</v>
      </c>
      <c r="E47" s="208" t="s">
        <v>509</v>
      </c>
      <c r="F47" s="208" t="s">
        <v>27</v>
      </c>
      <c r="G47" s="208" t="s">
        <v>364</v>
      </c>
      <c r="H47" s="275">
        <v>44.6</v>
      </c>
    </row>
    <row r="48" spans="1:8" ht="12.75" customHeight="1" x14ac:dyDescent="0.2">
      <c r="A48" s="273">
        <v>2025</v>
      </c>
      <c r="B48" s="274" t="s">
        <v>510</v>
      </c>
      <c r="C48" s="274" t="s">
        <v>430</v>
      </c>
      <c r="D48" s="208" t="s">
        <v>431</v>
      </c>
      <c r="E48" s="208" t="s">
        <v>511</v>
      </c>
      <c r="F48" s="208" t="s">
        <v>27</v>
      </c>
      <c r="G48" s="208" t="s">
        <v>364</v>
      </c>
      <c r="H48" s="275">
        <v>18.010000000000002</v>
      </c>
    </row>
    <row r="49" spans="1:8" ht="12.75" customHeight="1" x14ac:dyDescent="0.2">
      <c r="A49" s="273">
        <v>2025</v>
      </c>
      <c r="B49" s="274" t="s">
        <v>512</v>
      </c>
      <c r="C49" s="274" t="s">
        <v>430</v>
      </c>
      <c r="D49" s="208" t="s">
        <v>431</v>
      </c>
      <c r="E49" s="208" t="s">
        <v>513</v>
      </c>
      <c r="F49" s="208" t="s">
        <v>27</v>
      </c>
      <c r="G49" s="208" t="s">
        <v>364</v>
      </c>
      <c r="H49" s="275">
        <v>161.66999999999999</v>
      </c>
    </row>
    <row r="50" spans="1:8" ht="12.75" customHeight="1" x14ac:dyDescent="0.2">
      <c r="A50" s="273">
        <v>2025</v>
      </c>
      <c r="B50" s="274" t="s">
        <v>512</v>
      </c>
      <c r="C50" s="274" t="s">
        <v>430</v>
      </c>
      <c r="D50" s="208" t="s">
        <v>431</v>
      </c>
      <c r="E50" s="208" t="s">
        <v>514</v>
      </c>
      <c r="F50" s="208" t="s">
        <v>27</v>
      </c>
      <c r="G50" s="208" t="s">
        <v>364</v>
      </c>
      <c r="H50" s="275">
        <v>544.4</v>
      </c>
    </row>
    <row r="51" spans="1:8" ht="12.75" customHeight="1" x14ac:dyDescent="0.2">
      <c r="A51" s="273">
        <v>2025</v>
      </c>
      <c r="B51" s="274" t="s">
        <v>512</v>
      </c>
      <c r="C51" s="274" t="s">
        <v>430</v>
      </c>
      <c r="D51" s="208" t="s">
        <v>431</v>
      </c>
      <c r="E51" s="208" t="s">
        <v>432</v>
      </c>
      <c r="F51" s="208" t="s">
        <v>27</v>
      </c>
      <c r="G51" s="208" t="s">
        <v>364</v>
      </c>
      <c r="H51" s="275">
        <v>146.26</v>
      </c>
    </row>
    <row r="52" spans="1:8" ht="12.75" customHeight="1" x14ac:dyDescent="0.2">
      <c r="A52" s="273">
        <v>2025</v>
      </c>
      <c r="B52" s="274" t="s">
        <v>512</v>
      </c>
      <c r="C52" s="274" t="s">
        <v>435</v>
      </c>
      <c r="D52" s="208" t="s">
        <v>436</v>
      </c>
      <c r="E52" s="208" t="s">
        <v>515</v>
      </c>
      <c r="F52" s="208" t="s">
        <v>27</v>
      </c>
      <c r="G52" s="208" t="s">
        <v>364</v>
      </c>
      <c r="H52" s="275">
        <v>82.49</v>
      </c>
    </row>
    <row r="53" spans="1:8" ht="12.75" customHeight="1" x14ac:dyDescent="0.2">
      <c r="A53" s="273">
        <v>2025</v>
      </c>
      <c r="B53" s="274" t="s">
        <v>512</v>
      </c>
      <c r="C53" s="274" t="s">
        <v>435</v>
      </c>
      <c r="D53" s="208" t="s">
        <v>436</v>
      </c>
      <c r="E53" s="208" t="s">
        <v>516</v>
      </c>
      <c r="F53" s="208" t="s">
        <v>27</v>
      </c>
      <c r="G53" s="208" t="s">
        <v>364</v>
      </c>
      <c r="H53" s="276">
        <v>-86.22</v>
      </c>
    </row>
    <row r="54" spans="1:8" ht="12.75" customHeight="1" x14ac:dyDescent="0.2">
      <c r="A54" s="273">
        <v>2025</v>
      </c>
      <c r="B54" s="274" t="s">
        <v>512</v>
      </c>
      <c r="C54" s="274" t="s">
        <v>435</v>
      </c>
      <c r="D54" s="208" t="s">
        <v>436</v>
      </c>
      <c r="E54" s="208" t="s">
        <v>451</v>
      </c>
      <c r="F54" s="208" t="s">
        <v>27</v>
      </c>
      <c r="G54" s="208" t="s">
        <v>364</v>
      </c>
      <c r="H54" s="275">
        <v>103.46</v>
      </c>
    </row>
    <row r="55" spans="1:8" ht="12.75" customHeight="1" x14ac:dyDescent="0.2">
      <c r="A55" s="273">
        <v>2025</v>
      </c>
      <c r="B55" s="274" t="s">
        <v>517</v>
      </c>
      <c r="C55" s="274" t="s">
        <v>430</v>
      </c>
      <c r="D55" s="208" t="s">
        <v>431</v>
      </c>
      <c r="E55" s="208" t="s">
        <v>518</v>
      </c>
      <c r="F55" s="208" t="s">
        <v>27</v>
      </c>
      <c r="G55" s="208" t="s">
        <v>364</v>
      </c>
      <c r="H55" s="275">
        <v>21.03</v>
      </c>
    </row>
    <row r="56" spans="1:8" ht="12.75" customHeight="1" x14ac:dyDescent="0.2">
      <c r="A56" s="273">
        <v>2025</v>
      </c>
      <c r="B56" s="274" t="s">
        <v>519</v>
      </c>
      <c r="C56" s="274" t="s">
        <v>438</v>
      </c>
      <c r="D56" s="208" t="s">
        <v>439</v>
      </c>
      <c r="E56" s="208" t="s">
        <v>520</v>
      </c>
      <c r="F56" s="208" t="s">
        <v>27</v>
      </c>
      <c r="G56" s="208" t="s">
        <v>364</v>
      </c>
      <c r="H56" s="275">
        <v>26.64</v>
      </c>
    </row>
    <row r="57" spans="1:8" ht="12.75" customHeight="1" x14ac:dyDescent="0.2">
      <c r="A57" s="273">
        <v>2025</v>
      </c>
      <c r="B57" s="274" t="s">
        <v>521</v>
      </c>
      <c r="C57" s="274" t="s">
        <v>438</v>
      </c>
      <c r="D57" s="208" t="s">
        <v>439</v>
      </c>
      <c r="E57" s="208" t="s">
        <v>522</v>
      </c>
      <c r="F57" s="208" t="s">
        <v>27</v>
      </c>
      <c r="G57" s="208" t="s">
        <v>364</v>
      </c>
      <c r="H57" s="275">
        <v>92.33</v>
      </c>
    </row>
    <row r="58" spans="1:8" ht="12.75" customHeight="1" x14ac:dyDescent="0.2">
      <c r="A58" s="273">
        <v>2025</v>
      </c>
      <c r="B58" s="274" t="s">
        <v>523</v>
      </c>
      <c r="C58" s="274" t="s">
        <v>438</v>
      </c>
      <c r="D58" s="208" t="s">
        <v>439</v>
      </c>
      <c r="E58" s="208" t="s">
        <v>524</v>
      </c>
      <c r="F58" s="208" t="s">
        <v>27</v>
      </c>
      <c r="G58" s="208" t="s">
        <v>364</v>
      </c>
      <c r="H58" s="276">
        <v>-26.64</v>
      </c>
    </row>
    <row r="59" spans="1:8" ht="12.75" customHeight="1" x14ac:dyDescent="0.2">
      <c r="A59" s="273">
        <v>2025</v>
      </c>
      <c r="B59" s="274" t="s">
        <v>525</v>
      </c>
      <c r="C59" s="274" t="s">
        <v>453</v>
      </c>
      <c r="D59" s="208" t="s">
        <v>454</v>
      </c>
      <c r="E59" s="208" t="s">
        <v>526</v>
      </c>
      <c r="F59" s="208" t="s">
        <v>27</v>
      </c>
      <c r="G59" s="208" t="s">
        <v>364</v>
      </c>
      <c r="H59" s="275">
        <v>47.38</v>
      </c>
    </row>
    <row r="60" spans="1:8" ht="12.75" customHeight="1" x14ac:dyDescent="0.2">
      <c r="A60" s="273">
        <v>2025</v>
      </c>
      <c r="B60" s="274" t="s">
        <v>525</v>
      </c>
      <c r="C60" s="274" t="s">
        <v>435</v>
      </c>
      <c r="D60" s="208" t="s">
        <v>436</v>
      </c>
      <c r="E60" s="208" t="s">
        <v>527</v>
      </c>
      <c r="F60" s="208" t="s">
        <v>27</v>
      </c>
      <c r="G60" s="208" t="s">
        <v>364</v>
      </c>
      <c r="H60" s="275">
        <v>286.27999999999997</v>
      </c>
    </row>
    <row r="61" spans="1:8" ht="12.75" customHeight="1" x14ac:dyDescent="0.2">
      <c r="A61" s="273">
        <v>2025</v>
      </c>
      <c r="B61" s="274" t="s">
        <v>528</v>
      </c>
      <c r="C61" s="274" t="s">
        <v>430</v>
      </c>
      <c r="D61" s="208" t="s">
        <v>431</v>
      </c>
      <c r="E61" s="208" t="s">
        <v>529</v>
      </c>
      <c r="F61" s="208" t="s">
        <v>27</v>
      </c>
      <c r="G61" s="208" t="s">
        <v>364</v>
      </c>
      <c r="H61" s="275">
        <v>40.450000000000003</v>
      </c>
    </row>
    <row r="62" spans="1:8" ht="12.75" customHeight="1" x14ac:dyDescent="0.2">
      <c r="A62" s="273">
        <v>2025</v>
      </c>
      <c r="B62" s="274" t="s">
        <v>530</v>
      </c>
      <c r="C62" s="274" t="s">
        <v>430</v>
      </c>
      <c r="D62" s="208" t="s">
        <v>431</v>
      </c>
      <c r="E62" s="208" t="s">
        <v>432</v>
      </c>
      <c r="F62" s="208" t="s">
        <v>27</v>
      </c>
      <c r="G62" s="208" t="s">
        <v>364</v>
      </c>
      <c r="H62" s="275">
        <v>139.9</v>
      </c>
    </row>
    <row r="63" spans="1:8" ht="12.75" customHeight="1" x14ac:dyDescent="0.2">
      <c r="A63" s="273">
        <v>2025</v>
      </c>
      <c r="B63" s="274" t="s">
        <v>531</v>
      </c>
      <c r="C63" s="274" t="s">
        <v>430</v>
      </c>
      <c r="D63" s="208" t="s">
        <v>431</v>
      </c>
      <c r="E63" s="208" t="s">
        <v>532</v>
      </c>
      <c r="F63" s="208" t="s">
        <v>27</v>
      </c>
      <c r="G63" s="208" t="s">
        <v>364</v>
      </c>
      <c r="H63" s="275">
        <v>54.26</v>
      </c>
    </row>
    <row r="64" spans="1:8" ht="12.75" customHeight="1" x14ac:dyDescent="0.2">
      <c r="A64" s="273">
        <v>2025</v>
      </c>
      <c r="B64" s="274" t="s">
        <v>533</v>
      </c>
      <c r="C64" s="274" t="s">
        <v>453</v>
      </c>
      <c r="D64" s="208" t="s">
        <v>454</v>
      </c>
      <c r="E64" s="208" t="s">
        <v>534</v>
      </c>
      <c r="F64" s="208" t="s">
        <v>27</v>
      </c>
      <c r="G64" s="208" t="s">
        <v>364</v>
      </c>
      <c r="H64" s="275">
        <v>43.42</v>
      </c>
    </row>
    <row r="65" spans="1:8" ht="12.75" customHeight="1" x14ac:dyDescent="0.2">
      <c r="A65" s="273">
        <v>2025</v>
      </c>
      <c r="B65" s="274" t="s">
        <v>533</v>
      </c>
      <c r="C65" s="274" t="s">
        <v>435</v>
      </c>
      <c r="D65" s="208" t="s">
        <v>436</v>
      </c>
      <c r="E65" s="208" t="s">
        <v>535</v>
      </c>
      <c r="F65" s="208" t="s">
        <v>27</v>
      </c>
      <c r="G65" s="208" t="s">
        <v>364</v>
      </c>
      <c r="H65" s="275">
        <v>425</v>
      </c>
    </row>
    <row r="66" spans="1:8" ht="12.75" customHeight="1" x14ac:dyDescent="0.2">
      <c r="A66" s="273">
        <v>2025</v>
      </c>
      <c r="B66" s="274" t="s">
        <v>536</v>
      </c>
      <c r="C66" s="274" t="s">
        <v>430</v>
      </c>
      <c r="D66" s="208" t="s">
        <v>431</v>
      </c>
      <c r="E66" s="208" t="s">
        <v>537</v>
      </c>
      <c r="F66" s="208" t="s">
        <v>27</v>
      </c>
      <c r="G66" s="208" t="s">
        <v>364</v>
      </c>
      <c r="H66" s="275">
        <v>49.12</v>
      </c>
    </row>
    <row r="67" spans="1:8" ht="12.75" customHeight="1" x14ac:dyDescent="0.2">
      <c r="A67" s="273">
        <v>2025</v>
      </c>
      <c r="B67" s="274" t="s">
        <v>538</v>
      </c>
      <c r="C67" s="274" t="s">
        <v>435</v>
      </c>
      <c r="D67" s="208" t="s">
        <v>436</v>
      </c>
      <c r="E67" s="208" t="s">
        <v>539</v>
      </c>
      <c r="F67" s="208" t="s">
        <v>27</v>
      </c>
      <c r="G67" s="208" t="s">
        <v>364</v>
      </c>
      <c r="H67" s="275">
        <v>414</v>
      </c>
    </row>
    <row r="68" spans="1:8" ht="12.75" customHeight="1" x14ac:dyDescent="0.2">
      <c r="A68" s="273">
        <v>2025</v>
      </c>
      <c r="B68" s="274" t="s">
        <v>540</v>
      </c>
      <c r="C68" s="274" t="s">
        <v>430</v>
      </c>
      <c r="D68" s="208" t="s">
        <v>431</v>
      </c>
      <c r="E68" s="208" t="s">
        <v>541</v>
      </c>
      <c r="F68" s="208" t="s">
        <v>27</v>
      </c>
      <c r="G68" s="208" t="s">
        <v>364</v>
      </c>
      <c r="H68" s="275">
        <v>67.12</v>
      </c>
    </row>
    <row r="69" spans="1:8" ht="12.75" customHeight="1" x14ac:dyDescent="0.2">
      <c r="A69" s="273">
        <v>2025</v>
      </c>
      <c r="B69" s="274" t="s">
        <v>542</v>
      </c>
      <c r="C69" s="274" t="s">
        <v>438</v>
      </c>
      <c r="D69" s="208" t="s">
        <v>439</v>
      </c>
      <c r="E69" s="208" t="s">
        <v>543</v>
      </c>
      <c r="F69" s="208" t="s">
        <v>27</v>
      </c>
      <c r="G69" s="208" t="s">
        <v>364</v>
      </c>
      <c r="H69" s="275">
        <v>26.64</v>
      </c>
    </row>
    <row r="70" spans="1:8" ht="12.75" customHeight="1" x14ac:dyDescent="0.2">
      <c r="A70" s="273">
        <v>2025</v>
      </c>
      <c r="B70" s="274" t="s">
        <v>544</v>
      </c>
      <c r="C70" s="274" t="s">
        <v>435</v>
      </c>
      <c r="D70" s="208" t="s">
        <v>436</v>
      </c>
      <c r="E70" s="208" t="s">
        <v>545</v>
      </c>
      <c r="F70" s="208" t="s">
        <v>27</v>
      </c>
      <c r="G70" s="208" t="s">
        <v>364</v>
      </c>
      <c r="H70" s="275">
        <v>17.07</v>
      </c>
    </row>
    <row r="71" spans="1:8" ht="12.75" customHeight="1" x14ac:dyDescent="0.2">
      <c r="A71" s="273">
        <v>2025</v>
      </c>
      <c r="B71" s="274" t="s">
        <v>544</v>
      </c>
      <c r="C71" s="274" t="s">
        <v>435</v>
      </c>
      <c r="D71" s="208" t="s">
        <v>436</v>
      </c>
      <c r="E71" s="208" t="s">
        <v>546</v>
      </c>
      <c r="F71" s="208" t="s">
        <v>27</v>
      </c>
      <c r="G71" s="208" t="s">
        <v>364</v>
      </c>
      <c r="H71" s="275">
        <v>58.77</v>
      </c>
    </row>
    <row r="72" spans="1:8" ht="12.75" customHeight="1" x14ac:dyDescent="0.2">
      <c r="A72" s="273">
        <v>2025</v>
      </c>
      <c r="B72" s="274" t="s">
        <v>547</v>
      </c>
      <c r="C72" s="274" t="s">
        <v>453</v>
      </c>
      <c r="D72" s="208" t="s">
        <v>454</v>
      </c>
      <c r="E72" s="208" t="s">
        <v>548</v>
      </c>
      <c r="F72" s="208" t="s">
        <v>27</v>
      </c>
      <c r="G72" s="208" t="s">
        <v>364</v>
      </c>
      <c r="H72" s="275">
        <v>41.48</v>
      </c>
    </row>
    <row r="73" spans="1:8" ht="12.75" customHeight="1" x14ac:dyDescent="0.2">
      <c r="A73" s="273">
        <v>2025</v>
      </c>
      <c r="B73" s="274" t="s">
        <v>549</v>
      </c>
      <c r="C73" s="274" t="s">
        <v>430</v>
      </c>
      <c r="D73" s="208" t="s">
        <v>431</v>
      </c>
      <c r="E73" s="208" t="s">
        <v>550</v>
      </c>
      <c r="F73" s="208" t="s">
        <v>27</v>
      </c>
      <c r="G73" s="208" t="s">
        <v>364</v>
      </c>
      <c r="H73" s="275">
        <v>53.37</v>
      </c>
    </row>
    <row r="74" spans="1:8" ht="12.75" customHeight="1" x14ac:dyDescent="0.2">
      <c r="A74" s="273">
        <v>2025</v>
      </c>
      <c r="B74" s="274" t="s">
        <v>549</v>
      </c>
      <c r="C74" s="274" t="s">
        <v>430</v>
      </c>
      <c r="D74" s="208" t="s">
        <v>431</v>
      </c>
      <c r="E74" s="208" t="s">
        <v>432</v>
      </c>
      <c r="F74" s="208" t="s">
        <v>27</v>
      </c>
      <c r="G74" s="208" t="s">
        <v>364</v>
      </c>
      <c r="H74" s="275">
        <v>133.54</v>
      </c>
    </row>
    <row r="75" spans="1:8" ht="12.75" customHeight="1" x14ac:dyDescent="0.2">
      <c r="A75" s="273">
        <v>2025</v>
      </c>
      <c r="B75" s="274" t="s">
        <v>551</v>
      </c>
      <c r="C75" s="274" t="s">
        <v>430</v>
      </c>
      <c r="D75" s="208" t="s">
        <v>431</v>
      </c>
      <c r="E75" s="208" t="s">
        <v>552</v>
      </c>
      <c r="F75" s="208" t="s">
        <v>27</v>
      </c>
      <c r="G75" s="208" t="s">
        <v>364</v>
      </c>
      <c r="H75" s="275">
        <v>29.67</v>
      </c>
    </row>
    <row r="76" spans="1:8" ht="12.75" customHeight="1" x14ac:dyDescent="0.2">
      <c r="A76" s="273">
        <v>2025</v>
      </c>
      <c r="B76" s="274" t="s">
        <v>553</v>
      </c>
      <c r="C76" s="274" t="s">
        <v>438</v>
      </c>
      <c r="D76" s="208" t="s">
        <v>439</v>
      </c>
      <c r="E76" s="208" t="s">
        <v>554</v>
      </c>
      <c r="F76" s="208" t="s">
        <v>27</v>
      </c>
      <c r="G76" s="208" t="s">
        <v>364</v>
      </c>
      <c r="H76" s="275">
        <v>103.15</v>
      </c>
    </row>
    <row r="77" spans="1:8" ht="12.75" customHeight="1" x14ac:dyDescent="0.2">
      <c r="A77" s="273">
        <v>2025</v>
      </c>
      <c r="B77" s="274" t="s">
        <v>555</v>
      </c>
      <c r="C77" s="274" t="s">
        <v>438</v>
      </c>
      <c r="D77" s="208" t="s">
        <v>439</v>
      </c>
      <c r="E77" s="208" t="s">
        <v>556</v>
      </c>
      <c r="F77" s="208" t="s">
        <v>27</v>
      </c>
      <c r="G77" s="208" t="s">
        <v>364</v>
      </c>
      <c r="H77" s="275">
        <v>10</v>
      </c>
    </row>
    <row r="78" spans="1:8" ht="12.75" customHeight="1" x14ac:dyDescent="0.2">
      <c r="A78" s="273">
        <v>2025</v>
      </c>
      <c r="B78" s="274" t="s">
        <v>557</v>
      </c>
      <c r="C78" s="274" t="s">
        <v>435</v>
      </c>
      <c r="D78" s="208" t="s">
        <v>436</v>
      </c>
      <c r="E78" s="208" t="s">
        <v>558</v>
      </c>
      <c r="F78" s="208" t="s">
        <v>27</v>
      </c>
      <c r="G78" s="208" t="s">
        <v>364</v>
      </c>
      <c r="H78" s="275">
        <v>23.73</v>
      </c>
    </row>
    <row r="79" spans="1:8" ht="12.75" customHeight="1" x14ac:dyDescent="0.2">
      <c r="A79" s="273">
        <v>2025</v>
      </c>
      <c r="B79" s="274" t="s">
        <v>557</v>
      </c>
      <c r="C79" s="274" t="s">
        <v>435</v>
      </c>
      <c r="D79" s="208" t="s">
        <v>436</v>
      </c>
      <c r="E79" s="208" t="s">
        <v>559</v>
      </c>
      <c r="F79" s="208" t="s">
        <v>27</v>
      </c>
      <c r="G79" s="208" t="s">
        <v>364</v>
      </c>
      <c r="H79" s="275">
        <v>76.5</v>
      </c>
    </row>
    <row r="80" spans="1:8" ht="12.75" customHeight="1" x14ac:dyDescent="0.2">
      <c r="A80" s="273">
        <v>2025</v>
      </c>
      <c r="B80" s="274" t="s">
        <v>557</v>
      </c>
      <c r="C80" s="274" t="s">
        <v>435</v>
      </c>
      <c r="D80" s="208" t="s">
        <v>436</v>
      </c>
      <c r="E80" s="208" t="s">
        <v>560</v>
      </c>
      <c r="F80" s="208" t="s">
        <v>27</v>
      </c>
      <c r="G80" s="208" t="s">
        <v>364</v>
      </c>
      <c r="H80" s="275">
        <v>164.71</v>
      </c>
    </row>
    <row r="81" spans="1:8" ht="12.75" customHeight="1" x14ac:dyDescent="0.2">
      <c r="A81" s="273">
        <v>2025</v>
      </c>
      <c r="B81" s="274" t="s">
        <v>561</v>
      </c>
      <c r="C81" s="274" t="s">
        <v>453</v>
      </c>
      <c r="D81" s="208" t="s">
        <v>454</v>
      </c>
      <c r="E81" s="208" t="s">
        <v>562</v>
      </c>
      <c r="F81" s="208" t="s">
        <v>27</v>
      </c>
      <c r="G81" s="208" t="s">
        <v>364</v>
      </c>
      <c r="H81" s="275">
        <v>48.43</v>
      </c>
    </row>
    <row r="82" spans="1:8" ht="12.75" customHeight="1" x14ac:dyDescent="0.2">
      <c r="A82" s="273">
        <v>2025</v>
      </c>
      <c r="B82" s="274" t="s">
        <v>563</v>
      </c>
      <c r="C82" s="274" t="s">
        <v>430</v>
      </c>
      <c r="D82" s="208" t="s">
        <v>431</v>
      </c>
      <c r="E82" s="208" t="s">
        <v>564</v>
      </c>
      <c r="F82" s="208" t="s">
        <v>27</v>
      </c>
      <c r="G82" s="208" t="s">
        <v>364</v>
      </c>
      <c r="H82" s="275">
        <v>73.739999999999995</v>
      </c>
    </row>
    <row r="83" spans="1:8" ht="12.75" customHeight="1" x14ac:dyDescent="0.2">
      <c r="A83" s="273">
        <v>2025</v>
      </c>
      <c r="B83" s="274" t="s">
        <v>563</v>
      </c>
      <c r="C83" s="274" t="s">
        <v>430</v>
      </c>
      <c r="D83" s="208" t="s">
        <v>431</v>
      </c>
      <c r="E83" s="208" t="s">
        <v>432</v>
      </c>
      <c r="F83" s="208" t="s">
        <v>27</v>
      </c>
      <c r="G83" s="208" t="s">
        <v>364</v>
      </c>
      <c r="H83" s="275">
        <v>146.26</v>
      </c>
    </row>
    <row r="84" spans="1:8" ht="12.75" customHeight="1" x14ac:dyDescent="0.2">
      <c r="A84" s="273">
        <v>2025</v>
      </c>
      <c r="B84" s="274" t="s">
        <v>563</v>
      </c>
      <c r="C84" s="274" t="s">
        <v>438</v>
      </c>
      <c r="D84" s="208" t="s">
        <v>439</v>
      </c>
      <c r="E84" s="208" t="s">
        <v>565</v>
      </c>
      <c r="F84" s="208" t="s">
        <v>27</v>
      </c>
      <c r="G84" s="208" t="s">
        <v>364</v>
      </c>
      <c r="H84" s="275">
        <v>241</v>
      </c>
    </row>
    <row r="85" spans="1:8" ht="12.75" customHeight="1" x14ac:dyDescent="0.2">
      <c r="A85" s="273">
        <v>2025</v>
      </c>
      <c r="B85" s="274" t="s">
        <v>566</v>
      </c>
      <c r="C85" s="274" t="s">
        <v>435</v>
      </c>
      <c r="D85" s="208" t="s">
        <v>436</v>
      </c>
      <c r="E85" s="208" t="s">
        <v>567</v>
      </c>
      <c r="F85" s="208" t="s">
        <v>27</v>
      </c>
      <c r="G85" s="208" t="s">
        <v>364</v>
      </c>
      <c r="H85" s="275">
        <v>70.83</v>
      </c>
    </row>
    <row r="86" spans="1:8" ht="12.75" customHeight="1" x14ac:dyDescent="0.2">
      <c r="A86" s="273">
        <v>2025</v>
      </c>
      <c r="B86" s="274" t="s">
        <v>566</v>
      </c>
      <c r="C86" s="274" t="s">
        <v>435</v>
      </c>
      <c r="D86" s="208" t="s">
        <v>436</v>
      </c>
      <c r="E86" s="208" t="s">
        <v>568</v>
      </c>
      <c r="F86" s="208" t="s">
        <v>27</v>
      </c>
      <c r="G86" s="208" t="s">
        <v>364</v>
      </c>
      <c r="H86" s="275">
        <v>76.66</v>
      </c>
    </row>
    <row r="87" spans="1:8" ht="12.75" customHeight="1" x14ac:dyDescent="0.2">
      <c r="A87" s="273">
        <v>2025</v>
      </c>
      <c r="B87" s="274" t="s">
        <v>569</v>
      </c>
      <c r="C87" s="274" t="s">
        <v>453</v>
      </c>
      <c r="D87" s="208" t="s">
        <v>454</v>
      </c>
      <c r="E87" s="208" t="s">
        <v>570</v>
      </c>
      <c r="F87" s="208" t="s">
        <v>27</v>
      </c>
      <c r="G87" s="208" t="s">
        <v>364</v>
      </c>
      <c r="H87" s="275">
        <v>46.38</v>
      </c>
    </row>
    <row r="88" spans="1:8" ht="12.75" customHeight="1" x14ac:dyDescent="0.2">
      <c r="A88" s="273">
        <v>2025</v>
      </c>
      <c r="B88" s="274" t="s">
        <v>571</v>
      </c>
      <c r="C88" s="274" t="s">
        <v>430</v>
      </c>
      <c r="D88" s="208" t="s">
        <v>431</v>
      </c>
      <c r="E88" s="208" t="s">
        <v>572</v>
      </c>
      <c r="F88" s="208" t="s">
        <v>27</v>
      </c>
      <c r="G88" s="208" t="s">
        <v>364</v>
      </c>
      <c r="H88" s="275">
        <v>50.75</v>
      </c>
    </row>
    <row r="89" spans="1:8" ht="12.75" customHeight="1" x14ac:dyDescent="0.2">
      <c r="A89" s="273">
        <v>2025</v>
      </c>
      <c r="B89" s="274" t="s">
        <v>571</v>
      </c>
      <c r="C89" s="274" t="s">
        <v>430</v>
      </c>
      <c r="D89" s="208" t="s">
        <v>431</v>
      </c>
      <c r="E89" s="208" t="s">
        <v>432</v>
      </c>
      <c r="F89" s="208" t="s">
        <v>27</v>
      </c>
      <c r="G89" s="208" t="s">
        <v>364</v>
      </c>
      <c r="H89" s="275">
        <v>133.54</v>
      </c>
    </row>
    <row r="90" spans="1:8" ht="12.75" customHeight="1" x14ac:dyDescent="0.2">
      <c r="A90" s="273">
        <v>2025</v>
      </c>
      <c r="B90" s="274" t="s">
        <v>573</v>
      </c>
      <c r="C90" s="274" t="s">
        <v>438</v>
      </c>
      <c r="D90" s="208" t="s">
        <v>439</v>
      </c>
      <c r="E90" s="208" t="s">
        <v>574</v>
      </c>
      <c r="F90" s="208" t="s">
        <v>27</v>
      </c>
      <c r="G90" s="208" t="s">
        <v>364</v>
      </c>
      <c r="H90" s="275">
        <v>393.35</v>
      </c>
    </row>
    <row r="91" spans="1:8" ht="12.75" customHeight="1" x14ac:dyDescent="0.2">
      <c r="A91" s="273">
        <v>2025</v>
      </c>
      <c r="B91" s="274" t="s">
        <v>573</v>
      </c>
      <c r="C91" s="274" t="s">
        <v>438</v>
      </c>
      <c r="D91" s="208" t="s">
        <v>439</v>
      </c>
      <c r="E91" s="208" t="s">
        <v>575</v>
      </c>
      <c r="F91" s="208" t="s">
        <v>27</v>
      </c>
      <c r="G91" s="208" t="s">
        <v>364</v>
      </c>
      <c r="H91" s="275">
        <v>13.04</v>
      </c>
    </row>
    <row r="92" spans="1:8" ht="12.75" customHeight="1" x14ac:dyDescent="0.2">
      <c r="A92" s="273">
        <v>2025</v>
      </c>
      <c r="B92" s="274" t="s">
        <v>576</v>
      </c>
      <c r="C92" s="274" t="s">
        <v>507</v>
      </c>
      <c r="D92" s="208" t="s">
        <v>508</v>
      </c>
      <c r="E92" s="208" t="s">
        <v>577</v>
      </c>
      <c r="F92" s="208" t="s">
        <v>27</v>
      </c>
      <c r="G92" s="208" t="s">
        <v>364</v>
      </c>
      <c r="H92" s="275">
        <v>44.98</v>
      </c>
    </row>
    <row r="93" spans="1:8" ht="12.75" customHeight="1" x14ac:dyDescent="0.2">
      <c r="A93" s="273">
        <v>2025</v>
      </c>
      <c r="B93" s="274" t="s">
        <v>576</v>
      </c>
      <c r="C93" s="274" t="s">
        <v>438</v>
      </c>
      <c r="D93" s="208" t="s">
        <v>439</v>
      </c>
      <c r="E93" s="208" t="s">
        <v>578</v>
      </c>
      <c r="F93" s="208" t="s">
        <v>27</v>
      </c>
      <c r="G93" s="208" t="s">
        <v>364</v>
      </c>
      <c r="H93" s="275">
        <v>12.49</v>
      </c>
    </row>
    <row r="94" spans="1:8" ht="12.75" customHeight="1" x14ac:dyDescent="0.2">
      <c r="A94" s="273">
        <v>2025</v>
      </c>
      <c r="B94" s="274" t="s">
        <v>579</v>
      </c>
      <c r="C94" s="274" t="s">
        <v>453</v>
      </c>
      <c r="D94" s="208" t="s">
        <v>454</v>
      </c>
      <c r="E94" s="208" t="s">
        <v>580</v>
      </c>
      <c r="F94" s="208" t="s">
        <v>27</v>
      </c>
      <c r="G94" s="208" t="s">
        <v>364</v>
      </c>
      <c r="H94" s="275">
        <v>54.21</v>
      </c>
    </row>
    <row r="95" spans="1:8" ht="12.75" customHeight="1" x14ac:dyDescent="0.2">
      <c r="A95" s="273">
        <v>2025</v>
      </c>
      <c r="B95" s="274" t="s">
        <v>581</v>
      </c>
      <c r="C95" s="274" t="s">
        <v>430</v>
      </c>
      <c r="D95" s="208" t="s">
        <v>431</v>
      </c>
      <c r="E95" s="208" t="s">
        <v>529</v>
      </c>
      <c r="F95" s="208" t="s">
        <v>27</v>
      </c>
      <c r="G95" s="208" t="s">
        <v>364</v>
      </c>
      <c r="H95" s="275">
        <v>111.88</v>
      </c>
    </row>
    <row r="96" spans="1:8" ht="12.75" customHeight="1" x14ac:dyDescent="0.2">
      <c r="A96" s="273">
        <v>2025</v>
      </c>
      <c r="B96" s="274" t="s">
        <v>581</v>
      </c>
      <c r="C96" s="274" t="s">
        <v>430</v>
      </c>
      <c r="D96" s="208" t="s">
        <v>431</v>
      </c>
      <c r="E96" s="208" t="s">
        <v>432</v>
      </c>
      <c r="F96" s="208" t="s">
        <v>27</v>
      </c>
      <c r="G96" s="208" t="s">
        <v>364</v>
      </c>
      <c r="H96" s="275">
        <v>139.9</v>
      </c>
    </row>
    <row r="97" spans="1:8" ht="12.75" customHeight="1" x14ac:dyDescent="0.2">
      <c r="A97" s="273">
        <v>2025</v>
      </c>
      <c r="B97" s="274" t="s">
        <v>581</v>
      </c>
      <c r="C97" s="274" t="s">
        <v>438</v>
      </c>
      <c r="D97" s="208" t="s">
        <v>439</v>
      </c>
      <c r="E97" s="208" t="s">
        <v>582</v>
      </c>
      <c r="F97" s="208" t="s">
        <v>27</v>
      </c>
      <c r="G97" s="208" t="s">
        <v>364</v>
      </c>
      <c r="H97" s="275">
        <v>154.6</v>
      </c>
    </row>
    <row r="98" spans="1:8" ht="12.75" customHeight="1" x14ac:dyDescent="0.2">
      <c r="A98" s="273">
        <v>2025</v>
      </c>
      <c r="B98" s="274" t="s">
        <v>510</v>
      </c>
      <c r="C98" s="274" t="s">
        <v>583</v>
      </c>
      <c r="D98" s="208" t="s">
        <v>584</v>
      </c>
      <c r="E98" s="208" t="s">
        <v>585</v>
      </c>
      <c r="F98" s="208" t="s">
        <v>27</v>
      </c>
      <c r="G98" s="208" t="s">
        <v>47</v>
      </c>
      <c r="H98" s="275">
        <v>1570.44</v>
      </c>
    </row>
    <row r="99" spans="1:8" ht="12.75" customHeight="1" x14ac:dyDescent="0.2">
      <c r="A99" s="273">
        <v>2025</v>
      </c>
      <c r="B99" s="274" t="s">
        <v>510</v>
      </c>
      <c r="C99" s="274" t="s">
        <v>583</v>
      </c>
      <c r="D99" s="208" t="s">
        <v>584</v>
      </c>
      <c r="E99" s="208" t="s">
        <v>586</v>
      </c>
      <c r="F99" s="208" t="s">
        <v>27</v>
      </c>
      <c r="G99" s="208" t="s">
        <v>47</v>
      </c>
      <c r="H99" s="275">
        <v>1070.75</v>
      </c>
    </row>
    <row r="100" spans="1:8" ht="12.75" customHeight="1" x14ac:dyDescent="0.2">
      <c r="A100" s="273">
        <v>2025</v>
      </c>
      <c r="B100" s="274" t="s">
        <v>510</v>
      </c>
      <c r="C100" s="274" t="s">
        <v>587</v>
      </c>
      <c r="D100" s="208" t="s">
        <v>588</v>
      </c>
      <c r="E100" s="208" t="s">
        <v>589</v>
      </c>
      <c r="F100" s="208" t="s">
        <v>27</v>
      </c>
      <c r="G100" s="208" t="s">
        <v>47</v>
      </c>
      <c r="H100" s="275">
        <v>316.39</v>
      </c>
    </row>
    <row r="101" spans="1:8" ht="12.75" customHeight="1" x14ac:dyDescent="0.2">
      <c r="A101" s="273">
        <v>2025</v>
      </c>
      <c r="B101" s="274" t="s">
        <v>510</v>
      </c>
      <c r="C101" s="274" t="s">
        <v>587</v>
      </c>
      <c r="D101" s="208" t="s">
        <v>588</v>
      </c>
      <c r="E101" s="208" t="s">
        <v>590</v>
      </c>
      <c r="F101" s="208" t="s">
        <v>27</v>
      </c>
      <c r="G101" s="208" t="s">
        <v>47</v>
      </c>
      <c r="H101" s="275">
        <v>663.6</v>
      </c>
    </row>
    <row r="102" spans="1:8" ht="12.75" customHeight="1" x14ac:dyDescent="0.2">
      <c r="A102" s="273">
        <v>2025</v>
      </c>
      <c r="B102" s="274" t="s">
        <v>510</v>
      </c>
      <c r="C102" s="274" t="s">
        <v>587</v>
      </c>
      <c r="D102" s="208" t="s">
        <v>588</v>
      </c>
      <c r="E102" s="208" t="s">
        <v>591</v>
      </c>
      <c r="F102" s="208" t="s">
        <v>27</v>
      </c>
      <c r="G102" s="208" t="s">
        <v>47</v>
      </c>
      <c r="H102" s="275">
        <v>20.79</v>
      </c>
    </row>
    <row r="103" spans="1:8" ht="12.75" customHeight="1" x14ac:dyDescent="0.2">
      <c r="A103" s="273">
        <v>2025</v>
      </c>
      <c r="B103" s="274" t="s">
        <v>510</v>
      </c>
      <c r="C103" s="274" t="s">
        <v>587</v>
      </c>
      <c r="D103" s="208" t="s">
        <v>588</v>
      </c>
      <c r="E103" s="208" t="s">
        <v>592</v>
      </c>
      <c r="F103" s="208" t="s">
        <v>27</v>
      </c>
      <c r="G103" s="208" t="s">
        <v>47</v>
      </c>
      <c r="H103" s="275">
        <v>191.17</v>
      </c>
    </row>
    <row r="104" spans="1:8" ht="12.75" customHeight="1" x14ac:dyDescent="0.2">
      <c r="A104" s="273">
        <v>2025</v>
      </c>
      <c r="B104" s="274" t="s">
        <v>510</v>
      </c>
      <c r="C104" s="274" t="s">
        <v>587</v>
      </c>
      <c r="D104" s="208" t="s">
        <v>588</v>
      </c>
      <c r="E104" s="208" t="s">
        <v>593</v>
      </c>
      <c r="F104" s="208" t="s">
        <v>27</v>
      </c>
      <c r="G104" s="208" t="s">
        <v>47</v>
      </c>
      <c r="H104" s="275">
        <v>104.86</v>
      </c>
    </row>
    <row r="105" spans="1:8" ht="12.75" customHeight="1" x14ac:dyDescent="0.2">
      <c r="A105" s="273">
        <v>2025</v>
      </c>
      <c r="B105" s="274" t="s">
        <v>510</v>
      </c>
      <c r="C105" s="274" t="s">
        <v>587</v>
      </c>
      <c r="D105" s="208" t="s">
        <v>588</v>
      </c>
      <c r="E105" s="208" t="s">
        <v>594</v>
      </c>
      <c r="F105" s="208" t="s">
        <v>27</v>
      </c>
      <c r="G105" s="208" t="s">
        <v>47</v>
      </c>
      <c r="H105" s="275">
        <v>118.72</v>
      </c>
    </row>
    <row r="106" spans="1:8" ht="12.75" customHeight="1" x14ac:dyDescent="0.2">
      <c r="A106" s="273">
        <v>2025</v>
      </c>
      <c r="B106" s="274" t="s">
        <v>510</v>
      </c>
      <c r="C106" s="274" t="s">
        <v>587</v>
      </c>
      <c r="D106" s="208" t="s">
        <v>588</v>
      </c>
      <c r="E106" s="208" t="s">
        <v>595</v>
      </c>
      <c r="F106" s="208" t="s">
        <v>27</v>
      </c>
      <c r="G106" s="208" t="s">
        <v>47</v>
      </c>
      <c r="H106" s="275">
        <v>10.83</v>
      </c>
    </row>
    <row r="107" spans="1:8" ht="12.75" customHeight="1" x14ac:dyDescent="0.2">
      <c r="A107" s="273">
        <v>2025</v>
      </c>
      <c r="B107" s="274" t="s">
        <v>510</v>
      </c>
      <c r="C107" s="274" t="s">
        <v>587</v>
      </c>
      <c r="D107" s="208" t="s">
        <v>588</v>
      </c>
      <c r="E107" s="208" t="s">
        <v>596</v>
      </c>
      <c r="F107" s="208" t="s">
        <v>27</v>
      </c>
      <c r="G107" s="208" t="s">
        <v>47</v>
      </c>
      <c r="H107" s="275">
        <v>24.87</v>
      </c>
    </row>
    <row r="108" spans="1:8" ht="12.75" customHeight="1" x14ac:dyDescent="0.2">
      <c r="A108" s="273">
        <v>2025</v>
      </c>
      <c r="B108" s="274" t="s">
        <v>510</v>
      </c>
      <c r="C108" s="274" t="s">
        <v>587</v>
      </c>
      <c r="D108" s="208" t="s">
        <v>588</v>
      </c>
      <c r="E108" s="208" t="s">
        <v>597</v>
      </c>
      <c r="F108" s="208" t="s">
        <v>27</v>
      </c>
      <c r="G108" s="208" t="s">
        <v>47</v>
      </c>
      <c r="H108" s="275">
        <v>27.73</v>
      </c>
    </row>
    <row r="109" spans="1:8" ht="12.75" customHeight="1" x14ac:dyDescent="0.2">
      <c r="A109" s="273">
        <v>2025</v>
      </c>
      <c r="B109" s="274" t="s">
        <v>510</v>
      </c>
      <c r="C109" s="274" t="s">
        <v>587</v>
      </c>
      <c r="D109" s="208" t="s">
        <v>588</v>
      </c>
      <c r="E109" s="208" t="s">
        <v>598</v>
      </c>
      <c r="F109" s="208" t="s">
        <v>27</v>
      </c>
      <c r="G109" s="208" t="s">
        <v>47</v>
      </c>
      <c r="H109" s="275">
        <v>13.65</v>
      </c>
    </row>
    <row r="110" spans="1:8" ht="12.75" customHeight="1" x14ac:dyDescent="0.2">
      <c r="A110" s="273">
        <v>2025</v>
      </c>
      <c r="B110" s="274" t="s">
        <v>510</v>
      </c>
      <c r="C110" s="274" t="s">
        <v>587</v>
      </c>
      <c r="D110" s="208" t="s">
        <v>588</v>
      </c>
      <c r="E110" s="208" t="s">
        <v>599</v>
      </c>
      <c r="F110" s="208" t="s">
        <v>27</v>
      </c>
      <c r="G110" s="208" t="s">
        <v>47</v>
      </c>
      <c r="H110" s="275">
        <v>14.58</v>
      </c>
    </row>
    <row r="111" spans="1:8" ht="12.75" customHeight="1" x14ac:dyDescent="0.2">
      <c r="A111" s="273">
        <v>2025</v>
      </c>
      <c r="B111" s="274" t="s">
        <v>510</v>
      </c>
      <c r="C111" s="274" t="s">
        <v>587</v>
      </c>
      <c r="D111" s="208" t="s">
        <v>588</v>
      </c>
      <c r="E111" s="208" t="s">
        <v>600</v>
      </c>
      <c r="F111" s="208" t="s">
        <v>27</v>
      </c>
      <c r="G111" s="208" t="s">
        <v>47</v>
      </c>
      <c r="H111" s="275">
        <v>30.57</v>
      </c>
    </row>
    <row r="112" spans="1:8" ht="12.75" customHeight="1" x14ac:dyDescent="0.2">
      <c r="A112" s="273">
        <v>2025</v>
      </c>
      <c r="B112" s="274" t="s">
        <v>510</v>
      </c>
      <c r="C112" s="274" t="s">
        <v>587</v>
      </c>
      <c r="D112" s="208" t="s">
        <v>588</v>
      </c>
      <c r="E112" s="208" t="s">
        <v>597</v>
      </c>
      <c r="F112" s="208" t="s">
        <v>27</v>
      </c>
      <c r="G112" s="208" t="s">
        <v>47</v>
      </c>
      <c r="H112" s="275">
        <v>23.99</v>
      </c>
    </row>
    <row r="113" spans="1:8" ht="12.75" customHeight="1" x14ac:dyDescent="0.2">
      <c r="A113" s="273">
        <v>2025</v>
      </c>
      <c r="B113" s="274" t="s">
        <v>510</v>
      </c>
      <c r="C113" s="274" t="s">
        <v>587</v>
      </c>
      <c r="D113" s="208" t="s">
        <v>588</v>
      </c>
      <c r="E113" s="208" t="s">
        <v>601</v>
      </c>
      <c r="F113" s="208" t="s">
        <v>27</v>
      </c>
      <c r="G113" s="208" t="s">
        <v>47</v>
      </c>
      <c r="H113" s="275">
        <v>33.18</v>
      </c>
    </row>
    <row r="114" spans="1:8" ht="12.75" customHeight="1" x14ac:dyDescent="0.2">
      <c r="A114" s="273">
        <v>2025</v>
      </c>
      <c r="B114" s="274" t="s">
        <v>510</v>
      </c>
      <c r="C114" s="274" t="s">
        <v>587</v>
      </c>
      <c r="D114" s="208" t="s">
        <v>588</v>
      </c>
      <c r="E114" s="208" t="s">
        <v>601</v>
      </c>
      <c r="F114" s="208" t="s">
        <v>27</v>
      </c>
      <c r="G114" s="208" t="s">
        <v>47</v>
      </c>
      <c r="H114" s="275">
        <v>33.44</v>
      </c>
    </row>
    <row r="115" spans="1:8" ht="12.75" customHeight="1" x14ac:dyDescent="0.2">
      <c r="A115" s="273">
        <v>2025</v>
      </c>
      <c r="B115" s="274" t="s">
        <v>510</v>
      </c>
      <c r="C115" s="274" t="s">
        <v>587</v>
      </c>
      <c r="D115" s="208" t="s">
        <v>588</v>
      </c>
      <c r="E115" s="208" t="s">
        <v>602</v>
      </c>
      <c r="F115" s="208" t="s">
        <v>27</v>
      </c>
      <c r="G115" s="208" t="s">
        <v>47</v>
      </c>
      <c r="H115" s="275">
        <v>219.97</v>
      </c>
    </row>
    <row r="116" spans="1:8" ht="12.75" customHeight="1" x14ac:dyDescent="0.2">
      <c r="A116" s="273">
        <v>2025</v>
      </c>
      <c r="B116" s="274" t="s">
        <v>510</v>
      </c>
      <c r="C116" s="274" t="s">
        <v>587</v>
      </c>
      <c r="D116" s="208" t="s">
        <v>588</v>
      </c>
      <c r="E116" s="208" t="s">
        <v>603</v>
      </c>
      <c r="F116" s="208" t="s">
        <v>27</v>
      </c>
      <c r="G116" s="208" t="s">
        <v>47</v>
      </c>
      <c r="H116" s="275">
        <v>14.47</v>
      </c>
    </row>
    <row r="117" spans="1:8" ht="12.75" customHeight="1" x14ac:dyDescent="0.2">
      <c r="A117" s="273">
        <v>2025</v>
      </c>
      <c r="B117" s="274" t="s">
        <v>510</v>
      </c>
      <c r="C117" s="274" t="s">
        <v>604</v>
      </c>
      <c r="D117" s="208" t="s">
        <v>605</v>
      </c>
      <c r="E117" s="208" t="s">
        <v>606</v>
      </c>
      <c r="F117" s="208" t="s">
        <v>27</v>
      </c>
      <c r="G117" s="208" t="s">
        <v>47</v>
      </c>
      <c r="H117" s="275">
        <v>559.79999999999995</v>
      </c>
    </row>
    <row r="118" spans="1:8" ht="12.75" customHeight="1" x14ac:dyDescent="0.2">
      <c r="A118" s="273">
        <v>2025</v>
      </c>
      <c r="B118" s="274" t="s">
        <v>510</v>
      </c>
      <c r="C118" s="274" t="s">
        <v>604</v>
      </c>
      <c r="D118" s="208" t="s">
        <v>605</v>
      </c>
      <c r="E118" s="208" t="s">
        <v>607</v>
      </c>
      <c r="F118" s="208" t="s">
        <v>27</v>
      </c>
      <c r="G118" s="208" t="s">
        <v>47</v>
      </c>
      <c r="H118" s="275">
        <v>188.58</v>
      </c>
    </row>
    <row r="119" spans="1:8" ht="12.75" customHeight="1" x14ac:dyDescent="0.2">
      <c r="A119" s="273">
        <v>2025</v>
      </c>
      <c r="B119" s="274" t="s">
        <v>512</v>
      </c>
      <c r="C119" s="274" t="s">
        <v>583</v>
      </c>
      <c r="D119" s="208" t="s">
        <v>584</v>
      </c>
      <c r="E119" s="208" t="s">
        <v>608</v>
      </c>
      <c r="F119" s="208" t="s">
        <v>27</v>
      </c>
      <c r="G119" s="208" t="s">
        <v>47</v>
      </c>
      <c r="H119" s="276">
        <v>-1570.44</v>
      </c>
    </row>
    <row r="120" spans="1:8" ht="12.75" customHeight="1" x14ac:dyDescent="0.2">
      <c r="A120" s="273">
        <v>2025</v>
      </c>
      <c r="B120" s="274" t="s">
        <v>512</v>
      </c>
      <c r="C120" s="274" t="s">
        <v>583</v>
      </c>
      <c r="D120" s="208" t="s">
        <v>584</v>
      </c>
      <c r="E120" s="208" t="s">
        <v>609</v>
      </c>
      <c r="F120" s="208" t="s">
        <v>27</v>
      </c>
      <c r="G120" s="208" t="s">
        <v>47</v>
      </c>
      <c r="H120" s="276">
        <v>-1070.75</v>
      </c>
    </row>
    <row r="121" spans="1:8" ht="12.75" customHeight="1" x14ac:dyDescent="0.2">
      <c r="A121" s="273">
        <v>2025</v>
      </c>
      <c r="B121" s="274" t="s">
        <v>512</v>
      </c>
      <c r="C121" s="274" t="s">
        <v>587</v>
      </c>
      <c r="D121" s="208" t="s">
        <v>588</v>
      </c>
      <c r="E121" s="208" t="s">
        <v>610</v>
      </c>
      <c r="F121" s="208" t="s">
        <v>27</v>
      </c>
      <c r="G121" s="208" t="s">
        <v>47</v>
      </c>
      <c r="H121" s="276">
        <v>-104.86</v>
      </c>
    </row>
    <row r="122" spans="1:8" ht="12.75" customHeight="1" x14ac:dyDescent="0.2">
      <c r="A122" s="273">
        <v>2025</v>
      </c>
      <c r="B122" s="274" t="s">
        <v>512</v>
      </c>
      <c r="C122" s="274" t="s">
        <v>587</v>
      </c>
      <c r="D122" s="208" t="s">
        <v>588</v>
      </c>
      <c r="E122" s="208" t="s">
        <v>611</v>
      </c>
      <c r="F122" s="208" t="s">
        <v>27</v>
      </c>
      <c r="G122" s="208" t="s">
        <v>47</v>
      </c>
      <c r="H122" s="276">
        <v>-23.99</v>
      </c>
    </row>
    <row r="123" spans="1:8" ht="12.75" customHeight="1" x14ac:dyDescent="0.2">
      <c r="A123" s="273">
        <v>2025</v>
      </c>
      <c r="B123" s="274" t="s">
        <v>512</v>
      </c>
      <c r="C123" s="274" t="s">
        <v>587</v>
      </c>
      <c r="D123" s="208" t="s">
        <v>588</v>
      </c>
      <c r="E123" s="208" t="s">
        <v>612</v>
      </c>
      <c r="F123" s="208" t="s">
        <v>27</v>
      </c>
      <c r="G123" s="208" t="s">
        <v>47</v>
      </c>
      <c r="H123" s="276">
        <v>-191.17</v>
      </c>
    </row>
    <row r="124" spans="1:8" ht="12.75" customHeight="1" x14ac:dyDescent="0.2">
      <c r="A124" s="273">
        <v>2025</v>
      </c>
      <c r="B124" s="274" t="s">
        <v>512</v>
      </c>
      <c r="C124" s="274" t="s">
        <v>587</v>
      </c>
      <c r="D124" s="208" t="s">
        <v>588</v>
      </c>
      <c r="E124" s="208" t="s">
        <v>611</v>
      </c>
      <c r="F124" s="208" t="s">
        <v>27</v>
      </c>
      <c r="G124" s="208" t="s">
        <v>47</v>
      </c>
      <c r="H124" s="276">
        <v>-27.73</v>
      </c>
    </row>
    <row r="125" spans="1:8" ht="12.75" customHeight="1" x14ac:dyDescent="0.2">
      <c r="A125" s="273">
        <v>2025</v>
      </c>
      <c r="B125" s="274" t="s">
        <v>512</v>
      </c>
      <c r="C125" s="274" t="s">
        <v>587</v>
      </c>
      <c r="D125" s="208" t="s">
        <v>588</v>
      </c>
      <c r="E125" s="208" t="s">
        <v>613</v>
      </c>
      <c r="F125" s="208" t="s">
        <v>27</v>
      </c>
      <c r="G125" s="208" t="s">
        <v>47</v>
      </c>
      <c r="H125" s="276">
        <v>-14.58</v>
      </c>
    </row>
    <row r="126" spans="1:8" ht="12.75" customHeight="1" x14ac:dyDescent="0.2">
      <c r="A126" s="273">
        <v>2025</v>
      </c>
      <c r="B126" s="274" t="s">
        <v>512</v>
      </c>
      <c r="C126" s="274" t="s">
        <v>587</v>
      </c>
      <c r="D126" s="208" t="s">
        <v>588</v>
      </c>
      <c r="E126" s="208" t="s">
        <v>614</v>
      </c>
      <c r="F126" s="208" t="s">
        <v>27</v>
      </c>
      <c r="G126" s="208" t="s">
        <v>47</v>
      </c>
      <c r="H126" s="276">
        <v>-30.57</v>
      </c>
    </row>
    <row r="127" spans="1:8" ht="12.75" customHeight="1" x14ac:dyDescent="0.2">
      <c r="A127" s="273">
        <v>2025</v>
      </c>
      <c r="B127" s="274" t="s">
        <v>512</v>
      </c>
      <c r="C127" s="274" t="s">
        <v>587</v>
      </c>
      <c r="D127" s="208" t="s">
        <v>588</v>
      </c>
      <c r="E127" s="208" t="s">
        <v>615</v>
      </c>
      <c r="F127" s="208" t="s">
        <v>27</v>
      </c>
      <c r="G127" s="208" t="s">
        <v>47</v>
      </c>
      <c r="H127" s="276">
        <v>-20.79</v>
      </c>
    </row>
    <row r="128" spans="1:8" ht="12.75" customHeight="1" x14ac:dyDescent="0.2">
      <c r="A128" s="273">
        <v>2025</v>
      </c>
      <c r="B128" s="274" t="s">
        <v>512</v>
      </c>
      <c r="C128" s="274" t="s">
        <v>587</v>
      </c>
      <c r="D128" s="208" t="s">
        <v>588</v>
      </c>
      <c r="E128" s="208" t="s">
        <v>616</v>
      </c>
      <c r="F128" s="208" t="s">
        <v>27</v>
      </c>
      <c r="G128" s="208" t="s">
        <v>47</v>
      </c>
      <c r="H128" s="276">
        <v>-118.72</v>
      </c>
    </row>
    <row r="129" spans="1:8" ht="12.75" customHeight="1" x14ac:dyDescent="0.2">
      <c r="A129" s="273">
        <v>2025</v>
      </c>
      <c r="B129" s="274" t="s">
        <v>512</v>
      </c>
      <c r="C129" s="274" t="s">
        <v>587</v>
      </c>
      <c r="D129" s="208" t="s">
        <v>588</v>
      </c>
      <c r="E129" s="208" t="s">
        <v>617</v>
      </c>
      <c r="F129" s="208" t="s">
        <v>27</v>
      </c>
      <c r="G129" s="208" t="s">
        <v>47</v>
      </c>
      <c r="H129" s="276">
        <v>-33.18</v>
      </c>
    </row>
    <row r="130" spans="1:8" ht="12.75" customHeight="1" x14ac:dyDescent="0.2">
      <c r="A130" s="273">
        <v>2025</v>
      </c>
      <c r="B130" s="274" t="s">
        <v>512</v>
      </c>
      <c r="C130" s="274" t="s">
        <v>587</v>
      </c>
      <c r="D130" s="208" t="s">
        <v>588</v>
      </c>
      <c r="E130" s="208" t="s">
        <v>617</v>
      </c>
      <c r="F130" s="208" t="s">
        <v>27</v>
      </c>
      <c r="G130" s="208" t="s">
        <v>47</v>
      </c>
      <c r="H130" s="276">
        <v>-33.44</v>
      </c>
    </row>
    <row r="131" spans="1:8" ht="12.75" customHeight="1" x14ac:dyDescent="0.2">
      <c r="A131" s="273">
        <v>2025</v>
      </c>
      <c r="B131" s="274" t="s">
        <v>512</v>
      </c>
      <c r="C131" s="274" t="s">
        <v>587</v>
      </c>
      <c r="D131" s="208" t="s">
        <v>588</v>
      </c>
      <c r="E131" s="208" t="s">
        <v>618</v>
      </c>
      <c r="F131" s="208" t="s">
        <v>27</v>
      </c>
      <c r="G131" s="208" t="s">
        <v>47</v>
      </c>
      <c r="H131" s="276">
        <v>-316.39</v>
      </c>
    </row>
    <row r="132" spans="1:8" ht="12.75" customHeight="1" x14ac:dyDescent="0.2">
      <c r="A132" s="273">
        <v>2025</v>
      </c>
      <c r="B132" s="274" t="s">
        <v>512</v>
      </c>
      <c r="C132" s="274" t="s">
        <v>587</v>
      </c>
      <c r="D132" s="208" t="s">
        <v>588</v>
      </c>
      <c r="E132" s="208" t="s">
        <v>619</v>
      </c>
      <c r="F132" s="208" t="s">
        <v>27</v>
      </c>
      <c r="G132" s="208" t="s">
        <v>47</v>
      </c>
      <c r="H132" s="276">
        <v>-663.6</v>
      </c>
    </row>
    <row r="133" spans="1:8" ht="12.75" customHeight="1" x14ac:dyDescent="0.2">
      <c r="A133" s="273">
        <v>2025</v>
      </c>
      <c r="B133" s="274" t="s">
        <v>512</v>
      </c>
      <c r="C133" s="274" t="s">
        <v>587</v>
      </c>
      <c r="D133" s="208" t="s">
        <v>588</v>
      </c>
      <c r="E133" s="208" t="s">
        <v>620</v>
      </c>
      <c r="F133" s="208" t="s">
        <v>27</v>
      </c>
      <c r="G133" s="208" t="s">
        <v>47</v>
      </c>
      <c r="H133" s="276">
        <v>-10.83</v>
      </c>
    </row>
    <row r="134" spans="1:8" ht="12.75" customHeight="1" x14ac:dyDescent="0.2">
      <c r="A134" s="273">
        <v>2025</v>
      </c>
      <c r="B134" s="274" t="s">
        <v>512</v>
      </c>
      <c r="C134" s="274" t="s">
        <v>587</v>
      </c>
      <c r="D134" s="208" t="s">
        <v>588</v>
      </c>
      <c r="E134" s="208" t="s">
        <v>621</v>
      </c>
      <c r="F134" s="208" t="s">
        <v>27</v>
      </c>
      <c r="G134" s="208" t="s">
        <v>47</v>
      </c>
      <c r="H134" s="276">
        <v>-24.87</v>
      </c>
    </row>
    <row r="135" spans="1:8" ht="12.75" customHeight="1" x14ac:dyDescent="0.2">
      <c r="A135" s="273">
        <v>2025</v>
      </c>
      <c r="B135" s="274" t="s">
        <v>512</v>
      </c>
      <c r="C135" s="274" t="s">
        <v>587</v>
      </c>
      <c r="D135" s="208" t="s">
        <v>588</v>
      </c>
      <c r="E135" s="208" t="s">
        <v>622</v>
      </c>
      <c r="F135" s="208" t="s">
        <v>27</v>
      </c>
      <c r="G135" s="208" t="s">
        <v>47</v>
      </c>
      <c r="H135" s="276">
        <v>-13.65</v>
      </c>
    </row>
    <row r="136" spans="1:8" ht="12.75" customHeight="1" x14ac:dyDescent="0.2">
      <c r="A136" s="273">
        <v>2025</v>
      </c>
      <c r="B136" s="274" t="s">
        <v>512</v>
      </c>
      <c r="C136" s="274" t="s">
        <v>587</v>
      </c>
      <c r="D136" s="208" t="s">
        <v>588</v>
      </c>
      <c r="E136" s="208" t="s">
        <v>623</v>
      </c>
      <c r="F136" s="208" t="s">
        <v>27</v>
      </c>
      <c r="G136" s="208" t="s">
        <v>47</v>
      </c>
      <c r="H136" s="276">
        <v>-219.97</v>
      </c>
    </row>
    <row r="137" spans="1:8" ht="12.75" customHeight="1" x14ac:dyDescent="0.2">
      <c r="A137" s="273">
        <v>2025</v>
      </c>
      <c r="B137" s="274" t="s">
        <v>512</v>
      </c>
      <c r="C137" s="274" t="s">
        <v>587</v>
      </c>
      <c r="D137" s="208" t="s">
        <v>588</v>
      </c>
      <c r="E137" s="208" t="s">
        <v>624</v>
      </c>
      <c r="F137" s="208" t="s">
        <v>27</v>
      </c>
      <c r="G137" s="208" t="s">
        <v>47</v>
      </c>
      <c r="H137" s="276">
        <v>-14.47</v>
      </c>
    </row>
    <row r="138" spans="1:8" ht="12.75" customHeight="1" x14ac:dyDescent="0.2">
      <c r="A138" s="273">
        <v>2025</v>
      </c>
      <c r="B138" s="274" t="s">
        <v>512</v>
      </c>
      <c r="C138" s="274" t="s">
        <v>604</v>
      </c>
      <c r="D138" s="208" t="s">
        <v>605</v>
      </c>
      <c r="E138" s="208" t="s">
        <v>625</v>
      </c>
      <c r="F138" s="208" t="s">
        <v>27</v>
      </c>
      <c r="G138" s="208" t="s">
        <v>47</v>
      </c>
      <c r="H138" s="276">
        <v>-559.79999999999995</v>
      </c>
    </row>
    <row r="139" spans="1:8" ht="12.75" customHeight="1" x14ac:dyDescent="0.2">
      <c r="A139" s="273">
        <v>2025</v>
      </c>
      <c r="B139" s="274" t="s">
        <v>512</v>
      </c>
      <c r="C139" s="274" t="s">
        <v>604</v>
      </c>
      <c r="D139" s="208" t="s">
        <v>605</v>
      </c>
      <c r="E139" s="208" t="s">
        <v>626</v>
      </c>
      <c r="F139" s="208" t="s">
        <v>27</v>
      </c>
      <c r="G139" s="208" t="s">
        <v>47</v>
      </c>
      <c r="H139" s="276">
        <v>-188.58</v>
      </c>
    </row>
    <row r="140" spans="1:8" ht="12.75" customHeight="1" x14ac:dyDescent="0.2">
      <c r="A140" s="273">
        <v>2025</v>
      </c>
      <c r="B140" s="274" t="s">
        <v>581</v>
      </c>
      <c r="C140" s="274" t="s">
        <v>583</v>
      </c>
      <c r="D140" s="208" t="s">
        <v>584</v>
      </c>
      <c r="E140" s="208" t="s">
        <v>627</v>
      </c>
      <c r="F140" s="208" t="s">
        <v>27</v>
      </c>
      <c r="G140" s="208" t="s">
        <v>47</v>
      </c>
      <c r="H140" s="275">
        <v>3140.87</v>
      </c>
    </row>
    <row r="141" spans="1:8" ht="12.75" customHeight="1" x14ac:dyDescent="0.2">
      <c r="A141" s="273">
        <v>2025</v>
      </c>
      <c r="B141" s="274" t="s">
        <v>581</v>
      </c>
      <c r="C141" s="274" t="s">
        <v>583</v>
      </c>
      <c r="D141" s="208" t="s">
        <v>584</v>
      </c>
      <c r="E141" s="208" t="s">
        <v>628</v>
      </c>
      <c r="F141" s="208" t="s">
        <v>27</v>
      </c>
      <c r="G141" s="208" t="s">
        <v>47</v>
      </c>
      <c r="H141" s="275">
        <v>2141.5</v>
      </c>
    </row>
    <row r="142" spans="1:8" ht="12.75" customHeight="1" x14ac:dyDescent="0.2">
      <c r="A142" s="273">
        <v>2025</v>
      </c>
      <c r="B142" s="274" t="s">
        <v>581</v>
      </c>
      <c r="C142" s="274" t="s">
        <v>587</v>
      </c>
      <c r="D142" s="208" t="s">
        <v>588</v>
      </c>
      <c r="E142" s="208" t="s">
        <v>629</v>
      </c>
      <c r="F142" s="208" t="s">
        <v>27</v>
      </c>
      <c r="G142" s="208" t="s">
        <v>47</v>
      </c>
      <c r="H142" s="275">
        <v>448.22</v>
      </c>
    </row>
    <row r="143" spans="1:8" ht="12.75" customHeight="1" x14ac:dyDescent="0.2">
      <c r="A143" s="273">
        <v>2025</v>
      </c>
      <c r="B143" s="274" t="s">
        <v>581</v>
      </c>
      <c r="C143" s="274" t="s">
        <v>587</v>
      </c>
      <c r="D143" s="208" t="s">
        <v>588</v>
      </c>
      <c r="E143" s="208" t="s">
        <v>630</v>
      </c>
      <c r="F143" s="208" t="s">
        <v>27</v>
      </c>
      <c r="G143" s="208" t="s">
        <v>47</v>
      </c>
      <c r="H143" s="275">
        <v>1327.2</v>
      </c>
    </row>
    <row r="144" spans="1:8" ht="12.75" customHeight="1" x14ac:dyDescent="0.2">
      <c r="A144" s="273">
        <v>2025</v>
      </c>
      <c r="B144" s="274" t="s">
        <v>581</v>
      </c>
      <c r="C144" s="274" t="s">
        <v>587</v>
      </c>
      <c r="D144" s="208" t="s">
        <v>588</v>
      </c>
      <c r="E144" s="208" t="s">
        <v>631</v>
      </c>
      <c r="F144" s="208" t="s">
        <v>27</v>
      </c>
      <c r="G144" s="208" t="s">
        <v>47</v>
      </c>
      <c r="H144" s="275">
        <v>20.8</v>
      </c>
    </row>
    <row r="145" spans="1:8" ht="12.75" customHeight="1" x14ac:dyDescent="0.2">
      <c r="A145" s="273">
        <v>2025</v>
      </c>
      <c r="B145" s="274" t="s">
        <v>581</v>
      </c>
      <c r="C145" s="274" t="s">
        <v>587</v>
      </c>
      <c r="D145" s="208" t="s">
        <v>588</v>
      </c>
      <c r="E145" s="208" t="s">
        <v>632</v>
      </c>
      <c r="F145" s="208" t="s">
        <v>27</v>
      </c>
      <c r="G145" s="208" t="s">
        <v>47</v>
      </c>
      <c r="H145" s="275">
        <v>382.34</v>
      </c>
    </row>
    <row r="146" spans="1:8" ht="12.75" customHeight="1" x14ac:dyDescent="0.2">
      <c r="A146" s="273">
        <v>2025</v>
      </c>
      <c r="B146" s="274" t="s">
        <v>581</v>
      </c>
      <c r="C146" s="274" t="s">
        <v>587</v>
      </c>
      <c r="D146" s="208" t="s">
        <v>588</v>
      </c>
      <c r="E146" s="208" t="s">
        <v>633</v>
      </c>
      <c r="F146" s="208" t="s">
        <v>27</v>
      </c>
      <c r="G146" s="208" t="s">
        <v>47</v>
      </c>
      <c r="H146" s="275">
        <v>209.72</v>
      </c>
    </row>
    <row r="147" spans="1:8" ht="12.75" customHeight="1" x14ac:dyDescent="0.2">
      <c r="A147" s="273">
        <v>2025</v>
      </c>
      <c r="B147" s="274" t="s">
        <v>581</v>
      </c>
      <c r="C147" s="274" t="s">
        <v>587</v>
      </c>
      <c r="D147" s="208" t="s">
        <v>588</v>
      </c>
      <c r="E147" s="208" t="s">
        <v>634</v>
      </c>
      <c r="F147" s="208" t="s">
        <v>27</v>
      </c>
      <c r="G147" s="208" t="s">
        <v>47</v>
      </c>
      <c r="H147" s="275">
        <v>237.44</v>
      </c>
    </row>
    <row r="148" spans="1:8" ht="12.75" customHeight="1" x14ac:dyDescent="0.2">
      <c r="A148" s="273">
        <v>2025</v>
      </c>
      <c r="B148" s="274" t="s">
        <v>581</v>
      </c>
      <c r="C148" s="274" t="s">
        <v>587</v>
      </c>
      <c r="D148" s="208" t="s">
        <v>588</v>
      </c>
      <c r="E148" s="208" t="s">
        <v>635</v>
      </c>
      <c r="F148" s="208" t="s">
        <v>27</v>
      </c>
      <c r="G148" s="208" t="s">
        <v>47</v>
      </c>
      <c r="H148" s="275">
        <v>21.65</v>
      </c>
    </row>
    <row r="149" spans="1:8" ht="12.75" customHeight="1" x14ac:dyDescent="0.2">
      <c r="A149" s="273">
        <v>2025</v>
      </c>
      <c r="B149" s="274" t="s">
        <v>581</v>
      </c>
      <c r="C149" s="274" t="s">
        <v>587</v>
      </c>
      <c r="D149" s="208" t="s">
        <v>588</v>
      </c>
      <c r="E149" s="208" t="s">
        <v>636</v>
      </c>
      <c r="F149" s="208" t="s">
        <v>27</v>
      </c>
      <c r="G149" s="208" t="s">
        <v>47</v>
      </c>
      <c r="H149" s="275">
        <v>49.74</v>
      </c>
    </row>
    <row r="150" spans="1:8" ht="12.75" customHeight="1" x14ac:dyDescent="0.2">
      <c r="A150" s="273">
        <v>2025</v>
      </c>
      <c r="B150" s="274" t="s">
        <v>581</v>
      </c>
      <c r="C150" s="274" t="s">
        <v>587</v>
      </c>
      <c r="D150" s="208" t="s">
        <v>588</v>
      </c>
      <c r="E150" s="208" t="s">
        <v>637</v>
      </c>
      <c r="F150" s="208" t="s">
        <v>27</v>
      </c>
      <c r="G150" s="208" t="s">
        <v>47</v>
      </c>
      <c r="H150" s="275">
        <v>55.45</v>
      </c>
    </row>
    <row r="151" spans="1:8" ht="12.75" customHeight="1" x14ac:dyDescent="0.2">
      <c r="A151" s="273">
        <v>2025</v>
      </c>
      <c r="B151" s="274" t="s">
        <v>581</v>
      </c>
      <c r="C151" s="274" t="s">
        <v>587</v>
      </c>
      <c r="D151" s="208" t="s">
        <v>588</v>
      </c>
      <c r="E151" s="208" t="s">
        <v>638</v>
      </c>
      <c r="F151" s="208" t="s">
        <v>27</v>
      </c>
      <c r="G151" s="208" t="s">
        <v>47</v>
      </c>
      <c r="H151" s="275">
        <v>13.65</v>
      </c>
    </row>
    <row r="152" spans="1:8" ht="12.75" customHeight="1" x14ac:dyDescent="0.2">
      <c r="A152" s="273">
        <v>2025</v>
      </c>
      <c r="B152" s="274" t="s">
        <v>581</v>
      </c>
      <c r="C152" s="274" t="s">
        <v>587</v>
      </c>
      <c r="D152" s="208" t="s">
        <v>588</v>
      </c>
      <c r="E152" s="208" t="s">
        <v>639</v>
      </c>
      <c r="F152" s="208" t="s">
        <v>27</v>
      </c>
      <c r="G152" s="208" t="s">
        <v>47</v>
      </c>
      <c r="H152" s="275">
        <v>29.15</v>
      </c>
    </row>
    <row r="153" spans="1:8" ht="12.75" customHeight="1" x14ac:dyDescent="0.2">
      <c r="A153" s="273">
        <v>2025</v>
      </c>
      <c r="B153" s="274" t="s">
        <v>581</v>
      </c>
      <c r="C153" s="274" t="s">
        <v>587</v>
      </c>
      <c r="D153" s="208" t="s">
        <v>588</v>
      </c>
      <c r="E153" s="208" t="s">
        <v>640</v>
      </c>
      <c r="F153" s="208" t="s">
        <v>27</v>
      </c>
      <c r="G153" s="208" t="s">
        <v>47</v>
      </c>
      <c r="H153" s="275">
        <v>61.13</v>
      </c>
    </row>
    <row r="154" spans="1:8" ht="12.75" customHeight="1" x14ac:dyDescent="0.2">
      <c r="A154" s="273">
        <v>2025</v>
      </c>
      <c r="B154" s="274" t="s">
        <v>581</v>
      </c>
      <c r="C154" s="274" t="s">
        <v>587</v>
      </c>
      <c r="D154" s="208" t="s">
        <v>588</v>
      </c>
      <c r="E154" s="208" t="s">
        <v>637</v>
      </c>
      <c r="F154" s="208" t="s">
        <v>27</v>
      </c>
      <c r="G154" s="208" t="s">
        <v>47</v>
      </c>
      <c r="H154" s="275">
        <v>47.98</v>
      </c>
    </row>
    <row r="155" spans="1:8" ht="12.75" customHeight="1" x14ac:dyDescent="0.2">
      <c r="A155" s="273">
        <v>2025</v>
      </c>
      <c r="B155" s="274" t="s">
        <v>581</v>
      </c>
      <c r="C155" s="274" t="s">
        <v>587</v>
      </c>
      <c r="D155" s="208" t="s">
        <v>588</v>
      </c>
      <c r="E155" s="208" t="s">
        <v>641</v>
      </c>
      <c r="F155" s="208" t="s">
        <v>27</v>
      </c>
      <c r="G155" s="208" t="s">
        <v>47</v>
      </c>
      <c r="H155" s="275">
        <v>66.37</v>
      </c>
    </row>
    <row r="156" spans="1:8" ht="12.75" customHeight="1" x14ac:dyDescent="0.2">
      <c r="A156" s="273">
        <v>2025</v>
      </c>
      <c r="B156" s="274" t="s">
        <v>581</v>
      </c>
      <c r="C156" s="274" t="s">
        <v>587</v>
      </c>
      <c r="D156" s="208" t="s">
        <v>588</v>
      </c>
      <c r="E156" s="208" t="s">
        <v>641</v>
      </c>
      <c r="F156" s="208" t="s">
        <v>27</v>
      </c>
      <c r="G156" s="208" t="s">
        <v>47</v>
      </c>
      <c r="H156" s="275">
        <v>66.87</v>
      </c>
    </row>
    <row r="157" spans="1:8" ht="12.75" customHeight="1" x14ac:dyDescent="0.2">
      <c r="A157" s="273">
        <v>2025</v>
      </c>
      <c r="B157" s="274" t="s">
        <v>581</v>
      </c>
      <c r="C157" s="274" t="s">
        <v>587</v>
      </c>
      <c r="D157" s="208" t="s">
        <v>588</v>
      </c>
      <c r="E157" s="208" t="s">
        <v>642</v>
      </c>
      <c r="F157" s="208" t="s">
        <v>27</v>
      </c>
      <c r="G157" s="208" t="s">
        <v>47</v>
      </c>
      <c r="H157" s="275">
        <v>462.89</v>
      </c>
    </row>
    <row r="158" spans="1:8" ht="12.75" customHeight="1" x14ac:dyDescent="0.2">
      <c r="A158" s="273">
        <v>2025</v>
      </c>
      <c r="B158" s="274" t="s">
        <v>581</v>
      </c>
      <c r="C158" s="274" t="s">
        <v>587</v>
      </c>
      <c r="D158" s="208" t="s">
        <v>588</v>
      </c>
      <c r="E158" s="208" t="s">
        <v>643</v>
      </c>
      <c r="F158" s="208" t="s">
        <v>27</v>
      </c>
      <c r="G158" s="208" t="s">
        <v>47</v>
      </c>
      <c r="H158" s="275">
        <v>64.56</v>
      </c>
    </row>
    <row r="159" spans="1:8" ht="12.75" customHeight="1" x14ac:dyDescent="0.2">
      <c r="A159" s="273">
        <v>2025</v>
      </c>
      <c r="B159" s="274" t="s">
        <v>581</v>
      </c>
      <c r="C159" s="274" t="s">
        <v>587</v>
      </c>
      <c r="D159" s="208" t="s">
        <v>588</v>
      </c>
      <c r="E159" s="208" t="s">
        <v>644</v>
      </c>
      <c r="F159" s="208" t="s">
        <v>27</v>
      </c>
      <c r="G159" s="208" t="s">
        <v>47</v>
      </c>
      <c r="H159" s="275">
        <v>133.57</v>
      </c>
    </row>
    <row r="160" spans="1:8" ht="12.75" customHeight="1" x14ac:dyDescent="0.2">
      <c r="A160" s="273">
        <v>2025</v>
      </c>
      <c r="B160" s="274" t="s">
        <v>581</v>
      </c>
      <c r="C160" s="274" t="s">
        <v>604</v>
      </c>
      <c r="D160" s="208" t="s">
        <v>605</v>
      </c>
      <c r="E160" s="208" t="s">
        <v>645</v>
      </c>
      <c r="F160" s="208" t="s">
        <v>27</v>
      </c>
      <c r="G160" s="208" t="s">
        <v>47</v>
      </c>
      <c r="H160" s="275">
        <v>279.63</v>
      </c>
    </row>
    <row r="161" spans="1:8" ht="12.75" customHeight="1" x14ac:dyDescent="0.2">
      <c r="A161" s="273">
        <v>2025</v>
      </c>
      <c r="B161" s="274" t="s">
        <v>581</v>
      </c>
      <c r="C161" s="274" t="s">
        <v>604</v>
      </c>
      <c r="D161" s="208" t="s">
        <v>605</v>
      </c>
      <c r="E161" s="208" t="s">
        <v>646</v>
      </c>
      <c r="F161" s="208" t="s">
        <v>27</v>
      </c>
      <c r="G161" s="208" t="s">
        <v>47</v>
      </c>
      <c r="H161" s="275">
        <v>94.29</v>
      </c>
    </row>
    <row r="162" spans="1:8" ht="12.75" customHeight="1" x14ac:dyDescent="0.2">
      <c r="A162" s="273">
        <v>2025</v>
      </c>
      <c r="B162" s="274" t="s">
        <v>429</v>
      </c>
      <c r="C162" s="274" t="s">
        <v>647</v>
      </c>
      <c r="D162" s="208" t="s">
        <v>648</v>
      </c>
      <c r="E162" s="208" t="s">
        <v>649</v>
      </c>
      <c r="F162" s="208" t="s">
        <v>27</v>
      </c>
      <c r="G162" s="208" t="s">
        <v>30</v>
      </c>
      <c r="H162" s="275">
        <v>86.81</v>
      </c>
    </row>
    <row r="163" spans="1:8" ht="12.75" customHeight="1" x14ac:dyDescent="0.2">
      <c r="A163" s="273">
        <v>2025</v>
      </c>
      <c r="B163" s="274" t="s">
        <v>429</v>
      </c>
      <c r="C163" s="274" t="s">
        <v>647</v>
      </c>
      <c r="D163" s="208" t="s">
        <v>648</v>
      </c>
      <c r="E163" s="208" t="s">
        <v>650</v>
      </c>
      <c r="F163" s="208" t="s">
        <v>27</v>
      </c>
      <c r="G163" s="208" t="s">
        <v>30</v>
      </c>
      <c r="H163" s="275">
        <v>371.18</v>
      </c>
    </row>
    <row r="164" spans="1:8" ht="12.75" customHeight="1" x14ac:dyDescent="0.2">
      <c r="A164" s="273">
        <v>2025</v>
      </c>
      <c r="B164" s="274" t="s">
        <v>429</v>
      </c>
      <c r="C164" s="274" t="s">
        <v>651</v>
      </c>
      <c r="D164" s="208" t="s">
        <v>652</v>
      </c>
      <c r="E164" s="208" t="s">
        <v>653</v>
      </c>
      <c r="F164" s="208" t="s">
        <v>27</v>
      </c>
      <c r="G164" s="208" t="s">
        <v>30</v>
      </c>
      <c r="H164" s="275">
        <v>15</v>
      </c>
    </row>
    <row r="165" spans="1:8" ht="12.75" customHeight="1" x14ac:dyDescent="0.2">
      <c r="A165" s="273">
        <v>2025</v>
      </c>
      <c r="B165" s="274" t="s">
        <v>654</v>
      </c>
      <c r="C165" s="274" t="s">
        <v>655</v>
      </c>
      <c r="D165" s="208" t="s">
        <v>656</v>
      </c>
      <c r="E165" s="208" t="s">
        <v>657</v>
      </c>
      <c r="F165" s="208" t="s">
        <v>27</v>
      </c>
      <c r="G165" s="208" t="s">
        <v>30</v>
      </c>
      <c r="H165" s="275">
        <v>20.91</v>
      </c>
    </row>
    <row r="166" spans="1:8" ht="12.75" customHeight="1" x14ac:dyDescent="0.2">
      <c r="A166" s="273">
        <v>2025</v>
      </c>
      <c r="B166" s="274" t="s">
        <v>658</v>
      </c>
      <c r="C166" s="274" t="s">
        <v>647</v>
      </c>
      <c r="D166" s="208" t="s">
        <v>648</v>
      </c>
      <c r="E166" s="208" t="s">
        <v>659</v>
      </c>
      <c r="F166" s="208" t="s">
        <v>27</v>
      </c>
      <c r="G166" s="208" t="s">
        <v>30</v>
      </c>
      <c r="H166" s="275">
        <v>14.13</v>
      </c>
    </row>
    <row r="167" spans="1:8" ht="12.75" customHeight="1" x14ac:dyDescent="0.2">
      <c r="A167" s="273">
        <v>2025</v>
      </c>
      <c r="B167" s="274" t="s">
        <v>660</v>
      </c>
      <c r="C167" s="274" t="s">
        <v>661</v>
      </c>
      <c r="D167" s="208" t="s">
        <v>662</v>
      </c>
      <c r="E167" s="208" t="s">
        <v>663</v>
      </c>
      <c r="F167" s="208" t="s">
        <v>27</v>
      </c>
      <c r="G167" s="208" t="s">
        <v>30</v>
      </c>
      <c r="H167" s="275">
        <v>91.56</v>
      </c>
    </row>
    <row r="168" spans="1:8" ht="12.75" customHeight="1" x14ac:dyDescent="0.2">
      <c r="A168" s="273">
        <v>2025</v>
      </c>
      <c r="B168" s="274" t="s">
        <v>660</v>
      </c>
      <c r="C168" s="274" t="s">
        <v>664</v>
      </c>
      <c r="D168" s="208" t="s">
        <v>665</v>
      </c>
      <c r="E168" s="208" t="s">
        <v>666</v>
      </c>
      <c r="F168" s="208" t="s">
        <v>27</v>
      </c>
      <c r="G168" s="208" t="s">
        <v>30</v>
      </c>
      <c r="H168" s="275">
        <v>78.010000000000005</v>
      </c>
    </row>
    <row r="169" spans="1:8" ht="12.75" customHeight="1" x14ac:dyDescent="0.2">
      <c r="A169" s="273">
        <v>2025</v>
      </c>
      <c r="B169" s="274" t="s">
        <v>667</v>
      </c>
      <c r="C169" s="274" t="s">
        <v>655</v>
      </c>
      <c r="D169" s="208" t="s">
        <v>656</v>
      </c>
      <c r="E169" s="208" t="s">
        <v>668</v>
      </c>
      <c r="F169" s="208" t="s">
        <v>27</v>
      </c>
      <c r="G169" s="208" t="s">
        <v>30</v>
      </c>
      <c r="H169" s="275">
        <v>20.91</v>
      </c>
    </row>
    <row r="170" spans="1:8" ht="12.75" customHeight="1" x14ac:dyDescent="0.2">
      <c r="A170" s="273">
        <v>2025</v>
      </c>
      <c r="B170" s="274" t="s">
        <v>669</v>
      </c>
      <c r="C170" s="274" t="s">
        <v>647</v>
      </c>
      <c r="D170" s="208" t="s">
        <v>648</v>
      </c>
      <c r="E170" s="208" t="s">
        <v>670</v>
      </c>
      <c r="F170" s="208" t="s">
        <v>27</v>
      </c>
      <c r="G170" s="208" t="s">
        <v>30</v>
      </c>
      <c r="H170" s="275">
        <v>14.13</v>
      </c>
    </row>
    <row r="171" spans="1:8" ht="12.75" customHeight="1" x14ac:dyDescent="0.2">
      <c r="A171" s="273">
        <v>2025</v>
      </c>
      <c r="B171" s="274" t="s">
        <v>671</v>
      </c>
      <c r="C171" s="274" t="s">
        <v>672</v>
      </c>
      <c r="D171" s="208" t="s">
        <v>673</v>
      </c>
      <c r="E171" s="208" t="s">
        <v>674</v>
      </c>
      <c r="F171" s="208" t="s">
        <v>27</v>
      </c>
      <c r="G171" s="208" t="s">
        <v>30</v>
      </c>
      <c r="H171" s="275">
        <v>53.36</v>
      </c>
    </row>
    <row r="172" spans="1:8" ht="12.75" customHeight="1" x14ac:dyDescent="0.2">
      <c r="A172" s="273">
        <v>2025</v>
      </c>
      <c r="B172" s="274" t="s">
        <v>675</v>
      </c>
      <c r="C172" s="274" t="s">
        <v>672</v>
      </c>
      <c r="D172" s="208" t="s">
        <v>673</v>
      </c>
      <c r="E172" s="208" t="s">
        <v>674</v>
      </c>
      <c r="F172" s="208" t="s">
        <v>27</v>
      </c>
      <c r="G172" s="208" t="s">
        <v>30</v>
      </c>
      <c r="H172" s="275">
        <v>53.36</v>
      </c>
    </row>
    <row r="173" spans="1:8" ht="12.75" customHeight="1" x14ac:dyDescent="0.2">
      <c r="A173" s="273">
        <v>2025</v>
      </c>
      <c r="B173" s="274" t="s">
        <v>675</v>
      </c>
      <c r="C173" s="274" t="s">
        <v>661</v>
      </c>
      <c r="D173" s="208" t="s">
        <v>662</v>
      </c>
      <c r="E173" s="208" t="s">
        <v>676</v>
      </c>
      <c r="F173" s="208" t="s">
        <v>27</v>
      </c>
      <c r="G173" s="208" t="s">
        <v>30</v>
      </c>
      <c r="H173" s="275">
        <v>85.21</v>
      </c>
    </row>
    <row r="174" spans="1:8" ht="12.75" customHeight="1" x14ac:dyDescent="0.2">
      <c r="A174" s="273">
        <v>2025</v>
      </c>
      <c r="B174" s="274" t="s">
        <v>675</v>
      </c>
      <c r="C174" s="274" t="s">
        <v>664</v>
      </c>
      <c r="D174" s="208" t="s">
        <v>665</v>
      </c>
      <c r="E174" s="208" t="s">
        <v>677</v>
      </c>
      <c r="F174" s="208" t="s">
        <v>27</v>
      </c>
      <c r="G174" s="208" t="s">
        <v>30</v>
      </c>
      <c r="H174" s="275">
        <v>78.010000000000005</v>
      </c>
    </row>
    <row r="175" spans="1:8" ht="12.75" customHeight="1" x14ac:dyDescent="0.2">
      <c r="A175" s="273">
        <v>2025</v>
      </c>
      <c r="B175" s="274" t="s">
        <v>678</v>
      </c>
      <c r="C175" s="274" t="s">
        <v>672</v>
      </c>
      <c r="D175" s="208" t="s">
        <v>673</v>
      </c>
      <c r="E175" s="208" t="s">
        <v>674</v>
      </c>
      <c r="F175" s="208" t="s">
        <v>27</v>
      </c>
      <c r="G175" s="208" t="s">
        <v>30</v>
      </c>
      <c r="H175" s="275">
        <v>53.36</v>
      </c>
    </row>
    <row r="176" spans="1:8" ht="12.75" customHeight="1" x14ac:dyDescent="0.2">
      <c r="A176" s="273">
        <v>2025</v>
      </c>
      <c r="B176" s="274" t="s">
        <v>679</v>
      </c>
      <c r="C176" s="274" t="s">
        <v>655</v>
      </c>
      <c r="D176" s="208" t="s">
        <v>656</v>
      </c>
      <c r="E176" s="208" t="s">
        <v>680</v>
      </c>
      <c r="F176" s="208" t="s">
        <v>27</v>
      </c>
      <c r="G176" s="208" t="s">
        <v>30</v>
      </c>
      <c r="H176" s="275">
        <v>20.91</v>
      </c>
    </row>
    <row r="177" spans="1:8" ht="12.75" customHeight="1" x14ac:dyDescent="0.2">
      <c r="A177" s="273">
        <v>2025</v>
      </c>
      <c r="B177" s="274" t="s">
        <v>681</v>
      </c>
      <c r="C177" s="274" t="s">
        <v>647</v>
      </c>
      <c r="D177" s="208" t="s">
        <v>648</v>
      </c>
      <c r="E177" s="208" t="s">
        <v>682</v>
      </c>
      <c r="F177" s="208" t="s">
        <v>27</v>
      </c>
      <c r="G177" s="208" t="s">
        <v>30</v>
      </c>
      <c r="H177" s="275">
        <v>14.13</v>
      </c>
    </row>
    <row r="178" spans="1:8" ht="12.75" customHeight="1" x14ac:dyDescent="0.2">
      <c r="A178" s="273">
        <v>2025</v>
      </c>
      <c r="B178" s="274" t="s">
        <v>683</v>
      </c>
      <c r="C178" s="274" t="s">
        <v>672</v>
      </c>
      <c r="D178" s="208" t="s">
        <v>673</v>
      </c>
      <c r="E178" s="208" t="s">
        <v>684</v>
      </c>
      <c r="F178" s="208" t="s">
        <v>27</v>
      </c>
      <c r="G178" s="208" t="s">
        <v>30</v>
      </c>
      <c r="H178" s="275">
        <v>53.36</v>
      </c>
    </row>
    <row r="179" spans="1:8" ht="12.75" customHeight="1" x14ac:dyDescent="0.2">
      <c r="A179" s="273">
        <v>2025</v>
      </c>
      <c r="B179" s="274" t="s">
        <v>685</v>
      </c>
      <c r="C179" s="274" t="s">
        <v>672</v>
      </c>
      <c r="D179" s="208" t="s">
        <v>673</v>
      </c>
      <c r="E179" s="208" t="s">
        <v>686</v>
      </c>
      <c r="F179" s="208" t="s">
        <v>27</v>
      </c>
      <c r="G179" s="208" t="s">
        <v>30</v>
      </c>
      <c r="H179" s="275">
        <v>53.36</v>
      </c>
    </row>
    <row r="180" spans="1:8" ht="12.75" customHeight="1" x14ac:dyDescent="0.2">
      <c r="A180" s="273">
        <v>2025</v>
      </c>
      <c r="B180" s="274" t="s">
        <v>685</v>
      </c>
      <c r="C180" s="274" t="s">
        <v>672</v>
      </c>
      <c r="D180" s="208" t="s">
        <v>673</v>
      </c>
      <c r="E180" s="208" t="s">
        <v>687</v>
      </c>
      <c r="F180" s="208" t="s">
        <v>27</v>
      </c>
      <c r="G180" s="208" t="s">
        <v>30</v>
      </c>
      <c r="H180" s="275">
        <v>53.36</v>
      </c>
    </row>
    <row r="181" spans="1:8" ht="12.75" customHeight="1" x14ac:dyDescent="0.2">
      <c r="A181" s="273">
        <v>2025</v>
      </c>
      <c r="B181" s="274" t="s">
        <v>685</v>
      </c>
      <c r="C181" s="274" t="s">
        <v>661</v>
      </c>
      <c r="D181" s="208" t="s">
        <v>662</v>
      </c>
      <c r="E181" s="208" t="s">
        <v>688</v>
      </c>
      <c r="F181" s="208" t="s">
        <v>27</v>
      </c>
      <c r="G181" s="208" t="s">
        <v>30</v>
      </c>
      <c r="H181" s="275">
        <v>85.21</v>
      </c>
    </row>
    <row r="182" spans="1:8" ht="12.75" customHeight="1" x14ac:dyDescent="0.2">
      <c r="A182" s="273">
        <v>2025</v>
      </c>
      <c r="B182" s="274" t="s">
        <v>685</v>
      </c>
      <c r="C182" s="274" t="s">
        <v>664</v>
      </c>
      <c r="D182" s="208" t="s">
        <v>665</v>
      </c>
      <c r="E182" s="208" t="s">
        <v>688</v>
      </c>
      <c r="F182" s="208" t="s">
        <v>27</v>
      </c>
      <c r="G182" s="208" t="s">
        <v>30</v>
      </c>
      <c r="H182" s="275">
        <v>78.010000000000005</v>
      </c>
    </row>
    <row r="183" spans="1:8" ht="12.75" customHeight="1" x14ac:dyDescent="0.2">
      <c r="A183" s="273">
        <v>2025</v>
      </c>
      <c r="B183" s="274" t="s">
        <v>464</v>
      </c>
      <c r="C183" s="274" t="s">
        <v>672</v>
      </c>
      <c r="D183" s="208" t="s">
        <v>673</v>
      </c>
      <c r="E183" s="208" t="s">
        <v>689</v>
      </c>
      <c r="F183" s="208" t="s">
        <v>27</v>
      </c>
      <c r="G183" s="208" t="s">
        <v>30</v>
      </c>
      <c r="H183" s="275">
        <v>53.36</v>
      </c>
    </row>
    <row r="184" spans="1:8" ht="12.75" customHeight="1" x14ac:dyDescent="0.2">
      <c r="A184" s="273">
        <v>2025</v>
      </c>
      <c r="B184" s="274" t="s">
        <v>470</v>
      </c>
      <c r="C184" s="274" t="s">
        <v>655</v>
      </c>
      <c r="D184" s="208" t="s">
        <v>656</v>
      </c>
      <c r="E184" s="208" t="s">
        <v>690</v>
      </c>
      <c r="F184" s="208" t="s">
        <v>27</v>
      </c>
      <c r="G184" s="208" t="s">
        <v>30</v>
      </c>
      <c r="H184" s="275">
        <v>20.91</v>
      </c>
    </row>
    <row r="185" spans="1:8" ht="12.75" customHeight="1" x14ac:dyDescent="0.2">
      <c r="A185" s="273">
        <v>2025</v>
      </c>
      <c r="B185" s="274" t="s">
        <v>470</v>
      </c>
      <c r="C185" s="274" t="s">
        <v>691</v>
      </c>
      <c r="D185" s="208" t="s">
        <v>692</v>
      </c>
      <c r="E185" s="208" t="s">
        <v>693</v>
      </c>
      <c r="F185" s="208" t="s">
        <v>27</v>
      </c>
      <c r="G185" s="208" t="s">
        <v>30</v>
      </c>
      <c r="H185" s="275">
        <v>52.27</v>
      </c>
    </row>
    <row r="186" spans="1:8" ht="12.75" customHeight="1" x14ac:dyDescent="0.2">
      <c r="A186" s="273">
        <v>2025</v>
      </c>
      <c r="B186" s="274" t="s">
        <v>694</v>
      </c>
      <c r="C186" s="274" t="s">
        <v>647</v>
      </c>
      <c r="D186" s="208" t="s">
        <v>648</v>
      </c>
      <c r="E186" s="208" t="s">
        <v>695</v>
      </c>
      <c r="F186" s="208" t="s">
        <v>27</v>
      </c>
      <c r="G186" s="208" t="s">
        <v>30</v>
      </c>
      <c r="H186" s="275">
        <v>14.13</v>
      </c>
    </row>
    <row r="187" spans="1:8" ht="12.75" customHeight="1" x14ac:dyDescent="0.2">
      <c r="A187" s="273">
        <v>2025</v>
      </c>
      <c r="B187" s="274" t="s">
        <v>696</v>
      </c>
      <c r="C187" s="274" t="s">
        <v>672</v>
      </c>
      <c r="D187" s="208" t="s">
        <v>673</v>
      </c>
      <c r="E187" s="208" t="s">
        <v>697</v>
      </c>
      <c r="F187" s="208" t="s">
        <v>27</v>
      </c>
      <c r="G187" s="208" t="s">
        <v>30</v>
      </c>
      <c r="H187" s="275">
        <v>53.36</v>
      </c>
    </row>
    <row r="188" spans="1:8" ht="12.75" customHeight="1" x14ac:dyDescent="0.2">
      <c r="A188" s="273">
        <v>2025</v>
      </c>
      <c r="B188" s="274" t="s">
        <v>473</v>
      </c>
      <c r="C188" s="274" t="s">
        <v>661</v>
      </c>
      <c r="D188" s="208" t="s">
        <v>662</v>
      </c>
      <c r="E188" s="208" t="s">
        <v>698</v>
      </c>
      <c r="F188" s="208" t="s">
        <v>27</v>
      </c>
      <c r="G188" s="208" t="s">
        <v>30</v>
      </c>
      <c r="H188" s="275">
        <v>85.21</v>
      </c>
    </row>
    <row r="189" spans="1:8" ht="12.75" customHeight="1" x14ac:dyDescent="0.2">
      <c r="A189" s="273">
        <v>2025</v>
      </c>
      <c r="B189" s="274" t="s">
        <v>473</v>
      </c>
      <c r="C189" s="274" t="s">
        <v>664</v>
      </c>
      <c r="D189" s="208" t="s">
        <v>665</v>
      </c>
      <c r="E189" s="208" t="s">
        <v>699</v>
      </c>
      <c r="F189" s="208" t="s">
        <v>27</v>
      </c>
      <c r="G189" s="208" t="s">
        <v>30</v>
      </c>
      <c r="H189" s="275">
        <v>78.010000000000005</v>
      </c>
    </row>
    <row r="190" spans="1:8" ht="12.75" customHeight="1" x14ac:dyDescent="0.2">
      <c r="A190" s="273">
        <v>2025</v>
      </c>
      <c r="B190" s="274" t="s">
        <v>473</v>
      </c>
      <c r="C190" s="274" t="s">
        <v>700</v>
      </c>
      <c r="D190" s="208" t="s">
        <v>701</v>
      </c>
      <c r="E190" s="208" t="s">
        <v>699</v>
      </c>
      <c r="F190" s="208" t="s">
        <v>27</v>
      </c>
      <c r="G190" s="208" t="s">
        <v>30</v>
      </c>
      <c r="H190" s="275">
        <v>111.59</v>
      </c>
    </row>
    <row r="191" spans="1:8" ht="12.75" customHeight="1" x14ac:dyDescent="0.2">
      <c r="A191" s="273">
        <v>2025</v>
      </c>
      <c r="B191" s="274" t="s">
        <v>702</v>
      </c>
      <c r="C191" s="274" t="s">
        <v>672</v>
      </c>
      <c r="D191" s="208" t="s">
        <v>673</v>
      </c>
      <c r="E191" s="208" t="s">
        <v>703</v>
      </c>
      <c r="F191" s="208" t="s">
        <v>27</v>
      </c>
      <c r="G191" s="208" t="s">
        <v>30</v>
      </c>
      <c r="H191" s="275">
        <v>53.36</v>
      </c>
    </row>
    <row r="192" spans="1:8" ht="12.75" customHeight="1" x14ac:dyDescent="0.2">
      <c r="A192" s="273">
        <v>2025</v>
      </c>
      <c r="B192" s="274" t="s">
        <v>702</v>
      </c>
      <c r="C192" s="274" t="s">
        <v>672</v>
      </c>
      <c r="D192" s="208" t="s">
        <v>673</v>
      </c>
      <c r="E192" s="208" t="s">
        <v>704</v>
      </c>
      <c r="F192" s="208" t="s">
        <v>27</v>
      </c>
      <c r="G192" s="208" t="s">
        <v>30</v>
      </c>
      <c r="H192" s="275">
        <v>53.36</v>
      </c>
    </row>
    <row r="193" spans="1:8" ht="12.75" customHeight="1" x14ac:dyDescent="0.2">
      <c r="A193" s="273">
        <v>2025</v>
      </c>
      <c r="B193" s="274" t="s">
        <v>484</v>
      </c>
      <c r="C193" s="274" t="s">
        <v>691</v>
      </c>
      <c r="D193" s="208" t="s">
        <v>692</v>
      </c>
      <c r="E193" s="208" t="s">
        <v>705</v>
      </c>
      <c r="F193" s="208" t="s">
        <v>27</v>
      </c>
      <c r="G193" s="208" t="s">
        <v>30</v>
      </c>
      <c r="H193" s="275">
        <v>52.27</v>
      </c>
    </row>
    <row r="194" spans="1:8" ht="12.75" customHeight="1" x14ac:dyDescent="0.2">
      <c r="A194" s="273">
        <v>2025</v>
      </c>
      <c r="B194" s="274" t="s">
        <v>484</v>
      </c>
      <c r="C194" s="274" t="s">
        <v>706</v>
      </c>
      <c r="D194" s="208" t="s">
        <v>707</v>
      </c>
      <c r="E194" s="208" t="s">
        <v>708</v>
      </c>
      <c r="F194" s="208" t="s">
        <v>27</v>
      </c>
      <c r="G194" s="208" t="s">
        <v>30</v>
      </c>
      <c r="H194" s="275">
        <v>0.64</v>
      </c>
    </row>
    <row r="195" spans="1:8" ht="12.75" customHeight="1" x14ac:dyDescent="0.2">
      <c r="A195" s="273">
        <v>2025</v>
      </c>
      <c r="B195" s="274" t="s">
        <v>485</v>
      </c>
      <c r="C195" s="274" t="s">
        <v>655</v>
      </c>
      <c r="D195" s="208" t="s">
        <v>656</v>
      </c>
      <c r="E195" s="208" t="s">
        <v>709</v>
      </c>
      <c r="F195" s="208" t="s">
        <v>27</v>
      </c>
      <c r="G195" s="208" t="s">
        <v>30</v>
      </c>
      <c r="H195" s="275">
        <v>20.91</v>
      </c>
    </row>
    <row r="196" spans="1:8" ht="12.75" customHeight="1" x14ac:dyDescent="0.2">
      <c r="A196" s="273">
        <v>2025</v>
      </c>
      <c r="B196" s="274" t="s">
        <v>485</v>
      </c>
      <c r="C196" s="274" t="s">
        <v>706</v>
      </c>
      <c r="D196" s="208" t="s">
        <v>707</v>
      </c>
      <c r="E196" s="208" t="s">
        <v>710</v>
      </c>
      <c r="F196" s="208" t="s">
        <v>27</v>
      </c>
      <c r="G196" s="208" t="s">
        <v>30</v>
      </c>
      <c r="H196" s="275">
        <v>9.57</v>
      </c>
    </row>
    <row r="197" spans="1:8" ht="12.75" customHeight="1" x14ac:dyDescent="0.2">
      <c r="A197" s="273">
        <v>2025</v>
      </c>
      <c r="B197" s="274" t="s">
        <v>711</v>
      </c>
      <c r="C197" s="274" t="s">
        <v>647</v>
      </c>
      <c r="D197" s="208" t="s">
        <v>648</v>
      </c>
      <c r="E197" s="208" t="s">
        <v>712</v>
      </c>
      <c r="F197" s="208" t="s">
        <v>27</v>
      </c>
      <c r="G197" s="208" t="s">
        <v>30</v>
      </c>
      <c r="H197" s="275">
        <v>14.13</v>
      </c>
    </row>
    <row r="198" spans="1:8" ht="12.75" customHeight="1" x14ac:dyDescent="0.2">
      <c r="A198" s="273">
        <v>2025</v>
      </c>
      <c r="B198" s="274" t="s">
        <v>713</v>
      </c>
      <c r="C198" s="274" t="s">
        <v>661</v>
      </c>
      <c r="D198" s="208" t="s">
        <v>662</v>
      </c>
      <c r="E198" s="208" t="s">
        <v>714</v>
      </c>
      <c r="F198" s="208" t="s">
        <v>27</v>
      </c>
      <c r="G198" s="208" t="s">
        <v>30</v>
      </c>
      <c r="H198" s="275">
        <v>85.21</v>
      </c>
    </row>
    <row r="199" spans="1:8" ht="12.75" customHeight="1" x14ac:dyDescent="0.2">
      <c r="A199" s="273">
        <v>2025</v>
      </c>
      <c r="B199" s="274" t="s">
        <v>713</v>
      </c>
      <c r="C199" s="274" t="s">
        <v>664</v>
      </c>
      <c r="D199" s="208" t="s">
        <v>665</v>
      </c>
      <c r="E199" s="208" t="s">
        <v>715</v>
      </c>
      <c r="F199" s="208" t="s">
        <v>27</v>
      </c>
      <c r="G199" s="208" t="s">
        <v>30</v>
      </c>
      <c r="H199" s="275">
        <v>78.010000000000005</v>
      </c>
    </row>
    <row r="200" spans="1:8" ht="12.75" customHeight="1" x14ac:dyDescent="0.2">
      <c r="A200" s="273">
        <v>2025</v>
      </c>
      <c r="B200" s="274" t="s">
        <v>713</v>
      </c>
      <c r="C200" s="274" t="s">
        <v>700</v>
      </c>
      <c r="D200" s="208" t="s">
        <v>701</v>
      </c>
      <c r="E200" s="208" t="s">
        <v>715</v>
      </c>
      <c r="F200" s="208" t="s">
        <v>27</v>
      </c>
      <c r="G200" s="208" t="s">
        <v>30</v>
      </c>
      <c r="H200" s="275">
        <v>100.82</v>
      </c>
    </row>
    <row r="201" spans="1:8" ht="12.75" customHeight="1" x14ac:dyDescent="0.2">
      <c r="A201" s="273">
        <v>2025</v>
      </c>
      <c r="B201" s="274" t="s">
        <v>713</v>
      </c>
      <c r="C201" s="274" t="s">
        <v>716</v>
      </c>
      <c r="D201" s="208" t="s">
        <v>717</v>
      </c>
      <c r="E201" s="208" t="s">
        <v>715</v>
      </c>
      <c r="F201" s="208" t="s">
        <v>27</v>
      </c>
      <c r="G201" s="208" t="s">
        <v>30</v>
      </c>
      <c r="H201" s="275">
        <v>127.01</v>
      </c>
    </row>
    <row r="202" spans="1:8" ht="12.75" customHeight="1" x14ac:dyDescent="0.2">
      <c r="A202" s="273">
        <v>2025</v>
      </c>
      <c r="B202" s="274" t="s">
        <v>489</v>
      </c>
      <c r="C202" s="274" t="s">
        <v>672</v>
      </c>
      <c r="D202" s="208" t="s">
        <v>673</v>
      </c>
      <c r="E202" s="208" t="s">
        <v>718</v>
      </c>
      <c r="F202" s="208" t="s">
        <v>27</v>
      </c>
      <c r="G202" s="208" t="s">
        <v>30</v>
      </c>
      <c r="H202" s="275">
        <v>53.36</v>
      </c>
    </row>
    <row r="203" spans="1:8" ht="12.75" customHeight="1" x14ac:dyDescent="0.2">
      <c r="A203" s="273">
        <v>2025</v>
      </c>
      <c r="B203" s="274" t="s">
        <v>499</v>
      </c>
      <c r="C203" s="274" t="s">
        <v>691</v>
      </c>
      <c r="D203" s="208" t="s">
        <v>692</v>
      </c>
      <c r="E203" s="208" t="s">
        <v>719</v>
      </c>
      <c r="F203" s="208" t="s">
        <v>27</v>
      </c>
      <c r="G203" s="208" t="s">
        <v>30</v>
      </c>
      <c r="H203" s="275">
        <v>52.27</v>
      </c>
    </row>
    <row r="204" spans="1:8" ht="12.75" customHeight="1" x14ac:dyDescent="0.2">
      <c r="A204" s="273">
        <v>2025</v>
      </c>
      <c r="B204" s="274" t="s">
        <v>499</v>
      </c>
      <c r="C204" s="274" t="s">
        <v>706</v>
      </c>
      <c r="D204" s="208" t="s">
        <v>707</v>
      </c>
      <c r="E204" s="208" t="s">
        <v>720</v>
      </c>
      <c r="F204" s="208" t="s">
        <v>27</v>
      </c>
      <c r="G204" s="208" t="s">
        <v>30</v>
      </c>
      <c r="H204" s="275">
        <v>9.57</v>
      </c>
    </row>
    <row r="205" spans="1:8" ht="12.75" customHeight="1" x14ac:dyDescent="0.2">
      <c r="A205" s="273">
        <v>2025</v>
      </c>
      <c r="B205" s="274" t="s">
        <v>500</v>
      </c>
      <c r="C205" s="274" t="s">
        <v>655</v>
      </c>
      <c r="D205" s="208" t="s">
        <v>656</v>
      </c>
      <c r="E205" s="208" t="s">
        <v>721</v>
      </c>
      <c r="F205" s="208" t="s">
        <v>27</v>
      </c>
      <c r="G205" s="208" t="s">
        <v>30</v>
      </c>
      <c r="H205" s="275">
        <v>20.91</v>
      </c>
    </row>
    <row r="206" spans="1:8" ht="12.75" customHeight="1" x14ac:dyDescent="0.2">
      <c r="A206" s="273">
        <v>2025</v>
      </c>
      <c r="B206" s="274" t="s">
        <v>502</v>
      </c>
      <c r="C206" s="274" t="s">
        <v>647</v>
      </c>
      <c r="D206" s="208" t="s">
        <v>648</v>
      </c>
      <c r="E206" s="208" t="s">
        <v>722</v>
      </c>
      <c r="F206" s="208" t="s">
        <v>27</v>
      </c>
      <c r="G206" s="208" t="s">
        <v>30</v>
      </c>
      <c r="H206" s="275">
        <v>14.13</v>
      </c>
    </row>
    <row r="207" spans="1:8" ht="12.75" customHeight="1" x14ac:dyDescent="0.2">
      <c r="A207" s="273">
        <v>2025</v>
      </c>
      <c r="B207" s="274" t="s">
        <v>723</v>
      </c>
      <c r="C207" s="274" t="s">
        <v>661</v>
      </c>
      <c r="D207" s="208" t="s">
        <v>662</v>
      </c>
      <c r="E207" s="208" t="s">
        <v>724</v>
      </c>
      <c r="F207" s="208" t="s">
        <v>27</v>
      </c>
      <c r="G207" s="208" t="s">
        <v>30</v>
      </c>
      <c r="H207" s="275">
        <v>85.21</v>
      </c>
    </row>
    <row r="208" spans="1:8" ht="12.75" customHeight="1" x14ac:dyDescent="0.2">
      <c r="A208" s="273">
        <v>2025</v>
      </c>
      <c r="B208" s="274" t="s">
        <v>723</v>
      </c>
      <c r="C208" s="274" t="s">
        <v>664</v>
      </c>
      <c r="D208" s="208" t="s">
        <v>665</v>
      </c>
      <c r="E208" s="208" t="s">
        <v>724</v>
      </c>
      <c r="F208" s="208" t="s">
        <v>27</v>
      </c>
      <c r="G208" s="208" t="s">
        <v>30</v>
      </c>
      <c r="H208" s="275">
        <v>78.010000000000005</v>
      </c>
    </row>
    <row r="209" spans="1:8" ht="12.75" customHeight="1" x14ac:dyDescent="0.2">
      <c r="A209" s="273">
        <v>2025</v>
      </c>
      <c r="B209" s="274" t="s">
        <v>723</v>
      </c>
      <c r="C209" s="274" t="s">
        <v>700</v>
      </c>
      <c r="D209" s="208" t="s">
        <v>701</v>
      </c>
      <c r="E209" s="208" t="s">
        <v>725</v>
      </c>
      <c r="F209" s="208" t="s">
        <v>27</v>
      </c>
      <c r="G209" s="208" t="s">
        <v>30</v>
      </c>
      <c r="H209" s="275">
        <v>100.82</v>
      </c>
    </row>
    <row r="210" spans="1:8" ht="12.75" customHeight="1" x14ac:dyDescent="0.2">
      <c r="A210" s="273">
        <v>2025</v>
      </c>
      <c r="B210" s="274" t="s">
        <v>723</v>
      </c>
      <c r="C210" s="274" t="s">
        <v>716</v>
      </c>
      <c r="D210" s="208" t="s">
        <v>717</v>
      </c>
      <c r="E210" s="208" t="s">
        <v>726</v>
      </c>
      <c r="F210" s="208" t="s">
        <v>27</v>
      </c>
      <c r="G210" s="208" t="s">
        <v>30</v>
      </c>
      <c r="H210" s="275">
        <v>116.38</v>
      </c>
    </row>
    <row r="211" spans="1:8" ht="12.75" customHeight="1" x14ac:dyDescent="0.2">
      <c r="A211" s="273">
        <v>2025</v>
      </c>
      <c r="B211" s="274" t="s">
        <v>727</v>
      </c>
      <c r="C211" s="274" t="s">
        <v>672</v>
      </c>
      <c r="D211" s="208" t="s">
        <v>673</v>
      </c>
      <c r="E211" s="208" t="s">
        <v>728</v>
      </c>
      <c r="F211" s="208" t="s">
        <v>27</v>
      </c>
      <c r="G211" s="208" t="s">
        <v>30</v>
      </c>
      <c r="H211" s="275">
        <v>53.36</v>
      </c>
    </row>
    <row r="212" spans="1:8" ht="12.75" customHeight="1" x14ac:dyDescent="0.2">
      <c r="A212" s="273">
        <v>2025</v>
      </c>
      <c r="B212" s="274" t="s">
        <v>510</v>
      </c>
      <c r="C212" s="274" t="s">
        <v>647</v>
      </c>
      <c r="D212" s="208" t="s">
        <v>648</v>
      </c>
      <c r="E212" s="208" t="s">
        <v>729</v>
      </c>
      <c r="F212" s="208" t="s">
        <v>27</v>
      </c>
      <c r="G212" s="208" t="s">
        <v>30</v>
      </c>
      <c r="H212" s="276">
        <v>-73.680000000000007</v>
      </c>
    </row>
    <row r="213" spans="1:8" ht="12.75" customHeight="1" x14ac:dyDescent="0.2">
      <c r="A213" s="273">
        <v>2025</v>
      </c>
      <c r="B213" s="274" t="s">
        <v>510</v>
      </c>
      <c r="C213" s="274" t="s">
        <v>647</v>
      </c>
      <c r="D213" s="208" t="s">
        <v>648</v>
      </c>
      <c r="E213" s="208" t="s">
        <v>730</v>
      </c>
      <c r="F213" s="208" t="s">
        <v>27</v>
      </c>
      <c r="G213" s="208" t="s">
        <v>30</v>
      </c>
      <c r="H213" s="276">
        <v>-315.01</v>
      </c>
    </row>
    <row r="214" spans="1:8" ht="12.75" customHeight="1" x14ac:dyDescent="0.2">
      <c r="A214" s="273">
        <v>2025</v>
      </c>
      <c r="B214" s="274" t="s">
        <v>512</v>
      </c>
      <c r="C214" s="274" t="s">
        <v>655</v>
      </c>
      <c r="D214" s="208" t="s">
        <v>656</v>
      </c>
      <c r="E214" s="208" t="s">
        <v>731</v>
      </c>
      <c r="F214" s="208" t="s">
        <v>27</v>
      </c>
      <c r="G214" s="208" t="s">
        <v>30</v>
      </c>
      <c r="H214" s="275">
        <v>20.91</v>
      </c>
    </row>
    <row r="215" spans="1:8" ht="12.75" customHeight="1" x14ac:dyDescent="0.2">
      <c r="A215" s="273">
        <v>2025</v>
      </c>
      <c r="B215" s="274" t="s">
        <v>512</v>
      </c>
      <c r="C215" s="274" t="s">
        <v>647</v>
      </c>
      <c r="D215" s="208" t="s">
        <v>648</v>
      </c>
      <c r="E215" s="208" t="s">
        <v>732</v>
      </c>
      <c r="F215" s="208" t="s">
        <v>27</v>
      </c>
      <c r="G215" s="208" t="s">
        <v>30</v>
      </c>
      <c r="H215" s="275">
        <v>73.680000000000007</v>
      </c>
    </row>
    <row r="216" spans="1:8" ht="12.75" customHeight="1" x14ac:dyDescent="0.2">
      <c r="A216" s="273">
        <v>2025</v>
      </c>
      <c r="B216" s="274" t="s">
        <v>512</v>
      </c>
      <c r="C216" s="274" t="s">
        <v>647</v>
      </c>
      <c r="D216" s="208" t="s">
        <v>648</v>
      </c>
      <c r="E216" s="208" t="s">
        <v>733</v>
      </c>
      <c r="F216" s="208" t="s">
        <v>27</v>
      </c>
      <c r="G216" s="208" t="s">
        <v>30</v>
      </c>
      <c r="H216" s="275">
        <v>315.01</v>
      </c>
    </row>
    <row r="217" spans="1:8" ht="12.75" customHeight="1" x14ac:dyDescent="0.2">
      <c r="A217" s="273">
        <v>2025</v>
      </c>
      <c r="B217" s="274" t="s">
        <v>512</v>
      </c>
      <c r="C217" s="274" t="s">
        <v>691</v>
      </c>
      <c r="D217" s="208" t="s">
        <v>692</v>
      </c>
      <c r="E217" s="208" t="s">
        <v>719</v>
      </c>
      <c r="F217" s="208" t="s">
        <v>27</v>
      </c>
      <c r="G217" s="208" t="s">
        <v>30</v>
      </c>
      <c r="H217" s="275">
        <v>52.27</v>
      </c>
    </row>
    <row r="218" spans="1:8" ht="12.75" customHeight="1" x14ac:dyDescent="0.2">
      <c r="A218" s="273">
        <v>2025</v>
      </c>
      <c r="B218" s="274" t="s">
        <v>512</v>
      </c>
      <c r="C218" s="274" t="s">
        <v>706</v>
      </c>
      <c r="D218" s="208" t="s">
        <v>707</v>
      </c>
      <c r="E218" s="208" t="s">
        <v>734</v>
      </c>
      <c r="F218" s="208" t="s">
        <v>27</v>
      </c>
      <c r="G218" s="208" t="s">
        <v>30</v>
      </c>
      <c r="H218" s="275">
        <v>9.57</v>
      </c>
    </row>
    <row r="219" spans="1:8" ht="12.75" customHeight="1" x14ac:dyDescent="0.2">
      <c r="A219" s="273">
        <v>2025</v>
      </c>
      <c r="B219" s="274" t="s">
        <v>517</v>
      </c>
      <c r="C219" s="274" t="s">
        <v>647</v>
      </c>
      <c r="D219" s="208" t="s">
        <v>648</v>
      </c>
      <c r="E219" s="208" t="s">
        <v>735</v>
      </c>
      <c r="F219" s="208" t="s">
        <v>27</v>
      </c>
      <c r="G219" s="208" t="s">
        <v>30</v>
      </c>
      <c r="H219" s="275">
        <v>14.13</v>
      </c>
    </row>
    <row r="220" spans="1:8" ht="12.75" customHeight="1" x14ac:dyDescent="0.2">
      <c r="A220" s="273">
        <v>2025</v>
      </c>
      <c r="B220" s="274" t="s">
        <v>736</v>
      </c>
      <c r="C220" s="274" t="s">
        <v>672</v>
      </c>
      <c r="D220" s="208" t="s">
        <v>673</v>
      </c>
      <c r="E220" s="208" t="s">
        <v>737</v>
      </c>
      <c r="F220" s="208" t="s">
        <v>27</v>
      </c>
      <c r="G220" s="208" t="s">
        <v>30</v>
      </c>
      <c r="H220" s="275">
        <v>53.36</v>
      </c>
    </row>
    <row r="221" spans="1:8" ht="12.75" customHeight="1" x14ac:dyDescent="0.2">
      <c r="A221" s="273">
        <v>2025</v>
      </c>
      <c r="B221" s="274" t="s">
        <v>738</v>
      </c>
      <c r="C221" s="274" t="s">
        <v>672</v>
      </c>
      <c r="D221" s="208" t="s">
        <v>673</v>
      </c>
      <c r="E221" s="208" t="s">
        <v>737</v>
      </c>
      <c r="F221" s="208" t="s">
        <v>27</v>
      </c>
      <c r="G221" s="208" t="s">
        <v>30</v>
      </c>
      <c r="H221" s="275">
        <v>53.36</v>
      </c>
    </row>
    <row r="222" spans="1:8" ht="12.75" customHeight="1" x14ac:dyDescent="0.2">
      <c r="A222" s="273">
        <v>2025</v>
      </c>
      <c r="B222" s="274" t="s">
        <v>521</v>
      </c>
      <c r="C222" s="274" t="s">
        <v>661</v>
      </c>
      <c r="D222" s="208" t="s">
        <v>662</v>
      </c>
      <c r="E222" s="208" t="s">
        <v>739</v>
      </c>
      <c r="F222" s="208" t="s">
        <v>27</v>
      </c>
      <c r="G222" s="208" t="s">
        <v>30</v>
      </c>
      <c r="H222" s="275">
        <v>85.21</v>
      </c>
    </row>
    <row r="223" spans="1:8" ht="12.75" customHeight="1" x14ac:dyDescent="0.2">
      <c r="A223" s="273">
        <v>2025</v>
      </c>
      <c r="B223" s="274" t="s">
        <v>521</v>
      </c>
      <c r="C223" s="274" t="s">
        <v>664</v>
      </c>
      <c r="D223" s="208" t="s">
        <v>665</v>
      </c>
      <c r="E223" s="208" t="s">
        <v>740</v>
      </c>
      <c r="F223" s="208" t="s">
        <v>27</v>
      </c>
      <c r="G223" s="208" t="s">
        <v>30</v>
      </c>
      <c r="H223" s="275">
        <v>78.010000000000005</v>
      </c>
    </row>
    <row r="224" spans="1:8" ht="12.75" customHeight="1" x14ac:dyDescent="0.2">
      <c r="A224" s="273">
        <v>2025</v>
      </c>
      <c r="B224" s="274" t="s">
        <v>521</v>
      </c>
      <c r="C224" s="274" t="s">
        <v>700</v>
      </c>
      <c r="D224" s="208" t="s">
        <v>701</v>
      </c>
      <c r="E224" s="208" t="s">
        <v>740</v>
      </c>
      <c r="F224" s="208" t="s">
        <v>27</v>
      </c>
      <c r="G224" s="208" t="s">
        <v>30</v>
      </c>
      <c r="H224" s="275">
        <v>100.82</v>
      </c>
    </row>
    <row r="225" spans="1:8" ht="12.75" customHeight="1" x14ac:dyDescent="0.2">
      <c r="A225" s="273">
        <v>2025</v>
      </c>
      <c r="B225" s="274" t="s">
        <v>521</v>
      </c>
      <c r="C225" s="274" t="s">
        <v>716</v>
      </c>
      <c r="D225" s="208" t="s">
        <v>717</v>
      </c>
      <c r="E225" s="208" t="s">
        <v>741</v>
      </c>
      <c r="F225" s="208" t="s">
        <v>27</v>
      </c>
      <c r="G225" s="208" t="s">
        <v>30</v>
      </c>
      <c r="H225" s="275">
        <v>116.38</v>
      </c>
    </row>
    <row r="226" spans="1:8" ht="12.75" customHeight="1" x14ac:dyDescent="0.2">
      <c r="A226" s="273">
        <v>2025</v>
      </c>
      <c r="B226" s="274" t="s">
        <v>742</v>
      </c>
      <c r="C226" s="274" t="s">
        <v>672</v>
      </c>
      <c r="D226" s="208" t="s">
        <v>673</v>
      </c>
      <c r="E226" s="208" t="s">
        <v>737</v>
      </c>
      <c r="F226" s="208" t="s">
        <v>27</v>
      </c>
      <c r="G226" s="208" t="s">
        <v>30</v>
      </c>
      <c r="H226" s="275">
        <v>53.36</v>
      </c>
    </row>
    <row r="227" spans="1:8" ht="12.75" customHeight="1" x14ac:dyDescent="0.2">
      <c r="A227" s="273">
        <v>2025</v>
      </c>
      <c r="B227" s="274" t="s">
        <v>743</v>
      </c>
      <c r="C227" s="274" t="s">
        <v>672</v>
      </c>
      <c r="D227" s="208" t="s">
        <v>673</v>
      </c>
      <c r="E227" s="208" t="s">
        <v>737</v>
      </c>
      <c r="F227" s="208" t="s">
        <v>27</v>
      </c>
      <c r="G227" s="208" t="s">
        <v>30</v>
      </c>
      <c r="H227" s="275">
        <v>53.36</v>
      </c>
    </row>
    <row r="228" spans="1:8" ht="12.75" customHeight="1" x14ac:dyDescent="0.2">
      <c r="A228" s="273">
        <v>2025</v>
      </c>
      <c r="B228" s="274" t="s">
        <v>744</v>
      </c>
      <c r="C228" s="274" t="s">
        <v>672</v>
      </c>
      <c r="D228" s="208" t="s">
        <v>673</v>
      </c>
      <c r="E228" s="208" t="s">
        <v>737</v>
      </c>
      <c r="F228" s="208" t="s">
        <v>27</v>
      </c>
      <c r="G228" s="208" t="s">
        <v>30</v>
      </c>
      <c r="H228" s="275">
        <v>53.36</v>
      </c>
    </row>
    <row r="229" spans="1:8" ht="12.75" customHeight="1" x14ac:dyDescent="0.2">
      <c r="A229" s="273">
        <v>2025</v>
      </c>
      <c r="B229" s="274" t="s">
        <v>530</v>
      </c>
      <c r="C229" s="274" t="s">
        <v>655</v>
      </c>
      <c r="D229" s="208" t="s">
        <v>656</v>
      </c>
      <c r="E229" s="208" t="s">
        <v>745</v>
      </c>
      <c r="F229" s="208" t="s">
        <v>27</v>
      </c>
      <c r="G229" s="208" t="s">
        <v>30</v>
      </c>
      <c r="H229" s="275">
        <v>20.91</v>
      </c>
    </row>
    <row r="230" spans="1:8" ht="12.75" customHeight="1" x14ac:dyDescent="0.2">
      <c r="A230" s="273">
        <v>2025</v>
      </c>
      <c r="B230" s="274" t="s">
        <v>530</v>
      </c>
      <c r="C230" s="274" t="s">
        <v>691</v>
      </c>
      <c r="D230" s="208" t="s">
        <v>692</v>
      </c>
      <c r="E230" s="208" t="s">
        <v>719</v>
      </c>
      <c r="F230" s="208" t="s">
        <v>27</v>
      </c>
      <c r="G230" s="208" t="s">
        <v>30</v>
      </c>
      <c r="H230" s="275">
        <v>52.27</v>
      </c>
    </row>
    <row r="231" spans="1:8" ht="12.75" customHeight="1" x14ac:dyDescent="0.2">
      <c r="A231" s="273">
        <v>2025</v>
      </c>
      <c r="B231" s="274" t="s">
        <v>530</v>
      </c>
      <c r="C231" s="274" t="s">
        <v>706</v>
      </c>
      <c r="D231" s="208" t="s">
        <v>707</v>
      </c>
      <c r="E231" s="208" t="s">
        <v>734</v>
      </c>
      <c r="F231" s="208" t="s">
        <v>27</v>
      </c>
      <c r="G231" s="208" t="s">
        <v>30</v>
      </c>
      <c r="H231" s="275">
        <v>9.57</v>
      </c>
    </row>
    <row r="232" spans="1:8" ht="12.75" customHeight="1" x14ac:dyDescent="0.2">
      <c r="A232" s="273">
        <v>2025</v>
      </c>
      <c r="B232" s="274" t="s">
        <v>746</v>
      </c>
      <c r="C232" s="274" t="s">
        <v>647</v>
      </c>
      <c r="D232" s="208" t="s">
        <v>648</v>
      </c>
      <c r="E232" s="208" t="s">
        <v>747</v>
      </c>
      <c r="F232" s="208" t="s">
        <v>27</v>
      </c>
      <c r="G232" s="208" t="s">
        <v>30</v>
      </c>
      <c r="H232" s="275">
        <v>14.13</v>
      </c>
    </row>
    <row r="233" spans="1:8" ht="12.75" customHeight="1" x14ac:dyDescent="0.2">
      <c r="A233" s="273">
        <v>2025</v>
      </c>
      <c r="B233" s="274" t="s">
        <v>748</v>
      </c>
      <c r="C233" s="274" t="s">
        <v>661</v>
      </c>
      <c r="D233" s="208" t="s">
        <v>662</v>
      </c>
      <c r="E233" s="208" t="s">
        <v>749</v>
      </c>
      <c r="F233" s="208" t="s">
        <v>27</v>
      </c>
      <c r="G233" s="208" t="s">
        <v>30</v>
      </c>
      <c r="H233" s="275">
        <v>85.21</v>
      </c>
    </row>
    <row r="234" spans="1:8" ht="12.75" customHeight="1" x14ac:dyDescent="0.2">
      <c r="A234" s="273">
        <v>2025</v>
      </c>
      <c r="B234" s="274" t="s">
        <v>748</v>
      </c>
      <c r="C234" s="274" t="s">
        <v>664</v>
      </c>
      <c r="D234" s="208" t="s">
        <v>665</v>
      </c>
      <c r="E234" s="208" t="s">
        <v>750</v>
      </c>
      <c r="F234" s="208" t="s">
        <v>27</v>
      </c>
      <c r="G234" s="208" t="s">
        <v>30</v>
      </c>
      <c r="H234" s="275">
        <v>78.010000000000005</v>
      </c>
    </row>
    <row r="235" spans="1:8" ht="12.75" customHeight="1" x14ac:dyDescent="0.2">
      <c r="A235" s="273">
        <v>2025</v>
      </c>
      <c r="B235" s="274" t="s">
        <v>748</v>
      </c>
      <c r="C235" s="274" t="s">
        <v>700</v>
      </c>
      <c r="D235" s="208" t="s">
        <v>701</v>
      </c>
      <c r="E235" s="208" t="s">
        <v>751</v>
      </c>
      <c r="F235" s="208" t="s">
        <v>27</v>
      </c>
      <c r="G235" s="208" t="s">
        <v>30</v>
      </c>
      <c r="H235" s="275">
        <v>100.82</v>
      </c>
    </row>
    <row r="236" spans="1:8" ht="12.75" customHeight="1" x14ac:dyDescent="0.2">
      <c r="A236" s="273">
        <v>2025</v>
      </c>
      <c r="B236" s="274" t="s">
        <v>748</v>
      </c>
      <c r="C236" s="274" t="s">
        <v>716</v>
      </c>
      <c r="D236" s="208" t="s">
        <v>717</v>
      </c>
      <c r="E236" s="208" t="s">
        <v>750</v>
      </c>
      <c r="F236" s="208" t="s">
        <v>27</v>
      </c>
      <c r="G236" s="208" t="s">
        <v>30</v>
      </c>
      <c r="H236" s="275">
        <v>116.38</v>
      </c>
    </row>
    <row r="237" spans="1:8" ht="12.75" customHeight="1" x14ac:dyDescent="0.2">
      <c r="A237" s="273">
        <v>2025</v>
      </c>
      <c r="B237" s="274" t="s">
        <v>538</v>
      </c>
      <c r="C237" s="274" t="s">
        <v>655</v>
      </c>
      <c r="D237" s="208" t="s">
        <v>656</v>
      </c>
      <c r="E237" s="208" t="s">
        <v>752</v>
      </c>
      <c r="F237" s="208" t="s">
        <v>27</v>
      </c>
      <c r="G237" s="208" t="s">
        <v>30</v>
      </c>
      <c r="H237" s="275">
        <v>270.98</v>
      </c>
    </row>
    <row r="238" spans="1:8" ht="12.75" customHeight="1" x14ac:dyDescent="0.2">
      <c r="A238" s="273">
        <v>2025</v>
      </c>
      <c r="B238" s="274" t="s">
        <v>538</v>
      </c>
      <c r="C238" s="274" t="s">
        <v>691</v>
      </c>
      <c r="D238" s="208" t="s">
        <v>692</v>
      </c>
      <c r="E238" s="208" t="s">
        <v>719</v>
      </c>
      <c r="F238" s="208" t="s">
        <v>27</v>
      </c>
      <c r="G238" s="208" t="s">
        <v>30</v>
      </c>
      <c r="H238" s="275">
        <v>52.27</v>
      </c>
    </row>
    <row r="239" spans="1:8" ht="12.75" customHeight="1" x14ac:dyDescent="0.2">
      <c r="A239" s="273">
        <v>2025</v>
      </c>
      <c r="B239" s="274" t="s">
        <v>538</v>
      </c>
      <c r="C239" s="274" t="s">
        <v>706</v>
      </c>
      <c r="D239" s="208" t="s">
        <v>707</v>
      </c>
      <c r="E239" s="208" t="s">
        <v>753</v>
      </c>
      <c r="F239" s="208" t="s">
        <v>27</v>
      </c>
      <c r="G239" s="208" t="s">
        <v>30</v>
      </c>
      <c r="H239" s="275">
        <v>9.57</v>
      </c>
    </row>
    <row r="240" spans="1:8" ht="12.75" customHeight="1" x14ac:dyDescent="0.2">
      <c r="A240" s="273">
        <v>2025</v>
      </c>
      <c r="B240" s="274" t="s">
        <v>540</v>
      </c>
      <c r="C240" s="274" t="s">
        <v>647</v>
      </c>
      <c r="D240" s="208" t="s">
        <v>648</v>
      </c>
      <c r="E240" s="208" t="s">
        <v>754</v>
      </c>
      <c r="F240" s="208" t="s">
        <v>27</v>
      </c>
      <c r="G240" s="208" t="s">
        <v>30</v>
      </c>
      <c r="H240" s="275">
        <v>14.13</v>
      </c>
    </row>
    <row r="241" spans="1:8" ht="12.75" customHeight="1" x14ac:dyDescent="0.2">
      <c r="A241" s="273">
        <v>2025</v>
      </c>
      <c r="B241" s="274" t="s">
        <v>755</v>
      </c>
      <c r="C241" s="274" t="s">
        <v>664</v>
      </c>
      <c r="D241" s="208" t="s">
        <v>665</v>
      </c>
      <c r="E241" s="208" t="s">
        <v>756</v>
      </c>
      <c r="F241" s="208" t="s">
        <v>27</v>
      </c>
      <c r="G241" s="208" t="s">
        <v>30</v>
      </c>
      <c r="H241" s="276">
        <v>-357.29</v>
      </c>
    </row>
    <row r="242" spans="1:8" ht="12.75" customHeight="1" x14ac:dyDescent="0.2">
      <c r="A242" s="273">
        <v>2025</v>
      </c>
      <c r="B242" s="274" t="s">
        <v>757</v>
      </c>
      <c r="C242" s="274" t="s">
        <v>672</v>
      </c>
      <c r="D242" s="208" t="s">
        <v>673</v>
      </c>
      <c r="E242" s="208" t="s">
        <v>737</v>
      </c>
      <c r="F242" s="208" t="s">
        <v>27</v>
      </c>
      <c r="G242" s="208" t="s">
        <v>30</v>
      </c>
      <c r="H242" s="275">
        <v>53.36</v>
      </c>
    </row>
    <row r="243" spans="1:8" ht="12.75" customHeight="1" x14ac:dyDescent="0.2">
      <c r="A243" s="273">
        <v>2025</v>
      </c>
      <c r="B243" s="274" t="s">
        <v>757</v>
      </c>
      <c r="C243" s="274" t="s">
        <v>661</v>
      </c>
      <c r="D243" s="208" t="s">
        <v>662</v>
      </c>
      <c r="E243" s="208" t="s">
        <v>758</v>
      </c>
      <c r="F243" s="208" t="s">
        <v>27</v>
      </c>
      <c r="G243" s="208" t="s">
        <v>30</v>
      </c>
      <c r="H243" s="275">
        <v>85.21</v>
      </c>
    </row>
    <row r="244" spans="1:8" ht="12.75" customHeight="1" x14ac:dyDescent="0.2">
      <c r="A244" s="273">
        <v>2025</v>
      </c>
      <c r="B244" s="274" t="s">
        <v>757</v>
      </c>
      <c r="C244" s="274" t="s">
        <v>700</v>
      </c>
      <c r="D244" s="208" t="s">
        <v>701</v>
      </c>
      <c r="E244" s="208" t="s">
        <v>759</v>
      </c>
      <c r="F244" s="208" t="s">
        <v>27</v>
      </c>
      <c r="G244" s="208" t="s">
        <v>30</v>
      </c>
      <c r="H244" s="275">
        <v>100.82</v>
      </c>
    </row>
    <row r="245" spans="1:8" ht="12.75" customHeight="1" x14ac:dyDescent="0.2">
      <c r="A245" s="273">
        <v>2025</v>
      </c>
      <c r="B245" s="274" t="s">
        <v>757</v>
      </c>
      <c r="C245" s="274" t="s">
        <v>716</v>
      </c>
      <c r="D245" s="208" t="s">
        <v>717</v>
      </c>
      <c r="E245" s="208" t="s">
        <v>758</v>
      </c>
      <c r="F245" s="208" t="s">
        <v>27</v>
      </c>
      <c r="G245" s="208" t="s">
        <v>30</v>
      </c>
      <c r="H245" s="275">
        <v>116.38</v>
      </c>
    </row>
    <row r="246" spans="1:8" ht="12.75" customHeight="1" x14ac:dyDescent="0.2">
      <c r="A246" s="273">
        <v>2025</v>
      </c>
      <c r="B246" s="274" t="s">
        <v>760</v>
      </c>
      <c r="C246" s="274" t="s">
        <v>651</v>
      </c>
      <c r="D246" s="208" t="s">
        <v>652</v>
      </c>
      <c r="E246" s="208" t="s">
        <v>761</v>
      </c>
      <c r="F246" s="208" t="s">
        <v>27</v>
      </c>
      <c r="G246" s="208" t="s">
        <v>30</v>
      </c>
      <c r="H246" s="275">
        <v>15</v>
      </c>
    </row>
    <row r="247" spans="1:8" ht="12.75" customHeight="1" x14ac:dyDescent="0.2">
      <c r="A247" s="273">
        <v>2025</v>
      </c>
      <c r="B247" s="274" t="s">
        <v>762</v>
      </c>
      <c r="C247" s="274" t="s">
        <v>691</v>
      </c>
      <c r="D247" s="208" t="s">
        <v>692</v>
      </c>
      <c r="E247" s="208" t="s">
        <v>719</v>
      </c>
      <c r="F247" s="208" t="s">
        <v>27</v>
      </c>
      <c r="G247" s="208" t="s">
        <v>30</v>
      </c>
      <c r="H247" s="275">
        <v>52.27</v>
      </c>
    </row>
    <row r="248" spans="1:8" ht="12.75" customHeight="1" x14ac:dyDescent="0.2">
      <c r="A248" s="273">
        <v>2025</v>
      </c>
      <c r="B248" s="274" t="s">
        <v>762</v>
      </c>
      <c r="C248" s="274" t="s">
        <v>706</v>
      </c>
      <c r="D248" s="208" t="s">
        <v>707</v>
      </c>
      <c r="E248" s="208" t="s">
        <v>763</v>
      </c>
      <c r="F248" s="208" t="s">
        <v>27</v>
      </c>
      <c r="G248" s="208" t="s">
        <v>30</v>
      </c>
      <c r="H248" s="275">
        <v>9.57</v>
      </c>
    </row>
    <row r="249" spans="1:8" ht="12.75" customHeight="1" x14ac:dyDescent="0.2">
      <c r="A249" s="273">
        <v>2025</v>
      </c>
      <c r="B249" s="274" t="s">
        <v>551</v>
      </c>
      <c r="C249" s="274" t="s">
        <v>647</v>
      </c>
      <c r="D249" s="208" t="s">
        <v>648</v>
      </c>
      <c r="E249" s="208" t="s">
        <v>764</v>
      </c>
      <c r="F249" s="208" t="s">
        <v>27</v>
      </c>
      <c r="G249" s="208" t="s">
        <v>30</v>
      </c>
      <c r="H249" s="275">
        <v>14.13</v>
      </c>
    </row>
    <row r="250" spans="1:8" ht="12.75" customHeight="1" x14ac:dyDescent="0.2">
      <c r="A250" s="273">
        <v>2025</v>
      </c>
      <c r="B250" s="274" t="s">
        <v>765</v>
      </c>
      <c r="C250" s="274" t="s">
        <v>672</v>
      </c>
      <c r="D250" s="208" t="s">
        <v>673</v>
      </c>
      <c r="E250" s="208" t="s">
        <v>766</v>
      </c>
      <c r="F250" s="208" t="s">
        <v>27</v>
      </c>
      <c r="G250" s="208" t="s">
        <v>30</v>
      </c>
      <c r="H250" s="275">
        <v>53.36</v>
      </c>
    </row>
    <row r="251" spans="1:8" ht="12.75" customHeight="1" x14ac:dyDescent="0.2">
      <c r="A251" s="273">
        <v>2025</v>
      </c>
      <c r="B251" s="274" t="s">
        <v>767</v>
      </c>
      <c r="C251" s="274" t="s">
        <v>661</v>
      </c>
      <c r="D251" s="208" t="s">
        <v>662</v>
      </c>
      <c r="E251" s="208" t="s">
        <v>768</v>
      </c>
      <c r="F251" s="208" t="s">
        <v>27</v>
      </c>
      <c r="G251" s="208" t="s">
        <v>30</v>
      </c>
      <c r="H251" s="275">
        <v>85.21</v>
      </c>
    </row>
    <row r="252" spans="1:8" ht="12.75" customHeight="1" x14ac:dyDescent="0.2">
      <c r="A252" s="273">
        <v>2025</v>
      </c>
      <c r="B252" s="274" t="s">
        <v>767</v>
      </c>
      <c r="C252" s="274" t="s">
        <v>700</v>
      </c>
      <c r="D252" s="208" t="s">
        <v>701</v>
      </c>
      <c r="E252" s="208" t="s">
        <v>769</v>
      </c>
      <c r="F252" s="208" t="s">
        <v>27</v>
      </c>
      <c r="G252" s="208" t="s">
        <v>30</v>
      </c>
      <c r="H252" s="275">
        <v>100.82</v>
      </c>
    </row>
    <row r="253" spans="1:8" ht="12.75" customHeight="1" x14ac:dyDescent="0.2">
      <c r="A253" s="273">
        <v>2025</v>
      </c>
      <c r="B253" s="274" t="s">
        <v>767</v>
      </c>
      <c r="C253" s="274" t="s">
        <v>716</v>
      </c>
      <c r="D253" s="208" t="s">
        <v>717</v>
      </c>
      <c r="E253" s="208" t="s">
        <v>769</v>
      </c>
      <c r="F253" s="208" t="s">
        <v>27</v>
      </c>
      <c r="G253" s="208" t="s">
        <v>30</v>
      </c>
      <c r="H253" s="275">
        <v>116.38</v>
      </c>
    </row>
    <row r="254" spans="1:8" ht="12.75" customHeight="1" x14ac:dyDescent="0.2">
      <c r="A254" s="273">
        <v>2025</v>
      </c>
      <c r="B254" s="274" t="s">
        <v>770</v>
      </c>
      <c r="C254" s="274" t="s">
        <v>672</v>
      </c>
      <c r="D254" s="208" t="s">
        <v>673</v>
      </c>
      <c r="E254" s="208" t="s">
        <v>771</v>
      </c>
      <c r="F254" s="208" t="s">
        <v>27</v>
      </c>
      <c r="G254" s="208" t="s">
        <v>30</v>
      </c>
      <c r="H254" s="275">
        <v>53.36</v>
      </c>
    </row>
    <row r="255" spans="1:8" ht="12.75" customHeight="1" x14ac:dyDescent="0.2">
      <c r="A255" s="273">
        <v>2025</v>
      </c>
      <c r="B255" s="274" t="s">
        <v>770</v>
      </c>
      <c r="C255" s="274" t="s">
        <v>672</v>
      </c>
      <c r="D255" s="208" t="s">
        <v>673</v>
      </c>
      <c r="E255" s="208" t="s">
        <v>772</v>
      </c>
      <c r="F255" s="208" t="s">
        <v>27</v>
      </c>
      <c r="G255" s="208" t="s">
        <v>30</v>
      </c>
      <c r="H255" s="275">
        <v>53.36</v>
      </c>
    </row>
    <row r="256" spans="1:8" ht="12.75" customHeight="1" x14ac:dyDescent="0.2">
      <c r="A256" s="273">
        <v>2025</v>
      </c>
      <c r="B256" s="274" t="s">
        <v>770</v>
      </c>
      <c r="C256" s="274" t="s">
        <v>672</v>
      </c>
      <c r="D256" s="208" t="s">
        <v>673</v>
      </c>
      <c r="E256" s="208" t="s">
        <v>773</v>
      </c>
      <c r="F256" s="208" t="s">
        <v>27</v>
      </c>
      <c r="G256" s="208" t="s">
        <v>30</v>
      </c>
      <c r="H256" s="275">
        <v>53.36</v>
      </c>
    </row>
    <row r="257" spans="1:8" ht="12.75" customHeight="1" x14ac:dyDescent="0.2">
      <c r="A257" s="273">
        <v>2025</v>
      </c>
      <c r="B257" s="274" t="s">
        <v>770</v>
      </c>
      <c r="C257" s="274" t="s">
        <v>672</v>
      </c>
      <c r="D257" s="208" t="s">
        <v>673</v>
      </c>
      <c r="E257" s="208" t="s">
        <v>774</v>
      </c>
      <c r="F257" s="208" t="s">
        <v>27</v>
      </c>
      <c r="G257" s="208" t="s">
        <v>30</v>
      </c>
      <c r="H257" s="275">
        <v>53.36</v>
      </c>
    </row>
    <row r="258" spans="1:8" ht="12.75" customHeight="1" x14ac:dyDescent="0.2">
      <c r="A258" s="273">
        <v>2025</v>
      </c>
      <c r="B258" s="274" t="s">
        <v>770</v>
      </c>
      <c r="C258" s="274" t="s">
        <v>672</v>
      </c>
      <c r="D258" s="208" t="s">
        <v>673</v>
      </c>
      <c r="E258" s="208" t="s">
        <v>775</v>
      </c>
      <c r="F258" s="208" t="s">
        <v>27</v>
      </c>
      <c r="G258" s="208" t="s">
        <v>30</v>
      </c>
      <c r="H258" s="275">
        <v>53.36</v>
      </c>
    </row>
    <row r="259" spans="1:8" ht="12.75" customHeight="1" x14ac:dyDescent="0.2">
      <c r="A259" s="273">
        <v>2025</v>
      </c>
      <c r="B259" s="274" t="s">
        <v>770</v>
      </c>
      <c r="C259" s="274" t="s">
        <v>672</v>
      </c>
      <c r="D259" s="208" t="s">
        <v>673</v>
      </c>
      <c r="E259" s="208" t="s">
        <v>776</v>
      </c>
      <c r="F259" s="208" t="s">
        <v>27</v>
      </c>
      <c r="G259" s="208" t="s">
        <v>30</v>
      </c>
      <c r="H259" s="275">
        <v>53.36</v>
      </c>
    </row>
    <row r="260" spans="1:8" ht="12.75" customHeight="1" x14ac:dyDescent="0.2">
      <c r="A260" s="273">
        <v>2025</v>
      </c>
      <c r="B260" s="274" t="s">
        <v>770</v>
      </c>
      <c r="C260" s="274" t="s">
        <v>672</v>
      </c>
      <c r="D260" s="208" t="s">
        <v>673</v>
      </c>
      <c r="E260" s="208" t="s">
        <v>777</v>
      </c>
      <c r="F260" s="208" t="s">
        <v>27</v>
      </c>
      <c r="G260" s="208" t="s">
        <v>30</v>
      </c>
      <c r="H260" s="275">
        <v>53.36</v>
      </c>
    </row>
    <row r="261" spans="1:8" ht="12.75" customHeight="1" x14ac:dyDescent="0.2">
      <c r="A261" s="273">
        <v>2025</v>
      </c>
      <c r="B261" s="274" t="s">
        <v>770</v>
      </c>
      <c r="C261" s="274" t="s">
        <v>672</v>
      </c>
      <c r="D261" s="208" t="s">
        <v>673</v>
      </c>
      <c r="E261" s="208" t="s">
        <v>778</v>
      </c>
      <c r="F261" s="208" t="s">
        <v>27</v>
      </c>
      <c r="G261" s="208" t="s">
        <v>30</v>
      </c>
      <c r="H261" s="275">
        <v>53.36</v>
      </c>
    </row>
    <row r="262" spans="1:8" ht="12.75" customHeight="1" x14ac:dyDescent="0.2">
      <c r="A262" s="273">
        <v>2025</v>
      </c>
      <c r="B262" s="274" t="s">
        <v>779</v>
      </c>
      <c r="C262" s="274" t="s">
        <v>691</v>
      </c>
      <c r="D262" s="208" t="s">
        <v>692</v>
      </c>
      <c r="E262" s="208" t="s">
        <v>719</v>
      </c>
      <c r="F262" s="208" t="s">
        <v>27</v>
      </c>
      <c r="G262" s="208" t="s">
        <v>30</v>
      </c>
      <c r="H262" s="275">
        <v>52.27</v>
      </c>
    </row>
    <row r="263" spans="1:8" ht="12.75" customHeight="1" x14ac:dyDescent="0.2">
      <c r="A263" s="273">
        <v>2025</v>
      </c>
      <c r="B263" s="274" t="s">
        <v>779</v>
      </c>
      <c r="C263" s="274" t="s">
        <v>706</v>
      </c>
      <c r="D263" s="208" t="s">
        <v>707</v>
      </c>
      <c r="E263" s="208" t="s">
        <v>780</v>
      </c>
      <c r="F263" s="208" t="s">
        <v>27</v>
      </c>
      <c r="G263" s="208" t="s">
        <v>30</v>
      </c>
      <c r="H263" s="275">
        <v>9.57</v>
      </c>
    </row>
    <row r="264" spans="1:8" ht="12.75" customHeight="1" x14ac:dyDescent="0.2">
      <c r="A264" s="273">
        <v>2025</v>
      </c>
      <c r="B264" s="274" t="s">
        <v>781</v>
      </c>
      <c r="C264" s="274" t="s">
        <v>647</v>
      </c>
      <c r="D264" s="208" t="s">
        <v>648</v>
      </c>
      <c r="E264" s="208" t="s">
        <v>782</v>
      </c>
      <c r="F264" s="208" t="s">
        <v>27</v>
      </c>
      <c r="G264" s="208" t="s">
        <v>30</v>
      </c>
      <c r="H264" s="275">
        <v>14.13</v>
      </c>
    </row>
    <row r="265" spans="1:8" ht="12.75" customHeight="1" x14ac:dyDescent="0.2">
      <c r="A265" s="273">
        <v>2025</v>
      </c>
      <c r="B265" s="274" t="s">
        <v>783</v>
      </c>
      <c r="C265" s="274" t="s">
        <v>647</v>
      </c>
      <c r="D265" s="208" t="s">
        <v>648</v>
      </c>
      <c r="E265" s="208" t="s">
        <v>784</v>
      </c>
      <c r="F265" s="208" t="s">
        <v>27</v>
      </c>
      <c r="G265" s="208" t="s">
        <v>30</v>
      </c>
      <c r="H265" s="275">
        <v>1.59</v>
      </c>
    </row>
    <row r="266" spans="1:8" ht="12.75" customHeight="1" x14ac:dyDescent="0.2">
      <c r="A266" s="273">
        <v>2025</v>
      </c>
      <c r="B266" s="274" t="s">
        <v>785</v>
      </c>
      <c r="C266" s="274" t="s">
        <v>661</v>
      </c>
      <c r="D266" s="208" t="s">
        <v>662</v>
      </c>
      <c r="E266" s="208" t="s">
        <v>786</v>
      </c>
      <c r="F266" s="208" t="s">
        <v>27</v>
      </c>
      <c r="G266" s="208" t="s">
        <v>30</v>
      </c>
      <c r="H266" s="275">
        <v>85.21</v>
      </c>
    </row>
    <row r="267" spans="1:8" ht="12.75" customHeight="1" x14ac:dyDescent="0.2">
      <c r="A267" s="273">
        <v>2025</v>
      </c>
      <c r="B267" s="274" t="s">
        <v>785</v>
      </c>
      <c r="C267" s="274" t="s">
        <v>700</v>
      </c>
      <c r="D267" s="208" t="s">
        <v>701</v>
      </c>
      <c r="E267" s="208" t="s">
        <v>787</v>
      </c>
      <c r="F267" s="208" t="s">
        <v>27</v>
      </c>
      <c r="G267" s="208" t="s">
        <v>30</v>
      </c>
      <c r="H267" s="275">
        <v>100.82</v>
      </c>
    </row>
    <row r="268" spans="1:8" ht="12.75" customHeight="1" x14ac:dyDescent="0.2">
      <c r="A268" s="273">
        <v>2025</v>
      </c>
      <c r="B268" s="274" t="s">
        <v>785</v>
      </c>
      <c r="C268" s="274" t="s">
        <v>716</v>
      </c>
      <c r="D268" s="208" t="s">
        <v>717</v>
      </c>
      <c r="E268" s="208" t="s">
        <v>786</v>
      </c>
      <c r="F268" s="208" t="s">
        <v>27</v>
      </c>
      <c r="G268" s="208" t="s">
        <v>30</v>
      </c>
      <c r="H268" s="275">
        <v>116.38</v>
      </c>
    </row>
    <row r="269" spans="1:8" ht="12.75" customHeight="1" x14ac:dyDescent="0.2">
      <c r="A269" s="273">
        <v>2025</v>
      </c>
      <c r="B269" s="274" t="s">
        <v>566</v>
      </c>
      <c r="C269" s="274" t="s">
        <v>647</v>
      </c>
      <c r="D269" s="208" t="s">
        <v>648</v>
      </c>
      <c r="E269" s="208" t="s">
        <v>788</v>
      </c>
      <c r="F269" s="208" t="s">
        <v>27</v>
      </c>
      <c r="G269" s="208" t="s">
        <v>30</v>
      </c>
      <c r="H269" s="275">
        <v>5.58</v>
      </c>
    </row>
    <row r="270" spans="1:8" ht="12.75" customHeight="1" x14ac:dyDescent="0.2">
      <c r="A270" s="273">
        <v>2025</v>
      </c>
      <c r="B270" s="274" t="s">
        <v>566</v>
      </c>
      <c r="C270" s="274" t="s">
        <v>647</v>
      </c>
      <c r="D270" s="208" t="s">
        <v>648</v>
      </c>
      <c r="E270" s="208" t="s">
        <v>789</v>
      </c>
      <c r="F270" s="208" t="s">
        <v>27</v>
      </c>
      <c r="G270" s="208" t="s">
        <v>30</v>
      </c>
      <c r="H270" s="275">
        <v>5.25</v>
      </c>
    </row>
    <row r="271" spans="1:8" ht="12.75" customHeight="1" x14ac:dyDescent="0.2">
      <c r="A271" s="273">
        <v>2025</v>
      </c>
      <c r="B271" s="274" t="s">
        <v>790</v>
      </c>
      <c r="C271" s="274" t="s">
        <v>691</v>
      </c>
      <c r="D271" s="208" t="s">
        <v>692</v>
      </c>
      <c r="E271" s="208" t="s">
        <v>719</v>
      </c>
      <c r="F271" s="208" t="s">
        <v>27</v>
      </c>
      <c r="G271" s="208" t="s">
        <v>30</v>
      </c>
      <c r="H271" s="275">
        <v>52.27</v>
      </c>
    </row>
    <row r="272" spans="1:8" ht="12.75" customHeight="1" x14ac:dyDescent="0.2">
      <c r="A272" s="273">
        <v>2025</v>
      </c>
      <c r="B272" s="274" t="s">
        <v>790</v>
      </c>
      <c r="C272" s="274" t="s">
        <v>706</v>
      </c>
      <c r="D272" s="208" t="s">
        <v>707</v>
      </c>
      <c r="E272" s="208" t="s">
        <v>791</v>
      </c>
      <c r="F272" s="208" t="s">
        <v>27</v>
      </c>
      <c r="G272" s="208" t="s">
        <v>30</v>
      </c>
      <c r="H272" s="275">
        <v>9.57</v>
      </c>
    </row>
    <row r="273" spans="1:8" ht="12.75" customHeight="1" x14ac:dyDescent="0.2">
      <c r="A273" s="273">
        <v>2025</v>
      </c>
      <c r="B273" s="274" t="s">
        <v>792</v>
      </c>
      <c r="C273" s="274" t="s">
        <v>647</v>
      </c>
      <c r="D273" s="208" t="s">
        <v>648</v>
      </c>
      <c r="E273" s="208" t="s">
        <v>793</v>
      </c>
      <c r="F273" s="208" t="s">
        <v>27</v>
      </c>
      <c r="G273" s="208" t="s">
        <v>30</v>
      </c>
      <c r="H273" s="275">
        <v>14.13</v>
      </c>
    </row>
    <row r="274" spans="1:8" ht="12.75" customHeight="1" x14ac:dyDescent="0.2">
      <c r="A274" s="273">
        <v>2025</v>
      </c>
      <c r="B274" s="274" t="s">
        <v>794</v>
      </c>
      <c r="C274" s="274" t="s">
        <v>647</v>
      </c>
      <c r="D274" s="208" t="s">
        <v>648</v>
      </c>
      <c r="E274" s="208" t="s">
        <v>795</v>
      </c>
      <c r="F274" s="208" t="s">
        <v>27</v>
      </c>
      <c r="G274" s="208" t="s">
        <v>30</v>
      </c>
      <c r="H274" s="275">
        <v>2.42</v>
      </c>
    </row>
    <row r="275" spans="1:8" ht="12.75" customHeight="1" x14ac:dyDescent="0.2">
      <c r="A275" s="273">
        <v>2025</v>
      </c>
      <c r="B275" s="274" t="s">
        <v>796</v>
      </c>
      <c r="C275" s="274" t="s">
        <v>661</v>
      </c>
      <c r="D275" s="208" t="s">
        <v>662</v>
      </c>
      <c r="E275" s="208" t="s">
        <v>797</v>
      </c>
      <c r="F275" s="208" t="s">
        <v>27</v>
      </c>
      <c r="G275" s="208" t="s">
        <v>30</v>
      </c>
      <c r="H275" s="275">
        <v>85.21</v>
      </c>
    </row>
    <row r="276" spans="1:8" ht="12.75" customHeight="1" x14ac:dyDescent="0.2">
      <c r="A276" s="273">
        <v>2025</v>
      </c>
      <c r="B276" s="274" t="s">
        <v>796</v>
      </c>
      <c r="C276" s="274" t="s">
        <v>700</v>
      </c>
      <c r="D276" s="208" t="s">
        <v>701</v>
      </c>
      <c r="E276" s="208" t="s">
        <v>797</v>
      </c>
      <c r="F276" s="208" t="s">
        <v>27</v>
      </c>
      <c r="G276" s="208" t="s">
        <v>30</v>
      </c>
      <c r="H276" s="275">
        <v>100.82</v>
      </c>
    </row>
    <row r="277" spans="1:8" ht="12.75" customHeight="1" x14ac:dyDescent="0.2">
      <c r="A277" s="273">
        <v>2025</v>
      </c>
      <c r="B277" s="274" t="s">
        <v>796</v>
      </c>
      <c r="C277" s="274" t="s">
        <v>716</v>
      </c>
      <c r="D277" s="208" t="s">
        <v>717</v>
      </c>
      <c r="E277" s="208" t="s">
        <v>797</v>
      </c>
      <c r="F277" s="208" t="s">
        <v>27</v>
      </c>
      <c r="G277" s="208" t="s">
        <v>30</v>
      </c>
      <c r="H277" s="275">
        <v>116.38</v>
      </c>
    </row>
    <row r="278" spans="1:8" ht="12.75" customHeight="1" x14ac:dyDescent="0.2">
      <c r="A278" s="273">
        <v>2025</v>
      </c>
      <c r="B278" s="274" t="s">
        <v>798</v>
      </c>
      <c r="C278" s="274" t="s">
        <v>647</v>
      </c>
      <c r="D278" s="208" t="s">
        <v>648</v>
      </c>
      <c r="E278" s="208" t="s">
        <v>799</v>
      </c>
      <c r="F278" s="208" t="s">
        <v>27</v>
      </c>
      <c r="G278" s="208" t="s">
        <v>30</v>
      </c>
      <c r="H278" s="275">
        <v>5.58</v>
      </c>
    </row>
    <row r="279" spans="1:8" ht="12.75" customHeight="1" x14ac:dyDescent="0.2">
      <c r="A279" s="273">
        <v>2025</v>
      </c>
      <c r="B279" s="274" t="s">
        <v>798</v>
      </c>
      <c r="C279" s="274" t="s">
        <v>647</v>
      </c>
      <c r="D279" s="208" t="s">
        <v>648</v>
      </c>
      <c r="E279" s="208" t="s">
        <v>800</v>
      </c>
      <c r="F279" s="208" t="s">
        <v>27</v>
      </c>
      <c r="G279" s="208" t="s">
        <v>30</v>
      </c>
      <c r="H279" s="275">
        <v>5.25</v>
      </c>
    </row>
    <row r="280" spans="1:8" ht="12.75" customHeight="1" x14ac:dyDescent="0.2">
      <c r="A280" s="273">
        <v>2025</v>
      </c>
      <c r="B280" s="274" t="s">
        <v>581</v>
      </c>
      <c r="C280" s="274" t="s">
        <v>801</v>
      </c>
      <c r="D280" s="208" t="s">
        <v>802</v>
      </c>
      <c r="E280" s="208" t="s">
        <v>803</v>
      </c>
      <c r="F280" s="208" t="s">
        <v>27</v>
      </c>
      <c r="G280" s="208" t="s">
        <v>30</v>
      </c>
      <c r="H280" s="276">
        <v>-7.27</v>
      </c>
    </row>
    <row r="281" spans="1:8" ht="12.75" customHeight="1" x14ac:dyDescent="0.2">
      <c r="A281" s="273">
        <v>2025</v>
      </c>
      <c r="B281" s="274" t="s">
        <v>581</v>
      </c>
      <c r="C281" s="274" t="s">
        <v>801</v>
      </c>
      <c r="D281" s="208" t="s">
        <v>802</v>
      </c>
      <c r="E281" s="208" t="s">
        <v>804</v>
      </c>
      <c r="F281" s="208" t="s">
        <v>27</v>
      </c>
      <c r="G281" s="208" t="s">
        <v>30</v>
      </c>
      <c r="H281" s="275">
        <v>2.54</v>
      </c>
    </row>
    <row r="282" spans="1:8" ht="12.75" customHeight="1" x14ac:dyDescent="0.2">
      <c r="A282" s="273">
        <v>2025</v>
      </c>
      <c r="B282" s="274" t="s">
        <v>581</v>
      </c>
      <c r="C282" s="274" t="s">
        <v>801</v>
      </c>
      <c r="D282" s="208" t="s">
        <v>802</v>
      </c>
      <c r="E282" s="208" t="s">
        <v>805</v>
      </c>
      <c r="F282" s="208" t="s">
        <v>27</v>
      </c>
      <c r="G282" s="208" t="s">
        <v>30</v>
      </c>
      <c r="H282" s="275">
        <v>2.7</v>
      </c>
    </row>
    <row r="283" spans="1:8" ht="12.75" customHeight="1" x14ac:dyDescent="0.2">
      <c r="A283" s="273">
        <v>2025</v>
      </c>
      <c r="B283" s="274" t="s">
        <v>581</v>
      </c>
      <c r="C283" s="274" t="s">
        <v>801</v>
      </c>
      <c r="D283" s="208" t="s">
        <v>802</v>
      </c>
      <c r="E283" s="208" t="s">
        <v>806</v>
      </c>
      <c r="F283" s="208" t="s">
        <v>27</v>
      </c>
      <c r="G283" s="208" t="s">
        <v>30</v>
      </c>
      <c r="H283" s="275">
        <v>2.0299999999999998</v>
      </c>
    </row>
    <row r="284" spans="1:8" ht="12.75" customHeight="1" x14ac:dyDescent="0.2">
      <c r="A284" s="273">
        <v>2025</v>
      </c>
      <c r="B284" s="274" t="s">
        <v>581</v>
      </c>
      <c r="C284" s="274" t="s">
        <v>655</v>
      </c>
      <c r="D284" s="208" t="s">
        <v>656</v>
      </c>
      <c r="E284" s="208" t="s">
        <v>807</v>
      </c>
      <c r="F284" s="208" t="s">
        <v>27</v>
      </c>
      <c r="G284" s="208" t="s">
        <v>30</v>
      </c>
      <c r="H284" s="276">
        <v>-180.65</v>
      </c>
    </row>
    <row r="285" spans="1:8" ht="12.75" customHeight="1" x14ac:dyDescent="0.2">
      <c r="A285" s="273">
        <v>2025</v>
      </c>
      <c r="B285" s="274" t="s">
        <v>581</v>
      </c>
      <c r="C285" s="274" t="s">
        <v>647</v>
      </c>
      <c r="D285" s="208" t="s">
        <v>648</v>
      </c>
      <c r="E285" s="208" t="s">
        <v>808</v>
      </c>
      <c r="F285" s="208" t="s">
        <v>27</v>
      </c>
      <c r="G285" s="208" t="s">
        <v>30</v>
      </c>
      <c r="H285" s="276">
        <v>-60.32</v>
      </c>
    </row>
    <row r="286" spans="1:8" ht="12.75" customHeight="1" x14ac:dyDescent="0.2">
      <c r="A286" s="273">
        <v>2025</v>
      </c>
      <c r="B286" s="274" t="s">
        <v>581</v>
      </c>
      <c r="C286" s="274" t="s">
        <v>647</v>
      </c>
      <c r="D286" s="208" t="s">
        <v>648</v>
      </c>
      <c r="E286" s="208" t="s">
        <v>809</v>
      </c>
      <c r="F286" s="208" t="s">
        <v>27</v>
      </c>
      <c r="G286" s="208" t="s">
        <v>30</v>
      </c>
      <c r="H286" s="276">
        <v>-257.91000000000003</v>
      </c>
    </row>
    <row r="287" spans="1:8" ht="12.75" customHeight="1" x14ac:dyDescent="0.2">
      <c r="A287" s="273">
        <v>2025</v>
      </c>
      <c r="B287" s="274" t="s">
        <v>581</v>
      </c>
      <c r="C287" s="274" t="s">
        <v>647</v>
      </c>
      <c r="D287" s="208" t="s">
        <v>648</v>
      </c>
      <c r="E287" s="208" t="s">
        <v>803</v>
      </c>
      <c r="F287" s="208" t="s">
        <v>27</v>
      </c>
      <c r="G287" s="208" t="s">
        <v>30</v>
      </c>
      <c r="H287" s="275">
        <v>7.27</v>
      </c>
    </row>
    <row r="288" spans="1:8" ht="12.75" customHeight="1" x14ac:dyDescent="0.2">
      <c r="A288" s="273">
        <v>2025</v>
      </c>
      <c r="B288" s="274" t="s">
        <v>581</v>
      </c>
      <c r="C288" s="274" t="s">
        <v>651</v>
      </c>
      <c r="D288" s="208" t="s">
        <v>652</v>
      </c>
      <c r="E288" s="208" t="s">
        <v>810</v>
      </c>
      <c r="F288" s="208" t="s">
        <v>27</v>
      </c>
      <c r="G288" s="208" t="s">
        <v>30</v>
      </c>
      <c r="H288" s="275">
        <v>30</v>
      </c>
    </row>
    <row r="289" spans="1:8" ht="12.75" customHeight="1" x14ac:dyDescent="0.2">
      <c r="A289" s="273">
        <v>2025</v>
      </c>
      <c r="B289" s="274" t="s">
        <v>654</v>
      </c>
      <c r="C289" s="274" t="s">
        <v>811</v>
      </c>
      <c r="D289" s="208" t="s">
        <v>812</v>
      </c>
      <c r="E289" s="208" t="s">
        <v>813</v>
      </c>
      <c r="F289" s="208" t="s">
        <v>27</v>
      </c>
      <c r="G289" s="208" t="s">
        <v>368</v>
      </c>
      <c r="H289" s="275">
        <v>0.1</v>
      </c>
    </row>
    <row r="290" spans="1:8" ht="12.75" customHeight="1" x14ac:dyDescent="0.2">
      <c r="A290" s="273">
        <v>2025</v>
      </c>
      <c r="B290" s="274" t="s">
        <v>447</v>
      </c>
      <c r="C290" s="274" t="s">
        <v>814</v>
      </c>
      <c r="D290" s="208" t="s">
        <v>815</v>
      </c>
      <c r="E290" s="208" t="s">
        <v>816</v>
      </c>
      <c r="F290" s="208" t="s">
        <v>27</v>
      </c>
      <c r="G290" s="208" t="s">
        <v>368</v>
      </c>
      <c r="H290" s="275">
        <v>30</v>
      </c>
    </row>
    <row r="291" spans="1:8" ht="12.75" customHeight="1" x14ac:dyDescent="0.2">
      <c r="A291" s="273">
        <v>2025</v>
      </c>
      <c r="B291" s="274" t="s">
        <v>447</v>
      </c>
      <c r="C291" s="274" t="s">
        <v>814</v>
      </c>
      <c r="D291" s="208" t="s">
        <v>815</v>
      </c>
      <c r="E291" s="208" t="s">
        <v>816</v>
      </c>
      <c r="F291" s="208" t="s">
        <v>27</v>
      </c>
      <c r="G291" s="208" t="s">
        <v>368</v>
      </c>
      <c r="H291" s="275">
        <v>30</v>
      </c>
    </row>
    <row r="292" spans="1:8" ht="12.75" customHeight="1" x14ac:dyDescent="0.2">
      <c r="A292" s="273">
        <v>2025</v>
      </c>
      <c r="B292" s="274" t="s">
        <v>817</v>
      </c>
      <c r="C292" s="274" t="s">
        <v>811</v>
      </c>
      <c r="D292" s="208" t="s">
        <v>812</v>
      </c>
      <c r="E292" s="208" t="s">
        <v>818</v>
      </c>
      <c r="F292" s="208" t="s">
        <v>27</v>
      </c>
      <c r="G292" s="208" t="s">
        <v>368</v>
      </c>
      <c r="H292" s="275">
        <v>0.15</v>
      </c>
    </row>
    <row r="293" spans="1:8" ht="12.75" customHeight="1" x14ac:dyDescent="0.2">
      <c r="A293" s="273">
        <v>2025</v>
      </c>
      <c r="B293" s="274" t="s">
        <v>819</v>
      </c>
      <c r="C293" s="274" t="s">
        <v>811</v>
      </c>
      <c r="D293" s="208" t="s">
        <v>812</v>
      </c>
      <c r="E293" s="208" t="s">
        <v>820</v>
      </c>
      <c r="F293" s="208" t="s">
        <v>27</v>
      </c>
      <c r="G293" s="208" t="s">
        <v>368</v>
      </c>
      <c r="H293" s="275">
        <v>2</v>
      </c>
    </row>
    <row r="294" spans="1:8" ht="12.75" customHeight="1" x14ac:dyDescent="0.2">
      <c r="A294" s="273">
        <v>2025</v>
      </c>
      <c r="B294" s="274" t="s">
        <v>821</v>
      </c>
      <c r="C294" s="274" t="s">
        <v>811</v>
      </c>
      <c r="D294" s="208" t="s">
        <v>812</v>
      </c>
      <c r="E294" s="208" t="s">
        <v>822</v>
      </c>
      <c r="F294" s="208" t="s">
        <v>27</v>
      </c>
      <c r="G294" s="208" t="s">
        <v>368</v>
      </c>
      <c r="H294" s="275">
        <v>0.02</v>
      </c>
    </row>
    <row r="295" spans="1:8" ht="12.75" customHeight="1" x14ac:dyDescent="0.2">
      <c r="A295" s="273">
        <v>2025</v>
      </c>
      <c r="B295" s="274" t="s">
        <v>675</v>
      </c>
      <c r="C295" s="274" t="s">
        <v>823</v>
      </c>
      <c r="D295" s="208" t="s">
        <v>824</v>
      </c>
      <c r="E295" s="208" t="s">
        <v>825</v>
      </c>
      <c r="F295" s="208" t="s">
        <v>27</v>
      </c>
      <c r="G295" s="208" t="s">
        <v>368</v>
      </c>
      <c r="H295" s="275">
        <v>90</v>
      </c>
    </row>
    <row r="296" spans="1:8" ht="12.75" customHeight="1" x14ac:dyDescent="0.2">
      <c r="A296" s="273">
        <v>2025</v>
      </c>
      <c r="B296" s="274" t="s">
        <v>459</v>
      </c>
      <c r="C296" s="274" t="s">
        <v>811</v>
      </c>
      <c r="D296" s="208" t="s">
        <v>812</v>
      </c>
      <c r="E296" s="208" t="s">
        <v>820</v>
      </c>
      <c r="F296" s="208" t="s">
        <v>27</v>
      </c>
      <c r="G296" s="208" t="s">
        <v>368</v>
      </c>
      <c r="H296" s="275">
        <v>2</v>
      </c>
    </row>
    <row r="297" spans="1:8" ht="12.75" customHeight="1" x14ac:dyDescent="0.2">
      <c r="A297" s="273">
        <v>2025</v>
      </c>
      <c r="B297" s="274" t="s">
        <v>826</v>
      </c>
      <c r="C297" s="274" t="s">
        <v>811</v>
      </c>
      <c r="D297" s="208" t="s">
        <v>812</v>
      </c>
      <c r="E297" s="208" t="s">
        <v>827</v>
      </c>
      <c r="F297" s="208" t="s">
        <v>27</v>
      </c>
      <c r="G297" s="208" t="s">
        <v>368</v>
      </c>
      <c r="H297" s="275">
        <v>0.39</v>
      </c>
    </row>
    <row r="298" spans="1:8" ht="12.75" customHeight="1" x14ac:dyDescent="0.2">
      <c r="A298" s="273">
        <v>2025</v>
      </c>
      <c r="B298" s="274" t="s">
        <v>828</v>
      </c>
      <c r="C298" s="274" t="s">
        <v>811</v>
      </c>
      <c r="D298" s="208" t="s">
        <v>812</v>
      </c>
      <c r="E298" s="208" t="s">
        <v>820</v>
      </c>
      <c r="F298" s="208" t="s">
        <v>27</v>
      </c>
      <c r="G298" s="208" t="s">
        <v>368</v>
      </c>
      <c r="H298" s="275">
        <v>2</v>
      </c>
    </row>
    <row r="299" spans="1:8" ht="12.75" customHeight="1" x14ac:dyDescent="0.2">
      <c r="A299" s="273">
        <v>2025</v>
      </c>
      <c r="B299" s="274" t="s">
        <v>468</v>
      </c>
      <c r="C299" s="274" t="s">
        <v>811</v>
      </c>
      <c r="D299" s="208" t="s">
        <v>812</v>
      </c>
      <c r="E299" s="208" t="s">
        <v>829</v>
      </c>
      <c r="F299" s="208" t="s">
        <v>27</v>
      </c>
      <c r="G299" s="208" t="s">
        <v>368</v>
      </c>
      <c r="H299" s="275">
        <v>0.16</v>
      </c>
    </row>
    <row r="300" spans="1:8" ht="12.75" customHeight="1" x14ac:dyDescent="0.2">
      <c r="A300" s="273">
        <v>2025</v>
      </c>
      <c r="B300" s="274" t="s">
        <v>468</v>
      </c>
      <c r="C300" s="274" t="s">
        <v>811</v>
      </c>
      <c r="D300" s="208" t="s">
        <v>812</v>
      </c>
      <c r="E300" s="208" t="s">
        <v>830</v>
      </c>
      <c r="F300" s="208" t="s">
        <v>27</v>
      </c>
      <c r="G300" s="208" t="s">
        <v>368</v>
      </c>
      <c r="H300" s="275">
        <v>0.09</v>
      </c>
    </row>
    <row r="301" spans="1:8" ht="12.75" customHeight="1" x14ac:dyDescent="0.2">
      <c r="A301" s="273">
        <v>2025</v>
      </c>
      <c r="B301" s="274" t="s">
        <v>694</v>
      </c>
      <c r="C301" s="274" t="s">
        <v>811</v>
      </c>
      <c r="D301" s="208" t="s">
        <v>812</v>
      </c>
      <c r="E301" s="208" t="s">
        <v>831</v>
      </c>
      <c r="F301" s="208" t="s">
        <v>27</v>
      </c>
      <c r="G301" s="208" t="s">
        <v>368</v>
      </c>
      <c r="H301" s="275">
        <v>1.24</v>
      </c>
    </row>
    <row r="302" spans="1:8" ht="12.75" customHeight="1" x14ac:dyDescent="0.2">
      <c r="A302" s="273">
        <v>2025</v>
      </c>
      <c r="B302" s="274" t="s">
        <v>832</v>
      </c>
      <c r="C302" s="274" t="s">
        <v>811</v>
      </c>
      <c r="D302" s="208" t="s">
        <v>812</v>
      </c>
      <c r="E302" s="208" t="s">
        <v>833</v>
      </c>
      <c r="F302" s="208" t="s">
        <v>27</v>
      </c>
      <c r="G302" s="208" t="s">
        <v>368</v>
      </c>
      <c r="H302" s="275">
        <v>0.01</v>
      </c>
    </row>
    <row r="303" spans="1:8" ht="12.75" customHeight="1" x14ac:dyDescent="0.2">
      <c r="A303" s="273">
        <v>2025</v>
      </c>
      <c r="B303" s="274" t="s">
        <v>702</v>
      </c>
      <c r="C303" s="274" t="s">
        <v>811</v>
      </c>
      <c r="D303" s="208" t="s">
        <v>812</v>
      </c>
      <c r="E303" s="208" t="s">
        <v>818</v>
      </c>
      <c r="F303" s="208" t="s">
        <v>27</v>
      </c>
      <c r="G303" s="208" t="s">
        <v>368</v>
      </c>
      <c r="H303" s="275">
        <v>0.09</v>
      </c>
    </row>
    <row r="304" spans="1:8" ht="12.75" customHeight="1" x14ac:dyDescent="0.2">
      <c r="A304" s="273">
        <v>2025</v>
      </c>
      <c r="B304" s="274" t="s">
        <v>834</v>
      </c>
      <c r="C304" s="274" t="s">
        <v>811</v>
      </c>
      <c r="D304" s="208" t="s">
        <v>812</v>
      </c>
      <c r="E304" s="208" t="s">
        <v>820</v>
      </c>
      <c r="F304" s="208" t="s">
        <v>27</v>
      </c>
      <c r="G304" s="208" t="s">
        <v>368</v>
      </c>
      <c r="H304" s="275">
        <v>2</v>
      </c>
    </row>
    <row r="305" spans="1:8" ht="12.75" customHeight="1" x14ac:dyDescent="0.2">
      <c r="A305" s="273">
        <v>2025</v>
      </c>
      <c r="B305" s="274" t="s">
        <v>480</v>
      </c>
      <c r="C305" s="274" t="s">
        <v>811</v>
      </c>
      <c r="D305" s="208" t="s">
        <v>812</v>
      </c>
      <c r="E305" s="208" t="s">
        <v>835</v>
      </c>
      <c r="F305" s="208" t="s">
        <v>27</v>
      </c>
      <c r="G305" s="208" t="s">
        <v>368</v>
      </c>
      <c r="H305" s="275">
        <v>0.01</v>
      </c>
    </row>
    <row r="306" spans="1:8" ht="12.75" customHeight="1" x14ac:dyDescent="0.2">
      <c r="A306" s="273">
        <v>2025</v>
      </c>
      <c r="B306" s="274" t="s">
        <v>480</v>
      </c>
      <c r="C306" s="274" t="s">
        <v>811</v>
      </c>
      <c r="D306" s="208" t="s">
        <v>812</v>
      </c>
      <c r="E306" s="208" t="s">
        <v>836</v>
      </c>
      <c r="F306" s="208" t="s">
        <v>27</v>
      </c>
      <c r="G306" s="208" t="s">
        <v>368</v>
      </c>
      <c r="H306" s="275">
        <v>0.27</v>
      </c>
    </row>
    <row r="307" spans="1:8" ht="12.75" customHeight="1" x14ac:dyDescent="0.2">
      <c r="A307" s="273">
        <v>2025</v>
      </c>
      <c r="B307" s="274" t="s">
        <v>837</v>
      </c>
      <c r="C307" s="274" t="s">
        <v>811</v>
      </c>
      <c r="D307" s="208" t="s">
        <v>812</v>
      </c>
      <c r="E307" s="208" t="s">
        <v>827</v>
      </c>
      <c r="F307" s="208" t="s">
        <v>27</v>
      </c>
      <c r="G307" s="208" t="s">
        <v>368</v>
      </c>
      <c r="H307" s="275">
        <v>1.51</v>
      </c>
    </row>
    <row r="308" spans="1:8" ht="12.75" customHeight="1" x14ac:dyDescent="0.2">
      <c r="A308" s="273">
        <v>2025</v>
      </c>
      <c r="B308" s="274" t="s">
        <v>489</v>
      </c>
      <c r="C308" s="274" t="s">
        <v>838</v>
      </c>
      <c r="D308" s="208" t="s">
        <v>839</v>
      </c>
      <c r="E308" s="208" t="s">
        <v>840</v>
      </c>
      <c r="F308" s="208" t="s">
        <v>27</v>
      </c>
      <c r="G308" s="208" t="s">
        <v>368</v>
      </c>
      <c r="H308" s="275">
        <v>3000</v>
      </c>
    </row>
    <row r="309" spans="1:8" ht="12.75" customHeight="1" x14ac:dyDescent="0.2">
      <c r="A309" s="273">
        <v>2025</v>
      </c>
      <c r="B309" s="274" t="s">
        <v>841</v>
      </c>
      <c r="C309" s="274" t="s">
        <v>811</v>
      </c>
      <c r="D309" s="208" t="s">
        <v>812</v>
      </c>
      <c r="E309" s="208" t="s">
        <v>818</v>
      </c>
      <c r="F309" s="208" t="s">
        <v>27</v>
      </c>
      <c r="G309" s="208" t="s">
        <v>368</v>
      </c>
      <c r="H309" s="275">
        <v>0.2</v>
      </c>
    </row>
    <row r="310" spans="1:8" ht="12.75" customHeight="1" x14ac:dyDescent="0.2">
      <c r="A310" s="273">
        <v>2025</v>
      </c>
      <c r="B310" s="274" t="s">
        <v>842</v>
      </c>
      <c r="C310" s="274" t="s">
        <v>811</v>
      </c>
      <c r="D310" s="208" t="s">
        <v>812</v>
      </c>
      <c r="E310" s="208" t="s">
        <v>820</v>
      </c>
      <c r="F310" s="208" t="s">
        <v>27</v>
      </c>
      <c r="G310" s="208" t="s">
        <v>368</v>
      </c>
      <c r="H310" s="275">
        <v>3</v>
      </c>
    </row>
    <row r="311" spans="1:8" ht="12.75" customHeight="1" x14ac:dyDescent="0.2">
      <c r="A311" s="273">
        <v>2025</v>
      </c>
      <c r="B311" s="274" t="s">
        <v>495</v>
      </c>
      <c r="C311" s="274" t="s">
        <v>811</v>
      </c>
      <c r="D311" s="208" t="s">
        <v>812</v>
      </c>
      <c r="E311" s="208" t="s">
        <v>843</v>
      </c>
      <c r="F311" s="208" t="s">
        <v>27</v>
      </c>
      <c r="G311" s="208" t="s">
        <v>368</v>
      </c>
      <c r="H311" s="275">
        <v>0.02</v>
      </c>
    </row>
    <row r="312" spans="1:8" ht="12.75" customHeight="1" x14ac:dyDescent="0.2">
      <c r="A312" s="273">
        <v>2025</v>
      </c>
      <c r="B312" s="274" t="s">
        <v>497</v>
      </c>
      <c r="C312" s="274" t="s">
        <v>811</v>
      </c>
      <c r="D312" s="208" t="s">
        <v>812</v>
      </c>
      <c r="E312" s="208" t="s">
        <v>844</v>
      </c>
      <c r="F312" s="208" t="s">
        <v>27</v>
      </c>
      <c r="G312" s="208" t="s">
        <v>368</v>
      </c>
      <c r="H312" s="275">
        <v>0.28000000000000003</v>
      </c>
    </row>
    <row r="313" spans="1:8" ht="12.75" customHeight="1" x14ac:dyDescent="0.2">
      <c r="A313" s="273">
        <v>2025</v>
      </c>
      <c r="B313" s="274" t="s">
        <v>500</v>
      </c>
      <c r="C313" s="274" t="s">
        <v>811</v>
      </c>
      <c r="D313" s="208" t="s">
        <v>812</v>
      </c>
      <c r="E313" s="208" t="s">
        <v>830</v>
      </c>
      <c r="F313" s="208" t="s">
        <v>27</v>
      </c>
      <c r="G313" s="208" t="s">
        <v>368</v>
      </c>
      <c r="H313" s="275">
        <v>0.06</v>
      </c>
    </row>
    <row r="314" spans="1:8" ht="12.75" customHeight="1" x14ac:dyDescent="0.2">
      <c r="A314" s="273">
        <v>2025</v>
      </c>
      <c r="B314" s="274" t="s">
        <v>727</v>
      </c>
      <c r="C314" s="274" t="s">
        <v>811</v>
      </c>
      <c r="D314" s="208" t="s">
        <v>812</v>
      </c>
      <c r="E314" s="208" t="s">
        <v>827</v>
      </c>
      <c r="F314" s="208" t="s">
        <v>27</v>
      </c>
      <c r="G314" s="208" t="s">
        <v>368</v>
      </c>
      <c r="H314" s="275">
        <v>0.03</v>
      </c>
    </row>
    <row r="315" spans="1:8" ht="12.75" customHeight="1" x14ac:dyDescent="0.2">
      <c r="A315" s="273">
        <v>2025</v>
      </c>
      <c r="B315" s="274" t="s">
        <v>845</v>
      </c>
      <c r="C315" s="274" t="s">
        <v>811</v>
      </c>
      <c r="D315" s="208" t="s">
        <v>812</v>
      </c>
      <c r="E315" s="208" t="s">
        <v>820</v>
      </c>
      <c r="F315" s="208" t="s">
        <v>27</v>
      </c>
      <c r="G315" s="208" t="s">
        <v>368</v>
      </c>
      <c r="H315" s="275">
        <v>2</v>
      </c>
    </row>
    <row r="316" spans="1:8" ht="12.75" customHeight="1" x14ac:dyDescent="0.2">
      <c r="A316" s="273">
        <v>2025</v>
      </c>
      <c r="B316" s="274" t="s">
        <v>510</v>
      </c>
      <c r="C316" s="274" t="s">
        <v>811</v>
      </c>
      <c r="D316" s="208" t="s">
        <v>812</v>
      </c>
      <c r="E316" s="208" t="s">
        <v>846</v>
      </c>
      <c r="F316" s="208" t="s">
        <v>27</v>
      </c>
      <c r="G316" s="208" t="s">
        <v>368</v>
      </c>
      <c r="H316" s="275">
        <v>0.98</v>
      </c>
    </row>
    <row r="317" spans="1:8" ht="12.75" customHeight="1" x14ac:dyDescent="0.2">
      <c r="A317" s="273">
        <v>2025</v>
      </c>
      <c r="B317" s="274" t="s">
        <v>510</v>
      </c>
      <c r="C317" s="274" t="s">
        <v>847</v>
      </c>
      <c r="D317" s="208" t="s">
        <v>848</v>
      </c>
      <c r="E317" s="208" t="s">
        <v>849</v>
      </c>
      <c r="F317" s="208" t="s">
        <v>27</v>
      </c>
      <c r="G317" s="208" t="s">
        <v>368</v>
      </c>
      <c r="H317" s="276">
        <v>-1200</v>
      </c>
    </row>
    <row r="318" spans="1:8" ht="12.75" customHeight="1" x14ac:dyDescent="0.2">
      <c r="A318" s="273">
        <v>2025</v>
      </c>
      <c r="B318" s="274" t="s">
        <v>512</v>
      </c>
      <c r="C318" s="274" t="s">
        <v>850</v>
      </c>
      <c r="D318" s="208" t="s">
        <v>851</v>
      </c>
      <c r="E318" s="208" t="s">
        <v>852</v>
      </c>
      <c r="F318" s="208" t="s">
        <v>27</v>
      </c>
      <c r="G318" s="208" t="s">
        <v>368</v>
      </c>
      <c r="H318" s="275">
        <v>2000</v>
      </c>
    </row>
    <row r="319" spans="1:8" ht="12.75" customHeight="1" x14ac:dyDescent="0.2">
      <c r="A319" s="273">
        <v>2025</v>
      </c>
      <c r="B319" s="274" t="s">
        <v>512</v>
      </c>
      <c r="C319" s="274" t="s">
        <v>850</v>
      </c>
      <c r="D319" s="208" t="s">
        <v>851</v>
      </c>
      <c r="E319" s="208" t="s">
        <v>853</v>
      </c>
      <c r="F319" s="208" t="s">
        <v>27</v>
      </c>
      <c r="G319" s="208" t="s">
        <v>368</v>
      </c>
      <c r="H319" s="275">
        <v>3000</v>
      </c>
    </row>
    <row r="320" spans="1:8" ht="12.75" customHeight="1" x14ac:dyDescent="0.2">
      <c r="A320" s="273">
        <v>2025</v>
      </c>
      <c r="B320" s="274" t="s">
        <v>512</v>
      </c>
      <c r="C320" s="274" t="s">
        <v>811</v>
      </c>
      <c r="D320" s="208" t="s">
        <v>812</v>
      </c>
      <c r="E320" s="208" t="s">
        <v>854</v>
      </c>
      <c r="F320" s="208" t="s">
        <v>27</v>
      </c>
      <c r="G320" s="208" t="s">
        <v>368</v>
      </c>
      <c r="H320" s="276">
        <v>-18.61</v>
      </c>
    </row>
    <row r="321" spans="1:8" ht="12.75" customHeight="1" x14ac:dyDescent="0.2">
      <c r="A321" s="273">
        <v>2025</v>
      </c>
      <c r="B321" s="274" t="s">
        <v>512</v>
      </c>
      <c r="C321" s="274" t="s">
        <v>814</v>
      </c>
      <c r="D321" s="208" t="s">
        <v>815</v>
      </c>
      <c r="E321" s="208" t="s">
        <v>854</v>
      </c>
      <c r="F321" s="208" t="s">
        <v>27</v>
      </c>
      <c r="G321" s="208" t="s">
        <v>368</v>
      </c>
      <c r="H321" s="275">
        <v>90</v>
      </c>
    </row>
    <row r="322" spans="1:8" ht="12.75" customHeight="1" x14ac:dyDescent="0.2">
      <c r="A322" s="273">
        <v>2025</v>
      </c>
      <c r="B322" s="274" t="s">
        <v>512</v>
      </c>
      <c r="C322" s="274" t="s">
        <v>823</v>
      </c>
      <c r="D322" s="208" t="s">
        <v>824</v>
      </c>
      <c r="E322" s="208" t="s">
        <v>854</v>
      </c>
      <c r="F322" s="208" t="s">
        <v>27</v>
      </c>
      <c r="G322" s="208" t="s">
        <v>368</v>
      </c>
      <c r="H322" s="276">
        <v>-90</v>
      </c>
    </row>
    <row r="323" spans="1:8" ht="12.75" customHeight="1" x14ac:dyDescent="0.2">
      <c r="A323" s="273">
        <v>2025</v>
      </c>
      <c r="B323" s="274" t="s">
        <v>512</v>
      </c>
      <c r="C323" s="274" t="s">
        <v>838</v>
      </c>
      <c r="D323" s="208" t="s">
        <v>839</v>
      </c>
      <c r="E323" s="208" t="s">
        <v>855</v>
      </c>
      <c r="F323" s="208" t="s">
        <v>27</v>
      </c>
      <c r="G323" s="208" t="s">
        <v>368</v>
      </c>
      <c r="H323" s="276">
        <v>-3000</v>
      </c>
    </row>
    <row r="324" spans="1:8" ht="12.75" customHeight="1" x14ac:dyDescent="0.2">
      <c r="A324" s="273">
        <v>2025</v>
      </c>
      <c r="B324" s="274" t="s">
        <v>512</v>
      </c>
      <c r="C324" s="274" t="s">
        <v>847</v>
      </c>
      <c r="D324" s="208" t="s">
        <v>848</v>
      </c>
      <c r="E324" s="208" t="s">
        <v>856</v>
      </c>
      <c r="F324" s="208" t="s">
        <v>27</v>
      </c>
      <c r="G324" s="208" t="s">
        <v>368</v>
      </c>
      <c r="H324" s="275">
        <v>1200</v>
      </c>
    </row>
    <row r="325" spans="1:8" ht="12.75" customHeight="1" x14ac:dyDescent="0.2">
      <c r="A325" s="273">
        <v>2025</v>
      </c>
      <c r="B325" s="274" t="s">
        <v>857</v>
      </c>
      <c r="C325" s="274" t="s">
        <v>814</v>
      </c>
      <c r="D325" s="208" t="s">
        <v>815</v>
      </c>
      <c r="E325" s="208" t="s">
        <v>858</v>
      </c>
      <c r="F325" s="208" t="s">
        <v>27</v>
      </c>
      <c r="G325" s="208" t="s">
        <v>368</v>
      </c>
      <c r="H325" s="275">
        <v>30</v>
      </c>
    </row>
    <row r="326" spans="1:8" ht="12.75" customHeight="1" x14ac:dyDescent="0.2">
      <c r="A326" s="273">
        <v>2025</v>
      </c>
      <c r="B326" s="274" t="s">
        <v>859</v>
      </c>
      <c r="C326" s="274" t="s">
        <v>850</v>
      </c>
      <c r="D326" s="208" t="s">
        <v>851</v>
      </c>
      <c r="E326" s="208" t="s">
        <v>860</v>
      </c>
      <c r="F326" s="208" t="s">
        <v>27</v>
      </c>
      <c r="G326" s="208" t="s">
        <v>368</v>
      </c>
      <c r="H326" s="275">
        <v>91.92</v>
      </c>
    </row>
    <row r="327" spans="1:8" ht="12.75" customHeight="1" x14ac:dyDescent="0.2">
      <c r="A327" s="273">
        <v>2025</v>
      </c>
      <c r="B327" s="274" t="s">
        <v>861</v>
      </c>
      <c r="C327" s="274" t="s">
        <v>814</v>
      </c>
      <c r="D327" s="208" t="s">
        <v>815</v>
      </c>
      <c r="E327" s="208" t="s">
        <v>862</v>
      </c>
      <c r="F327" s="208" t="s">
        <v>27</v>
      </c>
      <c r="G327" s="208" t="s">
        <v>368</v>
      </c>
      <c r="H327" s="275">
        <v>30</v>
      </c>
    </row>
    <row r="328" spans="1:8" ht="12.75" customHeight="1" x14ac:dyDescent="0.2">
      <c r="A328" s="273">
        <v>2025</v>
      </c>
      <c r="B328" s="274" t="s">
        <v>551</v>
      </c>
      <c r="C328" s="274" t="s">
        <v>814</v>
      </c>
      <c r="D328" s="208" t="s">
        <v>815</v>
      </c>
      <c r="E328" s="208" t="s">
        <v>863</v>
      </c>
      <c r="F328" s="208" t="s">
        <v>27</v>
      </c>
      <c r="G328" s="208" t="s">
        <v>368</v>
      </c>
      <c r="H328" s="275">
        <v>64</v>
      </c>
    </row>
    <row r="329" spans="1:8" ht="12.75" customHeight="1" x14ac:dyDescent="0.2">
      <c r="A329" s="273">
        <v>2025</v>
      </c>
      <c r="B329" s="274" t="s">
        <v>864</v>
      </c>
      <c r="C329" s="274" t="s">
        <v>814</v>
      </c>
      <c r="D329" s="208" t="s">
        <v>815</v>
      </c>
      <c r="E329" s="208" t="s">
        <v>865</v>
      </c>
      <c r="F329" s="208" t="s">
        <v>27</v>
      </c>
      <c r="G329" s="208" t="s">
        <v>368</v>
      </c>
      <c r="H329" s="275">
        <v>45</v>
      </c>
    </row>
    <row r="330" spans="1:8" ht="12.75" customHeight="1" x14ac:dyDescent="0.2">
      <c r="A330" s="273">
        <v>2025</v>
      </c>
      <c r="B330" s="274" t="s">
        <v>866</v>
      </c>
      <c r="C330" s="274" t="s">
        <v>850</v>
      </c>
      <c r="D330" s="208" t="s">
        <v>851</v>
      </c>
      <c r="E330" s="208" t="s">
        <v>867</v>
      </c>
      <c r="F330" s="208" t="s">
        <v>27</v>
      </c>
      <c r="G330" s="208" t="s">
        <v>368</v>
      </c>
      <c r="H330" s="275">
        <v>650</v>
      </c>
    </row>
    <row r="331" spans="1:8" ht="12.75" customHeight="1" x14ac:dyDescent="0.2">
      <c r="A331" s="273">
        <v>2025</v>
      </c>
      <c r="B331" s="274" t="s">
        <v>792</v>
      </c>
      <c r="C331" s="274" t="s">
        <v>814</v>
      </c>
      <c r="D331" s="208" t="s">
        <v>815</v>
      </c>
      <c r="E331" s="208" t="s">
        <v>868</v>
      </c>
      <c r="F331" s="208" t="s">
        <v>27</v>
      </c>
      <c r="G331" s="208" t="s">
        <v>368</v>
      </c>
      <c r="H331" s="275">
        <v>30</v>
      </c>
    </row>
    <row r="332" spans="1:8" ht="12.75" customHeight="1" x14ac:dyDescent="0.2">
      <c r="A332" s="273">
        <v>2025</v>
      </c>
      <c r="B332" s="274" t="s">
        <v>581</v>
      </c>
      <c r="C332" s="274" t="s">
        <v>847</v>
      </c>
      <c r="D332" s="208" t="s">
        <v>848</v>
      </c>
      <c r="E332" s="208" t="s">
        <v>869</v>
      </c>
      <c r="F332" s="208" t="s">
        <v>27</v>
      </c>
      <c r="G332" s="208" t="s">
        <v>368</v>
      </c>
      <c r="H332" s="276">
        <v>-1800</v>
      </c>
    </row>
    <row r="333" spans="1:8" ht="12.75" customHeight="1" x14ac:dyDescent="0.2">
      <c r="A333" s="273">
        <v>2025</v>
      </c>
      <c r="B333" s="274" t="s">
        <v>429</v>
      </c>
      <c r="C333" s="274" t="s">
        <v>870</v>
      </c>
      <c r="D333" s="208" t="s">
        <v>871</v>
      </c>
      <c r="E333" s="208" t="s">
        <v>872</v>
      </c>
      <c r="F333" s="208" t="s">
        <v>27</v>
      </c>
      <c r="G333" s="208" t="s">
        <v>367</v>
      </c>
      <c r="H333" s="276">
        <v>-39.5</v>
      </c>
    </row>
    <row r="334" spans="1:8" ht="12.75" customHeight="1" x14ac:dyDescent="0.2">
      <c r="A334" s="273">
        <v>2025</v>
      </c>
      <c r="B334" s="274" t="s">
        <v>429</v>
      </c>
      <c r="C334" s="274" t="s">
        <v>870</v>
      </c>
      <c r="D334" s="208" t="s">
        <v>871</v>
      </c>
      <c r="E334" s="208" t="s">
        <v>873</v>
      </c>
      <c r="F334" s="208" t="s">
        <v>27</v>
      </c>
      <c r="G334" s="208" t="s">
        <v>367</v>
      </c>
      <c r="H334" s="276">
        <v>-14.47</v>
      </c>
    </row>
    <row r="335" spans="1:8" ht="12.75" customHeight="1" x14ac:dyDescent="0.2">
      <c r="A335" s="273">
        <v>2025</v>
      </c>
      <c r="B335" s="274" t="s">
        <v>874</v>
      </c>
      <c r="C335" s="274" t="s">
        <v>870</v>
      </c>
      <c r="D335" s="208" t="s">
        <v>871</v>
      </c>
      <c r="E335" s="208" t="s">
        <v>875</v>
      </c>
      <c r="F335" s="208" t="s">
        <v>27</v>
      </c>
      <c r="G335" s="208" t="s">
        <v>367</v>
      </c>
      <c r="H335" s="275">
        <v>17.25</v>
      </c>
    </row>
    <row r="336" spans="1:8" ht="12.75" customHeight="1" x14ac:dyDescent="0.2">
      <c r="A336" s="273">
        <v>2025</v>
      </c>
      <c r="B336" s="274" t="s">
        <v>874</v>
      </c>
      <c r="C336" s="274" t="s">
        <v>870</v>
      </c>
      <c r="D336" s="208" t="s">
        <v>871</v>
      </c>
      <c r="E336" s="208" t="s">
        <v>876</v>
      </c>
      <c r="F336" s="208" t="s">
        <v>27</v>
      </c>
      <c r="G336" s="208" t="s">
        <v>367</v>
      </c>
      <c r="H336" s="275">
        <v>47.1</v>
      </c>
    </row>
    <row r="337" spans="1:8" ht="12.75" customHeight="1" x14ac:dyDescent="0.2">
      <c r="A337" s="273">
        <v>2025</v>
      </c>
      <c r="B337" s="274" t="s">
        <v>877</v>
      </c>
      <c r="C337" s="274" t="s">
        <v>870</v>
      </c>
      <c r="D337" s="208" t="s">
        <v>871</v>
      </c>
      <c r="E337" s="208" t="s">
        <v>878</v>
      </c>
      <c r="F337" s="208" t="s">
        <v>27</v>
      </c>
      <c r="G337" s="208" t="s">
        <v>367</v>
      </c>
      <c r="H337" s="275">
        <v>16.96</v>
      </c>
    </row>
    <row r="338" spans="1:8" ht="12.75" customHeight="1" x14ac:dyDescent="0.2">
      <c r="A338" s="273">
        <v>2025</v>
      </c>
      <c r="B338" s="274" t="s">
        <v>877</v>
      </c>
      <c r="C338" s="274" t="s">
        <v>870</v>
      </c>
      <c r="D338" s="208" t="s">
        <v>871</v>
      </c>
      <c r="E338" s="208" t="s">
        <v>879</v>
      </c>
      <c r="F338" s="208" t="s">
        <v>27</v>
      </c>
      <c r="G338" s="208" t="s">
        <v>367</v>
      </c>
      <c r="H338" s="275">
        <v>46.31</v>
      </c>
    </row>
    <row r="339" spans="1:8" ht="12.75" customHeight="1" x14ac:dyDescent="0.2">
      <c r="A339" s="273">
        <v>2025</v>
      </c>
      <c r="B339" s="274" t="s">
        <v>880</v>
      </c>
      <c r="C339" s="274" t="s">
        <v>881</v>
      </c>
      <c r="D339" s="208" t="s">
        <v>882</v>
      </c>
      <c r="E339" s="208" t="s">
        <v>883</v>
      </c>
      <c r="F339" s="208" t="s">
        <v>27</v>
      </c>
      <c r="G339" s="208" t="s">
        <v>367</v>
      </c>
      <c r="H339" s="275">
        <v>0.13</v>
      </c>
    </row>
    <row r="340" spans="1:8" ht="12.75" customHeight="1" x14ac:dyDescent="0.2">
      <c r="A340" s="273">
        <v>2025</v>
      </c>
      <c r="B340" s="274" t="s">
        <v>884</v>
      </c>
      <c r="C340" s="274" t="s">
        <v>870</v>
      </c>
      <c r="D340" s="208" t="s">
        <v>871</v>
      </c>
      <c r="E340" s="208" t="s">
        <v>885</v>
      </c>
      <c r="F340" s="208" t="s">
        <v>27</v>
      </c>
      <c r="G340" s="208" t="s">
        <v>367</v>
      </c>
      <c r="H340" s="275">
        <v>16.66</v>
      </c>
    </row>
    <row r="341" spans="1:8" ht="12.75" customHeight="1" x14ac:dyDescent="0.2">
      <c r="A341" s="273">
        <v>2025</v>
      </c>
      <c r="B341" s="274" t="s">
        <v>884</v>
      </c>
      <c r="C341" s="274" t="s">
        <v>870</v>
      </c>
      <c r="D341" s="208" t="s">
        <v>871</v>
      </c>
      <c r="E341" s="208" t="s">
        <v>886</v>
      </c>
      <c r="F341" s="208" t="s">
        <v>27</v>
      </c>
      <c r="G341" s="208" t="s">
        <v>367</v>
      </c>
      <c r="H341" s="275">
        <v>45.51</v>
      </c>
    </row>
    <row r="342" spans="1:8" ht="12.75" customHeight="1" x14ac:dyDescent="0.2">
      <c r="A342" s="273">
        <v>2025</v>
      </c>
      <c r="B342" s="274" t="s">
        <v>887</v>
      </c>
      <c r="C342" s="274" t="s">
        <v>870</v>
      </c>
      <c r="D342" s="208" t="s">
        <v>871</v>
      </c>
      <c r="E342" s="208" t="s">
        <v>888</v>
      </c>
      <c r="F342" s="208" t="s">
        <v>27</v>
      </c>
      <c r="G342" s="208" t="s">
        <v>367</v>
      </c>
      <c r="H342" s="275">
        <v>16.37</v>
      </c>
    </row>
    <row r="343" spans="1:8" ht="12.75" customHeight="1" x14ac:dyDescent="0.2">
      <c r="A343" s="273">
        <v>2025</v>
      </c>
      <c r="B343" s="274" t="s">
        <v>887</v>
      </c>
      <c r="C343" s="274" t="s">
        <v>870</v>
      </c>
      <c r="D343" s="208" t="s">
        <v>871</v>
      </c>
      <c r="E343" s="208" t="s">
        <v>889</v>
      </c>
      <c r="F343" s="208" t="s">
        <v>27</v>
      </c>
      <c r="G343" s="208" t="s">
        <v>367</v>
      </c>
      <c r="H343" s="275">
        <v>44.71</v>
      </c>
    </row>
    <row r="344" spans="1:8" ht="12.75" customHeight="1" x14ac:dyDescent="0.2">
      <c r="A344" s="273">
        <v>2025</v>
      </c>
      <c r="B344" s="274" t="s">
        <v>480</v>
      </c>
      <c r="C344" s="274" t="s">
        <v>881</v>
      </c>
      <c r="D344" s="208" t="s">
        <v>882</v>
      </c>
      <c r="E344" s="208" t="s">
        <v>890</v>
      </c>
      <c r="F344" s="208" t="s">
        <v>27</v>
      </c>
      <c r="G344" s="208" t="s">
        <v>367</v>
      </c>
      <c r="H344" s="275">
        <v>0.04</v>
      </c>
    </row>
    <row r="345" spans="1:8" ht="12.75" customHeight="1" x14ac:dyDescent="0.2">
      <c r="A345" s="273">
        <v>2025</v>
      </c>
      <c r="B345" s="274" t="s">
        <v>711</v>
      </c>
      <c r="C345" s="274" t="s">
        <v>870</v>
      </c>
      <c r="D345" s="208" t="s">
        <v>871</v>
      </c>
      <c r="E345" s="208" t="s">
        <v>891</v>
      </c>
      <c r="F345" s="208" t="s">
        <v>27</v>
      </c>
      <c r="G345" s="208" t="s">
        <v>367</v>
      </c>
      <c r="H345" s="275">
        <v>16.079999999999998</v>
      </c>
    </row>
    <row r="346" spans="1:8" ht="12.75" customHeight="1" x14ac:dyDescent="0.2">
      <c r="A346" s="273">
        <v>2025</v>
      </c>
      <c r="B346" s="274" t="s">
        <v>711</v>
      </c>
      <c r="C346" s="274" t="s">
        <v>870</v>
      </c>
      <c r="D346" s="208" t="s">
        <v>871</v>
      </c>
      <c r="E346" s="208" t="s">
        <v>892</v>
      </c>
      <c r="F346" s="208" t="s">
        <v>27</v>
      </c>
      <c r="G346" s="208" t="s">
        <v>367</v>
      </c>
      <c r="H346" s="275">
        <v>43.91</v>
      </c>
    </row>
    <row r="347" spans="1:8" ht="12.75" customHeight="1" x14ac:dyDescent="0.2">
      <c r="A347" s="273">
        <v>2025</v>
      </c>
      <c r="B347" s="274" t="s">
        <v>893</v>
      </c>
      <c r="C347" s="274" t="s">
        <v>870</v>
      </c>
      <c r="D347" s="208" t="s">
        <v>871</v>
      </c>
      <c r="E347" s="208" t="s">
        <v>894</v>
      </c>
      <c r="F347" s="208" t="s">
        <v>27</v>
      </c>
      <c r="G347" s="208" t="s">
        <v>367</v>
      </c>
      <c r="H347" s="275">
        <v>15.78</v>
      </c>
    </row>
    <row r="348" spans="1:8" ht="12.75" customHeight="1" x14ac:dyDescent="0.2">
      <c r="A348" s="273">
        <v>2025</v>
      </c>
      <c r="B348" s="274" t="s">
        <v>893</v>
      </c>
      <c r="C348" s="274" t="s">
        <v>870</v>
      </c>
      <c r="D348" s="208" t="s">
        <v>871</v>
      </c>
      <c r="E348" s="208" t="s">
        <v>895</v>
      </c>
      <c r="F348" s="208" t="s">
        <v>27</v>
      </c>
      <c r="G348" s="208" t="s">
        <v>367</v>
      </c>
      <c r="H348" s="275">
        <v>43.11</v>
      </c>
    </row>
    <row r="349" spans="1:8" ht="12.75" customHeight="1" x14ac:dyDescent="0.2">
      <c r="A349" s="273">
        <v>2025</v>
      </c>
      <c r="B349" s="274" t="s">
        <v>510</v>
      </c>
      <c r="C349" s="274" t="s">
        <v>881</v>
      </c>
      <c r="D349" s="208" t="s">
        <v>882</v>
      </c>
      <c r="E349" s="208" t="s">
        <v>843</v>
      </c>
      <c r="F349" s="208" t="s">
        <v>27</v>
      </c>
      <c r="G349" s="208" t="s">
        <v>367</v>
      </c>
      <c r="H349" s="275">
        <v>0.03</v>
      </c>
    </row>
    <row r="350" spans="1:8" ht="12.75" customHeight="1" x14ac:dyDescent="0.2">
      <c r="A350" s="273">
        <v>2025</v>
      </c>
      <c r="B350" s="274" t="s">
        <v>896</v>
      </c>
      <c r="C350" s="274" t="s">
        <v>870</v>
      </c>
      <c r="D350" s="208" t="s">
        <v>871</v>
      </c>
      <c r="E350" s="208" t="s">
        <v>897</v>
      </c>
      <c r="F350" s="208" t="s">
        <v>27</v>
      </c>
      <c r="G350" s="208" t="s">
        <v>367</v>
      </c>
      <c r="H350" s="275">
        <v>15.49</v>
      </c>
    </row>
    <row r="351" spans="1:8" ht="12.75" customHeight="1" x14ac:dyDescent="0.2">
      <c r="A351" s="273">
        <v>2025</v>
      </c>
      <c r="B351" s="274" t="s">
        <v>896</v>
      </c>
      <c r="C351" s="274" t="s">
        <v>870</v>
      </c>
      <c r="D351" s="208" t="s">
        <v>871</v>
      </c>
      <c r="E351" s="208" t="s">
        <v>898</v>
      </c>
      <c r="F351" s="208" t="s">
        <v>27</v>
      </c>
      <c r="G351" s="208" t="s">
        <v>367</v>
      </c>
      <c r="H351" s="275">
        <v>42.31</v>
      </c>
    </row>
    <row r="352" spans="1:8" ht="12.75" customHeight="1" x14ac:dyDescent="0.2">
      <c r="A352" s="273">
        <v>2025</v>
      </c>
      <c r="B352" s="274" t="s">
        <v>899</v>
      </c>
      <c r="C352" s="274" t="s">
        <v>881</v>
      </c>
      <c r="D352" s="208" t="s">
        <v>882</v>
      </c>
      <c r="E352" s="208" t="s">
        <v>843</v>
      </c>
      <c r="F352" s="208" t="s">
        <v>27</v>
      </c>
      <c r="G352" s="208" t="s">
        <v>367</v>
      </c>
      <c r="H352" s="275">
        <v>0.03</v>
      </c>
    </row>
    <row r="353" spans="1:8" ht="12.75" customHeight="1" x14ac:dyDescent="0.2">
      <c r="A353" s="273">
        <v>2025</v>
      </c>
      <c r="B353" s="274" t="s">
        <v>528</v>
      </c>
      <c r="C353" s="274" t="s">
        <v>881</v>
      </c>
      <c r="D353" s="208" t="s">
        <v>882</v>
      </c>
      <c r="E353" s="208" t="s">
        <v>900</v>
      </c>
      <c r="F353" s="208" t="s">
        <v>27</v>
      </c>
      <c r="G353" s="208" t="s">
        <v>367</v>
      </c>
      <c r="H353" s="275">
        <v>0.13</v>
      </c>
    </row>
    <row r="354" spans="1:8" ht="12.75" customHeight="1" x14ac:dyDescent="0.2">
      <c r="A354" s="273">
        <v>2025</v>
      </c>
      <c r="B354" s="274" t="s">
        <v>901</v>
      </c>
      <c r="C354" s="274" t="s">
        <v>870</v>
      </c>
      <c r="D354" s="208" t="s">
        <v>871</v>
      </c>
      <c r="E354" s="208" t="s">
        <v>902</v>
      </c>
      <c r="F354" s="208" t="s">
        <v>27</v>
      </c>
      <c r="G354" s="208" t="s">
        <v>367</v>
      </c>
      <c r="H354" s="275">
        <v>15.2</v>
      </c>
    </row>
    <row r="355" spans="1:8" ht="12.75" customHeight="1" x14ac:dyDescent="0.2">
      <c r="A355" s="273">
        <v>2025</v>
      </c>
      <c r="B355" s="274" t="s">
        <v>901</v>
      </c>
      <c r="C355" s="274" t="s">
        <v>870</v>
      </c>
      <c r="D355" s="208" t="s">
        <v>871</v>
      </c>
      <c r="E355" s="208" t="s">
        <v>903</v>
      </c>
      <c r="F355" s="208" t="s">
        <v>27</v>
      </c>
      <c r="G355" s="208" t="s">
        <v>367</v>
      </c>
      <c r="H355" s="275">
        <v>41.51</v>
      </c>
    </row>
    <row r="356" spans="1:8" ht="12.75" customHeight="1" x14ac:dyDescent="0.2">
      <c r="A356" s="273">
        <v>2025</v>
      </c>
      <c r="B356" s="274" t="s">
        <v>904</v>
      </c>
      <c r="C356" s="274" t="s">
        <v>881</v>
      </c>
      <c r="D356" s="208" t="s">
        <v>882</v>
      </c>
      <c r="E356" s="208" t="s">
        <v>843</v>
      </c>
      <c r="F356" s="208" t="s">
        <v>27</v>
      </c>
      <c r="G356" s="208" t="s">
        <v>367</v>
      </c>
      <c r="H356" s="275">
        <v>0.03</v>
      </c>
    </row>
    <row r="357" spans="1:8" ht="12.75" customHeight="1" x14ac:dyDescent="0.2">
      <c r="A357" s="273">
        <v>2025</v>
      </c>
      <c r="B357" s="274" t="s">
        <v>536</v>
      </c>
      <c r="C357" s="274" t="s">
        <v>881</v>
      </c>
      <c r="D357" s="208" t="s">
        <v>882</v>
      </c>
      <c r="E357" s="208" t="s">
        <v>905</v>
      </c>
      <c r="F357" s="208" t="s">
        <v>27</v>
      </c>
      <c r="G357" s="208" t="s">
        <v>367</v>
      </c>
      <c r="H357" s="275">
        <v>0.06</v>
      </c>
    </row>
    <row r="358" spans="1:8" ht="12.75" customHeight="1" x14ac:dyDescent="0.2">
      <c r="A358" s="273">
        <v>2025</v>
      </c>
      <c r="B358" s="274" t="s">
        <v>906</v>
      </c>
      <c r="C358" s="274" t="s">
        <v>870</v>
      </c>
      <c r="D358" s="208" t="s">
        <v>871</v>
      </c>
      <c r="E358" s="208" t="s">
        <v>907</v>
      </c>
      <c r="F358" s="208" t="s">
        <v>27</v>
      </c>
      <c r="G358" s="208" t="s">
        <v>367</v>
      </c>
      <c r="H358" s="275">
        <v>14.9</v>
      </c>
    </row>
    <row r="359" spans="1:8" ht="12.75" customHeight="1" x14ac:dyDescent="0.2">
      <c r="A359" s="273">
        <v>2025</v>
      </c>
      <c r="B359" s="274" t="s">
        <v>906</v>
      </c>
      <c r="C359" s="274" t="s">
        <v>870</v>
      </c>
      <c r="D359" s="208" t="s">
        <v>871</v>
      </c>
      <c r="E359" s="208" t="s">
        <v>908</v>
      </c>
      <c r="F359" s="208" t="s">
        <v>27</v>
      </c>
      <c r="G359" s="208" t="s">
        <v>367</v>
      </c>
      <c r="H359" s="275">
        <v>40.71</v>
      </c>
    </row>
    <row r="360" spans="1:8" ht="12.75" customHeight="1" x14ac:dyDescent="0.2">
      <c r="A360" s="273">
        <v>2025</v>
      </c>
      <c r="B360" s="274" t="s">
        <v>909</v>
      </c>
      <c r="C360" s="274" t="s">
        <v>881</v>
      </c>
      <c r="D360" s="208" t="s">
        <v>882</v>
      </c>
      <c r="E360" s="208" t="s">
        <v>843</v>
      </c>
      <c r="F360" s="208" t="s">
        <v>27</v>
      </c>
      <c r="G360" s="208" t="s">
        <v>367</v>
      </c>
      <c r="H360" s="275">
        <v>0.03</v>
      </c>
    </row>
    <row r="361" spans="1:8" ht="12.75" customHeight="1" x14ac:dyDescent="0.2">
      <c r="A361" s="273">
        <v>2025</v>
      </c>
      <c r="B361" s="274" t="s">
        <v>549</v>
      </c>
      <c r="C361" s="274" t="s">
        <v>881</v>
      </c>
      <c r="D361" s="208" t="s">
        <v>882</v>
      </c>
      <c r="E361" s="208" t="s">
        <v>910</v>
      </c>
      <c r="F361" s="208" t="s">
        <v>27</v>
      </c>
      <c r="G361" s="208" t="s">
        <v>367</v>
      </c>
      <c r="H361" s="275">
        <v>0.06</v>
      </c>
    </row>
    <row r="362" spans="1:8" ht="12.75" customHeight="1" x14ac:dyDescent="0.2">
      <c r="A362" s="273">
        <v>2025</v>
      </c>
      <c r="B362" s="274" t="s">
        <v>911</v>
      </c>
      <c r="C362" s="274" t="s">
        <v>870</v>
      </c>
      <c r="D362" s="208" t="s">
        <v>871</v>
      </c>
      <c r="E362" s="208" t="s">
        <v>912</v>
      </c>
      <c r="F362" s="208" t="s">
        <v>27</v>
      </c>
      <c r="G362" s="208" t="s">
        <v>367</v>
      </c>
      <c r="H362" s="275">
        <v>14.61</v>
      </c>
    </row>
    <row r="363" spans="1:8" ht="12.75" customHeight="1" x14ac:dyDescent="0.2">
      <c r="A363" s="273">
        <v>2025</v>
      </c>
      <c r="B363" s="274" t="s">
        <v>911</v>
      </c>
      <c r="C363" s="274" t="s">
        <v>870</v>
      </c>
      <c r="D363" s="208" t="s">
        <v>871</v>
      </c>
      <c r="E363" s="208" t="s">
        <v>913</v>
      </c>
      <c r="F363" s="208" t="s">
        <v>27</v>
      </c>
      <c r="G363" s="208" t="s">
        <v>367</v>
      </c>
      <c r="H363" s="275">
        <v>39.9</v>
      </c>
    </row>
    <row r="364" spans="1:8" ht="12.75" customHeight="1" x14ac:dyDescent="0.2">
      <c r="A364" s="273">
        <v>2025</v>
      </c>
      <c r="B364" s="274" t="s">
        <v>555</v>
      </c>
      <c r="C364" s="274" t="s">
        <v>914</v>
      </c>
      <c r="D364" s="208" t="s">
        <v>915</v>
      </c>
      <c r="E364" s="208" t="s">
        <v>916</v>
      </c>
      <c r="F364" s="208" t="s">
        <v>27</v>
      </c>
      <c r="G364" s="208" t="s">
        <v>367</v>
      </c>
      <c r="H364" s="275">
        <v>150</v>
      </c>
    </row>
    <row r="365" spans="1:8" ht="12.75" customHeight="1" x14ac:dyDescent="0.2">
      <c r="A365" s="273">
        <v>2025</v>
      </c>
      <c r="B365" s="274" t="s">
        <v>917</v>
      </c>
      <c r="C365" s="274" t="s">
        <v>914</v>
      </c>
      <c r="D365" s="208" t="s">
        <v>915</v>
      </c>
      <c r="E365" s="208" t="s">
        <v>918</v>
      </c>
      <c r="F365" s="208" t="s">
        <v>27</v>
      </c>
      <c r="G365" s="208" t="s">
        <v>367</v>
      </c>
      <c r="H365" s="275">
        <v>150</v>
      </c>
    </row>
    <row r="366" spans="1:8" ht="12.75" customHeight="1" x14ac:dyDescent="0.2">
      <c r="A366" s="273">
        <v>2025</v>
      </c>
      <c r="B366" s="274" t="s">
        <v>917</v>
      </c>
      <c r="C366" s="274" t="s">
        <v>914</v>
      </c>
      <c r="D366" s="208" t="s">
        <v>915</v>
      </c>
      <c r="E366" s="208" t="s">
        <v>918</v>
      </c>
      <c r="F366" s="208" t="s">
        <v>27</v>
      </c>
      <c r="G366" s="208" t="s">
        <v>367</v>
      </c>
      <c r="H366" s="275">
        <v>150</v>
      </c>
    </row>
    <row r="367" spans="1:8" ht="12.75" customHeight="1" x14ac:dyDescent="0.2">
      <c r="A367" s="273">
        <v>2025</v>
      </c>
      <c r="B367" s="274" t="s">
        <v>917</v>
      </c>
      <c r="C367" s="274" t="s">
        <v>914</v>
      </c>
      <c r="D367" s="208" t="s">
        <v>915</v>
      </c>
      <c r="E367" s="208" t="s">
        <v>919</v>
      </c>
      <c r="F367" s="208" t="s">
        <v>27</v>
      </c>
      <c r="G367" s="208" t="s">
        <v>367</v>
      </c>
      <c r="H367" s="275">
        <v>159.37</v>
      </c>
    </row>
    <row r="368" spans="1:8" ht="12.75" customHeight="1" x14ac:dyDescent="0.2">
      <c r="A368" s="273">
        <v>2025</v>
      </c>
      <c r="B368" s="274" t="s">
        <v>917</v>
      </c>
      <c r="C368" s="274" t="s">
        <v>914</v>
      </c>
      <c r="D368" s="208" t="s">
        <v>915</v>
      </c>
      <c r="E368" s="208" t="s">
        <v>919</v>
      </c>
      <c r="F368" s="208" t="s">
        <v>27</v>
      </c>
      <c r="G368" s="208" t="s">
        <v>367</v>
      </c>
      <c r="H368" s="275">
        <v>150</v>
      </c>
    </row>
    <row r="369" spans="1:8" ht="12.75" customHeight="1" x14ac:dyDescent="0.2">
      <c r="A369" s="273">
        <v>2025</v>
      </c>
      <c r="B369" s="274" t="s">
        <v>920</v>
      </c>
      <c r="C369" s="274" t="s">
        <v>881</v>
      </c>
      <c r="D369" s="208" t="s">
        <v>882</v>
      </c>
      <c r="E369" s="208" t="s">
        <v>921</v>
      </c>
      <c r="F369" s="208" t="s">
        <v>27</v>
      </c>
      <c r="G369" s="208" t="s">
        <v>367</v>
      </c>
      <c r="H369" s="275">
        <v>0.02</v>
      </c>
    </row>
    <row r="370" spans="1:8" ht="12.75" customHeight="1" x14ac:dyDescent="0.2">
      <c r="A370" s="273">
        <v>2025</v>
      </c>
      <c r="B370" s="274" t="s">
        <v>563</v>
      </c>
      <c r="C370" s="274" t="s">
        <v>881</v>
      </c>
      <c r="D370" s="208" t="s">
        <v>882</v>
      </c>
      <c r="E370" s="208" t="s">
        <v>830</v>
      </c>
      <c r="F370" s="208" t="s">
        <v>27</v>
      </c>
      <c r="G370" s="208" t="s">
        <v>367</v>
      </c>
      <c r="H370" s="275">
        <v>7.0000000000000007E-2</v>
      </c>
    </row>
    <row r="371" spans="1:8" ht="12.75" customHeight="1" x14ac:dyDescent="0.2">
      <c r="A371" s="273">
        <v>2025</v>
      </c>
      <c r="B371" s="274" t="s">
        <v>783</v>
      </c>
      <c r="C371" s="274" t="s">
        <v>870</v>
      </c>
      <c r="D371" s="208" t="s">
        <v>871</v>
      </c>
      <c r="E371" s="208" t="s">
        <v>922</v>
      </c>
      <c r="F371" s="208" t="s">
        <v>27</v>
      </c>
      <c r="G371" s="208" t="s">
        <v>367</v>
      </c>
      <c r="H371" s="275">
        <v>14.31</v>
      </c>
    </row>
    <row r="372" spans="1:8" ht="12.75" customHeight="1" x14ac:dyDescent="0.2">
      <c r="A372" s="273">
        <v>2025</v>
      </c>
      <c r="B372" s="274" t="s">
        <v>783</v>
      </c>
      <c r="C372" s="274" t="s">
        <v>870</v>
      </c>
      <c r="D372" s="208" t="s">
        <v>871</v>
      </c>
      <c r="E372" s="208" t="s">
        <v>923</v>
      </c>
      <c r="F372" s="208" t="s">
        <v>27</v>
      </c>
      <c r="G372" s="208" t="s">
        <v>367</v>
      </c>
      <c r="H372" s="275">
        <v>39.1</v>
      </c>
    </row>
    <row r="373" spans="1:8" ht="12.75" customHeight="1" x14ac:dyDescent="0.2">
      <c r="A373" s="273">
        <v>2025</v>
      </c>
      <c r="B373" s="274" t="s">
        <v>783</v>
      </c>
      <c r="C373" s="274" t="s">
        <v>870</v>
      </c>
      <c r="D373" s="208" t="s">
        <v>871</v>
      </c>
      <c r="E373" s="208" t="s">
        <v>924</v>
      </c>
      <c r="F373" s="208" t="s">
        <v>27</v>
      </c>
      <c r="G373" s="208" t="s">
        <v>367</v>
      </c>
      <c r="H373" s="275">
        <v>37.03</v>
      </c>
    </row>
    <row r="374" spans="1:8" ht="12.75" customHeight="1" x14ac:dyDescent="0.2">
      <c r="A374" s="273">
        <v>2025</v>
      </c>
      <c r="B374" s="274" t="s">
        <v>785</v>
      </c>
      <c r="C374" s="274" t="s">
        <v>881</v>
      </c>
      <c r="D374" s="208" t="s">
        <v>882</v>
      </c>
      <c r="E374" s="208" t="s">
        <v>925</v>
      </c>
      <c r="F374" s="208" t="s">
        <v>27</v>
      </c>
      <c r="G374" s="208" t="s">
        <v>367</v>
      </c>
      <c r="H374" s="275">
        <v>0.56999999999999995</v>
      </c>
    </row>
    <row r="375" spans="1:8" ht="12.75" customHeight="1" x14ac:dyDescent="0.2">
      <c r="A375" s="273">
        <v>2025</v>
      </c>
      <c r="B375" s="274" t="s">
        <v>566</v>
      </c>
      <c r="C375" s="274" t="s">
        <v>870</v>
      </c>
      <c r="D375" s="208" t="s">
        <v>871</v>
      </c>
      <c r="E375" s="208" t="s">
        <v>926</v>
      </c>
      <c r="F375" s="208" t="s">
        <v>27</v>
      </c>
      <c r="G375" s="208" t="s">
        <v>367</v>
      </c>
      <c r="H375" s="275">
        <v>16.82</v>
      </c>
    </row>
    <row r="376" spans="1:8" ht="12.75" customHeight="1" x14ac:dyDescent="0.2">
      <c r="A376" s="273">
        <v>2025</v>
      </c>
      <c r="B376" s="274" t="s">
        <v>566</v>
      </c>
      <c r="C376" s="274" t="s">
        <v>870</v>
      </c>
      <c r="D376" s="208" t="s">
        <v>871</v>
      </c>
      <c r="E376" s="208" t="s">
        <v>927</v>
      </c>
      <c r="F376" s="208" t="s">
        <v>27</v>
      </c>
      <c r="G376" s="208" t="s">
        <v>367</v>
      </c>
      <c r="H376" s="275">
        <v>27.83</v>
      </c>
    </row>
    <row r="377" spans="1:8" ht="12.75" customHeight="1" x14ac:dyDescent="0.2">
      <c r="A377" s="273">
        <v>2025</v>
      </c>
      <c r="B377" s="274" t="s">
        <v>790</v>
      </c>
      <c r="C377" s="274" t="s">
        <v>881</v>
      </c>
      <c r="D377" s="208" t="s">
        <v>882</v>
      </c>
      <c r="E377" s="208" t="s">
        <v>830</v>
      </c>
      <c r="F377" s="208" t="s">
        <v>27</v>
      </c>
      <c r="G377" s="208" t="s">
        <v>367</v>
      </c>
      <c r="H377" s="275">
        <v>7.0000000000000007E-2</v>
      </c>
    </row>
    <row r="378" spans="1:8" ht="12.75" customHeight="1" x14ac:dyDescent="0.2">
      <c r="A378" s="273">
        <v>2025</v>
      </c>
      <c r="B378" s="274" t="s">
        <v>794</v>
      </c>
      <c r="C378" s="274" t="s">
        <v>870</v>
      </c>
      <c r="D378" s="208" t="s">
        <v>871</v>
      </c>
      <c r="E378" s="208" t="s">
        <v>928</v>
      </c>
      <c r="F378" s="208" t="s">
        <v>27</v>
      </c>
      <c r="G378" s="208" t="s">
        <v>367</v>
      </c>
      <c r="H378" s="275">
        <v>14.01</v>
      </c>
    </row>
    <row r="379" spans="1:8" ht="12.75" customHeight="1" x14ac:dyDescent="0.2">
      <c r="A379" s="273">
        <v>2025</v>
      </c>
      <c r="B379" s="274" t="s">
        <v>794</v>
      </c>
      <c r="C379" s="274" t="s">
        <v>870</v>
      </c>
      <c r="D379" s="208" t="s">
        <v>871</v>
      </c>
      <c r="E379" s="208" t="s">
        <v>929</v>
      </c>
      <c r="F379" s="208" t="s">
        <v>27</v>
      </c>
      <c r="G379" s="208" t="s">
        <v>367</v>
      </c>
      <c r="H379" s="275">
        <v>38.29</v>
      </c>
    </row>
    <row r="380" spans="1:8" ht="12.75" customHeight="1" x14ac:dyDescent="0.2">
      <c r="A380" s="273">
        <v>2025</v>
      </c>
      <c r="B380" s="274" t="s">
        <v>794</v>
      </c>
      <c r="C380" s="274" t="s">
        <v>870</v>
      </c>
      <c r="D380" s="208" t="s">
        <v>871</v>
      </c>
      <c r="E380" s="208" t="s">
        <v>930</v>
      </c>
      <c r="F380" s="208" t="s">
        <v>27</v>
      </c>
      <c r="G380" s="208" t="s">
        <v>367</v>
      </c>
      <c r="H380" s="275">
        <v>55.22</v>
      </c>
    </row>
    <row r="381" spans="1:8" ht="12.75" customHeight="1" x14ac:dyDescent="0.2">
      <c r="A381" s="273">
        <v>2025</v>
      </c>
      <c r="B381" s="274" t="s">
        <v>798</v>
      </c>
      <c r="C381" s="274" t="s">
        <v>870</v>
      </c>
      <c r="D381" s="208" t="s">
        <v>871</v>
      </c>
      <c r="E381" s="208" t="s">
        <v>931</v>
      </c>
      <c r="F381" s="208" t="s">
        <v>27</v>
      </c>
      <c r="G381" s="208" t="s">
        <v>367</v>
      </c>
      <c r="H381" s="275">
        <v>16.489999999999998</v>
      </c>
    </row>
    <row r="382" spans="1:8" ht="12.75" customHeight="1" x14ac:dyDescent="0.2">
      <c r="A382" s="273">
        <v>2025</v>
      </c>
      <c r="B382" s="274" t="s">
        <v>798</v>
      </c>
      <c r="C382" s="274" t="s">
        <v>870</v>
      </c>
      <c r="D382" s="208" t="s">
        <v>871</v>
      </c>
      <c r="E382" s="208" t="s">
        <v>932</v>
      </c>
      <c r="F382" s="208" t="s">
        <v>27</v>
      </c>
      <c r="G382" s="208" t="s">
        <v>367</v>
      </c>
      <c r="H382" s="275">
        <v>27.3</v>
      </c>
    </row>
    <row r="383" spans="1:8" ht="12.75" customHeight="1" x14ac:dyDescent="0.2">
      <c r="A383" s="273">
        <v>2025</v>
      </c>
      <c r="B383" s="274" t="s">
        <v>581</v>
      </c>
      <c r="C383" s="274" t="s">
        <v>870</v>
      </c>
      <c r="D383" s="208" t="s">
        <v>871</v>
      </c>
      <c r="E383" s="208" t="s">
        <v>933</v>
      </c>
      <c r="F383" s="208" t="s">
        <v>27</v>
      </c>
      <c r="G383" s="208" t="s">
        <v>367</v>
      </c>
      <c r="H383" s="275">
        <v>12.95</v>
      </c>
    </row>
    <row r="384" spans="1:8" ht="12.75" customHeight="1" x14ac:dyDescent="0.2">
      <c r="A384" s="273">
        <v>2025</v>
      </c>
      <c r="B384" s="274" t="s">
        <v>581</v>
      </c>
      <c r="C384" s="274" t="s">
        <v>870</v>
      </c>
      <c r="D384" s="208" t="s">
        <v>871</v>
      </c>
      <c r="E384" s="208" t="s">
        <v>934</v>
      </c>
      <c r="F384" s="208" t="s">
        <v>27</v>
      </c>
      <c r="G384" s="208" t="s">
        <v>367</v>
      </c>
      <c r="H384" s="275">
        <v>7.82</v>
      </c>
    </row>
    <row r="385" spans="1:8" ht="12.75" customHeight="1" x14ac:dyDescent="0.2">
      <c r="A385" s="273">
        <v>2025</v>
      </c>
      <c r="B385" s="274" t="s">
        <v>581</v>
      </c>
      <c r="C385" s="274" t="s">
        <v>870</v>
      </c>
      <c r="D385" s="208" t="s">
        <v>871</v>
      </c>
      <c r="E385" s="208" t="s">
        <v>935</v>
      </c>
      <c r="F385" s="208" t="s">
        <v>27</v>
      </c>
      <c r="G385" s="208" t="s">
        <v>367</v>
      </c>
      <c r="H385" s="275">
        <v>45.39</v>
      </c>
    </row>
    <row r="386" spans="1:8" ht="12.75" customHeight="1" x14ac:dyDescent="0.2">
      <c r="A386" s="273">
        <v>2025</v>
      </c>
      <c r="B386" s="274" t="s">
        <v>429</v>
      </c>
      <c r="C386" s="274" t="s">
        <v>936</v>
      </c>
      <c r="D386" s="208" t="s">
        <v>937</v>
      </c>
      <c r="E386" s="208" t="s">
        <v>938</v>
      </c>
      <c r="F386" s="277" t="s">
        <v>939</v>
      </c>
      <c r="G386" s="277" t="s">
        <v>940</v>
      </c>
      <c r="H386" s="276">
        <v>-3360.07</v>
      </c>
    </row>
    <row r="387" spans="1:8" ht="12.75" customHeight="1" x14ac:dyDescent="0.2">
      <c r="A387" s="273">
        <v>2025</v>
      </c>
      <c r="B387" s="274" t="s">
        <v>429</v>
      </c>
      <c r="C387" s="274" t="s">
        <v>941</v>
      </c>
      <c r="D387" s="208" t="s">
        <v>942</v>
      </c>
      <c r="E387" s="208" t="s">
        <v>938</v>
      </c>
      <c r="F387" s="277" t="s">
        <v>939</v>
      </c>
      <c r="G387" s="277" t="s">
        <v>940</v>
      </c>
      <c r="H387" s="276">
        <v>-861.08</v>
      </c>
    </row>
    <row r="388" spans="1:8" ht="12.75" customHeight="1" x14ac:dyDescent="0.2">
      <c r="A388" s="273">
        <v>2025</v>
      </c>
      <c r="B388" s="274" t="s">
        <v>943</v>
      </c>
      <c r="C388" s="274" t="s">
        <v>944</v>
      </c>
      <c r="D388" s="208" t="s">
        <v>945</v>
      </c>
      <c r="E388" s="208" t="s">
        <v>946</v>
      </c>
      <c r="F388" s="277" t="s">
        <v>939</v>
      </c>
      <c r="G388" s="277" t="s">
        <v>940</v>
      </c>
      <c r="H388" s="275">
        <v>254</v>
      </c>
    </row>
    <row r="389" spans="1:8" ht="12.75" customHeight="1" x14ac:dyDescent="0.2">
      <c r="A389" s="273">
        <v>2025</v>
      </c>
      <c r="B389" s="274" t="s">
        <v>821</v>
      </c>
      <c r="C389" s="274" t="s">
        <v>947</v>
      </c>
      <c r="D389" s="208" t="s">
        <v>948</v>
      </c>
      <c r="E389" s="208" t="s">
        <v>948</v>
      </c>
      <c r="F389" s="277" t="s">
        <v>939</v>
      </c>
      <c r="G389" s="277" t="s">
        <v>940</v>
      </c>
      <c r="H389" s="275">
        <v>5900</v>
      </c>
    </row>
    <row r="390" spans="1:8" ht="12.75" customHeight="1" x14ac:dyDescent="0.2">
      <c r="A390" s="273">
        <v>2025</v>
      </c>
      <c r="B390" s="274" t="s">
        <v>821</v>
      </c>
      <c r="C390" s="274" t="s">
        <v>949</v>
      </c>
      <c r="D390" s="208" t="s">
        <v>950</v>
      </c>
      <c r="E390" s="208" t="s">
        <v>951</v>
      </c>
      <c r="F390" s="277" t="s">
        <v>939</v>
      </c>
      <c r="G390" s="277" t="s">
        <v>940</v>
      </c>
      <c r="H390" s="275">
        <v>33.770000000000003</v>
      </c>
    </row>
    <row r="391" spans="1:8" ht="12.75" customHeight="1" x14ac:dyDescent="0.2">
      <c r="A391" s="273">
        <v>2025</v>
      </c>
      <c r="B391" s="274" t="s">
        <v>821</v>
      </c>
      <c r="C391" s="274" t="s">
        <v>952</v>
      </c>
      <c r="D391" s="208" t="s">
        <v>953</v>
      </c>
      <c r="E391" s="208" t="s">
        <v>951</v>
      </c>
      <c r="F391" s="277" t="s">
        <v>939</v>
      </c>
      <c r="G391" s="277" t="s">
        <v>940</v>
      </c>
      <c r="H391" s="275">
        <v>5627.1</v>
      </c>
    </row>
    <row r="392" spans="1:8" ht="12.75" customHeight="1" x14ac:dyDescent="0.2">
      <c r="A392" s="273">
        <v>2025</v>
      </c>
      <c r="B392" s="274" t="s">
        <v>821</v>
      </c>
      <c r="C392" s="274" t="s">
        <v>954</v>
      </c>
      <c r="D392" s="208" t="s">
        <v>955</v>
      </c>
      <c r="E392" s="208" t="s">
        <v>951</v>
      </c>
      <c r="F392" s="277" t="s">
        <v>939</v>
      </c>
      <c r="G392" s="277" t="s">
        <v>940</v>
      </c>
      <c r="H392" s="275">
        <v>1637.69</v>
      </c>
    </row>
    <row r="393" spans="1:8" ht="12.75" customHeight="1" x14ac:dyDescent="0.2">
      <c r="A393" s="273">
        <v>2025</v>
      </c>
      <c r="B393" s="274" t="s">
        <v>821</v>
      </c>
      <c r="C393" s="274" t="s">
        <v>956</v>
      </c>
      <c r="D393" s="208" t="s">
        <v>957</v>
      </c>
      <c r="E393" s="208" t="s">
        <v>951</v>
      </c>
      <c r="F393" s="277" t="s">
        <v>939</v>
      </c>
      <c r="G393" s="277" t="s">
        <v>940</v>
      </c>
      <c r="H393" s="276">
        <v>-124.76</v>
      </c>
    </row>
    <row r="394" spans="1:8" ht="12.75" customHeight="1" x14ac:dyDescent="0.2">
      <c r="A394" s="273">
        <v>2025</v>
      </c>
      <c r="B394" s="274" t="s">
        <v>880</v>
      </c>
      <c r="C394" s="274" t="s">
        <v>947</v>
      </c>
      <c r="D394" s="208" t="s">
        <v>948</v>
      </c>
      <c r="E394" s="208" t="s">
        <v>958</v>
      </c>
      <c r="F394" s="277" t="s">
        <v>939</v>
      </c>
      <c r="G394" s="277" t="s">
        <v>940</v>
      </c>
      <c r="H394" s="275">
        <v>5900</v>
      </c>
    </row>
    <row r="395" spans="1:8" ht="12.75" customHeight="1" x14ac:dyDescent="0.2">
      <c r="A395" s="273">
        <v>2025</v>
      </c>
      <c r="B395" s="274" t="s">
        <v>880</v>
      </c>
      <c r="C395" s="274" t="s">
        <v>949</v>
      </c>
      <c r="D395" s="208" t="s">
        <v>950</v>
      </c>
      <c r="E395" s="208" t="s">
        <v>959</v>
      </c>
      <c r="F395" s="277" t="s">
        <v>939</v>
      </c>
      <c r="G395" s="277" t="s">
        <v>940</v>
      </c>
      <c r="H395" s="275">
        <v>25.88</v>
      </c>
    </row>
    <row r="396" spans="1:8" ht="12.75" customHeight="1" x14ac:dyDescent="0.2">
      <c r="A396" s="273">
        <v>2025</v>
      </c>
      <c r="B396" s="274" t="s">
        <v>880</v>
      </c>
      <c r="C396" s="274" t="s">
        <v>952</v>
      </c>
      <c r="D396" s="208" t="s">
        <v>953</v>
      </c>
      <c r="E396" s="208" t="s">
        <v>960</v>
      </c>
      <c r="F396" s="277" t="s">
        <v>939</v>
      </c>
      <c r="G396" s="277" t="s">
        <v>940</v>
      </c>
      <c r="H396" s="275">
        <v>4313.3500000000004</v>
      </c>
    </row>
    <row r="397" spans="1:8" ht="12.75" customHeight="1" x14ac:dyDescent="0.2">
      <c r="A397" s="273">
        <v>2025</v>
      </c>
      <c r="B397" s="274" t="s">
        <v>880</v>
      </c>
      <c r="C397" s="274" t="s">
        <v>961</v>
      </c>
      <c r="D397" s="208" t="s">
        <v>962</v>
      </c>
      <c r="E397" s="208" t="s">
        <v>960</v>
      </c>
      <c r="F397" s="277" t="s">
        <v>939</v>
      </c>
      <c r="G397" s="277" t="s">
        <v>940</v>
      </c>
      <c r="H397" s="275">
        <v>5000</v>
      </c>
    </row>
    <row r="398" spans="1:8" ht="12.75" customHeight="1" x14ac:dyDescent="0.2">
      <c r="A398" s="273">
        <v>2025</v>
      </c>
      <c r="B398" s="274" t="s">
        <v>880</v>
      </c>
      <c r="C398" s="274" t="s">
        <v>954</v>
      </c>
      <c r="D398" s="208" t="s">
        <v>955</v>
      </c>
      <c r="E398" s="208" t="s">
        <v>960</v>
      </c>
      <c r="F398" s="277" t="s">
        <v>939</v>
      </c>
      <c r="G398" s="277" t="s">
        <v>940</v>
      </c>
      <c r="H398" s="275">
        <v>845.73</v>
      </c>
    </row>
    <row r="399" spans="1:8" ht="12.75" customHeight="1" x14ac:dyDescent="0.2">
      <c r="A399" s="273">
        <v>2025</v>
      </c>
      <c r="B399" s="274" t="s">
        <v>880</v>
      </c>
      <c r="C399" s="274" t="s">
        <v>956</v>
      </c>
      <c r="D399" s="208" t="s">
        <v>957</v>
      </c>
      <c r="E399" s="208" t="s">
        <v>960</v>
      </c>
      <c r="F399" s="277" t="s">
        <v>939</v>
      </c>
      <c r="G399" s="277" t="s">
        <v>940</v>
      </c>
      <c r="H399" s="276">
        <v>-124.76</v>
      </c>
    </row>
    <row r="400" spans="1:8" ht="12.75" customHeight="1" x14ac:dyDescent="0.2">
      <c r="A400" s="273">
        <v>2025</v>
      </c>
      <c r="B400" s="274" t="s">
        <v>468</v>
      </c>
      <c r="C400" s="274" t="s">
        <v>947</v>
      </c>
      <c r="D400" s="208" t="s">
        <v>948</v>
      </c>
      <c r="E400" s="208" t="s">
        <v>963</v>
      </c>
      <c r="F400" s="277" t="s">
        <v>939</v>
      </c>
      <c r="G400" s="277" t="s">
        <v>940</v>
      </c>
      <c r="H400" s="275">
        <v>5900</v>
      </c>
    </row>
    <row r="401" spans="1:8" ht="12.75" customHeight="1" x14ac:dyDescent="0.2">
      <c r="A401" s="273">
        <v>2025</v>
      </c>
      <c r="B401" s="274" t="s">
        <v>468</v>
      </c>
      <c r="C401" s="274" t="s">
        <v>949</v>
      </c>
      <c r="D401" s="208" t="s">
        <v>950</v>
      </c>
      <c r="E401" s="208" t="s">
        <v>964</v>
      </c>
      <c r="F401" s="277" t="s">
        <v>939</v>
      </c>
      <c r="G401" s="277" t="s">
        <v>940</v>
      </c>
      <c r="H401" s="275">
        <v>62.19</v>
      </c>
    </row>
    <row r="402" spans="1:8" ht="12.75" customHeight="1" x14ac:dyDescent="0.2">
      <c r="A402" s="273">
        <v>2025</v>
      </c>
      <c r="B402" s="274" t="s">
        <v>468</v>
      </c>
      <c r="C402" s="274" t="s">
        <v>952</v>
      </c>
      <c r="D402" s="208" t="s">
        <v>953</v>
      </c>
      <c r="E402" s="208" t="s">
        <v>964</v>
      </c>
      <c r="F402" s="277" t="s">
        <v>939</v>
      </c>
      <c r="G402" s="277" t="s">
        <v>940</v>
      </c>
      <c r="H402" s="275">
        <v>9146.49</v>
      </c>
    </row>
    <row r="403" spans="1:8" ht="12.75" customHeight="1" x14ac:dyDescent="0.2">
      <c r="A403" s="273">
        <v>2025</v>
      </c>
      <c r="B403" s="274" t="s">
        <v>468</v>
      </c>
      <c r="C403" s="274" t="s">
        <v>954</v>
      </c>
      <c r="D403" s="208" t="s">
        <v>955</v>
      </c>
      <c r="E403" s="208" t="s">
        <v>964</v>
      </c>
      <c r="F403" s="277" t="s">
        <v>939</v>
      </c>
      <c r="G403" s="277" t="s">
        <v>940</v>
      </c>
      <c r="H403" s="275">
        <v>2825.29</v>
      </c>
    </row>
    <row r="404" spans="1:8" ht="12.75" customHeight="1" x14ac:dyDescent="0.2">
      <c r="A404" s="273">
        <v>2025</v>
      </c>
      <c r="B404" s="274" t="s">
        <v>468</v>
      </c>
      <c r="C404" s="274" t="s">
        <v>954</v>
      </c>
      <c r="D404" s="208" t="s">
        <v>955</v>
      </c>
      <c r="E404" s="208" t="s">
        <v>964</v>
      </c>
      <c r="F404" s="277" t="s">
        <v>939</v>
      </c>
      <c r="G404" s="277" t="s">
        <v>940</v>
      </c>
      <c r="H404" s="275">
        <v>641.79</v>
      </c>
    </row>
    <row r="405" spans="1:8" ht="12.75" customHeight="1" x14ac:dyDescent="0.2">
      <c r="A405" s="273">
        <v>2025</v>
      </c>
      <c r="B405" s="274" t="s">
        <v>468</v>
      </c>
      <c r="C405" s="274" t="s">
        <v>954</v>
      </c>
      <c r="D405" s="208" t="s">
        <v>955</v>
      </c>
      <c r="E405" s="208" t="s">
        <v>964</v>
      </c>
      <c r="F405" s="277" t="s">
        <v>939</v>
      </c>
      <c r="G405" s="277" t="s">
        <v>940</v>
      </c>
      <c r="H405" s="275">
        <v>33.85</v>
      </c>
    </row>
    <row r="406" spans="1:8" ht="12.75" customHeight="1" x14ac:dyDescent="0.2">
      <c r="A406" s="273">
        <v>2025</v>
      </c>
      <c r="B406" s="274" t="s">
        <v>468</v>
      </c>
      <c r="C406" s="274" t="s">
        <v>954</v>
      </c>
      <c r="D406" s="208" t="s">
        <v>955</v>
      </c>
      <c r="E406" s="208" t="s">
        <v>964</v>
      </c>
      <c r="F406" s="277" t="s">
        <v>939</v>
      </c>
      <c r="G406" s="277" t="s">
        <v>940</v>
      </c>
      <c r="H406" s="275">
        <v>1.83</v>
      </c>
    </row>
    <row r="407" spans="1:8" ht="12.75" customHeight="1" x14ac:dyDescent="0.2">
      <c r="A407" s="273">
        <v>2025</v>
      </c>
      <c r="B407" s="274" t="s">
        <v>468</v>
      </c>
      <c r="C407" s="274" t="s">
        <v>956</v>
      </c>
      <c r="D407" s="208" t="s">
        <v>957</v>
      </c>
      <c r="E407" s="208" t="s">
        <v>964</v>
      </c>
      <c r="F407" s="277" t="s">
        <v>939</v>
      </c>
      <c r="G407" s="277" t="s">
        <v>940</v>
      </c>
      <c r="H407" s="276">
        <v>-124.76</v>
      </c>
    </row>
    <row r="408" spans="1:8" ht="12.75" customHeight="1" x14ac:dyDescent="0.2">
      <c r="A408" s="273">
        <v>2025</v>
      </c>
      <c r="B408" s="274" t="s">
        <v>480</v>
      </c>
      <c r="C408" s="274" t="s">
        <v>947</v>
      </c>
      <c r="D408" s="208" t="s">
        <v>948</v>
      </c>
      <c r="E408" s="208" t="s">
        <v>965</v>
      </c>
      <c r="F408" s="277" t="s">
        <v>939</v>
      </c>
      <c r="G408" s="277" t="s">
        <v>940</v>
      </c>
      <c r="H408" s="275">
        <v>5900</v>
      </c>
    </row>
    <row r="409" spans="1:8" ht="12.75" customHeight="1" x14ac:dyDescent="0.2">
      <c r="A409" s="273">
        <v>2025</v>
      </c>
      <c r="B409" s="274" t="s">
        <v>480</v>
      </c>
      <c r="C409" s="274" t="s">
        <v>949</v>
      </c>
      <c r="D409" s="208" t="s">
        <v>950</v>
      </c>
      <c r="E409" s="208" t="s">
        <v>966</v>
      </c>
      <c r="F409" s="277" t="s">
        <v>939</v>
      </c>
      <c r="G409" s="277" t="s">
        <v>940</v>
      </c>
      <c r="H409" s="275">
        <v>54.06</v>
      </c>
    </row>
    <row r="410" spans="1:8" ht="12.75" customHeight="1" x14ac:dyDescent="0.2">
      <c r="A410" s="273">
        <v>2025</v>
      </c>
      <c r="B410" s="274" t="s">
        <v>480</v>
      </c>
      <c r="C410" s="274" t="s">
        <v>949</v>
      </c>
      <c r="D410" s="208" t="s">
        <v>950</v>
      </c>
      <c r="E410" s="208" t="s">
        <v>967</v>
      </c>
      <c r="F410" s="277" t="s">
        <v>939</v>
      </c>
      <c r="G410" s="277" t="s">
        <v>940</v>
      </c>
      <c r="H410" s="275">
        <v>4.92</v>
      </c>
    </row>
    <row r="411" spans="1:8" ht="12.75" customHeight="1" x14ac:dyDescent="0.2">
      <c r="A411" s="273">
        <v>2025</v>
      </c>
      <c r="B411" s="274" t="s">
        <v>480</v>
      </c>
      <c r="C411" s="274" t="s">
        <v>952</v>
      </c>
      <c r="D411" s="208" t="s">
        <v>953</v>
      </c>
      <c r="E411" s="208" t="s">
        <v>968</v>
      </c>
      <c r="F411" s="277" t="s">
        <v>939</v>
      </c>
      <c r="G411" s="277" t="s">
        <v>940</v>
      </c>
      <c r="H411" s="275">
        <v>9829.7900000000009</v>
      </c>
    </row>
    <row r="412" spans="1:8" ht="12.75" customHeight="1" x14ac:dyDescent="0.2">
      <c r="A412" s="273">
        <v>2025</v>
      </c>
      <c r="B412" s="274" t="s">
        <v>480</v>
      </c>
      <c r="C412" s="274" t="s">
        <v>954</v>
      </c>
      <c r="D412" s="208" t="s">
        <v>955</v>
      </c>
      <c r="E412" s="208" t="s">
        <v>969</v>
      </c>
      <c r="F412" s="277" t="s">
        <v>939</v>
      </c>
      <c r="G412" s="277" t="s">
        <v>940</v>
      </c>
      <c r="H412" s="275">
        <v>3747.47</v>
      </c>
    </row>
    <row r="413" spans="1:8" ht="12.75" customHeight="1" x14ac:dyDescent="0.2">
      <c r="A413" s="273">
        <v>2025</v>
      </c>
      <c r="B413" s="274" t="s">
        <v>480</v>
      </c>
      <c r="C413" s="274" t="s">
        <v>954</v>
      </c>
      <c r="D413" s="208" t="s">
        <v>955</v>
      </c>
      <c r="E413" s="208" t="s">
        <v>970</v>
      </c>
      <c r="F413" s="277" t="s">
        <v>939</v>
      </c>
      <c r="G413" s="277" t="s">
        <v>940</v>
      </c>
      <c r="H413" s="275">
        <v>843.68</v>
      </c>
    </row>
    <row r="414" spans="1:8" ht="12.75" customHeight="1" x14ac:dyDescent="0.2">
      <c r="A414" s="273">
        <v>2025</v>
      </c>
      <c r="B414" s="274" t="s">
        <v>480</v>
      </c>
      <c r="C414" s="274" t="s">
        <v>954</v>
      </c>
      <c r="D414" s="208" t="s">
        <v>955</v>
      </c>
      <c r="E414" s="208" t="s">
        <v>971</v>
      </c>
      <c r="F414" s="277" t="s">
        <v>939</v>
      </c>
      <c r="G414" s="277" t="s">
        <v>940</v>
      </c>
      <c r="H414" s="275">
        <v>40</v>
      </c>
    </row>
    <row r="415" spans="1:8" ht="12.75" customHeight="1" x14ac:dyDescent="0.2">
      <c r="A415" s="273">
        <v>2025</v>
      </c>
      <c r="B415" s="274" t="s">
        <v>480</v>
      </c>
      <c r="C415" s="274" t="s">
        <v>954</v>
      </c>
      <c r="D415" s="208" t="s">
        <v>955</v>
      </c>
      <c r="E415" s="208" t="s">
        <v>972</v>
      </c>
      <c r="F415" s="277" t="s">
        <v>939</v>
      </c>
      <c r="G415" s="277" t="s">
        <v>940</v>
      </c>
      <c r="H415" s="275">
        <v>1.97</v>
      </c>
    </row>
    <row r="416" spans="1:8" ht="12.75" customHeight="1" x14ac:dyDescent="0.2">
      <c r="A416" s="273">
        <v>2025</v>
      </c>
      <c r="B416" s="274" t="s">
        <v>480</v>
      </c>
      <c r="C416" s="274" t="s">
        <v>956</v>
      </c>
      <c r="D416" s="208" t="s">
        <v>957</v>
      </c>
      <c r="E416" s="208" t="s">
        <v>968</v>
      </c>
      <c r="F416" s="277" t="s">
        <v>939</v>
      </c>
      <c r="G416" s="277" t="s">
        <v>940</v>
      </c>
      <c r="H416" s="276">
        <v>-124.76</v>
      </c>
    </row>
    <row r="417" spans="1:8" ht="12.75" customHeight="1" x14ac:dyDescent="0.2">
      <c r="A417" s="273">
        <v>2025</v>
      </c>
      <c r="B417" s="274" t="s">
        <v>497</v>
      </c>
      <c r="C417" s="274" t="s">
        <v>947</v>
      </c>
      <c r="D417" s="208" t="s">
        <v>948</v>
      </c>
      <c r="E417" s="208" t="s">
        <v>973</v>
      </c>
      <c r="F417" s="277" t="s">
        <v>939</v>
      </c>
      <c r="G417" s="277" t="s">
        <v>940</v>
      </c>
      <c r="H417" s="275">
        <v>5900</v>
      </c>
    </row>
    <row r="418" spans="1:8" ht="12.75" customHeight="1" x14ac:dyDescent="0.2">
      <c r="A418" s="273">
        <v>2025</v>
      </c>
      <c r="B418" s="274" t="s">
        <v>497</v>
      </c>
      <c r="C418" s="274" t="s">
        <v>949</v>
      </c>
      <c r="D418" s="208" t="s">
        <v>950</v>
      </c>
      <c r="E418" s="208" t="s">
        <v>974</v>
      </c>
      <c r="F418" s="277" t="s">
        <v>939</v>
      </c>
      <c r="G418" s="277" t="s">
        <v>940</v>
      </c>
      <c r="H418" s="275">
        <v>40.58</v>
      </c>
    </row>
    <row r="419" spans="1:8" ht="12.75" customHeight="1" x14ac:dyDescent="0.2">
      <c r="A419" s="273">
        <v>2025</v>
      </c>
      <c r="B419" s="274" t="s">
        <v>497</v>
      </c>
      <c r="C419" s="274" t="s">
        <v>949</v>
      </c>
      <c r="D419" s="208" t="s">
        <v>950</v>
      </c>
      <c r="E419" s="208" t="s">
        <v>975</v>
      </c>
      <c r="F419" s="277" t="s">
        <v>939</v>
      </c>
      <c r="G419" s="277" t="s">
        <v>940</v>
      </c>
      <c r="H419" s="275">
        <v>3.69</v>
      </c>
    </row>
    <row r="420" spans="1:8" ht="12.75" customHeight="1" x14ac:dyDescent="0.2">
      <c r="A420" s="273">
        <v>2025</v>
      </c>
      <c r="B420" s="274" t="s">
        <v>497</v>
      </c>
      <c r="C420" s="274" t="s">
        <v>952</v>
      </c>
      <c r="D420" s="208" t="s">
        <v>953</v>
      </c>
      <c r="E420" s="208" t="s">
        <v>976</v>
      </c>
      <c r="F420" s="277" t="s">
        <v>939</v>
      </c>
      <c r="G420" s="277" t="s">
        <v>940</v>
      </c>
      <c r="H420" s="275">
        <v>7378.85</v>
      </c>
    </row>
    <row r="421" spans="1:8" ht="12.75" customHeight="1" x14ac:dyDescent="0.2">
      <c r="A421" s="273">
        <v>2025</v>
      </c>
      <c r="B421" s="274" t="s">
        <v>497</v>
      </c>
      <c r="C421" s="274" t="s">
        <v>954</v>
      </c>
      <c r="D421" s="208" t="s">
        <v>955</v>
      </c>
      <c r="E421" s="208" t="s">
        <v>977</v>
      </c>
      <c r="F421" s="277" t="s">
        <v>939</v>
      </c>
      <c r="G421" s="277" t="s">
        <v>940</v>
      </c>
      <c r="H421" s="275">
        <v>2219.08</v>
      </c>
    </row>
    <row r="422" spans="1:8" ht="12.75" customHeight="1" x14ac:dyDescent="0.2">
      <c r="A422" s="273">
        <v>2025</v>
      </c>
      <c r="B422" s="274" t="s">
        <v>497</v>
      </c>
      <c r="C422" s="274" t="s">
        <v>954</v>
      </c>
      <c r="D422" s="208" t="s">
        <v>955</v>
      </c>
      <c r="E422" s="208" t="s">
        <v>978</v>
      </c>
      <c r="F422" s="277" t="s">
        <v>939</v>
      </c>
      <c r="G422" s="277" t="s">
        <v>940</v>
      </c>
      <c r="H422" s="275">
        <v>372.2</v>
      </c>
    </row>
    <row r="423" spans="1:8" ht="12.75" customHeight="1" x14ac:dyDescent="0.2">
      <c r="A423" s="273">
        <v>2025</v>
      </c>
      <c r="B423" s="274" t="s">
        <v>497</v>
      </c>
      <c r="C423" s="274" t="s">
        <v>954</v>
      </c>
      <c r="D423" s="208" t="s">
        <v>955</v>
      </c>
      <c r="E423" s="208" t="s">
        <v>979</v>
      </c>
      <c r="F423" s="277" t="s">
        <v>939</v>
      </c>
      <c r="G423" s="277" t="s">
        <v>940</v>
      </c>
      <c r="H423" s="275">
        <v>25.53</v>
      </c>
    </row>
    <row r="424" spans="1:8" ht="12.75" customHeight="1" x14ac:dyDescent="0.2">
      <c r="A424" s="273">
        <v>2025</v>
      </c>
      <c r="B424" s="274" t="s">
        <v>497</v>
      </c>
      <c r="C424" s="274" t="s">
        <v>954</v>
      </c>
      <c r="D424" s="208" t="s">
        <v>955</v>
      </c>
      <c r="E424" s="208" t="s">
        <v>980</v>
      </c>
      <c r="F424" s="277" t="s">
        <v>939</v>
      </c>
      <c r="G424" s="277" t="s">
        <v>940</v>
      </c>
      <c r="H424" s="275">
        <v>1.47</v>
      </c>
    </row>
    <row r="425" spans="1:8" ht="12.75" customHeight="1" x14ac:dyDescent="0.2">
      <c r="A425" s="273">
        <v>2025</v>
      </c>
      <c r="B425" s="274" t="s">
        <v>497</v>
      </c>
      <c r="C425" s="274" t="s">
        <v>954</v>
      </c>
      <c r="D425" s="208" t="s">
        <v>955</v>
      </c>
      <c r="E425" s="208" t="s">
        <v>981</v>
      </c>
      <c r="F425" s="277" t="s">
        <v>939</v>
      </c>
      <c r="G425" s="277" t="s">
        <v>940</v>
      </c>
      <c r="H425" s="275">
        <v>29.5</v>
      </c>
    </row>
    <row r="426" spans="1:8" ht="12.75" customHeight="1" x14ac:dyDescent="0.2">
      <c r="A426" s="273">
        <v>2025</v>
      </c>
      <c r="B426" s="274" t="s">
        <v>497</v>
      </c>
      <c r="C426" s="274" t="s">
        <v>956</v>
      </c>
      <c r="D426" s="208" t="s">
        <v>957</v>
      </c>
      <c r="E426" s="208" t="s">
        <v>976</v>
      </c>
      <c r="F426" s="277" t="s">
        <v>939</v>
      </c>
      <c r="G426" s="277" t="s">
        <v>940</v>
      </c>
      <c r="H426" s="276">
        <v>-474.76</v>
      </c>
    </row>
    <row r="427" spans="1:8" ht="12.75" customHeight="1" x14ac:dyDescent="0.2">
      <c r="A427" s="273">
        <v>2025</v>
      </c>
      <c r="B427" s="274" t="s">
        <v>510</v>
      </c>
      <c r="C427" s="274" t="s">
        <v>947</v>
      </c>
      <c r="D427" s="208" t="s">
        <v>948</v>
      </c>
      <c r="E427" s="208" t="s">
        <v>982</v>
      </c>
      <c r="F427" s="277" t="s">
        <v>939</v>
      </c>
      <c r="G427" s="277" t="s">
        <v>940</v>
      </c>
      <c r="H427" s="275">
        <v>5900</v>
      </c>
    </row>
    <row r="428" spans="1:8" ht="12.75" customHeight="1" x14ac:dyDescent="0.2">
      <c r="A428" s="273">
        <v>2025</v>
      </c>
      <c r="B428" s="274" t="s">
        <v>510</v>
      </c>
      <c r="C428" s="274" t="s">
        <v>949</v>
      </c>
      <c r="D428" s="208" t="s">
        <v>950</v>
      </c>
      <c r="E428" s="208" t="s">
        <v>983</v>
      </c>
      <c r="F428" s="277" t="s">
        <v>939</v>
      </c>
      <c r="G428" s="277" t="s">
        <v>940</v>
      </c>
      <c r="H428" s="275">
        <v>42.67</v>
      </c>
    </row>
    <row r="429" spans="1:8" ht="12.75" customHeight="1" x14ac:dyDescent="0.2">
      <c r="A429" s="273">
        <v>2025</v>
      </c>
      <c r="B429" s="274" t="s">
        <v>510</v>
      </c>
      <c r="C429" s="274" t="s">
        <v>949</v>
      </c>
      <c r="D429" s="208" t="s">
        <v>950</v>
      </c>
      <c r="E429" s="208" t="s">
        <v>984</v>
      </c>
      <c r="F429" s="277" t="s">
        <v>939</v>
      </c>
      <c r="G429" s="277" t="s">
        <v>940</v>
      </c>
      <c r="H429" s="275">
        <v>3.88</v>
      </c>
    </row>
    <row r="430" spans="1:8" ht="12.75" customHeight="1" x14ac:dyDescent="0.2">
      <c r="A430" s="273">
        <v>2025</v>
      </c>
      <c r="B430" s="274" t="s">
        <v>510</v>
      </c>
      <c r="C430" s="274" t="s">
        <v>952</v>
      </c>
      <c r="D430" s="208" t="s">
        <v>953</v>
      </c>
      <c r="E430" s="208" t="s">
        <v>985</v>
      </c>
      <c r="F430" s="277" t="s">
        <v>939</v>
      </c>
      <c r="G430" s="277" t="s">
        <v>940</v>
      </c>
      <c r="H430" s="275">
        <v>7759.29</v>
      </c>
    </row>
    <row r="431" spans="1:8" ht="12.75" customHeight="1" x14ac:dyDescent="0.2">
      <c r="A431" s="273">
        <v>2025</v>
      </c>
      <c r="B431" s="274" t="s">
        <v>510</v>
      </c>
      <c r="C431" s="274" t="s">
        <v>936</v>
      </c>
      <c r="D431" s="208" t="s">
        <v>937</v>
      </c>
      <c r="E431" s="208" t="s">
        <v>986</v>
      </c>
      <c r="F431" s="277" t="s">
        <v>939</v>
      </c>
      <c r="G431" s="277" t="s">
        <v>940</v>
      </c>
      <c r="H431" s="275">
        <v>4691.1099999999997</v>
      </c>
    </row>
    <row r="432" spans="1:8" ht="12.75" customHeight="1" x14ac:dyDescent="0.2">
      <c r="A432" s="273">
        <v>2025</v>
      </c>
      <c r="B432" s="274" t="s">
        <v>510</v>
      </c>
      <c r="C432" s="274" t="s">
        <v>954</v>
      </c>
      <c r="D432" s="208" t="s">
        <v>955</v>
      </c>
      <c r="E432" s="208" t="s">
        <v>987</v>
      </c>
      <c r="F432" s="277" t="s">
        <v>939</v>
      </c>
      <c r="G432" s="277" t="s">
        <v>940</v>
      </c>
      <c r="H432" s="275">
        <v>2280.42</v>
      </c>
    </row>
    <row r="433" spans="1:8" ht="12.75" customHeight="1" x14ac:dyDescent="0.2">
      <c r="A433" s="273">
        <v>2025</v>
      </c>
      <c r="B433" s="274" t="s">
        <v>510</v>
      </c>
      <c r="C433" s="274" t="s">
        <v>954</v>
      </c>
      <c r="D433" s="208" t="s">
        <v>955</v>
      </c>
      <c r="E433" s="208" t="s">
        <v>988</v>
      </c>
      <c r="F433" s="277" t="s">
        <v>939</v>
      </c>
      <c r="G433" s="277" t="s">
        <v>940</v>
      </c>
      <c r="H433" s="275">
        <v>526.30999999999995</v>
      </c>
    </row>
    <row r="434" spans="1:8" ht="12.75" customHeight="1" x14ac:dyDescent="0.2">
      <c r="A434" s="273">
        <v>2025</v>
      </c>
      <c r="B434" s="274" t="s">
        <v>510</v>
      </c>
      <c r="C434" s="274" t="s">
        <v>954</v>
      </c>
      <c r="D434" s="208" t="s">
        <v>955</v>
      </c>
      <c r="E434" s="208" t="s">
        <v>989</v>
      </c>
      <c r="F434" s="277" t="s">
        <v>939</v>
      </c>
      <c r="G434" s="277" t="s">
        <v>940</v>
      </c>
      <c r="H434" s="275">
        <v>29.85</v>
      </c>
    </row>
    <row r="435" spans="1:8" ht="12.75" customHeight="1" x14ac:dyDescent="0.2">
      <c r="A435" s="273">
        <v>2025</v>
      </c>
      <c r="B435" s="274" t="s">
        <v>510</v>
      </c>
      <c r="C435" s="274" t="s">
        <v>954</v>
      </c>
      <c r="D435" s="208" t="s">
        <v>955</v>
      </c>
      <c r="E435" s="208" t="s">
        <v>990</v>
      </c>
      <c r="F435" s="277" t="s">
        <v>939</v>
      </c>
      <c r="G435" s="277" t="s">
        <v>940</v>
      </c>
      <c r="H435" s="275">
        <v>1.55</v>
      </c>
    </row>
    <row r="436" spans="1:8" ht="12.75" customHeight="1" x14ac:dyDescent="0.2">
      <c r="A436" s="273">
        <v>2025</v>
      </c>
      <c r="B436" s="274" t="s">
        <v>510</v>
      </c>
      <c r="C436" s="274" t="s">
        <v>954</v>
      </c>
      <c r="D436" s="208" t="s">
        <v>955</v>
      </c>
      <c r="E436" s="208" t="s">
        <v>991</v>
      </c>
      <c r="F436" s="277" t="s">
        <v>939</v>
      </c>
      <c r="G436" s="277" t="s">
        <v>940</v>
      </c>
      <c r="H436" s="275">
        <v>29.5</v>
      </c>
    </row>
    <row r="437" spans="1:8" ht="12.75" customHeight="1" x14ac:dyDescent="0.2">
      <c r="A437" s="273">
        <v>2025</v>
      </c>
      <c r="B437" s="274" t="s">
        <v>510</v>
      </c>
      <c r="C437" s="274" t="s">
        <v>941</v>
      </c>
      <c r="D437" s="208" t="s">
        <v>942</v>
      </c>
      <c r="E437" s="208" t="s">
        <v>986</v>
      </c>
      <c r="F437" s="277" t="s">
        <v>939</v>
      </c>
      <c r="G437" s="277" t="s">
        <v>940</v>
      </c>
      <c r="H437" s="275">
        <v>1533.58</v>
      </c>
    </row>
    <row r="438" spans="1:8" ht="12.75" customHeight="1" x14ac:dyDescent="0.2">
      <c r="A438" s="273">
        <v>2025</v>
      </c>
      <c r="B438" s="274" t="s">
        <v>510</v>
      </c>
      <c r="C438" s="274" t="s">
        <v>944</v>
      </c>
      <c r="D438" s="208" t="s">
        <v>945</v>
      </c>
      <c r="E438" s="208" t="s">
        <v>992</v>
      </c>
      <c r="F438" s="277" t="s">
        <v>939</v>
      </c>
      <c r="G438" s="277" t="s">
        <v>940</v>
      </c>
      <c r="H438" s="276">
        <v>-128.05000000000001</v>
      </c>
    </row>
    <row r="439" spans="1:8" ht="12.75" customHeight="1" x14ac:dyDescent="0.2">
      <c r="A439" s="273">
        <v>2025</v>
      </c>
      <c r="B439" s="274" t="s">
        <v>510</v>
      </c>
      <c r="C439" s="274" t="s">
        <v>956</v>
      </c>
      <c r="D439" s="208" t="s">
        <v>957</v>
      </c>
      <c r="E439" s="208" t="s">
        <v>985</v>
      </c>
      <c r="F439" s="277" t="s">
        <v>939</v>
      </c>
      <c r="G439" s="277" t="s">
        <v>940</v>
      </c>
      <c r="H439" s="276">
        <v>-474.76</v>
      </c>
    </row>
    <row r="440" spans="1:8" ht="12.75" customHeight="1" x14ac:dyDescent="0.2">
      <c r="A440" s="273">
        <v>2025</v>
      </c>
      <c r="B440" s="274" t="s">
        <v>512</v>
      </c>
      <c r="C440" s="274" t="s">
        <v>949</v>
      </c>
      <c r="D440" s="208" t="s">
        <v>950</v>
      </c>
      <c r="E440" s="208" t="s">
        <v>993</v>
      </c>
      <c r="F440" s="277" t="s">
        <v>939</v>
      </c>
      <c r="G440" s="277" t="s">
        <v>940</v>
      </c>
      <c r="H440" s="275">
        <v>54.88</v>
      </c>
    </row>
    <row r="441" spans="1:8" ht="12.75" customHeight="1" x14ac:dyDescent="0.2">
      <c r="A441" s="273">
        <v>2025</v>
      </c>
      <c r="B441" s="274" t="s">
        <v>512</v>
      </c>
      <c r="C441" s="274" t="s">
        <v>949</v>
      </c>
      <c r="D441" s="208" t="s">
        <v>950</v>
      </c>
      <c r="E441" s="208" t="s">
        <v>993</v>
      </c>
      <c r="F441" s="277" t="s">
        <v>939</v>
      </c>
      <c r="G441" s="277" t="s">
        <v>940</v>
      </c>
      <c r="H441" s="276">
        <v>-62.19</v>
      </c>
    </row>
    <row r="442" spans="1:8" ht="12.75" customHeight="1" x14ac:dyDescent="0.2">
      <c r="A442" s="273">
        <v>2025</v>
      </c>
      <c r="B442" s="274" t="s">
        <v>512</v>
      </c>
      <c r="C442" s="274" t="s">
        <v>936</v>
      </c>
      <c r="D442" s="208" t="s">
        <v>937</v>
      </c>
      <c r="E442" s="208" t="s">
        <v>994</v>
      </c>
      <c r="F442" s="277" t="s">
        <v>939</v>
      </c>
      <c r="G442" s="277" t="s">
        <v>940</v>
      </c>
      <c r="H442" s="276">
        <v>-4691.1099999999997</v>
      </c>
    </row>
    <row r="443" spans="1:8" ht="12.75" customHeight="1" x14ac:dyDescent="0.2">
      <c r="A443" s="273">
        <v>2025</v>
      </c>
      <c r="B443" s="274" t="s">
        <v>512</v>
      </c>
      <c r="C443" s="274" t="s">
        <v>954</v>
      </c>
      <c r="D443" s="208" t="s">
        <v>955</v>
      </c>
      <c r="E443" s="208" t="s">
        <v>995</v>
      </c>
      <c r="F443" s="277" t="s">
        <v>939</v>
      </c>
      <c r="G443" s="277" t="s">
        <v>940</v>
      </c>
      <c r="H443" s="276">
        <v>-8.81</v>
      </c>
    </row>
    <row r="444" spans="1:8" ht="12.75" customHeight="1" x14ac:dyDescent="0.2">
      <c r="A444" s="273">
        <v>2025</v>
      </c>
      <c r="B444" s="274" t="s">
        <v>512</v>
      </c>
      <c r="C444" s="274" t="s">
        <v>941</v>
      </c>
      <c r="D444" s="208" t="s">
        <v>942</v>
      </c>
      <c r="E444" s="208" t="s">
        <v>994</v>
      </c>
      <c r="F444" s="277" t="s">
        <v>939</v>
      </c>
      <c r="G444" s="277" t="s">
        <v>940</v>
      </c>
      <c r="H444" s="276">
        <v>-1533.58</v>
      </c>
    </row>
    <row r="445" spans="1:8" ht="12.75" customHeight="1" x14ac:dyDescent="0.2">
      <c r="A445" s="273">
        <v>2025</v>
      </c>
      <c r="B445" s="274" t="s">
        <v>512</v>
      </c>
      <c r="C445" s="274" t="s">
        <v>944</v>
      </c>
      <c r="D445" s="208" t="s">
        <v>945</v>
      </c>
      <c r="E445" s="208" t="s">
        <v>996</v>
      </c>
      <c r="F445" s="277" t="s">
        <v>939</v>
      </c>
      <c r="G445" s="277" t="s">
        <v>940</v>
      </c>
      <c r="H445" s="275">
        <v>128.05000000000001</v>
      </c>
    </row>
    <row r="446" spans="1:8" ht="12.75" customHeight="1" x14ac:dyDescent="0.2">
      <c r="A446" s="273">
        <v>2025</v>
      </c>
      <c r="B446" s="274" t="s">
        <v>528</v>
      </c>
      <c r="C446" s="274" t="s">
        <v>947</v>
      </c>
      <c r="D446" s="208" t="s">
        <v>948</v>
      </c>
      <c r="E446" s="208" t="s">
        <v>997</v>
      </c>
      <c r="F446" s="277" t="s">
        <v>939</v>
      </c>
      <c r="G446" s="277" t="s">
        <v>940</v>
      </c>
      <c r="H446" s="275">
        <v>5900</v>
      </c>
    </row>
    <row r="447" spans="1:8" ht="12.75" customHeight="1" x14ac:dyDescent="0.2">
      <c r="A447" s="273">
        <v>2025</v>
      </c>
      <c r="B447" s="274" t="s">
        <v>528</v>
      </c>
      <c r="C447" s="274" t="s">
        <v>949</v>
      </c>
      <c r="D447" s="208" t="s">
        <v>950</v>
      </c>
      <c r="E447" s="208" t="s">
        <v>998</v>
      </c>
      <c r="F447" s="277" t="s">
        <v>939</v>
      </c>
      <c r="G447" s="277" t="s">
        <v>940</v>
      </c>
      <c r="H447" s="275">
        <v>56.45</v>
      </c>
    </row>
    <row r="448" spans="1:8" ht="12.75" customHeight="1" x14ac:dyDescent="0.2">
      <c r="A448" s="273">
        <v>2025</v>
      </c>
      <c r="B448" s="274" t="s">
        <v>528</v>
      </c>
      <c r="C448" s="274" t="s">
        <v>949</v>
      </c>
      <c r="D448" s="208" t="s">
        <v>950</v>
      </c>
      <c r="E448" s="208" t="s">
        <v>999</v>
      </c>
      <c r="F448" s="277" t="s">
        <v>939</v>
      </c>
      <c r="G448" s="277" t="s">
        <v>940</v>
      </c>
      <c r="H448" s="275">
        <v>5.14</v>
      </c>
    </row>
    <row r="449" spans="1:8" ht="12.75" customHeight="1" x14ac:dyDescent="0.2">
      <c r="A449" s="273">
        <v>2025</v>
      </c>
      <c r="B449" s="274" t="s">
        <v>528</v>
      </c>
      <c r="C449" s="274" t="s">
        <v>952</v>
      </c>
      <c r="D449" s="208" t="s">
        <v>953</v>
      </c>
      <c r="E449" s="208" t="s">
        <v>1000</v>
      </c>
      <c r="F449" s="277" t="s">
        <v>939</v>
      </c>
      <c r="G449" s="277" t="s">
        <v>940</v>
      </c>
      <c r="H449" s="275">
        <v>10264.959999999999</v>
      </c>
    </row>
    <row r="450" spans="1:8" ht="12.75" customHeight="1" x14ac:dyDescent="0.2">
      <c r="A450" s="273">
        <v>2025</v>
      </c>
      <c r="B450" s="274" t="s">
        <v>528</v>
      </c>
      <c r="C450" s="274" t="s">
        <v>954</v>
      </c>
      <c r="D450" s="208" t="s">
        <v>955</v>
      </c>
      <c r="E450" s="208" t="s">
        <v>1001</v>
      </c>
      <c r="F450" s="277" t="s">
        <v>939</v>
      </c>
      <c r="G450" s="277" t="s">
        <v>940</v>
      </c>
      <c r="H450" s="275">
        <v>2882.84</v>
      </c>
    </row>
    <row r="451" spans="1:8" ht="12.75" customHeight="1" x14ac:dyDescent="0.2">
      <c r="A451" s="273">
        <v>2025</v>
      </c>
      <c r="B451" s="274" t="s">
        <v>528</v>
      </c>
      <c r="C451" s="274" t="s">
        <v>954</v>
      </c>
      <c r="D451" s="208" t="s">
        <v>955</v>
      </c>
      <c r="E451" s="208" t="s">
        <v>1002</v>
      </c>
      <c r="F451" s="277" t="s">
        <v>939</v>
      </c>
      <c r="G451" s="277" t="s">
        <v>940</v>
      </c>
      <c r="H451" s="275">
        <v>885.33</v>
      </c>
    </row>
    <row r="452" spans="1:8" ht="12.75" customHeight="1" x14ac:dyDescent="0.2">
      <c r="A452" s="273">
        <v>2025</v>
      </c>
      <c r="B452" s="274" t="s">
        <v>528</v>
      </c>
      <c r="C452" s="274" t="s">
        <v>954</v>
      </c>
      <c r="D452" s="208" t="s">
        <v>955</v>
      </c>
      <c r="E452" s="208" t="s">
        <v>1003</v>
      </c>
      <c r="F452" s="277" t="s">
        <v>939</v>
      </c>
      <c r="G452" s="277" t="s">
        <v>940</v>
      </c>
      <c r="H452" s="275">
        <v>43.76</v>
      </c>
    </row>
    <row r="453" spans="1:8" ht="12.75" customHeight="1" x14ac:dyDescent="0.2">
      <c r="A453" s="273">
        <v>2025</v>
      </c>
      <c r="B453" s="274" t="s">
        <v>528</v>
      </c>
      <c r="C453" s="274" t="s">
        <v>954</v>
      </c>
      <c r="D453" s="208" t="s">
        <v>955</v>
      </c>
      <c r="E453" s="208" t="s">
        <v>990</v>
      </c>
      <c r="F453" s="277" t="s">
        <v>939</v>
      </c>
      <c r="G453" s="277" t="s">
        <v>940</v>
      </c>
      <c r="H453" s="275">
        <v>2.0499999999999998</v>
      </c>
    </row>
    <row r="454" spans="1:8" ht="12.75" customHeight="1" x14ac:dyDescent="0.2">
      <c r="A454" s="273">
        <v>2025</v>
      </c>
      <c r="B454" s="274" t="s">
        <v>528</v>
      </c>
      <c r="C454" s="274" t="s">
        <v>954</v>
      </c>
      <c r="D454" s="208" t="s">
        <v>955</v>
      </c>
      <c r="E454" s="208" t="s">
        <v>990</v>
      </c>
      <c r="F454" s="277" t="s">
        <v>939</v>
      </c>
      <c r="G454" s="277" t="s">
        <v>940</v>
      </c>
      <c r="H454" s="276">
        <v>-2.0499999999999998</v>
      </c>
    </row>
    <row r="455" spans="1:8" ht="12.75" customHeight="1" x14ac:dyDescent="0.2">
      <c r="A455" s="273">
        <v>2025</v>
      </c>
      <c r="B455" s="274" t="s">
        <v>528</v>
      </c>
      <c r="C455" s="274" t="s">
        <v>954</v>
      </c>
      <c r="D455" s="208" t="s">
        <v>955</v>
      </c>
      <c r="E455" s="208" t="s">
        <v>991</v>
      </c>
      <c r="F455" s="277" t="s">
        <v>939</v>
      </c>
      <c r="G455" s="277" t="s">
        <v>940</v>
      </c>
      <c r="H455" s="275">
        <v>29.5</v>
      </c>
    </row>
    <row r="456" spans="1:8" ht="12.75" customHeight="1" x14ac:dyDescent="0.2">
      <c r="A456" s="273">
        <v>2025</v>
      </c>
      <c r="B456" s="274" t="s">
        <v>528</v>
      </c>
      <c r="C456" s="274" t="s">
        <v>956</v>
      </c>
      <c r="D456" s="208" t="s">
        <v>957</v>
      </c>
      <c r="E456" s="208" t="s">
        <v>1000</v>
      </c>
      <c r="F456" s="277" t="s">
        <v>939</v>
      </c>
      <c r="G456" s="277" t="s">
        <v>940</v>
      </c>
      <c r="H456" s="276">
        <v>-474.76</v>
      </c>
    </row>
    <row r="457" spans="1:8" ht="12.75" customHeight="1" x14ac:dyDescent="0.2">
      <c r="A457" s="273">
        <v>2025</v>
      </c>
      <c r="B457" s="274" t="s">
        <v>1004</v>
      </c>
      <c r="C457" s="274" t="s">
        <v>1005</v>
      </c>
      <c r="D457" s="208" t="s">
        <v>1006</v>
      </c>
      <c r="E457" s="208" t="s">
        <v>1007</v>
      </c>
      <c r="F457" s="277" t="s">
        <v>939</v>
      </c>
      <c r="G457" s="277" t="s">
        <v>940</v>
      </c>
      <c r="H457" s="276">
        <v>-2100</v>
      </c>
    </row>
    <row r="458" spans="1:8" ht="12.75" customHeight="1" x14ac:dyDescent="0.2">
      <c r="A458" s="273">
        <v>2025</v>
      </c>
      <c r="B458" s="274" t="s">
        <v>536</v>
      </c>
      <c r="C458" s="274" t="s">
        <v>947</v>
      </c>
      <c r="D458" s="208" t="s">
        <v>948</v>
      </c>
      <c r="E458" s="208" t="s">
        <v>1008</v>
      </c>
      <c r="F458" s="277" t="s">
        <v>939</v>
      </c>
      <c r="G458" s="277" t="s">
        <v>940</v>
      </c>
      <c r="H458" s="275">
        <v>5900</v>
      </c>
    </row>
    <row r="459" spans="1:8" ht="12.75" customHeight="1" x14ac:dyDescent="0.2">
      <c r="A459" s="273">
        <v>2025</v>
      </c>
      <c r="B459" s="274" t="s">
        <v>536</v>
      </c>
      <c r="C459" s="274" t="s">
        <v>949</v>
      </c>
      <c r="D459" s="208" t="s">
        <v>950</v>
      </c>
      <c r="E459" s="208" t="s">
        <v>1009</v>
      </c>
      <c r="F459" s="277" t="s">
        <v>939</v>
      </c>
      <c r="G459" s="277" t="s">
        <v>940</v>
      </c>
      <c r="H459" s="275">
        <v>56.22</v>
      </c>
    </row>
    <row r="460" spans="1:8" ht="12.75" customHeight="1" x14ac:dyDescent="0.2">
      <c r="A460" s="273">
        <v>2025</v>
      </c>
      <c r="B460" s="274" t="s">
        <v>536</v>
      </c>
      <c r="C460" s="274" t="s">
        <v>949</v>
      </c>
      <c r="D460" s="208" t="s">
        <v>950</v>
      </c>
      <c r="E460" s="208" t="s">
        <v>1010</v>
      </c>
      <c r="F460" s="277" t="s">
        <v>939</v>
      </c>
      <c r="G460" s="277" t="s">
        <v>940</v>
      </c>
      <c r="H460" s="275">
        <v>5.1100000000000003</v>
      </c>
    </row>
    <row r="461" spans="1:8" ht="12.75" customHeight="1" x14ac:dyDescent="0.2">
      <c r="A461" s="273">
        <v>2025</v>
      </c>
      <c r="B461" s="274" t="s">
        <v>536</v>
      </c>
      <c r="C461" s="274" t="s">
        <v>952</v>
      </c>
      <c r="D461" s="208" t="s">
        <v>953</v>
      </c>
      <c r="E461" s="208" t="s">
        <v>1011</v>
      </c>
      <c r="F461" s="277" t="s">
        <v>939</v>
      </c>
      <c r="G461" s="277" t="s">
        <v>940</v>
      </c>
      <c r="H461" s="275">
        <v>10220.870000000001</v>
      </c>
    </row>
    <row r="462" spans="1:8" ht="12.75" customHeight="1" x14ac:dyDescent="0.2">
      <c r="A462" s="273">
        <v>2025</v>
      </c>
      <c r="B462" s="274" t="s">
        <v>536</v>
      </c>
      <c r="C462" s="274" t="s">
        <v>954</v>
      </c>
      <c r="D462" s="208" t="s">
        <v>955</v>
      </c>
      <c r="E462" s="208" t="s">
        <v>1012</v>
      </c>
      <c r="F462" s="277" t="s">
        <v>939</v>
      </c>
      <c r="G462" s="277" t="s">
        <v>940</v>
      </c>
      <c r="H462" s="275">
        <v>2510.08</v>
      </c>
    </row>
    <row r="463" spans="1:8" ht="12.75" customHeight="1" x14ac:dyDescent="0.2">
      <c r="A463" s="273">
        <v>2025</v>
      </c>
      <c r="B463" s="274" t="s">
        <v>536</v>
      </c>
      <c r="C463" s="274" t="s">
        <v>954</v>
      </c>
      <c r="D463" s="208" t="s">
        <v>955</v>
      </c>
      <c r="E463" s="208" t="s">
        <v>1013</v>
      </c>
      <c r="F463" s="277" t="s">
        <v>939</v>
      </c>
      <c r="G463" s="277" t="s">
        <v>940</v>
      </c>
      <c r="H463" s="275">
        <v>423.65</v>
      </c>
    </row>
    <row r="464" spans="1:8" ht="12.75" customHeight="1" x14ac:dyDescent="0.2">
      <c r="A464" s="273">
        <v>2025</v>
      </c>
      <c r="B464" s="274" t="s">
        <v>536</v>
      </c>
      <c r="C464" s="274" t="s">
        <v>954</v>
      </c>
      <c r="D464" s="208" t="s">
        <v>955</v>
      </c>
      <c r="E464" s="208" t="s">
        <v>1014</v>
      </c>
      <c r="F464" s="277" t="s">
        <v>939</v>
      </c>
      <c r="G464" s="277" t="s">
        <v>940</v>
      </c>
      <c r="H464" s="275">
        <v>35.81</v>
      </c>
    </row>
    <row r="465" spans="1:8" ht="12.75" customHeight="1" x14ac:dyDescent="0.2">
      <c r="A465" s="273">
        <v>2025</v>
      </c>
      <c r="B465" s="274" t="s">
        <v>536</v>
      </c>
      <c r="C465" s="274" t="s">
        <v>954</v>
      </c>
      <c r="D465" s="208" t="s">
        <v>955</v>
      </c>
      <c r="E465" s="208" t="s">
        <v>1015</v>
      </c>
      <c r="F465" s="277" t="s">
        <v>939</v>
      </c>
      <c r="G465" s="277" t="s">
        <v>940</v>
      </c>
      <c r="H465" s="275">
        <v>2.0499999999999998</v>
      </c>
    </row>
    <row r="466" spans="1:8" ht="12.75" customHeight="1" x14ac:dyDescent="0.2">
      <c r="A466" s="273">
        <v>2025</v>
      </c>
      <c r="B466" s="274" t="s">
        <v>536</v>
      </c>
      <c r="C466" s="274" t="s">
        <v>954</v>
      </c>
      <c r="D466" s="208" t="s">
        <v>955</v>
      </c>
      <c r="E466" s="208" t="s">
        <v>1015</v>
      </c>
      <c r="F466" s="277" t="s">
        <v>939</v>
      </c>
      <c r="G466" s="277" t="s">
        <v>940</v>
      </c>
      <c r="H466" s="276">
        <v>-2.0499999999999998</v>
      </c>
    </row>
    <row r="467" spans="1:8" ht="12.75" customHeight="1" x14ac:dyDescent="0.2">
      <c r="A467" s="273">
        <v>2025</v>
      </c>
      <c r="B467" s="274" t="s">
        <v>536</v>
      </c>
      <c r="C467" s="274" t="s">
        <v>954</v>
      </c>
      <c r="D467" s="208" t="s">
        <v>955</v>
      </c>
      <c r="E467" s="208" t="s">
        <v>1016</v>
      </c>
      <c r="F467" s="277" t="s">
        <v>939</v>
      </c>
      <c r="G467" s="277" t="s">
        <v>940</v>
      </c>
      <c r="H467" s="275">
        <v>59</v>
      </c>
    </row>
    <row r="468" spans="1:8" ht="12.75" customHeight="1" x14ac:dyDescent="0.2">
      <c r="A468" s="273">
        <v>2025</v>
      </c>
      <c r="B468" s="274" t="s">
        <v>536</v>
      </c>
      <c r="C468" s="274" t="s">
        <v>956</v>
      </c>
      <c r="D468" s="208" t="s">
        <v>957</v>
      </c>
      <c r="E468" s="208" t="s">
        <v>1011</v>
      </c>
      <c r="F468" s="277" t="s">
        <v>939</v>
      </c>
      <c r="G468" s="277" t="s">
        <v>940</v>
      </c>
      <c r="H468" s="276">
        <v>-474.76</v>
      </c>
    </row>
    <row r="469" spans="1:8" ht="12.75" customHeight="1" x14ac:dyDescent="0.2">
      <c r="A469" s="273">
        <v>2025</v>
      </c>
      <c r="B469" s="274" t="s">
        <v>549</v>
      </c>
      <c r="C469" s="274" t="s">
        <v>947</v>
      </c>
      <c r="D469" s="208" t="s">
        <v>948</v>
      </c>
      <c r="E469" s="208" t="s">
        <v>1017</v>
      </c>
      <c r="F469" s="277" t="s">
        <v>939</v>
      </c>
      <c r="G469" s="277" t="s">
        <v>940</v>
      </c>
      <c r="H469" s="275">
        <v>5900</v>
      </c>
    </row>
    <row r="470" spans="1:8" ht="12.75" customHeight="1" x14ac:dyDescent="0.2">
      <c r="A470" s="273">
        <v>2025</v>
      </c>
      <c r="B470" s="274" t="s">
        <v>549</v>
      </c>
      <c r="C470" s="274" t="s">
        <v>949</v>
      </c>
      <c r="D470" s="208" t="s">
        <v>950</v>
      </c>
      <c r="E470" s="208" t="s">
        <v>1018</v>
      </c>
      <c r="F470" s="277" t="s">
        <v>939</v>
      </c>
      <c r="G470" s="277" t="s">
        <v>940</v>
      </c>
      <c r="H470" s="275">
        <v>55.95</v>
      </c>
    </row>
    <row r="471" spans="1:8" ht="12.75" customHeight="1" x14ac:dyDescent="0.2">
      <c r="A471" s="273">
        <v>2025</v>
      </c>
      <c r="B471" s="274" t="s">
        <v>549</v>
      </c>
      <c r="C471" s="274" t="s">
        <v>949</v>
      </c>
      <c r="D471" s="208" t="s">
        <v>950</v>
      </c>
      <c r="E471" s="208" t="s">
        <v>1019</v>
      </c>
      <c r="F471" s="277" t="s">
        <v>939</v>
      </c>
      <c r="G471" s="277" t="s">
        <v>940</v>
      </c>
      <c r="H471" s="275">
        <v>5.09</v>
      </c>
    </row>
    <row r="472" spans="1:8" ht="12.75" customHeight="1" x14ac:dyDescent="0.2">
      <c r="A472" s="273">
        <v>2025</v>
      </c>
      <c r="B472" s="274" t="s">
        <v>549</v>
      </c>
      <c r="C472" s="274" t="s">
        <v>952</v>
      </c>
      <c r="D472" s="208" t="s">
        <v>953</v>
      </c>
      <c r="E472" s="208" t="s">
        <v>1020</v>
      </c>
      <c r="F472" s="277" t="s">
        <v>939</v>
      </c>
      <c r="G472" s="277" t="s">
        <v>940</v>
      </c>
      <c r="H472" s="275">
        <v>11695.81</v>
      </c>
    </row>
    <row r="473" spans="1:8" ht="12.75" customHeight="1" x14ac:dyDescent="0.2">
      <c r="A473" s="273">
        <v>2025</v>
      </c>
      <c r="B473" s="274" t="s">
        <v>549</v>
      </c>
      <c r="C473" s="274" t="s">
        <v>954</v>
      </c>
      <c r="D473" s="208" t="s">
        <v>955</v>
      </c>
      <c r="E473" s="208" t="s">
        <v>1021</v>
      </c>
      <c r="F473" s="277" t="s">
        <v>939</v>
      </c>
      <c r="G473" s="277" t="s">
        <v>940</v>
      </c>
      <c r="H473" s="275">
        <v>2490.19</v>
      </c>
    </row>
    <row r="474" spans="1:8" ht="12.75" customHeight="1" x14ac:dyDescent="0.2">
      <c r="A474" s="273">
        <v>2025</v>
      </c>
      <c r="B474" s="274" t="s">
        <v>549</v>
      </c>
      <c r="C474" s="274" t="s">
        <v>954</v>
      </c>
      <c r="D474" s="208" t="s">
        <v>955</v>
      </c>
      <c r="E474" s="208" t="s">
        <v>1022</v>
      </c>
      <c r="F474" s="277" t="s">
        <v>939</v>
      </c>
      <c r="G474" s="277" t="s">
        <v>940</v>
      </c>
      <c r="H474" s="275">
        <v>475.6</v>
      </c>
    </row>
    <row r="475" spans="1:8" ht="12.75" customHeight="1" x14ac:dyDescent="0.2">
      <c r="A475" s="273">
        <v>2025</v>
      </c>
      <c r="B475" s="274" t="s">
        <v>549</v>
      </c>
      <c r="C475" s="274" t="s">
        <v>954</v>
      </c>
      <c r="D475" s="208" t="s">
        <v>955</v>
      </c>
      <c r="E475" s="208" t="s">
        <v>1023</v>
      </c>
      <c r="F475" s="277" t="s">
        <v>939</v>
      </c>
      <c r="G475" s="277" t="s">
        <v>940</v>
      </c>
      <c r="H475" s="275">
        <v>42.48</v>
      </c>
    </row>
    <row r="476" spans="1:8" ht="12.75" customHeight="1" x14ac:dyDescent="0.2">
      <c r="A476" s="273">
        <v>2025</v>
      </c>
      <c r="B476" s="274" t="s">
        <v>549</v>
      </c>
      <c r="C476" s="274" t="s">
        <v>954</v>
      </c>
      <c r="D476" s="208" t="s">
        <v>955</v>
      </c>
      <c r="E476" s="208" t="s">
        <v>1024</v>
      </c>
      <c r="F476" s="277" t="s">
        <v>939</v>
      </c>
      <c r="G476" s="277" t="s">
        <v>940</v>
      </c>
      <c r="H476" s="275">
        <v>2.0299999999999998</v>
      </c>
    </row>
    <row r="477" spans="1:8" ht="12.75" customHeight="1" x14ac:dyDescent="0.2">
      <c r="A477" s="273">
        <v>2025</v>
      </c>
      <c r="B477" s="274" t="s">
        <v>549</v>
      </c>
      <c r="C477" s="274" t="s">
        <v>954</v>
      </c>
      <c r="D477" s="208" t="s">
        <v>955</v>
      </c>
      <c r="E477" s="208" t="s">
        <v>1024</v>
      </c>
      <c r="F477" s="277" t="s">
        <v>939</v>
      </c>
      <c r="G477" s="277" t="s">
        <v>940</v>
      </c>
      <c r="H477" s="276">
        <v>-2.0299999999999998</v>
      </c>
    </row>
    <row r="478" spans="1:8" ht="12.75" customHeight="1" x14ac:dyDescent="0.2">
      <c r="A478" s="273">
        <v>2025</v>
      </c>
      <c r="B478" s="274" t="s">
        <v>549</v>
      </c>
      <c r="C478" s="274" t="s">
        <v>954</v>
      </c>
      <c r="D478" s="208" t="s">
        <v>955</v>
      </c>
      <c r="E478" s="208" t="s">
        <v>1025</v>
      </c>
      <c r="F478" s="277" t="s">
        <v>939</v>
      </c>
      <c r="G478" s="277" t="s">
        <v>940</v>
      </c>
      <c r="H478" s="275">
        <v>59</v>
      </c>
    </row>
    <row r="479" spans="1:8" ht="12.75" customHeight="1" x14ac:dyDescent="0.2">
      <c r="A479" s="273">
        <v>2025</v>
      </c>
      <c r="B479" s="274" t="s">
        <v>549</v>
      </c>
      <c r="C479" s="274" t="s">
        <v>956</v>
      </c>
      <c r="D479" s="208" t="s">
        <v>957</v>
      </c>
      <c r="E479" s="208" t="s">
        <v>1020</v>
      </c>
      <c r="F479" s="277" t="s">
        <v>939</v>
      </c>
      <c r="G479" s="277" t="s">
        <v>940</v>
      </c>
      <c r="H479" s="276">
        <v>-474.76</v>
      </c>
    </row>
    <row r="480" spans="1:8" ht="12.75" customHeight="1" x14ac:dyDescent="0.2">
      <c r="A480" s="273">
        <v>2025</v>
      </c>
      <c r="B480" s="274" t="s">
        <v>563</v>
      </c>
      <c r="C480" s="274" t="s">
        <v>947</v>
      </c>
      <c r="D480" s="208" t="s">
        <v>948</v>
      </c>
      <c r="E480" s="208" t="s">
        <v>1026</v>
      </c>
      <c r="F480" s="277" t="s">
        <v>939</v>
      </c>
      <c r="G480" s="277" t="s">
        <v>940</v>
      </c>
      <c r="H480" s="275">
        <v>5900</v>
      </c>
    </row>
    <row r="481" spans="1:8" ht="12.75" customHeight="1" x14ac:dyDescent="0.2">
      <c r="A481" s="273">
        <v>2025</v>
      </c>
      <c r="B481" s="274" t="s">
        <v>563</v>
      </c>
      <c r="C481" s="274" t="s">
        <v>949</v>
      </c>
      <c r="D481" s="208" t="s">
        <v>950</v>
      </c>
      <c r="E481" s="208" t="s">
        <v>1027</v>
      </c>
      <c r="F481" s="277" t="s">
        <v>939</v>
      </c>
      <c r="G481" s="277" t="s">
        <v>940</v>
      </c>
      <c r="H481" s="275">
        <v>55.72</v>
      </c>
    </row>
    <row r="482" spans="1:8" ht="12.75" customHeight="1" x14ac:dyDescent="0.2">
      <c r="A482" s="273">
        <v>2025</v>
      </c>
      <c r="B482" s="274" t="s">
        <v>563</v>
      </c>
      <c r="C482" s="274" t="s">
        <v>949</v>
      </c>
      <c r="D482" s="208" t="s">
        <v>950</v>
      </c>
      <c r="E482" s="208" t="s">
        <v>1028</v>
      </c>
      <c r="F482" s="277" t="s">
        <v>939</v>
      </c>
      <c r="G482" s="277" t="s">
        <v>940</v>
      </c>
      <c r="H482" s="275">
        <v>5.0599999999999996</v>
      </c>
    </row>
    <row r="483" spans="1:8" ht="12.75" customHeight="1" x14ac:dyDescent="0.2">
      <c r="A483" s="273">
        <v>2025</v>
      </c>
      <c r="B483" s="274" t="s">
        <v>563</v>
      </c>
      <c r="C483" s="274" t="s">
        <v>952</v>
      </c>
      <c r="D483" s="208" t="s">
        <v>953</v>
      </c>
      <c r="E483" s="208" t="s">
        <v>1029</v>
      </c>
      <c r="F483" s="277" t="s">
        <v>939</v>
      </c>
      <c r="G483" s="277" t="s">
        <v>940</v>
      </c>
      <c r="H483" s="275">
        <v>11654.28</v>
      </c>
    </row>
    <row r="484" spans="1:8" ht="12.75" customHeight="1" x14ac:dyDescent="0.2">
      <c r="A484" s="273">
        <v>2025</v>
      </c>
      <c r="B484" s="274" t="s">
        <v>563</v>
      </c>
      <c r="C484" s="274" t="s">
        <v>1030</v>
      </c>
      <c r="D484" s="208" t="s">
        <v>1031</v>
      </c>
      <c r="E484" s="208" t="s">
        <v>1032</v>
      </c>
      <c r="F484" s="277" t="s">
        <v>939</v>
      </c>
      <c r="G484" s="277" t="s">
        <v>940</v>
      </c>
      <c r="H484" s="275">
        <v>2524</v>
      </c>
    </row>
    <row r="485" spans="1:8" ht="12.75" customHeight="1" x14ac:dyDescent="0.2">
      <c r="A485" s="273">
        <v>2025</v>
      </c>
      <c r="B485" s="274" t="s">
        <v>563</v>
      </c>
      <c r="C485" s="274" t="s">
        <v>954</v>
      </c>
      <c r="D485" s="208" t="s">
        <v>955</v>
      </c>
      <c r="E485" s="208" t="s">
        <v>1033</v>
      </c>
      <c r="F485" s="277" t="s">
        <v>939</v>
      </c>
      <c r="G485" s="277" t="s">
        <v>940</v>
      </c>
      <c r="H485" s="275">
        <v>3347.1</v>
      </c>
    </row>
    <row r="486" spans="1:8" ht="12.75" customHeight="1" x14ac:dyDescent="0.2">
      <c r="A486" s="273">
        <v>2025</v>
      </c>
      <c r="B486" s="274" t="s">
        <v>563</v>
      </c>
      <c r="C486" s="274" t="s">
        <v>954</v>
      </c>
      <c r="D486" s="208" t="s">
        <v>955</v>
      </c>
      <c r="E486" s="208" t="s">
        <v>1034</v>
      </c>
      <c r="F486" s="277" t="s">
        <v>939</v>
      </c>
      <c r="G486" s="277" t="s">
        <v>940</v>
      </c>
      <c r="H486" s="275">
        <v>412.78</v>
      </c>
    </row>
    <row r="487" spans="1:8" ht="12.75" customHeight="1" x14ac:dyDescent="0.2">
      <c r="A487" s="273">
        <v>2025</v>
      </c>
      <c r="B487" s="274" t="s">
        <v>563</v>
      </c>
      <c r="C487" s="274" t="s">
        <v>954</v>
      </c>
      <c r="D487" s="208" t="s">
        <v>955</v>
      </c>
      <c r="E487" s="208" t="s">
        <v>1035</v>
      </c>
      <c r="F487" s="277" t="s">
        <v>939</v>
      </c>
      <c r="G487" s="277" t="s">
        <v>940</v>
      </c>
      <c r="H487" s="275">
        <v>40.549999999999997</v>
      </c>
    </row>
    <row r="488" spans="1:8" ht="12.75" customHeight="1" x14ac:dyDescent="0.2">
      <c r="A488" s="273">
        <v>2025</v>
      </c>
      <c r="B488" s="274" t="s">
        <v>563</v>
      </c>
      <c r="C488" s="274" t="s">
        <v>954</v>
      </c>
      <c r="D488" s="208" t="s">
        <v>955</v>
      </c>
      <c r="E488" s="208" t="s">
        <v>1036</v>
      </c>
      <c r="F488" s="277" t="s">
        <v>939</v>
      </c>
      <c r="G488" s="277" t="s">
        <v>940</v>
      </c>
      <c r="H488" s="275">
        <v>2.0299999999999998</v>
      </c>
    </row>
    <row r="489" spans="1:8" ht="12.75" customHeight="1" x14ac:dyDescent="0.2">
      <c r="A489" s="273">
        <v>2025</v>
      </c>
      <c r="B489" s="274" t="s">
        <v>563</v>
      </c>
      <c r="C489" s="274" t="s">
        <v>954</v>
      </c>
      <c r="D489" s="208" t="s">
        <v>955</v>
      </c>
      <c r="E489" s="208" t="s">
        <v>1036</v>
      </c>
      <c r="F489" s="277" t="s">
        <v>939</v>
      </c>
      <c r="G489" s="277" t="s">
        <v>940</v>
      </c>
      <c r="H489" s="276">
        <v>-2.0299999999999998</v>
      </c>
    </row>
    <row r="490" spans="1:8" ht="12.75" customHeight="1" x14ac:dyDescent="0.2">
      <c r="A490" s="273">
        <v>2025</v>
      </c>
      <c r="B490" s="274" t="s">
        <v>563</v>
      </c>
      <c r="C490" s="274" t="s">
        <v>954</v>
      </c>
      <c r="D490" s="208" t="s">
        <v>955</v>
      </c>
      <c r="E490" s="208" t="s">
        <v>1037</v>
      </c>
      <c r="F490" s="277" t="s">
        <v>939</v>
      </c>
      <c r="G490" s="277" t="s">
        <v>940</v>
      </c>
      <c r="H490" s="275">
        <v>59</v>
      </c>
    </row>
    <row r="491" spans="1:8" ht="12.75" customHeight="1" x14ac:dyDescent="0.2">
      <c r="A491" s="273">
        <v>2025</v>
      </c>
      <c r="B491" s="274" t="s">
        <v>563</v>
      </c>
      <c r="C491" s="274" t="s">
        <v>956</v>
      </c>
      <c r="D491" s="208" t="s">
        <v>957</v>
      </c>
      <c r="E491" s="208" t="s">
        <v>1029</v>
      </c>
      <c r="F491" s="277" t="s">
        <v>939</v>
      </c>
      <c r="G491" s="277" t="s">
        <v>940</v>
      </c>
      <c r="H491" s="276">
        <v>-474.76</v>
      </c>
    </row>
    <row r="492" spans="1:8" ht="12.75" customHeight="1" x14ac:dyDescent="0.2">
      <c r="A492" s="273">
        <v>2025</v>
      </c>
      <c r="B492" s="274" t="s">
        <v>571</v>
      </c>
      <c r="C492" s="274" t="s">
        <v>947</v>
      </c>
      <c r="D492" s="208" t="s">
        <v>948</v>
      </c>
      <c r="E492" s="208" t="s">
        <v>1038</v>
      </c>
      <c r="F492" s="277" t="s">
        <v>939</v>
      </c>
      <c r="G492" s="277" t="s">
        <v>940</v>
      </c>
      <c r="H492" s="275">
        <v>5900</v>
      </c>
    </row>
    <row r="493" spans="1:8" ht="12.75" customHeight="1" x14ac:dyDescent="0.2">
      <c r="A493" s="273">
        <v>2025</v>
      </c>
      <c r="B493" s="274" t="s">
        <v>571</v>
      </c>
      <c r="C493" s="274" t="s">
        <v>949</v>
      </c>
      <c r="D493" s="208" t="s">
        <v>950</v>
      </c>
      <c r="E493" s="208" t="s">
        <v>1039</v>
      </c>
      <c r="F493" s="277" t="s">
        <v>939</v>
      </c>
      <c r="G493" s="277" t="s">
        <v>940</v>
      </c>
      <c r="H493" s="275">
        <v>35.08</v>
      </c>
    </row>
    <row r="494" spans="1:8" ht="12.75" customHeight="1" x14ac:dyDescent="0.2">
      <c r="A494" s="273">
        <v>2025</v>
      </c>
      <c r="B494" s="274" t="s">
        <v>571</v>
      </c>
      <c r="C494" s="274" t="s">
        <v>949</v>
      </c>
      <c r="D494" s="208" t="s">
        <v>950</v>
      </c>
      <c r="E494" s="208" t="s">
        <v>1040</v>
      </c>
      <c r="F494" s="277" t="s">
        <v>939</v>
      </c>
      <c r="G494" s="277" t="s">
        <v>940</v>
      </c>
      <c r="H494" s="275">
        <v>3.19</v>
      </c>
    </row>
    <row r="495" spans="1:8" ht="12.75" customHeight="1" x14ac:dyDescent="0.2">
      <c r="A495" s="273">
        <v>2025</v>
      </c>
      <c r="B495" s="274" t="s">
        <v>571</v>
      </c>
      <c r="C495" s="274" t="s">
        <v>952</v>
      </c>
      <c r="D495" s="208" t="s">
        <v>953</v>
      </c>
      <c r="E495" s="208" t="s">
        <v>1041</v>
      </c>
      <c r="F495" s="277" t="s">
        <v>939</v>
      </c>
      <c r="G495" s="277" t="s">
        <v>940</v>
      </c>
      <c r="H495" s="275">
        <v>7903.1</v>
      </c>
    </row>
    <row r="496" spans="1:8" ht="12.75" customHeight="1" x14ac:dyDescent="0.2">
      <c r="A496" s="273">
        <v>2025</v>
      </c>
      <c r="B496" s="274" t="s">
        <v>571</v>
      </c>
      <c r="C496" s="274" t="s">
        <v>954</v>
      </c>
      <c r="D496" s="208" t="s">
        <v>955</v>
      </c>
      <c r="E496" s="208" t="s">
        <v>1042</v>
      </c>
      <c r="F496" s="277" t="s">
        <v>939</v>
      </c>
      <c r="G496" s="277" t="s">
        <v>940</v>
      </c>
      <c r="H496" s="275">
        <v>3917.07</v>
      </c>
    </row>
    <row r="497" spans="1:8" ht="12.75" customHeight="1" x14ac:dyDescent="0.2">
      <c r="A497" s="273">
        <v>2025</v>
      </c>
      <c r="B497" s="274" t="s">
        <v>571</v>
      </c>
      <c r="C497" s="274" t="s">
        <v>954</v>
      </c>
      <c r="D497" s="208" t="s">
        <v>955</v>
      </c>
      <c r="E497" s="208" t="s">
        <v>1043</v>
      </c>
      <c r="F497" s="277" t="s">
        <v>939</v>
      </c>
      <c r="G497" s="277" t="s">
        <v>940</v>
      </c>
      <c r="H497" s="275">
        <v>305.07</v>
      </c>
    </row>
    <row r="498" spans="1:8" ht="12.75" customHeight="1" x14ac:dyDescent="0.2">
      <c r="A498" s="273">
        <v>2025</v>
      </c>
      <c r="B498" s="274" t="s">
        <v>571</v>
      </c>
      <c r="C498" s="274" t="s">
        <v>954</v>
      </c>
      <c r="D498" s="208" t="s">
        <v>955</v>
      </c>
      <c r="E498" s="208" t="s">
        <v>1044</v>
      </c>
      <c r="F498" s="277" t="s">
        <v>939</v>
      </c>
      <c r="G498" s="277" t="s">
        <v>940</v>
      </c>
      <c r="H498" s="275">
        <v>29.25</v>
      </c>
    </row>
    <row r="499" spans="1:8" ht="12.75" customHeight="1" x14ac:dyDescent="0.2">
      <c r="A499" s="273">
        <v>2025</v>
      </c>
      <c r="B499" s="274" t="s">
        <v>571</v>
      </c>
      <c r="C499" s="274" t="s">
        <v>954</v>
      </c>
      <c r="D499" s="208" t="s">
        <v>955</v>
      </c>
      <c r="E499" s="208" t="s">
        <v>1045</v>
      </c>
      <c r="F499" s="277" t="s">
        <v>939</v>
      </c>
      <c r="G499" s="277" t="s">
        <v>940</v>
      </c>
      <c r="H499" s="275">
        <v>1.28</v>
      </c>
    </row>
    <row r="500" spans="1:8" ht="12.75" customHeight="1" x14ac:dyDescent="0.2">
      <c r="A500" s="273">
        <v>2025</v>
      </c>
      <c r="B500" s="274" t="s">
        <v>571</v>
      </c>
      <c r="C500" s="274" t="s">
        <v>954</v>
      </c>
      <c r="D500" s="208" t="s">
        <v>955</v>
      </c>
      <c r="E500" s="208" t="s">
        <v>1045</v>
      </c>
      <c r="F500" s="277" t="s">
        <v>939</v>
      </c>
      <c r="G500" s="277" t="s">
        <v>940</v>
      </c>
      <c r="H500" s="276">
        <v>-1.28</v>
      </c>
    </row>
    <row r="501" spans="1:8" ht="12.75" customHeight="1" x14ac:dyDescent="0.2">
      <c r="A501" s="273">
        <v>2025</v>
      </c>
      <c r="B501" s="274" t="s">
        <v>571</v>
      </c>
      <c r="C501" s="274" t="s">
        <v>954</v>
      </c>
      <c r="D501" s="208" t="s">
        <v>955</v>
      </c>
      <c r="E501" s="208" t="s">
        <v>1046</v>
      </c>
      <c r="F501" s="277" t="s">
        <v>939</v>
      </c>
      <c r="G501" s="277" t="s">
        <v>940</v>
      </c>
      <c r="H501" s="275">
        <v>59</v>
      </c>
    </row>
    <row r="502" spans="1:8" ht="12.75" customHeight="1" x14ac:dyDescent="0.2">
      <c r="A502" s="273">
        <v>2025</v>
      </c>
      <c r="B502" s="274" t="s">
        <v>571</v>
      </c>
      <c r="C502" s="274" t="s">
        <v>956</v>
      </c>
      <c r="D502" s="208" t="s">
        <v>957</v>
      </c>
      <c r="E502" s="208" t="s">
        <v>1041</v>
      </c>
      <c r="F502" s="277" t="s">
        <v>939</v>
      </c>
      <c r="G502" s="277" t="s">
        <v>940</v>
      </c>
      <c r="H502" s="276">
        <v>-350</v>
      </c>
    </row>
    <row r="503" spans="1:8" ht="12.75" customHeight="1" x14ac:dyDescent="0.2">
      <c r="A503" s="273">
        <v>2025</v>
      </c>
      <c r="B503" s="274" t="s">
        <v>581</v>
      </c>
      <c r="C503" s="274" t="s">
        <v>947</v>
      </c>
      <c r="D503" s="208" t="s">
        <v>948</v>
      </c>
      <c r="E503" s="208" t="s">
        <v>1047</v>
      </c>
      <c r="F503" s="277" t="s">
        <v>939</v>
      </c>
      <c r="G503" s="277" t="s">
        <v>940</v>
      </c>
      <c r="H503" s="275">
        <v>5900</v>
      </c>
    </row>
    <row r="504" spans="1:8" ht="12.75" customHeight="1" x14ac:dyDescent="0.2">
      <c r="A504" s="273">
        <v>2025</v>
      </c>
      <c r="B504" s="274" t="s">
        <v>581</v>
      </c>
      <c r="C504" s="274" t="s">
        <v>947</v>
      </c>
      <c r="D504" s="208" t="s">
        <v>948</v>
      </c>
      <c r="E504" s="208" t="s">
        <v>1048</v>
      </c>
      <c r="F504" s="277" t="s">
        <v>939</v>
      </c>
      <c r="G504" s="277" t="s">
        <v>940</v>
      </c>
      <c r="H504" s="275">
        <v>3000</v>
      </c>
    </row>
    <row r="505" spans="1:8" ht="12.75" customHeight="1" x14ac:dyDescent="0.2">
      <c r="A505" s="273">
        <v>2025</v>
      </c>
      <c r="B505" s="274" t="s">
        <v>581</v>
      </c>
      <c r="C505" s="274" t="s">
        <v>949</v>
      </c>
      <c r="D505" s="208" t="s">
        <v>950</v>
      </c>
      <c r="E505" s="208" t="s">
        <v>1049</v>
      </c>
      <c r="F505" s="277" t="s">
        <v>939</v>
      </c>
      <c r="G505" s="277" t="s">
        <v>940</v>
      </c>
      <c r="H505" s="275">
        <v>30.47</v>
      </c>
    </row>
    <row r="506" spans="1:8" ht="12.75" customHeight="1" x14ac:dyDescent="0.2">
      <c r="A506" s="273">
        <v>2025</v>
      </c>
      <c r="B506" s="274" t="s">
        <v>581</v>
      </c>
      <c r="C506" s="274" t="s">
        <v>949</v>
      </c>
      <c r="D506" s="208" t="s">
        <v>950</v>
      </c>
      <c r="E506" s="208" t="s">
        <v>1050</v>
      </c>
      <c r="F506" s="277" t="s">
        <v>939</v>
      </c>
      <c r="G506" s="277" t="s">
        <v>940</v>
      </c>
      <c r="H506" s="275">
        <v>2.77</v>
      </c>
    </row>
    <row r="507" spans="1:8" ht="12.75" customHeight="1" x14ac:dyDescent="0.2">
      <c r="A507" s="273">
        <v>2025</v>
      </c>
      <c r="B507" s="274" t="s">
        <v>581</v>
      </c>
      <c r="C507" s="274" t="s">
        <v>952</v>
      </c>
      <c r="D507" s="208" t="s">
        <v>953</v>
      </c>
      <c r="E507" s="208" t="s">
        <v>1051</v>
      </c>
      <c r="F507" s="277" t="s">
        <v>939</v>
      </c>
      <c r="G507" s="277" t="s">
        <v>940</v>
      </c>
      <c r="H507" s="275">
        <v>7064.12</v>
      </c>
    </row>
    <row r="508" spans="1:8" ht="12.75" customHeight="1" x14ac:dyDescent="0.2">
      <c r="A508" s="273">
        <v>2025</v>
      </c>
      <c r="B508" s="274" t="s">
        <v>581</v>
      </c>
      <c r="C508" s="274" t="s">
        <v>936</v>
      </c>
      <c r="D508" s="208" t="s">
        <v>937</v>
      </c>
      <c r="E508" s="208" t="s">
        <v>1052</v>
      </c>
      <c r="F508" s="277" t="s">
        <v>939</v>
      </c>
      <c r="G508" s="277" t="s">
        <v>940</v>
      </c>
      <c r="H508" s="275">
        <v>3075.16</v>
      </c>
    </row>
    <row r="509" spans="1:8" ht="12.75" customHeight="1" x14ac:dyDescent="0.2">
      <c r="A509" s="273">
        <v>2025</v>
      </c>
      <c r="B509" s="274" t="s">
        <v>581</v>
      </c>
      <c r="C509" s="274" t="s">
        <v>954</v>
      </c>
      <c r="D509" s="208" t="s">
        <v>955</v>
      </c>
      <c r="E509" s="208" t="s">
        <v>1053</v>
      </c>
      <c r="F509" s="277" t="s">
        <v>939</v>
      </c>
      <c r="G509" s="277" t="s">
        <v>940</v>
      </c>
      <c r="H509" s="275">
        <v>1312.91</v>
      </c>
    </row>
    <row r="510" spans="1:8" ht="12.75" customHeight="1" x14ac:dyDescent="0.2">
      <c r="A510" s="273">
        <v>2025</v>
      </c>
      <c r="B510" s="274" t="s">
        <v>581</v>
      </c>
      <c r="C510" s="274" t="s">
        <v>954</v>
      </c>
      <c r="D510" s="208" t="s">
        <v>955</v>
      </c>
      <c r="E510" s="208" t="s">
        <v>1054</v>
      </c>
      <c r="F510" s="277" t="s">
        <v>939</v>
      </c>
      <c r="G510" s="277" t="s">
        <v>940</v>
      </c>
      <c r="H510" s="275">
        <v>244.78</v>
      </c>
    </row>
    <row r="511" spans="1:8" ht="12.75" customHeight="1" x14ac:dyDescent="0.2">
      <c r="A511" s="273">
        <v>2025</v>
      </c>
      <c r="B511" s="274" t="s">
        <v>581</v>
      </c>
      <c r="C511" s="274" t="s">
        <v>954</v>
      </c>
      <c r="D511" s="208" t="s">
        <v>955</v>
      </c>
      <c r="E511" s="208" t="s">
        <v>1055</v>
      </c>
      <c r="F511" s="277" t="s">
        <v>939</v>
      </c>
      <c r="G511" s="277" t="s">
        <v>940</v>
      </c>
      <c r="H511" s="275">
        <v>26.14</v>
      </c>
    </row>
    <row r="512" spans="1:8" ht="12.75" customHeight="1" x14ac:dyDescent="0.2">
      <c r="A512" s="273">
        <v>2025</v>
      </c>
      <c r="B512" s="274" t="s">
        <v>581</v>
      </c>
      <c r="C512" s="274" t="s">
        <v>954</v>
      </c>
      <c r="D512" s="208" t="s">
        <v>955</v>
      </c>
      <c r="E512" s="208" t="s">
        <v>1056</v>
      </c>
      <c r="F512" s="277" t="s">
        <v>939</v>
      </c>
      <c r="G512" s="277" t="s">
        <v>940</v>
      </c>
      <c r="H512" s="275">
        <v>1.1100000000000001</v>
      </c>
    </row>
    <row r="513" spans="1:8" ht="12.75" customHeight="1" x14ac:dyDescent="0.2">
      <c r="A513" s="273">
        <v>2025</v>
      </c>
      <c r="B513" s="274" t="s">
        <v>581</v>
      </c>
      <c r="C513" s="274" t="s">
        <v>954</v>
      </c>
      <c r="D513" s="208" t="s">
        <v>955</v>
      </c>
      <c r="E513" s="208" t="s">
        <v>1056</v>
      </c>
      <c r="F513" s="277" t="s">
        <v>939</v>
      </c>
      <c r="G513" s="277" t="s">
        <v>940</v>
      </c>
      <c r="H513" s="276">
        <v>-1.1100000000000001</v>
      </c>
    </row>
    <row r="514" spans="1:8" ht="12.75" customHeight="1" x14ac:dyDescent="0.2">
      <c r="A514" s="273">
        <v>2025</v>
      </c>
      <c r="B514" s="274" t="s">
        <v>581</v>
      </c>
      <c r="C514" s="274" t="s">
        <v>954</v>
      </c>
      <c r="D514" s="208" t="s">
        <v>955</v>
      </c>
      <c r="E514" s="208" t="s">
        <v>1057</v>
      </c>
      <c r="F514" s="277" t="s">
        <v>939</v>
      </c>
      <c r="G514" s="277" t="s">
        <v>940</v>
      </c>
      <c r="H514" s="275">
        <v>59</v>
      </c>
    </row>
    <row r="515" spans="1:8" ht="12.75" customHeight="1" x14ac:dyDescent="0.2">
      <c r="A515" s="273">
        <v>2025</v>
      </c>
      <c r="B515" s="274" t="s">
        <v>581</v>
      </c>
      <c r="C515" s="274" t="s">
        <v>941</v>
      </c>
      <c r="D515" s="208" t="s">
        <v>942</v>
      </c>
      <c r="E515" s="208" t="s">
        <v>1052</v>
      </c>
      <c r="F515" s="277" t="s">
        <v>939</v>
      </c>
      <c r="G515" s="277" t="s">
        <v>940</v>
      </c>
      <c r="H515" s="275">
        <v>737.87</v>
      </c>
    </row>
    <row r="516" spans="1:8" ht="12.75" customHeight="1" x14ac:dyDescent="0.2">
      <c r="A516" s="273">
        <v>2025</v>
      </c>
      <c r="B516" s="274" t="s">
        <v>581</v>
      </c>
      <c r="C516" s="274" t="s">
        <v>956</v>
      </c>
      <c r="D516" s="208" t="s">
        <v>957</v>
      </c>
      <c r="E516" s="208" t="s">
        <v>1051</v>
      </c>
      <c r="F516" s="277" t="s">
        <v>939</v>
      </c>
      <c r="G516" s="277" t="s">
        <v>940</v>
      </c>
      <c r="H516" s="276">
        <v>-350</v>
      </c>
    </row>
    <row r="517" spans="1:8" ht="12.75" customHeight="1" x14ac:dyDescent="0.2">
      <c r="A517" s="273">
        <v>2025</v>
      </c>
      <c r="B517" s="274" t="s">
        <v>581</v>
      </c>
      <c r="C517" s="274" t="s">
        <v>956</v>
      </c>
      <c r="D517" s="208" t="s">
        <v>957</v>
      </c>
      <c r="E517" s="208" t="s">
        <v>1058</v>
      </c>
      <c r="F517" s="277" t="s">
        <v>939</v>
      </c>
      <c r="G517" s="277" t="s">
        <v>940</v>
      </c>
      <c r="H517" s="275">
        <v>4047.6</v>
      </c>
    </row>
    <row r="518" spans="1:8" ht="12.75" customHeight="1" x14ac:dyDescent="0.2">
      <c r="A518" s="273">
        <v>2025</v>
      </c>
      <c r="B518" s="274" t="s">
        <v>581</v>
      </c>
      <c r="C518" s="274" t="s">
        <v>1059</v>
      </c>
      <c r="D518" s="208" t="s">
        <v>1060</v>
      </c>
      <c r="E518" s="208" t="s">
        <v>1058</v>
      </c>
      <c r="F518" s="277" t="s">
        <v>939</v>
      </c>
      <c r="G518" s="277" t="s">
        <v>940</v>
      </c>
      <c r="H518" s="276">
        <v>-4047.6</v>
      </c>
    </row>
    <row r="519" spans="1:8" ht="12.75" customHeight="1" x14ac:dyDescent="0.2">
      <c r="A519" s="273">
        <v>2025</v>
      </c>
      <c r="B519" s="274" t="s">
        <v>429</v>
      </c>
      <c r="C519" s="274" t="s">
        <v>1061</v>
      </c>
      <c r="D519" s="208" t="s">
        <v>1062</v>
      </c>
      <c r="E519" s="208" t="s">
        <v>1063</v>
      </c>
      <c r="F519" s="208" t="s">
        <v>27</v>
      </c>
      <c r="G519" s="208" t="s">
        <v>38</v>
      </c>
      <c r="H519" s="275">
        <v>45</v>
      </c>
    </row>
    <row r="520" spans="1:8" ht="12.75" customHeight="1" x14ac:dyDescent="0.2">
      <c r="A520" s="273">
        <v>2025</v>
      </c>
      <c r="B520" s="274" t="s">
        <v>429</v>
      </c>
      <c r="C520" s="274" t="s">
        <v>1061</v>
      </c>
      <c r="D520" s="208" t="s">
        <v>1062</v>
      </c>
      <c r="E520" s="208" t="s">
        <v>1064</v>
      </c>
      <c r="F520" s="208" t="s">
        <v>27</v>
      </c>
      <c r="G520" s="208" t="s">
        <v>38</v>
      </c>
      <c r="H520" s="275">
        <v>85</v>
      </c>
    </row>
    <row r="521" spans="1:8" ht="12.75" customHeight="1" x14ac:dyDescent="0.2">
      <c r="A521" s="273">
        <v>2025</v>
      </c>
      <c r="B521" s="274" t="s">
        <v>429</v>
      </c>
      <c r="C521" s="274" t="s">
        <v>1061</v>
      </c>
      <c r="D521" s="208" t="s">
        <v>1062</v>
      </c>
      <c r="E521" s="208" t="s">
        <v>1065</v>
      </c>
      <c r="F521" s="208" t="s">
        <v>27</v>
      </c>
      <c r="G521" s="208" t="s">
        <v>38</v>
      </c>
      <c r="H521" s="275">
        <v>85</v>
      </c>
    </row>
    <row r="522" spans="1:8" ht="12.75" customHeight="1" x14ac:dyDescent="0.2">
      <c r="A522" s="273">
        <v>2025</v>
      </c>
      <c r="B522" s="274" t="s">
        <v>429</v>
      </c>
      <c r="C522" s="274" t="s">
        <v>1066</v>
      </c>
      <c r="D522" s="208" t="s">
        <v>1067</v>
      </c>
      <c r="E522" s="208" t="s">
        <v>1068</v>
      </c>
      <c r="F522" s="208" t="s">
        <v>27</v>
      </c>
      <c r="G522" s="208" t="s">
        <v>38</v>
      </c>
      <c r="H522" s="276">
        <v>-726.64</v>
      </c>
    </row>
    <row r="523" spans="1:8" ht="12.75" customHeight="1" x14ac:dyDescent="0.2">
      <c r="A523" s="273">
        <v>2025</v>
      </c>
      <c r="B523" s="274" t="s">
        <v>429</v>
      </c>
      <c r="C523" s="274" t="s">
        <v>1069</v>
      </c>
      <c r="D523" s="208" t="s">
        <v>1070</v>
      </c>
      <c r="E523" s="208" t="s">
        <v>1071</v>
      </c>
      <c r="F523" s="208" t="s">
        <v>27</v>
      </c>
      <c r="G523" s="208" t="s">
        <v>38</v>
      </c>
      <c r="H523" s="276">
        <v>-560</v>
      </c>
    </row>
    <row r="524" spans="1:8" ht="12.75" customHeight="1" x14ac:dyDescent="0.2">
      <c r="A524" s="273">
        <v>2025</v>
      </c>
      <c r="B524" s="274" t="s">
        <v>433</v>
      </c>
      <c r="C524" s="274" t="s">
        <v>1072</v>
      </c>
      <c r="D524" s="208" t="s">
        <v>1073</v>
      </c>
      <c r="E524" s="208" t="s">
        <v>1074</v>
      </c>
      <c r="F524" s="208" t="s">
        <v>27</v>
      </c>
      <c r="G524" s="208" t="s">
        <v>38</v>
      </c>
      <c r="H524" s="275">
        <v>108</v>
      </c>
    </row>
    <row r="525" spans="1:8" ht="12.75" customHeight="1" x14ac:dyDescent="0.2">
      <c r="A525" s="273">
        <v>2025</v>
      </c>
      <c r="B525" s="274" t="s">
        <v>821</v>
      </c>
      <c r="C525" s="274" t="s">
        <v>1061</v>
      </c>
      <c r="D525" s="208" t="s">
        <v>1062</v>
      </c>
      <c r="E525" s="208" t="s">
        <v>1075</v>
      </c>
      <c r="F525" s="208" t="s">
        <v>27</v>
      </c>
      <c r="G525" s="208" t="s">
        <v>38</v>
      </c>
      <c r="H525" s="275">
        <v>250</v>
      </c>
    </row>
    <row r="526" spans="1:8" ht="12.75" customHeight="1" x14ac:dyDescent="0.2">
      <c r="A526" s="273">
        <v>2025</v>
      </c>
      <c r="B526" s="274" t="s">
        <v>821</v>
      </c>
      <c r="C526" s="274" t="s">
        <v>1061</v>
      </c>
      <c r="D526" s="208" t="s">
        <v>1062</v>
      </c>
      <c r="E526" s="208" t="s">
        <v>1076</v>
      </c>
      <c r="F526" s="208" t="s">
        <v>27</v>
      </c>
      <c r="G526" s="208" t="s">
        <v>38</v>
      </c>
      <c r="H526" s="275">
        <v>670.27</v>
      </c>
    </row>
    <row r="527" spans="1:8" ht="12.75" customHeight="1" x14ac:dyDescent="0.2">
      <c r="A527" s="273">
        <v>2025</v>
      </c>
      <c r="B527" s="274" t="s">
        <v>821</v>
      </c>
      <c r="C527" s="274" t="s">
        <v>1061</v>
      </c>
      <c r="D527" s="208" t="s">
        <v>1062</v>
      </c>
      <c r="E527" s="208" t="s">
        <v>1077</v>
      </c>
      <c r="F527" s="208" t="s">
        <v>27</v>
      </c>
      <c r="G527" s="208" t="s">
        <v>38</v>
      </c>
      <c r="H527" s="275">
        <v>400</v>
      </c>
    </row>
    <row r="528" spans="1:8" ht="12.75" customHeight="1" x14ac:dyDescent="0.2">
      <c r="A528" s="273">
        <v>2025</v>
      </c>
      <c r="B528" s="274" t="s">
        <v>821</v>
      </c>
      <c r="C528" s="274" t="s">
        <v>1061</v>
      </c>
      <c r="D528" s="208" t="s">
        <v>1062</v>
      </c>
      <c r="E528" s="208" t="s">
        <v>1078</v>
      </c>
      <c r="F528" s="208" t="s">
        <v>27</v>
      </c>
      <c r="G528" s="208" t="s">
        <v>38</v>
      </c>
      <c r="H528" s="275">
        <v>250</v>
      </c>
    </row>
    <row r="529" spans="1:8" ht="12.75" customHeight="1" x14ac:dyDescent="0.2">
      <c r="A529" s="273">
        <v>2025</v>
      </c>
      <c r="B529" s="274" t="s">
        <v>821</v>
      </c>
      <c r="C529" s="274" t="s">
        <v>1066</v>
      </c>
      <c r="D529" s="208" t="s">
        <v>1067</v>
      </c>
      <c r="E529" s="208" t="s">
        <v>1079</v>
      </c>
      <c r="F529" s="208" t="s">
        <v>27</v>
      </c>
      <c r="G529" s="208" t="s">
        <v>38</v>
      </c>
      <c r="H529" s="275">
        <v>321.67</v>
      </c>
    </row>
    <row r="530" spans="1:8" ht="12.75" customHeight="1" x14ac:dyDescent="0.2">
      <c r="A530" s="273">
        <v>2025</v>
      </c>
      <c r="B530" s="274" t="s">
        <v>880</v>
      </c>
      <c r="C530" s="274" t="s">
        <v>1061</v>
      </c>
      <c r="D530" s="208" t="s">
        <v>1062</v>
      </c>
      <c r="E530" s="208" t="s">
        <v>1080</v>
      </c>
      <c r="F530" s="208" t="s">
        <v>27</v>
      </c>
      <c r="G530" s="208" t="s">
        <v>38</v>
      </c>
      <c r="H530" s="275">
        <v>45</v>
      </c>
    </row>
    <row r="531" spans="1:8" ht="12.75" customHeight="1" x14ac:dyDescent="0.2">
      <c r="A531" s="273">
        <v>2025</v>
      </c>
      <c r="B531" s="274" t="s">
        <v>880</v>
      </c>
      <c r="C531" s="274" t="s">
        <v>1061</v>
      </c>
      <c r="D531" s="208" t="s">
        <v>1062</v>
      </c>
      <c r="E531" s="208" t="s">
        <v>1081</v>
      </c>
      <c r="F531" s="208" t="s">
        <v>27</v>
      </c>
      <c r="G531" s="208" t="s">
        <v>38</v>
      </c>
      <c r="H531" s="275">
        <v>60</v>
      </c>
    </row>
    <row r="532" spans="1:8" ht="12.75" customHeight="1" x14ac:dyDescent="0.2">
      <c r="A532" s="273">
        <v>2025</v>
      </c>
      <c r="B532" s="274" t="s">
        <v>880</v>
      </c>
      <c r="C532" s="274" t="s">
        <v>1061</v>
      </c>
      <c r="D532" s="208" t="s">
        <v>1062</v>
      </c>
      <c r="E532" s="208" t="s">
        <v>1082</v>
      </c>
      <c r="F532" s="208" t="s">
        <v>27</v>
      </c>
      <c r="G532" s="208" t="s">
        <v>38</v>
      </c>
      <c r="H532" s="275">
        <v>670.27</v>
      </c>
    </row>
    <row r="533" spans="1:8" ht="12.75" customHeight="1" x14ac:dyDescent="0.2">
      <c r="A533" s="273">
        <v>2025</v>
      </c>
      <c r="B533" s="274" t="s">
        <v>880</v>
      </c>
      <c r="C533" s="274" t="s">
        <v>1061</v>
      </c>
      <c r="D533" s="208" t="s">
        <v>1062</v>
      </c>
      <c r="E533" s="208" t="s">
        <v>1083</v>
      </c>
      <c r="F533" s="208" t="s">
        <v>27</v>
      </c>
      <c r="G533" s="208" t="s">
        <v>38</v>
      </c>
      <c r="H533" s="275">
        <v>250</v>
      </c>
    </row>
    <row r="534" spans="1:8" ht="12.75" customHeight="1" x14ac:dyDescent="0.2">
      <c r="A534" s="273">
        <v>2025</v>
      </c>
      <c r="B534" s="274" t="s">
        <v>880</v>
      </c>
      <c r="C534" s="274" t="s">
        <v>1061</v>
      </c>
      <c r="D534" s="208" t="s">
        <v>1062</v>
      </c>
      <c r="E534" s="208" t="s">
        <v>1084</v>
      </c>
      <c r="F534" s="208" t="s">
        <v>27</v>
      </c>
      <c r="G534" s="208" t="s">
        <v>38</v>
      </c>
      <c r="H534" s="275">
        <v>220.13</v>
      </c>
    </row>
    <row r="535" spans="1:8" ht="12.75" customHeight="1" x14ac:dyDescent="0.2">
      <c r="A535" s="273">
        <v>2025</v>
      </c>
      <c r="B535" s="274" t="s">
        <v>880</v>
      </c>
      <c r="C535" s="274" t="s">
        <v>1066</v>
      </c>
      <c r="D535" s="208" t="s">
        <v>1067</v>
      </c>
      <c r="E535" s="208" t="s">
        <v>1085</v>
      </c>
      <c r="F535" s="208" t="s">
        <v>27</v>
      </c>
      <c r="G535" s="208" t="s">
        <v>38</v>
      </c>
      <c r="H535" s="275">
        <v>900</v>
      </c>
    </row>
    <row r="536" spans="1:8" ht="12.75" customHeight="1" x14ac:dyDescent="0.2">
      <c r="A536" s="273">
        <v>2025</v>
      </c>
      <c r="B536" s="274" t="s">
        <v>880</v>
      </c>
      <c r="C536" s="274" t="s">
        <v>1066</v>
      </c>
      <c r="D536" s="208" t="s">
        <v>1067</v>
      </c>
      <c r="E536" s="208" t="s">
        <v>1086</v>
      </c>
      <c r="F536" s="208" t="s">
        <v>27</v>
      </c>
      <c r="G536" s="208" t="s">
        <v>38</v>
      </c>
      <c r="H536" s="275">
        <v>321.67</v>
      </c>
    </row>
    <row r="537" spans="1:8" ht="12.75" customHeight="1" x14ac:dyDescent="0.2">
      <c r="A537" s="273">
        <v>2025</v>
      </c>
      <c r="B537" s="274" t="s">
        <v>880</v>
      </c>
      <c r="C537" s="274" t="s">
        <v>1066</v>
      </c>
      <c r="D537" s="208" t="s">
        <v>1067</v>
      </c>
      <c r="E537" s="208" t="s">
        <v>1087</v>
      </c>
      <c r="F537" s="208" t="s">
        <v>27</v>
      </c>
      <c r="G537" s="208" t="s">
        <v>38</v>
      </c>
      <c r="H537" s="275">
        <v>268</v>
      </c>
    </row>
    <row r="538" spans="1:8" ht="12.75" customHeight="1" x14ac:dyDescent="0.2">
      <c r="A538" s="273">
        <v>2025</v>
      </c>
      <c r="B538" s="274" t="s">
        <v>1088</v>
      </c>
      <c r="C538" s="274" t="s">
        <v>1072</v>
      </c>
      <c r="D538" s="208" t="s">
        <v>1073</v>
      </c>
      <c r="E538" s="208" t="s">
        <v>1089</v>
      </c>
      <c r="F538" s="208" t="s">
        <v>27</v>
      </c>
      <c r="G538" s="208" t="s">
        <v>38</v>
      </c>
      <c r="H538" s="275">
        <v>11.81</v>
      </c>
    </row>
    <row r="539" spans="1:8" ht="12.75" customHeight="1" x14ac:dyDescent="0.2">
      <c r="A539" s="273">
        <v>2025</v>
      </c>
      <c r="B539" s="274" t="s">
        <v>1088</v>
      </c>
      <c r="C539" s="274" t="s">
        <v>1072</v>
      </c>
      <c r="D539" s="208" t="s">
        <v>1073</v>
      </c>
      <c r="E539" s="208" t="s">
        <v>1090</v>
      </c>
      <c r="F539" s="208" t="s">
        <v>27</v>
      </c>
      <c r="G539" s="208" t="s">
        <v>38</v>
      </c>
      <c r="H539" s="275">
        <v>30.45</v>
      </c>
    </row>
    <row r="540" spans="1:8" ht="12.75" customHeight="1" x14ac:dyDescent="0.2">
      <c r="A540" s="273">
        <v>2025</v>
      </c>
      <c r="B540" s="274" t="s">
        <v>468</v>
      </c>
      <c r="C540" s="274" t="s">
        <v>1061</v>
      </c>
      <c r="D540" s="208" t="s">
        <v>1062</v>
      </c>
      <c r="E540" s="208" t="s">
        <v>1091</v>
      </c>
      <c r="F540" s="208" t="s">
        <v>27</v>
      </c>
      <c r="G540" s="208" t="s">
        <v>38</v>
      </c>
      <c r="H540" s="275">
        <v>106</v>
      </c>
    </row>
    <row r="541" spans="1:8" ht="12.75" customHeight="1" x14ac:dyDescent="0.2">
      <c r="A541" s="273">
        <v>2025</v>
      </c>
      <c r="B541" s="274" t="s">
        <v>468</v>
      </c>
      <c r="C541" s="274" t="s">
        <v>1061</v>
      </c>
      <c r="D541" s="208" t="s">
        <v>1062</v>
      </c>
      <c r="E541" s="208" t="s">
        <v>1092</v>
      </c>
      <c r="F541" s="208" t="s">
        <v>27</v>
      </c>
      <c r="G541" s="208" t="s">
        <v>38</v>
      </c>
      <c r="H541" s="275">
        <v>670.27</v>
      </c>
    </row>
    <row r="542" spans="1:8" ht="12.75" customHeight="1" x14ac:dyDescent="0.2">
      <c r="A542" s="273">
        <v>2025</v>
      </c>
      <c r="B542" s="274" t="s">
        <v>468</v>
      </c>
      <c r="C542" s="274" t="s">
        <v>1066</v>
      </c>
      <c r="D542" s="208" t="s">
        <v>1067</v>
      </c>
      <c r="E542" s="208" t="s">
        <v>1093</v>
      </c>
      <c r="F542" s="208" t="s">
        <v>27</v>
      </c>
      <c r="G542" s="208" t="s">
        <v>38</v>
      </c>
      <c r="H542" s="275">
        <v>83.3</v>
      </c>
    </row>
    <row r="543" spans="1:8" ht="12.75" customHeight="1" x14ac:dyDescent="0.2">
      <c r="A543" s="273">
        <v>2025</v>
      </c>
      <c r="B543" s="274" t="s">
        <v>468</v>
      </c>
      <c r="C543" s="274" t="s">
        <v>1094</v>
      </c>
      <c r="D543" s="208" t="s">
        <v>1095</v>
      </c>
      <c r="E543" s="208" t="s">
        <v>1096</v>
      </c>
      <c r="F543" s="208" t="s">
        <v>27</v>
      </c>
      <c r="G543" s="208" t="s">
        <v>38</v>
      </c>
      <c r="H543" s="275">
        <v>393.9</v>
      </c>
    </row>
    <row r="544" spans="1:8" ht="12.75" customHeight="1" x14ac:dyDescent="0.2">
      <c r="A544" s="273">
        <v>2025</v>
      </c>
      <c r="B544" s="274" t="s">
        <v>468</v>
      </c>
      <c r="C544" s="274" t="s">
        <v>1069</v>
      </c>
      <c r="D544" s="208" t="s">
        <v>1070</v>
      </c>
      <c r="E544" s="208" t="s">
        <v>1093</v>
      </c>
      <c r="F544" s="208" t="s">
        <v>27</v>
      </c>
      <c r="G544" s="208" t="s">
        <v>38</v>
      </c>
      <c r="H544" s="275">
        <v>238.37</v>
      </c>
    </row>
    <row r="545" spans="1:8" ht="12.75" customHeight="1" x14ac:dyDescent="0.2">
      <c r="A545" s="273">
        <v>2025</v>
      </c>
      <c r="B545" s="274" t="s">
        <v>468</v>
      </c>
      <c r="C545" s="274" t="s">
        <v>1097</v>
      </c>
      <c r="D545" s="208" t="s">
        <v>1098</v>
      </c>
      <c r="E545" s="208" t="s">
        <v>1099</v>
      </c>
      <c r="F545" s="208" t="s">
        <v>27</v>
      </c>
      <c r="G545" s="208" t="s">
        <v>38</v>
      </c>
      <c r="H545" s="275">
        <v>230</v>
      </c>
    </row>
    <row r="546" spans="1:8" ht="12.75" customHeight="1" x14ac:dyDescent="0.2">
      <c r="A546" s="273">
        <v>2025</v>
      </c>
      <c r="B546" s="274" t="s">
        <v>468</v>
      </c>
      <c r="C546" s="274" t="s">
        <v>1072</v>
      </c>
      <c r="D546" s="208" t="s">
        <v>1073</v>
      </c>
      <c r="E546" s="208" t="s">
        <v>1099</v>
      </c>
      <c r="F546" s="208" t="s">
        <v>27</v>
      </c>
      <c r="G546" s="208" t="s">
        <v>38</v>
      </c>
      <c r="H546" s="275">
        <v>62.64</v>
      </c>
    </row>
    <row r="547" spans="1:8" ht="12.75" customHeight="1" x14ac:dyDescent="0.2">
      <c r="A547" s="273">
        <v>2025</v>
      </c>
      <c r="B547" s="274" t="s">
        <v>480</v>
      </c>
      <c r="C547" s="274" t="s">
        <v>1061</v>
      </c>
      <c r="D547" s="208" t="s">
        <v>1062</v>
      </c>
      <c r="E547" s="208" t="s">
        <v>1100</v>
      </c>
      <c r="F547" s="208" t="s">
        <v>27</v>
      </c>
      <c r="G547" s="208" t="s">
        <v>38</v>
      </c>
      <c r="H547" s="275">
        <v>670.27</v>
      </c>
    </row>
    <row r="548" spans="1:8" ht="12.75" customHeight="1" x14ac:dyDescent="0.2">
      <c r="A548" s="273">
        <v>2025</v>
      </c>
      <c r="B548" s="274" t="s">
        <v>480</v>
      </c>
      <c r="C548" s="274" t="s">
        <v>1061</v>
      </c>
      <c r="D548" s="208" t="s">
        <v>1062</v>
      </c>
      <c r="E548" s="208" t="s">
        <v>1101</v>
      </c>
      <c r="F548" s="208" t="s">
        <v>27</v>
      </c>
      <c r="G548" s="208" t="s">
        <v>38</v>
      </c>
      <c r="H548" s="275">
        <v>220.13</v>
      </c>
    </row>
    <row r="549" spans="1:8" ht="12.75" customHeight="1" x14ac:dyDescent="0.2">
      <c r="A549" s="273">
        <v>2025</v>
      </c>
      <c r="B549" s="274" t="s">
        <v>480</v>
      </c>
      <c r="C549" s="274" t="s">
        <v>1061</v>
      </c>
      <c r="D549" s="208" t="s">
        <v>1062</v>
      </c>
      <c r="E549" s="208" t="s">
        <v>1102</v>
      </c>
      <c r="F549" s="208" t="s">
        <v>27</v>
      </c>
      <c r="G549" s="208" t="s">
        <v>38</v>
      </c>
      <c r="H549" s="275">
        <v>670.27</v>
      </c>
    </row>
    <row r="550" spans="1:8" ht="12.75" customHeight="1" x14ac:dyDescent="0.2">
      <c r="A550" s="273">
        <v>2025</v>
      </c>
      <c r="B550" s="274" t="s">
        <v>480</v>
      </c>
      <c r="C550" s="274" t="s">
        <v>1069</v>
      </c>
      <c r="D550" s="208" t="s">
        <v>1070</v>
      </c>
      <c r="E550" s="208" t="s">
        <v>1103</v>
      </c>
      <c r="F550" s="208" t="s">
        <v>27</v>
      </c>
      <c r="G550" s="208" t="s">
        <v>38</v>
      </c>
      <c r="H550" s="275">
        <v>321.63</v>
      </c>
    </row>
    <row r="551" spans="1:8" ht="12.75" customHeight="1" x14ac:dyDescent="0.2">
      <c r="A551" s="273">
        <v>2025</v>
      </c>
      <c r="B551" s="274" t="s">
        <v>480</v>
      </c>
      <c r="C551" s="274" t="s">
        <v>1097</v>
      </c>
      <c r="D551" s="208" t="s">
        <v>1098</v>
      </c>
      <c r="E551" s="208" t="s">
        <v>1104</v>
      </c>
      <c r="F551" s="208" t="s">
        <v>27</v>
      </c>
      <c r="G551" s="208" t="s">
        <v>38</v>
      </c>
      <c r="H551" s="275">
        <v>800</v>
      </c>
    </row>
    <row r="552" spans="1:8" ht="12.75" customHeight="1" x14ac:dyDescent="0.2">
      <c r="A552" s="273">
        <v>2025</v>
      </c>
      <c r="B552" s="274" t="s">
        <v>497</v>
      </c>
      <c r="C552" s="274" t="s">
        <v>1066</v>
      </c>
      <c r="D552" s="208" t="s">
        <v>1067</v>
      </c>
      <c r="E552" s="208" t="s">
        <v>1105</v>
      </c>
      <c r="F552" s="208" t="s">
        <v>27</v>
      </c>
      <c r="G552" s="208" t="s">
        <v>38</v>
      </c>
      <c r="H552" s="275">
        <v>592</v>
      </c>
    </row>
    <row r="553" spans="1:8" ht="12.75" customHeight="1" x14ac:dyDescent="0.2">
      <c r="A553" s="273">
        <v>2025</v>
      </c>
      <c r="B553" s="274" t="s">
        <v>510</v>
      </c>
      <c r="C553" s="274" t="s">
        <v>1066</v>
      </c>
      <c r="D553" s="208" t="s">
        <v>1067</v>
      </c>
      <c r="E553" s="208" t="s">
        <v>1106</v>
      </c>
      <c r="F553" s="208" t="s">
        <v>27</v>
      </c>
      <c r="G553" s="208" t="s">
        <v>38</v>
      </c>
      <c r="H553" s="275">
        <v>592</v>
      </c>
    </row>
    <row r="554" spans="1:8" ht="12.75" customHeight="1" x14ac:dyDescent="0.2">
      <c r="A554" s="273">
        <v>2025</v>
      </c>
      <c r="B554" s="274" t="s">
        <v>510</v>
      </c>
      <c r="C554" s="274" t="s">
        <v>1066</v>
      </c>
      <c r="D554" s="208" t="s">
        <v>1067</v>
      </c>
      <c r="E554" s="208" t="s">
        <v>1107</v>
      </c>
      <c r="F554" s="208" t="s">
        <v>27</v>
      </c>
      <c r="G554" s="208" t="s">
        <v>38</v>
      </c>
      <c r="H554" s="275">
        <v>2081</v>
      </c>
    </row>
    <row r="555" spans="1:8" ht="12.75" customHeight="1" x14ac:dyDescent="0.2">
      <c r="A555" s="273">
        <v>2025</v>
      </c>
      <c r="B555" s="274" t="s">
        <v>510</v>
      </c>
      <c r="C555" s="274" t="s">
        <v>1094</v>
      </c>
      <c r="D555" s="208" t="s">
        <v>1095</v>
      </c>
      <c r="E555" s="208" t="s">
        <v>1108</v>
      </c>
      <c r="F555" s="208" t="s">
        <v>27</v>
      </c>
      <c r="G555" s="208" t="s">
        <v>38</v>
      </c>
      <c r="H555" s="275">
        <v>294.39999999999998</v>
      </c>
    </row>
    <row r="556" spans="1:8" ht="12.75" customHeight="1" x14ac:dyDescent="0.2">
      <c r="A556" s="273">
        <v>2025</v>
      </c>
      <c r="B556" s="274" t="s">
        <v>510</v>
      </c>
      <c r="C556" s="274" t="s">
        <v>1069</v>
      </c>
      <c r="D556" s="208" t="s">
        <v>1070</v>
      </c>
      <c r="E556" s="208" t="s">
        <v>1109</v>
      </c>
      <c r="F556" s="208" t="s">
        <v>27</v>
      </c>
      <c r="G556" s="208" t="s">
        <v>38</v>
      </c>
      <c r="H556" s="275">
        <v>285</v>
      </c>
    </row>
    <row r="557" spans="1:8" ht="12.75" customHeight="1" x14ac:dyDescent="0.2">
      <c r="A557" s="273">
        <v>2025</v>
      </c>
      <c r="B557" s="274" t="s">
        <v>510</v>
      </c>
      <c r="C557" s="274" t="s">
        <v>1097</v>
      </c>
      <c r="D557" s="208" t="s">
        <v>1098</v>
      </c>
      <c r="E557" s="208" t="s">
        <v>1110</v>
      </c>
      <c r="F557" s="208" t="s">
        <v>27</v>
      </c>
      <c r="G557" s="208" t="s">
        <v>38</v>
      </c>
      <c r="H557" s="275">
        <v>1350</v>
      </c>
    </row>
    <row r="558" spans="1:8" ht="12.75" customHeight="1" x14ac:dyDescent="0.2">
      <c r="A558" s="273">
        <v>2025</v>
      </c>
      <c r="B558" s="274" t="s">
        <v>512</v>
      </c>
      <c r="C558" s="274" t="s">
        <v>1061</v>
      </c>
      <c r="D558" s="208" t="s">
        <v>1062</v>
      </c>
      <c r="E558" s="208" t="s">
        <v>1111</v>
      </c>
      <c r="F558" s="208" t="s">
        <v>27</v>
      </c>
      <c r="G558" s="208" t="s">
        <v>38</v>
      </c>
      <c r="H558" s="275">
        <v>670.27</v>
      </c>
    </row>
    <row r="559" spans="1:8" ht="12.75" customHeight="1" x14ac:dyDescent="0.2">
      <c r="A559" s="273">
        <v>2025</v>
      </c>
      <c r="B559" s="274" t="s">
        <v>512</v>
      </c>
      <c r="C559" s="274" t="s">
        <v>1061</v>
      </c>
      <c r="D559" s="208" t="s">
        <v>1062</v>
      </c>
      <c r="E559" s="208" t="s">
        <v>1111</v>
      </c>
      <c r="F559" s="208" t="s">
        <v>27</v>
      </c>
      <c r="G559" s="208" t="s">
        <v>38</v>
      </c>
      <c r="H559" s="275">
        <v>45</v>
      </c>
    </row>
    <row r="560" spans="1:8" ht="12.75" customHeight="1" x14ac:dyDescent="0.2">
      <c r="A560" s="273">
        <v>2025</v>
      </c>
      <c r="B560" s="274" t="s">
        <v>512</v>
      </c>
      <c r="C560" s="274" t="s">
        <v>1061</v>
      </c>
      <c r="D560" s="208" t="s">
        <v>1062</v>
      </c>
      <c r="E560" s="208" t="s">
        <v>1111</v>
      </c>
      <c r="F560" s="208" t="s">
        <v>27</v>
      </c>
      <c r="G560" s="208" t="s">
        <v>38</v>
      </c>
      <c r="H560" s="275">
        <v>60</v>
      </c>
    </row>
    <row r="561" spans="1:8" ht="12.75" customHeight="1" x14ac:dyDescent="0.2">
      <c r="A561" s="273">
        <v>2025</v>
      </c>
      <c r="B561" s="274" t="s">
        <v>512</v>
      </c>
      <c r="C561" s="274" t="s">
        <v>1061</v>
      </c>
      <c r="D561" s="208" t="s">
        <v>1062</v>
      </c>
      <c r="E561" s="208" t="s">
        <v>1111</v>
      </c>
      <c r="F561" s="208" t="s">
        <v>27</v>
      </c>
      <c r="G561" s="208" t="s">
        <v>38</v>
      </c>
      <c r="H561" s="275">
        <v>670.27</v>
      </c>
    </row>
    <row r="562" spans="1:8" ht="12.75" customHeight="1" x14ac:dyDescent="0.2">
      <c r="A562" s="273">
        <v>2025</v>
      </c>
      <c r="B562" s="274" t="s">
        <v>512</v>
      </c>
      <c r="C562" s="274" t="s">
        <v>1061</v>
      </c>
      <c r="D562" s="208" t="s">
        <v>1062</v>
      </c>
      <c r="E562" s="208" t="s">
        <v>1111</v>
      </c>
      <c r="F562" s="208" t="s">
        <v>27</v>
      </c>
      <c r="G562" s="208" t="s">
        <v>38</v>
      </c>
      <c r="H562" s="275">
        <v>670.27</v>
      </c>
    </row>
    <row r="563" spans="1:8" ht="12.75" customHeight="1" x14ac:dyDescent="0.2">
      <c r="A563" s="273">
        <v>2025</v>
      </c>
      <c r="B563" s="274" t="s">
        <v>512</v>
      </c>
      <c r="C563" s="274" t="s">
        <v>1061</v>
      </c>
      <c r="D563" s="208" t="s">
        <v>1062</v>
      </c>
      <c r="E563" s="208" t="s">
        <v>1111</v>
      </c>
      <c r="F563" s="208" t="s">
        <v>27</v>
      </c>
      <c r="G563" s="208" t="s">
        <v>38</v>
      </c>
      <c r="H563" s="275">
        <v>670.27</v>
      </c>
    </row>
    <row r="564" spans="1:8" ht="12.75" customHeight="1" x14ac:dyDescent="0.2">
      <c r="A564" s="273">
        <v>2025</v>
      </c>
      <c r="B564" s="274" t="s">
        <v>512</v>
      </c>
      <c r="C564" s="274" t="s">
        <v>1061</v>
      </c>
      <c r="D564" s="208" t="s">
        <v>1062</v>
      </c>
      <c r="E564" s="208" t="s">
        <v>1111</v>
      </c>
      <c r="F564" s="208" t="s">
        <v>27</v>
      </c>
      <c r="G564" s="208" t="s">
        <v>38</v>
      </c>
      <c r="H564" s="275">
        <v>670.27</v>
      </c>
    </row>
    <row r="565" spans="1:8" ht="12.75" customHeight="1" x14ac:dyDescent="0.2">
      <c r="A565" s="273">
        <v>2025</v>
      </c>
      <c r="B565" s="274" t="s">
        <v>512</v>
      </c>
      <c r="C565" s="274" t="s">
        <v>1061</v>
      </c>
      <c r="D565" s="208" t="s">
        <v>1062</v>
      </c>
      <c r="E565" s="208" t="s">
        <v>1111</v>
      </c>
      <c r="F565" s="208" t="s">
        <v>27</v>
      </c>
      <c r="G565" s="208" t="s">
        <v>38</v>
      </c>
      <c r="H565" s="275">
        <v>670.27</v>
      </c>
    </row>
    <row r="566" spans="1:8" ht="12.75" customHeight="1" x14ac:dyDescent="0.2">
      <c r="A566" s="273">
        <v>2025</v>
      </c>
      <c r="B566" s="274" t="s">
        <v>512</v>
      </c>
      <c r="C566" s="274" t="s">
        <v>1061</v>
      </c>
      <c r="D566" s="208" t="s">
        <v>1062</v>
      </c>
      <c r="E566" s="208" t="s">
        <v>1111</v>
      </c>
      <c r="F566" s="208" t="s">
        <v>27</v>
      </c>
      <c r="G566" s="208" t="s">
        <v>38</v>
      </c>
      <c r="H566" s="275">
        <v>670.27</v>
      </c>
    </row>
    <row r="567" spans="1:8" ht="12.75" customHeight="1" x14ac:dyDescent="0.2">
      <c r="A567" s="273">
        <v>2025</v>
      </c>
      <c r="B567" s="274" t="s">
        <v>512</v>
      </c>
      <c r="C567" s="274" t="s">
        <v>1061</v>
      </c>
      <c r="D567" s="208" t="s">
        <v>1062</v>
      </c>
      <c r="E567" s="208" t="s">
        <v>1112</v>
      </c>
      <c r="F567" s="208" t="s">
        <v>27</v>
      </c>
      <c r="G567" s="208" t="s">
        <v>38</v>
      </c>
      <c r="H567" s="275">
        <v>106</v>
      </c>
    </row>
    <row r="568" spans="1:8" ht="12.75" customHeight="1" x14ac:dyDescent="0.2">
      <c r="A568" s="273">
        <v>2025</v>
      </c>
      <c r="B568" s="274" t="s">
        <v>512</v>
      </c>
      <c r="C568" s="274" t="s">
        <v>1061</v>
      </c>
      <c r="D568" s="208" t="s">
        <v>1062</v>
      </c>
      <c r="E568" s="208" t="s">
        <v>1113</v>
      </c>
      <c r="F568" s="208" t="s">
        <v>27</v>
      </c>
      <c r="G568" s="208" t="s">
        <v>38</v>
      </c>
      <c r="H568" s="275">
        <v>250</v>
      </c>
    </row>
    <row r="569" spans="1:8" ht="12.75" customHeight="1" x14ac:dyDescent="0.2">
      <c r="A569" s="273">
        <v>2025</v>
      </c>
      <c r="B569" s="274" t="s">
        <v>512</v>
      </c>
      <c r="C569" s="274" t="s">
        <v>1061</v>
      </c>
      <c r="D569" s="208" t="s">
        <v>1062</v>
      </c>
      <c r="E569" s="208" t="s">
        <v>1114</v>
      </c>
      <c r="F569" s="208" t="s">
        <v>27</v>
      </c>
      <c r="G569" s="208" t="s">
        <v>38</v>
      </c>
      <c r="H569" s="275">
        <v>670.27</v>
      </c>
    </row>
    <row r="570" spans="1:8" ht="12.75" customHeight="1" x14ac:dyDescent="0.2">
      <c r="A570" s="273">
        <v>2025</v>
      </c>
      <c r="B570" s="274" t="s">
        <v>512</v>
      </c>
      <c r="C570" s="274" t="s">
        <v>1061</v>
      </c>
      <c r="D570" s="208" t="s">
        <v>1062</v>
      </c>
      <c r="E570" s="208" t="s">
        <v>1115</v>
      </c>
      <c r="F570" s="208" t="s">
        <v>27</v>
      </c>
      <c r="G570" s="208" t="s">
        <v>38</v>
      </c>
      <c r="H570" s="275">
        <v>106</v>
      </c>
    </row>
    <row r="571" spans="1:8" ht="12.75" customHeight="1" x14ac:dyDescent="0.2">
      <c r="A571" s="273">
        <v>2025</v>
      </c>
      <c r="B571" s="274" t="s">
        <v>512</v>
      </c>
      <c r="C571" s="274" t="s">
        <v>1061</v>
      </c>
      <c r="D571" s="208" t="s">
        <v>1062</v>
      </c>
      <c r="E571" s="208" t="s">
        <v>1116</v>
      </c>
      <c r="F571" s="208" t="s">
        <v>27</v>
      </c>
      <c r="G571" s="208" t="s">
        <v>38</v>
      </c>
      <c r="H571" s="275">
        <v>670.27</v>
      </c>
    </row>
    <row r="572" spans="1:8" ht="12.75" customHeight="1" x14ac:dyDescent="0.2">
      <c r="A572" s="273">
        <v>2025</v>
      </c>
      <c r="B572" s="274" t="s">
        <v>512</v>
      </c>
      <c r="C572" s="274" t="s">
        <v>1061</v>
      </c>
      <c r="D572" s="208" t="s">
        <v>1062</v>
      </c>
      <c r="E572" s="208" t="s">
        <v>1117</v>
      </c>
      <c r="F572" s="208" t="s">
        <v>27</v>
      </c>
      <c r="G572" s="208" t="s">
        <v>38</v>
      </c>
      <c r="H572" s="275">
        <v>45</v>
      </c>
    </row>
    <row r="573" spans="1:8" ht="12.75" customHeight="1" x14ac:dyDescent="0.2">
      <c r="A573" s="273">
        <v>2025</v>
      </c>
      <c r="B573" s="274" t="s">
        <v>512</v>
      </c>
      <c r="C573" s="274" t="s">
        <v>1066</v>
      </c>
      <c r="D573" s="208" t="s">
        <v>1067</v>
      </c>
      <c r="E573" s="208" t="s">
        <v>1118</v>
      </c>
      <c r="F573" s="208" t="s">
        <v>27</v>
      </c>
      <c r="G573" s="208" t="s">
        <v>38</v>
      </c>
      <c r="H573" s="276">
        <v>-2081</v>
      </c>
    </row>
    <row r="574" spans="1:8" ht="12.75" customHeight="1" x14ac:dyDescent="0.2">
      <c r="A574" s="273">
        <v>2025</v>
      </c>
      <c r="B574" s="274" t="s">
        <v>512</v>
      </c>
      <c r="C574" s="274" t="s">
        <v>1069</v>
      </c>
      <c r="D574" s="208" t="s">
        <v>1070</v>
      </c>
      <c r="E574" s="208" t="s">
        <v>1119</v>
      </c>
      <c r="F574" s="208" t="s">
        <v>27</v>
      </c>
      <c r="G574" s="208" t="s">
        <v>38</v>
      </c>
      <c r="H574" s="276">
        <v>-285</v>
      </c>
    </row>
    <row r="575" spans="1:8" ht="12.75" customHeight="1" x14ac:dyDescent="0.2">
      <c r="A575" s="273">
        <v>2025</v>
      </c>
      <c r="B575" s="274" t="s">
        <v>512</v>
      </c>
      <c r="C575" s="274" t="s">
        <v>1097</v>
      </c>
      <c r="D575" s="208" t="s">
        <v>1098</v>
      </c>
      <c r="E575" s="208" t="s">
        <v>1120</v>
      </c>
      <c r="F575" s="208" t="s">
        <v>27</v>
      </c>
      <c r="G575" s="208" t="s">
        <v>38</v>
      </c>
      <c r="H575" s="276">
        <v>-1350</v>
      </c>
    </row>
    <row r="576" spans="1:8" ht="12.75" customHeight="1" x14ac:dyDescent="0.2">
      <c r="A576" s="273">
        <v>2025</v>
      </c>
      <c r="B576" s="274" t="s">
        <v>519</v>
      </c>
      <c r="C576" s="274" t="s">
        <v>1061</v>
      </c>
      <c r="D576" s="208" t="s">
        <v>1062</v>
      </c>
      <c r="E576" s="208" t="s">
        <v>1121</v>
      </c>
      <c r="F576" s="208" t="s">
        <v>27</v>
      </c>
      <c r="G576" s="208" t="s">
        <v>38</v>
      </c>
      <c r="H576" s="275">
        <v>600</v>
      </c>
    </row>
    <row r="577" spans="1:8" ht="12.75" customHeight="1" x14ac:dyDescent="0.2">
      <c r="A577" s="273">
        <v>2025</v>
      </c>
      <c r="B577" s="274" t="s">
        <v>899</v>
      </c>
      <c r="C577" s="274" t="s">
        <v>1097</v>
      </c>
      <c r="D577" s="208" t="s">
        <v>1098</v>
      </c>
      <c r="E577" s="208" t="s">
        <v>1122</v>
      </c>
      <c r="F577" s="208" t="s">
        <v>27</v>
      </c>
      <c r="G577" s="208" t="s">
        <v>38</v>
      </c>
      <c r="H577" s="275">
        <v>600</v>
      </c>
    </row>
    <row r="578" spans="1:8" ht="12.75" customHeight="1" x14ac:dyDescent="0.2">
      <c r="A578" s="273">
        <v>2025</v>
      </c>
      <c r="B578" s="274" t="s">
        <v>528</v>
      </c>
      <c r="C578" s="274" t="s">
        <v>1061</v>
      </c>
      <c r="D578" s="208" t="s">
        <v>1062</v>
      </c>
      <c r="E578" s="208" t="s">
        <v>1123</v>
      </c>
      <c r="F578" s="208" t="s">
        <v>27</v>
      </c>
      <c r="G578" s="208" t="s">
        <v>38</v>
      </c>
      <c r="H578" s="275">
        <v>670.27</v>
      </c>
    </row>
    <row r="579" spans="1:8" ht="12.75" customHeight="1" x14ac:dyDescent="0.2">
      <c r="A579" s="273">
        <v>2025</v>
      </c>
      <c r="B579" s="274" t="s">
        <v>528</v>
      </c>
      <c r="C579" s="274" t="s">
        <v>1061</v>
      </c>
      <c r="D579" s="208" t="s">
        <v>1062</v>
      </c>
      <c r="E579" s="208" t="s">
        <v>1124</v>
      </c>
      <c r="F579" s="208" t="s">
        <v>27</v>
      </c>
      <c r="G579" s="208" t="s">
        <v>38</v>
      </c>
      <c r="H579" s="275">
        <v>45</v>
      </c>
    </row>
    <row r="580" spans="1:8" ht="12.75" customHeight="1" x14ac:dyDescent="0.2">
      <c r="A580" s="273">
        <v>2025</v>
      </c>
      <c r="B580" s="274" t="s">
        <v>528</v>
      </c>
      <c r="C580" s="274" t="s">
        <v>1061</v>
      </c>
      <c r="D580" s="208" t="s">
        <v>1062</v>
      </c>
      <c r="E580" s="208" t="s">
        <v>1125</v>
      </c>
      <c r="F580" s="208" t="s">
        <v>27</v>
      </c>
      <c r="G580" s="208" t="s">
        <v>38</v>
      </c>
      <c r="H580" s="275">
        <v>670.27</v>
      </c>
    </row>
    <row r="581" spans="1:8" ht="12.75" customHeight="1" x14ac:dyDescent="0.2">
      <c r="A581" s="273">
        <v>2025</v>
      </c>
      <c r="B581" s="274" t="s">
        <v>528</v>
      </c>
      <c r="C581" s="274" t="s">
        <v>1061</v>
      </c>
      <c r="D581" s="208" t="s">
        <v>1062</v>
      </c>
      <c r="E581" s="208" t="s">
        <v>1126</v>
      </c>
      <c r="F581" s="208" t="s">
        <v>27</v>
      </c>
      <c r="G581" s="208" t="s">
        <v>38</v>
      </c>
      <c r="H581" s="275">
        <v>670.27</v>
      </c>
    </row>
    <row r="582" spans="1:8" ht="12.75" customHeight="1" x14ac:dyDescent="0.2">
      <c r="A582" s="273">
        <v>2025</v>
      </c>
      <c r="B582" s="274" t="s">
        <v>528</v>
      </c>
      <c r="C582" s="274" t="s">
        <v>1061</v>
      </c>
      <c r="D582" s="208" t="s">
        <v>1062</v>
      </c>
      <c r="E582" s="208" t="s">
        <v>1127</v>
      </c>
      <c r="F582" s="208" t="s">
        <v>27</v>
      </c>
      <c r="G582" s="208" t="s">
        <v>38</v>
      </c>
      <c r="H582" s="275">
        <v>45</v>
      </c>
    </row>
    <row r="583" spans="1:8" ht="12.75" customHeight="1" x14ac:dyDescent="0.2">
      <c r="A583" s="273">
        <v>2025</v>
      </c>
      <c r="B583" s="274" t="s">
        <v>528</v>
      </c>
      <c r="C583" s="274" t="s">
        <v>1061</v>
      </c>
      <c r="D583" s="208" t="s">
        <v>1062</v>
      </c>
      <c r="E583" s="208" t="s">
        <v>1128</v>
      </c>
      <c r="F583" s="208" t="s">
        <v>27</v>
      </c>
      <c r="G583" s="208" t="s">
        <v>38</v>
      </c>
      <c r="H583" s="275">
        <v>45</v>
      </c>
    </row>
    <row r="584" spans="1:8" ht="12.75" customHeight="1" x14ac:dyDescent="0.2">
      <c r="A584" s="273">
        <v>2025</v>
      </c>
      <c r="B584" s="274" t="s">
        <v>528</v>
      </c>
      <c r="C584" s="274" t="s">
        <v>1061</v>
      </c>
      <c r="D584" s="208" t="s">
        <v>1062</v>
      </c>
      <c r="E584" s="208" t="s">
        <v>1129</v>
      </c>
      <c r="F584" s="208" t="s">
        <v>27</v>
      </c>
      <c r="G584" s="208" t="s">
        <v>38</v>
      </c>
      <c r="H584" s="275">
        <v>106</v>
      </c>
    </row>
    <row r="585" spans="1:8" ht="12.75" customHeight="1" x14ac:dyDescent="0.2">
      <c r="A585" s="273">
        <v>2025</v>
      </c>
      <c r="B585" s="274" t="s">
        <v>528</v>
      </c>
      <c r="C585" s="274" t="s">
        <v>1061</v>
      </c>
      <c r="D585" s="208" t="s">
        <v>1062</v>
      </c>
      <c r="E585" s="208" t="s">
        <v>1130</v>
      </c>
      <c r="F585" s="208" t="s">
        <v>27</v>
      </c>
      <c r="G585" s="208" t="s">
        <v>38</v>
      </c>
      <c r="H585" s="275">
        <v>106</v>
      </c>
    </row>
    <row r="586" spans="1:8" ht="12.75" customHeight="1" x14ac:dyDescent="0.2">
      <c r="A586" s="273">
        <v>2025</v>
      </c>
      <c r="B586" s="274" t="s">
        <v>528</v>
      </c>
      <c r="C586" s="274" t="s">
        <v>1061</v>
      </c>
      <c r="D586" s="208" t="s">
        <v>1062</v>
      </c>
      <c r="E586" s="208" t="s">
        <v>1131</v>
      </c>
      <c r="F586" s="208" t="s">
        <v>27</v>
      </c>
      <c r="G586" s="208" t="s">
        <v>38</v>
      </c>
      <c r="H586" s="275">
        <v>670.27</v>
      </c>
    </row>
    <row r="587" spans="1:8" ht="12.75" customHeight="1" x14ac:dyDescent="0.2">
      <c r="A587" s="273">
        <v>2025</v>
      </c>
      <c r="B587" s="274" t="s">
        <v>528</v>
      </c>
      <c r="C587" s="274" t="s">
        <v>1061</v>
      </c>
      <c r="D587" s="208" t="s">
        <v>1062</v>
      </c>
      <c r="E587" s="208" t="s">
        <v>1132</v>
      </c>
      <c r="F587" s="208" t="s">
        <v>27</v>
      </c>
      <c r="G587" s="208" t="s">
        <v>38</v>
      </c>
      <c r="H587" s="275">
        <v>106</v>
      </c>
    </row>
    <row r="588" spans="1:8" ht="12.75" customHeight="1" x14ac:dyDescent="0.2">
      <c r="A588" s="273">
        <v>2025</v>
      </c>
      <c r="B588" s="274" t="s">
        <v>528</v>
      </c>
      <c r="C588" s="274" t="s">
        <v>1066</v>
      </c>
      <c r="D588" s="208" t="s">
        <v>1067</v>
      </c>
      <c r="E588" s="208" t="s">
        <v>1133</v>
      </c>
      <c r="F588" s="208" t="s">
        <v>27</v>
      </c>
      <c r="G588" s="208" t="s">
        <v>38</v>
      </c>
      <c r="H588" s="275">
        <v>592</v>
      </c>
    </row>
    <row r="589" spans="1:8" ht="12.75" customHeight="1" x14ac:dyDescent="0.2">
      <c r="A589" s="273">
        <v>2025</v>
      </c>
      <c r="B589" s="274" t="s">
        <v>536</v>
      </c>
      <c r="C589" s="274" t="s">
        <v>1066</v>
      </c>
      <c r="D589" s="208" t="s">
        <v>1067</v>
      </c>
      <c r="E589" s="208" t="s">
        <v>1134</v>
      </c>
      <c r="F589" s="208" t="s">
        <v>27</v>
      </c>
      <c r="G589" s="208" t="s">
        <v>38</v>
      </c>
      <c r="H589" s="275">
        <v>592</v>
      </c>
    </row>
    <row r="590" spans="1:8" ht="12.75" customHeight="1" x14ac:dyDescent="0.2">
      <c r="A590" s="273">
        <v>2025</v>
      </c>
      <c r="B590" s="274" t="s">
        <v>755</v>
      </c>
      <c r="C590" s="274" t="s">
        <v>1061</v>
      </c>
      <c r="D590" s="208" t="s">
        <v>1062</v>
      </c>
      <c r="E590" s="208" t="s">
        <v>1135</v>
      </c>
      <c r="F590" s="208" t="s">
        <v>27</v>
      </c>
      <c r="G590" s="208" t="s">
        <v>38</v>
      </c>
      <c r="H590" s="275">
        <v>200</v>
      </c>
    </row>
    <row r="591" spans="1:8" ht="12.75" customHeight="1" x14ac:dyDescent="0.2">
      <c r="A591" s="273">
        <v>2025</v>
      </c>
      <c r="B591" s="274" t="s">
        <v>549</v>
      </c>
      <c r="C591" s="274" t="s">
        <v>1061</v>
      </c>
      <c r="D591" s="208" t="s">
        <v>1062</v>
      </c>
      <c r="E591" s="208" t="s">
        <v>1136</v>
      </c>
      <c r="F591" s="208" t="s">
        <v>27</v>
      </c>
      <c r="G591" s="208" t="s">
        <v>38</v>
      </c>
      <c r="H591" s="275">
        <v>670.27</v>
      </c>
    </row>
    <row r="592" spans="1:8" ht="12.75" customHeight="1" x14ac:dyDescent="0.2">
      <c r="A592" s="273">
        <v>2025</v>
      </c>
      <c r="B592" s="274" t="s">
        <v>549</v>
      </c>
      <c r="C592" s="274" t="s">
        <v>1061</v>
      </c>
      <c r="D592" s="208" t="s">
        <v>1062</v>
      </c>
      <c r="E592" s="208" t="s">
        <v>1137</v>
      </c>
      <c r="F592" s="208" t="s">
        <v>27</v>
      </c>
      <c r="G592" s="208" t="s">
        <v>38</v>
      </c>
      <c r="H592" s="275">
        <v>670.27</v>
      </c>
    </row>
    <row r="593" spans="1:8" ht="12.75" customHeight="1" x14ac:dyDescent="0.2">
      <c r="A593" s="273">
        <v>2025</v>
      </c>
      <c r="B593" s="274" t="s">
        <v>549</v>
      </c>
      <c r="C593" s="274" t="s">
        <v>1061</v>
      </c>
      <c r="D593" s="208" t="s">
        <v>1062</v>
      </c>
      <c r="E593" s="208" t="s">
        <v>1138</v>
      </c>
      <c r="F593" s="208" t="s">
        <v>27</v>
      </c>
      <c r="G593" s="208" t="s">
        <v>38</v>
      </c>
      <c r="H593" s="275">
        <v>45</v>
      </c>
    </row>
    <row r="594" spans="1:8" ht="12.75" customHeight="1" x14ac:dyDescent="0.2">
      <c r="A594" s="273">
        <v>2025</v>
      </c>
      <c r="B594" s="274" t="s">
        <v>549</v>
      </c>
      <c r="C594" s="274" t="s">
        <v>1066</v>
      </c>
      <c r="D594" s="208" t="s">
        <v>1067</v>
      </c>
      <c r="E594" s="208" t="s">
        <v>1139</v>
      </c>
      <c r="F594" s="208" t="s">
        <v>27</v>
      </c>
      <c r="G594" s="208" t="s">
        <v>38</v>
      </c>
      <c r="H594" s="275">
        <v>592</v>
      </c>
    </row>
    <row r="595" spans="1:8" ht="12.75" customHeight="1" x14ac:dyDescent="0.2">
      <c r="A595" s="273">
        <v>2025</v>
      </c>
      <c r="B595" s="274" t="s">
        <v>549</v>
      </c>
      <c r="C595" s="274" t="s">
        <v>1066</v>
      </c>
      <c r="D595" s="208" t="s">
        <v>1067</v>
      </c>
      <c r="E595" s="208" t="s">
        <v>1140</v>
      </c>
      <c r="F595" s="208" t="s">
        <v>27</v>
      </c>
      <c r="G595" s="208" t="s">
        <v>38</v>
      </c>
      <c r="H595" s="275">
        <v>1350</v>
      </c>
    </row>
    <row r="596" spans="1:8" ht="12.75" customHeight="1" x14ac:dyDescent="0.2">
      <c r="A596" s="273">
        <v>2025</v>
      </c>
      <c r="B596" s="274" t="s">
        <v>549</v>
      </c>
      <c r="C596" s="274" t="s">
        <v>1094</v>
      </c>
      <c r="D596" s="208" t="s">
        <v>1095</v>
      </c>
      <c r="E596" s="208" t="s">
        <v>1141</v>
      </c>
      <c r="F596" s="208" t="s">
        <v>27</v>
      </c>
      <c r="G596" s="208" t="s">
        <v>38</v>
      </c>
      <c r="H596" s="275">
        <v>417.2</v>
      </c>
    </row>
    <row r="597" spans="1:8" ht="12.75" customHeight="1" x14ac:dyDescent="0.2">
      <c r="A597" s="273">
        <v>2025</v>
      </c>
      <c r="B597" s="274" t="s">
        <v>549</v>
      </c>
      <c r="C597" s="274" t="s">
        <v>1094</v>
      </c>
      <c r="D597" s="208" t="s">
        <v>1095</v>
      </c>
      <c r="E597" s="208" t="s">
        <v>1142</v>
      </c>
      <c r="F597" s="208" t="s">
        <v>27</v>
      </c>
      <c r="G597" s="208" t="s">
        <v>38</v>
      </c>
      <c r="H597" s="275">
        <v>620</v>
      </c>
    </row>
    <row r="598" spans="1:8" ht="12.75" customHeight="1" x14ac:dyDescent="0.2">
      <c r="A598" s="273">
        <v>2025</v>
      </c>
      <c r="B598" s="274" t="s">
        <v>563</v>
      </c>
      <c r="C598" s="274" t="s">
        <v>1061</v>
      </c>
      <c r="D598" s="208" t="s">
        <v>1062</v>
      </c>
      <c r="E598" s="208" t="s">
        <v>1143</v>
      </c>
      <c r="F598" s="208" t="s">
        <v>27</v>
      </c>
      <c r="G598" s="208" t="s">
        <v>38</v>
      </c>
      <c r="H598" s="275">
        <v>85</v>
      </c>
    </row>
    <row r="599" spans="1:8" ht="12.75" customHeight="1" x14ac:dyDescent="0.2">
      <c r="A599" s="273">
        <v>2025</v>
      </c>
      <c r="B599" s="274" t="s">
        <v>563</v>
      </c>
      <c r="C599" s="274" t="s">
        <v>1061</v>
      </c>
      <c r="D599" s="208" t="s">
        <v>1062</v>
      </c>
      <c r="E599" s="208" t="s">
        <v>1144</v>
      </c>
      <c r="F599" s="208" t="s">
        <v>27</v>
      </c>
      <c r="G599" s="208" t="s">
        <v>38</v>
      </c>
      <c r="H599" s="275">
        <v>85</v>
      </c>
    </row>
    <row r="600" spans="1:8" ht="12.75" customHeight="1" x14ac:dyDescent="0.2">
      <c r="A600" s="273">
        <v>2025</v>
      </c>
      <c r="B600" s="274" t="s">
        <v>563</v>
      </c>
      <c r="C600" s="274" t="s">
        <v>1061</v>
      </c>
      <c r="D600" s="208" t="s">
        <v>1062</v>
      </c>
      <c r="E600" s="208" t="s">
        <v>1145</v>
      </c>
      <c r="F600" s="208" t="s">
        <v>27</v>
      </c>
      <c r="G600" s="208" t="s">
        <v>38</v>
      </c>
      <c r="H600" s="275">
        <v>85</v>
      </c>
    </row>
    <row r="601" spans="1:8" ht="12.75" customHeight="1" x14ac:dyDescent="0.2">
      <c r="A601" s="273">
        <v>2025</v>
      </c>
      <c r="B601" s="274" t="s">
        <v>563</v>
      </c>
      <c r="C601" s="274" t="s">
        <v>1061</v>
      </c>
      <c r="D601" s="208" t="s">
        <v>1062</v>
      </c>
      <c r="E601" s="208" t="s">
        <v>1146</v>
      </c>
      <c r="F601" s="208" t="s">
        <v>27</v>
      </c>
      <c r="G601" s="208" t="s">
        <v>38</v>
      </c>
      <c r="H601" s="275">
        <v>45</v>
      </c>
    </row>
    <row r="602" spans="1:8" ht="12.75" customHeight="1" x14ac:dyDescent="0.2">
      <c r="A602" s="273">
        <v>2025</v>
      </c>
      <c r="B602" s="274" t="s">
        <v>563</v>
      </c>
      <c r="C602" s="274" t="s">
        <v>1061</v>
      </c>
      <c r="D602" s="208" t="s">
        <v>1062</v>
      </c>
      <c r="E602" s="208" t="s">
        <v>1147</v>
      </c>
      <c r="F602" s="208" t="s">
        <v>27</v>
      </c>
      <c r="G602" s="208" t="s">
        <v>38</v>
      </c>
      <c r="H602" s="275">
        <v>85</v>
      </c>
    </row>
    <row r="603" spans="1:8" ht="12.75" customHeight="1" x14ac:dyDescent="0.2">
      <c r="A603" s="273">
        <v>2025</v>
      </c>
      <c r="B603" s="274" t="s">
        <v>563</v>
      </c>
      <c r="C603" s="274" t="s">
        <v>1061</v>
      </c>
      <c r="D603" s="208" t="s">
        <v>1062</v>
      </c>
      <c r="E603" s="208" t="s">
        <v>1148</v>
      </c>
      <c r="F603" s="208" t="s">
        <v>27</v>
      </c>
      <c r="G603" s="208" t="s">
        <v>38</v>
      </c>
      <c r="H603" s="275">
        <v>85</v>
      </c>
    </row>
    <row r="604" spans="1:8" ht="12.75" customHeight="1" x14ac:dyDescent="0.2">
      <c r="A604" s="273">
        <v>2025</v>
      </c>
      <c r="B604" s="274" t="s">
        <v>563</v>
      </c>
      <c r="C604" s="274" t="s">
        <v>1061</v>
      </c>
      <c r="D604" s="208" t="s">
        <v>1062</v>
      </c>
      <c r="E604" s="208" t="s">
        <v>1149</v>
      </c>
      <c r="F604" s="208" t="s">
        <v>27</v>
      </c>
      <c r="G604" s="208" t="s">
        <v>38</v>
      </c>
      <c r="H604" s="275">
        <v>106</v>
      </c>
    </row>
    <row r="605" spans="1:8" ht="12.75" customHeight="1" x14ac:dyDescent="0.2">
      <c r="A605" s="273">
        <v>2025</v>
      </c>
      <c r="B605" s="274" t="s">
        <v>563</v>
      </c>
      <c r="C605" s="274" t="s">
        <v>1066</v>
      </c>
      <c r="D605" s="208" t="s">
        <v>1067</v>
      </c>
      <c r="E605" s="208" t="s">
        <v>1150</v>
      </c>
      <c r="F605" s="208" t="s">
        <v>27</v>
      </c>
      <c r="G605" s="208" t="s">
        <v>38</v>
      </c>
      <c r="H605" s="275">
        <v>592</v>
      </c>
    </row>
    <row r="606" spans="1:8" ht="12.75" customHeight="1" x14ac:dyDescent="0.2">
      <c r="A606" s="273">
        <v>2025</v>
      </c>
      <c r="B606" s="274" t="s">
        <v>571</v>
      </c>
      <c r="C606" s="274" t="s">
        <v>1066</v>
      </c>
      <c r="D606" s="208" t="s">
        <v>1067</v>
      </c>
      <c r="E606" s="208" t="s">
        <v>1151</v>
      </c>
      <c r="F606" s="208" t="s">
        <v>27</v>
      </c>
      <c r="G606" s="208" t="s">
        <v>38</v>
      </c>
      <c r="H606" s="275">
        <v>592</v>
      </c>
    </row>
    <row r="607" spans="1:8" ht="12.75" customHeight="1" x14ac:dyDescent="0.2">
      <c r="A607" s="273">
        <v>2025</v>
      </c>
      <c r="B607" s="274" t="s">
        <v>581</v>
      </c>
      <c r="C607" s="274" t="s">
        <v>1066</v>
      </c>
      <c r="D607" s="208" t="s">
        <v>1067</v>
      </c>
      <c r="E607" s="208" t="s">
        <v>1152</v>
      </c>
      <c r="F607" s="208" t="s">
        <v>27</v>
      </c>
      <c r="G607" s="208" t="s">
        <v>38</v>
      </c>
      <c r="H607" s="275">
        <v>36</v>
      </c>
    </row>
    <row r="608" spans="1:8" ht="12.75" customHeight="1" x14ac:dyDescent="0.2">
      <c r="A608" s="273">
        <v>2025</v>
      </c>
      <c r="B608" s="274" t="s">
        <v>581</v>
      </c>
      <c r="C608" s="274" t="s">
        <v>1066</v>
      </c>
      <c r="D608" s="208" t="s">
        <v>1067</v>
      </c>
      <c r="E608" s="208" t="s">
        <v>1153</v>
      </c>
      <c r="F608" s="208" t="s">
        <v>27</v>
      </c>
      <c r="G608" s="208" t="s">
        <v>38</v>
      </c>
      <c r="H608" s="275">
        <v>556</v>
      </c>
    </row>
    <row r="609" spans="1:8" ht="12.75" customHeight="1" x14ac:dyDescent="0.2">
      <c r="A609" s="273">
        <v>2025</v>
      </c>
      <c r="B609" s="274" t="s">
        <v>581</v>
      </c>
      <c r="C609" s="274" t="s">
        <v>1066</v>
      </c>
      <c r="D609" s="208" t="s">
        <v>1067</v>
      </c>
      <c r="E609" s="208" t="s">
        <v>1154</v>
      </c>
      <c r="F609" s="208" t="s">
        <v>27</v>
      </c>
      <c r="G609" s="208" t="s">
        <v>38</v>
      </c>
      <c r="H609" s="275">
        <v>1794</v>
      </c>
    </row>
    <row r="610" spans="1:8" ht="12.75" customHeight="1" x14ac:dyDescent="0.2">
      <c r="A610" s="273">
        <v>2025</v>
      </c>
      <c r="B610" s="274" t="s">
        <v>581</v>
      </c>
      <c r="C610" s="274" t="s">
        <v>1094</v>
      </c>
      <c r="D610" s="208" t="s">
        <v>1095</v>
      </c>
      <c r="E610" s="208" t="s">
        <v>1155</v>
      </c>
      <c r="F610" s="208" t="s">
        <v>27</v>
      </c>
      <c r="G610" s="208" t="s">
        <v>38</v>
      </c>
      <c r="H610" s="275">
        <v>482.5</v>
      </c>
    </row>
    <row r="611" spans="1:8" ht="12.75" customHeight="1" x14ac:dyDescent="0.2">
      <c r="A611" s="273">
        <v>2025</v>
      </c>
      <c r="B611" s="274" t="s">
        <v>581</v>
      </c>
      <c r="C611" s="274" t="s">
        <v>1069</v>
      </c>
      <c r="D611" s="208" t="s">
        <v>1070</v>
      </c>
      <c r="E611" s="208" t="s">
        <v>1156</v>
      </c>
      <c r="F611" s="208" t="s">
        <v>27</v>
      </c>
      <c r="G611" s="208" t="s">
        <v>38</v>
      </c>
      <c r="H611" s="275">
        <v>570</v>
      </c>
    </row>
    <row r="612" spans="1:8" ht="12.75" customHeight="1" x14ac:dyDescent="0.2">
      <c r="A612" s="273">
        <v>2025</v>
      </c>
      <c r="B612" s="274" t="s">
        <v>821</v>
      </c>
      <c r="C612" s="274" t="s">
        <v>1157</v>
      </c>
      <c r="D612" s="208" t="s">
        <v>1158</v>
      </c>
      <c r="E612" s="208" t="s">
        <v>951</v>
      </c>
      <c r="F612" s="208" t="s">
        <v>27</v>
      </c>
      <c r="G612" s="208" t="s">
        <v>366</v>
      </c>
      <c r="H612" s="275">
        <v>33.200000000000003</v>
      </c>
    </row>
    <row r="613" spans="1:8" ht="12.75" customHeight="1" x14ac:dyDescent="0.2">
      <c r="A613" s="273">
        <v>2025</v>
      </c>
      <c r="B613" s="274" t="s">
        <v>821</v>
      </c>
      <c r="C613" s="274" t="s">
        <v>1157</v>
      </c>
      <c r="D613" s="208" t="s">
        <v>1158</v>
      </c>
      <c r="E613" s="208" t="s">
        <v>951</v>
      </c>
      <c r="F613" s="208" t="s">
        <v>27</v>
      </c>
      <c r="G613" s="208" t="s">
        <v>366</v>
      </c>
      <c r="H613" s="275">
        <v>5.07</v>
      </c>
    </row>
    <row r="614" spans="1:8" ht="12.75" customHeight="1" x14ac:dyDescent="0.2">
      <c r="A614" s="273">
        <v>2025</v>
      </c>
      <c r="B614" s="274" t="s">
        <v>880</v>
      </c>
      <c r="C614" s="274" t="s">
        <v>1157</v>
      </c>
      <c r="D614" s="208" t="s">
        <v>1158</v>
      </c>
      <c r="E614" s="208" t="s">
        <v>960</v>
      </c>
      <c r="F614" s="208" t="s">
        <v>27</v>
      </c>
      <c r="G614" s="208" t="s">
        <v>366</v>
      </c>
      <c r="H614" s="275">
        <v>25.45</v>
      </c>
    </row>
    <row r="615" spans="1:8" ht="12.75" customHeight="1" x14ac:dyDescent="0.2">
      <c r="A615" s="273">
        <v>2025</v>
      </c>
      <c r="B615" s="274" t="s">
        <v>880</v>
      </c>
      <c r="C615" s="274" t="s">
        <v>1157</v>
      </c>
      <c r="D615" s="208" t="s">
        <v>1158</v>
      </c>
      <c r="E615" s="208" t="s">
        <v>960</v>
      </c>
      <c r="F615" s="208" t="s">
        <v>27</v>
      </c>
      <c r="G615" s="208" t="s">
        <v>366</v>
      </c>
      <c r="H615" s="275">
        <v>3.88</v>
      </c>
    </row>
    <row r="616" spans="1:8" ht="12.75" customHeight="1" x14ac:dyDescent="0.2">
      <c r="A616" s="273">
        <v>2025</v>
      </c>
      <c r="B616" s="274" t="s">
        <v>468</v>
      </c>
      <c r="C616" s="274" t="s">
        <v>1157</v>
      </c>
      <c r="D616" s="208" t="s">
        <v>1158</v>
      </c>
      <c r="E616" s="208" t="s">
        <v>964</v>
      </c>
      <c r="F616" s="208" t="s">
        <v>27</v>
      </c>
      <c r="G616" s="208" t="s">
        <v>366</v>
      </c>
      <c r="H616" s="275">
        <v>54.88</v>
      </c>
    </row>
    <row r="617" spans="1:8" ht="12.75" customHeight="1" x14ac:dyDescent="0.2">
      <c r="A617" s="273">
        <v>2025</v>
      </c>
      <c r="B617" s="274" t="s">
        <v>480</v>
      </c>
      <c r="C617" s="274" t="s">
        <v>1157</v>
      </c>
      <c r="D617" s="208" t="s">
        <v>1158</v>
      </c>
      <c r="E617" s="208" t="s">
        <v>1159</v>
      </c>
      <c r="F617" s="208" t="s">
        <v>27</v>
      </c>
      <c r="G617" s="208" t="s">
        <v>366</v>
      </c>
      <c r="H617" s="275">
        <v>57.99</v>
      </c>
    </row>
    <row r="618" spans="1:8" ht="12.75" customHeight="1" x14ac:dyDescent="0.2">
      <c r="A618" s="273">
        <v>2025</v>
      </c>
      <c r="B618" s="274" t="s">
        <v>480</v>
      </c>
      <c r="C618" s="274" t="s">
        <v>1157</v>
      </c>
      <c r="D618" s="208" t="s">
        <v>1158</v>
      </c>
      <c r="E618" s="208" t="s">
        <v>1160</v>
      </c>
      <c r="F618" s="208" t="s">
        <v>27</v>
      </c>
      <c r="G618" s="208" t="s">
        <v>366</v>
      </c>
      <c r="H618" s="275">
        <v>8.85</v>
      </c>
    </row>
    <row r="619" spans="1:8" ht="12.75" customHeight="1" x14ac:dyDescent="0.2">
      <c r="A619" s="273">
        <v>2025</v>
      </c>
      <c r="B619" s="274" t="s">
        <v>497</v>
      </c>
      <c r="C619" s="274" t="s">
        <v>1157</v>
      </c>
      <c r="D619" s="208" t="s">
        <v>1158</v>
      </c>
      <c r="E619" s="208" t="s">
        <v>1161</v>
      </c>
      <c r="F619" s="208" t="s">
        <v>27</v>
      </c>
      <c r="G619" s="208" t="s">
        <v>366</v>
      </c>
      <c r="H619" s="275">
        <v>43.54</v>
      </c>
    </row>
    <row r="620" spans="1:8" ht="12.75" customHeight="1" x14ac:dyDescent="0.2">
      <c r="A620" s="273">
        <v>2025</v>
      </c>
      <c r="B620" s="274" t="s">
        <v>497</v>
      </c>
      <c r="C620" s="274" t="s">
        <v>1157</v>
      </c>
      <c r="D620" s="208" t="s">
        <v>1158</v>
      </c>
      <c r="E620" s="208" t="s">
        <v>1162</v>
      </c>
      <c r="F620" s="208" t="s">
        <v>27</v>
      </c>
      <c r="G620" s="208" t="s">
        <v>366</v>
      </c>
      <c r="H620" s="275">
        <v>6.64</v>
      </c>
    </row>
    <row r="621" spans="1:8" ht="12.75" customHeight="1" x14ac:dyDescent="0.2">
      <c r="A621" s="273">
        <v>2025</v>
      </c>
      <c r="B621" s="274" t="s">
        <v>510</v>
      </c>
      <c r="C621" s="274" t="s">
        <v>1157</v>
      </c>
      <c r="D621" s="208" t="s">
        <v>1158</v>
      </c>
      <c r="E621" s="208" t="s">
        <v>1163</v>
      </c>
      <c r="F621" s="208" t="s">
        <v>27</v>
      </c>
      <c r="G621" s="208" t="s">
        <v>366</v>
      </c>
      <c r="H621" s="275">
        <v>45.78</v>
      </c>
    </row>
    <row r="622" spans="1:8" ht="12.75" customHeight="1" x14ac:dyDescent="0.2">
      <c r="A622" s="273">
        <v>2025</v>
      </c>
      <c r="B622" s="274" t="s">
        <v>510</v>
      </c>
      <c r="C622" s="274" t="s">
        <v>1157</v>
      </c>
      <c r="D622" s="208" t="s">
        <v>1158</v>
      </c>
      <c r="E622" s="208" t="s">
        <v>1164</v>
      </c>
      <c r="F622" s="208" t="s">
        <v>27</v>
      </c>
      <c r="G622" s="208" t="s">
        <v>366</v>
      </c>
      <c r="H622" s="275">
        <v>6.98</v>
      </c>
    </row>
    <row r="623" spans="1:8" ht="12.75" customHeight="1" x14ac:dyDescent="0.2">
      <c r="A623" s="273">
        <v>2025</v>
      </c>
      <c r="B623" s="274" t="s">
        <v>510</v>
      </c>
      <c r="C623" s="274" t="s">
        <v>1165</v>
      </c>
      <c r="D623" s="208" t="s">
        <v>1166</v>
      </c>
      <c r="E623" s="208" t="s">
        <v>1167</v>
      </c>
      <c r="F623" s="208" t="s">
        <v>27</v>
      </c>
      <c r="G623" s="208" t="s">
        <v>366</v>
      </c>
      <c r="H623" s="275">
        <v>205</v>
      </c>
    </row>
    <row r="624" spans="1:8" ht="12.75" customHeight="1" x14ac:dyDescent="0.2">
      <c r="A624" s="273">
        <v>2025</v>
      </c>
      <c r="B624" s="274" t="s">
        <v>510</v>
      </c>
      <c r="C624" s="274" t="s">
        <v>1168</v>
      </c>
      <c r="D624" s="208" t="s">
        <v>1169</v>
      </c>
      <c r="E624" s="208" t="s">
        <v>1170</v>
      </c>
      <c r="F624" s="208" t="s">
        <v>27</v>
      </c>
      <c r="G624" s="208" t="s">
        <v>366</v>
      </c>
      <c r="H624" s="275">
        <v>783</v>
      </c>
    </row>
    <row r="625" spans="1:8" ht="12.75" customHeight="1" x14ac:dyDescent="0.2">
      <c r="A625" s="273">
        <v>2025</v>
      </c>
      <c r="B625" s="274" t="s">
        <v>512</v>
      </c>
      <c r="C625" s="274" t="s">
        <v>1157</v>
      </c>
      <c r="D625" s="208" t="s">
        <v>1158</v>
      </c>
      <c r="E625" s="208" t="s">
        <v>993</v>
      </c>
      <c r="F625" s="208" t="s">
        <v>27</v>
      </c>
      <c r="G625" s="208" t="s">
        <v>366</v>
      </c>
      <c r="H625" s="276">
        <v>-54.88</v>
      </c>
    </row>
    <row r="626" spans="1:8" ht="12.75" customHeight="1" x14ac:dyDescent="0.2">
      <c r="A626" s="273">
        <v>2025</v>
      </c>
      <c r="B626" s="274" t="s">
        <v>512</v>
      </c>
      <c r="C626" s="274" t="s">
        <v>1157</v>
      </c>
      <c r="D626" s="208" t="s">
        <v>1158</v>
      </c>
      <c r="E626" s="208" t="s">
        <v>993</v>
      </c>
      <c r="F626" s="208" t="s">
        <v>27</v>
      </c>
      <c r="G626" s="208" t="s">
        <v>366</v>
      </c>
      <c r="H626" s="275">
        <v>62.19</v>
      </c>
    </row>
    <row r="627" spans="1:8" ht="12.75" customHeight="1" x14ac:dyDescent="0.2">
      <c r="A627" s="273">
        <v>2025</v>
      </c>
      <c r="B627" s="274" t="s">
        <v>512</v>
      </c>
      <c r="C627" s="274" t="s">
        <v>1165</v>
      </c>
      <c r="D627" s="208" t="s">
        <v>1166</v>
      </c>
      <c r="E627" s="208" t="s">
        <v>1171</v>
      </c>
      <c r="F627" s="208" t="s">
        <v>27</v>
      </c>
      <c r="G627" s="208" t="s">
        <v>366</v>
      </c>
      <c r="H627" s="276">
        <v>-205</v>
      </c>
    </row>
    <row r="628" spans="1:8" ht="12.75" customHeight="1" x14ac:dyDescent="0.2">
      <c r="A628" s="273">
        <v>2025</v>
      </c>
      <c r="B628" s="274" t="s">
        <v>512</v>
      </c>
      <c r="C628" s="274" t="s">
        <v>1168</v>
      </c>
      <c r="D628" s="208" t="s">
        <v>1169</v>
      </c>
      <c r="E628" s="208" t="s">
        <v>1172</v>
      </c>
      <c r="F628" s="208" t="s">
        <v>27</v>
      </c>
      <c r="G628" s="208" t="s">
        <v>366</v>
      </c>
      <c r="H628" s="276">
        <v>-783</v>
      </c>
    </row>
    <row r="629" spans="1:8" ht="12.75" customHeight="1" x14ac:dyDescent="0.2">
      <c r="A629" s="273">
        <v>2025</v>
      </c>
      <c r="B629" s="274" t="s">
        <v>528</v>
      </c>
      <c r="C629" s="274" t="s">
        <v>1157</v>
      </c>
      <c r="D629" s="208" t="s">
        <v>1158</v>
      </c>
      <c r="E629" s="208" t="s">
        <v>1173</v>
      </c>
      <c r="F629" s="208" t="s">
        <v>27</v>
      </c>
      <c r="G629" s="208" t="s">
        <v>366</v>
      </c>
      <c r="H629" s="275">
        <v>60.56</v>
      </c>
    </row>
    <row r="630" spans="1:8" ht="12.75" customHeight="1" x14ac:dyDescent="0.2">
      <c r="A630" s="273">
        <v>2025</v>
      </c>
      <c r="B630" s="274" t="s">
        <v>528</v>
      </c>
      <c r="C630" s="274" t="s">
        <v>1157</v>
      </c>
      <c r="D630" s="208" t="s">
        <v>1158</v>
      </c>
      <c r="E630" s="208" t="s">
        <v>1174</v>
      </c>
      <c r="F630" s="208" t="s">
        <v>27</v>
      </c>
      <c r="G630" s="208" t="s">
        <v>366</v>
      </c>
      <c r="H630" s="275">
        <v>9.24</v>
      </c>
    </row>
    <row r="631" spans="1:8" ht="12.75" customHeight="1" x14ac:dyDescent="0.2">
      <c r="A631" s="273">
        <v>2025</v>
      </c>
      <c r="B631" s="274" t="s">
        <v>536</v>
      </c>
      <c r="C631" s="274" t="s">
        <v>1157</v>
      </c>
      <c r="D631" s="208" t="s">
        <v>1158</v>
      </c>
      <c r="E631" s="208" t="s">
        <v>1175</v>
      </c>
      <c r="F631" s="208" t="s">
        <v>27</v>
      </c>
      <c r="G631" s="208" t="s">
        <v>366</v>
      </c>
      <c r="H631" s="275">
        <v>60.3</v>
      </c>
    </row>
    <row r="632" spans="1:8" ht="12.75" customHeight="1" x14ac:dyDescent="0.2">
      <c r="A632" s="273">
        <v>2025</v>
      </c>
      <c r="B632" s="274" t="s">
        <v>536</v>
      </c>
      <c r="C632" s="274" t="s">
        <v>1157</v>
      </c>
      <c r="D632" s="208" t="s">
        <v>1158</v>
      </c>
      <c r="E632" s="208" t="s">
        <v>1176</v>
      </c>
      <c r="F632" s="208" t="s">
        <v>27</v>
      </c>
      <c r="G632" s="208" t="s">
        <v>366</v>
      </c>
      <c r="H632" s="275">
        <v>9.19</v>
      </c>
    </row>
    <row r="633" spans="1:8" ht="12.75" customHeight="1" x14ac:dyDescent="0.2">
      <c r="A633" s="273">
        <v>2025</v>
      </c>
      <c r="B633" s="274" t="s">
        <v>549</v>
      </c>
      <c r="C633" s="274" t="s">
        <v>1157</v>
      </c>
      <c r="D633" s="208" t="s">
        <v>1158</v>
      </c>
      <c r="E633" s="208" t="s">
        <v>1177</v>
      </c>
      <c r="F633" s="208" t="s">
        <v>27</v>
      </c>
      <c r="G633" s="208" t="s">
        <v>366</v>
      </c>
      <c r="H633" s="275">
        <v>60.02</v>
      </c>
    </row>
    <row r="634" spans="1:8" ht="12.75" customHeight="1" x14ac:dyDescent="0.2">
      <c r="A634" s="273">
        <v>2025</v>
      </c>
      <c r="B634" s="274" t="s">
        <v>549</v>
      </c>
      <c r="C634" s="274" t="s">
        <v>1157</v>
      </c>
      <c r="D634" s="208" t="s">
        <v>1158</v>
      </c>
      <c r="E634" s="208" t="s">
        <v>1178</v>
      </c>
      <c r="F634" s="208" t="s">
        <v>27</v>
      </c>
      <c r="G634" s="208" t="s">
        <v>366</v>
      </c>
      <c r="H634" s="275">
        <v>9.16</v>
      </c>
    </row>
    <row r="635" spans="1:8" ht="12.75" customHeight="1" x14ac:dyDescent="0.2">
      <c r="A635" s="273">
        <v>2025</v>
      </c>
      <c r="B635" s="274" t="s">
        <v>563</v>
      </c>
      <c r="C635" s="274" t="s">
        <v>1157</v>
      </c>
      <c r="D635" s="208" t="s">
        <v>1158</v>
      </c>
      <c r="E635" s="208" t="s">
        <v>1179</v>
      </c>
      <c r="F635" s="208" t="s">
        <v>27</v>
      </c>
      <c r="G635" s="208" t="s">
        <v>366</v>
      </c>
      <c r="H635" s="275">
        <v>59.77</v>
      </c>
    </row>
    <row r="636" spans="1:8" ht="12.75" customHeight="1" x14ac:dyDescent="0.2">
      <c r="A636" s="273">
        <v>2025</v>
      </c>
      <c r="B636" s="274" t="s">
        <v>563</v>
      </c>
      <c r="C636" s="274" t="s">
        <v>1157</v>
      </c>
      <c r="D636" s="208" t="s">
        <v>1158</v>
      </c>
      <c r="E636" s="208" t="s">
        <v>1180</v>
      </c>
      <c r="F636" s="208" t="s">
        <v>27</v>
      </c>
      <c r="G636" s="208" t="s">
        <v>366</v>
      </c>
      <c r="H636" s="275">
        <v>9.11</v>
      </c>
    </row>
    <row r="637" spans="1:8" ht="12.75" customHeight="1" x14ac:dyDescent="0.2">
      <c r="A637" s="273">
        <v>2025</v>
      </c>
      <c r="B637" s="274" t="s">
        <v>571</v>
      </c>
      <c r="C637" s="274" t="s">
        <v>1157</v>
      </c>
      <c r="D637" s="208" t="s">
        <v>1158</v>
      </c>
      <c r="E637" s="208" t="s">
        <v>1181</v>
      </c>
      <c r="F637" s="208" t="s">
        <v>27</v>
      </c>
      <c r="G637" s="208" t="s">
        <v>366</v>
      </c>
      <c r="H637" s="275">
        <v>37.64</v>
      </c>
    </row>
    <row r="638" spans="1:8" ht="12.75" customHeight="1" x14ac:dyDescent="0.2">
      <c r="A638" s="273">
        <v>2025</v>
      </c>
      <c r="B638" s="274" t="s">
        <v>571</v>
      </c>
      <c r="C638" s="274" t="s">
        <v>1157</v>
      </c>
      <c r="D638" s="208" t="s">
        <v>1158</v>
      </c>
      <c r="E638" s="208" t="s">
        <v>1182</v>
      </c>
      <c r="F638" s="208" t="s">
        <v>27</v>
      </c>
      <c r="G638" s="208" t="s">
        <v>366</v>
      </c>
      <c r="H638" s="275">
        <v>5.74</v>
      </c>
    </row>
    <row r="639" spans="1:8" ht="12.75" customHeight="1" x14ac:dyDescent="0.2">
      <c r="A639" s="273">
        <v>2025</v>
      </c>
      <c r="B639" s="274" t="s">
        <v>1183</v>
      </c>
      <c r="C639" s="274" t="s">
        <v>1165</v>
      </c>
      <c r="D639" s="208" t="s">
        <v>1166</v>
      </c>
      <c r="E639" s="208" t="s">
        <v>1184</v>
      </c>
      <c r="F639" s="208" t="s">
        <v>27</v>
      </c>
      <c r="G639" s="208" t="s">
        <v>366</v>
      </c>
      <c r="H639" s="275">
        <v>1165</v>
      </c>
    </row>
    <row r="640" spans="1:8" ht="12.75" customHeight="1" x14ac:dyDescent="0.2">
      <c r="A640" s="273">
        <v>2025</v>
      </c>
      <c r="B640" s="274" t="s">
        <v>581</v>
      </c>
      <c r="C640" s="274" t="s">
        <v>1157</v>
      </c>
      <c r="D640" s="208" t="s">
        <v>1158</v>
      </c>
      <c r="E640" s="208" t="s">
        <v>1185</v>
      </c>
      <c r="F640" s="208" t="s">
        <v>27</v>
      </c>
      <c r="G640" s="208" t="s">
        <v>366</v>
      </c>
      <c r="H640" s="275">
        <v>32.69</v>
      </c>
    </row>
    <row r="641" spans="1:8" ht="12.75" customHeight="1" x14ac:dyDescent="0.2">
      <c r="A641" s="273">
        <v>2025</v>
      </c>
      <c r="B641" s="274" t="s">
        <v>581</v>
      </c>
      <c r="C641" s="274" t="s">
        <v>1157</v>
      </c>
      <c r="D641" s="208" t="s">
        <v>1158</v>
      </c>
      <c r="E641" s="208" t="s">
        <v>1186</v>
      </c>
      <c r="F641" s="208" t="s">
        <v>27</v>
      </c>
      <c r="G641" s="208" t="s">
        <v>366</v>
      </c>
      <c r="H641" s="275">
        <v>4.9800000000000004</v>
      </c>
    </row>
    <row r="642" spans="1:8" ht="12.75" customHeight="1" x14ac:dyDescent="0.2">
      <c r="A642" s="273">
        <v>2025</v>
      </c>
      <c r="B642" s="274" t="s">
        <v>581</v>
      </c>
      <c r="C642" s="274" t="s">
        <v>1187</v>
      </c>
      <c r="D642" s="208" t="s">
        <v>1188</v>
      </c>
      <c r="E642" s="208" t="s">
        <v>1189</v>
      </c>
      <c r="F642" s="208" t="s">
        <v>27</v>
      </c>
      <c r="G642" s="208" t="s">
        <v>366</v>
      </c>
      <c r="H642" s="275">
        <v>197</v>
      </c>
    </row>
    <row r="643" spans="1:8" ht="12.75" customHeight="1" x14ac:dyDescent="0.2">
      <c r="A643" s="273">
        <v>2025</v>
      </c>
      <c r="B643" s="274" t="s">
        <v>581</v>
      </c>
      <c r="C643" s="274" t="s">
        <v>1168</v>
      </c>
      <c r="D643" s="208" t="s">
        <v>1169</v>
      </c>
      <c r="E643" s="208" t="s">
        <v>1190</v>
      </c>
      <c r="F643" s="208" t="s">
        <v>27</v>
      </c>
      <c r="G643" s="208" t="s">
        <v>366</v>
      </c>
      <c r="H643" s="275">
        <v>1009</v>
      </c>
    </row>
    <row r="644" spans="1:8" ht="12.75" customHeight="1" x14ac:dyDescent="0.2">
      <c r="A644" s="273">
        <v>2025</v>
      </c>
      <c r="B644" s="274" t="s">
        <v>581</v>
      </c>
      <c r="C644" s="274" t="s">
        <v>1191</v>
      </c>
      <c r="D644" s="208" t="s">
        <v>1192</v>
      </c>
      <c r="E644" s="208" t="s">
        <v>1193</v>
      </c>
      <c r="F644" s="208" t="s">
        <v>27</v>
      </c>
      <c r="G644" s="208" t="s">
        <v>366</v>
      </c>
      <c r="H644" s="275">
        <v>9509</v>
      </c>
    </row>
    <row r="645" spans="1:8" ht="12.75" customHeight="1" x14ac:dyDescent="0.2">
      <c r="A645" s="273">
        <v>2025</v>
      </c>
      <c r="B645" s="274" t="s">
        <v>429</v>
      </c>
      <c r="C645" s="274" t="s">
        <v>1194</v>
      </c>
      <c r="D645" s="208" t="s">
        <v>1195</v>
      </c>
      <c r="E645" s="208" t="s">
        <v>1196</v>
      </c>
      <c r="F645" s="208" t="s">
        <v>27</v>
      </c>
      <c r="G645" s="208" t="s">
        <v>34</v>
      </c>
      <c r="H645" s="275">
        <v>1000</v>
      </c>
    </row>
    <row r="646" spans="1:8" ht="12.75" customHeight="1" x14ac:dyDescent="0.2">
      <c r="A646" s="273">
        <v>2025</v>
      </c>
      <c r="B646" s="274" t="s">
        <v>429</v>
      </c>
      <c r="C646" s="274" t="s">
        <v>1197</v>
      </c>
      <c r="D646" s="208" t="s">
        <v>1198</v>
      </c>
      <c r="E646" s="208" t="s">
        <v>1199</v>
      </c>
      <c r="F646" s="208" t="s">
        <v>27</v>
      </c>
      <c r="G646" s="208" t="s">
        <v>34</v>
      </c>
      <c r="H646" s="275">
        <v>192</v>
      </c>
    </row>
    <row r="647" spans="1:8" ht="12.75" customHeight="1" x14ac:dyDescent="0.2">
      <c r="A647" s="273">
        <v>2025</v>
      </c>
      <c r="B647" s="274" t="s">
        <v>429</v>
      </c>
      <c r="C647" s="274" t="s">
        <v>1200</v>
      </c>
      <c r="D647" s="208" t="s">
        <v>1201</v>
      </c>
      <c r="E647" s="208" t="s">
        <v>1202</v>
      </c>
      <c r="F647" s="208" t="s">
        <v>27</v>
      </c>
      <c r="G647" s="208" t="s">
        <v>34</v>
      </c>
      <c r="H647" s="275">
        <v>130</v>
      </c>
    </row>
    <row r="648" spans="1:8" ht="12.75" customHeight="1" x14ac:dyDescent="0.2">
      <c r="A648" s="273">
        <v>2025</v>
      </c>
      <c r="B648" s="274" t="s">
        <v>429</v>
      </c>
      <c r="C648" s="274" t="s">
        <v>1203</v>
      </c>
      <c r="D648" s="208" t="s">
        <v>1204</v>
      </c>
      <c r="E648" s="208" t="s">
        <v>1205</v>
      </c>
      <c r="F648" s="208" t="s">
        <v>27</v>
      </c>
      <c r="G648" s="208" t="s">
        <v>34</v>
      </c>
      <c r="H648" s="275">
        <v>148</v>
      </c>
    </row>
    <row r="649" spans="1:8" ht="12.75" customHeight="1" x14ac:dyDescent="0.2">
      <c r="A649" s="273">
        <v>2025</v>
      </c>
      <c r="B649" s="274" t="s">
        <v>429</v>
      </c>
      <c r="C649" s="274" t="s">
        <v>1203</v>
      </c>
      <c r="D649" s="208" t="s">
        <v>1204</v>
      </c>
      <c r="E649" s="208" t="s">
        <v>1206</v>
      </c>
      <c r="F649" s="208" t="s">
        <v>27</v>
      </c>
      <c r="G649" s="208" t="s">
        <v>34</v>
      </c>
      <c r="H649" s="275">
        <v>70</v>
      </c>
    </row>
    <row r="650" spans="1:8" ht="12.75" customHeight="1" x14ac:dyDescent="0.2">
      <c r="A650" s="273">
        <v>2025</v>
      </c>
      <c r="B650" s="274" t="s">
        <v>456</v>
      </c>
      <c r="C650" s="274" t="s">
        <v>1194</v>
      </c>
      <c r="D650" s="208" t="s">
        <v>1195</v>
      </c>
      <c r="E650" s="208" t="s">
        <v>1207</v>
      </c>
      <c r="F650" s="208" t="s">
        <v>27</v>
      </c>
      <c r="G650" s="208" t="s">
        <v>34</v>
      </c>
      <c r="H650" s="275">
        <v>1000</v>
      </c>
    </row>
    <row r="651" spans="1:8" ht="12.75" customHeight="1" x14ac:dyDescent="0.2">
      <c r="A651" s="273">
        <v>2025</v>
      </c>
      <c r="B651" s="274" t="s">
        <v>456</v>
      </c>
      <c r="C651" s="274" t="s">
        <v>1197</v>
      </c>
      <c r="D651" s="208" t="s">
        <v>1198</v>
      </c>
      <c r="E651" s="208" t="s">
        <v>1199</v>
      </c>
      <c r="F651" s="208" t="s">
        <v>27</v>
      </c>
      <c r="G651" s="208" t="s">
        <v>34</v>
      </c>
      <c r="H651" s="275">
        <v>192</v>
      </c>
    </row>
    <row r="652" spans="1:8" ht="12.75" customHeight="1" x14ac:dyDescent="0.2">
      <c r="A652" s="273">
        <v>2025</v>
      </c>
      <c r="B652" s="274" t="s">
        <v>456</v>
      </c>
      <c r="C652" s="274" t="s">
        <v>1200</v>
      </c>
      <c r="D652" s="208" t="s">
        <v>1201</v>
      </c>
      <c r="E652" s="208" t="s">
        <v>1202</v>
      </c>
      <c r="F652" s="208" t="s">
        <v>27</v>
      </c>
      <c r="G652" s="208" t="s">
        <v>34</v>
      </c>
      <c r="H652" s="275">
        <v>130</v>
      </c>
    </row>
    <row r="653" spans="1:8" ht="12.75" customHeight="1" x14ac:dyDescent="0.2">
      <c r="A653" s="273">
        <v>2025</v>
      </c>
      <c r="B653" s="274" t="s">
        <v>456</v>
      </c>
      <c r="C653" s="274" t="s">
        <v>1203</v>
      </c>
      <c r="D653" s="208" t="s">
        <v>1204</v>
      </c>
      <c r="E653" s="208" t="s">
        <v>1207</v>
      </c>
      <c r="F653" s="208" t="s">
        <v>27</v>
      </c>
      <c r="G653" s="208" t="s">
        <v>34</v>
      </c>
      <c r="H653" s="275">
        <v>148</v>
      </c>
    </row>
    <row r="654" spans="1:8" ht="12.75" customHeight="1" x14ac:dyDescent="0.2">
      <c r="A654" s="273">
        <v>2025</v>
      </c>
      <c r="B654" s="274" t="s">
        <v>456</v>
      </c>
      <c r="C654" s="274" t="s">
        <v>1203</v>
      </c>
      <c r="D654" s="208" t="s">
        <v>1204</v>
      </c>
      <c r="E654" s="208" t="s">
        <v>1207</v>
      </c>
      <c r="F654" s="208" t="s">
        <v>27</v>
      </c>
      <c r="G654" s="208" t="s">
        <v>34</v>
      </c>
      <c r="H654" s="275">
        <v>70</v>
      </c>
    </row>
    <row r="655" spans="1:8" ht="12.75" customHeight="1" x14ac:dyDescent="0.2">
      <c r="A655" s="273">
        <v>2025</v>
      </c>
      <c r="B655" s="274" t="s">
        <v>461</v>
      </c>
      <c r="C655" s="274" t="s">
        <v>1194</v>
      </c>
      <c r="D655" s="208" t="s">
        <v>1195</v>
      </c>
      <c r="E655" s="208" t="s">
        <v>1208</v>
      </c>
      <c r="F655" s="208" t="s">
        <v>27</v>
      </c>
      <c r="G655" s="208" t="s">
        <v>34</v>
      </c>
      <c r="H655" s="275">
        <v>1000</v>
      </c>
    </row>
    <row r="656" spans="1:8" ht="12.75" customHeight="1" x14ac:dyDescent="0.2">
      <c r="A656" s="273">
        <v>2025</v>
      </c>
      <c r="B656" s="274" t="s">
        <v>461</v>
      </c>
      <c r="C656" s="274" t="s">
        <v>1197</v>
      </c>
      <c r="D656" s="208" t="s">
        <v>1198</v>
      </c>
      <c r="E656" s="208" t="s">
        <v>1199</v>
      </c>
      <c r="F656" s="208" t="s">
        <v>27</v>
      </c>
      <c r="G656" s="208" t="s">
        <v>34</v>
      </c>
      <c r="H656" s="275">
        <v>192</v>
      </c>
    </row>
    <row r="657" spans="1:8" ht="12.75" customHeight="1" x14ac:dyDescent="0.2">
      <c r="A657" s="273">
        <v>2025</v>
      </c>
      <c r="B657" s="274" t="s">
        <v>461</v>
      </c>
      <c r="C657" s="274" t="s">
        <v>1200</v>
      </c>
      <c r="D657" s="208" t="s">
        <v>1201</v>
      </c>
      <c r="E657" s="208" t="s">
        <v>1202</v>
      </c>
      <c r="F657" s="208" t="s">
        <v>27</v>
      </c>
      <c r="G657" s="208" t="s">
        <v>34</v>
      </c>
      <c r="H657" s="275">
        <v>130</v>
      </c>
    </row>
    <row r="658" spans="1:8" ht="12.75" customHeight="1" x14ac:dyDescent="0.2">
      <c r="A658" s="273">
        <v>2025</v>
      </c>
      <c r="B658" s="274" t="s">
        <v>461</v>
      </c>
      <c r="C658" s="274" t="s">
        <v>1203</v>
      </c>
      <c r="D658" s="208" t="s">
        <v>1204</v>
      </c>
      <c r="E658" s="208" t="s">
        <v>1209</v>
      </c>
      <c r="F658" s="208" t="s">
        <v>27</v>
      </c>
      <c r="G658" s="208" t="s">
        <v>34</v>
      </c>
      <c r="H658" s="275">
        <v>148</v>
      </c>
    </row>
    <row r="659" spans="1:8" ht="12.75" customHeight="1" x14ac:dyDescent="0.2">
      <c r="A659" s="273">
        <v>2025</v>
      </c>
      <c r="B659" s="274" t="s">
        <v>461</v>
      </c>
      <c r="C659" s="274" t="s">
        <v>1203</v>
      </c>
      <c r="D659" s="208" t="s">
        <v>1204</v>
      </c>
      <c r="E659" s="208" t="s">
        <v>1210</v>
      </c>
      <c r="F659" s="208" t="s">
        <v>27</v>
      </c>
      <c r="G659" s="208" t="s">
        <v>34</v>
      </c>
      <c r="H659" s="275">
        <v>70</v>
      </c>
    </row>
    <row r="660" spans="1:8" ht="12.75" customHeight="1" x14ac:dyDescent="0.2">
      <c r="A660" s="273">
        <v>2025</v>
      </c>
      <c r="B660" s="274" t="s">
        <v>470</v>
      </c>
      <c r="C660" s="274" t="s">
        <v>1194</v>
      </c>
      <c r="D660" s="208" t="s">
        <v>1195</v>
      </c>
      <c r="E660" s="208" t="s">
        <v>1211</v>
      </c>
      <c r="F660" s="208" t="s">
        <v>27</v>
      </c>
      <c r="G660" s="208" t="s">
        <v>34</v>
      </c>
      <c r="H660" s="275">
        <v>1000</v>
      </c>
    </row>
    <row r="661" spans="1:8" ht="12.75" customHeight="1" x14ac:dyDescent="0.2">
      <c r="A661" s="273">
        <v>2025</v>
      </c>
      <c r="B661" s="274" t="s">
        <v>470</v>
      </c>
      <c r="C661" s="274" t="s">
        <v>1197</v>
      </c>
      <c r="D661" s="208" t="s">
        <v>1198</v>
      </c>
      <c r="E661" s="208" t="s">
        <v>1199</v>
      </c>
      <c r="F661" s="208" t="s">
        <v>27</v>
      </c>
      <c r="G661" s="208" t="s">
        <v>34</v>
      </c>
      <c r="H661" s="275">
        <v>192</v>
      </c>
    </row>
    <row r="662" spans="1:8" ht="12.75" customHeight="1" x14ac:dyDescent="0.2">
      <c r="A662" s="273">
        <v>2025</v>
      </c>
      <c r="B662" s="274" t="s">
        <v>470</v>
      </c>
      <c r="C662" s="274" t="s">
        <v>1200</v>
      </c>
      <c r="D662" s="208" t="s">
        <v>1201</v>
      </c>
      <c r="E662" s="208" t="s">
        <v>1202</v>
      </c>
      <c r="F662" s="208" t="s">
        <v>27</v>
      </c>
      <c r="G662" s="208" t="s">
        <v>34</v>
      </c>
      <c r="H662" s="275">
        <v>130</v>
      </c>
    </row>
    <row r="663" spans="1:8" ht="12.75" customHeight="1" x14ac:dyDescent="0.2">
      <c r="A663" s="273">
        <v>2025</v>
      </c>
      <c r="B663" s="274" t="s">
        <v>470</v>
      </c>
      <c r="C663" s="274" t="s">
        <v>1203</v>
      </c>
      <c r="D663" s="208" t="s">
        <v>1204</v>
      </c>
      <c r="E663" s="208" t="s">
        <v>1212</v>
      </c>
      <c r="F663" s="208" t="s">
        <v>27</v>
      </c>
      <c r="G663" s="208" t="s">
        <v>34</v>
      </c>
      <c r="H663" s="275">
        <v>148</v>
      </c>
    </row>
    <row r="664" spans="1:8" ht="12.75" customHeight="1" x14ac:dyDescent="0.2">
      <c r="A664" s="273">
        <v>2025</v>
      </c>
      <c r="B664" s="274" t="s">
        <v>470</v>
      </c>
      <c r="C664" s="274" t="s">
        <v>1203</v>
      </c>
      <c r="D664" s="208" t="s">
        <v>1204</v>
      </c>
      <c r="E664" s="208" t="s">
        <v>1213</v>
      </c>
      <c r="F664" s="208" t="s">
        <v>27</v>
      </c>
      <c r="G664" s="208" t="s">
        <v>34</v>
      </c>
      <c r="H664" s="275">
        <v>70</v>
      </c>
    </row>
    <row r="665" spans="1:8" ht="12.75" customHeight="1" x14ac:dyDescent="0.2">
      <c r="A665" s="273">
        <v>2025</v>
      </c>
      <c r="B665" s="274" t="s">
        <v>484</v>
      </c>
      <c r="C665" s="274" t="s">
        <v>1194</v>
      </c>
      <c r="D665" s="208" t="s">
        <v>1195</v>
      </c>
      <c r="E665" s="208" t="s">
        <v>1214</v>
      </c>
      <c r="F665" s="208" t="s">
        <v>27</v>
      </c>
      <c r="G665" s="208" t="s">
        <v>34</v>
      </c>
      <c r="H665" s="275">
        <v>1000</v>
      </c>
    </row>
    <row r="666" spans="1:8" ht="12.75" customHeight="1" x14ac:dyDescent="0.2">
      <c r="A666" s="273">
        <v>2025</v>
      </c>
      <c r="B666" s="274" t="s">
        <v>484</v>
      </c>
      <c r="C666" s="274" t="s">
        <v>1197</v>
      </c>
      <c r="D666" s="208" t="s">
        <v>1198</v>
      </c>
      <c r="E666" s="208" t="s">
        <v>1199</v>
      </c>
      <c r="F666" s="208" t="s">
        <v>27</v>
      </c>
      <c r="G666" s="208" t="s">
        <v>34</v>
      </c>
      <c r="H666" s="275">
        <v>192</v>
      </c>
    </row>
    <row r="667" spans="1:8" ht="12.75" customHeight="1" x14ac:dyDescent="0.2">
      <c r="A667" s="273">
        <v>2025</v>
      </c>
      <c r="B667" s="274" t="s">
        <v>484</v>
      </c>
      <c r="C667" s="274" t="s">
        <v>1200</v>
      </c>
      <c r="D667" s="208" t="s">
        <v>1201</v>
      </c>
      <c r="E667" s="208" t="s">
        <v>1202</v>
      </c>
      <c r="F667" s="208" t="s">
        <v>27</v>
      </c>
      <c r="G667" s="208" t="s">
        <v>34</v>
      </c>
      <c r="H667" s="275">
        <v>130</v>
      </c>
    </row>
    <row r="668" spans="1:8" ht="12.75" customHeight="1" x14ac:dyDescent="0.2">
      <c r="A668" s="273">
        <v>2025</v>
      </c>
      <c r="B668" s="274" t="s">
        <v>484</v>
      </c>
      <c r="C668" s="274" t="s">
        <v>1203</v>
      </c>
      <c r="D668" s="208" t="s">
        <v>1204</v>
      </c>
      <c r="E668" s="208" t="s">
        <v>1214</v>
      </c>
      <c r="F668" s="208" t="s">
        <v>27</v>
      </c>
      <c r="G668" s="208" t="s">
        <v>34</v>
      </c>
      <c r="H668" s="275">
        <v>148</v>
      </c>
    </row>
    <row r="669" spans="1:8" ht="12.75" customHeight="1" x14ac:dyDescent="0.2">
      <c r="A669" s="273">
        <v>2025</v>
      </c>
      <c r="B669" s="274" t="s">
        <v>484</v>
      </c>
      <c r="C669" s="274" t="s">
        <v>1203</v>
      </c>
      <c r="D669" s="208" t="s">
        <v>1204</v>
      </c>
      <c r="E669" s="208" t="s">
        <v>1214</v>
      </c>
      <c r="F669" s="208" t="s">
        <v>27</v>
      </c>
      <c r="G669" s="208" t="s">
        <v>34</v>
      </c>
      <c r="H669" s="275">
        <v>70</v>
      </c>
    </row>
    <row r="670" spans="1:8" ht="12.75" customHeight="1" x14ac:dyDescent="0.2">
      <c r="A670" s="273">
        <v>2025</v>
      </c>
      <c r="B670" s="274" t="s">
        <v>499</v>
      </c>
      <c r="C670" s="274" t="s">
        <v>1194</v>
      </c>
      <c r="D670" s="208" t="s">
        <v>1195</v>
      </c>
      <c r="E670" s="208" t="s">
        <v>1215</v>
      </c>
      <c r="F670" s="208" t="s">
        <v>27</v>
      </c>
      <c r="G670" s="208" t="s">
        <v>34</v>
      </c>
      <c r="H670" s="275">
        <v>1000</v>
      </c>
    </row>
    <row r="671" spans="1:8" ht="12.75" customHeight="1" x14ac:dyDescent="0.2">
      <c r="A671" s="273">
        <v>2025</v>
      </c>
      <c r="B671" s="274" t="s">
        <v>499</v>
      </c>
      <c r="C671" s="274" t="s">
        <v>1197</v>
      </c>
      <c r="D671" s="208" t="s">
        <v>1198</v>
      </c>
      <c r="E671" s="208" t="s">
        <v>1199</v>
      </c>
      <c r="F671" s="208" t="s">
        <v>27</v>
      </c>
      <c r="G671" s="208" t="s">
        <v>34</v>
      </c>
      <c r="H671" s="275">
        <v>192</v>
      </c>
    </row>
    <row r="672" spans="1:8" ht="12.75" customHeight="1" x14ac:dyDescent="0.2">
      <c r="A672" s="273">
        <v>2025</v>
      </c>
      <c r="B672" s="274" t="s">
        <v>499</v>
      </c>
      <c r="C672" s="274" t="s">
        <v>1200</v>
      </c>
      <c r="D672" s="208" t="s">
        <v>1201</v>
      </c>
      <c r="E672" s="208" t="s">
        <v>1202</v>
      </c>
      <c r="F672" s="208" t="s">
        <v>27</v>
      </c>
      <c r="G672" s="208" t="s">
        <v>34</v>
      </c>
      <c r="H672" s="275">
        <v>130</v>
      </c>
    </row>
    <row r="673" spans="1:8" ht="12.75" customHeight="1" x14ac:dyDescent="0.2">
      <c r="A673" s="273">
        <v>2025</v>
      </c>
      <c r="B673" s="274" t="s">
        <v>499</v>
      </c>
      <c r="C673" s="274" t="s">
        <v>1203</v>
      </c>
      <c r="D673" s="208" t="s">
        <v>1204</v>
      </c>
      <c r="E673" s="208" t="s">
        <v>1215</v>
      </c>
      <c r="F673" s="208" t="s">
        <v>27</v>
      </c>
      <c r="G673" s="208" t="s">
        <v>34</v>
      </c>
      <c r="H673" s="275">
        <v>148</v>
      </c>
    </row>
    <row r="674" spans="1:8" ht="12.75" customHeight="1" x14ac:dyDescent="0.2">
      <c r="A674" s="273">
        <v>2025</v>
      </c>
      <c r="B674" s="274" t="s">
        <v>499</v>
      </c>
      <c r="C674" s="274" t="s">
        <v>1203</v>
      </c>
      <c r="D674" s="208" t="s">
        <v>1204</v>
      </c>
      <c r="E674" s="208" t="s">
        <v>1215</v>
      </c>
      <c r="F674" s="208" t="s">
        <v>27</v>
      </c>
      <c r="G674" s="208" t="s">
        <v>34</v>
      </c>
      <c r="H674" s="275">
        <v>70</v>
      </c>
    </row>
    <row r="675" spans="1:8" ht="12.75" customHeight="1" x14ac:dyDescent="0.2">
      <c r="A675" s="273">
        <v>2025</v>
      </c>
      <c r="B675" s="274" t="s">
        <v>512</v>
      </c>
      <c r="C675" s="274" t="s">
        <v>1194</v>
      </c>
      <c r="D675" s="208" t="s">
        <v>1195</v>
      </c>
      <c r="E675" s="208" t="s">
        <v>1216</v>
      </c>
      <c r="F675" s="208" t="s">
        <v>27</v>
      </c>
      <c r="G675" s="208" t="s">
        <v>34</v>
      </c>
      <c r="H675" s="275">
        <v>1080</v>
      </c>
    </row>
    <row r="676" spans="1:8" ht="12.75" customHeight="1" x14ac:dyDescent="0.2">
      <c r="A676" s="273">
        <v>2025</v>
      </c>
      <c r="B676" s="274" t="s">
        <v>512</v>
      </c>
      <c r="C676" s="274" t="s">
        <v>1197</v>
      </c>
      <c r="D676" s="208" t="s">
        <v>1198</v>
      </c>
      <c r="E676" s="208" t="s">
        <v>1199</v>
      </c>
      <c r="F676" s="208" t="s">
        <v>27</v>
      </c>
      <c r="G676" s="208" t="s">
        <v>34</v>
      </c>
      <c r="H676" s="275">
        <v>192</v>
      </c>
    </row>
    <row r="677" spans="1:8" ht="12.75" customHeight="1" x14ac:dyDescent="0.2">
      <c r="A677" s="273">
        <v>2025</v>
      </c>
      <c r="B677" s="274" t="s">
        <v>512</v>
      </c>
      <c r="C677" s="274" t="s">
        <v>1200</v>
      </c>
      <c r="D677" s="208" t="s">
        <v>1201</v>
      </c>
      <c r="E677" s="208" t="s">
        <v>1202</v>
      </c>
      <c r="F677" s="208" t="s">
        <v>27</v>
      </c>
      <c r="G677" s="208" t="s">
        <v>34</v>
      </c>
      <c r="H677" s="275">
        <v>130</v>
      </c>
    </row>
    <row r="678" spans="1:8" ht="12.75" customHeight="1" x14ac:dyDescent="0.2">
      <c r="A678" s="273">
        <v>2025</v>
      </c>
      <c r="B678" s="274" t="s">
        <v>512</v>
      </c>
      <c r="C678" s="274" t="s">
        <v>1203</v>
      </c>
      <c r="D678" s="208" t="s">
        <v>1204</v>
      </c>
      <c r="E678" s="208" t="s">
        <v>1216</v>
      </c>
      <c r="F678" s="208" t="s">
        <v>27</v>
      </c>
      <c r="G678" s="208" t="s">
        <v>34</v>
      </c>
      <c r="H678" s="275">
        <v>70</v>
      </c>
    </row>
    <row r="679" spans="1:8" ht="12.75" customHeight="1" x14ac:dyDescent="0.2">
      <c r="A679" s="273">
        <v>2025</v>
      </c>
      <c r="B679" s="274" t="s">
        <v>512</v>
      </c>
      <c r="C679" s="274" t="s">
        <v>1203</v>
      </c>
      <c r="D679" s="208" t="s">
        <v>1204</v>
      </c>
      <c r="E679" s="208" t="s">
        <v>1216</v>
      </c>
      <c r="F679" s="208" t="s">
        <v>27</v>
      </c>
      <c r="G679" s="208" t="s">
        <v>34</v>
      </c>
      <c r="H679" s="275">
        <v>160</v>
      </c>
    </row>
    <row r="680" spans="1:8" ht="12.75" customHeight="1" x14ac:dyDescent="0.2">
      <c r="A680" s="273">
        <v>2025</v>
      </c>
      <c r="B680" s="274" t="s">
        <v>530</v>
      </c>
      <c r="C680" s="274" t="s">
        <v>1194</v>
      </c>
      <c r="D680" s="208" t="s">
        <v>1195</v>
      </c>
      <c r="E680" s="208" t="s">
        <v>1217</v>
      </c>
      <c r="F680" s="208" t="s">
        <v>27</v>
      </c>
      <c r="G680" s="208" t="s">
        <v>34</v>
      </c>
      <c r="H680" s="275">
        <v>1080</v>
      </c>
    </row>
    <row r="681" spans="1:8" ht="12.75" customHeight="1" x14ac:dyDescent="0.2">
      <c r="A681" s="273">
        <v>2025</v>
      </c>
      <c r="B681" s="274" t="s">
        <v>530</v>
      </c>
      <c r="C681" s="274" t="s">
        <v>1197</v>
      </c>
      <c r="D681" s="208" t="s">
        <v>1198</v>
      </c>
      <c r="E681" s="208" t="s">
        <v>1199</v>
      </c>
      <c r="F681" s="208" t="s">
        <v>27</v>
      </c>
      <c r="G681" s="208" t="s">
        <v>34</v>
      </c>
      <c r="H681" s="275">
        <v>192</v>
      </c>
    </row>
    <row r="682" spans="1:8" ht="12.75" customHeight="1" x14ac:dyDescent="0.2">
      <c r="A682" s="273">
        <v>2025</v>
      </c>
      <c r="B682" s="274" t="s">
        <v>530</v>
      </c>
      <c r="C682" s="274" t="s">
        <v>1200</v>
      </c>
      <c r="D682" s="208" t="s">
        <v>1201</v>
      </c>
      <c r="E682" s="208" t="s">
        <v>1202</v>
      </c>
      <c r="F682" s="208" t="s">
        <v>27</v>
      </c>
      <c r="G682" s="208" t="s">
        <v>34</v>
      </c>
      <c r="H682" s="275">
        <v>130</v>
      </c>
    </row>
    <row r="683" spans="1:8" ht="12.75" customHeight="1" x14ac:dyDescent="0.2">
      <c r="A683" s="273">
        <v>2025</v>
      </c>
      <c r="B683" s="274" t="s">
        <v>530</v>
      </c>
      <c r="C683" s="274" t="s">
        <v>1203</v>
      </c>
      <c r="D683" s="208" t="s">
        <v>1204</v>
      </c>
      <c r="E683" s="208" t="s">
        <v>1217</v>
      </c>
      <c r="F683" s="208" t="s">
        <v>27</v>
      </c>
      <c r="G683" s="208" t="s">
        <v>34</v>
      </c>
      <c r="H683" s="275">
        <v>160</v>
      </c>
    </row>
    <row r="684" spans="1:8" ht="12.75" customHeight="1" x14ac:dyDescent="0.2">
      <c r="A684" s="273">
        <v>2025</v>
      </c>
      <c r="B684" s="274" t="s">
        <v>530</v>
      </c>
      <c r="C684" s="274" t="s">
        <v>1203</v>
      </c>
      <c r="D684" s="208" t="s">
        <v>1204</v>
      </c>
      <c r="E684" s="208" t="s">
        <v>1217</v>
      </c>
      <c r="F684" s="208" t="s">
        <v>27</v>
      </c>
      <c r="G684" s="208" t="s">
        <v>34</v>
      </c>
      <c r="H684" s="275">
        <v>70</v>
      </c>
    </row>
    <row r="685" spans="1:8" ht="12.75" customHeight="1" x14ac:dyDescent="0.2">
      <c r="A685" s="273">
        <v>2025</v>
      </c>
      <c r="B685" s="274" t="s">
        <v>538</v>
      </c>
      <c r="C685" s="274" t="s">
        <v>1194</v>
      </c>
      <c r="D685" s="208" t="s">
        <v>1195</v>
      </c>
      <c r="E685" s="208" t="s">
        <v>1218</v>
      </c>
      <c r="F685" s="208" t="s">
        <v>27</v>
      </c>
      <c r="G685" s="208" t="s">
        <v>34</v>
      </c>
      <c r="H685" s="275">
        <v>1080</v>
      </c>
    </row>
    <row r="686" spans="1:8" ht="12.75" customHeight="1" x14ac:dyDescent="0.2">
      <c r="A686" s="273">
        <v>2025</v>
      </c>
      <c r="B686" s="274" t="s">
        <v>538</v>
      </c>
      <c r="C686" s="274" t="s">
        <v>1197</v>
      </c>
      <c r="D686" s="208" t="s">
        <v>1198</v>
      </c>
      <c r="E686" s="208" t="s">
        <v>1199</v>
      </c>
      <c r="F686" s="208" t="s">
        <v>27</v>
      </c>
      <c r="G686" s="208" t="s">
        <v>34</v>
      </c>
      <c r="H686" s="275">
        <v>192</v>
      </c>
    </row>
    <row r="687" spans="1:8" ht="12.75" customHeight="1" x14ac:dyDescent="0.2">
      <c r="A687" s="273">
        <v>2025</v>
      </c>
      <c r="B687" s="274" t="s">
        <v>538</v>
      </c>
      <c r="C687" s="274" t="s">
        <v>1200</v>
      </c>
      <c r="D687" s="208" t="s">
        <v>1201</v>
      </c>
      <c r="E687" s="208" t="s">
        <v>1202</v>
      </c>
      <c r="F687" s="208" t="s">
        <v>27</v>
      </c>
      <c r="G687" s="208" t="s">
        <v>34</v>
      </c>
      <c r="H687" s="275">
        <v>130</v>
      </c>
    </row>
    <row r="688" spans="1:8" ht="12.75" customHeight="1" x14ac:dyDescent="0.2">
      <c r="A688" s="273">
        <v>2025</v>
      </c>
      <c r="B688" s="274" t="s">
        <v>538</v>
      </c>
      <c r="C688" s="274" t="s">
        <v>1203</v>
      </c>
      <c r="D688" s="208" t="s">
        <v>1204</v>
      </c>
      <c r="E688" s="208" t="s">
        <v>1219</v>
      </c>
      <c r="F688" s="208" t="s">
        <v>27</v>
      </c>
      <c r="G688" s="208" t="s">
        <v>34</v>
      </c>
      <c r="H688" s="275">
        <v>160</v>
      </c>
    </row>
    <row r="689" spans="1:8" ht="12.75" customHeight="1" x14ac:dyDescent="0.2">
      <c r="A689" s="273">
        <v>2025</v>
      </c>
      <c r="B689" s="274" t="s">
        <v>538</v>
      </c>
      <c r="C689" s="274" t="s">
        <v>1203</v>
      </c>
      <c r="D689" s="208" t="s">
        <v>1204</v>
      </c>
      <c r="E689" s="208" t="s">
        <v>1220</v>
      </c>
      <c r="F689" s="208" t="s">
        <v>27</v>
      </c>
      <c r="G689" s="208" t="s">
        <v>34</v>
      </c>
      <c r="H689" s="275">
        <v>70</v>
      </c>
    </row>
    <row r="690" spans="1:8" ht="12.75" customHeight="1" x14ac:dyDescent="0.2">
      <c r="A690" s="273">
        <v>2025</v>
      </c>
      <c r="B690" s="274" t="s">
        <v>762</v>
      </c>
      <c r="C690" s="274" t="s">
        <v>1194</v>
      </c>
      <c r="D690" s="208" t="s">
        <v>1195</v>
      </c>
      <c r="E690" s="208" t="s">
        <v>1218</v>
      </c>
      <c r="F690" s="208" t="s">
        <v>27</v>
      </c>
      <c r="G690" s="208" t="s">
        <v>34</v>
      </c>
      <c r="H690" s="275">
        <v>1080</v>
      </c>
    </row>
    <row r="691" spans="1:8" ht="12.75" customHeight="1" x14ac:dyDescent="0.2">
      <c r="A691" s="273">
        <v>2025</v>
      </c>
      <c r="B691" s="274" t="s">
        <v>762</v>
      </c>
      <c r="C691" s="274" t="s">
        <v>1197</v>
      </c>
      <c r="D691" s="208" t="s">
        <v>1198</v>
      </c>
      <c r="E691" s="208" t="s">
        <v>1199</v>
      </c>
      <c r="F691" s="208" t="s">
        <v>27</v>
      </c>
      <c r="G691" s="208" t="s">
        <v>34</v>
      </c>
      <c r="H691" s="275">
        <v>192</v>
      </c>
    </row>
    <row r="692" spans="1:8" ht="12.75" customHeight="1" x14ac:dyDescent="0.2">
      <c r="A692" s="273">
        <v>2025</v>
      </c>
      <c r="B692" s="274" t="s">
        <v>762</v>
      </c>
      <c r="C692" s="274" t="s">
        <v>1200</v>
      </c>
      <c r="D692" s="208" t="s">
        <v>1201</v>
      </c>
      <c r="E692" s="208" t="s">
        <v>1202</v>
      </c>
      <c r="F692" s="208" t="s">
        <v>27</v>
      </c>
      <c r="G692" s="208" t="s">
        <v>34</v>
      </c>
      <c r="H692" s="275">
        <v>130</v>
      </c>
    </row>
    <row r="693" spans="1:8" ht="12.75" customHeight="1" x14ac:dyDescent="0.2">
      <c r="A693" s="273">
        <v>2025</v>
      </c>
      <c r="B693" s="274" t="s">
        <v>762</v>
      </c>
      <c r="C693" s="274" t="s">
        <v>1203</v>
      </c>
      <c r="D693" s="208" t="s">
        <v>1204</v>
      </c>
      <c r="E693" s="208" t="s">
        <v>1219</v>
      </c>
      <c r="F693" s="208" t="s">
        <v>27</v>
      </c>
      <c r="G693" s="208" t="s">
        <v>34</v>
      </c>
      <c r="H693" s="275">
        <v>160</v>
      </c>
    </row>
    <row r="694" spans="1:8" ht="12.75" customHeight="1" x14ac:dyDescent="0.2">
      <c r="A694" s="273">
        <v>2025</v>
      </c>
      <c r="B694" s="274" t="s">
        <v>762</v>
      </c>
      <c r="C694" s="274" t="s">
        <v>1203</v>
      </c>
      <c r="D694" s="208" t="s">
        <v>1204</v>
      </c>
      <c r="E694" s="208" t="s">
        <v>1220</v>
      </c>
      <c r="F694" s="208" t="s">
        <v>27</v>
      </c>
      <c r="G694" s="208" t="s">
        <v>34</v>
      </c>
      <c r="H694" s="275">
        <v>70</v>
      </c>
    </row>
    <row r="695" spans="1:8" ht="12.75" customHeight="1" x14ac:dyDescent="0.2">
      <c r="A695" s="273">
        <v>2025</v>
      </c>
      <c r="B695" s="274" t="s">
        <v>779</v>
      </c>
      <c r="C695" s="274" t="s">
        <v>1194</v>
      </c>
      <c r="D695" s="208" t="s">
        <v>1195</v>
      </c>
      <c r="E695" s="208" t="s">
        <v>1221</v>
      </c>
      <c r="F695" s="208" t="s">
        <v>27</v>
      </c>
      <c r="G695" s="208" t="s">
        <v>34</v>
      </c>
      <c r="H695" s="275">
        <v>1080</v>
      </c>
    </row>
    <row r="696" spans="1:8" ht="12.75" customHeight="1" x14ac:dyDescent="0.2">
      <c r="A696" s="273">
        <v>2025</v>
      </c>
      <c r="B696" s="274" t="s">
        <v>779</v>
      </c>
      <c r="C696" s="274" t="s">
        <v>1197</v>
      </c>
      <c r="D696" s="208" t="s">
        <v>1198</v>
      </c>
      <c r="E696" s="208" t="s">
        <v>1199</v>
      </c>
      <c r="F696" s="208" t="s">
        <v>27</v>
      </c>
      <c r="G696" s="208" t="s">
        <v>34</v>
      </c>
      <c r="H696" s="275">
        <v>192</v>
      </c>
    </row>
    <row r="697" spans="1:8" ht="12.75" customHeight="1" x14ac:dyDescent="0.2">
      <c r="A697" s="273">
        <v>2025</v>
      </c>
      <c r="B697" s="274" t="s">
        <v>779</v>
      </c>
      <c r="C697" s="274" t="s">
        <v>1200</v>
      </c>
      <c r="D697" s="208" t="s">
        <v>1201</v>
      </c>
      <c r="E697" s="208" t="s">
        <v>1202</v>
      </c>
      <c r="F697" s="208" t="s">
        <v>27</v>
      </c>
      <c r="G697" s="208" t="s">
        <v>34</v>
      </c>
      <c r="H697" s="275">
        <v>130</v>
      </c>
    </row>
    <row r="698" spans="1:8" ht="12.75" customHeight="1" x14ac:dyDescent="0.2">
      <c r="A698" s="273">
        <v>2025</v>
      </c>
      <c r="B698" s="274" t="s">
        <v>779</v>
      </c>
      <c r="C698" s="274" t="s">
        <v>1203</v>
      </c>
      <c r="D698" s="208" t="s">
        <v>1204</v>
      </c>
      <c r="E698" s="208" t="s">
        <v>1221</v>
      </c>
      <c r="F698" s="208" t="s">
        <v>27</v>
      </c>
      <c r="G698" s="208" t="s">
        <v>34</v>
      </c>
      <c r="H698" s="275">
        <v>160</v>
      </c>
    </row>
    <row r="699" spans="1:8" ht="12.75" customHeight="1" x14ac:dyDescent="0.2">
      <c r="A699" s="273">
        <v>2025</v>
      </c>
      <c r="B699" s="274" t="s">
        <v>779</v>
      </c>
      <c r="C699" s="274" t="s">
        <v>1203</v>
      </c>
      <c r="D699" s="208" t="s">
        <v>1204</v>
      </c>
      <c r="E699" s="208" t="s">
        <v>1221</v>
      </c>
      <c r="F699" s="208" t="s">
        <v>27</v>
      </c>
      <c r="G699" s="208" t="s">
        <v>34</v>
      </c>
      <c r="H699" s="275">
        <v>70</v>
      </c>
    </row>
    <row r="700" spans="1:8" ht="12.75" customHeight="1" x14ac:dyDescent="0.2">
      <c r="A700" s="273">
        <v>2025</v>
      </c>
      <c r="B700" s="274" t="s">
        <v>790</v>
      </c>
      <c r="C700" s="274" t="s">
        <v>1194</v>
      </c>
      <c r="D700" s="208" t="s">
        <v>1195</v>
      </c>
      <c r="E700" s="208" t="s">
        <v>1222</v>
      </c>
      <c r="F700" s="208" t="s">
        <v>27</v>
      </c>
      <c r="G700" s="208" t="s">
        <v>34</v>
      </c>
      <c r="H700" s="275">
        <v>1080</v>
      </c>
    </row>
    <row r="701" spans="1:8" ht="12.75" customHeight="1" x14ac:dyDescent="0.2">
      <c r="A701" s="273">
        <v>2025</v>
      </c>
      <c r="B701" s="274" t="s">
        <v>790</v>
      </c>
      <c r="C701" s="274" t="s">
        <v>1197</v>
      </c>
      <c r="D701" s="208" t="s">
        <v>1198</v>
      </c>
      <c r="E701" s="208" t="s">
        <v>1199</v>
      </c>
      <c r="F701" s="208" t="s">
        <v>27</v>
      </c>
      <c r="G701" s="208" t="s">
        <v>34</v>
      </c>
      <c r="H701" s="275">
        <v>192</v>
      </c>
    </row>
    <row r="702" spans="1:8" ht="12.75" customHeight="1" x14ac:dyDescent="0.2">
      <c r="A702" s="273">
        <v>2025</v>
      </c>
      <c r="B702" s="274" t="s">
        <v>790</v>
      </c>
      <c r="C702" s="274" t="s">
        <v>1200</v>
      </c>
      <c r="D702" s="208" t="s">
        <v>1201</v>
      </c>
      <c r="E702" s="208" t="s">
        <v>1202</v>
      </c>
      <c r="F702" s="208" t="s">
        <v>27</v>
      </c>
      <c r="G702" s="208" t="s">
        <v>34</v>
      </c>
      <c r="H702" s="275">
        <v>130</v>
      </c>
    </row>
    <row r="703" spans="1:8" ht="12.75" customHeight="1" x14ac:dyDescent="0.2">
      <c r="A703" s="273">
        <v>2025</v>
      </c>
      <c r="B703" s="274" t="s">
        <v>790</v>
      </c>
      <c r="C703" s="274" t="s">
        <v>1203</v>
      </c>
      <c r="D703" s="208" t="s">
        <v>1204</v>
      </c>
      <c r="E703" s="208" t="s">
        <v>1222</v>
      </c>
      <c r="F703" s="208" t="s">
        <v>27</v>
      </c>
      <c r="G703" s="208" t="s">
        <v>34</v>
      </c>
      <c r="H703" s="275">
        <v>160</v>
      </c>
    </row>
    <row r="704" spans="1:8" ht="12.75" customHeight="1" x14ac:dyDescent="0.2">
      <c r="A704" s="273">
        <v>2025</v>
      </c>
      <c r="B704" s="274" t="s">
        <v>790</v>
      </c>
      <c r="C704" s="274" t="s">
        <v>1203</v>
      </c>
      <c r="D704" s="208" t="s">
        <v>1204</v>
      </c>
      <c r="E704" s="208" t="s">
        <v>1222</v>
      </c>
      <c r="F704" s="208" t="s">
        <v>27</v>
      </c>
      <c r="G704" s="208" t="s">
        <v>34</v>
      </c>
      <c r="H704" s="275">
        <v>70</v>
      </c>
    </row>
    <row r="705" spans="1:8" ht="12.75" customHeight="1" x14ac:dyDescent="0.2">
      <c r="A705" s="273">
        <v>2025</v>
      </c>
      <c r="B705" s="274" t="s">
        <v>429</v>
      </c>
      <c r="C705" s="274" t="s">
        <v>1223</v>
      </c>
      <c r="D705" s="208" t="s">
        <v>1224</v>
      </c>
      <c r="E705" s="208" t="s">
        <v>1225</v>
      </c>
      <c r="F705" s="208" t="s">
        <v>27</v>
      </c>
      <c r="G705" s="208" t="s">
        <v>35</v>
      </c>
      <c r="H705" s="275">
        <v>179</v>
      </c>
    </row>
    <row r="706" spans="1:8" ht="12.75" customHeight="1" x14ac:dyDescent="0.2">
      <c r="A706" s="273">
        <v>2025</v>
      </c>
      <c r="B706" s="274" t="s">
        <v>429</v>
      </c>
      <c r="C706" s="274" t="s">
        <v>1226</v>
      </c>
      <c r="D706" s="208" t="s">
        <v>1227</v>
      </c>
      <c r="E706" s="208" t="s">
        <v>1228</v>
      </c>
      <c r="F706" s="208" t="s">
        <v>27</v>
      </c>
      <c r="G706" s="208" t="s">
        <v>35</v>
      </c>
      <c r="H706" s="275">
        <v>64</v>
      </c>
    </row>
    <row r="707" spans="1:8" ht="12.75" customHeight="1" x14ac:dyDescent="0.2">
      <c r="A707" s="273">
        <v>2025</v>
      </c>
      <c r="B707" s="274" t="s">
        <v>429</v>
      </c>
      <c r="C707" s="274" t="s">
        <v>1229</v>
      </c>
      <c r="D707" s="208" t="s">
        <v>1230</v>
      </c>
      <c r="E707" s="208" t="s">
        <v>653</v>
      </c>
      <c r="F707" s="208" t="s">
        <v>27</v>
      </c>
      <c r="G707" s="208" t="s">
        <v>35</v>
      </c>
      <c r="H707" s="275">
        <v>266.89</v>
      </c>
    </row>
    <row r="708" spans="1:8" ht="12.75" customHeight="1" x14ac:dyDescent="0.2">
      <c r="A708" s="273">
        <v>2025</v>
      </c>
      <c r="B708" s="274" t="s">
        <v>429</v>
      </c>
      <c r="C708" s="274" t="s">
        <v>1229</v>
      </c>
      <c r="D708" s="208" t="s">
        <v>1230</v>
      </c>
      <c r="E708" s="208" t="s">
        <v>1231</v>
      </c>
      <c r="F708" s="208" t="s">
        <v>27</v>
      </c>
      <c r="G708" s="208" t="s">
        <v>35</v>
      </c>
      <c r="H708" s="275">
        <v>31</v>
      </c>
    </row>
    <row r="709" spans="1:8" ht="12.75" customHeight="1" x14ac:dyDescent="0.2">
      <c r="A709" s="273">
        <v>2025</v>
      </c>
      <c r="B709" s="274" t="s">
        <v>429</v>
      </c>
      <c r="C709" s="274" t="s">
        <v>1232</v>
      </c>
      <c r="D709" s="208" t="s">
        <v>1233</v>
      </c>
      <c r="E709" s="208" t="s">
        <v>1234</v>
      </c>
      <c r="F709" s="208" t="s">
        <v>27</v>
      </c>
      <c r="G709" s="208" t="s">
        <v>35</v>
      </c>
      <c r="H709" s="275">
        <v>54.79</v>
      </c>
    </row>
    <row r="710" spans="1:8" ht="12.75" customHeight="1" x14ac:dyDescent="0.2">
      <c r="A710" s="273">
        <v>2025</v>
      </c>
      <c r="B710" s="274" t="s">
        <v>433</v>
      </c>
      <c r="C710" s="274" t="s">
        <v>1226</v>
      </c>
      <c r="D710" s="208" t="s">
        <v>1227</v>
      </c>
      <c r="E710" s="208" t="s">
        <v>1235</v>
      </c>
      <c r="F710" s="208" t="s">
        <v>27</v>
      </c>
      <c r="G710" s="208" t="s">
        <v>35</v>
      </c>
      <c r="H710" s="275">
        <v>393.82</v>
      </c>
    </row>
    <row r="711" spans="1:8" ht="12.75" customHeight="1" x14ac:dyDescent="0.2">
      <c r="A711" s="273">
        <v>2025</v>
      </c>
      <c r="B711" s="274" t="s">
        <v>1236</v>
      </c>
      <c r="C711" s="274" t="s">
        <v>1223</v>
      </c>
      <c r="D711" s="208" t="s">
        <v>1224</v>
      </c>
      <c r="E711" s="208" t="s">
        <v>1237</v>
      </c>
      <c r="F711" s="208" t="s">
        <v>27</v>
      </c>
      <c r="G711" s="208" t="s">
        <v>35</v>
      </c>
      <c r="H711" s="275">
        <v>660.38</v>
      </c>
    </row>
    <row r="712" spans="1:8" ht="12.75" customHeight="1" x14ac:dyDescent="0.2">
      <c r="A712" s="273">
        <v>2025</v>
      </c>
      <c r="B712" s="274" t="s">
        <v>456</v>
      </c>
      <c r="C712" s="274" t="s">
        <v>1232</v>
      </c>
      <c r="D712" s="208" t="s">
        <v>1233</v>
      </c>
      <c r="E712" s="208" t="s">
        <v>1238</v>
      </c>
      <c r="F712" s="208" t="s">
        <v>27</v>
      </c>
      <c r="G712" s="208" t="s">
        <v>35</v>
      </c>
      <c r="H712" s="275">
        <v>54.79</v>
      </c>
    </row>
    <row r="713" spans="1:8" ht="12.75" customHeight="1" x14ac:dyDescent="0.2">
      <c r="A713" s="273">
        <v>2025</v>
      </c>
      <c r="B713" s="274" t="s">
        <v>1239</v>
      </c>
      <c r="C713" s="274" t="s">
        <v>1226</v>
      </c>
      <c r="D713" s="208" t="s">
        <v>1227</v>
      </c>
      <c r="E713" s="208" t="s">
        <v>1240</v>
      </c>
      <c r="F713" s="208" t="s">
        <v>27</v>
      </c>
      <c r="G713" s="208" t="s">
        <v>35</v>
      </c>
      <c r="H713" s="275">
        <v>393.82</v>
      </c>
    </row>
    <row r="714" spans="1:8" ht="12.75" customHeight="1" x14ac:dyDescent="0.2">
      <c r="A714" s="273">
        <v>2025</v>
      </c>
      <c r="B714" s="274" t="s">
        <v>1241</v>
      </c>
      <c r="C714" s="274" t="s">
        <v>1223</v>
      </c>
      <c r="D714" s="208" t="s">
        <v>1224</v>
      </c>
      <c r="E714" s="208" t="s">
        <v>1242</v>
      </c>
      <c r="F714" s="208" t="s">
        <v>27</v>
      </c>
      <c r="G714" s="208" t="s">
        <v>35</v>
      </c>
      <c r="H714" s="275">
        <v>660.38</v>
      </c>
    </row>
    <row r="715" spans="1:8" ht="12.75" customHeight="1" x14ac:dyDescent="0.2">
      <c r="A715" s="273">
        <v>2025</v>
      </c>
      <c r="B715" s="274" t="s">
        <v>461</v>
      </c>
      <c r="C715" s="274" t="s">
        <v>1232</v>
      </c>
      <c r="D715" s="208" t="s">
        <v>1233</v>
      </c>
      <c r="E715" s="208" t="s">
        <v>1243</v>
      </c>
      <c r="F715" s="208" t="s">
        <v>27</v>
      </c>
      <c r="G715" s="208" t="s">
        <v>35</v>
      </c>
      <c r="H715" s="275">
        <v>54.79</v>
      </c>
    </row>
    <row r="716" spans="1:8" ht="12.75" customHeight="1" x14ac:dyDescent="0.2">
      <c r="A716" s="273">
        <v>2025</v>
      </c>
      <c r="B716" s="274" t="s">
        <v>1244</v>
      </c>
      <c r="C716" s="274" t="s">
        <v>1226</v>
      </c>
      <c r="D716" s="208" t="s">
        <v>1227</v>
      </c>
      <c r="E716" s="208" t="s">
        <v>1245</v>
      </c>
      <c r="F716" s="208" t="s">
        <v>27</v>
      </c>
      <c r="G716" s="208" t="s">
        <v>35</v>
      </c>
      <c r="H716" s="275">
        <v>393.82</v>
      </c>
    </row>
    <row r="717" spans="1:8" ht="12.75" customHeight="1" x14ac:dyDescent="0.2">
      <c r="A717" s="273">
        <v>2025</v>
      </c>
      <c r="B717" s="274" t="s">
        <v>1246</v>
      </c>
      <c r="C717" s="274" t="s">
        <v>1223</v>
      </c>
      <c r="D717" s="208" t="s">
        <v>1224</v>
      </c>
      <c r="E717" s="208" t="s">
        <v>1247</v>
      </c>
      <c r="F717" s="208" t="s">
        <v>27</v>
      </c>
      <c r="G717" s="208" t="s">
        <v>35</v>
      </c>
      <c r="H717" s="275">
        <v>660.38</v>
      </c>
    </row>
    <row r="718" spans="1:8" ht="12.75" customHeight="1" x14ac:dyDescent="0.2">
      <c r="A718" s="273">
        <v>2025</v>
      </c>
      <c r="B718" s="274" t="s">
        <v>464</v>
      </c>
      <c r="C718" s="274" t="s">
        <v>1229</v>
      </c>
      <c r="D718" s="208" t="s">
        <v>1230</v>
      </c>
      <c r="E718" s="208" t="s">
        <v>1248</v>
      </c>
      <c r="F718" s="208" t="s">
        <v>27</v>
      </c>
      <c r="G718" s="208" t="s">
        <v>35</v>
      </c>
      <c r="H718" s="275">
        <v>297.33999999999997</v>
      </c>
    </row>
    <row r="719" spans="1:8" ht="12.75" customHeight="1" x14ac:dyDescent="0.2">
      <c r="A719" s="273">
        <v>2025</v>
      </c>
      <c r="B719" s="274" t="s">
        <v>468</v>
      </c>
      <c r="C719" s="274" t="s">
        <v>1249</v>
      </c>
      <c r="D719" s="208" t="s">
        <v>1250</v>
      </c>
      <c r="E719" s="208" t="s">
        <v>1251</v>
      </c>
      <c r="F719" s="208" t="s">
        <v>27</v>
      </c>
      <c r="G719" s="208" t="s">
        <v>35</v>
      </c>
      <c r="H719" s="275">
        <v>177.11</v>
      </c>
    </row>
    <row r="720" spans="1:8" ht="12.75" customHeight="1" x14ac:dyDescent="0.2">
      <c r="A720" s="273">
        <v>2025</v>
      </c>
      <c r="B720" s="274" t="s">
        <v>470</v>
      </c>
      <c r="C720" s="274" t="s">
        <v>1249</v>
      </c>
      <c r="D720" s="208" t="s">
        <v>1250</v>
      </c>
      <c r="E720" s="208" t="s">
        <v>693</v>
      </c>
      <c r="F720" s="208" t="s">
        <v>27</v>
      </c>
      <c r="G720" s="208" t="s">
        <v>35</v>
      </c>
      <c r="H720" s="275">
        <v>1029.1400000000001</v>
      </c>
    </row>
    <row r="721" spans="1:8" ht="12.75" customHeight="1" x14ac:dyDescent="0.2">
      <c r="A721" s="273">
        <v>2025</v>
      </c>
      <c r="B721" s="274" t="s">
        <v>470</v>
      </c>
      <c r="C721" s="274" t="s">
        <v>1232</v>
      </c>
      <c r="D721" s="208" t="s">
        <v>1233</v>
      </c>
      <c r="E721" s="208" t="s">
        <v>1252</v>
      </c>
      <c r="F721" s="208" t="s">
        <v>27</v>
      </c>
      <c r="G721" s="208" t="s">
        <v>35</v>
      </c>
      <c r="H721" s="275">
        <v>54.79</v>
      </c>
    </row>
    <row r="722" spans="1:8" ht="12.75" customHeight="1" x14ac:dyDescent="0.2">
      <c r="A722" s="273">
        <v>2025</v>
      </c>
      <c r="B722" s="274" t="s">
        <v>1253</v>
      </c>
      <c r="C722" s="274" t="s">
        <v>1226</v>
      </c>
      <c r="D722" s="208" t="s">
        <v>1227</v>
      </c>
      <c r="E722" s="208" t="s">
        <v>1254</v>
      </c>
      <c r="F722" s="208" t="s">
        <v>27</v>
      </c>
      <c r="G722" s="208" t="s">
        <v>35</v>
      </c>
      <c r="H722" s="275">
        <v>393.82</v>
      </c>
    </row>
    <row r="723" spans="1:8" ht="12.75" customHeight="1" x14ac:dyDescent="0.2">
      <c r="A723" s="273">
        <v>2025</v>
      </c>
      <c r="B723" s="274" t="s">
        <v>484</v>
      </c>
      <c r="C723" s="274" t="s">
        <v>1255</v>
      </c>
      <c r="D723" s="208" t="s">
        <v>1256</v>
      </c>
      <c r="E723" s="208" t="s">
        <v>708</v>
      </c>
      <c r="F723" s="208" t="s">
        <v>27</v>
      </c>
      <c r="G723" s="208" t="s">
        <v>35</v>
      </c>
      <c r="H723" s="275">
        <v>28.56</v>
      </c>
    </row>
    <row r="724" spans="1:8" ht="12.75" customHeight="1" x14ac:dyDescent="0.2">
      <c r="A724" s="273">
        <v>2025</v>
      </c>
      <c r="B724" s="274" t="s">
        <v>484</v>
      </c>
      <c r="C724" s="274" t="s">
        <v>1249</v>
      </c>
      <c r="D724" s="208" t="s">
        <v>1250</v>
      </c>
      <c r="E724" s="208" t="s">
        <v>705</v>
      </c>
      <c r="F724" s="208" t="s">
        <v>27</v>
      </c>
      <c r="G724" s="208" t="s">
        <v>35</v>
      </c>
      <c r="H724" s="275">
        <v>1029.1400000000001</v>
      </c>
    </row>
    <row r="725" spans="1:8" ht="12.75" customHeight="1" x14ac:dyDescent="0.2">
      <c r="A725" s="273">
        <v>2025</v>
      </c>
      <c r="B725" s="274" t="s">
        <v>484</v>
      </c>
      <c r="C725" s="274" t="s">
        <v>1232</v>
      </c>
      <c r="D725" s="208" t="s">
        <v>1233</v>
      </c>
      <c r="E725" s="208" t="s">
        <v>1257</v>
      </c>
      <c r="F725" s="208" t="s">
        <v>27</v>
      </c>
      <c r="G725" s="208" t="s">
        <v>35</v>
      </c>
      <c r="H725" s="275">
        <v>54.79</v>
      </c>
    </row>
    <row r="726" spans="1:8" ht="12.75" customHeight="1" x14ac:dyDescent="0.2">
      <c r="A726" s="273">
        <v>2025</v>
      </c>
      <c r="B726" s="274" t="s">
        <v>485</v>
      </c>
      <c r="C726" s="274" t="s">
        <v>1255</v>
      </c>
      <c r="D726" s="208" t="s">
        <v>1256</v>
      </c>
      <c r="E726" s="208" t="s">
        <v>710</v>
      </c>
      <c r="F726" s="208" t="s">
        <v>27</v>
      </c>
      <c r="G726" s="208" t="s">
        <v>35</v>
      </c>
      <c r="H726" s="275">
        <v>428.23</v>
      </c>
    </row>
    <row r="727" spans="1:8" ht="12.75" customHeight="1" x14ac:dyDescent="0.2">
      <c r="A727" s="273">
        <v>2025</v>
      </c>
      <c r="B727" s="274" t="s">
        <v>1258</v>
      </c>
      <c r="C727" s="274" t="s">
        <v>1226</v>
      </c>
      <c r="D727" s="208" t="s">
        <v>1227</v>
      </c>
      <c r="E727" s="208" t="s">
        <v>1259</v>
      </c>
      <c r="F727" s="208" t="s">
        <v>27</v>
      </c>
      <c r="G727" s="208" t="s">
        <v>35</v>
      </c>
      <c r="H727" s="275">
        <v>393.82</v>
      </c>
    </row>
    <row r="728" spans="1:8" ht="12.75" customHeight="1" x14ac:dyDescent="0.2">
      <c r="A728" s="273">
        <v>2025</v>
      </c>
      <c r="B728" s="274" t="s">
        <v>499</v>
      </c>
      <c r="C728" s="274" t="s">
        <v>1255</v>
      </c>
      <c r="D728" s="208" t="s">
        <v>1256</v>
      </c>
      <c r="E728" s="208" t="s">
        <v>720</v>
      </c>
      <c r="F728" s="208" t="s">
        <v>27</v>
      </c>
      <c r="G728" s="208" t="s">
        <v>35</v>
      </c>
      <c r="H728" s="275">
        <v>356.86</v>
      </c>
    </row>
    <row r="729" spans="1:8" ht="12.75" customHeight="1" x14ac:dyDescent="0.2">
      <c r="A729" s="273">
        <v>2025</v>
      </c>
      <c r="B729" s="274" t="s">
        <v>499</v>
      </c>
      <c r="C729" s="274" t="s">
        <v>1249</v>
      </c>
      <c r="D729" s="208" t="s">
        <v>1250</v>
      </c>
      <c r="E729" s="208" t="s">
        <v>719</v>
      </c>
      <c r="F729" s="208" t="s">
        <v>27</v>
      </c>
      <c r="G729" s="208" t="s">
        <v>35</v>
      </c>
      <c r="H729" s="275">
        <v>1029.1400000000001</v>
      </c>
    </row>
    <row r="730" spans="1:8" ht="12.75" customHeight="1" x14ac:dyDescent="0.2">
      <c r="A730" s="273">
        <v>2025</v>
      </c>
      <c r="B730" s="274" t="s">
        <v>499</v>
      </c>
      <c r="C730" s="274" t="s">
        <v>1232</v>
      </c>
      <c r="D730" s="208" t="s">
        <v>1233</v>
      </c>
      <c r="E730" s="208" t="s">
        <v>1260</v>
      </c>
      <c r="F730" s="208" t="s">
        <v>27</v>
      </c>
      <c r="G730" s="208" t="s">
        <v>35</v>
      </c>
      <c r="H730" s="275">
        <v>54.79</v>
      </c>
    </row>
    <row r="731" spans="1:8" ht="12.75" customHeight="1" x14ac:dyDescent="0.2">
      <c r="A731" s="273">
        <v>2025</v>
      </c>
      <c r="B731" s="274" t="s">
        <v>1261</v>
      </c>
      <c r="C731" s="274" t="s">
        <v>1226</v>
      </c>
      <c r="D731" s="208" t="s">
        <v>1227</v>
      </c>
      <c r="E731" s="208" t="s">
        <v>1262</v>
      </c>
      <c r="F731" s="208" t="s">
        <v>27</v>
      </c>
      <c r="G731" s="208" t="s">
        <v>35</v>
      </c>
      <c r="H731" s="275">
        <v>393.82</v>
      </c>
    </row>
    <row r="732" spans="1:8" ht="12.75" customHeight="1" x14ac:dyDescent="0.2">
      <c r="A732" s="273">
        <v>2025</v>
      </c>
      <c r="B732" s="274" t="s">
        <v>1263</v>
      </c>
      <c r="C732" s="274" t="s">
        <v>1229</v>
      </c>
      <c r="D732" s="208" t="s">
        <v>1230</v>
      </c>
      <c r="E732" s="208" t="s">
        <v>1264</v>
      </c>
      <c r="F732" s="208" t="s">
        <v>27</v>
      </c>
      <c r="G732" s="208" t="s">
        <v>35</v>
      </c>
      <c r="H732" s="275">
        <v>297.33999999999997</v>
      </c>
    </row>
    <row r="733" spans="1:8" ht="12.75" customHeight="1" x14ac:dyDescent="0.2">
      <c r="A733" s="273">
        <v>2025</v>
      </c>
      <c r="B733" s="274" t="s">
        <v>510</v>
      </c>
      <c r="C733" s="274" t="s">
        <v>1255</v>
      </c>
      <c r="D733" s="208" t="s">
        <v>1256</v>
      </c>
      <c r="E733" s="208" t="s">
        <v>1265</v>
      </c>
      <c r="F733" s="208" t="s">
        <v>27</v>
      </c>
      <c r="G733" s="208" t="s">
        <v>35</v>
      </c>
      <c r="H733" s="275">
        <v>71.37</v>
      </c>
    </row>
    <row r="734" spans="1:8" ht="12.75" customHeight="1" x14ac:dyDescent="0.2">
      <c r="A734" s="273">
        <v>2025</v>
      </c>
      <c r="B734" s="274" t="s">
        <v>510</v>
      </c>
      <c r="C734" s="274" t="s">
        <v>1229</v>
      </c>
      <c r="D734" s="208" t="s">
        <v>1230</v>
      </c>
      <c r="E734" s="208" t="s">
        <v>1266</v>
      </c>
      <c r="F734" s="208" t="s">
        <v>27</v>
      </c>
      <c r="G734" s="208" t="s">
        <v>35</v>
      </c>
      <c r="H734" s="276">
        <v>-35.950000000000003</v>
      </c>
    </row>
    <row r="735" spans="1:8" ht="12.75" customHeight="1" x14ac:dyDescent="0.2">
      <c r="A735" s="273">
        <v>2025</v>
      </c>
      <c r="B735" s="274" t="s">
        <v>510</v>
      </c>
      <c r="C735" s="274" t="s">
        <v>1229</v>
      </c>
      <c r="D735" s="208" t="s">
        <v>1230</v>
      </c>
      <c r="E735" s="208" t="s">
        <v>1264</v>
      </c>
      <c r="F735" s="208" t="s">
        <v>27</v>
      </c>
      <c r="G735" s="208" t="s">
        <v>35</v>
      </c>
      <c r="H735" s="276">
        <v>-297.33999999999997</v>
      </c>
    </row>
    <row r="736" spans="1:8" ht="12.75" customHeight="1" x14ac:dyDescent="0.2">
      <c r="A736" s="273">
        <v>2025</v>
      </c>
      <c r="B736" s="274" t="s">
        <v>512</v>
      </c>
      <c r="C736" s="274" t="s">
        <v>1255</v>
      </c>
      <c r="D736" s="208" t="s">
        <v>1256</v>
      </c>
      <c r="E736" s="208" t="s">
        <v>734</v>
      </c>
      <c r="F736" s="208" t="s">
        <v>27</v>
      </c>
      <c r="G736" s="208" t="s">
        <v>35</v>
      </c>
      <c r="H736" s="275">
        <v>356.86</v>
      </c>
    </row>
    <row r="737" spans="1:8" ht="12.75" customHeight="1" x14ac:dyDescent="0.2">
      <c r="A737" s="273">
        <v>2025</v>
      </c>
      <c r="B737" s="274" t="s">
        <v>512</v>
      </c>
      <c r="C737" s="274" t="s">
        <v>1249</v>
      </c>
      <c r="D737" s="208" t="s">
        <v>1250</v>
      </c>
      <c r="E737" s="208" t="s">
        <v>719</v>
      </c>
      <c r="F737" s="208" t="s">
        <v>27</v>
      </c>
      <c r="G737" s="208" t="s">
        <v>35</v>
      </c>
      <c r="H737" s="275">
        <v>1029.1400000000001</v>
      </c>
    </row>
    <row r="738" spans="1:8" ht="12.75" customHeight="1" x14ac:dyDescent="0.2">
      <c r="A738" s="273">
        <v>2025</v>
      </c>
      <c r="B738" s="274" t="s">
        <v>512</v>
      </c>
      <c r="C738" s="274" t="s">
        <v>1229</v>
      </c>
      <c r="D738" s="208" t="s">
        <v>1230</v>
      </c>
      <c r="E738" s="208" t="s">
        <v>1267</v>
      </c>
      <c r="F738" s="208" t="s">
        <v>27</v>
      </c>
      <c r="G738" s="208" t="s">
        <v>35</v>
      </c>
      <c r="H738" s="275">
        <v>297.33999999999997</v>
      </c>
    </row>
    <row r="739" spans="1:8" ht="12.75" customHeight="1" x14ac:dyDescent="0.2">
      <c r="A739" s="273">
        <v>2025</v>
      </c>
      <c r="B739" s="274" t="s">
        <v>512</v>
      </c>
      <c r="C739" s="274" t="s">
        <v>1229</v>
      </c>
      <c r="D739" s="208" t="s">
        <v>1230</v>
      </c>
      <c r="E739" s="208" t="s">
        <v>1268</v>
      </c>
      <c r="F739" s="208" t="s">
        <v>27</v>
      </c>
      <c r="G739" s="208" t="s">
        <v>35</v>
      </c>
      <c r="H739" s="275">
        <v>35.950000000000003</v>
      </c>
    </row>
    <row r="740" spans="1:8" ht="12.75" customHeight="1" x14ac:dyDescent="0.2">
      <c r="A740" s="273">
        <v>2025</v>
      </c>
      <c r="B740" s="274" t="s">
        <v>512</v>
      </c>
      <c r="C740" s="274" t="s">
        <v>1232</v>
      </c>
      <c r="D740" s="208" t="s">
        <v>1233</v>
      </c>
      <c r="E740" s="208" t="s">
        <v>1269</v>
      </c>
      <c r="F740" s="208" t="s">
        <v>27</v>
      </c>
      <c r="G740" s="208" t="s">
        <v>35</v>
      </c>
      <c r="H740" s="275">
        <v>54.79</v>
      </c>
    </row>
    <row r="741" spans="1:8" ht="12.75" customHeight="1" x14ac:dyDescent="0.2">
      <c r="A741" s="273">
        <v>2025</v>
      </c>
      <c r="B741" s="274" t="s">
        <v>1270</v>
      </c>
      <c r="C741" s="274" t="s">
        <v>1226</v>
      </c>
      <c r="D741" s="208" t="s">
        <v>1227</v>
      </c>
      <c r="E741" s="208" t="s">
        <v>1271</v>
      </c>
      <c r="F741" s="208" t="s">
        <v>27</v>
      </c>
      <c r="G741" s="208" t="s">
        <v>35</v>
      </c>
      <c r="H741" s="275">
        <v>393.82</v>
      </c>
    </row>
    <row r="742" spans="1:8" ht="12.75" customHeight="1" x14ac:dyDescent="0.2">
      <c r="A742" s="273">
        <v>2025</v>
      </c>
      <c r="B742" s="274" t="s">
        <v>530</v>
      </c>
      <c r="C742" s="274" t="s">
        <v>1255</v>
      </c>
      <c r="D742" s="208" t="s">
        <v>1256</v>
      </c>
      <c r="E742" s="208" t="s">
        <v>734</v>
      </c>
      <c r="F742" s="208" t="s">
        <v>27</v>
      </c>
      <c r="G742" s="208" t="s">
        <v>35</v>
      </c>
      <c r="H742" s="275">
        <v>356.86</v>
      </c>
    </row>
    <row r="743" spans="1:8" ht="12.75" customHeight="1" x14ac:dyDescent="0.2">
      <c r="A743" s="273">
        <v>2025</v>
      </c>
      <c r="B743" s="274" t="s">
        <v>530</v>
      </c>
      <c r="C743" s="274" t="s">
        <v>1249</v>
      </c>
      <c r="D743" s="208" t="s">
        <v>1250</v>
      </c>
      <c r="E743" s="208" t="s">
        <v>719</v>
      </c>
      <c r="F743" s="208" t="s">
        <v>27</v>
      </c>
      <c r="G743" s="208" t="s">
        <v>35</v>
      </c>
      <c r="H743" s="275">
        <v>1029.1400000000001</v>
      </c>
    </row>
    <row r="744" spans="1:8" ht="12.75" customHeight="1" x14ac:dyDescent="0.2">
      <c r="A744" s="273">
        <v>2025</v>
      </c>
      <c r="B744" s="274" t="s">
        <v>530</v>
      </c>
      <c r="C744" s="274" t="s">
        <v>1232</v>
      </c>
      <c r="D744" s="208" t="s">
        <v>1233</v>
      </c>
      <c r="E744" s="208" t="s">
        <v>1272</v>
      </c>
      <c r="F744" s="208" t="s">
        <v>27</v>
      </c>
      <c r="G744" s="208" t="s">
        <v>35</v>
      </c>
      <c r="H744" s="275">
        <v>54.79</v>
      </c>
    </row>
    <row r="745" spans="1:8" ht="12.75" customHeight="1" x14ac:dyDescent="0.2">
      <c r="A745" s="273">
        <v>2025</v>
      </c>
      <c r="B745" s="274" t="s">
        <v>1273</v>
      </c>
      <c r="C745" s="274" t="s">
        <v>1226</v>
      </c>
      <c r="D745" s="208" t="s">
        <v>1227</v>
      </c>
      <c r="E745" s="208" t="s">
        <v>1274</v>
      </c>
      <c r="F745" s="208" t="s">
        <v>27</v>
      </c>
      <c r="G745" s="208" t="s">
        <v>35</v>
      </c>
      <c r="H745" s="275">
        <v>393.82</v>
      </c>
    </row>
    <row r="746" spans="1:8" ht="12.75" customHeight="1" x14ac:dyDescent="0.2">
      <c r="A746" s="273">
        <v>2025</v>
      </c>
      <c r="B746" s="274" t="s">
        <v>538</v>
      </c>
      <c r="C746" s="274" t="s">
        <v>1255</v>
      </c>
      <c r="D746" s="208" t="s">
        <v>1256</v>
      </c>
      <c r="E746" s="208" t="s">
        <v>753</v>
      </c>
      <c r="F746" s="208" t="s">
        <v>27</v>
      </c>
      <c r="G746" s="208" t="s">
        <v>35</v>
      </c>
      <c r="H746" s="275">
        <v>356.86</v>
      </c>
    </row>
    <row r="747" spans="1:8" ht="12.75" customHeight="1" x14ac:dyDescent="0.2">
      <c r="A747" s="273">
        <v>2025</v>
      </c>
      <c r="B747" s="274" t="s">
        <v>538</v>
      </c>
      <c r="C747" s="274" t="s">
        <v>1249</v>
      </c>
      <c r="D747" s="208" t="s">
        <v>1250</v>
      </c>
      <c r="E747" s="208" t="s">
        <v>719</v>
      </c>
      <c r="F747" s="208" t="s">
        <v>27</v>
      </c>
      <c r="G747" s="208" t="s">
        <v>35</v>
      </c>
      <c r="H747" s="275">
        <v>1029.1400000000001</v>
      </c>
    </row>
    <row r="748" spans="1:8" ht="12.75" customHeight="1" x14ac:dyDescent="0.2">
      <c r="A748" s="273">
        <v>2025</v>
      </c>
      <c r="B748" s="274" t="s">
        <v>538</v>
      </c>
      <c r="C748" s="274" t="s">
        <v>1232</v>
      </c>
      <c r="D748" s="208" t="s">
        <v>1233</v>
      </c>
      <c r="E748" s="208" t="s">
        <v>1275</v>
      </c>
      <c r="F748" s="208" t="s">
        <v>27</v>
      </c>
      <c r="G748" s="208" t="s">
        <v>35</v>
      </c>
      <c r="H748" s="275">
        <v>54.79</v>
      </c>
    </row>
    <row r="749" spans="1:8" ht="12.75" customHeight="1" x14ac:dyDescent="0.2">
      <c r="A749" s="273">
        <v>2025</v>
      </c>
      <c r="B749" s="274" t="s">
        <v>542</v>
      </c>
      <c r="C749" s="274" t="s">
        <v>1226</v>
      </c>
      <c r="D749" s="208" t="s">
        <v>1227</v>
      </c>
      <c r="E749" s="208" t="s">
        <v>1276</v>
      </c>
      <c r="F749" s="208" t="s">
        <v>27</v>
      </c>
      <c r="G749" s="208" t="s">
        <v>35</v>
      </c>
      <c r="H749" s="275">
        <v>393.82</v>
      </c>
    </row>
    <row r="750" spans="1:8" ht="12.75" customHeight="1" x14ac:dyDescent="0.2">
      <c r="A750" s="273">
        <v>2025</v>
      </c>
      <c r="B750" s="274" t="s">
        <v>544</v>
      </c>
      <c r="C750" s="274" t="s">
        <v>1277</v>
      </c>
      <c r="D750" s="208" t="s">
        <v>1278</v>
      </c>
      <c r="E750" s="208" t="s">
        <v>1279</v>
      </c>
      <c r="F750" s="208" t="s">
        <v>27</v>
      </c>
      <c r="G750" s="208" t="s">
        <v>35</v>
      </c>
      <c r="H750" s="275">
        <v>51.67</v>
      </c>
    </row>
    <row r="751" spans="1:8" ht="12.75" customHeight="1" x14ac:dyDescent="0.2">
      <c r="A751" s="273">
        <v>2025</v>
      </c>
      <c r="B751" s="274" t="s">
        <v>760</v>
      </c>
      <c r="C751" s="274" t="s">
        <v>1229</v>
      </c>
      <c r="D751" s="208" t="s">
        <v>1230</v>
      </c>
      <c r="E751" s="208" t="s">
        <v>761</v>
      </c>
      <c r="F751" s="208" t="s">
        <v>27</v>
      </c>
      <c r="G751" s="208" t="s">
        <v>35</v>
      </c>
      <c r="H751" s="275">
        <v>274.89999999999998</v>
      </c>
    </row>
    <row r="752" spans="1:8" ht="12.75" customHeight="1" x14ac:dyDescent="0.2">
      <c r="A752" s="273">
        <v>2025</v>
      </c>
      <c r="B752" s="274" t="s">
        <v>1280</v>
      </c>
      <c r="C752" s="274" t="s">
        <v>1277</v>
      </c>
      <c r="D752" s="208" t="s">
        <v>1278</v>
      </c>
      <c r="E752" s="208" t="s">
        <v>1279</v>
      </c>
      <c r="F752" s="208" t="s">
        <v>27</v>
      </c>
      <c r="G752" s="208" t="s">
        <v>35</v>
      </c>
      <c r="H752" s="275">
        <v>36.67</v>
      </c>
    </row>
    <row r="753" spans="1:8" ht="12.75" customHeight="1" x14ac:dyDescent="0.2">
      <c r="A753" s="273">
        <v>2025</v>
      </c>
      <c r="B753" s="274" t="s">
        <v>762</v>
      </c>
      <c r="C753" s="274" t="s">
        <v>1255</v>
      </c>
      <c r="D753" s="208" t="s">
        <v>1256</v>
      </c>
      <c r="E753" s="208" t="s">
        <v>763</v>
      </c>
      <c r="F753" s="208" t="s">
        <v>27</v>
      </c>
      <c r="G753" s="208" t="s">
        <v>35</v>
      </c>
      <c r="H753" s="275">
        <v>356.86</v>
      </c>
    </row>
    <row r="754" spans="1:8" ht="12.75" customHeight="1" x14ac:dyDescent="0.2">
      <c r="A754" s="273">
        <v>2025</v>
      </c>
      <c r="B754" s="274" t="s">
        <v>762</v>
      </c>
      <c r="C754" s="274" t="s">
        <v>1249</v>
      </c>
      <c r="D754" s="208" t="s">
        <v>1250</v>
      </c>
      <c r="E754" s="208" t="s">
        <v>719</v>
      </c>
      <c r="F754" s="208" t="s">
        <v>27</v>
      </c>
      <c r="G754" s="208" t="s">
        <v>35</v>
      </c>
      <c r="H754" s="275">
        <v>1029.1400000000001</v>
      </c>
    </row>
    <row r="755" spans="1:8" ht="12.75" customHeight="1" x14ac:dyDescent="0.2">
      <c r="A755" s="273">
        <v>2025</v>
      </c>
      <c r="B755" s="274" t="s">
        <v>762</v>
      </c>
      <c r="C755" s="274" t="s">
        <v>1232</v>
      </c>
      <c r="D755" s="208" t="s">
        <v>1233</v>
      </c>
      <c r="E755" s="208" t="s">
        <v>1281</v>
      </c>
      <c r="F755" s="208" t="s">
        <v>27</v>
      </c>
      <c r="G755" s="208" t="s">
        <v>35</v>
      </c>
      <c r="H755" s="275">
        <v>54.79</v>
      </c>
    </row>
    <row r="756" spans="1:8" ht="12.75" customHeight="1" x14ac:dyDescent="0.2">
      <c r="A756" s="273">
        <v>2025</v>
      </c>
      <c r="B756" s="274" t="s">
        <v>765</v>
      </c>
      <c r="C756" s="274" t="s">
        <v>1226</v>
      </c>
      <c r="D756" s="208" t="s">
        <v>1227</v>
      </c>
      <c r="E756" s="208" t="s">
        <v>1282</v>
      </c>
      <c r="F756" s="208" t="s">
        <v>27</v>
      </c>
      <c r="G756" s="208" t="s">
        <v>35</v>
      </c>
      <c r="H756" s="275">
        <v>393.82</v>
      </c>
    </row>
    <row r="757" spans="1:8" ht="12.75" customHeight="1" x14ac:dyDescent="0.2">
      <c r="A757" s="273">
        <v>2025</v>
      </c>
      <c r="B757" s="274" t="s">
        <v>779</v>
      </c>
      <c r="C757" s="274" t="s">
        <v>1255</v>
      </c>
      <c r="D757" s="208" t="s">
        <v>1256</v>
      </c>
      <c r="E757" s="208" t="s">
        <v>780</v>
      </c>
      <c r="F757" s="208" t="s">
        <v>27</v>
      </c>
      <c r="G757" s="208" t="s">
        <v>35</v>
      </c>
      <c r="H757" s="275">
        <v>356.86</v>
      </c>
    </row>
    <row r="758" spans="1:8" ht="12.75" customHeight="1" x14ac:dyDescent="0.2">
      <c r="A758" s="273">
        <v>2025</v>
      </c>
      <c r="B758" s="274" t="s">
        <v>779</v>
      </c>
      <c r="C758" s="274" t="s">
        <v>1249</v>
      </c>
      <c r="D758" s="208" t="s">
        <v>1250</v>
      </c>
      <c r="E758" s="208" t="s">
        <v>719</v>
      </c>
      <c r="F758" s="208" t="s">
        <v>27</v>
      </c>
      <c r="G758" s="208" t="s">
        <v>35</v>
      </c>
      <c r="H758" s="275">
        <v>1029.1400000000001</v>
      </c>
    </row>
    <row r="759" spans="1:8" ht="12.75" customHeight="1" x14ac:dyDescent="0.2">
      <c r="A759" s="273">
        <v>2025</v>
      </c>
      <c r="B759" s="274" t="s">
        <v>779</v>
      </c>
      <c r="C759" s="274" t="s">
        <v>1232</v>
      </c>
      <c r="D759" s="208" t="s">
        <v>1233</v>
      </c>
      <c r="E759" s="208" t="s">
        <v>1283</v>
      </c>
      <c r="F759" s="208" t="s">
        <v>27</v>
      </c>
      <c r="G759" s="208" t="s">
        <v>35</v>
      </c>
      <c r="H759" s="275">
        <v>54.79</v>
      </c>
    </row>
    <row r="760" spans="1:8" ht="12.75" customHeight="1" x14ac:dyDescent="0.2">
      <c r="A760" s="273">
        <v>2025</v>
      </c>
      <c r="B760" s="274" t="s">
        <v>1284</v>
      </c>
      <c r="C760" s="274" t="s">
        <v>1226</v>
      </c>
      <c r="D760" s="208" t="s">
        <v>1227</v>
      </c>
      <c r="E760" s="208" t="s">
        <v>1285</v>
      </c>
      <c r="F760" s="208" t="s">
        <v>27</v>
      </c>
      <c r="G760" s="208" t="s">
        <v>35</v>
      </c>
      <c r="H760" s="275">
        <v>393.82</v>
      </c>
    </row>
    <row r="761" spans="1:8" ht="12.75" customHeight="1" x14ac:dyDescent="0.2">
      <c r="A761" s="273">
        <v>2025</v>
      </c>
      <c r="B761" s="274" t="s">
        <v>790</v>
      </c>
      <c r="C761" s="274" t="s">
        <v>1255</v>
      </c>
      <c r="D761" s="208" t="s">
        <v>1256</v>
      </c>
      <c r="E761" s="208" t="s">
        <v>791</v>
      </c>
      <c r="F761" s="208" t="s">
        <v>27</v>
      </c>
      <c r="G761" s="208" t="s">
        <v>35</v>
      </c>
      <c r="H761" s="275">
        <v>356.86</v>
      </c>
    </row>
    <row r="762" spans="1:8" ht="12.75" customHeight="1" x14ac:dyDescent="0.2">
      <c r="A762" s="273">
        <v>2025</v>
      </c>
      <c r="B762" s="274" t="s">
        <v>790</v>
      </c>
      <c r="C762" s="274" t="s">
        <v>1249</v>
      </c>
      <c r="D762" s="208" t="s">
        <v>1250</v>
      </c>
      <c r="E762" s="208" t="s">
        <v>719</v>
      </c>
      <c r="F762" s="208" t="s">
        <v>27</v>
      </c>
      <c r="G762" s="208" t="s">
        <v>35</v>
      </c>
      <c r="H762" s="275">
        <v>1029.1400000000001</v>
      </c>
    </row>
    <row r="763" spans="1:8" ht="12.75" customHeight="1" x14ac:dyDescent="0.2">
      <c r="A763" s="273">
        <v>2025</v>
      </c>
      <c r="B763" s="274" t="s">
        <v>790</v>
      </c>
      <c r="C763" s="274" t="s">
        <v>1232</v>
      </c>
      <c r="D763" s="208" t="s">
        <v>1233</v>
      </c>
      <c r="E763" s="208" t="s">
        <v>1286</v>
      </c>
      <c r="F763" s="208" t="s">
        <v>27</v>
      </c>
      <c r="G763" s="208" t="s">
        <v>35</v>
      </c>
      <c r="H763" s="275">
        <v>54.79</v>
      </c>
    </row>
    <row r="764" spans="1:8" ht="12.75" customHeight="1" x14ac:dyDescent="0.2">
      <c r="A764" s="273">
        <v>2025</v>
      </c>
      <c r="B764" s="274" t="s">
        <v>1287</v>
      </c>
      <c r="C764" s="274" t="s">
        <v>1226</v>
      </c>
      <c r="D764" s="208" t="s">
        <v>1227</v>
      </c>
      <c r="E764" s="208" t="s">
        <v>1288</v>
      </c>
      <c r="F764" s="208" t="s">
        <v>27</v>
      </c>
      <c r="G764" s="208" t="s">
        <v>35</v>
      </c>
      <c r="H764" s="275">
        <v>393.82</v>
      </c>
    </row>
    <row r="765" spans="1:8" ht="12.75" customHeight="1" x14ac:dyDescent="0.2">
      <c r="A765" s="273">
        <v>2025</v>
      </c>
      <c r="B765" s="274" t="s">
        <v>581</v>
      </c>
      <c r="C765" s="274" t="s">
        <v>1255</v>
      </c>
      <c r="D765" s="208" t="s">
        <v>1256</v>
      </c>
      <c r="E765" s="208" t="s">
        <v>1289</v>
      </c>
      <c r="F765" s="208" t="s">
        <v>27</v>
      </c>
      <c r="G765" s="208" t="s">
        <v>35</v>
      </c>
      <c r="H765" s="275">
        <v>428.22</v>
      </c>
    </row>
    <row r="766" spans="1:8" ht="12.75" customHeight="1" x14ac:dyDescent="0.2">
      <c r="A766" s="273">
        <v>2025</v>
      </c>
      <c r="B766" s="274" t="s">
        <v>581</v>
      </c>
      <c r="C766" s="274" t="s">
        <v>1229</v>
      </c>
      <c r="D766" s="208" t="s">
        <v>1230</v>
      </c>
      <c r="E766" s="208" t="s">
        <v>1290</v>
      </c>
      <c r="F766" s="208" t="s">
        <v>27</v>
      </c>
      <c r="G766" s="208" t="s">
        <v>35</v>
      </c>
      <c r="H766" s="276">
        <v>-30.9</v>
      </c>
    </row>
    <row r="767" spans="1:8" ht="12.75" customHeight="1" x14ac:dyDescent="0.2">
      <c r="A767" s="273">
        <v>2025</v>
      </c>
      <c r="B767" s="274" t="s">
        <v>581</v>
      </c>
      <c r="C767" s="274" t="s">
        <v>1229</v>
      </c>
      <c r="D767" s="208" t="s">
        <v>1230</v>
      </c>
      <c r="E767" s="208" t="s">
        <v>810</v>
      </c>
      <c r="F767" s="208" t="s">
        <v>27</v>
      </c>
      <c r="G767" s="208" t="s">
        <v>35</v>
      </c>
      <c r="H767" s="276">
        <v>-30</v>
      </c>
    </row>
    <row r="768" spans="1:8" ht="12.75" customHeight="1" x14ac:dyDescent="0.2">
      <c r="A768" s="273">
        <v>2025</v>
      </c>
      <c r="B768" s="274" t="s">
        <v>429</v>
      </c>
      <c r="C768" s="274" t="s">
        <v>1291</v>
      </c>
      <c r="D768" s="208" t="s">
        <v>1292</v>
      </c>
      <c r="E768" s="208" t="s">
        <v>653</v>
      </c>
      <c r="F768" s="208" t="s">
        <v>27</v>
      </c>
      <c r="G768" s="208" t="s">
        <v>365</v>
      </c>
      <c r="H768" s="275">
        <v>14.1</v>
      </c>
    </row>
    <row r="769" spans="1:8" ht="12.75" customHeight="1" x14ac:dyDescent="0.2">
      <c r="A769" s="273">
        <v>2025</v>
      </c>
      <c r="B769" s="274" t="s">
        <v>874</v>
      </c>
      <c r="C769" s="274" t="s">
        <v>1293</v>
      </c>
      <c r="D769" s="208" t="s">
        <v>1294</v>
      </c>
      <c r="E769" s="208" t="s">
        <v>1295</v>
      </c>
      <c r="F769" s="208" t="s">
        <v>27</v>
      </c>
      <c r="G769" s="208" t="s">
        <v>365</v>
      </c>
      <c r="H769" s="275">
        <v>14</v>
      </c>
    </row>
    <row r="770" spans="1:8" ht="12.75" customHeight="1" x14ac:dyDescent="0.2">
      <c r="A770" s="273">
        <v>2025</v>
      </c>
      <c r="B770" s="274" t="s">
        <v>1236</v>
      </c>
      <c r="C770" s="274" t="s">
        <v>1293</v>
      </c>
      <c r="D770" s="208" t="s">
        <v>1294</v>
      </c>
      <c r="E770" s="208" t="s">
        <v>1296</v>
      </c>
      <c r="F770" s="208" t="s">
        <v>27</v>
      </c>
      <c r="G770" s="208" t="s">
        <v>365</v>
      </c>
      <c r="H770" s="275">
        <v>0.99</v>
      </c>
    </row>
    <row r="771" spans="1:8" ht="12.75" customHeight="1" x14ac:dyDescent="0.2">
      <c r="A771" s="273">
        <v>2025</v>
      </c>
      <c r="B771" s="274" t="s">
        <v>1236</v>
      </c>
      <c r="C771" s="274" t="s">
        <v>1293</v>
      </c>
      <c r="D771" s="208" t="s">
        <v>1294</v>
      </c>
      <c r="E771" s="208" t="s">
        <v>1297</v>
      </c>
      <c r="F771" s="208" t="s">
        <v>27</v>
      </c>
      <c r="G771" s="208" t="s">
        <v>365</v>
      </c>
      <c r="H771" s="275">
        <v>136</v>
      </c>
    </row>
    <row r="772" spans="1:8" ht="12.75" customHeight="1" x14ac:dyDescent="0.2">
      <c r="A772" s="273">
        <v>2025</v>
      </c>
      <c r="B772" s="274" t="s">
        <v>447</v>
      </c>
      <c r="C772" s="274" t="s">
        <v>1293</v>
      </c>
      <c r="D772" s="208" t="s">
        <v>1294</v>
      </c>
      <c r="E772" s="208" t="s">
        <v>1298</v>
      </c>
      <c r="F772" s="208" t="s">
        <v>27</v>
      </c>
      <c r="G772" s="208" t="s">
        <v>365</v>
      </c>
      <c r="H772" s="275">
        <v>11.99</v>
      </c>
    </row>
    <row r="773" spans="1:8" ht="12.75" customHeight="1" x14ac:dyDescent="0.2">
      <c r="A773" s="273">
        <v>2025</v>
      </c>
      <c r="B773" s="274" t="s">
        <v>1299</v>
      </c>
      <c r="C773" s="274" t="s">
        <v>1293</v>
      </c>
      <c r="D773" s="208" t="s">
        <v>1294</v>
      </c>
      <c r="E773" s="208" t="s">
        <v>1300</v>
      </c>
      <c r="F773" s="208" t="s">
        <v>27</v>
      </c>
      <c r="G773" s="208" t="s">
        <v>365</v>
      </c>
      <c r="H773" s="275">
        <v>39.04</v>
      </c>
    </row>
    <row r="774" spans="1:8" ht="12.75" customHeight="1" x14ac:dyDescent="0.2">
      <c r="A774" s="273">
        <v>2025</v>
      </c>
      <c r="B774" s="274" t="s">
        <v>1301</v>
      </c>
      <c r="C774" s="274" t="s">
        <v>1293</v>
      </c>
      <c r="D774" s="208" t="s">
        <v>1294</v>
      </c>
      <c r="E774" s="208" t="s">
        <v>1302</v>
      </c>
      <c r="F774" s="208" t="s">
        <v>27</v>
      </c>
      <c r="G774" s="208" t="s">
        <v>365</v>
      </c>
      <c r="H774" s="275">
        <v>29.13</v>
      </c>
    </row>
    <row r="775" spans="1:8" ht="12.75" customHeight="1" x14ac:dyDescent="0.2">
      <c r="A775" s="273">
        <v>2025</v>
      </c>
      <c r="B775" s="274" t="s">
        <v>1303</v>
      </c>
      <c r="C775" s="274" t="s">
        <v>1293</v>
      </c>
      <c r="D775" s="208" t="s">
        <v>1294</v>
      </c>
      <c r="E775" s="208" t="s">
        <v>1304</v>
      </c>
      <c r="F775" s="208" t="s">
        <v>27</v>
      </c>
      <c r="G775" s="208" t="s">
        <v>365</v>
      </c>
      <c r="H775" s="275">
        <v>16.79</v>
      </c>
    </row>
    <row r="776" spans="1:8" ht="12.75" customHeight="1" x14ac:dyDescent="0.2">
      <c r="A776" s="273">
        <v>2025</v>
      </c>
      <c r="B776" s="274" t="s">
        <v>821</v>
      </c>
      <c r="C776" s="274" t="s">
        <v>1293</v>
      </c>
      <c r="D776" s="208" t="s">
        <v>1294</v>
      </c>
      <c r="E776" s="208" t="s">
        <v>1305</v>
      </c>
      <c r="F776" s="208" t="s">
        <v>27</v>
      </c>
      <c r="G776" s="208" t="s">
        <v>365</v>
      </c>
      <c r="H776" s="275">
        <v>19.3</v>
      </c>
    </row>
    <row r="777" spans="1:8" ht="12.75" customHeight="1" x14ac:dyDescent="0.2">
      <c r="A777" s="273">
        <v>2025</v>
      </c>
      <c r="B777" s="274" t="s">
        <v>1306</v>
      </c>
      <c r="C777" s="274" t="s">
        <v>1307</v>
      </c>
      <c r="D777" s="208" t="s">
        <v>1308</v>
      </c>
      <c r="E777" s="208" t="s">
        <v>1309</v>
      </c>
      <c r="F777" s="208" t="s">
        <v>27</v>
      </c>
      <c r="G777" s="208" t="s">
        <v>365</v>
      </c>
      <c r="H777" s="275">
        <v>16.66</v>
      </c>
    </row>
    <row r="778" spans="1:8" ht="12.75" customHeight="1" x14ac:dyDescent="0.2">
      <c r="A778" s="273">
        <v>2025</v>
      </c>
      <c r="B778" s="274" t="s">
        <v>877</v>
      </c>
      <c r="C778" s="274" t="s">
        <v>1293</v>
      </c>
      <c r="D778" s="208" t="s">
        <v>1294</v>
      </c>
      <c r="E778" s="208" t="s">
        <v>1310</v>
      </c>
      <c r="F778" s="208" t="s">
        <v>27</v>
      </c>
      <c r="G778" s="208" t="s">
        <v>365</v>
      </c>
      <c r="H778" s="275">
        <v>14</v>
      </c>
    </row>
    <row r="779" spans="1:8" ht="12.75" customHeight="1" x14ac:dyDescent="0.2">
      <c r="A779" s="273">
        <v>2025</v>
      </c>
      <c r="B779" s="274" t="s">
        <v>1241</v>
      </c>
      <c r="C779" s="274" t="s">
        <v>1293</v>
      </c>
      <c r="D779" s="208" t="s">
        <v>1294</v>
      </c>
      <c r="E779" s="208" t="s">
        <v>1311</v>
      </c>
      <c r="F779" s="208" t="s">
        <v>27</v>
      </c>
      <c r="G779" s="208" t="s">
        <v>365</v>
      </c>
      <c r="H779" s="275">
        <v>156</v>
      </c>
    </row>
    <row r="780" spans="1:8" ht="12.75" customHeight="1" x14ac:dyDescent="0.2">
      <c r="A780" s="273">
        <v>2025</v>
      </c>
      <c r="B780" s="274" t="s">
        <v>671</v>
      </c>
      <c r="C780" s="274" t="s">
        <v>1293</v>
      </c>
      <c r="D780" s="208" t="s">
        <v>1294</v>
      </c>
      <c r="E780" s="208" t="s">
        <v>1312</v>
      </c>
      <c r="F780" s="208" t="s">
        <v>27</v>
      </c>
      <c r="G780" s="208" t="s">
        <v>365</v>
      </c>
      <c r="H780" s="275">
        <v>0.99</v>
      </c>
    </row>
    <row r="781" spans="1:8" ht="12.75" customHeight="1" x14ac:dyDescent="0.2">
      <c r="A781" s="273">
        <v>2025</v>
      </c>
      <c r="B781" s="274" t="s">
        <v>671</v>
      </c>
      <c r="C781" s="274" t="s">
        <v>1293</v>
      </c>
      <c r="D781" s="208" t="s">
        <v>1294</v>
      </c>
      <c r="E781" s="208" t="s">
        <v>1313</v>
      </c>
      <c r="F781" s="208" t="s">
        <v>27</v>
      </c>
      <c r="G781" s="208" t="s">
        <v>365</v>
      </c>
      <c r="H781" s="275">
        <v>11.99</v>
      </c>
    </row>
    <row r="782" spans="1:8" ht="12.75" customHeight="1" x14ac:dyDescent="0.2">
      <c r="A782" s="273">
        <v>2025</v>
      </c>
      <c r="B782" s="274" t="s">
        <v>1314</v>
      </c>
      <c r="C782" s="274" t="s">
        <v>1293</v>
      </c>
      <c r="D782" s="208" t="s">
        <v>1294</v>
      </c>
      <c r="E782" s="208" t="s">
        <v>1315</v>
      </c>
      <c r="F782" s="208" t="s">
        <v>27</v>
      </c>
      <c r="G782" s="208" t="s">
        <v>365</v>
      </c>
      <c r="H782" s="275">
        <v>7.99</v>
      </c>
    </row>
    <row r="783" spans="1:8" ht="12.75" customHeight="1" x14ac:dyDescent="0.2">
      <c r="A783" s="273">
        <v>2025</v>
      </c>
      <c r="B783" s="274" t="s">
        <v>1316</v>
      </c>
      <c r="C783" s="274" t="s">
        <v>1293</v>
      </c>
      <c r="D783" s="208" t="s">
        <v>1294</v>
      </c>
      <c r="E783" s="208" t="s">
        <v>1317</v>
      </c>
      <c r="F783" s="208" t="s">
        <v>27</v>
      </c>
      <c r="G783" s="208" t="s">
        <v>365</v>
      </c>
      <c r="H783" s="275">
        <v>39.04</v>
      </c>
    </row>
    <row r="784" spans="1:8" ht="12.75" customHeight="1" x14ac:dyDescent="0.2">
      <c r="A784" s="273">
        <v>2025</v>
      </c>
      <c r="B784" s="274" t="s">
        <v>1318</v>
      </c>
      <c r="C784" s="274" t="s">
        <v>1307</v>
      </c>
      <c r="D784" s="208" t="s">
        <v>1308</v>
      </c>
      <c r="E784" s="208" t="s">
        <v>1319</v>
      </c>
      <c r="F784" s="208" t="s">
        <v>27</v>
      </c>
      <c r="G784" s="208" t="s">
        <v>365</v>
      </c>
      <c r="H784" s="275">
        <v>880.83</v>
      </c>
    </row>
    <row r="785" spans="1:8" ht="12.75" customHeight="1" x14ac:dyDescent="0.2">
      <c r="A785" s="273">
        <v>2025</v>
      </c>
      <c r="B785" s="274" t="s">
        <v>1318</v>
      </c>
      <c r="C785" s="274" t="s">
        <v>1293</v>
      </c>
      <c r="D785" s="208" t="s">
        <v>1294</v>
      </c>
      <c r="E785" s="208" t="s">
        <v>1320</v>
      </c>
      <c r="F785" s="208" t="s">
        <v>27</v>
      </c>
      <c r="G785" s="208" t="s">
        <v>365</v>
      </c>
      <c r="H785" s="275">
        <v>34.950000000000003</v>
      </c>
    </row>
    <row r="786" spans="1:8" ht="12.75" customHeight="1" x14ac:dyDescent="0.2">
      <c r="A786" s="273">
        <v>2025</v>
      </c>
      <c r="B786" s="274" t="s">
        <v>1321</v>
      </c>
      <c r="C786" s="274" t="s">
        <v>1307</v>
      </c>
      <c r="D786" s="208" t="s">
        <v>1308</v>
      </c>
      <c r="E786" s="208" t="s">
        <v>1322</v>
      </c>
      <c r="F786" s="208" t="s">
        <v>27</v>
      </c>
      <c r="G786" s="208" t="s">
        <v>365</v>
      </c>
      <c r="H786" s="275">
        <v>25</v>
      </c>
    </row>
    <row r="787" spans="1:8" ht="12.75" customHeight="1" x14ac:dyDescent="0.2">
      <c r="A787" s="273">
        <v>2025</v>
      </c>
      <c r="B787" s="274" t="s">
        <v>880</v>
      </c>
      <c r="C787" s="274" t="s">
        <v>1293</v>
      </c>
      <c r="D787" s="208" t="s">
        <v>1294</v>
      </c>
      <c r="E787" s="208" t="s">
        <v>883</v>
      </c>
      <c r="F787" s="208" t="s">
        <v>27</v>
      </c>
      <c r="G787" s="208" t="s">
        <v>365</v>
      </c>
      <c r="H787" s="275">
        <v>19.14</v>
      </c>
    </row>
    <row r="788" spans="1:8" ht="12.75" customHeight="1" x14ac:dyDescent="0.2">
      <c r="A788" s="273">
        <v>2025</v>
      </c>
      <c r="B788" s="274" t="s">
        <v>461</v>
      </c>
      <c r="C788" s="274" t="s">
        <v>1293</v>
      </c>
      <c r="D788" s="208" t="s">
        <v>1294</v>
      </c>
      <c r="E788" s="208" t="s">
        <v>1323</v>
      </c>
      <c r="F788" s="208" t="s">
        <v>27</v>
      </c>
      <c r="G788" s="208" t="s">
        <v>365</v>
      </c>
      <c r="H788" s="275">
        <v>16.79</v>
      </c>
    </row>
    <row r="789" spans="1:8" ht="12.75" customHeight="1" x14ac:dyDescent="0.2">
      <c r="A789" s="273">
        <v>2025</v>
      </c>
      <c r="B789" s="274" t="s">
        <v>681</v>
      </c>
      <c r="C789" s="274" t="s">
        <v>1324</v>
      </c>
      <c r="D789" s="208" t="s">
        <v>1325</v>
      </c>
      <c r="E789" s="208" t="s">
        <v>1326</v>
      </c>
      <c r="F789" s="208" t="s">
        <v>27</v>
      </c>
      <c r="G789" s="208" t="s">
        <v>365</v>
      </c>
      <c r="H789" s="275">
        <v>97.5</v>
      </c>
    </row>
    <row r="790" spans="1:8" ht="12.75" customHeight="1" x14ac:dyDescent="0.2">
      <c r="A790" s="273">
        <v>2025</v>
      </c>
      <c r="B790" s="274" t="s">
        <v>884</v>
      </c>
      <c r="C790" s="274" t="s">
        <v>1293</v>
      </c>
      <c r="D790" s="208" t="s">
        <v>1294</v>
      </c>
      <c r="E790" s="208" t="s">
        <v>1327</v>
      </c>
      <c r="F790" s="208" t="s">
        <v>27</v>
      </c>
      <c r="G790" s="208" t="s">
        <v>365</v>
      </c>
      <c r="H790" s="275">
        <v>14</v>
      </c>
    </row>
    <row r="791" spans="1:8" ht="12.75" customHeight="1" x14ac:dyDescent="0.2">
      <c r="A791" s="273">
        <v>2025</v>
      </c>
      <c r="B791" s="274" t="s">
        <v>1088</v>
      </c>
      <c r="C791" s="274" t="s">
        <v>1293</v>
      </c>
      <c r="D791" s="208" t="s">
        <v>1294</v>
      </c>
      <c r="E791" s="208" t="s">
        <v>1328</v>
      </c>
      <c r="F791" s="208" t="s">
        <v>27</v>
      </c>
      <c r="G791" s="208" t="s">
        <v>365</v>
      </c>
      <c r="H791" s="275">
        <v>0.99</v>
      </c>
    </row>
    <row r="792" spans="1:8" ht="12.75" customHeight="1" x14ac:dyDescent="0.2">
      <c r="A792" s="273">
        <v>2025</v>
      </c>
      <c r="B792" s="274" t="s">
        <v>1246</v>
      </c>
      <c r="C792" s="274" t="s">
        <v>1293</v>
      </c>
      <c r="D792" s="208" t="s">
        <v>1294</v>
      </c>
      <c r="E792" s="208" t="s">
        <v>1329</v>
      </c>
      <c r="F792" s="208" t="s">
        <v>27</v>
      </c>
      <c r="G792" s="208" t="s">
        <v>365</v>
      </c>
      <c r="H792" s="275">
        <v>156</v>
      </c>
    </row>
    <row r="793" spans="1:8" ht="12.75" customHeight="1" x14ac:dyDescent="0.2">
      <c r="A793" s="273">
        <v>2025</v>
      </c>
      <c r="B793" s="274" t="s">
        <v>683</v>
      </c>
      <c r="C793" s="274" t="s">
        <v>1293</v>
      </c>
      <c r="D793" s="208" t="s">
        <v>1294</v>
      </c>
      <c r="E793" s="208" t="s">
        <v>1330</v>
      </c>
      <c r="F793" s="208" t="s">
        <v>27</v>
      </c>
      <c r="G793" s="208" t="s">
        <v>365</v>
      </c>
      <c r="H793" s="275">
        <v>11.99</v>
      </c>
    </row>
    <row r="794" spans="1:8" ht="12.75" customHeight="1" x14ac:dyDescent="0.2">
      <c r="A794" s="273">
        <v>2025</v>
      </c>
      <c r="B794" s="274" t="s">
        <v>826</v>
      </c>
      <c r="C794" s="274" t="s">
        <v>1307</v>
      </c>
      <c r="D794" s="208" t="s">
        <v>1308</v>
      </c>
      <c r="E794" s="208" t="s">
        <v>1331</v>
      </c>
      <c r="F794" s="208" t="s">
        <v>27</v>
      </c>
      <c r="G794" s="208" t="s">
        <v>365</v>
      </c>
      <c r="H794" s="275">
        <v>445.99</v>
      </c>
    </row>
    <row r="795" spans="1:8" ht="12.75" customHeight="1" x14ac:dyDescent="0.2">
      <c r="A795" s="273">
        <v>2025</v>
      </c>
      <c r="B795" s="274" t="s">
        <v>466</v>
      </c>
      <c r="C795" s="274" t="s">
        <v>1324</v>
      </c>
      <c r="D795" s="208" t="s">
        <v>1325</v>
      </c>
      <c r="E795" s="208" t="s">
        <v>1332</v>
      </c>
      <c r="F795" s="208" t="s">
        <v>27</v>
      </c>
      <c r="G795" s="208" t="s">
        <v>365</v>
      </c>
      <c r="H795" s="275">
        <v>120</v>
      </c>
    </row>
    <row r="796" spans="1:8" ht="12.75" customHeight="1" x14ac:dyDescent="0.2">
      <c r="A796" s="273">
        <v>2025</v>
      </c>
      <c r="B796" s="274" t="s">
        <v>1333</v>
      </c>
      <c r="C796" s="274" t="s">
        <v>1293</v>
      </c>
      <c r="D796" s="208" t="s">
        <v>1294</v>
      </c>
      <c r="E796" s="208" t="s">
        <v>1334</v>
      </c>
      <c r="F796" s="208" t="s">
        <v>27</v>
      </c>
      <c r="G796" s="208" t="s">
        <v>365</v>
      </c>
      <c r="H796" s="275">
        <v>34.950000000000003</v>
      </c>
    </row>
    <row r="797" spans="1:8" ht="12.75" customHeight="1" x14ac:dyDescent="0.2">
      <c r="A797" s="273">
        <v>2025</v>
      </c>
      <c r="B797" s="274" t="s">
        <v>828</v>
      </c>
      <c r="C797" s="274" t="s">
        <v>1335</v>
      </c>
      <c r="D797" s="208" t="s">
        <v>1336</v>
      </c>
      <c r="E797" s="208" t="s">
        <v>1337</v>
      </c>
      <c r="F797" s="208" t="s">
        <v>27</v>
      </c>
      <c r="G797" s="208" t="s">
        <v>365</v>
      </c>
      <c r="H797" s="275">
        <v>236.48</v>
      </c>
    </row>
    <row r="798" spans="1:8" ht="12.75" customHeight="1" x14ac:dyDescent="0.2">
      <c r="A798" s="273">
        <v>2025</v>
      </c>
      <c r="B798" s="274" t="s">
        <v>468</v>
      </c>
      <c r="C798" s="274" t="s">
        <v>1293</v>
      </c>
      <c r="D798" s="208" t="s">
        <v>1294</v>
      </c>
      <c r="E798" s="208" t="s">
        <v>1338</v>
      </c>
      <c r="F798" s="208" t="s">
        <v>27</v>
      </c>
      <c r="G798" s="208" t="s">
        <v>365</v>
      </c>
      <c r="H798" s="275">
        <v>19.14</v>
      </c>
    </row>
    <row r="799" spans="1:8" ht="12.75" customHeight="1" x14ac:dyDescent="0.2">
      <c r="A799" s="273">
        <v>2025</v>
      </c>
      <c r="B799" s="274" t="s">
        <v>470</v>
      </c>
      <c r="C799" s="274" t="s">
        <v>1339</v>
      </c>
      <c r="D799" s="208" t="s">
        <v>1340</v>
      </c>
      <c r="E799" s="208" t="s">
        <v>693</v>
      </c>
      <c r="F799" s="208" t="s">
        <v>27</v>
      </c>
      <c r="G799" s="208" t="s">
        <v>365</v>
      </c>
      <c r="H799" s="275">
        <v>34.18</v>
      </c>
    </row>
    <row r="800" spans="1:8" ht="12.75" customHeight="1" x14ac:dyDescent="0.2">
      <c r="A800" s="273">
        <v>2025</v>
      </c>
      <c r="B800" s="274" t="s">
        <v>470</v>
      </c>
      <c r="C800" s="274" t="s">
        <v>1293</v>
      </c>
      <c r="D800" s="208" t="s">
        <v>1294</v>
      </c>
      <c r="E800" s="208" t="s">
        <v>1341</v>
      </c>
      <c r="F800" s="208" t="s">
        <v>27</v>
      </c>
      <c r="G800" s="208" t="s">
        <v>365</v>
      </c>
      <c r="H800" s="275">
        <v>15.55</v>
      </c>
    </row>
    <row r="801" spans="1:8" ht="12.75" customHeight="1" x14ac:dyDescent="0.2">
      <c r="A801" s="273">
        <v>2025</v>
      </c>
      <c r="B801" s="274" t="s">
        <v>887</v>
      </c>
      <c r="C801" s="274" t="s">
        <v>1293</v>
      </c>
      <c r="D801" s="208" t="s">
        <v>1294</v>
      </c>
      <c r="E801" s="208" t="s">
        <v>1342</v>
      </c>
      <c r="F801" s="208" t="s">
        <v>27</v>
      </c>
      <c r="G801" s="208" t="s">
        <v>365</v>
      </c>
      <c r="H801" s="275">
        <v>16.8</v>
      </c>
    </row>
    <row r="802" spans="1:8" ht="12.75" customHeight="1" x14ac:dyDescent="0.2">
      <c r="A802" s="273">
        <v>2025</v>
      </c>
      <c r="B802" s="274" t="s">
        <v>696</v>
      </c>
      <c r="C802" s="274" t="s">
        <v>1335</v>
      </c>
      <c r="D802" s="208" t="s">
        <v>1336</v>
      </c>
      <c r="E802" s="208" t="s">
        <v>1343</v>
      </c>
      <c r="F802" s="208" t="s">
        <v>27</v>
      </c>
      <c r="G802" s="208" t="s">
        <v>365</v>
      </c>
      <c r="H802" s="275">
        <v>801.59</v>
      </c>
    </row>
    <row r="803" spans="1:8" ht="12.75" customHeight="1" x14ac:dyDescent="0.2">
      <c r="A803" s="273">
        <v>2025</v>
      </c>
      <c r="B803" s="274" t="s">
        <v>696</v>
      </c>
      <c r="C803" s="274" t="s">
        <v>1293</v>
      </c>
      <c r="D803" s="208" t="s">
        <v>1294</v>
      </c>
      <c r="E803" s="208" t="s">
        <v>1344</v>
      </c>
      <c r="F803" s="208" t="s">
        <v>27</v>
      </c>
      <c r="G803" s="208" t="s">
        <v>365</v>
      </c>
      <c r="H803" s="275">
        <v>156</v>
      </c>
    </row>
    <row r="804" spans="1:8" ht="12.75" customHeight="1" x14ac:dyDescent="0.2">
      <c r="A804" s="273">
        <v>2025</v>
      </c>
      <c r="B804" s="274" t="s">
        <v>696</v>
      </c>
      <c r="C804" s="274" t="s">
        <v>1293</v>
      </c>
      <c r="D804" s="208" t="s">
        <v>1294</v>
      </c>
      <c r="E804" s="208" t="s">
        <v>1328</v>
      </c>
      <c r="F804" s="208" t="s">
        <v>27</v>
      </c>
      <c r="G804" s="208" t="s">
        <v>365</v>
      </c>
      <c r="H804" s="275">
        <v>0.99</v>
      </c>
    </row>
    <row r="805" spans="1:8" ht="12.75" customHeight="1" x14ac:dyDescent="0.2">
      <c r="A805" s="273">
        <v>2025</v>
      </c>
      <c r="B805" s="274" t="s">
        <v>471</v>
      </c>
      <c r="C805" s="274" t="s">
        <v>1293</v>
      </c>
      <c r="D805" s="208" t="s">
        <v>1294</v>
      </c>
      <c r="E805" s="208" t="s">
        <v>1345</v>
      </c>
      <c r="F805" s="208" t="s">
        <v>27</v>
      </c>
      <c r="G805" s="208" t="s">
        <v>365</v>
      </c>
      <c r="H805" s="275">
        <v>11.99</v>
      </c>
    </row>
    <row r="806" spans="1:8" ht="12.75" customHeight="1" x14ac:dyDescent="0.2">
      <c r="A806" s="273">
        <v>2025</v>
      </c>
      <c r="B806" s="274" t="s">
        <v>473</v>
      </c>
      <c r="C806" s="274" t="s">
        <v>1324</v>
      </c>
      <c r="D806" s="208" t="s">
        <v>1325</v>
      </c>
      <c r="E806" s="208" t="s">
        <v>1346</v>
      </c>
      <c r="F806" s="208" t="s">
        <v>27</v>
      </c>
      <c r="G806" s="208" t="s">
        <v>365</v>
      </c>
      <c r="H806" s="275">
        <v>60</v>
      </c>
    </row>
    <row r="807" spans="1:8" ht="12.75" customHeight="1" x14ac:dyDescent="0.2">
      <c r="A807" s="273">
        <v>2025</v>
      </c>
      <c r="B807" s="274" t="s">
        <v>477</v>
      </c>
      <c r="C807" s="274" t="s">
        <v>1293</v>
      </c>
      <c r="D807" s="208" t="s">
        <v>1294</v>
      </c>
      <c r="E807" s="208" t="s">
        <v>1347</v>
      </c>
      <c r="F807" s="208" t="s">
        <v>27</v>
      </c>
      <c r="G807" s="208" t="s">
        <v>365</v>
      </c>
      <c r="H807" s="275">
        <v>34.950000000000003</v>
      </c>
    </row>
    <row r="808" spans="1:8" ht="12.75" customHeight="1" x14ac:dyDescent="0.2">
      <c r="A808" s="273">
        <v>2025</v>
      </c>
      <c r="B808" s="274" t="s">
        <v>1348</v>
      </c>
      <c r="C808" s="274" t="s">
        <v>1307</v>
      </c>
      <c r="D808" s="208" t="s">
        <v>1308</v>
      </c>
      <c r="E808" s="208" t="s">
        <v>1349</v>
      </c>
      <c r="F808" s="208" t="s">
        <v>27</v>
      </c>
      <c r="G808" s="208" t="s">
        <v>365</v>
      </c>
      <c r="H808" s="275">
        <v>13.33</v>
      </c>
    </row>
    <row r="809" spans="1:8" ht="12.75" customHeight="1" x14ac:dyDescent="0.2">
      <c r="A809" s="273">
        <v>2025</v>
      </c>
      <c r="B809" s="274" t="s">
        <v>480</v>
      </c>
      <c r="C809" s="274" t="s">
        <v>1293</v>
      </c>
      <c r="D809" s="208" t="s">
        <v>1294</v>
      </c>
      <c r="E809" s="208" t="s">
        <v>890</v>
      </c>
      <c r="F809" s="208" t="s">
        <v>27</v>
      </c>
      <c r="G809" s="208" t="s">
        <v>365</v>
      </c>
      <c r="H809" s="275">
        <v>17.55</v>
      </c>
    </row>
    <row r="810" spans="1:8" ht="12.75" customHeight="1" x14ac:dyDescent="0.2">
      <c r="A810" s="273">
        <v>2025</v>
      </c>
      <c r="B810" s="274" t="s">
        <v>484</v>
      </c>
      <c r="C810" s="274" t="s">
        <v>1339</v>
      </c>
      <c r="D810" s="208" t="s">
        <v>1340</v>
      </c>
      <c r="E810" s="208" t="s">
        <v>705</v>
      </c>
      <c r="F810" s="208" t="s">
        <v>27</v>
      </c>
      <c r="G810" s="208" t="s">
        <v>365</v>
      </c>
      <c r="H810" s="275">
        <v>34.18</v>
      </c>
    </row>
    <row r="811" spans="1:8" ht="12.75" customHeight="1" x14ac:dyDescent="0.2">
      <c r="A811" s="273">
        <v>2025</v>
      </c>
      <c r="B811" s="274" t="s">
        <v>484</v>
      </c>
      <c r="C811" s="274" t="s">
        <v>1293</v>
      </c>
      <c r="D811" s="208" t="s">
        <v>1294</v>
      </c>
      <c r="E811" s="208" t="s">
        <v>708</v>
      </c>
      <c r="F811" s="208" t="s">
        <v>27</v>
      </c>
      <c r="G811" s="208" t="s">
        <v>365</v>
      </c>
      <c r="H811" s="275">
        <v>1.64</v>
      </c>
    </row>
    <row r="812" spans="1:8" ht="12.75" customHeight="1" x14ac:dyDescent="0.2">
      <c r="A812" s="273">
        <v>2025</v>
      </c>
      <c r="B812" s="274" t="s">
        <v>485</v>
      </c>
      <c r="C812" s="274" t="s">
        <v>1293</v>
      </c>
      <c r="D812" s="208" t="s">
        <v>1294</v>
      </c>
      <c r="E812" s="208" t="s">
        <v>710</v>
      </c>
      <c r="F812" s="208" t="s">
        <v>27</v>
      </c>
      <c r="G812" s="208" t="s">
        <v>365</v>
      </c>
      <c r="H812" s="275">
        <v>24.58</v>
      </c>
    </row>
    <row r="813" spans="1:8" ht="12.75" customHeight="1" x14ac:dyDescent="0.2">
      <c r="A813" s="273">
        <v>2025</v>
      </c>
      <c r="B813" s="274" t="s">
        <v>711</v>
      </c>
      <c r="C813" s="274" t="s">
        <v>1293</v>
      </c>
      <c r="D813" s="208" t="s">
        <v>1294</v>
      </c>
      <c r="E813" s="208" t="s">
        <v>1350</v>
      </c>
      <c r="F813" s="208" t="s">
        <v>27</v>
      </c>
      <c r="G813" s="208" t="s">
        <v>365</v>
      </c>
      <c r="H813" s="275">
        <v>14</v>
      </c>
    </row>
    <row r="814" spans="1:8" ht="12.75" customHeight="1" x14ac:dyDescent="0.2">
      <c r="A814" s="273">
        <v>2025</v>
      </c>
      <c r="B814" s="274" t="s">
        <v>1351</v>
      </c>
      <c r="C814" s="274" t="s">
        <v>1293</v>
      </c>
      <c r="D814" s="208" t="s">
        <v>1294</v>
      </c>
      <c r="E814" s="208" t="s">
        <v>1352</v>
      </c>
      <c r="F814" s="208" t="s">
        <v>27</v>
      </c>
      <c r="G814" s="208" t="s">
        <v>365</v>
      </c>
      <c r="H814" s="275">
        <v>0.99</v>
      </c>
    </row>
    <row r="815" spans="1:8" ht="12.75" customHeight="1" x14ac:dyDescent="0.2">
      <c r="A815" s="273">
        <v>2025</v>
      </c>
      <c r="B815" s="274" t="s">
        <v>487</v>
      </c>
      <c r="C815" s="274" t="s">
        <v>1293</v>
      </c>
      <c r="D815" s="208" t="s">
        <v>1294</v>
      </c>
      <c r="E815" s="208" t="s">
        <v>1353</v>
      </c>
      <c r="F815" s="208" t="s">
        <v>27</v>
      </c>
      <c r="G815" s="208" t="s">
        <v>365</v>
      </c>
      <c r="H815" s="275">
        <v>163.09</v>
      </c>
    </row>
    <row r="816" spans="1:8" ht="12.75" customHeight="1" x14ac:dyDescent="0.2">
      <c r="A816" s="273">
        <v>2025</v>
      </c>
      <c r="B816" s="274" t="s">
        <v>1354</v>
      </c>
      <c r="C816" s="274" t="s">
        <v>1293</v>
      </c>
      <c r="D816" s="208" t="s">
        <v>1294</v>
      </c>
      <c r="E816" s="208" t="s">
        <v>1355</v>
      </c>
      <c r="F816" s="208" t="s">
        <v>27</v>
      </c>
      <c r="G816" s="208" t="s">
        <v>365</v>
      </c>
      <c r="H816" s="275">
        <v>11.99</v>
      </c>
    </row>
    <row r="817" spans="1:8" ht="12.75" customHeight="1" x14ac:dyDescent="0.2">
      <c r="A817" s="273">
        <v>2025</v>
      </c>
      <c r="B817" s="274" t="s">
        <v>1356</v>
      </c>
      <c r="C817" s="274" t="s">
        <v>1324</v>
      </c>
      <c r="D817" s="208" t="s">
        <v>1325</v>
      </c>
      <c r="E817" s="208" t="s">
        <v>1357</v>
      </c>
      <c r="F817" s="208" t="s">
        <v>27</v>
      </c>
      <c r="G817" s="208" t="s">
        <v>365</v>
      </c>
      <c r="H817" s="275">
        <v>60</v>
      </c>
    </row>
    <row r="818" spans="1:8" ht="12.75" customHeight="1" x14ac:dyDescent="0.2">
      <c r="A818" s="273">
        <v>2025</v>
      </c>
      <c r="B818" s="274" t="s">
        <v>491</v>
      </c>
      <c r="C818" s="274" t="s">
        <v>1293</v>
      </c>
      <c r="D818" s="208" t="s">
        <v>1294</v>
      </c>
      <c r="E818" s="208" t="s">
        <v>1358</v>
      </c>
      <c r="F818" s="208" t="s">
        <v>27</v>
      </c>
      <c r="G818" s="208" t="s">
        <v>365</v>
      </c>
      <c r="H818" s="275">
        <v>34.950000000000003</v>
      </c>
    </row>
    <row r="819" spans="1:8" ht="12.75" customHeight="1" x14ac:dyDescent="0.2">
      <c r="A819" s="273">
        <v>2025</v>
      </c>
      <c r="B819" s="274" t="s">
        <v>1359</v>
      </c>
      <c r="C819" s="274" t="s">
        <v>1293</v>
      </c>
      <c r="D819" s="208" t="s">
        <v>1294</v>
      </c>
      <c r="E819" s="208" t="s">
        <v>1360</v>
      </c>
      <c r="F819" s="208" t="s">
        <v>27</v>
      </c>
      <c r="G819" s="208" t="s">
        <v>365</v>
      </c>
      <c r="H819" s="275">
        <v>100</v>
      </c>
    </row>
    <row r="820" spans="1:8" ht="12.75" customHeight="1" x14ac:dyDescent="0.2">
      <c r="A820" s="273">
        <v>2025</v>
      </c>
      <c r="B820" s="274" t="s">
        <v>1361</v>
      </c>
      <c r="C820" s="274" t="s">
        <v>1293</v>
      </c>
      <c r="D820" s="208" t="s">
        <v>1294</v>
      </c>
      <c r="E820" s="208" t="s">
        <v>1362</v>
      </c>
      <c r="F820" s="208" t="s">
        <v>27</v>
      </c>
      <c r="G820" s="208" t="s">
        <v>365</v>
      </c>
      <c r="H820" s="275">
        <v>7.07</v>
      </c>
    </row>
    <row r="821" spans="1:8" ht="12.75" customHeight="1" x14ac:dyDescent="0.2">
      <c r="A821" s="273">
        <v>2025</v>
      </c>
      <c r="B821" s="274" t="s">
        <v>495</v>
      </c>
      <c r="C821" s="274" t="s">
        <v>1335</v>
      </c>
      <c r="D821" s="208" t="s">
        <v>1336</v>
      </c>
      <c r="E821" s="208" t="s">
        <v>1363</v>
      </c>
      <c r="F821" s="208" t="s">
        <v>27</v>
      </c>
      <c r="G821" s="208" t="s">
        <v>365</v>
      </c>
      <c r="H821" s="275">
        <v>71.67</v>
      </c>
    </row>
    <row r="822" spans="1:8" ht="12.75" customHeight="1" x14ac:dyDescent="0.2">
      <c r="A822" s="273">
        <v>2025</v>
      </c>
      <c r="B822" s="274" t="s">
        <v>495</v>
      </c>
      <c r="C822" s="274" t="s">
        <v>1335</v>
      </c>
      <c r="D822" s="208" t="s">
        <v>1336</v>
      </c>
      <c r="E822" s="208" t="s">
        <v>1364</v>
      </c>
      <c r="F822" s="208" t="s">
        <v>27</v>
      </c>
      <c r="G822" s="208" t="s">
        <v>365</v>
      </c>
      <c r="H822" s="275">
        <v>14.33</v>
      </c>
    </row>
    <row r="823" spans="1:8" ht="12.75" customHeight="1" x14ac:dyDescent="0.2">
      <c r="A823" s="273">
        <v>2025</v>
      </c>
      <c r="B823" s="274" t="s">
        <v>497</v>
      </c>
      <c r="C823" s="274" t="s">
        <v>1293</v>
      </c>
      <c r="D823" s="208" t="s">
        <v>1294</v>
      </c>
      <c r="E823" s="208" t="s">
        <v>1365</v>
      </c>
      <c r="F823" s="208" t="s">
        <v>27</v>
      </c>
      <c r="G823" s="208" t="s">
        <v>365</v>
      </c>
      <c r="H823" s="275">
        <v>17.62</v>
      </c>
    </row>
    <row r="824" spans="1:8" ht="12.75" customHeight="1" x14ac:dyDescent="0.2">
      <c r="A824" s="273">
        <v>2025</v>
      </c>
      <c r="B824" s="274" t="s">
        <v>497</v>
      </c>
      <c r="C824" s="274" t="s">
        <v>1293</v>
      </c>
      <c r="D824" s="208" t="s">
        <v>1294</v>
      </c>
      <c r="E824" s="208" t="s">
        <v>1366</v>
      </c>
      <c r="F824" s="208" t="s">
        <v>27</v>
      </c>
      <c r="G824" s="208" t="s">
        <v>365</v>
      </c>
      <c r="H824" s="275">
        <v>14</v>
      </c>
    </row>
    <row r="825" spans="1:8" ht="12.75" customHeight="1" x14ac:dyDescent="0.2">
      <c r="A825" s="273">
        <v>2025</v>
      </c>
      <c r="B825" s="274" t="s">
        <v>499</v>
      </c>
      <c r="C825" s="274" t="s">
        <v>1339</v>
      </c>
      <c r="D825" s="208" t="s">
        <v>1340</v>
      </c>
      <c r="E825" s="208" t="s">
        <v>719</v>
      </c>
      <c r="F825" s="208" t="s">
        <v>27</v>
      </c>
      <c r="G825" s="208" t="s">
        <v>365</v>
      </c>
      <c r="H825" s="275">
        <v>34.18</v>
      </c>
    </row>
    <row r="826" spans="1:8" ht="12.75" customHeight="1" x14ac:dyDescent="0.2">
      <c r="A826" s="273">
        <v>2025</v>
      </c>
      <c r="B826" s="274" t="s">
        <v>499</v>
      </c>
      <c r="C826" s="274" t="s">
        <v>1293</v>
      </c>
      <c r="D826" s="208" t="s">
        <v>1294</v>
      </c>
      <c r="E826" s="208" t="s">
        <v>720</v>
      </c>
      <c r="F826" s="208" t="s">
        <v>27</v>
      </c>
      <c r="G826" s="208" t="s">
        <v>365</v>
      </c>
      <c r="H826" s="275">
        <v>20.48</v>
      </c>
    </row>
    <row r="827" spans="1:8" ht="12.75" customHeight="1" x14ac:dyDescent="0.2">
      <c r="A827" s="273">
        <v>2025</v>
      </c>
      <c r="B827" s="274" t="s">
        <v>1367</v>
      </c>
      <c r="C827" s="274" t="s">
        <v>1293</v>
      </c>
      <c r="D827" s="208" t="s">
        <v>1294</v>
      </c>
      <c r="E827" s="208" t="s">
        <v>1352</v>
      </c>
      <c r="F827" s="208" t="s">
        <v>27</v>
      </c>
      <c r="G827" s="208" t="s">
        <v>365</v>
      </c>
      <c r="H827" s="275">
        <v>0.99</v>
      </c>
    </row>
    <row r="828" spans="1:8" ht="12.75" customHeight="1" x14ac:dyDescent="0.2">
      <c r="A828" s="273">
        <v>2025</v>
      </c>
      <c r="B828" s="274" t="s">
        <v>1368</v>
      </c>
      <c r="C828" s="274" t="s">
        <v>1293</v>
      </c>
      <c r="D828" s="208" t="s">
        <v>1294</v>
      </c>
      <c r="E828" s="208" t="s">
        <v>1369</v>
      </c>
      <c r="F828" s="208" t="s">
        <v>27</v>
      </c>
      <c r="G828" s="208" t="s">
        <v>365</v>
      </c>
      <c r="H828" s="275">
        <v>11.99</v>
      </c>
    </row>
    <row r="829" spans="1:8" ht="12.75" customHeight="1" x14ac:dyDescent="0.2">
      <c r="A829" s="273">
        <v>2025</v>
      </c>
      <c r="B829" s="274" t="s">
        <v>1370</v>
      </c>
      <c r="C829" s="274" t="s">
        <v>1293</v>
      </c>
      <c r="D829" s="208" t="s">
        <v>1294</v>
      </c>
      <c r="E829" s="208" t="s">
        <v>1371</v>
      </c>
      <c r="F829" s="208" t="s">
        <v>27</v>
      </c>
      <c r="G829" s="208" t="s">
        <v>365</v>
      </c>
      <c r="H829" s="275">
        <v>140.61000000000001</v>
      </c>
    </row>
    <row r="830" spans="1:8" ht="12.75" customHeight="1" x14ac:dyDescent="0.2">
      <c r="A830" s="273">
        <v>2025</v>
      </c>
      <c r="B830" s="274" t="s">
        <v>1372</v>
      </c>
      <c r="C830" s="274" t="s">
        <v>1293</v>
      </c>
      <c r="D830" s="208" t="s">
        <v>1294</v>
      </c>
      <c r="E830" s="208" t="s">
        <v>1373</v>
      </c>
      <c r="F830" s="208" t="s">
        <v>27</v>
      </c>
      <c r="G830" s="208" t="s">
        <v>365</v>
      </c>
      <c r="H830" s="275">
        <v>34.950000000000003</v>
      </c>
    </row>
    <row r="831" spans="1:8" ht="12.75" customHeight="1" x14ac:dyDescent="0.2">
      <c r="A831" s="273">
        <v>2025</v>
      </c>
      <c r="B831" s="274" t="s">
        <v>1374</v>
      </c>
      <c r="C831" s="274" t="s">
        <v>1293</v>
      </c>
      <c r="D831" s="208" t="s">
        <v>1294</v>
      </c>
      <c r="E831" s="208" t="s">
        <v>1375</v>
      </c>
      <c r="F831" s="208" t="s">
        <v>27</v>
      </c>
      <c r="G831" s="208" t="s">
        <v>365</v>
      </c>
      <c r="H831" s="275">
        <v>6.82</v>
      </c>
    </row>
    <row r="832" spans="1:8" ht="12.75" customHeight="1" x14ac:dyDescent="0.2">
      <c r="A832" s="273">
        <v>2025</v>
      </c>
      <c r="B832" s="274" t="s">
        <v>510</v>
      </c>
      <c r="C832" s="274" t="s">
        <v>1293</v>
      </c>
      <c r="D832" s="208" t="s">
        <v>1294</v>
      </c>
      <c r="E832" s="208" t="s">
        <v>1376</v>
      </c>
      <c r="F832" s="208" t="s">
        <v>27</v>
      </c>
      <c r="G832" s="208" t="s">
        <v>365</v>
      </c>
      <c r="H832" s="275">
        <v>17.12</v>
      </c>
    </row>
    <row r="833" spans="1:8" ht="12.75" customHeight="1" x14ac:dyDescent="0.2">
      <c r="A833" s="273">
        <v>2025</v>
      </c>
      <c r="B833" s="274" t="s">
        <v>510</v>
      </c>
      <c r="C833" s="274" t="s">
        <v>1293</v>
      </c>
      <c r="D833" s="208" t="s">
        <v>1294</v>
      </c>
      <c r="E833" s="208" t="s">
        <v>1265</v>
      </c>
      <c r="F833" s="208" t="s">
        <v>27</v>
      </c>
      <c r="G833" s="208" t="s">
        <v>365</v>
      </c>
      <c r="H833" s="275">
        <v>4.0999999999999996</v>
      </c>
    </row>
    <row r="834" spans="1:8" ht="12.75" customHeight="1" x14ac:dyDescent="0.2">
      <c r="A834" s="273">
        <v>2025</v>
      </c>
      <c r="B834" s="274" t="s">
        <v>512</v>
      </c>
      <c r="C834" s="274" t="s">
        <v>1324</v>
      </c>
      <c r="D834" s="208" t="s">
        <v>1325</v>
      </c>
      <c r="E834" s="208" t="s">
        <v>1377</v>
      </c>
      <c r="F834" s="208" t="s">
        <v>27</v>
      </c>
      <c r="G834" s="208" t="s">
        <v>365</v>
      </c>
      <c r="H834" s="275">
        <v>60</v>
      </c>
    </row>
    <row r="835" spans="1:8" ht="12.75" customHeight="1" x14ac:dyDescent="0.2">
      <c r="A835" s="273">
        <v>2025</v>
      </c>
      <c r="B835" s="274" t="s">
        <v>512</v>
      </c>
      <c r="C835" s="274" t="s">
        <v>1339</v>
      </c>
      <c r="D835" s="208" t="s">
        <v>1340</v>
      </c>
      <c r="E835" s="208" t="s">
        <v>719</v>
      </c>
      <c r="F835" s="208" t="s">
        <v>27</v>
      </c>
      <c r="G835" s="208" t="s">
        <v>365</v>
      </c>
      <c r="H835" s="275">
        <v>34.18</v>
      </c>
    </row>
    <row r="836" spans="1:8" ht="12.75" customHeight="1" x14ac:dyDescent="0.2">
      <c r="A836" s="273">
        <v>2025</v>
      </c>
      <c r="B836" s="274" t="s">
        <v>512</v>
      </c>
      <c r="C836" s="274" t="s">
        <v>1293</v>
      </c>
      <c r="D836" s="208" t="s">
        <v>1294</v>
      </c>
      <c r="E836" s="208" t="s">
        <v>734</v>
      </c>
      <c r="F836" s="208" t="s">
        <v>27</v>
      </c>
      <c r="G836" s="208" t="s">
        <v>365</v>
      </c>
      <c r="H836" s="275">
        <v>20.48</v>
      </c>
    </row>
    <row r="837" spans="1:8" ht="12.75" customHeight="1" x14ac:dyDescent="0.2">
      <c r="A837" s="273">
        <v>2025</v>
      </c>
      <c r="B837" s="274" t="s">
        <v>512</v>
      </c>
      <c r="C837" s="274" t="s">
        <v>1293</v>
      </c>
      <c r="D837" s="208" t="s">
        <v>1294</v>
      </c>
      <c r="E837" s="208" t="s">
        <v>1378</v>
      </c>
      <c r="F837" s="208" t="s">
        <v>27</v>
      </c>
      <c r="G837" s="208" t="s">
        <v>365</v>
      </c>
      <c r="H837" s="275">
        <v>1500</v>
      </c>
    </row>
    <row r="838" spans="1:8" ht="12.75" customHeight="1" x14ac:dyDescent="0.2">
      <c r="A838" s="273">
        <v>2025</v>
      </c>
      <c r="B838" s="274" t="s">
        <v>512</v>
      </c>
      <c r="C838" s="274" t="s">
        <v>1293</v>
      </c>
      <c r="D838" s="208" t="s">
        <v>1294</v>
      </c>
      <c r="E838" s="208" t="s">
        <v>1379</v>
      </c>
      <c r="F838" s="208" t="s">
        <v>27</v>
      </c>
      <c r="G838" s="208" t="s">
        <v>365</v>
      </c>
      <c r="H838" s="276">
        <v>-867.09</v>
      </c>
    </row>
    <row r="839" spans="1:8" ht="12.75" customHeight="1" x14ac:dyDescent="0.2">
      <c r="A839" s="273">
        <v>2025</v>
      </c>
      <c r="B839" s="274" t="s">
        <v>1380</v>
      </c>
      <c r="C839" s="274" t="s">
        <v>1293</v>
      </c>
      <c r="D839" s="208" t="s">
        <v>1294</v>
      </c>
      <c r="E839" s="208" t="s">
        <v>1381</v>
      </c>
      <c r="F839" s="208" t="s">
        <v>27</v>
      </c>
      <c r="G839" s="208" t="s">
        <v>365</v>
      </c>
      <c r="H839" s="275">
        <v>0.99</v>
      </c>
    </row>
    <row r="840" spans="1:8" ht="12.75" customHeight="1" x14ac:dyDescent="0.2">
      <c r="A840" s="273">
        <v>2025</v>
      </c>
      <c r="B840" s="274" t="s">
        <v>738</v>
      </c>
      <c r="C840" s="274" t="s">
        <v>1293</v>
      </c>
      <c r="D840" s="208" t="s">
        <v>1294</v>
      </c>
      <c r="E840" s="208" t="s">
        <v>1382</v>
      </c>
      <c r="F840" s="208" t="s">
        <v>27</v>
      </c>
      <c r="G840" s="208" t="s">
        <v>365</v>
      </c>
      <c r="H840" s="275">
        <v>11.99</v>
      </c>
    </row>
    <row r="841" spans="1:8" ht="12.75" customHeight="1" x14ac:dyDescent="0.2">
      <c r="A841" s="273">
        <v>2025</v>
      </c>
      <c r="B841" s="274" t="s">
        <v>857</v>
      </c>
      <c r="C841" s="274" t="s">
        <v>1293</v>
      </c>
      <c r="D841" s="208" t="s">
        <v>1294</v>
      </c>
      <c r="E841" s="208" t="s">
        <v>1383</v>
      </c>
      <c r="F841" s="208" t="s">
        <v>27</v>
      </c>
      <c r="G841" s="208" t="s">
        <v>365</v>
      </c>
      <c r="H841" s="275">
        <v>34.950000000000003</v>
      </c>
    </row>
    <row r="842" spans="1:8" ht="12.75" customHeight="1" x14ac:dyDescent="0.2">
      <c r="A842" s="273">
        <v>2025</v>
      </c>
      <c r="B842" s="274" t="s">
        <v>899</v>
      </c>
      <c r="C842" s="274" t="s">
        <v>1293</v>
      </c>
      <c r="D842" s="208" t="s">
        <v>1294</v>
      </c>
      <c r="E842" s="208" t="s">
        <v>1384</v>
      </c>
      <c r="F842" s="208" t="s">
        <v>27</v>
      </c>
      <c r="G842" s="208" t="s">
        <v>365</v>
      </c>
      <c r="H842" s="275">
        <v>6.86</v>
      </c>
    </row>
    <row r="843" spans="1:8" ht="12.75" customHeight="1" x14ac:dyDescent="0.2">
      <c r="A843" s="273">
        <v>2025</v>
      </c>
      <c r="B843" s="274" t="s">
        <v>1385</v>
      </c>
      <c r="C843" s="274" t="s">
        <v>1324</v>
      </c>
      <c r="D843" s="208" t="s">
        <v>1325</v>
      </c>
      <c r="E843" s="208" t="s">
        <v>1386</v>
      </c>
      <c r="F843" s="208" t="s">
        <v>27</v>
      </c>
      <c r="G843" s="208" t="s">
        <v>365</v>
      </c>
      <c r="H843" s="275">
        <v>60</v>
      </c>
    </row>
    <row r="844" spans="1:8" ht="12.75" customHeight="1" x14ac:dyDescent="0.2">
      <c r="A844" s="273">
        <v>2025</v>
      </c>
      <c r="B844" s="274" t="s">
        <v>1385</v>
      </c>
      <c r="C844" s="274" t="s">
        <v>1307</v>
      </c>
      <c r="D844" s="208" t="s">
        <v>1308</v>
      </c>
      <c r="E844" s="208" t="s">
        <v>1387</v>
      </c>
      <c r="F844" s="208" t="s">
        <v>27</v>
      </c>
      <c r="G844" s="208" t="s">
        <v>365</v>
      </c>
      <c r="H844" s="275">
        <v>14.16</v>
      </c>
    </row>
    <row r="845" spans="1:8" ht="12.75" customHeight="1" x14ac:dyDescent="0.2">
      <c r="A845" s="273">
        <v>2025</v>
      </c>
      <c r="B845" s="274" t="s">
        <v>528</v>
      </c>
      <c r="C845" s="274" t="s">
        <v>1293</v>
      </c>
      <c r="D845" s="208" t="s">
        <v>1294</v>
      </c>
      <c r="E845" s="208" t="s">
        <v>900</v>
      </c>
      <c r="F845" s="208" t="s">
        <v>27</v>
      </c>
      <c r="G845" s="208" t="s">
        <v>365</v>
      </c>
      <c r="H845" s="275">
        <v>17.38</v>
      </c>
    </row>
    <row r="846" spans="1:8" ht="12.75" customHeight="1" x14ac:dyDescent="0.2">
      <c r="A846" s="273">
        <v>2025</v>
      </c>
      <c r="B846" s="274" t="s">
        <v>530</v>
      </c>
      <c r="C846" s="274" t="s">
        <v>1339</v>
      </c>
      <c r="D846" s="208" t="s">
        <v>1340</v>
      </c>
      <c r="E846" s="208" t="s">
        <v>719</v>
      </c>
      <c r="F846" s="208" t="s">
        <v>27</v>
      </c>
      <c r="G846" s="208" t="s">
        <v>365</v>
      </c>
      <c r="H846" s="275">
        <v>34.18</v>
      </c>
    </row>
    <row r="847" spans="1:8" ht="12.75" customHeight="1" x14ac:dyDescent="0.2">
      <c r="A847" s="273">
        <v>2025</v>
      </c>
      <c r="B847" s="274" t="s">
        <v>530</v>
      </c>
      <c r="C847" s="274" t="s">
        <v>1293</v>
      </c>
      <c r="D847" s="208" t="s">
        <v>1294</v>
      </c>
      <c r="E847" s="208" t="s">
        <v>734</v>
      </c>
      <c r="F847" s="208" t="s">
        <v>27</v>
      </c>
      <c r="G847" s="208" t="s">
        <v>365</v>
      </c>
      <c r="H847" s="275">
        <v>20.48</v>
      </c>
    </row>
    <row r="848" spans="1:8" ht="12.75" customHeight="1" x14ac:dyDescent="0.2">
      <c r="A848" s="273">
        <v>2025</v>
      </c>
      <c r="B848" s="274" t="s">
        <v>530</v>
      </c>
      <c r="C848" s="274" t="s">
        <v>1293</v>
      </c>
      <c r="D848" s="208" t="s">
        <v>1294</v>
      </c>
      <c r="E848" s="208" t="s">
        <v>1388</v>
      </c>
      <c r="F848" s="208" t="s">
        <v>27</v>
      </c>
      <c r="G848" s="208" t="s">
        <v>365</v>
      </c>
      <c r="H848" s="275">
        <v>40</v>
      </c>
    </row>
    <row r="849" spans="1:8" ht="12.75" customHeight="1" x14ac:dyDescent="0.2">
      <c r="A849" s="273">
        <v>2025</v>
      </c>
      <c r="B849" s="274" t="s">
        <v>1389</v>
      </c>
      <c r="C849" s="274" t="s">
        <v>1293</v>
      </c>
      <c r="D849" s="208" t="s">
        <v>1294</v>
      </c>
      <c r="E849" s="208" t="s">
        <v>1381</v>
      </c>
      <c r="F849" s="208" t="s">
        <v>27</v>
      </c>
      <c r="G849" s="208" t="s">
        <v>365</v>
      </c>
      <c r="H849" s="275">
        <v>0.99</v>
      </c>
    </row>
    <row r="850" spans="1:8" ht="12.75" customHeight="1" x14ac:dyDescent="0.2">
      <c r="A850" s="273">
        <v>2025</v>
      </c>
      <c r="B850" s="274" t="s">
        <v>1390</v>
      </c>
      <c r="C850" s="274" t="s">
        <v>1293</v>
      </c>
      <c r="D850" s="208" t="s">
        <v>1294</v>
      </c>
      <c r="E850" s="208" t="s">
        <v>1391</v>
      </c>
      <c r="F850" s="208" t="s">
        <v>27</v>
      </c>
      <c r="G850" s="208" t="s">
        <v>365</v>
      </c>
      <c r="H850" s="275">
        <v>11.99</v>
      </c>
    </row>
    <row r="851" spans="1:8" ht="12.75" customHeight="1" x14ac:dyDescent="0.2">
      <c r="A851" s="273">
        <v>2025</v>
      </c>
      <c r="B851" s="274" t="s">
        <v>1392</v>
      </c>
      <c r="C851" s="274" t="s">
        <v>1293</v>
      </c>
      <c r="D851" s="208" t="s">
        <v>1294</v>
      </c>
      <c r="E851" s="208" t="s">
        <v>1373</v>
      </c>
      <c r="F851" s="208" t="s">
        <v>27</v>
      </c>
      <c r="G851" s="208" t="s">
        <v>365</v>
      </c>
      <c r="H851" s="275">
        <v>34.950000000000003</v>
      </c>
    </row>
    <row r="852" spans="1:8" ht="12.75" customHeight="1" x14ac:dyDescent="0.2">
      <c r="A852" s="273">
        <v>2025</v>
      </c>
      <c r="B852" s="274" t="s">
        <v>1393</v>
      </c>
      <c r="C852" s="274" t="s">
        <v>1324</v>
      </c>
      <c r="D852" s="208" t="s">
        <v>1325</v>
      </c>
      <c r="E852" s="208" t="s">
        <v>1394</v>
      </c>
      <c r="F852" s="208" t="s">
        <v>27</v>
      </c>
      <c r="G852" s="208" t="s">
        <v>365</v>
      </c>
      <c r="H852" s="275">
        <v>60</v>
      </c>
    </row>
    <row r="853" spans="1:8" ht="12.75" customHeight="1" x14ac:dyDescent="0.2">
      <c r="A853" s="273">
        <v>2025</v>
      </c>
      <c r="B853" s="274" t="s">
        <v>904</v>
      </c>
      <c r="C853" s="274" t="s">
        <v>1293</v>
      </c>
      <c r="D853" s="208" t="s">
        <v>1294</v>
      </c>
      <c r="E853" s="208" t="s">
        <v>1395</v>
      </c>
      <c r="F853" s="208" t="s">
        <v>27</v>
      </c>
      <c r="G853" s="208" t="s">
        <v>365</v>
      </c>
      <c r="H853" s="275">
        <v>6.86</v>
      </c>
    </row>
    <row r="854" spans="1:8" ht="12.75" customHeight="1" x14ac:dyDescent="0.2">
      <c r="A854" s="273">
        <v>2025</v>
      </c>
      <c r="B854" s="274" t="s">
        <v>536</v>
      </c>
      <c r="C854" s="274" t="s">
        <v>1293</v>
      </c>
      <c r="D854" s="208" t="s">
        <v>1294</v>
      </c>
      <c r="E854" s="208" t="s">
        <v>905</v>
      </c>
      <c r="F854" s="208" t="s">
        <v>27</v>
      </c>
      <c r="G854" s="208" t="s">
        <v>365</v>
      </c>
      <c r="H854" s="275">
        <v>17.11</v>
      </c>
    </row>
    <row r="855" spans="1:8" ht="12.75" customHeight="1" x14ac:dyDescent="0.2">
      <c r="A855" s="273">
        <v>2025</v>
      </c>
      <c r="B855" s="274" t="s">
        <v>538</v>
      </c>
      <c r="C855" s="274" t="s">
        <v>1339</v>
      </c>
      <c r="D855" s="208" t="s">
        <v>1340</v>
      </c>
      <c r="E855" s="208" t="s">
        <v>719</v>
      </c>
      <c r="F855" s="208" t="s">
        <v>27</v>
      </c>
      <c r="G855" s="208" t="s">
        <v>365</v>
      </c>
      <c r="H855" s="275">
        <v>34.18</v>
      </c>
    </row>
    <row r="856" spans="1:8" ht="12.75" customHeight="1" x14ac:dyDescent="0.2">
      <c r="A856" s="273">
        <v>2025</v>
      </c>
      <c r="B856" s="274" t="s">
        <v>538</v>
      </c>
      <c r="C856" s="274" t="s">
        <v>1293</v>
      </c>
      <c r="D856" s="208" t="s">
        <v>1294</v>
      </c>
      <c r="E856" s="208" t="s">
        <v>753</v>
      </c>
      <c r="F856" s="208" t="s">
        <v>27</v>
      </c>
      <c r="G856" s="208" t="s">
        <v>365</v>
      </c>
      <c r="H856" s="275">
        <v>20.48</v>
      </c>
    </row>
    <row r="857" spans="1:8" ht="12.75" customHeight="1" x14ac:dyDescent="0.2">
      <c r="A857" s="273">
        <v>2025</v>
      </c>
      <c r="B857" s="274" t="s">
        <v>906</v>
      </c>
      <c r="C857" s="274" t="s">
        <v>1293</v>
      </c>
      <c r="D857" s="208" t="s">
        <v>1294</v>
      </c>
      <c r="E857" s="208" t="s">
        <v>1396</v>
      </c>
      <c r="F857" s="208" t="s">
        <v>27</v>
      </c>
      <c r="G857" s="208" t="s">
        <v>365</v>
      </c>
      <c r="H857" s="275">
        <v>15.39</v>
      </c>
    </row>
    <row r="858" spans="1:8" ht="12.75" customHeight="1" x14ac:dyDescent="0.2">
      <c r="A858" s="273">
        <v>2025</v>
      </c>
      <c r="B858" s="274" t="s">
        <v>755</v>
      </c>
      <c r="C858" s="274" t="s">
        <v>1293</v>
      </c>
      <c r="D858" s="208" t="s">
        <v>1294</v>
      </c>
      <c r="E858" s="208" t="s">
        <v>1397</v>
      </c>
      <c r="F858" s="208" t="s">
        <v>27</v>
      </c>
      <c r="G858" s="208" t="s">
        <v>365</v>
      </c>
      <c r="H858" s="275">
        <v>11.99</v>
      </c>
    </row>
    <row r="859" spans="1:8" ht="12.75" customHeight="1" x14ac:dyDescent="0.2">
      <c r="A859" s="273">
        <v>2025</v>
      </c>
      <c r="B859" s="274" t="s">
        <v>760</v>
      </c>
      <c r="C859" s="274" t="s">
        <v>1291</v>
      </c>
      <c r="D859" s="208" t="s">
        <v>1292</v>
      </c>
      <c r="E859" s="208" t="s">
        <v>761</v>
      </c>
      <c r="F859" s="208" t="s">
        <v>27</v>
      </c>
      <c r="G859" s="208" t="s">
        <v>365</v>
      </c>
      <c r="H859" s="275">
        <v>15.45</v>
      </c>
    </row>
    <row r="860" spans="1:8" ht="12.75" customHeight="1" x14ac:dyDescent="0.2">
      <c r="A860" s="273">
        <v>2025</v>
      </c>
      <c r="B860" s="274" t="s">
        <v>1398</v>
      </c>
      <c r="C860" s="274" t="s">
        <v>1293</v>
      </c>
      <c r="D860" s="208" t="s">
        <v>1294</v>
      </c>
      <c r="E860" s="208" t="s">
        <v>1381</v>
      </c>
      <c r="F860" s="208" t="s">
        <v>27</v>
      </c>
      <c r="G860" s="208" t="s">
        <v>365</v>
      </c>
      <c r="H860" s="275">
        <v>34.950000000000003</v>
      </c>
    </row>
    <row r="861" spans="1:8" ht="12.75" customHeight="1" x14ac:dyDescent="0.2">
      <c r="A861" s="273">
        <v>2025</v>
      </c>
      <c r="B861" s="274" t="s">
        <v>1399</v>
      </c>
      <c r="C861" s="274" t="s">
        <v>1324</v>
      </c>
      <c r="D861" s="208" t="s">
        <v>1325</v>
      </c>
      <c r="E861" s="208" t="s">
        <v>1400</v>
      </c>
      <c r="F861" s="208" t="s">
        <v>27</v>
      </c>
      <c r="G861" s="208" t="s">
        <v>365</v>
      </c>
      <c r="H861" s="275">
        <v>60</v>
      </c>
    </row>
    <row r="862" spans="1:8" ht="12.75" customHeight="1" x14ac:dyDescent="0.2">
      <c r="A862" s="273">
        <v>2025</v>
      </c>
      <c r="B862" s="274" t="s">
        <v>1401</v>
      </c>
      <c r="C862" s="274" t="s">
        <v>1293</v>
      </c>
      <c r="D862" s="208" t="s">
        <v>1294</v>
      </c>
      <c r="E862" s="208" t="s">
        <v>1402</v>
      </c>
      <c r="F862" s="208" t="s">
        <v>27</v>
      </c>
      <c r="G862" s="208" t="s">
        <v>365</v>
      </c>
      <c r="H862" s="275">
        <v>702</v>
      </c>
    </row>
    <row r="863" spans="1:8" ht="12.75" customHeight="1" x14ac:dyDescent="0.2">
      <c r="A863" s="273">
        <v>2025</v>
      </c>
      <c r="B863" s="274" t="s">
        <v>909</v>
      </c>
      <c r="C863" s="274" t="s">
        <v>1293</v>
      </c>
      <c r="D863" s="208" t="s">
        <v>1294</v>
      </c>
      <c r="E863" s="208" t="s">
        <v>1403</v>
      </c>
      <c r="F863" s="208" t="s">
        <v>27</v>
      </c>
      <c r="G863" s="208" t="s">
        <v>365</v>
      </c>
      <c r="H863" s="275">
        <v>6.84</v>
      </c>
    </row>
    <row r="864" spans="1:8" ht="12.75" customHeight="1" x14ac:dyDescent="0.2">
      <c r="A864" s="273">
        <v>2025</v>
      </c>
      <c r="B864" s="274" t="s">
        <v>549</v>
      </c>
      <c r="C864" s="274" t="s">
        <v>1293</v>
      </c>
      <c r="D864" s="208" t="s">
        <v>1294</v>
      </c>
      <c r="E864" s="208" t="s">
        <v>910</v>
      </c>
      <c r="F864" s="208" t="s">
        <v>27</v>
      </c>
      <c r="G864" s="208" t="s">
        <v>365</v>
      </c>
      <c r="H864" s="275">
        <v>17.04</v>
      </c>
    </row>
    <row r="865" spans="1:8" ht="12.75" customHeight="1" x14ac:dyDescent="0.2">
      <c r="A865" s="273">
        <v>2025</v>
      </c>
      <c r="B865" s="274" t="s">
        <v>762</v>
      </c>
      <c r="C865" s="274" t="s">
        <v>1339</v>
      </c>
      <c r="D865" s="208" t="s">
        <v>1340</v>
      </c>
      <c r="E865" s="208" t="s">
        <v>719</v>
      </c>
      <c r="F865" s="208" t="s">
        <v>27</v>
      </c>
      <c r="G865" s="208" t="s">
        <v>365</v>
      </c>
      <c r="H865" s="275">
        <v>34.18</v>
      </c>
    </row>
    <row r="866" spans="1:8" ht="12.75" customHeight="1" x14ac:dyDescent="0.2">
      <c r="A866" s="273">
        <v>2025</v>
      </c>
      <c r="B866" s="274" t="s">
        <v>762</v>
      </c>
      <c r="C866" s="274" t="s">
        <v>1293</v>
      </c>
      <c r="D866" s="208" t="s">
        <v>1294</v>
      </c>
      <c r="E866" s="208" t="s">
        <v>763</v>
      </c>
      <c r="F866" s="208" t="s">
        <v>27</v>
      </c>
      <c r="G866" s="208" t="s">
        <v>365</v>
      </c>
      <c r="H866" s="275">
        <v>20.48</v>
      </c>
    </row>
    <row r="867" spans="1:8" ht="12.75" customHeight="1" x14ac:dyDescent="0.2">
      <c r="A867" s="273">
        <v>2025</v>
      </c>
      <c r="B867" s="274" t="s">
        <v>1404</v>
      </c>
      <c r="C867" s="274" t="s">
        <v>1293</v>
      </c>
      <c r="D867" s="208" t="s">
        <v>1294</v>
      </c>
      <c r="E867" s="208" t="s">
        <v>1405</v>
      </c>
      <c r="F867" s="208" t="s">
        <v>27</v>
      </c>
      <c r="G867" s="208" t="s">
        <v>365</v>
      </c>
      <c r="H867" s="275">
        <v>0.99</v>
      </c>
    </row>
    <row r="868" spans="1:8" ht="12.75" customHeight="1" x14ac:dyDescent="0.2">
      <c r="A868" s="273">
        <v>2025</v>
      </c>
      <c r="B868" s="274" t="s">
        <v>553</v>
      </c>
      <c r="C868" s="274" t="s">
        <v>1293</v>
      </c>
      <c r="D868" s="208" t="s">
        <v>1294</v>
      </c>
      <c r="E868" s="208" t="s">
        <v>1406</v>
      </c>
      <c r="F868" s="208" t="s">
        <v>27</v>
      </c>
      <c r="G868" s="208" t="s">
        <v>365</v>
      </c>
      <c r="H868" s="275">
        <v>11.99</v>
      </c>
    </row>
    <row r="869" spans="1:8" ht="12.75" customHeight="1" x14ac:dyDescent="0.2">
      <c r="A869" s="273">
        <v>2025</v>
      </c>
      <c r="B869" s="274" t="s">
        <v>553</v>
      </c>
      <c r="C869" s="274" t="s">
        <v>1293</v>
      </c>
      <c r="D869" s="208" t="s">
        <v>1294</v>
      </c>
      <c r="E869" s="208" t="s">
        <v>1407</v>
      </c>
      <c r="F869" s="208" t="s">
        <v>27</v>
      </c>
      <c r="G869" s="208" t="s">
        <v>365</v>
      </c>
      <c r="H869" s="275">
        <v>99</v>
      </c>
    </row>
    <row r="870" spans="1:8" ht="12.75" customHeight="1" x14ac:dyDescent="0.2">
      <c r="A870" s="273">
        <v>2025</v>
      </c>
      <c r="B870" s="274" t="s">
        <v>767</v>
      </c>
      <c r="C870" s="274" t="s">
        <v>1339</v>
      </c>
      <c r="D870" s="208" t="s">
        <v>1340</v>
      </c>
      <c r="E870" s="208" t="s">
        <v>1408</v>
      </c>
      <c r="F870" s="208" t="s">
        <v>27</v>
      </c>
      <c r="G870" s="208" t="s">
        <v>365</v>
      </c>
      <c r="H870" s="275">
        <v>10</v>
      </c>
    </row>
    <row r="871" spans="1:8" ht="12.75" customHeight="1" x14ac:dyDescent="0.2">
      <c r="A871" s="273">
        <v>2025</v>
      </c>
      <c r="B871" s="274" t="s">
        <v>767</v>
      </c>
      <c r="C871" s="274" t="s">
        <v>1339</v>
      </c>
      <c r="D871" s="208" t="s">
        <v>1340</v>
      </c>
      <c r="E871" s="208" t="s">
        <v>1409</v>
      </c>
      <c r="F871" s="208" t="s">
        <v>27</v>
      </c>
      <c r="G871" s="208" t="s">
        <v>365</v>
      </c>
      <c r="H871" s="275">
        <v>10</v>
      </c>
    </row>
    <row r="872" spans="1:8" ht="12.75" customHeight="1" x14ac:dyDescent="0.2">
      <c r="A872" s="273">
        <v>2025</v>
      </c>
      <c r="B872" s="274" t="s">
        <v>1410</v>
      </c>
      <c r="C872" s="274" t="s">
        <v>1293</v>
      </c>
      <c r="D872" s="208" t="s">
        <v>1294</v>
      </c>
      <c r="E872" s="208" t="s">
        <v>1411</v>
      </c>
      <c r="F872" s="208" t="s">
        <v>27</v>
      </c>
      <c r="G872" s="208" t="s">
        <v>365</v>
      </c>
      <c r="H872" s="275">
        <v>34.950000000000003</v>
      </c>
    </row>
    <row r="873" spans="1:8" ht="12.75" customHeight="1" x14ac:dyDescent="0.2">
      <c r="A873" s="273">
        <v>2025</v>
      </c>
      <c r="B873" s="274" t="s">
        <v>1412</v>
      </c>
      <c r="C873" s="274" t="s">
        <v>1324</v>
      </c>
      <c r="D873" s="208" t="s">
        <v>1325</v>
      </c>
      <c r="E873" s="208" t="s">
        <v>1413</v>
      </c>
      <c r="F873" s="208" t="s">
        <v>27</v>
      </c>
      <c r="G873" s="208" t="s">
        <v>365</v>
      </c>
      <c r="H873" s="275">
        <v>60</v>
      </c>
    </row>
    <row r="874" spans="1:8" ht="12.75" customHeight="1" x14ac:dyDescent="0.2">
      <c r="A874" s="273">
        <v>2025</v>
      </c>
      <c r="B874" s="274" t="s">
        <v>920</v>
      </c>
      <c r="C874" s="274" t="s">
        <v>1293</v>
      </c>
      <c r="D874" s="208" t="s">
        <v>1294</v>
      </c>
      <c r="E874" s="208" t="s">
        <v>921</v>
      </c>
      <c r="F874" s="208" t="s">
        <v>27</v>
      </c>
      <c r="G874" s="208" t="s">
        <v>365</v>
      </c>
      <c r="H874" s="275">
        <v>6.86</v>
      </c>
    </row>
    <row r="875" spans="1:8" ht="12.75" customHeight="1" x14ac:dyDescent="0.2">
      <c r="A875" s="273">
        <v>2025</v>
      </c>
      <c r="B875" s="274" t="s">
        <v>563</v>
      </c>
      <c r="C875" s="274" t="s">
        <v>1293</v>
      </c>
      <c r="D875" s="208" t="s">
        <v>1294</v>
      </c>
      <c r="E875" s="208" t="s">
        <v>1414</v>
      </c>
      <c r="F875" s="208" t="s">
        <v>27</v>
      </c>
      <c r="G875" s="208" t="s">
        <v>365</v>
      </c>
      <c r="H875" s="276">
        <v>-6.67</v>
      </c>
    </row>
    <row r="876" spans="1:8" ht="12.75" customHeight="1" x14ac:dyDescent="0.2">
      <c r="A876" s="273">
        <v>2025</v>
      </c>
      <c r="B876" s="274" t="s">
        <v>563</v>
      </c>
      <c r="C876" s="274" t="s">
        <v>1293</v>
      </c>
      <c r="D876" s="208" t="s">
        <v>1294</v>
      </c>
      <c r="E876" s="208" t="s">
        <v>1415</v>
      </c>
      <c r="F876" s="208" t="s">
        <v>27</v>
      </c>
      <c r="G876" s="208" t="s">
        <v>365</v>
      </c>
      <c r="H876" s="275">
        <v>17.25</v>
      </c>
    </row>
    <row r="877" spans="1:8" ht="12.75" customHeight="1" x14ac:dyDescent="0.2">
      <c r="A877" s="273">
        <v>2025</v>
      </c>
      <c r="B877" s="274" t="s">
        <v>779</v>
      </c>
      <c r="C877" s="274" t="s">
        <v>1339</v>
      </c>
      <c r="D877" s="208" t="s">
        <v>1340</v>
      </c>
      <c r="E877" s="208" t="s">
        <v>719</v>
      </c>
      <c r="F877" s="208" t="s">
        <v>27</v>
      </c>
      <c r="G877" s="208" t="s">
        <v>365</v>
      </c>
      <c r="H877" s="275">
        <v>34.18</v>
      </c>
    </row>
    <row r="878" spans="1:8" ht="12.75" customHeight="1" x14ac:dyDescent="0.2">
      <c r="A878" s="273">
        <v>2025</v>
      </c>
      <c r="B878" s="274" t="s">
        <v>779</v>
      </c>
      <c r="C878" s="274" t="s">
        <v>1293</v>
      </c>
      <c r="D878" s="208" t="s">
        <v>1294</v>
      </c>
      <c r="E878" s="208" t="s">
        <v>780</v>
      </c>
      <c r="F878" s="208" t="s">
        <v>27</v>
      </c>
      <c r="G878" s="208" t="s">
        <v>365</v>
      </c>
      <c r="H878" s="275">
        <v>20.48</v>
      </c>
    </row>
    <row r="879" spans="1:8" ht="12.75" customHeight="1" x14ac:dyDescent="0.2">
      <c r="A879" s="273">
        <v>2025</v>
      </c>
      <c r="B879" s="274" t="s">
        <v>1416</v>
      </c>
      <c r="C879" s="274" t="s">
        <v>1293</v>
      </c>
      <c r="D879" s="208" t="s">
        <v>1294</v>
      </c>
      <c r="E879" s="208" t="s">
        <v>1417</v>
      </c>
      <c r="F879" s="208" t="s">
        <v>27</v>
      </c>
      <c r="G879" s="208" t="s">
        <v>365</v>
      </c>
      <c r="H879" s="275">
        <v>11.99</v>
      </c>
    </row>
    <row r="880" spans="1:8" ht="12.75" customHeight="1" x14ac:dyDescent="0.2">
      <c r="A880" s="273">
        <v>2025</v>
      </c>
      <c r="B880" s="274" t="s">
        <v>1416</v>
      </c>
      <c r="C880" s="274" t="s">
        <v>1293</v>
      </c>
      <c r="D880" s="208" t="s">
        <v>1294</v>
      </c>
      <c r="E880" s="208" t="s">
        <v>1418</v>
      </c>
      <c r="F880" s="208" t="s">
        <v>27</v>
      </c>
      <c r="G880" s="208" t="s">
        <v>365</v>
      </c>
      <c r="H880" s="275">
        <v>0.99</v>
      </c>
    </row>
    <row r="881" spans="1:8" ht="12.75" customHeight="1" x14ac:dyDescent="0.2">
      <c r="A881" s="273">
        <v>2025</v>
      </c>
      <c r="B881" s="274" t="s">
        <v>785</v>
      </c>
      <c r="C881" s="274" t="s">
        <v>1293</v>
      </c>
      <c r="D881" s="208" t="s">
        <v>1294</v>
      </c>
      <c r="E881" s="208" t="s">
        <v>1419</v>
      </c>
      <c r="F881" s="208" t="s">
        <v>27</v>
      </c>
      <c r="G881" s="208" t="s">
        <v>365</v>
      </c>
      <c r="H881" s="275">
        <v>0.99</v>
      </c>
    </row>
    <row r="882" spans="1:8" ht="12.75" customHeight="1" x14ac:dyDescent="0.2">
      <c r="A882" s="273">
        <v>2025</v>
      </c>
      <c r="B882" s="274" t="s">
        <v>1420</v>
      </c>
      <c r="C882" s="274" t="s">
        <v>1339</v>
      </c>
      <c r="D882" s="208" t="s">
        <v>1340</v>
      </c>
      <c r="E882" s="208" t="s">
        <v>1421</v>
      </c>
      <c r="F882" s="208" t="s">
        <v>27</v>
      </c>
      <c r="G882" s="208" t="s">
        <v>365</v>
      </c>
      <c r="H882" s="275">
        <v>13.33</v>
      </c>
    </row>
    <row r="883" spans="1:8" ht="12.75" customHeight="1" x14ac:dyDescent="0.2">
      <c r="A883" s="273">
        <v>2025</v>
      </c>
      <c r="B883" s="274" t="s">
        <v>569</v>
      </c>
      <c r="C883" s="274" t="s">
        <v>1324</v>
      </c>
      <c r="D883" s="208" t="s">
        <v>1325</v>
      </c>
      <c r="E883" s="208" t="s">
        <v>1422</v>
      </c>
      <c r="F883" s="208" t="s">
        <v>27</v>
      </c>
      <c r="G883" s="208" t="s">
        <v>365</v>
      </c>
      <c r="H883" s="275">
        <v>60</v>
      </c>
    </row>
    <row r="884" spans="1:8" ht="12.75" customHeight="1" x14ac:dyDescent="0.2">
      <c r="A884" s="273">
        <v>2025</v>
      </c>
      <c r="B884" s="274" t="s">
        <v>1423</v>
      </c>
      <c r="C884" s="274" t="s">
        <v>1293</v>
      </c>
      <c r="D884" s="208" t="s">
        <v>1294</v>
      </c>
      <c r="E884" s="208" t="s">
        <v>1424</v>
      </c>
      <c r="F884" s="208" t="s">
        <v>27</v>
      </c>
      <c r="G884" s="208" t="s">
        <v>365</v>
      </c>
      <c r="H884" s="275">
        <v>34.950000000000003</v>
      </c>
    </row>
    <row r="885" spans="1:8" ht="12.75" customHeight="1" x14ac:dyDescent="0.2">
      <c r="A885" s="273">
        <v>2025</v>
      </c>
      <c r="B885" s="274" t="s">
        <v>571</v>
      </c>
      <c r="C885" s="274" t="s">
        <v>1293</v>
      </c>
      <c r="D885" s="208" t="s">
        <v>1294</v>
      </c>
      <c r="E885" s="208" t="s">
        <v>1425</v>
      </c>
      <c r="F885" s="208" t="s">
        <v>27</v>
      </c>
      <c r="G885" s="208" t="s">
        <v>365</v>
      </c>
      <c r="H885" s="275">
        <v>17.239999999999998</v>
      </c>
    </row>
    <row r="886" spans="1:8" ht="12.75" customHeight="1" x14ac:dyDescent="0.2">
      <c r="A886" s="273">
        <v>2025</v>
      </c>
      <c r="B886" s="274" t="s">
        <v>790</v>
      </c>
      <c r="C886" s="274" t="s">
        <v>1339</v>
      </c>
      <c r="D886" s="208" t="s">
        <v>1340</v>
      </c>
      <c r="E886" s="208" t="s">
        <v>719</v>
      </c>
      <c r="F886" s="208" t="s">
        <v>27</v>
      </c>
      <c r="G886" s="208" t="s">
        <v>365</v>
      </c>
      <c r="H886" s="275">
        <v>34.18</v>
      </c>
    </row>
    <row r="887" spans="1:8" ht="12.75" customHeight="1" x14ac:dyDescent="0.2">
      <c r="A887" s="273">
        <v>2025</v>
      </c>
      <c r="B887" s="274" t="s">
        <v>790</v>
      </c>
      <c r="C887" s="274" t="s">
        <v>1293</v>
      </c>
      <c r="D887" s="208" t="s">
        <v>1294</v>
      </c>
      <c r="E887" s="208" t="s">
        <v>791</v>
      </c>
      <c r="F887" s="208" t="s">
        <v>27</v>
      </c>
      <c r="G887" s="208" t="s">
        <v>365</v>
      </c>
      <c r="H887" s="275">
        <v>20.48</v>
      </c>
    </row>
    <row r="888" spans="1:8" ht="12.75" customHeight="1" x14ac:dyDescent="0.2">
      <c r="A888" s="273">
        <v>2025</v>
      </c>
      <c r="B888" s="274" t="s">
        <v>794</v>
      </c>
      <c r="C888" s="274" t="s">
        <v>1339</v>
      </c>
      <c r="D888" s="208" t="s">
        <v>1340</v>
      </c>
      <c r="E888" s="208" t="s">
        <v>1426</v>
      </c>
      <c r="F888" s="208" t="s">
        <v>27</v>
      </c>
      <c r="G888" s="208" t="s">
        <v>365</v>
      </c>
      <c r="H888" s="275">
        <v>358.07</v>
      </c>
    </row>
    <row r="889" spans="1:8" ht="12.75" customHeight="1" x14ac:dyDescent="0.2">
      <c r="A889" s="273">
        <v>2025</v>
      </c>
      <c r="B889" s="274" t="s">
        <v>573</v>
      </c>
      <c r="C889" s="274" t="s">
        <v>1293</v>
      </c>
      <c r="D889" s="208" t="s">
        <v>1294</v>
      </c>
      <c r="E889" s="208" t="s">
        <v>1427</v>
      </c>
      <c r="F889" s="208" t="s">
        <v>27</v>
      </c>
      <c r="G889" s="208" t="s">
        <v>365</v>
      </c>
      <c r="H889" s="275">
        <v>0.99</v>
      </c>
    </row>
    <row r="890" spans="1:8" ht="12.75" customHeight="1" x14ac:dyDescent="0.2">
      <c r="A890" s="273">
        <v>2025</v>
      </c>
      <c r="B890" s="274" t="s">
        <v>1428</v>
      </c>
      <c r="C890" s="274" t="s">
        <v>1293</v>
      </c>
      <c r="D890" s="208" t="s">
        <v>1294</v>
      </c>
      <c r="E890" s="208" t="s">
        <v>1429</v>
      </c>
      <c r="F890" s="208" t="s">
        <v>27</v>
      </c>
      <c r="G890" s="208" t="s">
        <v>365</v>
      </c>
      <c r="H890" s="275">
        <v>11.99</v>
      </c>
    </row>
    <row r="891" spans="1:8" ht="12.75" customHeight="1" x14ac:dyDescent="0.2">
      <c r="A891" s="273">
        <v>2025</v>
      </c>
      <c r="B891" s="274" t="s">
        <v>1430</v>
      </c>
      <c r="C891" s="274" t="s">
        <v>1293</v>
      </c>
      <c r="D891" s="208" t="s">
        <v>1294</v>
      </c>
      <c r="E891" s="208" t="s">
        <v>1381</v>
      </c>
      <c r="F891" s="208" t="s">
        <v>27</v>
      </c>
      <c r="G891" s="208" t="s">
        <v>365</v>
      </c>
      <c r="H891" s="275">
        <v>34.950000000000003</v>
      </c>
    </row>
    <row r="892" spans="1:8" ht="12.75" customHeight="1" x14ac:dyDescent="0.2">
      <c r="A892" s="273">
        <v>2025</v>
      </c>
      <c r="B892" s="274" t="s">
        <v>581</v>
      </c>
      <c r="C892" s="274" t="s">
        <v>1291</v>
      </c>
      <c r="D892" s="208" t="s">
        <v>1292</v>
      </c>
      <c r="E892" s="208" t="s">
        <v>1290</v>
      </c>
      <c r="F892" s="208" t="s">
        <v>27</v>
      </c>
      <c r="G892" s="208" t="s">
        <v>365</v>
      </c>
      <c r="H892" s="275">
        <v>30.9</v>
      </c>
    </row>
    <row r="893" spans="1:8" ht="12.75" customHeight="1" x14ac:dyDescent="0.2">
      <c r="A893" s="273">
        <v>2025</v>
      </c>
      <c r="B893" s="274" t="s">
        <v>581</v>
      </c>
      <c r="C893" s="274" t="s">
        <v>1293</v>
      </c>
      <c r="D893" s="208" t="s">
        <v>1294</v>
      </c>
      <c r="E893" s="208" t="s">
        <v>1431</v>
      </c>
      <c r="F893" s="208" t="s">
        <v>27</v>
      </c>
      <c r="G893" s="208" t="s">
        <v>365</v>
      </c>
      <c r="H893" s="276">
        <v>-750</v>
      </c>
    </row>
    <row r="894" spans="1:8" ht="12.75" customHeight="1" x14ac:dyDescent="0.2">
      <c r="A894" s="273">
        <v>2025</v>
      </c>
      <c r="B894" s="274" t="s">
        <v>581</v>
      </c>
      <c r="C894" s="274" t="s">
        <v>1293</v>
      </c>
      <c r="D894" s="208" t="s">
        <v>1294</v>
      </c>
      <c r="E894" s="208" t="s">
        <v>1432</v>
      </c>
      <c r="F894" s="208" t="s">
        <v>27</v>
      </c>
      <c r="G894" s="208" t="s">
        <v>365</v>
      </c>
      <c r="H894" s="276">
        <v>-519</v>
      </c>
    </row>
    <row r="895" spans="1:8" ht="12.75" customHeight="1" x14ac:dyDescent="0.2">
      <c r="A895" s="273">
        <v>2025</v>
      </c>
      <c r="B895" s="274" t="s">
        <v>581</v>
      </c>
      <c r="C895" s="274" t="s">
        <v>1293</v>
      </c>
      <c r="D895" s="208" t="s">
        <v>1294</v>
      </c>
      <c r="E895" s="208" t="s">
        <v>1289</v>
      </c>
      <c r="F895" s="208" t="s">
        <v>27</v>
      </c>
      <c r="G895" s="208" t="s">
        <v>365</v>
      </c>
      <c r="H895" s="275">
        <v>24.6</v>
      </c>
    </row>
    <row r="896" spans="1:8" ht="12.75" customHeight="1" x14ac:dyDescent="0.2">
      <c r="A896" s="273">
        <v>2025</v>
      </c>
      <c r="B896" s="274" t="s">
        <v>429</v>
      </c>
      <c r="C896" s="274" t="s">
        <v>1433</v>
      </c>
      <c r="D896" s="208" t="s">
        <v>1434</v>
      </c>
      <c r="E896" s="208" t="s">
        <v>1435</v>
      </c>
      <c r="F896" s="208" t="s">
        <v>27</v>
      </c>
      <c r="G896" s="208" t="s">
        <v>37</v>
      </c>
      <c r="H896" s="276">
        <v>-926.74</v>
      </c>
    </row>
    <row r="897" spans="1:8" ht="12.75" customHeight="1" x14ac:dyDescent="0.2">
      <c r="A897" s="273">
        <v>2025</v>
      </c>
      <c r="B897" s="274" t="s">
        <v>429</v>
      </c>
      <c r="C897" s="274" t="s">
        <v>1433</v>
      </c>
      <c r="D897" s="208" t="s">
        <v>1434</v>
      </c>
      <c r="E897" s="208" t="s">
        <v>1436</v>
      </c>
      <c r="F897" s="208" t="s">
        <v>27</v>
      </c>
      <c r="G897" s="208" t="s">
        <v>37</v>
      </c>
      <c r="H897" s="275">
        <v>349</v>
      </c>
    </row>
    <row r="898" spans="1:8" ht="12.75" customHeight="1" x14ac:dyDescent="0.2">
      <c r="A898" s="273">
        <v>2025</v>
      </c>
      <c r="B898" s="274" t="s">
        <v>654</v>
      </c>
      <c r="C898" s="274" t="s">
        <v>1437</v>
      </c>
      <c r="D898" s="208" t="s">
        <v>1438</v>
      </c>
      <c r="E898" s="208" t="s">
        <v>1439</v>
      </c>
      <c r="F898" s="208" t="s">
        <v>27</v>
      </c>
      <c r="G898" s="208" t="s">
        <v>37</v>
      </c>
      <c r="H898" s="275">
        <v>20</v>
      </c>
    </row>
    <row r="899" spans="1:8" ht="12.75" customHeight="1" x14ac:dyDescent="0.2">
      <c r="A899" s="273">
        <v>2025</v>
      </c>
      <c r="B899" s="274" t="s">
        <v>433</v>
      </c>
      <c r="C899" s="274" t="s">
        <v>1433</v>
      </c>
      <c r="D899" s="208" t="s">
        <v>1434</v>
      </c>
      <c r="E899" s="208" t="s">
        <v>1440</v>
      </c>
      <c r="F899" s="208" t="s">
        <v>27</v>
      </c>
      <c r="G899" s="208" t="s">
        <v>37</v>
      </c>
      <c r="H899" s="275">
        <v>926.74</v>
      </c>
    </row>
    <row r="900" spans="1:8" ht="12.75" customHeight="1" x14ac:dyDescent="0.2">
      <c r="A900" s="273">
        <v>2025</v>
      </c>
      <c r="B900" s="274" t="s">
        <v>1441</v>
      </c>
      <c r="C900" s="274" t="s">
        <v>1442</v>
      </c>
      <c r="D900" s="208" t="s">
        <v>1443</v>
      </c>
      <c r="E900" s="208" t="s">
        <v>1444</v>
      </c>
      <c r="F900" s="208" t="s">
        <v>27</v>
      </c>
      <c r="G900" s="208" t="s">
        <v>37</v>
      </c>
      <c r="H900" s="275">
        <v>100</v>
      </c>
    </row>
    <row r="901" spans="1:8" ht="12.75" customHeight="1" x14ac:dyDescent="0.2">
      <c r="A901" s="273">
        <v>2025</v>
      </c>
      <c r="B901" s="274" t="s">
        <v>452</v>
      </c>
      <c r="C901" s="274" t="s">
        <v>1437</v>
      </c>
      <c r="D901" s="208" t="s">
        <v>1438</v>
      </c>
      <c r="E901" s="208" t="s">
        <v>1445</v>
      </c>
      <c r="F901" s="208" t="s">
        <v>27</v>
      </c>
      <c r="G901" s="208" t="s">
        <v>37</v>
      </c>
      <c r="H901" s="275">
        <v>624.67999999999995</v>
      </c>
    </row>
    <row r="902" spans="1:8" ht="12.75" customHeight="1" x14ac:dyDescent="0.2">
      <c r="A902" s="273">
        <v>2025</v>
      </c>
      <c r="B902" s="274" t="s">
        <v>1446</v>
      </c>
      <c r="C902" s="274" t="s">
        <v>1433</v>
      </c>
      <c r="D902" s="208" t="s">
        <v>1434</v>
      </c>
      <c r="E902" s="208" t="s">
        <v>1447</v>
      </c>
      <c r="F902" s="208" t="s">
        <v>27</v>
      </c>
      <c r="G902" s="208" t="s">
        <v>37</v>
      </c>
      <c r="H902" s="275">
        <v>349</v>
      </c>
    </row>
    <row r="903" spans="1:8" ht="12.75" customHeight="1" x14ac:dyDescent="0.2">
      <c r="A903" s="273">
        <v>2025</v>
      </c>
      <c r="B903" s="274" t="s">
        <v>821</v>
      </c>
      <c r="C903" s="274" t="s">
        <v>1437</v>
      </c>
      <c r="D903" s="208" t="s">
        <v>1438</v>
      </c>
      <c r="E903" s="208" t="s">
        <v>1448</v>
      </c>
      <c r="F903" s="208" t="s">
        <v>27</v>
      </c>
      <c r="G903" s="208" t="s">
        <v>37</v>
      </c>
      <c r="H903" s="275">
        <v>1460</v>
      </c>
    </row>
    <row r="904" spans="1:8" ht="12.75" customHeight="1" x14ac:dyDescent="0.2">
      <c r="A904" s="273">
        <v>2025</v>
      </c>
      <c r="B904" s="274" t="s">
        <v>667</v>
      </c>
      <c r="C904" s="274" t="s">
        <v>1437</v>
      </c>
      <c r="D904" s="208" t="s">
        <v>1438</v>
      </c>
      <c r="E904" s="208" t="s">
        <v>1449</v>
      </c>
      <c r="F904" s="208" t="s">
        <v>27</v>
      </c>
      <c r="G904" s="208" t="s">
        <v>37</v>
      </c>
      <c r="H904" s="275">
        <v>20</v>
      </c>
    </row>
    <row r="905" spans="1:8" ht="12.75" customHeight="1" x14ac:dyDescent="0.2">
      <c r="A905" s="273">
        <v>2025</v>
      </c>
      <c r="B905" s="274" t="s">
        <v>877</v>
      </c>
      <c r="C905" s="274" t="s">
        <v>1433</v>
      </c>
      <c r="D905" s="208" t="s">
        <v>1434</v>
      </c>
      <c r="E905" s="208" t="s">
        <v>1450</v>
      </c>
      <c r="F905" s="208" t="s">
        <v>27</v>
      </c>
      <c r="G905" s="208" t="s">
        <v>37</v>
      </c>
      <c r="H905" s="275">
        <v>1506.87</v>
      </c>
    </row>
    <row r="906" spans="1:8" ht="12.75" customHeight="1" x14ac:dyDescent="0.2">
      <c r="A906" s="273">
        <v>2025</v>
      </c>
      <c r="B906" s="274" t="s">
        <v>1451</v>
      </c>
      <c r="C906" s="274" t="s">
        <v>1452</v>
      </c>
      <c r="D906" s="208" t="s">
        <v>1453</v>
      </c>
      <c r="E906" s="208" t="s">
        <v>1454</v>
      </c>
      <c r="F906" s="208" t="s">
        <v>27</v>
      </c>
      <c r="G906" s="208" t="s">
        <v>37</v>
      </c>
      <c r="H906" s="275">
        <v>50</v>
      </c>
    </row>
    <row r="907" spans="1:8" ht="12.75" customHeight="1" x14ac:dyDescent="0.2">
      <c r="A907" s="273">
        <v>2025</v>
      </c>
      <c r="B907" s="274" t="s">
        <v>678</v>
      </c>
      <c r="C907" s="274" t="s">
        <v>1437</v>
      </c>
      <c r="D907" s="208" t="s">
        <v>1438</v>
      </c>
      <c r="E907" s="208" t="s">
        <v>1455</v>
      </c>
      <c r="F907" s="208" t="s">
        <v>27</v>
      </c>
      <c r="G907" s="208" t="s">
        <v>37</v>
      </c>
      <c r="H907" s="275">
        <v>87.98</v>
      </c>
    </row>
    <row r="908" spans="1:8" ht="12.75" customHeight="1" x14ac:dyDescent="0.2">
      <c r="A908" s="273">
        <v>2025</v>
      </c>
      <c r="B908" s="274" t="s">
        <v>1456</v>
      </c>
      <c r="C908" s="274" t="s">
        <v>1457</v>
      </c>
      <c r="D908" s="208" t="s">
        <v>1458</v>
      </c>
      <c r="E908" s="208" t="s">
        <v>1459</v>
      </c>
      <c r="F908" s="208" t="s">
        <v>27</v>
      </c>
      <c r="G908" s="208" t="s">
        <v>37</v>
      </c>
      <c r="H908" s="275">
        <v>2000</v>
      </c>
    </row>
    <row r="909" spans="1:8" ht="12.75" customHeight="1" x14ac:dyDescent="0.2">
      <c r="A909" s="273">
        <v>2025</v>
      </c>
      <c r="B909" s="274" t="s">
        <v>457</v>
      </c>
      <c r="C909" s="274" t="s">
        <v>1437</v>
      </c>
      <c r="D909" s="208" t="s">
        <v>1438</v>
      </c>
      <c r="E909" s="208" t="s">
        <v>1460</v>
      </c>
      <c r="F909" s="208" t="s">
        <v>27</v>
      </c>
      <c r="G909" s="208" t="s">
        <v>37</v>
      </c>
      <c r="H909" s="275">
        <v>624.67999999999995</v>
      </c>
    </row>
    <row r="910" spans="1:8" ht="12.75" customHeight="1" x14ac:dyDescent="0.2">
      <c r="A910" s="273">
        <v>2025</v>
      </c>
      <c r="B910" s="274" t="s">
        <v>457</v>
      </c>
      <c r="C910" s="274" t="s">
        <v>1461</v>
      </c>
      <c r="D910" s="208" t="s">
        <v>1462</v>
      </c>
      <c r="E910" s="208" t="s">
        <v>1463</v>
      </c>
      <c r="F910" s="208" t="s">
        <v>27</v>
      </c>
      <c r="G910" s="208" t="s">
        <v>37</v>
      </c>
      <c r="H910" s="275">
        <v>150</v>
      </c>
    </row>
    <row r="911" spans="1:8" ht="12.75" customHeight="1" x14ac:dyDescent="0.2">
      <c r="A911" s="273">
        <v>2025</v>
      </c>
      <c r="B911" s="274" t="s">
        <v>1321</v>
      </c>
      <c r="C911" s="274" t="s">
        <v>1437</v>
      </c>
      <c r="D911" s="208" t="s">
        <v>1438</v>
      </c>
      <c r="E911" s="208" t="s">
        <v>1464</v>
      </c>
      <c r="F911" s="208" t="s">
        <v>27</v>
      </c>
      <c r="G911" s="208" t="s">
        <v>37</v>
      </c>
      <c r="H911" s="275">
        <v>494.4</v>
      </c>
    </row>
    <row r="912" spans="1:8" ht="12.75" customHeight="1" x14ac:dyDescent="0.2">
      <c r="A912" s="273">
        <v>2025</v>
      </c>
      <c r="B912" s="274" t="s">
        <v>459</v>
      </c>
      <c r="C912" s="274" t="s">
        <v>1433</v>
      </c>
      <c r="D912" s="208" t="s">
        <v>1434</v>
      </c>
      <c r="E912" s="208" t="s">
        <v>1465</v>
      </c>
      <c r="F912" s="208" t="s">
        <v>27</v>
      </c>
      <c r="G912" s="208" t="s">
        <v>37</v>
      </c>
      <c r="H912" s="275">
        <v>349</v>
      </c>
    </row>
    <row r="913" spans="1:8" ht="12.75" customHeight="1" x14ac:dyDescent="0.2">
      <c r="A913" s="273">
        <v>2025</v>
      </c>
      <c r="B913" s="274" t="s">
        <v>880</v>
      </c>
      <c r="C913" s="274" t="s">
        <v>1437</v>
      </c>
      <c r="D913" s="208" t="s">
        <v>1438</v>
      </c>
      <c r="E913" s="208" t="s">
        <v>1466</v>
      </c>
      <c r="F913" s="208" t="s">
        <v>27</v>
      </c>
      <c r="G913" s="208" t="s">
        <v>37</v>
      </c>
      <c r="H913" s="275">
        <v>1460</v>
      </c>
    </row>
    <row r="914" spans="1:8" ht="12.75" customHeight="1" x14ac:dyDescent="0.2">
      <c r="A914" s="273">
        <v>2025</v>
      </c>
      <c r="B914" s="274" t="s">
        <v>880</v>
      </c>
      <c r="C914" s="274" t="s">
        <v>1467</v>
      </c>
      <c r="D914" s="208" t="s">
        <v>1468</v>
      </c>
      <c r="E914" s="208" t="s">
        <v>1469</v>
      </c>
      <c r="F914" s="208" t="s">
        <v>27</v>
      </c>
      <c r="G914" s="208" t="s">
        <v>37</v>
      </c>
      <c r="H914" s="275">
        <v>456.3</v>
      </c>
    </row>
    <row r="915" spans="1:8" ht="12.75" customHeight="1" x14ac:dyDescent="0.2">
      <c r="A915" s="273">
        <v>2025</v>
      </c>
      <c r="B915" s="274" t="s">
        <v>880</v>
      </c>
      <c r="C915" s="274" t="s">
        <v>1452</v>
      </c>
      <c r="D915" s="208" t="s">
        <v>1453</v>
      </c>
      <c r="E915" s="208" t="s">
        <v>1470</v>
      </c>
      <c r="F915" s="208" t="s">
        <v>27</v>
      </c>
      <c r="G915" s="208" t="s">
        <v>37</v>
      </c>
      <c r="H915" s="275">
        <v>50</v>
      </c>
    </row>
    <row r="916" spans="1:8" ht="12.75" customHeight="1" x14ac:dyDescent="0.2">
      <c r="A916" s="273">
        <v>2025</v>
      </c>
      <c r="B916" s="274" t="s">
        <v>1471</v>
      </c>
      <c r="C916" s="274" t="s">
        <v>1437</v>
      </c>
      <c r="D916" s="208" t="s">
        <v>1438</v>
      </c>
      <c r="E916" s="208" t="s">
        <v>1472</v>
      </c>
      <c r="F916" s="208" t="s">
        <v>27</v>
      </c>
      <c r="G916" s="208" t="s">
        <v>37</v>
      </c>
      <c r="H916" s="275">
        <v>20</v>
      </c>
    </row>
    <row r="917" spans="1:8" ht="12.75" customHeight="1" x14ac:dyDescent="0.2">
      <c r="A917" s="273">
        <v>2025</v>
      </c>
      <c r="B917" s="274" t="s">
        <v>884</v>
      </c>
      <c r="C917" s="274" t="s">
        <v>1433</v>
      </c>
      <c r="D917" s="208" t="s">
        <v>1434</v>
      </c>
      <c r="E917" s="208" t="s">
        <v>1473</v>
      </c>
      <c r="F917" s="208" t="s">
        <v>27</v>
      </c>
      <c r="G917" s="208" t="s">
        <v>37</v>
      </c>
      <c r="H917" s="275">
        <v>2237.8200000000002</v>
      </c>
    </row>
    <row r="918" spans="1:8" ht="12.75" customHeight="1" x14ac:dyDescent="0.2">
      <c r="A918" s="273">
        <v>2025</v>
      </c>
      <c r="B918" s="274" t="s">
        <v>884</v>
      </c>
      <c r="C918" s="274" t="s">
        <v>1461</v>
      </c>
      <c r="D918" s="208" t="s">
        <v>1462</v>
      </c>
      <c r="E918" s="208" t="s">
        <v>1474</v>
      </c>
      <c r="F918" s="208" t="s">
        <v>27</v>
      </c>
      <c r="G918" s="208" t="s">
        <v>37</v>
      </c>
      <c r="H918" s="275">
        <v>150</v>
      </c>
    </row>
    <row r="919" spans="1:8" ht="12.75" customHeight="1" x14ac:dyDescent="0.2">
      <c r="A919" s="273">
        <v>2025</v>
      </c>
      <c r="B919" s="274" t="s">
        <v>1244</v>
      </c>
      <c r="C919" s="274" t="s">
        <v>1461</v>
      </c>
      <c r="D919" s="208" t="s">
        <v>1462</v>
      </c>
      <c r="E919" s="208" t="s">
        <v>1475</v>
      </c>
      <c r="F919" s="208" t="s">
        <v>27</v>
      </c>
      <c r="G919" s="208" t="s">
        <v>37</v>
      </c>
      <c r="H919" s="275">
        <v>150</v>
      </c>
    </row>
    <row r="920" spans="1:8" ht="12.75" customHeight="1" x14ac:dyDescent="0.2">
      <c r="A920" s="273">
        <v>2025</v>
      </c>
      <c r="B920" s="274" t="s">
        <v>1476</v>
      </c>
      <c r="C920" s="274" t="s">
        <v>1467</v>
      </c>
      <c r="D920" s="208" t="s">
        <v>1468</v>
      </c>
      <c r="E920" s="208" t="s">
        <v>1477</v>
      </c>
      <c r="F920" s="208" t="s">
        <v>27</v>
      </c>
      <c r="G920" s="208" t="s">
        <v>37</v>
      </c>
      <c r="H920" s="275">
        <v>1064.7</v>
      </c>
    </row>
    <row r="921" spans="1:8" ht="12.75" customHeight="1" x14ac:dyDescent="0.2">
      <c r="A921" s="273">
        <v>2025</v>
      </c>
      <c r="B921" s="274" t="s">
        <v>466</v>
      </c>
      <c r="C921" s="274" t="s">
        <v>1437</v>
      </c>
      <c r="D921" s="208" t="s">
        <v>1438</v>
      </c>
      <c r="E921" s="208" t="s">
        <v>1478</v>
      </c>
      <c r="F921" s="208" t="s">
        <v>27</v>
      </c>
      <c r="G921" s="208" t="s">
        <v>37</v>
      </c>
      <c r="H921" s="275">
        <v>624.67999999999995</v>
      </c>
    </row>
    <row r="922" spans="1:8" ht="12.75" customHeight="1" x14ac:dyDescent="0.2">
      <c r="A922" s="273">
        <v>2025</v>
      </c>
      <c r="B922" s="274" t="s">
        <v>828</v>
      </c>
      <c r="C922" s="274" t="s">
        <v>1433</v>
      </c>
      <c r="D922" s="208" t="s">
        <v>1434</v>
      </c>
      <c r="E922" s="208" t="s">
        <v>1479</v>
      </c>
      <c r="F922" s="208" t="s">
        <v>27</v>
      </c>
      <c r="G922" s="208" t="s">
        <v>37</v>
      </c>
      <c r="H922" s="275">
        <v>349</v>
      </c>
    </row>
    <row r="923" spans="1:8" ht="12.75" customHeight="1" x14ac:dyDescent="0.2">
      <c r="A923" s="273">
        <v>2025</v>
      </c>
      <c r="B923" s="274" t="s">
        <v>468</v>
      </c>
      <c r="C923" s="274" t="s">
        <v>1437</v>
      </c>
      <c r="D923" s="208" t="s">
        <v>1438</v>
      </c>
      <c r="E923" s="208" t="s">
        <v>1480</v>
      </c>
      <c r="F923" s="208" t="s">
        <v>27</v>
      </c>
      <c r="G923" s="208" t="s">
        <v>37</v>
      </c>
      <c r="H923" s="275">
        <v>1460</v>
      </c>
    </row>
    <row r="924" spans="1:8" ht="12.75" customHeight="1" x14ac:dyDescent="0.2">
      <c r="A924" s="273">
        <v>2025</v>
      </c>
      <c r="B924" s="274" t="s">
        <v>694</v>
      </c>
      <c r="C924" s="274" t="s">
        <v>1437</v>
      </c>
      <c r="D924" s="208" t="s">
        <v>1438</v>
      </c>
      <c r="E924" s="208" t="s">
        <v>1481</v>
      </c>
      <c r="F924" s="208" t="s">
        <v>27</v>
      </c>
      <c r="G924" s="208" t="s">
        <v>37</v>
      </c>
      <c r="H924" s="275">
        <v>20</v>
      </c>
    </row>
    <row r="925" spans="1:8" ht="12.75" customHeight="1" x14ac:dyDescent="0.2">
      <c r="A925" s="273">
        <v>2025</v>
      </c>
      <c r="B925" s="274" t="s">
        <v>887</v>
      </c>
      <c r="C925" s="274" t="s">
        <v>1433</v>
      </c>
      <c r="D925" s="208" t="s">
        <v>1434</v>
      </c>
      <c r="E925" s="208" t="s">
        <v>1482</v>
      </c>
      <c r="F925" s="208" t="s">
        <v>27</v>
      </c>
      <c r="G925" s="208" t="s">
        <v>37</v>
      </c>
      <c r="H925" s="275">
        <v>2160.0700000000002</v>
      </c>
    </row>
    <row r="926" spans="1:8" ht="12.75" customHeight="1" x14ac:dyDescent="0.2">
      <c r="A926" s="273">
        <v>2025</v>
      </c>
      <c r="B926" s="274" t="s">
        <v>696</v>
      </c>
      <c r="C926" s="274" t="s">
        <v>1461</v>
      </c>
      <c r="D926" s="208" t="s">
        <v>1462</v>
      </c>
      <c r="E926" s="208" t="s">
        <v>1483</v>
      </c>
      <c r="F926" s="208" t="s">
        <v>27</v>
      </c>
      <c r="G926" s="208" t="s">
        <v>37</v>
      </c>
      <c r="H926" s="275">
        <v>150</v>
      </c>
    </row>
    <row r="927" spans="1:8" ht="12.75" customHeight="1" x14ac:dyDescent="0.2">
      <c r="A927" s="273">
        <v>2025</v>
      </c>
      <c r="B927" s="274" t="s">
        <v>1484</v>
      </c>
      <c r="C927" s="274" t="s">
        <v>1437</v>
      </c>
      <c r="D927" s="208" t="s">
        <v>1438</v>
      </c>
      <c r="E927" s="208" t="s">
        <v>1485</v>
      </c>
      <c r="F927" s="208" t="s">
        <v>27</v>
      </c>
      <c r="G927" s="208" t="s">
        <v>37</v>
      </c>
      <c r="H927" s="275">
        <v>624.67999999999995</v>
      </c>
    </row>
    <row r="928" spans="1:8" ht="12.75" customHeight="1" x14ac:dyDescent="0.2">
      <c r="A928" s="273">
        <v>2025</v>
      </c>
      <c r="B928" s="274" t="s">
        <v>834</v>
      </c>
      <c r="C928" s="274" t="s">
        <v>1433</v>
      </c>
      <c r="D928" s="208" t="s">
        <v>1434</v>
      </c>
      <c r="E928" s="208" t="s">
        <v>1486</v>
      </c>
      <c r="F928" s="208" t="s">
        <v>27</v>
      </c>
      <c r="G928" s="208" t="s">
        <v>37</v>
      </c>
      <c r="H928" s="275">
        <v>349</v>
      </c>
    </row>
    <row r="929" spans="1:8" ht="12.75" customHeight="1" x14ac:dyDescent="0.2">
      <c r="A929" s="273">
        <v>2025</v>
      </c>
      <c r="B929" s="274" t="s">
        <v>480</v>
      </c>
      <c r="C929" s="274" t="s">
        <v>1437</v>
      </c>
      <c r="D929" s="208" t="s">
        <v>1438</v>
      </c>
      <c r="E929" s="208" t="s">
        <v>1487</v>
      </c>
      <c r="F929" s="208" t="s">
        <v>27</v>
      </c>
      <c r="G929" s="208" t="s">
        <v>37</v>
      </c>
      <c r="H929" s="275">
        <v>1460</v>
      </c>
    </row>
    <row r="930" spans="1:8" ht="12.75" customHeight="1" x14ac:dyDescent="0.2">
      <c r="A930" s="273">
        <v>2025</v>
      </c>
      <c r="B930" s="274" t="s">
        <v>485</v>
      </c>
      <c r="C930" s="274" t="s">
        <v>1437</v>
      </c>
      <c r="D930" s="208" t="s">
        <v>1438</v>
      </c>
      <c r="E930" s="208" t="s">
        <v>1488</v>
      </c>
      <c r="F930" s="208" t="s">
        <v>27</v>
      </c>
      <c r="G930" s="208" t="s">
        <v>37</v>
      </c>
      <c r="H930" s="275">
        <v>20</v>
      </c>
    </row>
    <row r="931" spans="1:8" ht="12.75" customHeight="1" x14ac:dyDescent="0.2">
      <c r="A931" s="273">
        <v>2025</v>
      </c>
      <c r="B931" s="274" t="s">
        <v>485</v>
      </c>
      <c r="C931" s="274" t="s">
        <v>1452</v>
      </c>
      <c r="D931" s="208" t="s">
        <v>1453</v>
      </c>
      <c r="E931" s="208" t="s">
        <v>1489</v>
      </c>
      <c r="F931" s="208" t="s">
        <v>27</v>
      </c>
      <c r="G931" s="208" t="s">
        <v>37</v>
      </c>
      <c r="H931" s="275">
        <v>400</v>
      </c>
    </row>
    <row r="932" spans="1:8" ht="12.75" customHeight="1" x14ac:dyDescent="0.2">
      <c r="A932" s="273">
        <v>2025</v>
      </c>
      <c r="B932" s="274" t="s">
        <v>711</v>
      </c>
      <c r="C932" s="274" t="s">
        <v>1433</v>
      </c>
      <c r="D932" s="208" t="s">
        <v>1434</v>
      </c>
      <c r="E932" s="208" t="s">
        <v>1490</v>
      </c>
      <c r="F932" s="208" t="s">
        <v>27</v>
      </c>
      <c r="G932" s="208" t="s">
        <v>37</v>
      </c>
      <c r="H932" s="275">
        <v>1646.9</v>
      </c>
    </row>
    <row r="933" spans="1:8" ht="12.75" customHeight="1" x14ac:dyDescent="0.2">
      <c r="A933" s="273">
        <v>2025</v>
      </c>
      <c r="B933" s="274" t="s">
        <v>1354</v>
      </c>
      <c r="C933" s="274" t="s">
        <v>1457</v>
      </c>
      <c r="D933" s="208" t="s">
        <v>1458</v>
      </c>
      <c r="E933" s="208" t="s">
        <v>1491</v>
      </c>
      <c r="F933" s="208" t="s">
        <v>27</v>
      </c>
      <c r="G933" s="208" t="s">
        <v>37</v>
      </c>
      <c r="H933" s="275">
        <v>2000</v>
      </c>
    </row>
    <row r="934" spans="1:8" ht="12.75" customHeight="1" x14ac:dyDescent="0.2">
      <c r="A934" s="273">
        <v>2025</v>
      </c>
      <c r="B934" s="274" t="s">
        <v>1356</v>
      </c>
      <c r="C934" s="274" t="s">
        <v>1461</v>
      </c>
      <c r="D934" s="208" t="s">
        <v>1462</v>
      </c>
      <c r="E934" s="208" t="s">
        <v>1492</v>
      </c>
      <c r="F934" s="208" t="s">
        <v>27</v>
      </c>
      <c r="G934" s="208" t="s">
        <v>37</v>
      </c>
      <c r="H934" s="275">
        <v>150</v>
      </c>
    </row>
    <row r="935" spans="1:8" ht="12.75" customHeight="1" x14ac:dyDescent="0.2">
      <c r="A935" s="273">
        <v>2025</v>
      </c>
      <c r="B935" s="274" t="s">
        <v>837</v>
      </c>
      <c r="C935" s="274" t="s">
        <v>1442</v>
      </c>
      <c r="D935" s="208" t="s">
        <v>1443</v>
      </c>
      <c r="E935" s="208" t="s">
        <v>1493</v>
      </c>
      <c r="F935" s="208" t="s">
        <v>27</v>
      </c>
      <c r="G935" s="208" t="s">
        <v>37</v>
      </c>
      <c r="H935" s="275">
        <v>53.64</v>
      </c>
    </row>
    <row r="936" spans="1:8" ht="12.75" customHeight="1" x14ac:dyDescent="0.2">
      <c r="A936" s="273">
        <v>2025</v>
      </c>
      <c r="B936" s="274" t="s">
        <v>1494</v>
      </c>
      <c r="C936" s="274" t="s">
        <v>1457</v>
      </c>
      <c r="D936" s="208" t="s">
        <v>1458</v>
      </c>
      <c r="E936" s="208" t="s">
        <v>1495</v>
      </c>
      <c r="F936" s="208" t="s">
        <v>27</v>
      </c>
      <c r="G936" s="208" t="s">
        <v>37</v>
      </c>
      <c r="H936" s="275">
        <v>2000</v>
      </c>
    </row>
    <row r="937" spans="1:8" ht="12.75" customHeight="1" x14ac:dyDescent="0.2">
      <c r="A937" s="273">
        <v>2025</v>
      </c>
      <c r="B937" s="274" t="s">
        <v>489</v>
      </c>
      <c r="C937" s="274" t="s">
        <v>1437</v>
      </c>
      <c r="D937" s="208" t="s">
        <v>1438</v>
      </c>
      <c r="E937" s="208" t="s">
        <v>1496</v>
      </c>
      <c r="F937" s="208" t="s">
        <v>27</v>
      </c>
      <c r="G937" s="208" t="s">
        <v>37</v>
      </c>
      <c r="H937" s="275">
        <v>624.67999999999995</v>
      </c>
    </row>
    <row r="938" spans="1:8" ht="12.75" customHeight="1" x14ac:dyDescent="0.2">
      <c r="A938" s="273">
        <v>2025</v>
      </c>
      <c r="B938" s="274" t="s">
        <v>841</v>
      </c>
      <c r="C938" s="274" t="s">
        <v>1461</v>
      </c>
      <c r="D938" s="208" t="s">
        <v>1462</v>
      </c>
      <c r="E938" s="208" t="s">
        <v>1497</v>
      </c>
      <c r="F938" s="208" t="s">
        <v>27</v>
      </c>
      <c r="G938" s="208" t="s">
        <v>37</v>
      </c>
      <c r="H938" s="275">
        <v>150</v>
      </c>
    </row>
    <row r="939" spans="1:8" ht="12.75" customHeight="1" x14ac:dyDescent="0.2">
      <c r="A939" s="273">
        <v>2025</v>
      </c>
      <c r="B939" s="274" t="s">
        <v>841</v>
      </c>
      <c r="C939" s="274" t="s">
        <v>1461</v>
      </c>
      <c r="D939" s="208" t="s">
        <v>1462</v>
      </c>
      <c r="E939" s="208" t="s">
        <v>1498</v>
      </c>
      <c r="F939" s="208" t="s">
        <v>27</v>
      </c>
      <c r="G939" s="208" t="s">
        <v>37</v>
      </c>
      <c r="H939" s="275">
        <v>150</v>
      </c>
    </row>
    <row r="940" spans="1:8" ht="12.75" customHeight="1" x14ac:dyDescent="0.2">
      <c r="A940" s="273">
        <v>2025</v>
      </c>
      <c r="B940" s="274" t="s">
        <v>1499</v>
      </c>
      <c r="C940" s="274" t="s">
        <v>1433</v>
      </c>
      <c r="D940" s="208" t="s">
        <v>1434</v>
      </c>
      <c r="E940" s="208" t="s">
        <v>1500</v>
      </c>
      <c r="F940" s="208" t="s">
        <v>27</v>
      </c>
      <c r="G940" s="208" t="s">
        <v>37</v>
      </c>
      <c r="H940" s="275">
        <v>349</v>
      </c>
    </row>
    <row r="941" spans="1:8" ht="12.75" customHeight="1" x14ac:dyDescent="0.2">
      <c r="A941" s="273">
        <v>2025</v>
      </c>
      <c r="B941" s="274" t="s">
        <v>497</v>
      </c>
      <c r="C941" s="274" t="s">
        <v>1437</v>
      </c>
      <c r="D941" s="208" t="s">
        <v>1438</v>
      </c>
      <c r="E941" s="208" t="s">
        <v>1501</v>
      </c>
      <c r="F941" s="208" t="s">
        <v>27</v>
      </c>
      <c r="G941" s="208" t="s">
        <v>37</v>
      </c>
      <c r="H941" s="275">
        <v>1460</v>
      </c>
    </row>
    <row r="942" spans="1:8" ht="12.75" customHeight="1" x14ac:dyDescent="0.2">
      <c r="A942" s="273">
        <v>2025</v>
      </c>
      <c r="B942" s="274" t="s">
        <v>497</v>
      </c>
      <c r="C942" s="274" t="s">
        <v>1442</v>
      </c>
      <c r="D942" s="208" t="s">
        <v>1443</v>
      </c>
      <c r="E942" s="208" t="s">
        <v>1502</v>
      </c>
      <c r="F942" s="208" t="s">
        <v>27</v>
      </c>
      <c r="G942" s="208" t="s">
        <v>37</v>
      </c>
      <c r="H942" s="275">
        <v>708.32</v>
      </c>
    </row>
    <row r="943" spans="1:8" ht="12.75" customHeight="1" x14ac:dyDescent="0.2">
      <c r="A943" s="273">
        <v>2025</v>
      </c>
      <c r="B943" s="274" t="s">
        <v>497</v>
      </c>
      <c r="C943" s="274" t="s">
        <v>1452</v>
      </c>
      <c r="D943" s="208" t="s">
        <v>1453</v>
      </c>
      <c r="E943" s="208" t="s">
        <v>1503</v>
      </c>
      <c r="F943" s="208" t="s">
        <v>27</v>
      </c>
      <c r="G943" s="208" t="s">
        <v>37</v>
      </c>
      <c r="H943" s="275">
        <v>1150</v>
      </c>
    </row>
    <row r="944" spans="1:8" ht="12.75" customHeight="1" x14ac:dyDescent="0.2">
      <c r="A944" s="273">
        <v>2025</v>
      </c>
      <c r="B944" s="274" t="s">
        <v>500</v>
      </c>
      <c r="C944" s="274" t="s">
        <v>1437</v>
      </c>
      <c r="D944" s="208" t="s">
        <v>1438</v>
      </c>
      <c r="E944" s="208" t="s">
        <v>1504</v>
      </c>
      <c r="F944" s="208" t="s">
        <v>27</v>
      </c>
      <c r="G944" s="208" t="s">
        <v>37</v>
      </c>
      <c r="H944" s="275">
        <v>20</v>
      </c>
    </row>
    <row r="945" spans="1:8" ht="12.75" customHeight="1" x14ac:dyDescent="0.2">
      <c r="A945" s="273">
        <v>2025</v>
      </c>
      <c r="B945" s="274" t="s">
        <v>502</v>
      </c>
      <c r="C945" s="274" t="s">
        <v>1467</v>
      </c>
      <c r="D945" s="208" t="s">
        <v>1468</v>
      </c>
      <c r="E945" s="208" t="s">
        <v>1505</v>
      </c>
      <c r="F945" s="208" t="s">
        <v>27</v>
      </c>
      <c r="G945" s="208" t="s">
        <v>37</v>
      </c>
      <c r="H945" s="275">
        <v>770.06</v>
      </c>
    </row>
    <row r="946" spans="1:8" ht="12.75" customHeight="1" x14ac:dyDescent="0.2">
      <c r="A946" s="273">
        <v>2025</v>
      </c>
      <c r="B946" s="274" t="s">
        <v>893</v>
      </c>
      <c r="C946" s="274" t="s">
        <v>1433</v>
      </c>
      <c r="D946" s="208" t="s">
        <v>1434</v>
      </c>
      <c r="E946" s="208" t="s">
        <v>1506</v>
      </c>
      <c r="F946" s="208" t="s">
        <v>27</v>
      </c>
      <c r="G946" s="208" t="s">
        <v>37</v>
      </c>
      <c r="H946" s="275">
        <v>2108.42</v>
      </c>
    </row>
    <row r="947" spans="1:8" ht="12.75" customHeight="1" x14ac:dyDescent="0.2">
      <c r="A947" s="273">
        <v>2025</v>
      </c>
      <c r="B947" s="274" t="s">
        <v>1507</v>
      </c>
      <c r="C947" s="274" t="s">
        <v>1442</v>
      </c>
      <c r="D947" s="208" t="s">
        <v>1443</v>
      </c>
      <c r="E947" s="208" t="s">
        <v>1508</v>
      </c>
      <c r="F947" s="208" t="s">
        <v>27</v>
      </c>
      <c r="G947" s="208" t="s">
        <v>37</v>
      </c>
      <c r="H947" s="275">
        <v>223.7</v>
      </c>
    </row>
    <row r="948" spans="1:8" ht="12.75" customHeight="1" x14ac:dyDescent="0.2">
      <c r="A948" s="273">
        <v>2025</v>
      </c>
      <c r="B948" s="274" t="s">
        <v>1370</v>
      </c>
      <c r="C948" s="274" t="s">
        <v>1461</v>
      </c>
      <c r="D948" s="208" t="s">
        <v>1462</v>
      </c>
      <c r="E948" s="208" t="s">
        <v>1509</v>
      </c>
      <c r="F948" s="208" t="s">
        <v>27</v>
      </c>
      <c r="G948" s="208" t="s">
        <v>37</v>
      </c>
      <c r="H948" s="275">
        <v>150</v>
      </c>
    </row>
    <row r="949" spans="1:8" ht="12.75" customHeight="1" x14ac:dyDescent="0.2">
      <c r="A949" s="273">
        <v>2025</v>
      </c>
      <c r="B949" s="274" t="s">
        <v>505</v>
      </c>
      <c r="C949" s="274" t="s">
        <v>1437</v>
      </c>
      <c r="D949" s="208" t="s">
        <v>1438</v>
      </c>
      <c r="E949" s="208" t="s">
        <v>1510</v>
      </c>
      <c r="F949" s="208" t="s">
        <v>27</v>
      </c>
      <c r="G949" s="208" t="s">
        <v>37</v>
      </c>
      <c r="H949" s="275">
        <v>624.67999999999995</v>
      </c>
    </row>
    <row r="950" spans="1:8" ht="12.75" customHeight="1" x14ac:dyDescent="0.2">
      <c r="A950" s="273">
        <v>2025</v>
      </c>
      <c r="B950" s="274" t="s">
        <v>1511</v>
      </c>
      <c r="C950" s="274" t="s">
        <v>1433</v>
      </c>
      <c r="D950" s="208" t="s">
        <v>1434</v>
      </c>
      <c r="E950" s="208" t="s">
        <v>1512</v>
      </c>
      <c r="F950" s="208" t="s">
        <v>27</v>
      </c>
      <c r="G950" s="208" t="s">
        <v>37</v>
      </c>
      <c r="H950" s="275">
        <v>349</v>
      </c>
    </row>
    <row r="951" spans="1:8" ht="12.75" customHeight="1" x14ac:dyDescent="0.2">
      <c r="A951" s="273">
        <v>2025</v>
      </c>
      <c r="B951" s="274" t="s">
        <v>845</v>
      </c>
      <c r="C951" s="274" t="s">
        <v>1461</v>
      </c>
      <c r="D951" s="208" t="s">
        <v>1462</v>
      </c>
      <c r="E951" s="208" t="s">
        <v>1513</v>
      </c>
      <c r="F951" s="208" t="s">
        <v>27</v>
      </c>
      <c r="G951" s="208" t="s">
        <v>37</v>
      </c>
      <c r="H951" s="275">
        <v>150</v>
      </c>
    </row>
    <row r="952" spans="1:8" ht="12.75" customHeight="1" x14ac:dyDescent="0.2">
      <c r="A952" s="273">
        <v>2025</v>
      </c>
      <c r="B952" s="274" t="s">
        <v>510</v>
      </c>
      <c r="C952" s="274" t="s">
        <v>1437</v>
      </c>
      <c r="D952" s="208" t="s">
        <v>1438</v>
      </c>
      <c r="E952" s="208" t="s">
        <v>1514</v>
      </c>
      <c r="F952" s="208" t="s">
        <v>27</v>
      </c>
      <c r="G952" s="208" t="s">
        <v>37</v>
      </c>
      <c r="H952" s="275">
        <v>13.99</v>
      </c>
    </row>
    <row r="953" spans="1:8" ht="12.75" customHeight="1" x14ac:dyDescent="0.2">
      <c r="A953" s="273">
        <v>2025</v>
      </c>
      <c r="B953" s="274" t="s">
        <v>510</v>
      </c>
      <c r="C953" s="274" t="s">
        <v>1437</v>
      </c>
      <c r="D953" s="208" t="s">
        <v>1438</v>
      </c>
      <c r="E953" s="208" t="s">
        <v>1515</v>
      </c>
      <c r="F953" s="208" t="s">
        <v>27</v>
      </c>
      <c r="G953" s="208" t="s">
        <v>37</v>
      </c>
      <c r="H953" s="275">
        <v>1460</v>
      </c>
    </row>
    <row r="954" spans="1:8" ht="12.75" customHeight="1" x14ac:dyDescent="0.2">
      <c r="A954" s="273">
        <v>2025</v>
      </c>
      <c r="B954" s="274" t="s">
        <v>510</v>
      </c>
      <c r="C954" s="274" t="s">
        <v>1433</v>
      </c>
      <c r="D954" s="208" t="s">
        <v>1434</v>
      </c>
      <c r="E954" s="208" t="s">
        <v>1516</v>
      </c>
      <c r="F954" s="208" t="s">
        <v>27</v>
      </c>
      <c r="G954" s="208" t="s">
        <v>37</v>
      </c>
      <c r="H954" s="276">
        <v>-349</v>
      </c>
    </row>
    <row r="955" spans="1:8" ht="12.75" customHeight="1" x14ac:dyDescent="0.2">
      <c r="A955" s="273">
        <v>2025</v>
      </c>
      <c r="B955" s="274" t="s">
        <v>510</v>
      </c>
      <c r="C955" s="274" t="s">
        <v>1433</v>
      </c>
      <c r="D955" s="208" t="s">
        <v>1434</v>
      </c>
      <c r="E955" s="208" t="s">
        <v>1517</v>
      </c>
      <c r="F955" s="208" t="s">
        <v>27</v>
      </c>
      <c r="G955" s="208" t="s">
        <v>37</v>
      </c>
      <c r="H955" s="275">
        <v>1743.09</v>
      </c>
    </row>
    <row r="956" spans="1:8" ht="12.75" customHeight="1" x14ac:dyDescent="0.2">
      <c r="A956" s="273">
        <v>2025</v>
      </c>
      <c r="B956" s="274" t="s">
        <v>510</v>
      </c>
      <c r="C956" s="274" t="s">
        <v>1467</v>
      </c>
      <c r="D956" s="208" t="s">
        <v>1468</v>
      </c>
      <c r="E956" s="208" t="s">
        <v>1518</v>
      </c>
      <c r="F956" s="208" t="s">
        <v>27</v>
      </c>
      <c r="G956" s="208" t="s">
        <v>37</v>
      </c>
      <c r="H956" s="276">
        <v>-770.06</v>
      </c>
    </row>
    <row r="957" spans="1:8" ht="12.75" customHeight="1" x14ac:dyDescent="0.2">
      <c r="A957" s="273">
        <v>2025</v>
      </c>
      <c r="B957" s="274" t="s">
        <v>512</v>
      </c>
      <c r="C957" s="274" t="s">
        <v>1437</v>
      </c>
      <c r="D957" s="208" t="s">
        <v>1438</v>
      </c>
      <c r="E957" s="208" t="s">
        <v>1519</v>
      </c>
      <c r="F957" s="208" t="s">
        <v>27</v>
      </c>
      <c r="G957" s="208" t="s">
        <v>37</v>
      </c>
      <c r="H957" s="276">
        <v>-1460</v>
      </c>
    </row>
    <row r="958" spans="1:8" ht="12.75" customHeight="1" x14ac:dyDescent="0.2">
      <c r="A958" s="273">
        <v>2025</v>
      </c>
      <c r="B958" s="274" t="s">
        <v>512</v>
      </c>
      <c r="C958" s="274" t="s">
        <v>1437</v>
      </c>
      <c r="D958" s="208" t="s">
        <v>1438</v>
      </c>
      <c r="E958" s="208" t="s">
        <v>1520</v>
      </c>
      <c r="F958" s="208" t="s">
        <v>27</v>
      </c>
      <c r="G958" s="208" t="s">
        <v>37</v>
      </c>
      <c r="H958" s="275">
        <v>1460</v>
      </c>
    </row>
    <row r="959" spans="1:8" ht="12.75" customHeight="1" x14ac:dyDescent="0.2">
      <c r="A959" s="273">
        <v>2025</v>
      </c>
      <c r="B959" s="274" t="s">
        <v>512</v>
      </c>
      <c r="C959" s="274" t="s">
        <v>1437</v>
      </c>
      <c r="D959" s="208" t="s">
        <v>1438</v>
      </c>
      <c r="E959" s="208" t="s">
        <v>1514</v>
      </c>
      <c r="F959" s="208" t="s">
        <v>27</v>
      </c>
      <c r="G959" s="208" t="s">
        <v>37</v>
      </c>
      <c r="H959" s="275">
        <v>13.99</v>
      </c>
    </row>
    <row r="960" spans="1:8" ht="12.75" customHeight="1" x14ac:dyDescent="0.2">
      <c r="A960" s="273">
        <v>2025</v>
      </c>
      <c r="B960" s="274" t="s">
        <v>512</v>
      </c>
      <c r="C960" s="274" t="s">
        <v>1433</v>
      </c>
      <c r="D960" s="208" t="s">
        <v>1434</v>
      </c>
      <c r="E960" s="208" t="s">
        <v>1521</v>
      </c>
      <c r="F960" s="208" t="s">
        <v>27</v>
      </c>
      <c r="G960" s="208" t="s">
        <v>37</v>
      </c>
      <c r="H960" s="275">
        <v>175.94</v>
      </c>
    </row>
    <row r="961" spans="1:8" ht="12.75" customHeight="1" x14ac:dyDescent="0.2">
      <c r="A961" s="273">
        <v>2025</v>
      </c>
      <c r="B961" s="274" t="s">
        <v>512</v>
      </c>
      <c r="C961" s="274" t="s">
        <v>1433</v>
      </c>
      <c r="D961" s="208" t="s">
        <v>1434</v>
      </c>
      <c r="E961" s="208" t="s">
        <v>1522</v>
      </c>
      <c r="F961" s="208" t="s">
        <v>27</v>
      </c>
      <c r="G961" s="208" t="s">
        <v>37</v>
      </c>
      <c r="H961" s="275">
        <v>349</v>
      </c>
    </row>
    <row r="962" spans="1:8" ht="12.75" customHeight="1" x14ac:dyDescent="0.2">
      <c r="A962" s="273">
        <v>2025</v>
      </c>
      <c r="B962" s="274" t="s">
        <v>512</v>
      </c>
      <c r="C962" s="274" t="s">
        <v>1433</v>
      </c>
      <c r="D962" s="208" t="s">
        <v>1434</v>
      </c>
      <c r="E962" s="208" t="s">
        <v>1523</v>
      </c>
      <c r="F962" s="208" t="s">
        <v>27</v>
      </c>
      <c r="G962" s="208" t="s">
        <v>37</v>
      </c>
      <c r="H962" s="276">
        <v>-1743.09</v>
      </c>
    </row>
    <row r="963" spans="1:8" ht="12.75" customHeight="1" x14ac:dyDescent="0.2">
      <c r="A963" s="273">
        <v>2025</v>
      </c>
      <c r="B963" s="274" t="s">
        <v>512</v>
      </c>
      <c r="C963" s="274" t="s">
        <v>1467</v>
      </c>
      <c r="D963" s="208" t="s">
        <v>1468</v>
      </c>
      <c r="E963" s="208" t="s">
        <v>1524</v>
      </c>
      <c r="F963" s="208" t="s">
        <v>27</v>
      </c>
      <c r="G963" s="208" t="s">
        <v>37</v>
      </c>
      <c r="H963" s="275">
        <v>770.06</v>
      </c>
    </row>
    <row r="964" spans="1:8" ht="12.75" customHeight="1" x14ac:dyDescent="0.2">
      <c r="A964" s="273">
        <v>2025</v>
      </c>
      <c r="B964" s="274" t="s">
        <v>512</v>
      </c>
      <c r="C964" s="274" t="s">
        <v>1467</v>
      </c>
      <c r="D964" s="208" t="s">
        <v>1468</v>
      </c>
      <c r="E964" s="208" t="s">
        <v>1525</v>
      </c>
      <c r="F964" s="208" t="s">
        <v>27</v>
      </c>
      <c r="G964" s="208" t="s">
        <v>37</v>
      </c>
      <c r="H964" s="275">
        <v>2120.44</v>
      </c>
    </row>
    <row r="965" spans="1:8" ht="12.75" customHeight="1" x14ac:dyDescent="0.2">
      <c r="A965" s="273">
        <v>2025</v>
      </c>
      <c r="B965" s="274" t="s">
        <v>512</v>
      </c>
      <c r="C965" s="274" t="s">
        <v>1442</v>
      </c>
      <c r="D965" s="208" t="s">
        <v>1443</v>
      </c>
      <c r="E965" s="208" t="s">
        <v>1526</v>
      </c>
      <c r="F965" s="208" t="s">
        <v>27</v>
      </c>
      <c r="G965" s="208" t="s">
        <v>37</v>
      </c>
      <c r="H965" s="276">
        <v>-708.32</v>
      </c>
    </row>
    <row r="966" spans="1:8" ht="12.75" customHeight="1" x14ac:dyDescent="0.2">
      <c r="A966" s="273">
        <v>2025</v>
      </c>
      <c r="B966" s="274" t="s">
        <v>517</v>
      </c>
      <c r="C966" s="274" t="s">
        <v>1437</v>
      </c>
      <c r="D966" s="208" t="s">
        <v>1438</v>
      </c>
      <c r="E966" s="208" t="s">
        <v>1527</v>
      </c>
      <c r="F966" s="208" t="s">
        <v>27</v>
      </c>
      <c r="G966" s="208" t="s">
        <v>37</v>
      </c>
      <c r="H966" s="275">
        <v>20</v>
      </c>
    </row>
    <row r="967" spans="1:8" ht="12.75" customHeight="1" x14ac:dyDescent="0.2">
      <c r="A967" s="273">
        <v>2025</v>
      </c>
      <c r="B967" s="274" t="s">
        <v>1528</v>
      </c>
      <c r="C967" s="274" t="s">
        <v>1442</v>
      </c>
      <c r="D967" s="208" t="s">
        <v>1443</v>
      </c>
      <c r="E967" s="208" t="s">
        <v>1529</v>
      </c>
      <c r="F967" s="208" t="s">
        <v>27</v>
      </c>
      <c r="G967" s="208" t="s">
        <v>37</v>
      </c>
      <c r="H967" s="275">
        <v>299.52999999999997</v>
      </c>
    </row>
    <row r="968" spans="1:8" ht="12.75" customHeight="1" x14ac:dyDescent="0.2">
      <c r="A968" s="273">
        <v>2025</v>
      </c>
      <c r="B968" s="274" t="s">
        <v>1528</v>
      </c>
      <c r="C968" s="274" t="s">
        <v>1461</v>
      </c>
      <c r="D968" s="208" t="s">
        <v>1462</v>
      </c>
      <c r="E968" s="208" t="s">
        <v>1530</v>
      </c>
      <c r="F968" s="208" t="s">
        <v>27</v>
      </c>
      <c r="G968" s="208" t="s">
        <v>37</v>
      </c>
      <c r="H968" s="275">
        <v>150</v>
      </c>
    </row>
    <row r="969" spans="1:8" ht="12.75" customHeight="1" x14ac:dyDescent="0.2">
      <c r="A969" s="273">
        <v>2025</v>
      </c>
      <c r="B969" s="274" t="s">
        <v>1528</v>
      </c>
      <c r="C969" s="274" t="s">
        <v>1461</v>
      </c>
      <c r="D969" s="208" t="s">
        <v>1462</v>
      </c>
      <c r="E969" s="208" t="s">
        <v>1531</v>
      </c>
      <c r="F969" s="208" t="s">
        <v>27</v>
      </c>
      <c r="G969" s="208" t="s">
        <v>37</v>
      </c>
      <c r="H969" s="275">
        <v>150</v>
      </c>
    </row>
    <row r="970" spans="1:8" ht="12.75" customHeight="1" x14ac:dyDescent="0.2">
      <c r="A970" s="273">
        <v>2025</v>
      </c>
      <c r="B970" s="274" t="s">
        <v>896</v>
      </c>
      <c r="C970" s="274" t="s">
        <v>1437</v>
      </c>
      <c r="D970" s="208" t="s">
        <v>1438</v>
      </c>
      <c r="E970" s="208" t="s">
        <v>1532</v>
      </c>
      <c r="F970" s="208" t="s">
        <v>27</v>
      </c>
      <c r="G970" s="208" t="s">
        <v>37</v>
      </c>
      <c r="H970" s="275">
        <v>19.8</v>
      </c>
    </row>
    <row r="971" spans="1:8" ht="12.75" customHeight="1" x14ac:dyDescent="0.2">
      <c r="A971" s="273">
        <v>2025</v>
      </c>
      <c r="B971" s="274" t="s">
        <v>896</v>
      </c>
      <c r="C971" s="274" t="s">
        <v>1437</v>
      </c>
      <c r="D971" s="208" t="s">
        <v>1438</v>
      </c>
      <c r="E971" s="208" t="s">
        <v>1533</v>
      </c>
      <c r="F971" s="208" t="s">
        <v>27</v>
      </c>
      <c r="G971" s="208" t="s">
        <v>37</v>
      </c>
      <c r="H971" s="275">
        <v>1.19</v>
      </c>
    </row>
    <row r="972" spans="1:8" ht="12.75" customHeight="1" x14ac:dyDescent="0.2">
      <c r="A972" s="273">
        <v>2025</v>
      </c>
      <c r="B972" s="274" t="s">
        <v>896</v>
      </c>
      <c r="C972" s="274" t="s">
        <v>1433</v>
      </c>
      <c r="D972" s="208" t="s">
        <v>1434</v>
      </c>
      <c r="E972" s="208" t="s">
        <v>1534</v>
      </c>
      <c r="F972" s="208" t="s">
        <v>27</v>
      </c>
      <c r="G972" s="208" t="s">
        <v>37</v>
      </c>
      <c r="H972" s="275">
        <v>1743.09</v>
      </c>
    </row>
    <row r="973" spans="1:8" ht="12.75" customHeight="1" x14ac:dyDescent="0.2">
      <c r="A973" s="273">
        <v>2025</v>
      </c>
      <c r="B973" s="274" t="s">
        <v>738</v>
      </c>
      <c r="C973" s="274" t="s">
        <v>1461</v>
      </c>
      <c r="D973" s="208" t="s">
        <v>1462</v>
      </c>
      <c r="E973" s="208" t="s">
        <v>1535</v>
      </c>
      <c r="F973" s="208" t="s">
        <v>27</v>
      </c>
      <c r="G973" s="208" t="s">
        <v>37</v>
      </c>
      <c r="H973" s="275">
        <v>150</v>
      </c>
    </row>
    <row r="974" spans="1:8" ht="12.75" customHeight="1" x14ac:dyDescent="0.2">
      <c r="A974" s="273">
        <v>2025</v>
      </c>
      <c r="B974" s="274" t="s">
        <v>1536</v>
      </c>
      <c r="C974" s="274" t="s">
        <v>1461</v>
      </c>
      <c r="D974" s="208" t="s">
        <v>1462</v>
      </c>
      <c r="E974" s="208" t="s">
        <v>1537</v>
      </c>
      <c r="F974" s="208" t="s">
        <v>27</v>
      </c>
      <c r="G974" s="208" t="s">
        <v>37</v>
      </c>
      <c r="H974" s="275">
        <v>150</v>
      </c>
    </row>
    <row r="975" spans="1:8" ht="12.75" customHeight="1" x14ac:dyDescent="0.2">
      <c r="A975" s="273">
        <v>2025</v>
      </c>
      <c r="B975" s="274" t="s">
        <v>1536</v>
      </c>
      <c r="C975" s="274" t="s">
        <v>1461</v>
      </c>
      <c r="D975" s="208" t="s">
        <v>1462</v>
      </c>
      <c r="E975" s="208" t="s">
        <v>1538</v>
      </c>
      <c r="F975" s="208" t="s">
        <v>27</v>
      </c>
      <c r="G975" s="208" t="s">
        <v>37</v>
      </c>
      <c r="H975" s="275">
        <v>150</v>
      </c>
    </row>
    <row r="976" spans="1:8" ht="12.75" customHeight="1" x14ac:dyDescent="0.2">
      <c r="A976" s="273">
        <v>2025</v>
      </c>
      <c r="B976" s="274" t="s">
        <v>1539</v>
      </c>
      <c r="C976" s="274" t="s">
        <v>1437</v>
      </c>
      <c r="D976" s="208" t="s">
        <v>1438</v>
      </c>
      <c r="E976" s="208" t="s">
        <v>1540</v>
      </c>
      <c r="F976" s="208" t="s">
        <v>27</v>
      </c>
      <c r="G976" s="208" t="s">
        <v>37</v>
      </c>
      <c r="H976" s="275">
        <v>624.67999999999995</v>
      </c>
    </row>
    <row r="977" spans="1:8" ht="12.75" customHeight="1" x14ac:dyDescent="0.2">
      <c r="A977" s="273">
        <v>2025</v>
      </c>
      <c r="B977" s="274" t="s">
        <v>1541</v>
      </c>
      <c r="C977" s="274" t="s">
        <v>1461</v>
      </c>
      <c r="D977" s="208" t="s">
        <v>1462</v>
      </c>
      <c r="E977" s="208" t="s">
        <v>1542</v>
      </c>
      <c r="F977" s="208" t="s">
        <v>27</v>
      </c>
      <c r="G977" s="208" t="s">
        <v>37</v>
      </c>
      <c r="H977" s="275">
        <v>170</v>
      </c>
    </row>
    <row r="978" spans="1:8" ht="12.75" customHeight="1" x14ac:dyDescent="0.2">
      <c r="A978" s="273">
        <v>2025</v>
      </c>
      <c r="B978" s="274" t="s">
        <v>743</v>
      </c>
      <c r="C978" s="274" t="s">
        <v>1433</v>
      </c>
      <c r="D978" s="208" t="s">
        <v>1434</v>
      </c>
      <c r="E978" s="208" t="s">
        <v>1543</v>
      </c>
      <c r="F978" s="208" t="s">
        <v>27</v>
      </c>
      <c r="G978" s="208" t="s">
        <v>37</v>
      </c>
      <c r="H978" s="275">
        <v>349</v>
      </c>
    </row>
    <row r="979" spans="1:8" ht="12.75" customHeight="1" x14ac:dyDescent="0.2">
      <c r="A979" s="273">
        <v>2025</v>
      </c>
      <c r="B979" s="274" t="s">
        <v>1385</v>
      </c>
      <c r="C979" s="274" t="s">
        <v>1461</v>
      </c>
      <c r="D979" s="208" t="s">
        <v>1462</v>
      </c>
      <c r="E979" s="208" t="s">
        <v>1544</v>
      </c>
      <c r="F979" s="208" t="s">
        <v>27</v>
      </c>
      <c r="G979" s="208" t="s">
        <v>37</v>
      </c>
      <c r="H979" s="275">
        <v>150</v>
      </c>
    </row>
    <row r="980" spans="1:8" ht="12.75" customHeight="1" x14ac:dyDescent="0.2">
      <c r="A980" s="273">
        <v>2025</v>
      </c>
      <c r="B980" s="274" t="s">
        <v>528</v>
      </c>
      <c r="C980" s="274" t="s">
        <v>1437</v>
      </c>
      <c r="D980" s="208" t="s">
        <v>1438</v>
      </c>
      <c r="E980" s="208" t="s">
        <v>1545</v>
      </c>
      <c r="F980" s="208" t="s">
        <v>27</v>
      </c>
      <c r="G980" s="208" t="s">
        <v>37</v>
      </c>
      <c r="H980" s="275">
        <v>1460</v>
      </c>
    </row>
    <row r="981" spans="1:8" ht="12.75" customHeight="1" x14ac:dyDescent="0.2">
      <c r="A981" s="273">
        <v>2025</v>
      </c>
      <c r="B981" s="274" t="s">
        <v>528</v>
      </c>
      <c r="C981" s="274" t="s">
        <v>1461</v>
      </c>
      <c r="D981" s="208" t="s">
        <v>1462</v>
      </c>
      <c r="E981" s="208" t="s">
        <v>1546</v>
      </c>
      <c r="F981" s="208" t="s">
        <v>27</v>
      </c>
      <c r="G981" s="208" t="s">
        <v>37</v>
      </c>
      <c r="H981" s="275">
        <v>150</v>
      </c>
    </row>
    <row r="982" spans="1:8" ht="12.75" customHeight="1" x14ac:dyDescent="0.2">
      <c r="A982" s="273">
        <v>2025</v>
      </c>
      <c r="B982" s="274" t="s">
        <v>746</v>
      </c>
      <c r="C982" s="274" t="s">
        <v>1437</v>
      </c>
      <c r="D982" s="208" t="s">
        <v>1438</v>
      </c>
      <c r="E982" s="208" t="s">
        <v>1547</v>
      </c>
      <c r="F982" s="208" t="s">
        <v>27</v>
      </c>
      <c r="G982" s="208" t="s">
        <v>37</v>
      </c>
      <c r="H982" s="275">
        <v>20</v>
      </c>
    </row>
    <row r="983" spans="1:8" ht="12.75" customHeight="1" x14ac:dyDescent="0.2">
      <c r="A983" s="273">
        <v>2025</v>
      </c>
      <c r="B983" s="274" t="s">
        <v>901</v>
      </c>
      <c r="C983" s="274" t="s">
        <v>1433</v>
      </c>
      <c r="D983" s="208" t="s">
        <v>1434</v>
      </c>
      <c r="E983" s="208" t="s">
        <v>1548</v>
      </c>
      <c r="F983" s="208" t="s">
        <v>27</v>
      </c>
      <c r="G983" s="208" t="s">
        <v>37</v>
      </c>
      <c r="H983" s="275">
        <v>3373.63</v>
      </c>
    </row>
    <row r="984" spans="1:8" ht="12.75" customHeight="1" x14ac:dyDescent="0.2">
      <c r="A984" s="273">
        <v>2025</v>
      </c>
      <c r="B984" s="274" t="s">
        <v>1389</v>
      </c>
      <c r="C984" s="274" t="s">
        <v>1442</v>
      </c>
      <c r="D984" s="208" t="s">
        <v>1443</v>
      </c>
      <c r="E984" s="208" t="s">
        <v>1549</v>
      </c>
      <c r="F984" s="208" t="s">
        <v>27</v>
      </c>
      <c r="G984" s="208" t="s">
        <v>37</v>
      </c>
      <c r="H984" s="275">
        <v>999.17</v>
      </c>
    </row>
    <row r="985" spans="1:8" ht="12.75" customHeight="1" x14ac:dyDescent="0.2">
      <c r="A985" s="273">
        <v>2025</v>
      </c>
      <c r="B985" s="274" t="s">
        <v>861</v>
      </c>
      <c r="C985" s="274" t="s">
        <v>1442</v>
      </c>
      <c r="D985" s="208" t="s">
        <v>1443</v>
      </c>
      <c r="E985" s="208" t="s">
        <v>1550</v>
      </c>
      <c r="F985" s="208" t="s">
        <v>27</v>
      </c>
      <c r="G985" s="208" t="s">
        <v>37</v>
      </c>
      <c r="H985" s="275">
        <v>45.45</v>
      </c>
    </row>
    <row r="986" spans="1:8" ht="12.75" customHeight="1" x14ac:dyDescent="0.2">
      <c r="A986" s="273">
        <v>2025</v>
      </c>
      <c r="B986" s="274" t="s">
        <v>533</v>
      </c>
      <c r="C986" s="274" t="s">
        <v>1437</v>
      </c>
      <c r="D986" s="208" t="s">
        <v>1438</v>
      </c>
      <c r="E986" s="208" t="s">
        <v>1551</v>
      </c>
      <c r="F986" s="208" t="s">
        <v>27</v>
      </c>
      <c r="G986" s="208" t="s">
        <v>37</v>
      </c>
      <c r="H986" s="275">
        <v>624.67999999999995</v>
      </c>
    </row>
    <row r="987" spans="1:8" ht="12.75" customHeight="1" x14ac:dyDescent="0.2">
      <c r="A987" s="273">
        <v>2025</v>
      </c>
      <c r="B987" s="274" t="s">
        <v>1552</v>
      </c>
      <c r="C987" s="274" t="s">
        <v>1433</v>
      </c>
      <c r="D987" s="208" t="s">
        <v>1434</v>
      </c>
      <c r="E987" s="208" t="s">
        <v>1553</v>
      </c>
      <c r="F987" s="208" t="s">
        <v>27</v>
      </c>
      <c r="G987" s="208" t="s">
        <v>37</v>
      </c>
      <c r="H987" s="275">
        <v>349</v>
      </c>
    </row>
    <row r="988" spans="1:8" ht="12.75" customHeight="1" x14ac:dyDescent="0.2">
      <c r="A988" s="273">
        <v>2025</v>
      </c>
      <c r="B988" s="274" t="s">
        <v>1554</v>
      </c>
      <c r="C988" s="274" t="s">
        <v>1437</v>
      </c>
      <c r="D988" s="208" t="s">
        <v>1438</v>
      </c>
      <c r="E988" s="208" t="s">
        <v>1555</v>
      </c>
      <c r="F988" s="208" t="s">
        <v>27</v>
      </c>
      <c r="G988" s="208" t="s">
        <v>37</v>
      </c>
      <c r="H988" s="275">
        <v>13.99</v>
      </c>
    </row>
    <row r="989" spans="1:8" ht="12.75" customHeight="1" x14ac:dyDescent="0.2">
      <c r="A989" s="273">
        <v>2025</v>
      </c>
      <c r="B989" s="274" t="s">
        <v>536</v>
      </c>
      <c r="C989" s="274" t="s">
        <v>1437</v>
      </c>
      <c r="D989" s="208" t="s">
        <v>1438</v>
      </c>
      <c r="E989" s="208" t="s">
        <v>1556</v>
      </c>
      <c r="F989" s="208" t="s">
        <v>27</v>
      </c>
      <c r="G989" s="208" t="s">
        <v>37</v>
      </c>
      <c r="H989" s="275">
        <v>240</v>
      </c>
    </row>
    <row r="990" spans="1:8" ht="12.75" customHeight="1" x14ac:dyDescent="0.2">
      <c r="A990" s="273">
        <v>2025</v>
      </c>
      <c r="B990" s="274" t="s">
        <v>536</v>
      </c>
      <c r="C990" s="274" t="s">
        <v>1437</v>
      </c>
      <c r="D990" s="208" t="s">
        <v>1438</v>
      </c>
      <c r="E990" s="208" t="s">
        <v>1557</v>
      </c>
      <c r="F990" s="208" t="s">
        <v>27</v>
      </c>
      <c r="G990" s="208" t="s">
        <v>37</v>
      </c>
      <c r="H990" s="275">
        <v>1850</v>
      </c>
    </row>
    <row r="991" spans="1:8" ht="12.75" customHeight="1" x14ac:dyDescent="0.2">
      <c r="A991" s="273">
        <v>2025</v>
      </c>
      <c r="B991" s="274" t="s">
        <v>538</v>
      </c>
      <c r="C991" s="274" t="s">
        <v>1437</v>
      </c>
      <c r="D991" s="208" t="s">
        <v>1438</v>
      </c>
      <c r="E991" s="208" t="s">
        <v>1558</v>
      </c>
      <c r="F991" s="208" t="s">
        <v>27</v>
      </c>
      <c r="G991" s="208" t="s">
        <v>37</v>
      </c>
      <c r="H991" s="275">
        <v>2305.1999999999998</v>
      </c>
    </row>
    <row r="992" spans="1:8" ht="12.75" customHeight="1" x14ac:dyDescent="0.2">
      <c r="A992" s="273">
        <v>2025</v>
      </c>
      <c r="B992" s="274" t="s">
        <v>540</v>
      </c>
      <c r="C992" s="274" t="s">
        <v>1437</v>
      </c>
      <c r="D992" s="208" t="s">
        <v>1438</v>
      </c>
      <c r="E992" s="208" t="s">
        <v>1559</v>
      </c>
      <c r="F992" s="208" t="s">
        <v>27</v>
      </c>
      <c r="G992" s="208" t="s">
        <v>37</v>
      </c>
      <c r="H992" s="275">
        <v>20</v>
      </c>
    </row>
    <row r="993" spans="1:8" ht="12.75" customHeight="1" x14ac:dyDescent="0.2">
      <c r="A993" s="273">
        <v>2025</v>
      </c>
      <c r="B993" s="274" t="s">
        <v>540</v>
      </c>
      <c r="C993" s="274" t="s">
        <v>1461</v>
      </c>
      <c r="D993" s="208" t="s">
        <v>1462</v>
      </c>
      <c r="E993" s="208" t="s">
        <v>1560</v>
      </c>
      <c r="F993" s="208" t="s">
        <v>27</v>
      </c>
      <c r="G993" s="208" t="s">
        <v>37</v>
      </c>
      <c r="H993" s="275">
        <v>150</v>
      </c>
    </row>
    <row r="994" spans="1:8" ht="12.75" customHeight="1" x14ac:dyDescent="0.2">
      <c r="A994" s="273">
        <v>2025</v>
      </c>
      <c r="B994" s="274" t="s">
        <v>1561</v>
      </c>
      <c r="C994" s="274" t="s">
        <v>1461</v>
      </c>
      <c r="D994" s="208" t="s">
        <v>1462</v>
      </c>
      <c r="E994" s="208" t="s">
        <v>1562</v>
      </c>
      <c r="F994" s="208" t="s">
        <v>27</v>
      </c>
      <c r="G994" s="208" t="s">
        <v>37</v>
      </c>
      <c r="H994" s="275">
        <v>150</v>
      </c>
    </row>
    <row r="995" spans="1:8" ht="12.75" customHeight="1" x14ac:dyDescent="0.2">
      <c r="A995" s="273">
        <v>2025</v>
      </c>
      <c r="B995" s="274" t="s">
        <v>1563</v>
      </c>
      <c r="C995" s="274" t="s">
        <v>1433</v>
      </c>
      <c r="D995" s="208" t="s">
        <v>1434</v>
      </c>
      <c r="E995" s="208" t="s">
        <v>1564</v>
      </c>
      <c r="F995" s="208" t="s">
        <v>27</v>
      </c>
      <c r="G995" s="208" t="s">
        <v>37</v>
      </c>
      <c r="H995" s="275">
        <v>2530.41</v>
      </c>
    </row>
    <row r="996" spans="1:8" ht="12.75" customHeight="1" x14ac:dyDescent="0.2">
      <c r="A996" s="273">
        <v>2025</v>
      </c>
      <c r="B996" s="274" t="s">
        <v>906</v>
      </c>
      <c r="C996" s="274" t="s">
        <v>1461</v>
      </c>
      <c r="D996" s="208" t="s">
        <v>1462</v>
      </c>
      <c r="E996" s="208" t="s">
        <v>1565</v>
      </c>
      <c r="F996" s="208" t="s">
        <v>27</v>
      </c>
      <c r="G996" s="208" t="s">
        <v>37</v>
      </c>
      <c r="H996" s="275">
        <v>150</v>
      </c>
    </row>
    <row r="997" spans="1:8" ht="12.75" customHeight="1" x14ac:dyDescent="0.2">
      <c r="A997" s="273">
        <v>2025</v>
      </c>
      <c r="B997" s="274" t="s">
        <v>757</v>
      </c>
      <c r="C997" s="274" t="s">
        <v>1461</v>
      </c>
      <c r="D997" s="208" t="s">
        <v>1462</v>
      </c>
      <c r="E997" s="208" t="s">
        <v>1566</v>
      </c>
      <c r="F997" s="208" t="s">
        <v>27</v>
      </c>
      <c r="G997" s="208" t="s">
        <v>37</v>
      </c>
      <c r="H997" s="275">
        <v>1772</v>
      </c>
    </row>
    <row r="998" spans="1:8" ht="12.75" customHeight="1" x14ac:dyDescent="0.2">
      <c r="A998" s="273">
        <v>2025</v>
      </c>
      <c r="B998" s="274" t="s">
        <v>1567</v>
      </c>
      <c r="C998" s="274" t="s">
        <v>1568</v>
      </c>
      <c r="D998" s="208" t="s">
        <v>1569</v>
      </c>
      <c r="E998" s="208" t="s">
        <v>1570</v>
      </c>
      <c r="F998" s="208" t="s">
        <v>27</v>
      </c>
      <c r="G998" s="208" t="s">
        <v>37</v>
      </c>
      <c r="H998" s="275">
        <v>750</v>
      </c>
    </row>
    <row r="999" spans="1:8" ht="12.75" customHeight="1" x14ac:dyDescent="0.2">
      <c r="A999" s="273">
        <v>2025</v>
      </c>
      <c r="B999" s="274" t="s">
        <v>1571</v>
      </c>
      <c r="C999" s="274" t="s">
        <v>1437</v>
      </c>
      <c r="D999" s="208" t="s">
        <v>1438</v>
      </c>
      <c r="E999" s="208" t="s">
        <v>1572</v>
      </c>
      <c r="F999" s="208" t="s">
        <v>27</v>
      </c>
      <c r="G999" s="208" t="s">
        <v>37</v>
      </c>
      <c r="H999" s="275">
        <v>624.67999999999995</v>
      </c>
    </row>
    <row r="1000" spans="1:8" ht="12.75" customHeight="1" x14ac:dyDescent="0.2">
      <c r="A1000" s="273">
        <v>2025</v>
      </c>
      <c r="B1000" s="274" t="s">
        <v>1399</v>
      </c>
      <c r="C1000" s="274" t="s">
        <v>1433</v>
      </c>
      <c r="D1000" s="208" t="s">
        <v>1434</v>
      </c>
      <c r="E1000" s="208" t="s">
        <v>1573</v>
      </c>
      <c r="F1000" s="208" t="s">
        <v>27</v>
      </c>
      <c r="G1000" s="208" t="s">
        <v>37</v>
      </c>
      <c r="H1000" s="275">
        <v>349</v>
      </c>
    </row>
    <row r="1001" spans="1:8" ht="12.75" customHeight="1" x14ac:dyDescent="0.2">
      <c r="A1001" s="273">
        <v>2025</v>
      </c>
      <c r="B1001" s="274" t="s">
        <v>549</v>
      </c>
      <c r="C1001" s="274" t="s">
        <v>1437</v>
      </c>
      <c r="D1001" s="208" t="s">
        <v>1438</v>
      </c>
      <c r="E1001" s="208" t="s">
        <v>1574</v>
      </c>
      <c r="F1001" s="208" t="s">
        <v>27</v>
      </c>
      <c r="G1001" s="208" t="s">
        <v>37</v>
      </c>
      <c r="H1001" s="275">
        <v>240</v>
      </c>
    </row>
    <row r="1002" spans="1:8" ht="12.75" customHeight="1" x14ac:dyDescent="0.2">
      <c r="A1002" s="273">
        <v>2025</v>
      </c>
      <c r="B1002" s="274" t="s">
        <v>549</v>
      </c>
      <c r="C1002" s="274" t="s">
        <v>1437</v>
      </c>
      <c r="D1002" s="208" t="s">
        <v>1438</v>
      </c>
      <c r="E1002" s="208" t="s">
        <v>1575</v>
      </c>
      <c r="F1002" s="208" t="s">
        <v>27</v>
      </c>
      <c r="G1002" s="208" t="s">
        <v>37</v>
      </c>
      <c r="H1002" s="275">
        <v>1850</v>
      </c>
    </row>
    <row r="1003" spans="1:8" ht="12.75" customHeight="1" x14ac:dyDescent="0.2">
      <c r="A1003" s="273">
        <v>2025</v>
      </c>
      <c r="B1003" s="274" t="s">
        <v>549</v>
      </c>
      <c r="C1003" s="274" t="s">
        <v>1437</v>
      </c>
      <c r="D1003" s="208" t="s">
        <v>1438</v>
      </c>
      <c r="E1003" s="208" t="s">
        <v>1576</v>
      </c>
      <c r="F1003" s="208" t="s">
        <v>27</v>
      </c>
      <c r="G1003" s="208" t="s">
        <v>37</v>
      </c>
      <c r="H1003" s="275">
        <v>13.99</v>
      </c>
    </row>
    <row r="1004" spans="1:8" ht="12.75" customHeight="1" x14ac:dyDescent="0.2">
      <c r="A1004" s="273">
        <v>2025</v>
      </c>
      <c r="B1004" s="274" t="s">
        <v>762</v>
      </c>
      <c r="C1004" s="274" t="s">
        <v>1452</v>
      </c>
      <c r="D1004" s="208" t="s">
        <v>1453</v>
      </c>
      <c r="E1004" s="208" t="s">
        <v>1577</v>
      </c>
      <c r="F1004" s="208" t="s">
        <v>27</v>
      </c>
      <c r="G1004" s="208" t="s">
        <v>37</v>
      </c>
      <c r="H1004" s="275">
        <v>50</v>
      </c>
    </row>
    <row r="1005" spans="1:8" ht="12.75" customHeight="1" x14ac:dyDescent="0.2">
      <c r="A1005" s="273">
        <v>2025</v>
      </c>
      <c r="B1005" s="274" t="s">
        <v>551</v>
      </c>
      <c r="C1005" s="274" t="s">
        <v>1437</v>
      </c>
      <c r="D1005" s="208" t="s">
        <v>1438</v>
      </c>
      <c r="E1005" s="208" t="s">
        <v>1578</v>
      </c>
      <c r="F1005" s="208" t="s">
        <v>27</v>
      </c>
      <c r="G1005" s="208" t="s">
        <v>37</v>
      </c>
      <c r="H1005" s="275">
        <v>20</v>
      </c>
    </row>
    <row r="1006" spans="1:8" ht="12.75" customHeight="1" x14ac:dyDescent="0.2">
      <c r="A1006" s="273">
        <v>2025</v>
      </c>
      <c r="B1006" s="274" t="s">
        <v>911</v>
      </c>
      <c r="C1006" s="274" t="s">
        <v>1433</v>
      </c>
      <c r="D1006" s="208" t="s">
        <v>1434</v>
      </c>
      <c r="E1006" s="208" t="s">
        <v>1579</v>
      </c>
      <c r="F1006" s="208" t="s">
        <v>27</v>
      </c>
      <c r="G1006" s="208" t="s">
        <v>37</v>
      </c>
      <c r="H1006" s="275">
        <v>3244.13</v>
      </c>
    </row>
    <row r="1007" spans="1:8" ht="12.75" customHeight="1" x14ac:dyDescent="0.2">
      <c r="A1007" s="273">
        <v>2025</v>
      </c>
      <c r="B1007" s="274" t="s">
        <v>561</v>
      </c>
      <c r="C1007" s="274" t="s">
        <v>1437</v>
      </c>
      <c r="D1007" s="208" t="s">
        <v>1438</v>
      </c>
      <c r="E1007" s="208" t="s">
        <v>1580</v>
      </c>
      <c r="F1007" s="208" t="s">
        <v>27</v>
      </c>
      <c r="G1007" s="208" t="s">
        <v>37</v>
      </c>
      <c r="H1007" s="275">
        <v>624.67999999999995</v>
      </c>
    </row>
    <row r="1008" spans="1:8" ht="12.75" customHeight="1" x14ac:dyDescent="0.2">
      <c r="A1008" s="273">
        <v>2025</v>
      </c>
      <c r="B1008" s="274" t="s">
        <v>1410</v>
      </c>
      <c r="C1008" s="274" t="s">
        <v>1461</v>
      </c>
      <c r="D1008" s="208" t="s">
        <v>1462</v>
      </c>
      <c r="E1008" s="208" t="s">
        <v>1581</v>
      </c>
      <c r="F1008" s="208" t="s">
        <v>27</v>
      </c>
      <c r="G1008" s="208" t="s">
        <v>37</v>
      </c>
      <c r="H1008" s="275">
        <v>150</v>
      </c>
    </row>
    <row r="1009" spans="1:8" ht="12.75" customHeight="1" x14ac:dyDescent="0.2">
      <c r="A1009" s="273">
        <v>2025</v>
      </c>
      <c r="B1009" s="274" t="s">
        <v>1410</v>
      </c>
      <c r="C1009" s="274" t="s">
        <v>1461</v>
      </c>
      <c r="D1009" s="208" t="s">
        <v>1462</v>
      </c>
      <c r="E1009" s="208" t="s">
        <v>1582</v>
      </c>
      <c r="F1009" s="208" t="s">
        <v>27</v>
      </c>
      <c r="G1009" s="208" t="s">
        <v>37</v>
      </c>
      <c r="H1009" s="275">
        <v>150</v>
      </c>
    </row>
    <row r="1010" spans="1:8" ht="12.75" customHeight="1" x14ac:dyDescent="0.2">
      <c r="A1010" s="273">
        <v>2025</v>
      </c>
      <c r="B1010" s="274" t="s">
        <v>1412</v>
      </c>
      <c r="C1010" s="274" t="s">
        <v>1433</v>
      </c>
      <c r="D1010" s="208" t="s">
        <v>1434</v>
      </c>
      <c r="E1010" s="208" t="s">
        <v>1583</v>
      </c>
      <c r="F1010" s="208" t="s">
        <v>27</v>
      </c>
      <c r="G1010" s="208" t="s">
        <v>37</v>
      </c>
      <c r="H1010" s="275">
        <v>349</v>
      </c>
    </row>
    <row r="1011" spans="1:8" ht="12.75" customHeight="1" x14ac:dyDescent="0.2">
      <c r="A1011" s="273">
        <v>2025</v>
      </c>
      <c r="B1011" s="274" t="s">
        <v>920</v>
      </c>
      <c r="C1011" s="274" t="s">
        <v>1457</v>
      </c>
      <c r="D1011" s="208" t="s">
        <v>1458</v>
      </c>
      <c r="E1011" s="208" t="s">
        <v>1584</v>
      </c>
      <c r="F1011" s="208" t="s">
        <v>27</v>
      </c>
      <c r="G1011" s="208" t="s">
        <v>37</v>
      </c>
      <c r="H1011" s="275">
        <v>1000</v>
      </c>
    </row>
    <row r="1012" spans="1:8" ht="12.75" customHeight="1" x14ac:dyDescent="0.2">
      <c r="A1012" s="273">
        <v>2025</v>
      </c>
      <c r="B1012" s="274" t="s">
        <v>1585</v>
      </c>
      <c r="C1012" s="274" t="s">
        <v>1437</v>
      </c>
      <c r="D1012" s="208" t="s">
        <v>1438</v>
      </c>
      <c r="E1012" s="208" t="s">
        <v>1586</v>
      </c>
      <c r="F1012" s="208" t="s">
        <v>27</v>
      </c>
      <c r="G1012" s="208" t="s">
        <v>37</v>
      </c>
      <c r="H1012" s="275">
        <v>13.99</v>
      </c>
    </row>
    <row r="1013" spans="1:8" ht="12.75" customHeight="1" x14ac:dyDescent="0.2">
      <c r="A1013" s="273">
        <v>2025</v>
      </c>
      <c r="B1013" s="274" t="s">
        <v>563</v>
      </c>
      <c r="C1013" s="274" t="s">
        <v>1437</v>
      </c>
      <c r="D1013" s="208" t="s">
        <v>1438</v>
      </c>
      <c r="E1013" s="208" t="s">
        <v>1587</v>
      </c>
      <c r="F1013" s="208" t="s">
        <v>27</v>
      </c>
      <c r="G1013" s="208" t="s">
        <v>37</v>
      </c>
      <c r="H1013" s="275">
        <v>240</v>
      </c>
    </row>
    <row r="1014" spans="1:8" ht="12.75" customHeight="1" x14ac:dyDescent="0.2">
      <c r="A1014" s="273">
        <v>2025</v>
      </c>
      <c r="B1014" s="274" t="s">
        <v>563</v>
      </c>
      <c r="C1014" s="274" t="s">
        <v>1437</v>
      </c>
      <c r="D1014" s="208" t="s">
        <v>1438</v>
      </c>
      <c r="E1014" s="208" t="s">
        <v>1588</v>
      </c>
      <c r="F1014" s="208" t="s">
        <v>27</v>
      </c>
      <c r="G1014" s="208" t="s">
        <v>37</v>
      </c>
      <c r="H1014" s="275">
        <v>1850</v>
      </c>
    </row>
    <row r="1015" spans="1:8" ht="12.75" customHeight="1" x14ac:dyDescent="0.2">
      <c r="A1015" s="273">
        <v>2025</v>
      </c>
      <c r="B1015" s="274" t="s">
        <v>563</v>
      </c>
      <c r="C1015" s="274" t="s">
        <v>1437</v>
      </c>
      <c r="D1015" s="208" t="s">
        <v>1438</v>
      </c>
      <c r="E1015" s="208" t="s">
        <v>1589</v>
      </c>
      <c r="F1015" s="208" t="s">
        <v>27</v>
      </c>
      <c r="G1015" s="208" t="s">
        <v>37</v>
      </c>
      <c r="H1015" s="275">
        <v>1089</v>
      </c>
    </row>
    <row r="1016" spans="1:8" ht="12.75" customHeight="1" x14ac:dyDescent="0.2">
      <c r="A1016" s="273">
        <v>2025</v>
      </c>
      <c r="B1016" s="274" t="s">
        <v>563</v>
      </c>
      <c r="C1016" s="274" t="s">
        <v>1452</v>
      </c>
      <c r="D1016" s="208" t="s">
        <v>1453</v>
      </c>
      <c r="E1016" s="208" t="s">
        <v>1590</v>
      </c>
      <c r="F1016" s="208" t="s">
        <v>27</v>
      </c>
      <c r="G1016" s="208" t="s">
        <v>37</v>
      </c>
      <c r="H1016" s="275">
        <v>800</v>
      </c>
    </row>
    <row r="1017" spans="1:8" ht="12.75" customHeight="1" x14ac:dyDescent="0.2">
      <c r="A1017" s="273">
        <v>2025</v>
      </c>
      <c r="B1017" s="274" t="s">
        <v>1591</v>
      </c>
      <c r="C1017" s="274" t="s">
        <v>1437</v>
      </c>
      <c r="D1017" s="208" t="s">
        <v>1438</v>
      </c>
      <c r="E1017" s="208" t="s">
        <v>1592</v>
      </c>
      <c r="F1017" s="208" t="s">
        <v>27</v>
      </c>
      <c r="G1017" s="208" t="s">
        <v>37</v>
      </c>
      <c r="H1017" s="275">
        <v>20</v>
      </c>
    </row>
    <row r="1018" spans="1:8" ht="12.75" customHeight="1" x14ac:dyDescent="0.2">
      <c r="A1018" s="273">
        <v>2025</v>
      </c>
      <c r="B1018" s="274" t="s">
        <v>1284</v>
      </c>
      <c r="C1018" s="274" t="s">
        <v>1433</v>
      </c>
      <c r="D1018" s="208" t="s">
        <v>1434</v>
      </c>
      <c r="E1018" s="208" t="s">
        <v>1593</v>
      </c>
      <c r="F1018" s="208" t="s">
        <v>27</v>
      </c>
      <c r="G1018" s="208" t="s">
        <v>37</v>
      </c>
      <c r="H1018" s="275">
        <v>1922.08</v>
      </c>
    </row>
    <row r="1019" spans="1:8" ht="12.75" customHeight="1" x14ac:dyDescent="0.2">
      <c r="A1019" s="273">
        <v>2025</v>
      </c>
      <c r="B1019" s="274" t="s">
        <v>1416</v>
      </c>
      <c r="C1019" s="274" t="s">
        <v>1568</v>
      </c>
      <c r="D1019" s="208" t="s">
        <v>1569</v>
      </c>
      <c r="E1019" s="208" t="s">
        <v>1594</v>
      </c>
      <c r="F1019" s="208" t="s">
        <v>27</v>
      </c>
      <c r="G1019" s="208" t="s">
        <v>37</v>
      </c>
      <c r="H1019" s="275">
        <v>950</v>
      </c>
    </row>
    <row r="1020" spans="1:8" ht="12.75" customHeight="1" x14ac:dyDescent="0.2">
      <c r="A1020" s="273">
        <v>2025</v>
      </c>
      <c r="B1020" s="274" t="s">
        <v>1416</v>
      </c>
      <c r="C1020" s="274" t="s">
        <v>1437</v>
      </c>
      <c r="D1020" s="208" t="s">
        <v>1438</v>
      </c>
      <c r="E1020" s="208" t="s">
        <v>1595</v>
      </c>
      <c r="F1020" s="208" t="s">
        <v>27</v>
      </c>
      <c r="G1020" s="208" t="s">
        <v>37</v>
      </c>
      <c r="H1020" s="275">
        <v>294</v>
      </c>
    </row>
    <row r="1021" spans="1:8" ht="12.75" customHeight="1" x14ac:dyDescent="0.2">
      <c r="A1021" s="273">
        <v>2025</v>
      </c>
      <c r="B1021" s="274" t="s">
        <v>569</v>
      </c>
      <c r="C1021" s="274" t="s">
        <v>1437</v>
      </c>
      <c r="D1021" s="208" t="s">
        <v>1438</v>
      </c>
      <c r="E1021" s="208" t="s">
        <v>1596</v>
      </c>
      <c r="F1021" s="208" t="s">
        <v>27</v>
      </c>
      <c r="G1021" s="208" t="s">
        <v>37</v>
      </c>
      <c r="H1021" s="275">
        <v>1413.19</v>
      </c>
    </row>
    <row r="1022" spans="1:8" ht="12.75" customHeight="1" x14ac:dyDescent="0.2">
      <c r="A1022" s="273">
        <v>2025</v>
      </c>
      <c r="B1022" s="274" t="s">
        <v>1597</v>
      </c>
      <c r="C1022" s="274" t="s">
        <v>1433</v>
      </c>
      <c r="D1022" s="208" t="s">
        <v>1434</v>
      </c>
      <c r="E1022" s="208" t="s">
        <v>1598</v>
      </c>
      <c r="F1022" s="208" t="s">
        <v>27</v>
      </c>
      <c r="G1022" s="208" t="s">
        <v>37</v>
      </c>
      <c r="H1022" s="275">
        <v>349</v>
      </c>
    </row>
    <row r="1023" spans="1:8" ht="12.75" customHeight="1" x14ac:dyDescent="0.2">
      <c r="A1023" s="273">
        <v>2025</v>
      </c>
      <c r="B1023" s="274" t="s">
        <v>571</v>
      </c>
      <c r="C1023" s="274" t="s">
        <v>1437</v>
      </c>
      <c r="D1023" s="208" t="s">
        <v>1438</v>
      </c>
      <c r="E1023" s="208" t="s">
        <v>1599</v>
      </c>
      <c r="F1023" s="208" t="s">
        <v>27</v>
      </c>
      <c r="G1023" s="208" t="s">
        <v>37</v>
      </c>
      <c r="H1023" s="275">
        <v>240</v>
      </c>
    </row>
    <row r="1024" spans="1:8" ht="12.75" customHeight="1" x14ac:dyDescent="0.2">
      <c r="A1024" s="273">
        <v>2025</v>
      </c>
      <c r="B1024" s="274" t="s">
        <v>571</v>
      </c>
      <c r="C1024" s="274" t="s">
        <v>1437</v>
      </c>
      <c r="D1024" s="208" t="s">
        <v>1438</v>
      </c>
      <c r="E1024" s="208" t="s">
        <v>1600</v>
      </c>
      <c r="F1024" s="208" t="s">
        <v>27</v>
      </c>
      <c r="G1024" s="208" t="s">
        <v>37</v>
      </c>
      <c r="H1024" s="275">
        <v>1850</v>
      </c>
    </row>
    <row r="1025" spans="1:8" ht="12.75" customHeight="1" x14ac:dyDescent="0.2">
      <c r="A1025" s="273">
        <v>2025</v>
      </c>
      <c r="B1025" s="274" t="s">
        <v>571</v>
      </c>
      <c r="C1025" s="274" t="s">
        <v>1437</v>
      </c>
      <c r="D1025" s="208" t="s">
        <v>1438</v>
      </c>
      <c r="E1025" s="208" t="s">
        <v>1601</v>
      </c>
      <c r="F1025" s="208" t="s">
        <v>27</v>
      </c>
      <c r="G1025" s="208" t="s">
        <v>37</v>
      </c>
      <c r="H1025" s="275">
        <v>1124.04</v>
      </c>
    </row>
    <row r="1026" spans="1:8" ht="12.75" customHeight="1" x14ac:dyDescent="0.2">
      <c r="A1026" s="273">
        <v>2025</v>
      </c>
      <c r="B1026" s="274" t="s">
        <v>571</v>
      </c>
      <c r="C1026" s="274" t="s">
        <v>1452</v>
      </c>
      <c r="D1026" s="208" t="s">
        <v>1453</v>
      </c>
      <c r="E1026" s="208" t="s">
        <v>1602</v>
      </c>
      <c r="F1026" s="208" t="s">
        <v>27</v>
      </c>
      <c r="G1026" s="208" t="s">
        <v>37</v>
      </c>
      <c r="H1026" s="275">
        <v>800</v>
      </c>
    </row>
    <row r="1027" spans="1:8" ht="12.75" customHeight="1" x14ac:dyDescent="0.2">
      <c r="A1027" s="273">
        <v>2025</v>
      </c>
      <c r="B1027" s="274" t="s">
        <v>792</v>
      </c>
      <c r="C1027" s="274" t="s">
        <v>1437</v>
      </c>
      <c r="D1027" s="208" t="s">
        <v>1438</v>
      </c>
      <c r="E1027" s="208" t="s">
        <v>1603</v>
      </c>
      <c r="F1027" s="208" t="s">
        <v>27</v>
      </c>
      <c r="G1027" s="208" t="s">
        <v>37</v>
      </c>
      <c r="H1027" s="275">
        <v>20</v>
      </c>
    </row>
    <row r="1028" spans="1:8" ht="12.75" customHeight="1" x14ac:dyDescent="0.2">
      <c r="A1028" s="273">
        <v>2025</v>
      </c>
      <c r="B1028" s="274" t="s">
        <v>792</v>
      </c>
      <c r="C1028" s="274" t="s">
        <v>1437</v>
      </c>
      <c r="D1028" s="208" t="s">
        <v>1438</v>
      </c>
      <c r="E1028" s="208" t="s">
        <v>1604</v>
      </c>
      <c r="F1028" s="208" t="s">
        <v>27</v>
      </c>
      <c r="G1028" s="208" t="s">
        <v>37</v>
      </c>
      <c r="H1028" s="275">
        <v>25</v>
      </c>
    </row>
    <row r="1029" spans="1:8" ht="12.75" customHeight="1" x14ac:dyDescent="0.2">
      <c r="A1029" s="273">
        <v>2025</v>
      </c>
      <c r="B1029" s="274" t="s">
        <v>1605</v>
      </c>
      <c r="C1029" s="274" t="s">
        <v>1461</v>
      </c>
      <c r="D1029" s="208" t="s">
        <v>1462</v>
      </c>
      <c r="E1029" s="208" t="s">
        <v>1606</v>
      </c>
      <c r="F1029" s="208" t="s">
        <v>27</v>
      </c>
      <c r="G1029" s="208" t="s">
        <v>37</v>
      </c>
      <c r="H1029" s="275">
        <v>150</v>
      </c>
    </row>
    <row r="1030" spans="1:8" ht="12.75" customHeight="1" x14ac:dyDescent="0.2">
      <c r="A1030" s="273">
        <v>2025</v>
      </c>
      <c r="B1030" s="274" t="s">
        <v>794</v>
      </c>
      <c r="C1030" s="274" t="s">
        <v>1433</v>
      </c>
      <c r="D1030" s="208" t="s">
        <v>1434</v>
      </c>
      <c r="E1030" s="208" t="s">
        <v>1607</v>
      </c>
      <c r="F1030" s="208" t="s">
        <v>27</v>
      </c>
      <c r="G1030" s="208" t="s">
        <v>37</v>
      </c>
      <c r="H1030" s="275">
        <v>1366.94</v>
      </c>
    </row>
    <row r="1031" spans="1:8" ht="12.75" customHeight="1" x14ac:dyDescent="0.2">
      <c r="A1031" s="273">
        <v>2025</v>
      </c>
      <c r="B1031" s="274" t="s">
        <v>1608</v>
      </c>
      <c r="C1031" s="274" t="s">
        <v>1461</v>
      </c>
      <c r="D1031" s="208" t="s">
        <v>1462</v>
      </c>
      <c r="E1031" s="208" t="s">
        <v>1609</v>
      </c>
      <c r="F1031" s="208" t="s">
        <v>27</v>
      </c>
      <c r="G1031" s="208" t="s">
        <v>37</v>
      </c>
      <c r="H1031" s="275">
        <v>150</v>
      </c>
    </row>
    <row r="1032" spans="1:8" ht="12.75" customHeight="1" x14ac:dyDescent="0.2">
      <c r="A1032" s="273">
        <v>2025</v>
      </c>
      <c r="B1032" s="274" t="s">
        <v>1610</v>
      </c>
      <c r="C1032" s="274" t="s">
        <v>1437</v>
      </c>
      <c r="D1032" s="208" t="s">
        <v>1438</v>
      </c>
      <c r="E1032" s="208" t="s">
        <v>1611</v>
      </c>
      <c r="F1032" s="208" t="s">
        <v>27</v>
      </c>
      <c r="G1032" s="208" t="s">
        <v>37</v>
      </c>
      <c r="H1032" s="275">
        <v>1413.19</v>
      </c>
    </row>
    <row r="1033" spans="1:8" ht="12.75" customHeight="1" x14ac:dyDescent="0.2">
      <c r="A1033" s="273">
        <v>2025</v>
      </c>
      <c r="B1033" s="274" t="s">
        <v>1612</v>
      </c>
      <c r="C1033" s="274" t="s">
        <v>1433</v>
      </c>
      <c r="D1033" s="208" t="s">
        <v>1434</v>
      </c>
      <c r="E1033" s="208" t="s">
        <v>1598</v>
      </c>
      <c r="F1033" s="208" t="s">
        <v>27</v>
      </c>
      <c r="G1033" s="208" t="s">
        <v>37</v>
      </c>
      <c r="H1033" s="275">
        <v>349</v>
      </c>
    </row>
    <row r="1034" spans="1:8" ht="12.75" customHeight="1" x14ac:dyDescent="0.2">
      <c r="A1034" s="273">
        <v>2025</v>
      </c>
      <c r="B1034" s="274" t="s">
        <v>581</v>
      </c>
      <c r="C1034" s="274" t="s">
        <v>1437</v>
      </c>
      <c r="D1034" s="208" t="s">
        <v>1438</v>
      </c>
      <c r="E1034" s="208" t="s">
        <v>1613</v>
      </c>
      <c r="F1034" s="208" t="s">
        <v>27</v>
      </c>
      <c r="G1034" s="208" t="s">
        <v>37</v>
      </c>
      <c r="H1034" s="275">
        <v>240</v>
      </c>
    </row>
    <row r="1035" spans="1:8" ht="12.75" customHeight="1" x14ac:dyDescent="0.2">
      <c r="A1035" s="273">
        <v>2025</v>
      </c>
      <c r="B1035" s="274" t="s">
        <v>581</v>
      </c>
      <c r="C1035" s="274" t="s">
        <v>1437</v>
      </c>
      <c r="D1035" s="208" t="s">
        <v>1438</v>
      </c>
      <c r="E1035" s="208" t="s">
        <v>1614</v>
      </c>
      <c r="F1035" s="208" t="s">
        <v>27</v>
      </c>
      <c r="G1035" s="208" t="s">
        <v>37</v>
      </c>
      <c r="H1035" s="275">
        <v>1124.04</v>
      </c>
    </row>
    <row r="1036" spans="1:8" ht="12.75" customHeight="1" x14ac:dyDescent="0.2">
      <c r="A1036" s="273">
        <v>2025</v>
      </c>
      <c r="B1036" s="274" t="s">
        <v>581</v>
      </c>
      <c r="C1036" s="274" t="s">
        <v>1437</v>
      </c>
      <c r="D1036" s="208" t="s">
        <v>1438</v>
      </c>
      <c r="E1036" s="208" t="s">
        <v>1615</v>
      </c>
      <c r="F1036" s="208" t="s">
        <v>27</v>
      </c>
      <c r="G1036" s="208" t="s">
        <v>37</v>
      </c>
      <c r="H1036" s="275">
        <v>1850</v>
      </c>
    </row>
    <row r="1037" spans="1:8" ht="12.75" customHeight="1" x14ac:dyDescent="0.2">
      <c r="A1037" s="273">
        <v>2025</v>
      </c>
      <c r="B1037" s="274" t="s">
        <v>581</v>
      </c>
      <c r="C1037" s="274" t="s">
        <v>1433</v>
      </c>
      <c r="D1037" s="208" t="s">
        <v>1434</v>
      </c>
      <c r="E1037" s="208" t="s">
        <v>1616</v>
      </c>
      <c r="F1037" s="208" t="s">
        <v>27</v>
      </c>
      <c r="G1037" s="208" t="s">
        <v>37</v>
      </c>
      <c r="H1037" s="276">
        <v>-349</v>
      </c>
    </row>
    <row r="1038" spans="1:8" ht="12.75" customHeight="1" x14ac:dyDescent="0.2">
      <c r="A1038" s="273">
        <v>2025</v>
      </c>
      <c r="B1038" s="274" t="s">
        <v>581</v>
      </c>
      <c r="C1038" s="274" t="s">
        <v>1433</v>
      </c>
      <c r="D1038" s="208" t="s">
        <v>1434</v>
      </c>
      <c r="E1038" s="208" t="s">
        <v>1617</v>
      </c>
      <c r="F1038" s="208" t="s">
        <v>27</v>
      </c>
      <c r="G1038" s="208" t="s">
        <v>37</v>
      </c>
      <c r="H1038" s="275">
        <v>1227.9000000000001</v>
      </c>
    </row>
    <row r="1039" spans="1:8" ht="12.75" customHeight="1" x14ac:dyDescent="0.2">
      <c r="A1039" s="273">
        <v>2025</v>
      </c>
      <c r="B1039" s="274" t="s">
        <v>581</v>
      </c>
      <c r="C1039" s="274" t="s">
        <v>1461</v>
      </c>
      <c r="D1039" s="208" t="s">
        <v>1462</v>
      </c>
      <c r="E1039" s="208" t="s">
        <v>1618</v>
      </c>
      <c r="F1039" s="208" t="s">
        <v>27</v>
      </c>
      <c r="G1039" s="208" t="s">
        <v>37</v>
      </c>
      <c r="H1039" s="276">
        <v>-878.72</v>
      </c>
    </row>
    <row r="1040" spans="1:8" ht="12.75" customHeight="1" x14ac:dyDescent="0.2">
      <c r="A1040" s="273">
        <v>2025</v>
      </c>
      <c r="B1040" s="274" t="s">
        <v>654</v>
      </c>
      <c r="C1040" s="274" t="s">
        <v>1619</v>
      </c>
      <c r="D1040" s="208" t="s">
        <v>1620</v>
      </c>
      <c r="E1040" s="208" t="s">
        <v>1621</v>
      </c>
      <c r="F1040" s="208" t="s">
        <v>27</v>
      </c>
      <c r="G1040" s="208" t="s">
        <v>41</v>
      </c>
      <c r="H1040" s="275">
        <v>1.05</v>
      </c>
    </row>
    <row r="1041" spans="1:8" ht="12.75" customHeight="1" x14ac:dyDescent="0.2">
      <c r="A1041" s="273">
        <v>2025</v>
      </c>
      <c r="B1041" s="274" t="s">
        <v>654</v>
      </c>
      <c r="C1041" s="274" t="s">
        <v>1619</v>
      </c>
      <c r="D1041" s="208" t="s">
        <v>1620</v>
      </c>
      <c r="E1041" s="208" t="s">
        <v>1621</v>
      </c>
      <c r="F1041" s="208" t="s">
        <v>27</v>
      </c>
      <c r="G1041" s="208" t="s">
        <v>41</v>
      </c>
      <c r="H1041" s="275">
        <v>1.05</v>
      </c>
    </row>
    <row r="1042" spans="1:8" ht="12.75" customHeight="1" x14ac:dyDescent="0.2">
      <c r="A1042" s="273">
        <v>2025</v>
      </c>
      <c r="B1042" s="274" t="s">
        <v>433</v>
      </c>
      <c r="C1042" s="274" t="s">
        <v>1619</v>
      </c>
      <c r="D1042" s="208" t="s">
        <v>1620</v>
      </c>
      <c r="E1042" s="208" t="s">
        <v>1622</v>
      </c>
      <c r="F1042" s="208" t="s">
        <v>27</v>
      </c>
      <c r="G1042" s="208" t="s">
        <v>41</v>
      </c>
      <c r="H1042" s="275">
        <v>30.6</v>
      </c>
    </row>
    <row r="1043" spans="1:8" ht="12.75" customHeight="1" x14ac:dyDescent="0.2">
      <c r="A1043" s="273">
        <v>2025</v>
      </c>
      <c r="B1043" s="274" t="s">
        <v>1236</v>
      </c>
      <c r="C1043" s="274" t="s">
        <v>1623</v>
      </c>
      <c r="D1043" s="208" t="s">
        <v>1624</v>
      </c>
      <c r="E1043" s="208" t="s">
        <v>1625</v>
      </c>
      <c r="F1043" s="208" t="s">
        <v>27</v>
      </c>
      <c r="G1043" s="208" t="s">
        <v>41</v>
      </c>
      <c r="H1043" s="275">
        <v>10</v>
      </c>
    </row>
    <row r="1044" spans="1:8" ht="12.75" customHeight="1" x14ac:dyDescent="0.2">
      <c r="A1044" s="273">
        <v>2025</v>
      </c>
      <c r="B1044" s="274" t="s">
        <v>447</v>
      </c>
      <c r="C1044" s="274" t="s">
        <v>1626</v>
      </c>
      <c r="D1044" s="208" t="s">
        <v>1627</v>
      </c>
      <c r="E1044" s="208" t="s">
        <v>1628</v>
      </c>
      <c r="F1044" s="208" t="s">
        <v>27</v>
      </c>
      <c r="G1044" s="208" t="s">
        <v>41</v>
      </c>
      <c r="H1044" s="275">
        <v>40.15</v>
      </c>
    </row>
    <row r="1045" spans="1:8" ht="12.75" customHeight="1" x14ac:dyDescent="0.2">
      <c r="A1045" s="273">
        <v>2025</v>
      </c>
      <c r="B1045" s="274" t="s">
        <v>1441</v>
      </c>
      <c r="C1045" s="274" t="s">
        <v>1623</v>
      </c>
      <c r="D1045" s="208" t="s">
        <v>1624</v>
      </c>
      <c r="E1045" s="208" t="s">
        <v>1629</v>
      </c>
      <c r="F1045" s="208" t="s">
        <v>27</v>
      </c>
      <c r="G1045" s="208" t="s">
        <v>41</v>
      </c>
      <c r="H1045" s="275">
        <v>80.650000000000006</v>
      </c>
    </row>
    <row r="1046" spans="1:8" ht="12.75" customHeight="1" x14ac:dyDescent="0.2">
      <c r="A1046" s="273">
        <v>2025</v>
      </c>
      <c r="B1046" s="274" t="s">
        <v>817</v>
      </c>
      <c r="C1046" s="274" t="s">
        <v>1623</v>
      </c>
      <c r="D1046" s="208" t="s">
        <v>1624</v>
      </c>
      <c r="E1046" s="208" t="s">
        <v>1630</v>
      </c>
      <c r="F1046" s="208" t="s">
        <v>27</v>
      </c>
      <c r="G1046" s="208" t="s">
        <v>41</v>
      </c>
      <c r="H1046" s="275">
        <v>6.07</v>
      </c>
    </row>
    <row r="1047" spans="1:8" ht="12.75" customHeight="1" x14ac:dyDescent="0.2">
      <c r="A1047" s="273">
        <v>2025</v>
      </c>
      <c r="B1047" s="274" t="s">
        <v>819</v>
      </c>
      <c r="C1047" s="274" t="s">
        <v>1626</v>
      </c>
      <c r="D1047" s="208" t="s">
        <v>1627</v>
      </c>
      <c r="E1047" s="208" t="s">
        <v>1631</v>
      </c>
      <c r="F1047" s="208" t="s">
        <v>27</v>
      </c>
      <c r="G1047" s="208" t="s">
        <v>41</v>
      </c>
      <c r="H1047" s="275">
        <v>20.9</v>
      </c>
    </row>
    <row r="1048" spans="1:8" ht="12.75" customHeight="1" x14ac:dyDescent="0.2">
      <c r="A1048" s="273">
        <v>2025</v>
      </c>
      <c r="B1048" s="274" t="s">
        <v>1632</v>
      </c>
      <c r="C1048" s="274" t="s">
        <v>1626</v>
      </c>
      <c r="D1048" s="208" t="s">
        <v>1627</v>
      </c>
      <c r="E1048" s="208" t="s">
        <v>1633</v>
      </c>
      <c r="F1048" s="208" t="s">
        <v>27</v>
      </c>
      <c r="G1048" s="208" t="s">
        <v>41</v>
      </c>
      <c r="H1048" s="275">
        <v>20.9</v>
      </c>
    </row>
    <row r="1049" spans="1:8" ht="12.75" customHeight="1" x14ac:dyDescent="0.2">
      <c r="A1049" s="273">
        <v>2025</v>
      </c>
      <c r="B1049" s="274" t="s">
        <v>1632</v>
      </c>
      <c r="C1049" s="274" t="s">
        <v>1619</v>
      </c>
      <c r="D1049" s="208" t="s">
        <v>1620</v>
      </c>
      <c r="E1049" s="208" t="s">
        <v>1634</v>
      </c>
      <c r="F1049" s="208" t="s">
        <v>27</v>
      </c>
      <c r="G1049" s="208" t="s">
        <v>41</v>
      </c>
      <c r="H1049" s="275">
        <v>104.8</v>
      </c>
    </row>
    <row r="1050" spans="1:8" ht="12.75" customHeight="1" x14ac:dyDescent="0.2">
      <c r="A1050" s="273">
        <v>2025</v>
      </c>
      <c r="B1050" s="274" t="s">
        <v>821</v>
      </c>
      <c r="C1050" s="274" t="s">
        <v>1619</v>
      </c>
      <c r="D1050" s="208" t="s">
        <v>1620</v>
      </c>
      <c r="E1050" s="208" t="s">
        <v>1635</v>
      </c>
      <c r="F1050" s="208" t="s">
        <v>27</v>
      </c>
      <c r="G1050" s="208" t="s">
        <v>41</v>
      </c>
      <c r="H1050" s="275">
        <v>0.69</v>
      </c>
    </row>
    <row r="1051" spans="1:8" ht="12.75" customHeight="1" x14ac:dyDescent="0.2">
      <c r="A1051" s="273">
        <v>2025</v>
      </c>
      <c r="B1051" s="274" t="s">
        <v>669</v>
      </c>
      <c r="C1051" s="274" t="s">
        <v>1619</v>
      </c>
      <c r="D1051" s="208" t="s">
        <v>1620</v>
      </c>
      <c r="E1051" s="208" t="s">
        <v>1636</v>
      </c>
      <c r="F1051" s="208" t="s">
        <v>27</v>
      </c>
      <c r="G1051" s="208" t="s">
        <v>41</v>
      </c>
      <c r="H1051" s="275">
        <v>41</v>
      </c>
    </row>
    <row r="1052" spans="1:8" ht="12.75" customHeight="1" x14ac:dyDescent="0.2">
      <c r="A1052" s="273">
        <v>2025</v>
      </c>
      <c r="B1052" s="274" t="s">
        <v>1239</v>
      </c>
      <c r="C1052" s="274" t="s">
        <v>1626</v>
      </c>
      <c r="D1052" s="208" t="s">
        <v>1627</v>
      </c>
      <c r="E1052" s="208" t="s">
        <v>1637</v>
      </c>
      <c r="F1052" s="208" t="s">
        <v>27</v>
      </c>
      <c r="G1052" s="208" t="s">
        <v>41</v>
      </c>
      <c r="H1052" s="275">
        <v>20.9</v>
      </c>
    </row>
    <row r="1053" spans="1:8" ht="12.75" customHeight="1" x14ac:dyDescent="0.2">
      <c r="A1053" s="273">
        <v>2025</v>
      </c>
      <c r="B1053" s="274" t="s">
        <v>1239</v>
      </c>
      <c r="C1053" s="274" t="s">
        <v>1619</v>
      </c>
      <c r="D1053" s="208" t="s">
        <v>1620</v>
      </c>
      <c r="E1053" s="208" t="s">
        <v>1622</v>
      </c>
      <c r="F1053" s="208" t="s">
        <v>27</v>
      </c>
      <c r="G1053" s="208" t="s">
        <v>41</v>
      </c>
      <c r="H1053" s="275">
        <v>30.6</v>
      </c>
    </row>
    <row r="1054" spans="1:8" ht="12.75" customHeight="1" x14ac:dyDescent="0.2">
      <c r="A1054" s="273">
        <v>2025</v>
      </c>
      <c r="B1054" s="274" t="s">
        <v>1638</v>
      </c>
      <c r="C1054" s="274" t="s">
        <v>1623</v>
      </c>
      <c r="D1054" s="208" t="s">
        <v>1624</v>
      </c>
      <c r="E1054" s="208" t="s">
        <v>1639</v>
      </c>
      <c r="F1054" s="208" t="s">
        <v>27</v>
      </c>
      <c r="G1054" s="208" t="s">
        <v>41</v>
      </c>
      <c r="H1054" s="275">
        <v>79</v>
      </c>
    </row>
    <row r="1055" spans="1:8" ht="12.75" customHeight="1" x14ac:dyDescent="0.2">
      <c r="A1055" s="273">
        <v>2025</v>
      </c>
      <c r="B1055" s="274" t="s">
        <v>678</v>
      </c>
      <c r="C1055" s="274" t="s">
        <v>1626</v>
      </c>
      <c r="D1055" s="208" t="s">
        <v>1627</v>
      </c>
      <c r="E1055" s="208" t="s">
        <v>1640</v>
      </c>
      <c r="F1055" s="208" t="s">
        <v>27</v>
      </c>
      <c r="G1055" s="208" t="s">
        <v>41</v>
      </c>
      <c r="H1055" s="275">
        <v>20.9</v>
      </c>
    </row>
    <row r="1056" spans="1:8" ht="12.75" customHeight="1" x14ac:dyDescent="0.2">
      <c r="A1056" s="273">
        <v>2025</v>
      </c>
      <c r="B1056" s="274" t="s">
        <v>1641</v>
      </c>
      <c r="C1056" s="274" t="s">
        <v>1626</v>
      </c>
      <c r="D1056" s="208" t="s">
        <v>1627</v>
      </c>
      <c r="E1056" s="208" t="s">
        <v>1642</v>
      </c>
      <c r="F1056" s="208" t="s">
        <v>27</v>
      </c>
      <c r="G1056" s="208" t="s">
        <v>41</v>
      </c>
      <c r="H1056" s="275">
        <v>2.78</v>
      </c>
    </row>
    <row r="1057" spans="1:8" ht="12.75" customHeight="1" x14ac:dyDescent="0.2">
      <c r="A1057" s="273">
        <v>2025</v>
      </c>
      <c r="B1057" s="274" t="s">
        <v>1641</v>
      </c>
      <c r="C1057" s="274" t="s">
        <v>1623</v>
      </c>
      <c r="D1057" s="208" t="s">
        <v>1624</v>
      </c>
      <c r="E1057" s="208" t="s">
        <v>1643</v>
      </c>
      <c r="F1057" s="208" t="s">
        <v>27</v>
      </c>
      <c r="G1057" s="208" t="s">
        <v>41</v>
      </c>
      <c r="H1057" s="275">
        <v>50</v>
      </c>
    </row>
    <row r="1058" spans="1:8" ht="12.75" customHeight="1" x14ac:dyDescent="0.2">
      <c r="A1058" s="273">
        <v>2025</v>
      </c>
      <c r="B1058" s="274" t="s">
        <v>679</v>
      </c>
      <c r="C1058" s="274" t="s">
        <v>1619</v>
      </c>
      <c r="D1058" s="208" t="s">
        <v>1620</v>
      </c>
      <c r="E1058" s="208" t="s">
        <v>1635</v>
      </c>
      <c r="F1058" s="208" t="s">
        <v>27</v>
      </c>
      <c r="G1058" s="208" t="s">
        <v>41</v>
      </c>
      <c r="H1058" s="275">
        <v>0.69</v>
      </c>
    </row>
    <row r="1059" spans="1:8" ht="12.75" customHeight="1" x14ac:dyDescent="0.2">
      <c r="A1059" s="273">
        <v>2025</v>
      </c>
      <c r="B1059" s="274" t="s">
        <v>1244</v>
      </c>
      <c r="C1059" s="274" t="s">
        <v>1626</v>
      </c>
      <c r="D1059" s="208" t="s">
        <v>1627</v>
      </c>
      <c r="E1059" s="208" t="s">
        <v>1644</v>
      </c>
      <c r="F1059" s="208" t="s">
        <v>27</v>
      </c>
      <c r="G1059" s="208" t="s">
        <v>41</v>
      </c>
      <c r="H1059" s="275">
        <v>35.520000000000003</v>
      </c>
    </row>
    <row r="1060" spans="1:8" ht="12.75" customHeight="1" x14ac:dyDescent="0.2">
      <c r="A1060" s="273">
        <v>2025</v>
      </c>
      <c r="B1060" s="274" t="s">
        <v>1244</v>
      </c>
      <c r="C1060" s="274" t="s">
        <v>1626</v>
      </c>
      <c r="D1060" s="208" t="s">
        <v>1627</v>
      </c>
      <c r="E1060" s="208" t="s">
        <v>1645</v>
      </c>
      <c r="F1060" s="208" t="s">
        <v>27</v>
      </c>
      <c r="G1060" s="208" t="s">
        <v>41</v>
      </c>
      <c r="H1060" s="275">
        <v>20.9</v>
      </c>
    </row>
    <row r="1061" spans="1:8" ht="12.75" customHeight="1" x14ac:dyDescent="0.2">
      <c r="A1061" s="273">
        <v>2025</v>
      </c>
      <c r="B1061" s="274" t="s">
        <v>1244</v>
      </c>
      <c r="C1061" s="274" t="s">
        <v>1619</v>
      </c>
      <c r="D1061" s="208" t="s">
        <v>1620</v>
      </c>
      <c r="E1061" s="208" t="s">
        <v>1622</v>
      </c>
      <c r="F1061" s="208" t="s">
        <v>27</v>
      </c>
      <c r="G1061" s="208" t="s">
        <v>41</v>
      </c>
      <c r="H1061" s="275">
        <v>30.6</v>
      </c>
    </row>
    <row r="1062" spans="1:8" ht="12.75" customHeight="1" x14ac:dyDescent="0.2">
      <c r="A1062" s="273">
        <v>2025</v>
      </c>
      <c r="B1062" s="274" t="s">
        <v>1646</v>
      </c>
      <c r="C1062" s="274" t="s">
        <v>1619</v>
      </c>
      <c r="D1062" s="208" t="s">
        <v>1620</v>
      </c>
      <c r="E1062" s="208" t="s">
        <v>1635</v>
      </c>
      <c r="F1062" s="208" t="s">
        <v>27</v>
      </c>
      <c r="G1062" s="208" t="s">
        <v>41</v>
      </c>
      <c r="H1062" s="275">
        <v>37.799999999999997</v>
      </c>
    </row>
    <row r="1063" spans="1:8" ht="12.75" customHeight="1" x14ac:dyDescent="0.2">
      <c r="A1063" s="273">
        <v>2025</v>
      </c>
      <c r="B1063" s="274" t="s">
        <v>464</v>
      </c>
      <c r="C1063" s="274" t="s">
        <v>1623</v>
      </c>
      <c r="D1063" s="208" t="s">
        <v>1624</v>
      </c>
      <c r="E1063" s="208" t="s">
        <v>1647</v>
      </c>
      <c r="F1063" s="208" t="s">
        <v>27</v>
      </c>
      <c r="G1063" s="208" t="s">
        <v>41</v>
      </c>
      <c r="H1063" s="275">
        <v>79</v>
      </c>
    </row>
    <row r="1064" spans="1:8" ht="12.75" customHeight="1" x14ac:dyDescent="0.2">
      <c r="A1064" s="273">
        <v>2025</v>
      </c>
      <c r="B1064" s="274" t="s">
        <v>1648</v>
      </c>
      <c r="C1064" s="274" t="s">
        <v>1626</v>
      </c>
      <c r="D1064" s="208" t="s">
        <v>1627</v>
      </c>
      <c r="E1064" s="208" t="s">
        <v>1645</v>
      </c>
      <c r="F1064" s="208" t="s">
        <v>27</v>
      </c>
      <c r="G1064" s="208" t="s">
        <v>41</v>
      </c>
      <c r="H1064" s="275">
        <v>20.9</v>
      </c>
    </row>
    <row r="1065" spans="1:8" ht="12.75" customHeight="1" x14ac:dyDescent="0.2">
      <c r="A1065" s="273">
        <v>2025</v>
      </c>
      <c r="B1065" s="274" t="s">
        <v>1648</v>
      </c>
      <c r="C1065" s="274" t="s">
        <v>1626</v>
      </c>
      <c r="D1065" s="208" t="s">
        <v>1627</v>
      </c>
      <c r="E1065" s="208" t="s">
        <v>1645</v>
      </c>
      <c r="F1065" s="208" t="s">
        <v>27</v>
      </c>
      <c r="G1065" s="208" t="s">
        <v>41</v>
      </c>
      <c r="H1065" s="275">
        <v>20.9</v>
      </c>
    </row>
    <row r="1066" spans="1:8" ht="12.75" customHeight="1" x14ac:dyDescent="0.2">
      <c r="A1066" s="273">
        <v>2025</v>
      </c>
      <c r="B1066" s="274" t="s">
        <v>1649</v>
      </c>
      <c r="C1066" s="274" t="s">
        <v>1626</v>
      </c>
      <c r="D1066" s="208" t="s">
        <v>1627</v>
      </c>
      <c r="E1066" s="208" t="s">
        <v>1645</v>
      </c>
      <c r="F1066" s="208" t="s">
        <v>27</v>
      </c>
      <c r="G1066" s="208" t="s">
        <v>41</v>
      </c>
      <c r="H1066" s="275">
        <v>20.9</v>
      </c>
    </row>
    <row r="1067" spans="1:8" ht="12.75" customHeight="1" x14ac:dyDescent="0.2">
      <c r="A1067" s="273">
        <v>2025</v>
      </c>
      <c r="B1067" s="274" t="s">
        <v>468</v>
      </c>
      <c r="C1067" s="274" t="s">
        <v>1619</v>
      </c>
      <c r="D1067" s="208" t="s">
        <v>1620</v>
      </c>
      <c r="E1067" s="208" t="s">
        <v>1635</v>
      </c>
      <c r="F1067" s="208" t="s">
        <v>27</v>
      </c>
      <c r="G1067" s="208" t="s">
        <v>41</v>
      </c>
      <c r="H1067" s="275">
        <v>0.71</v>
      </c>
    </row>
    <row r="1068" spans="1:8" ht="12.75" customHeight="1" x14ac:dyDescent="0.2">
      <c r="A1068" s="273">
        <v>2025</v>
      </c>
      <c r="B1068" s="274" t="s">
        <v>1650</v>
      </c>
      <c r="C1068" s="274" t="s">
        <v>1626</v>
      </c>
      <c r="D1068" s="208" t="s">
        <v>1627</v>
      </c>
      <c r="E1068" s="208" t="s">
        <v>1651</v>
      </c>
      <c r="F1068" s="208" t="s">
        <v>27</v>
      </c>
      <c r="G1068" s="208" t="s">
        <v>41</v>
      </c>
      <c r="H1068" s="275">
        <v>20.9</v>
      </c>
    </row>
    <row r="1069" spans="1:8" ht="12.75" customHeight="1" x14ac:dyDescent="0.2">
      <c r="A1069" s="273">
        <v>2025</v>
      </c>
      <c r="B1069" s="274" t="s">
        <v>1650</v>
      </c>
      <c r="C1069" s="274" t="s">
        <v>1619</v>
      </c>
      <c r="D1069" s="208" t="s">
        <v>1620</v>
      </c>
      <c r="E1069" s="208" t="s">
        <v>1635</v>
      </c>
      <c r="F1069" s="208" t="s">
        <v>27</v>
      </c>
      <c r="G1069" s="208" t="s">
        <v>41</v>
      </c>
      <c r="H1069" s="275">
        <v>2.99</v>
      </c>
    </row>
    <row r="1070" spans="1:8" ht="12.75" customHeight="1" x14ac:dyDescent="0.2">
      <c r="A1070" s="273">
        <v>2025</v>
      </c>
      <c r="B1070" s="274" t="s">
        <v>1650</v>
      </c>
      <c r="C1070" s="274" t="s">
        <v>1619</v>
      </c>
      <c r="D1070" s="208" t="s">
        <v>1620</v>
      </c>
      <c r="E1070" s="208" t="s">
        <v>1635</v>
      </c>
      <c r="F1070" s="208" t="s">
        <v>27</v>
      </c>
      <c r="G1070" s="208" t="s">
        <v>41</v>
      </c>
      <c r="H1070" s="275">
        <v>1.69</v>
      </c>
    </row>
    <row r="1071" spans="1:8" ht="12.75" customHeight="1" x14ac:dyDescent="0.2">
      <c r="A1071" s="273">
        <v>2025</v>
      </c>
      <c r="B1071" s="274" t="s">
        <v>832</v>
      </c>
      <c r="C1071" s="274" t="s">
        <v>1626</v>
      </c>
      <c r="D1071" s="208" t="s">
        <v>1627</v>
      </c>
      <c r="E1071" s="208" t="s">
        <v>1652</v>
      </c>
      <c r="F1071" s="208" t="s">
        <v>27</v>
      </c>
      <c r="G1071" s="208" t="s">
        <v>41</v>
      </c>
      <c r="H1071" s="275">
        <v>21.42</v>
      </c>
    </row>
    <row r="1072" spans="1:8" ht="12.75" customHeight="1" x14ac:dyDescent="0.2">
      <c r="A1072" s="273">
        <v>2025</v>
      </c>
      <c r="B1072" s="274" t="s">
        <v>832</v>
      </c>
      <c r="C1072" s="274" t="s">
        <v>1619</v>
      </c>
      <c r="D1072" s="208" t="s">
        <v>1620</v>
      </c>
      <c r="E1072" s="208" t="s">
        <v>1622</v>
      </c>
      <c r="F1072" s="208" t="s">
        <v>27</v>
      </c>
      <c r="G1072" s="208" t="s">
        <v>41</v>
      </c>
      <c r="H1072" s="275">
        <v>31.8</v>
      </c>
    </row>
    <row r="1073" spans="1:8" ht="12.75" customHeight="1" x14ac:dyDescent="0.2">
      <c r="A1073" s="273">
        <v>2025</v>
      </c>
      <c r="B1073" s="274" t="s">
        <v>1653</v>
      </c>
      <c r="C1073" s="274" t="s">
        <v>1626</v>
      </c>
      <c r="D1073" s="208" t="s">
        <v>1627</v>
      </c>
      <c r="E1073" s="208" t="s">
        <v>1654</v>
      </c>
      <c r="F1073" s="208" t="s">
        <v>27</v>
      </c>
      <c r="G1073" s="208" t="s">
        <v>41</v>
      </c>
      <c r="H1073" s="275">
        <v>20.9</v>
      </c>
    </row>
    <row r="1074" spans="1:8" ht="12.75" customHeight="1" x14ac:dyDescent="0.2">
      <c r="A1074" s="273">
        <v>2025</v>
      </c>
      <c r="B1074" s="274" t="s">
        <v>1655</v>
      </c>
      <c r="C1074" s="274" t="s">
        <v>1623</v>
      </c>
      <c r="D1074" s="208" t="s">
        <v>1624</v>
      </c>
      <c r="E1074" s="208" t="s">
        <v>1647</v>
      </c>
      <c r="F1074" s="208" t="s">
        <v>27</v>
      </c>
      <c r="G1074" s="208" t="s">
        <v>41</v>
      </c>
      <c r="H1074" s="275">
        <v>83.4</v>
      </c>
    </row>
    <row r="1075" spans="1:8" ht="12.75" customHeight="1" x14ac:dyDescent="0.2">
      <c r="A1075" s="273">
        <v>2025</v>
      </c>
      <c r="B1075" s="274" t="s">
        <v>1656</v>
      </c>
      <c r="C1075" s="274" t="s">
        <v>1626</v>
      </c>
      <c r="D1075" s="208" t="s">
        <v>1627</v>
      </c>
      <c r="E1075" s="208" t="s">
        <v>1657</v>
      </c>
      <c r="F1075" s="208" t="s">
        <v>27</v>
      </c>
      <c r="G1075" s="208" t="s">
        <v>41</v>
      </c>
      <c r="H1075" s="275">
        <v>41.8</v>
      </c>
    </row>
    <row r="1076" spans="1:8" ht="12.75" customHeight="1" x14ac:dyDescent="0.2">
      <c r="A1076" s="273">
        <v>2025</v>
      </c>
      <c r="B1076" s="274" t="s">
        <v>480</v>
      </c>
      <c r="C1076" s="274" t="s">
        <v>1619</v>
      </c>
      <c r="D1076" s="208" t="s">
        <v>1620</v>
      </c>
      <c r="E1076" s="208" t="s">
        <v>1635</v>
      </c>
      <c r="F1076" s="208" t="s">
        <v>27</v>
      </c>
      <c r="G1076" s="208" t="s">
        <v>41</v>
      </c>
      <c r="H1076" s="275">
        <v>0.69</v>
      </c>
    </row>
    <row r="1077" spans="1:8" ht="12.75" customHeight="1" x14ac:dyDescent="0.2">
      <c r="A1077" s="273">
        <v>2025</v>
      </c>
      <c r="B1077" s="274" t="s">
        <v>1258</v>
      </c>
      <c r="C1077" s="274" t="s">
        <v>1619</v>
      </c>
      <c r="D1077" s="208" t="s">
        <v>1620</v>
      </c>
      <c r="E1077" s="208" t="s">
        <v>1622</v>
      </c>
      <c r="F1077" s="208" t="s">
        <v>27</v>
      </c>
      <c r="G1077" s="208" t="s">
        <v>41</v>
      </c>
      <c r="H1077" s="275">
        <v>31.8</v>
      </c>
    </row>
    <row r="1078" spans="1:8" ht="12.75" customHeight="1" x14ac:dyDescent="0.2">
      <c r="A1078" s="273">
        <v>2025</v>
      </c>
      <c r="B1078" s="274" t="s">
        <v>1658</v>
      </c>
      <c r="C1078" s="274" t="s">
        <v>1623</v>
      </c>
      <c r="D1078" s="208" t="s">
        <v>1624</v>
      </c>
      <c r="E1078" s="208" t="s">
        <v>1659</v>
      </c>
      <c r="F1078" s="208" t="s">
        <v>27</v>
      </c>
      <c r="G1078" s="208" t="s">
        <v>41</v>
      </c>
      <c r="H1078" s="275">
        <v>95.11</v>
      </c>
    </row>
    <row r="1079" spans="1:8" ht="12.75" customHeight="1" x14ac:dyDescent="0.2">
      <c r="A1079" s="273">
        <v>2025</v>
      </c>
      <c r="B1079" s="274" t="s">
        <v>495</v>
      </c>
      <c r="C1079" s="274" t="s">
        <v>1619</v>
      </c>
      <c r="D1079" s="208" t="s">
        <v>1620</v>
      </c>
      <c r="E1079" s="208" t="s">
        <v>1635</v>
      </c>
      <c r="F1079" s="208" t="s">
        <v>27</v>
      </c>
      <c r="G1079" s="208" t="s">
        <v>41</v>
      </c>
      <c r="H1079" s="275">
        <v>0.45</v>
      </c>
    </row>
    <row r="1080" spans="1:8" ht="12.75" customHeight="1" x14ac:dyDescent="0.2">
      <c r="A1080" s="273">
        <v>2025</v>
      </c>
      <c r="B1080" s="274" t="s">
        <v>499</v>
      </c>
      <c r="C1080" s="274" t="s">
        <v>1626</v>
      </c>
      <c r="D1080" s="208" t="s">
        <v>1627</v>
      </c>
      <c r="E1080" s="208" t="s">
        <v>1660</v>
      </c>
      <c r="F1080" s="208" t="s">
        <v>27</v>
      </c>
      <c r="G1080" s="208" t="s">
        <v>41</v>
      </c>
      <c r="H1080" s="275">
        <v>83.6</v>
      </c>
    </row>
    <row r="1081" spans="1:8" ht="12.75" customHeight="1" x14ac:dyDescent="0.2">
      <c r="A1081" s="273">
        <v>2025</v>
      </c>
      <c r="B1081" s="274" t="s">
        <v>500</v>
      </c>
      <c r="C1081" s="274" t="s">
        <v>1619</v>
      </c>
      <c r="D1081" s="208" t="s">
        <v>1620</v>
      </c>
      <c r="E1081" s="208" t="s">
        <v>1635</v>
      </c>
      <c r="F1081" s="208" t="s">
        <v>27</v>
      </c>
      <c r="G1081" s="208" t="s">
        <v>41</v>
      </c>
      <c r="H1081" s="275">
        <v>0.69</v>
      </c>
    </row>
    <row r="1082" spans="1:8" ht="12.75" customHeight="1" x14ac:dyDescent="0.2">
      <c r="A1082" s="273">
        <v>2025</v>
      </c>
      <c r="B1082" s="274" t="s">
        <v>1261</v>
      </c>
      <c r="C1082" s="274" t="s">
        <v>1619</v>
      </c>
      <c r="D1082" s="208" t="s">
        <v>1620</v>
      </c>
      <c r="E1082" s="208" t="s">
        <v>1622</v>
      </c>
      <c r="F1082" s="208" t="s">
        <v>27</v>
      </c>
      <c r="G1082" s="208" t="s">
        <v>41</v>
      </c>
      <c r="H1082" s="275">
        <v>31.8</v>
      </c>
    </row>
    <row r="1083" spans="1:8" ht="12.75" customHeight="1" x14ac:dyDescent="0.2">
      <c r="A1083" s="273">
        <v>2025</v>
      </c>
      <c r="B1083" s="274" t="s">
        <v>1661</v>
      </c>
      <c r="C1083" s="274" t="s">
        <v>1623</v>
      </c>
      <c r="D1083" s="208" t="s">
        <v>1624</v>
      </c>
      <c r="E1083" s="208" t="s">
        <v>1662</v>
      </c>
      <c r="F1083" s="208" t="s">
        <v>27</v>
      </c>
      <c r="G1083" s="208" t="s">
        <v>41</v>
      </c>
      <c r="H1083" s="275">
        <v>80.650000000000006</v>
      </c>
    </row>
    <row r="1084" spans="1:8" ht="12.75" customHeight="1" x14ac:dyDescent="0.2">
      <c r="A1084" s="273">
        <v>2025</v>
      </c>
      <c r="B1084" s="274" t="s">
        <v>1661</v>
      </c>
      <c r="C1084" s="274" t="s">
        <v>1623</v>
      </c>
      <c r="D1084" s="208" t="s">
        <v>1624</v>
      </c>
      <c r="E1084" s="208" t="s">
        <v>1663</v>
      </c>
      <c r="F1084" s="208" t="s">
        <v>27</v>
      </c>
      <c r="G1084" s="208" t="s">
        <v>41</v>
      </c>
      <c r="H1084" s="275">
        <v>8.33</v>
      </c>
    </row>
    <row r="1085" spans="1:8" ht="12.75" customHeight="1" x14ac:dyDescent="0.2">
      <c r="A1085" s="273">
        <v>2025</v>
      </c>
      <c r="B1085" s="274" t="s">
        <v>1664</v>
      </c>
      <c r="C1085" s="274" t="s">
        <v>1623</v>
      </c>
      <c r="D1085" s="208" t="s">
        <v>1624</v>
      </c>
      <c r="E1085" s="208" t="s">
        <v>1665</v>
      </c>
      <c r="F1085" s="208" t="s">
        <v>27</v>
      </c>
      <c r="G1085" s="208" t="s">
        <v>41</v>
      </c>
      <c r="H1085" s="275">
        <v>4.99</v>
      </c>
    </row>
    <row r="1086" spans="1:8" ht="12.75" customHeight="1" x14ac:dyDescent="0.2">
      <c r="A1086" s="273">
        <v>2025</v>
      </c>
      <c r="B1086" s="274" t="s">
        <v>510</v>
      </c>
      <c r="C1086" s="274" t="s">
        <v>1619</v>
      </c>
      <c r="D1086" s="208" t="s">
        <v>1620</v>
      </c>
      <c r="E1086" s="208" t="s">
        <v>1635</v>
      </c>
      <c r="F1086" s="208" t="s">
        <v>27</v>
      </c>
      <c r="G1086" s="208" t="s">
        <v>41</v>
      </c>
      <c r="H1086" s="275">
        <v>0.68</v>
      </c>
    </row>
    <row r="1087" spans="1:8" ht="12.75" customHeight="1" x14ac:dyDescent="0.2">
      <c r="A1087" s="273">
        <v>2025</v>
      </c>
      <c r="B1087" s="274" t="s">
        <v>510</v>
      </c>
      <c r="C1087" s="274" t="s">
        <v>1619</v>
      </c>
      <c r="D1087" s="208" t="s">
        <v>1620</v>
      </c>
      <c r="E1087" s="208" t="s">
        <v>1635</v>
      </c>
      <c r="F1087" s="208" t="s">
        <v>27</v>
      </c>
      <c r="G1087" s="208" t="s">
        <v>41</v>
      </c>
      <c r="H1087" s="275">
        <v>0.44</v>
      </c>
    </row>
    <row r="1088" spans="1:8" ht="12.75" customHeight="1" x14ac:dyDescent="0.2">
      <c r="A1088" s="273">
        <v>2025</v>
      </c>
      <c r="B1088" s="274" t="s">
        <v>512</v>
      </c>
      <c r="C1088" s="274" t="s">
        <v>1626</v>
      </c>
      <c r="D1088" s="208" t="s">
        <v>1627</v>
      </c>
      <c r="E1088" s="208" t="s">
        <v>1666</v>
      </c>
      <c r="F1088" s="208" t="s">
        <v>27</v>
      </c>
      <c r="G1088" s="208" t="s">
        <v>41</v>
      </c>
      <c r="H1088" s="275">
        <v>73.150000000000006</v>
      </c>
    </row>
    <row r="1089" spans="1:8" ht="12.75" customHeight="1" x14ac:dyDescent="0.2">
      <c r="A1089" s="273">
        <v>2025</v>
      </c>
      <c r="B1089" s="274" t="s">
        <v>512</v>
      </c>
      <c r="C1089" s="274" t="s">
        <v>1626</v>
      </c>
      <c r="D1089" s="208" t="s">
        <v>1627</v>
      </c>
      <c r="E1089" s="278" t="s">
        <v>1667</v>
      </c>
      <c r="F1089" s="208" t="s">
        <v>27</v>
      </c>
      <c r="G1089" s="208" t="s">
        <v>41</v>
      </c>
      <c r="H1089" s="276">
        <v>-10.45</v>
      </c>
    </row>
    <row r="1090" spans="1:8" ht="12.75" customHeight="1" x14ac:dyDescent="0.2">
      <c r="A1090" s="273">
        <v>2025</v>
      </c>
      <c r="B1090" s="274" t="s">
        <v>512</v>
      </c>
      <c r="C1090" s="274" t="s">
        <v>1626</v>
      </c>
      <c r="D1090" s="208" t="s">
        <v>1627</v>
      </c>
      <c r="E1090" s="208" t="s">
        <v>1668</v>
      </c>
      <c r="F1090" s="208" t="s">
        <v>27</v>
      </c>
      <c r="G1090" s="208" t="s">
        <v>41</v>
      </c>
      <c r="H1090" s="275">
        <v>62.7</v>
      </c>
    </row>
    <row r="1091" spans="1:8" ht="12.75" customHeight="1" x14ac:dyDescent="0.2">
      <c r="A1091" s="273">
        <v>2025</v>
      </c>
      <c r="B1091" s="274" t="s">
        <v>512</v>
      </c>
      <c r="C1091" s="274" t="s">
        <v>1623</v>
      </c>
      <c r="D1091" s="208" t="s">
        <v>1624</v>
      </c>
      <c r="E1091" s="208" t="s">
        <v>1669</v>
      </c>
      <c r="F1091" s="208" t="s">
        <v>27</v>
      </c>
      <c r="G1091" s="208" t="s">
        <v>41</v>
      </c>
      <c r="H1091" s="275">
        <v>156</v>
      </c>
    </row>
    <row r="1092" spans="1:8" ht="12.75" customHeight="1" x14ac:dyDescent="0.2">
      <c r="A1092" s="273">
        <v>2025</v>
      </c>
      <c r="B1092" s="274" t="s">
        <v>512</v>
      </c>
      <c r="C1092" s="274" t="s">
        <v>1623</v>
      </c>
      <c r="D1092" s="208" t="s">
        <v>1624</v>
      </c>
      <c r="E1092" s="208" t="s">
        <v>1379</v>
      </c>
      <c r="F1092" s="208" t="s">
        <v>27</v>
      </c>
      <c r="G1092" s="208" t="s">
        <v>41</v>
      </c>
      <c r="H1092" s="275">
        <v>867.09</v>
      </c>
    </row>
    <row r="1093" spans="1:8" ht="12.75" customHeight="1" x14ac:dyDescent="0.2">
      <c r="A1093" s="273">
        <v>2025</v>
      </c>
      <c r="B1093" s="274" t="s">
        <v>1380</v>
      </c>
      <c r="C1093" s="274" t="s">
        <v>1619</v>
      </c>
      <c r="D1093" s="208" t="s">
        <v>1620</v>
      </c>
      <c r="E1093" s="208" t="s">
        <v>1622</v>
      </c>
      <c r="F1093" s="208" t="s">
        <v>27</v>
      </c>
      <c r="G1093" s="208" t="s">
        <v>41</v>
      </c>
      <c r="H1093" s="275">
        <v>31.8</v>
      </c>
    </row>
    <row r="1094" spans="1:8" ht="12.75" customHeight="1" x14ac:dyDescent="0.2">
      <c r="A1094" s="273">
        <v>2025</v>
      </c>
      <c r="B1094" s="274" t="s">
        <v>519</v>
      </c>
      <c r="C1094" s="274" t="s">
        <v>1623</v>
      </c>
      <c r="D1094" s="208" t="s">
        <v>1624</v>
      </c>
      <c r="E1094" s="208" t="s">
        <v>1669</v>
      </c>
      <c r="F1094" s="208" t="s">
        <v>27</v>
      </c>
      <c r="G1094" s="208" t="s">
        <v>41</v>
      </c>
      <c r="H1094" s="275">
        <v>156</v>
      </c>
    </row>
    <row r="1095" spans="1:8" ht="12.75" customHeight="1" x14ac:dyDescent="0.2">
      <c r="A1095" s="273">
        <v>2025</v>
      </c>
      <c r="B1095" s="274" t="s">
        <v>523</v>
      </c>
      <c r="C1095" s="274" t="s">
        <v>1623</v>
      </c>
      <c r="D1095" s="208" t="s">
        <v>1624</v>
      </c>
      <c r="E1095" s="208" t="s">
        <v>1670</v>
      </c>
      <c r="F1095" s="208" t="s">
        <v>27</v>
      </c>
      <c r="G1095" s="208" t="s">
        <v>41</v>
      </c>
      <c r="H1095" s="275">
        <v>4.16</v>
      </c>
    </row>
    <row r="1096" spans="1:8" ht="12.75" customHeight="1" x14ac:dyDescent="0.2">
      <c r="A1096" s="273">
        <v>2025</v>
      </c>
      <c r="B1096" s="274" t="s">
        <v>1671</v>
      </c>
      <c r="C1096" s="274" t="s">
        <v>1623</v>
      </c>
      <c r="D1096" s="208" t="s">
        <v>1624</v>
      </c>
      <c r="E1096" s="208" t="s">
        <v>1672</v>
      </c>
      <c r="F1096" s="208" t="s">
        <v>27</v>
      </c>
      <c r="G1096" s="208" t="s">
        <v>41</v>
      </c>
      <c r="H1096" s="275">
        <v>79</v>
      </c>
    </row>
    <row r="1097" spans="1:8" ht="12.75" customHeight="1" x14ac:dyDescent="0.2">
      <c r="A1097" s="273">
        <v>2025</v>
      </c>
      <c r="B1097" s="274" t="s">
        <v>899</v>
      </c>
      <c r="C1097" s="274" t="s">
        <v>1619</v>
      </c>
      <c r="D1097" s="208" t="s">
        <v>1620</v>
      </c>
      <c r="E1097" s="208" t="s">
        <v>1635</v>
      </c>
      <c r="F1097" s="208" t="s">
        <v>27</v>
      </c>
      <c r="G1097" s="208" t="s">
        <v>41</v>
      </c>
      <c r="H1097" s="275">
        <v>0.45</v>
      </c>
    </row>
    <row r="1098" spans="1:8" ht="12.75" customHeight="1" x14ac:dyDescent="0.2">
      <c r="A1098" s="273">
        <v>2025</v>
      </c>
      <c r="B1098" s="274" t="s">
        <v>528</v>
      </c>
      <c r="C1098" s="274" t="s">
        <v>1619</v>
      </c>
      <c r="D1098" s="208" t="s">
        <v>1620</v>
      </c>
      <c r="E1098" s="208" t="s">
        <v>1635</v>
      </c>
      <c r="F1098" s="208" t="s">
        <v>27</v>
      </c>
      <c r="G1098" s="208" t="s">
        <v>41</v>
      </c>
      <c r="H1098" s="275">
        <v>0.68</v>
      </c>
    </row>
    <row r="1099" spans="1:8" ht="12.75" customHeight="1" x14ac:dyDescent="0.2">
      <c r="A1099" s="273">
        <v>2025</v>
      </c>
      <c r="B1099" s="274" t="s">
        <v>530</v>
      </c>
      <c r="C1099" s="274" t="s">
        <v>1626</v>
      </c>
      <c r="D1099" s="208" t="s">
        <v>1627</v>
      </c>
      <c r="E1099" s="208" t="s">
        <v>1673</v>
      </c>
      <c r="F1099" s="208" t="s">
        <v>27</v>
      </c>
      <c r="G1099" s="208" t="s">
        <v>41</v>
      </c>
      <c r="H1099" s="275">
        <v>70.36</v>
      </c>
    </row>
    <row r="1100" spans="1:8" ht="12.75" customHeight="1" x14ac:dyDescent="0.2">
      <c r="A1100" s="273">
        <v>2025</v>
      </c>
      <c r="B1100" s="274" t="s">
        <v>1273</v>
      </c>
      <c r="C1100" s="274" t="s">
        <v>1619</v>
      </c>
      <c r="D1100" s="208" t="s">
        <v>1620</v>
      </c>
      <c r="E1100" s="208" t="s">
        <v>1622</v>
      </c>
      <c r="F1100" s="208" t="s">
        <v>27</v>
      </c>
      <c r="G1100" s="208" t="s">
        <v>41</v>
      </c>
      <c r="H1100" s="275">
        <v>31.8</v>
      </c>
    </row>
    <row r="1101" spans="1:8" ht="12.75" customHeight="1" x14ac:dyDescent="0.2">
      <c r="A1101" s="273">
        <v>2025</v>
      </c>
      <c r="B1101" s="274" t="s">
        <v>859</v>
      </c>
      <c r="C1101" s="274" t="s">
        <v>1623</v>
      </c>
      <c r="D1101" s="208" t="s">
        <v>1624</v>
      </c>
      <c r="E1101" s="208" t="s">
        <v>1674</v>
      </c>
      <c r="F1101" s="208" t="s">
        <v>27</v>
      </c>
      <c r="G1101" s="208" t="s">
        <v>41</v>
      </c>
      <c r="H1101" s="275">
        <v>165.02</v>
      </c>
    </row>
    <row r="1102" spans="1:8" ht="12.75" customHeight="1" x14ac:dyDescent="0.2">
      <c r="A1102" s="273">
        <v>2025</v>
      </c>
      <c r="B1102" s="274" t="s">
        <v>859</v>
      </c>
      <c r="C1102" s="274" t="s">
        <v>1675</v>
      </c>
      <c r="D1102" s="208" t="s">
        <v>1676</v>
      </c>
      <c r="E1102" s="208" t="s">
        <v>860</v>
      </c>
      <c r="F1102" s="208" t="s">
        <v>27</v>
      </c>
      <c r="G1102" s="208" t="s">
        <v>41</v>
      </c>
      <c r="H1102" s="275">
        <v>5.56</v>
      </c>
    </row>
    <row r="1103" spans="1:8" ht="12.75" customHeight="1" x14ac:dyDescent="0.2">
      <c r="A1103" s="273">
        <v>2025</v>
      </c>
      <c r="B1103" s="274" t="s">
        <v>748</v>
      </c>
      <c r="C1103" s="274" t="s">
        <v>1623</v>
      </c>
      <c r="D1103" s="208" t="s">
        <v>1624</v>
      </c>
      <c r="E1103" s="208" t="s">
        <v>1677</v>
      </c>
      <c r="F1103" s="208" t="s">
        <v>27</v>
      </c>
      <c r="G1103" s="208" t="s">
        <v>41</v>
      </c>
      <c r="H1103" s="275">
        <v>80.83</v>
      </c>
    </row>
    <row r="1104" spans="1:8" ht="12.75" customHeight="1" x14ac:dyDescent="0.2">
      <c r="A1104" s="273">
        <v>2025</v>
      </c>
      <c r="B1104" s="274" t="s">
        <v>1678</v>
      </c>
      <c r="C1104" s="274" t="s">
        <v>1623</v>
      </c>
      <c r="D1104" s="208" t="s">
        <v>1624</v>
      </c>
      <c r="E1104" s="208" t="s">
        <v>1679</v>
      </c>
      <c r="F1104" s="208" t="s">
        <v>27</v>
      </c>
      <c r="G1104" s="208" t="s">
        <v>41</v>
      </c>
      <c r="H1104" s="275">
        <v>4.16</v>
      </c>
    </row>
    <row r="1105" spans="1:8" ht="12.75" customHeight="1" x14ac:dyDescent="0.2">
      <c r="A1105" s="273">
        <v>2025</v>
      </c>
      <c r="B1105" s="274" t="s">
        <v>1680</v>
      </c>
      <c r="C1105" s="274" t="s">
        <v>1623</v>
      </c>
      <c r="D1105" s="208" t="s">
        <v>1624</v>
      </c>
      <c r="E1105" s="208" t="s">
        <v>1681</v>
      </c>
      <c r="F1105" s="208" t="s">
        <v>27</v>
      </c>
      <c r="G1105" s="208" t="s">
        <v>41</v>
      </c>
      <c r="H1105" s="275">
        <v>100</v>
      </c>
    </row>
    <row r="1106" spans="1:8" ht="12.75" customHeight="1" x14ac:dyDescent="0.2">
      <c r="A1106" s="273">
        <v>2025</v>
      </c>
      <c r="B1106" s="274" t="s">
        <v>904</v>
      </c>
      <c r="C1106" s="274" t="s">
        <v>1619</v>
      </c>
      <c r="D1106" s="208" t="s">
        <v>1620</v>
      </c>
      <c r="E1106" s="208" t="s">
        <v>1635</v>
      </c>
      <c r="F1106" s="208" t="s">
        <v>27</v>
      </c>
      <c r="G1106" s="208" t="s">
        <v>41</v>
      </c>
      <c r="H1106" s="275">
        <v>0.45</v>
      </c>
    </row>
    <row r="1107" spans="1:8" ht="12.75" customHeight="1" x14ac:dyDescent="0.2">
      <c r="A1107" s="273">
        <v>2025</v>
      </c>
      <c r="B1107" s="274" t="s">
        <v>536</v>
      </c>
      <c r="C1107" s="274" t="s">
        <v>1626</v>
      </c>
      <c r="D1107" s="208" t="s">
        <v>1627</v>
      </c>
      <c r="E1107" s="208" t="s">
        <v>1682</v>
      </c>
      <c r="F1107" s="208" t="s">
        <v>27</v>
      </c>
      <c r="G1107" s="208" t="s">
        <v>41</v>
      </c>
      <c r="H1107" s="275">
        <v>28.93</v>
      </c>
    </row>
    <row r="1108" spans="1:8" ht="12.75" customHeight="1" x14ac:dyDescent="0.2">
      <c r="A1108" s="273">
        <v>2025</v>
      </c>
      <c r="B1108" s="274" t="s">
        <v>538</v>
      </c>
      <c r="C1108" s="274" t="s">
        <v>1626</v>
      </c>
      <c r="D1108" s="208" t="s">
        <v>1627</v>
      </c>
      <c r="E1108" s="208" t="s">
        <v>1683</v>
      </c>
      <c r="F1108" s="208" t="s">
        <v>27</v>
      </c>
      <c r="G1108" s="208" t="s">
        <v>41</v>
      </c>
      <c r="H1108" s="275">
        <v>135.85</v>
      </c>
    </row>
    <row r="1109" spans="1:8" ht="12.75" customHeight="1" x14ac:dyDescent="0.2">
      <c r="A1109" s="273">
        <v>2025</v>
      </c>
      <c r="B1109" s="274" t="s">
        <v>538</v>
      </c>
      <c r="C1109" s="274" t="s">
        <v>1619</v>
      </c>
      <c r="D1109" s="208" t="s">
        <v>1620</v>
      </c>
      <c r="E1109" s="208" t="s">
        <v>1635</v>
      </c>
      <c r="F1109" s="208" t="s">
        <v>27</v>
      </c>
      <c r="G1109" s="208" t="s">
        <v>41</v>
      </c>
      <c r="H1109" s="275">
        <v>0.68</v>
      </c>
    </row>
    <row r="1110" spans="1:8" ht="12.75" customHeight="1" x14ac:dyDescent="0.2">
      <c r="A1110" s="273">
        <v>2025</v>
      </c>
      <c r="B1110" s="274" t="s">
        <v>544</v>
      </c>
      <c r="C1110" s="274" t="s">
        <v>1623</v>
      </c>
      <c r="D1110" s="208" t="s">
        <v>1624</v>
      </c>
      <c r="E1110" s="208" t="s">
        <v>1684</v>
      </c>
      <c r="F1110" s="208" t="s">
        <v>27</v>
      </c>
      <c r="G1110" s="208" t="s">
        <v>41</v>
      </c>
      <c r="H1110" s="275">
        <v>156</v>
      </c>
    </row>
    <row r="1111" spans="1:8" ht="12.75" customHeight="1" x14ac:dyDescent="0.2">
      <c r="A1111" s="273">
        <v>2025</v>
      </c>
      <c r="B1111" s="274" t="s">
        <v>544</v>
      </c>
      <c r="C1111" s="274" t="s">
        <v>1619</v>
      </c>
      <c r="D1111" s="208" t="s">
        <v>1620</v>
      </c>
      <c r="E1111" s="208" t="s">
        <v>1622</v>
      </c>
      <c r="F1111" s="208" t="s">
        <v>27</v>
      </c>
      <c r="G1111" s="208" t="s">
        <v>41</v>
      </c>
      <c r="H1111" s="275">
        <v>31.8</v>
      </c>
    </row>
    <row r="1112" spans="1:8" ht="12.75" customHeight="1" x14ac:dyDescent="0.2">
      <c r="A1112" s="273">
        <v>2025</v>
      </c>
      <c r="B1112" s="274" t="s">
        <v>760</v>
      </c>
      <c r="C1112" s="274" t="s">
        <v>1623</v>
      </c>
      <c r="D1112" s="208" t="s">
        <v>1624</v>
      </c>
      <c r="E1112" s="208" t="s">
        <v>1685</v>
      </c>
      <c r="F1112" s="208" t="s">
        <v>27</v>
      </c>
      <c r="G1112" s="208" t="s">
        <v>41</v>
      </c>
      <c r="H1112" s="275">
        <v>79</v>
      </c>
    </row>
    <row r="1113" spans="1:8" ht="12.75" customHeight="1" x14ac:dyDescent="0.2">
      <c r="A1113" s="273">
        <v>2025</v>
      </c>
      <c r="B1113" s="274" t="s">
        <v>1686</v>
      </c>
      <c r="C1113" s="274" t="s">
        <v>1623</v>
      </c>
      <c r="D1113" s="208" t="s">
        <v>1624</v>
      </c>
      <c r="E1113" s="208" t="s">
        <v>1687</v>
      </c>
      <c r="F1113" s="208" t="s">
        <v>27</v>
      </c>
      <c r="G1113" s="208" t="s">
        <v>41</v>
      </c>
      <c r="H1113" s="275">
        <v>4.16</v>
      </c>
    </row>
    <row r="1114" spans="1:8" ht="12.75" customHeight="1" x14ac:dyDescent="0.2">
      <c r="A1114" s="273">
        <v>2025</v>
      </c>
      <c r="B1114" s="274" t="s">
        <v>909</v>
      </c>
      <c r="C1114" s="274" t="s">
        <v>1619</v>
      </c>
      <c r="D1114" s="208" t="s">
        <v>1620</v>
      </c>
      <c r="E1114" s="208" t="s">
        <v>1635</v>
      </c>
      <c r="F1114" s="208" t="s">
        <v>27</v>
      </c>
      <c r="G1114" s="208" t="s">
        <v>41</v>
      </c>
      <c r="H1114" s="275">
        <v>0.44</v>
      </c>
    </row>
    <row r="1115" spans="1:8" ht="12.75" customHeight="1" x14ac:dyDescent="0.2">
      <c r="A1115" s="273">
        <v>2025</v>
      </c>
      <c r="B1115" s="274" t="s">
        <v>549</v>
      </c>
      <c r="C1115" s="274" t="s">
        <v>1619</v>
      </c>
      <c r="D1115" s="208" t="s">
        <v>1620</v>
      </c>
      <c r="E1115" s="208" t="s">
        <v>1635</v>
      </c>
      <c r="F1115" s="208" t="s">
        <v>27</v>
      </c>
      <c r="G1115" s="208" t="s">
        <v>41</v>
      </c>
      <c r="H1115" s="275">
        <v>0.67</v>
      </c>
    </row>
    <row r="1116" spans="1:8" ht="12.75" customHeight="1" x14ac:dyDescent="0.2">
      <c r="A1116" s="273">
        <v>2025</v>
      </c>
      <c r="B1116" s="274" t="s">
        <v>762</v>
      </c>
      <c r="C1116" s="274" t="s">
        <v>1626</v>
      </c>
      <c r="D1116" s="208" t="s">
        <v>1627</v>
      </c>
      <c r="E1116" s="208" t="s">
        <v>1688</v>
      </c>
      <c r="F1116" s="208" t="s">
        <v>27</v>
      </c>
      <c r="G1116" s="208" t="s">
        <v>41</v>
      </c>
      <c r="H1116" s="275">
        <v>68.400000000000006</v>
      </c>
    </row>
    <row r="1117" spans="1:8" ht="12.75" customHeight="1" x14ac:dyDescent="0.2">
      <c r="A1117" s="273">
        <v>2025</v>
      </c>
      <c r="B1117" s="274" t="s">
        <v>1689</v>
      </c>
      <c r="C1117" s="274" t="s">
        <v>1619</v>
      </c>
      <c r="D1117" s="208" t="s">
        <v>1620</v>
      </c>
      <c r="E1117" s="208" t="s">
        <v>1690</v>
      </c>
      <c r="F1117" s="208" t="s">
        <v>27</v>
      </c>
      <c r="G1117" s="208" t="s">
        <v>41</v>
      </c>
      <c r="H1117" s="275">
        <v>3.97</v>
      </c>
    </row>
    <row r="1118" spans="1:8" ht="12.75" customHeight="1" x14ac:dyDescent="0.2">
      <c r="A1118" s="273">
        <v>2025</v>
      </c>
      <c r="B1118" s="274" t="s">
        <v>1689</v>
      </c>
      <c r="C1118" s="274" t="s">
        <v>1619</v>
      </c>
      <c r="D1118" s="208" t="s">
        <v>1620</v>
      </c>
      <c r="E1118" s="208" t="s">
        <v>1691</v>
      </c>
      <c r="F1118" s="208" t="s">
        <v>27</v>
      </c>
      <c r="G1118" s="208" t="s">
        <v>41</v>
      </c>
      <c r="H1118" s="276">
        <v>-41.33</v>
      </c>
    </row>
    <row r="1119" spans="1:8" ht="12.75" customHeight="1" x14ac:dyDescent="0.2">
      <c r="A1119" s="273">
        <v>2025</v>
      </c>
      <c r="B1119" s="274" t="s">
        <v>765</v>
      </c>
      <c r="C1119" s="274" t="s">
        <v>1619</v>
      </c>
      <c r="D1119" s="208" t="s">
        <v>1620</v>
      </c>
      <c r="E1119" s="208" t="s">
        <v>1622</v>
      </c>
      <c r="F1119" s="208" t="s">
        <v>27</v>
      </c>
      <c r="G1119" s="208" t="s">
        <v>41</v>
      </c>
      <c r="H1119" s="275">
        <v>39.799999999999997</v>
      </c>
    </row>
    <row r="1120" spans="1:8" ht="12.75" customHeight="1" x14ac:dyDescent="0.2">
      <c r="A1120" s="273">
        <v>2025</v>
      </c>
      <c r="B1120" s="274" t="s">
        <v>864</v>
      </c>
      <c r="C1120" s="274" t="s">
        <v>1623</v>
      </c>
      <c r="D1120" s="208" t="s">
        <v>1624</v>
      </c>
      <c r="E1120" s="208" t="s">
        <v>1692</v>
      </c>
      <c r="F1120" s="208" t="s">
        <v>27</v>
      </c>
      <c r="G1120" s="208" t="s">
        <v>41</v>
      </c>
      <c r="H1120" s="275">
        <v>156</v>
      </c>
    </row>
    <row r="1121" spans="1:8" ht="12.75" customHeight="1" x14ac:dyDescent="0.2">
      <c r="A1121" s="273">
        <v>2025</v>
      </c>
      <c r="B1121" s="274" t="s">
        <v>1693</v>
      </c>
      <c r="C1121" s="274" t="s">
        <v>1626</v>
      </c>
      <c r="D1121" s="208" t="s">
        <v>1627</v>
      </c>
      <c r="E1121" s="208" t="s">
        <v>1694</v>
      </c>
      <c r="F1121" s="208" t="s">
        <v>27</v>
      </c>
      <c r="G1121" s="208" t="s">
        <v>41</v>
      </c>
      <c r="H1121" s="275">
        <v>20.9</v>
      </c>
    </row>
    <row r="1122" spans="1:8" ht="12.75" customHeight="1" x14ac:dyDescent="0.2">
      <c r="A1122" s="273">
        <v>2025</v>
      </c>
      <c r="B1122" s="274" t="s">
        <v>553</v>
      </c>
      <c r="C1122" s="274" t="s">
        <v>1619</v>
      </c>
      <c r="D1122" s="208" t="s">
        <v>1620</v>
      </c>
      <c r="E1122" s="208" t="s">
        <v>1695</v>
      </c>
      <c r="F1122" s="208" t="s">
        <v>27</v>
      </c>
      <c r="G1122" s="208" t="s">
        <v>41</v>
      </c>
      <c r="H1122" s="275">
        <v>40.229999999999997</v>
      </c>
    </row>
    <row r="1123" spans="1:8" ht="12.75" customHeight="1" x14ac:dyDescent="0.2">
      <c r="A1123" s="273">
        <v>2025</v>
      </c>
      <c r="B1123" s="274" t="s">
        <v>767</v>
      </c>
      <c r="C1123" s="274" t="s">
        <v>1623</v>
      </c>
      <c r="D1123" s="208" t="s">
        <v>1624</v>
      </c>
      <c r="E1123" s="208" t="s">
        <v>1696</v>
      </c>
      <c r="F1123" s="208" t="s">
        <v>27</v>
      </c>
      <c r="G1123" s="208" t="s">
        <v>41</v>
      </c>
      <c r="H1123" s="275">
        <v>4.16</v>
      </c>
    </row>
    <row r="1124" spans="1:8" ht="12.75" customHeight="1" x14ac:dyDescent="0.2">
      <c r="A1124" s="273">
        <v>2025</v>
      </c>
      <c r="B1124" s="274" t="s">
        <v>767</v>
      </c>
      <c r="C1124" s="274" t="s">
        <v>1623</v>
      </c>
      <c r="D1124" s="208" t="s">
        <v>1624</v>
      </c>
      <c r="E1124" s="208" t="s">
        <v>1697</v>
      </c>
      <c r="F1124" s="208" t="s">
        <v>27</v>
      </c>
      <c r="G1124" s="208" t="s">
        <v>41</v>
      </c>
      <c r="H1124" s="275">
        <v>79</v>
      </c>
    </row>
    <row r="1125" spans="1:8" ht="12.75" customHeight="1" x14ac:dyDescent="0.2">
      <c r="A1125" s="273">
        <v>2025</v>
      </c>
      <c r="B1125" s="274" t="s">
        <v>770</v>
      </c>
      <c r="C1125" s="274" t="s">
        <v>1619</v>
      </c>
      <c r="D1125" s="208" t="s">
        <v>1620</v>
      </c>
      <c r="E1125" s="208" t="s">
        <v>1698</v>
      </c>
      <c r="F1125" s="208" t="s">
        <v>27</v>
      </c>
      <c r="G1125" s="208" t="s">
        <v>41</v>
      </c>
      <c r="H1125" s="275">
        <v>11.3</v>
      </c>
    </row>
    <row r="1126" spans="1:8" ht="12.75" customHeight="1" x14ac:dyDescent="0.2">
      <c r="A1126" s="273">
        <v>2025</v>
      </c>
      <c r="B1126" s="274" t="s">
        <v>770</v>
      </c>
      <c r="C1126" s="274" t="s">
        <v>1619</v>
      </c>
      <c r="D1126" s="208" t="s">
        <v>1620</v>
      </c>
      <c r="E1126" s="208" t="s">
        <v>1699</v>
      </c>
      <c r="F1126" s="208" t="s">
        <v>27</v>
      </c>
      <c r="G1126" s="208" t="s">
        <v>41</v>
      </c>
      <c r="H1126" s="275">
        <v>15</v>
      </c>
    </row>
    <row r="1127" spans="1:8" ht="12.75" customHeight="1" x14ac:dyDescent="0.2">
      <c r="A1127" s="273">
        <v>2025</v>
      </c>
      <c r="B1127" s="274" t="s">
        <v>770</v>
      </c>
      <c r="C1127" s="274" t="s">
        <v>1619</v>
      </c>
      <c r="D1127" s="208" t="s">
        <v>1620</v>
      </c>
      <c r="E1127" s="208" t="s">
        <v>1700</v>
      </c>
      <c r="F1127" s="208" t="s">
        <v>27</v>
      </c>
      <c r="G1127" s="208" t="s">
        <v>41</v>
      </c>
      <c r="H1127" s="276">
        <v>-82.2</v>
      </c>
    </row>
    <row r="1128" spans="1:8" ht="12.75" customHeight="1" x14ac:dyDescent="0.2">
      <c r="A1128" s="273">
        <v>2025</v>
      </c>
      <c r="B1128" s="274" t="s">
        <v>555</v>
      </c>
      <c r="C1128" s="274" t="s">
        <v>1619</v>
      </c>
      <c r="D1128" s="208" t="s">
        <v>1620</v>
      </c>
      <c r="E1128" s="208" t="s">
        <v>1701</v>
      </c>
      <c r="F1128" s="208" t="s">
        <v>27</v>
      </c>
      <c r="G1128" s="208" t="s">
        <v>41</v>
      </c>
      <c r="H1128" s="275">
        <v>25</v>
      </c>
    </row>
    <row r="1129" spans="1:8" ht="12.75" customHeight="1" x14ac:dyDescent="0.2">
      <c r="A1129" s="273">
        <v>2025</v>
      </c>
      <c r="B1129" s="274" t="s">
        <v>555</v>
      </c>
      <c r="C1129" s="274" t="s">
        <v>1619</v>
      </c>
      <c r="D1129" s="208" t="s">
        <v>1620</v>
      </c>
      <c r="E1129" s="208" t="s">
        <v>1702</v>
      </c>
      <c r="F1129" s="208" t="s">
        <v>27</v>
      </c>
      <c r="G1129" s="208" t="s">
        <v>41</v>
      </c>
      <c r="H1129" s="276">
        <v>-10.94</v>
      </c>
    </row>
    <row r="1130" spans="1:8" ht="12.75" customHeight="1" x14ac:dyDescent="0.2">
      <c r="A1130" s="273">
        <v>2025</v>
      </c>
      <c r="B1130" s="274" t="s">
        <v>555</v>
      </c>
      <c r="C1130" s="274" t="s">
        <v>1619</v>
      </c>
      <c r="D1130" s="208" t="s">
        <v>1620</v>
      </c>
      <c r="E1130" s="208" t="s">
        <v>1703</v>
      </c>
      <c r="F1130" s="208" t="s">
        <v>27</v>
      </c>
      <c r="G1130" s="208" t="s">
        <v>41</v>
      </c>
      <c r="H1130" s="275">
        <v>40.659999999999997</v>
      </c>
    </row>
    <row r="1131" spans="1:8" ht="12.75" customHeight="1" x14ac:dyDescent="0.2">
      <c r="A1131" s="273">
        <v>2025</v>
      </c>
      <c r="B1131" s="274" t="s">
        <v>917</v>
      </c>
      <c r="C1131" s="274" t="s">
        <v>1619</v>
      </c>
      <c r="D1131" s="208" t="s">
        <v>1620</v>
      </c>
      <c r="E1131" s="208" t="s">
        <v>1704</v>
      </c>
      <c r="F1131" s="208" t="s">
        <v>27</v>
      </c>
      <c r="G1131" s="208" t="s">
        <v>41</v>
      </c>
      <c r="H1131" s="275">
        <v>7.65</v>
      </c>
    </row>
    <row r="1132" spans="1:8" ht="12.75" customHeight="1" x14ac:dyDescent="0.2">
      <c r="A1132" s="273">
        <v>2025</v>
      </c>
      <c r="B1132" s="274" t="s">
        <v>917</v>
      </c>
      <c r="C1132" s="274" t="s">
        <v>1619</v>
      </c>
      <c r="D1132" s="208" t="s">
        <v>1620</v>
      </c>
      <c r="E1132" s="208" t="s">
        <v>1704</v>
      </c>
      <c r="F1132" s="208" t="s">
        <v>27</v>
      </c>
      <c r="G1132" s="208" t="s">
        <v>41</v>
      </c>
      <c r="H1132" s="275">
        <v>7.65</v>
      </c>
    </row>
    <row r="1133" spans="1:8" ht="12.75" customHeight="1" x14ac:dyDescent="0.2">
      <c r="A1133" s="273">
        <v>2025</v>
      </c>
      <c r="B1133" s="274" t="s">
        <v>920</v>
      </c>
      <c r="C1133" s="274" t="s">
        <v>1619</v>
      </c>
      <c r="D1133" s="208" t="s">
        <v>1620</v>
      </c>
      <c r="E1133" s="208" t="s">
        <v>1635</v>
      </c>
      <c r="F1133" s="208" t="s">
        <v>27</v>
      </c>
      <c r="G1133" s="208" t="s">
        <v>41</v>
      </c>
      <c r="H1133" s="275">
        <v>0.44</v>
      </c>
    </row>
    <row r="1134" spans="1:8" ht="12.75" customHeight="1" x14ac:dyDescent="0.2">
      <c r="A1134" s="273">
        <v>2025</v>
      </c>
      <c r="B1134" s="274" t="s">
        <v>563</v>
      </c>
      <c r="C1134" s="274" t="s">
        <v>1619</v>
      </c>
      <c r="D1134" s="208" t="s">
        <v>1620</v>
      </c>
      <c r="E1134" s="208" t="s">
        <v>1635</v>
      </c>
      <c r="F1134" s="208" t="s">
        <v>27</v>
      </c>
      <c r="G1134" s="208" t="s">
        <v>41</v>
      </c>
      <c r="H1134" s="276">
        <v>-0.44</v>
      </c>
    </row>
    <row r="1135" spans="1:8" ht="12.75" customHeight="1" x14ac:dyDescent="0.2">
      <c r="A1135" s="273">
        <v>2025</v>
      </c>
      <c r="B1135" s="274" t="s">
        <v>563</v>
      </c>
      <c r="C1135" s="274" t="s">
        <v>1619</v>
      </c>
      <c r="D1135" s="208" t="s">
        <v>1620</v>
      </c>
      <c r="E1135" s="208" t="s">
        <v>1635</v>
      </c>
      <c r="F1135" s="208" t="s">
        <v>27</v>
      </c>
      <c r="G1135" s="208" t="s">
        <v>41</v>
      </c>
      <c r="H1135" s="275">
        <v>0.68</v>
      </c>
    </row>
    <row r="1136" spans="1:8" ht="12.75" customHeight="1" x14ac:dyDescent="0.2">
      <c r="A1136" s="273">
        <v>2025</v>
      </c>
      <c r="B1136" s="274" t="s">
        <v>779</v>
      </c>
      <c r="C1136" s="274" t="s">
        <v>1626</v>
      </c>
      <c r="D1136" s="208" t="s">
        <v>1627</v>
      </c>
      <c r="E1136" s="208" t="s">
        <v>1705</v>
      </c>
      <c r="F1136" s="208" t="s">
        <v>27</v>
      </c>
      <c r="G1136" s="208" t="s">
        <v>41</v>
      </c>
      <c r="H1136" s="275">
        <v>84.12</v>
      </c>
    </row>
    <row r="1137" spans="1:8" ht="12.75" customHeight="1" x14ac:dyDescent="0.2">
      <c r="A1137" s="273">
        <v>2025</v>
      </c>
      <c r="B1137" s="274" t="s">
        <v>1706</v>
      </c>
      <c r="C1137" s="274" t="s">
        <v>1619</v>
      </c>
      <c r="D1137" s="208" t="s">
        <v>1620</v>
      </c>
      <c r="E1137" s="208" t="s">
        <v>1707</v>
      </c>
      <c r="F1137" s="208" t="s">
        <v>27</v>
      </c>
      <c r="G1137" s="208" t="s">
        <v>41</v>
      </c>
      <c r="H1137" s="275">
        <v>21.68</v>
      </c>
    </row>
    <row r="1138" spans="1:8" ht="12.75" customHeight="1" x14ac:dyDescent="0.2">
      <c r="A1138" s="273">
        <v>2025</v>
      </c>
      <c r="B1138" s="274" t="s">
        <v>783</v>
      </c>
      <c r="C1138" s="274" t="s">
        <v>1619</v>
      </c>
      <c r="D1138" s="208" t="s">
        <v>1620</v>
      </c>
      <c r="E1138" s="208" t="s">
        <v>1691</v>
      </c>
      <c r="F1138" s="208" t="s">
        <v>27</v>
      </c>
      <c r="G1138" s="208" t="s">
        <v>41</v>
      </c>
      <c r="H1138" s="276">
        <v>-41.33</v>
      </c>
    </row>
    <row r="1139" spans="1:8" ht="12.75" customHeight="1" x14ac:dyDescent="0.2">
      <c r="A1139" s="273">
        <v>2025</v>
      </c>
      <c r="B1139" s="274" t="s">
        <v>1284</v>
      </c>
      <c r="C1139" s="274" t="s">
        <v>1619</v>
      </c>
      <c r="D1139" s="208" t="s">
        <v>1620</v>
      </c>
      <c r="E1139" s="208" t="s">
        <v>1622</v>
      </c>
      <c r="F1139" s="208" t="s">
        <v>27</v>
      </c>
      <c r="G1139" s="208" t="s">
        <v>41</v>
      </c>
      <c r="H1139" s="275">
        <v>31.8</v>
      </c>
    </row>
    <row r="1140" spans="1:8" ht="12.75" customHeight="1" x14ac:dyDescent="0.2">
      <c r="A1140" s="273">
        <v>2025</v>
      </c>
      <c r="B1140" s="274" t="s">
        <v>1708</v>
      </c>
      <c r="C1140" s="274" t="s">
        <v>1623</v>
      </c>
      <c r="D1140" s="208" t="s">
        <v>1624</v>
      </c>
      <c r="E1140" s="208" t="s">
        <v>1709</v>
      </c>
      <c r="F1140" s="208" t="s">
        <v>27</v>
      </c>
      <c r="G1140" s="208" t="s">
        <v>41</v>
      </c>
      <c r="H1140" s="275">
        <v>170.1</v>
      </c>
    </row>
    <row r="1141" spans="1:8" ht="12.75" customHeight="1" x14ac:dyDescent="0.2">
      <c r="A1141" s="273">
        <v>2025</v>
      </c>
      <c r="B1141" s="274" t="s">
        <v>1416</v>
      </c>
      <c r="C1141" s="274" t="s">
        <v>1619</v>
      </c>
      <c r="D1141" s="208" t="s">
        <v>1620</v>
      </c>
      <c r="E1141" s="208" t="s">
        <v>1695</v>
      </c>
      <c r="F1141" s="208" t="s">
        <v>27</v>
      </c>
      <c r="G1141" s="208" t="s">
        <v>41</v>
      </c>
      <c r="H1141" s="275">
        <v>40.44</v>
      </c>
    </row>
    <row r="1142" spans="1:8" ht="12.75" customHeight="1" x14ac:dyDescent="0.2">
      <c r="A1142" s="273">
        <v>2025</v>
      </c>
      <c r="B1142" s="274" t="s">
        <v>1710</v>
      </c>
      <c r="C1142" s="274" t="s">
        <v>1623</v>
      </c>
      <c r="D1142" s="208" t="s">
        <v>1624</v>
      </c>
      <c r="E1142" s="208" t="s">
        <v>1711</v>
      </c>
      <c r="F1142" s="208" t="s">
        <v>27</v>
      </c>
      <c r="G1142" s="208" t="s">
        <v>41</v>
      </c>
      <c r="H1142" s="275">
        <v>4.16</v>
      </c>
    </row>
    <row r="1143" spans="1:8" ht="12.75" customHeight="1" x14ac:dyDescent="0.2">
      <c r="A1143" s="273">
        <v>2025</v>
      </c>
      <c r="B1143" s="274" t="s">
        <v>1710</v>
      </c>
      <c r="C1143" s="274" t="s">
        <v>1623</v>
      </c>
      <c r="D1143" s="208" t="s">
        <v>1624</v>
      </c>
      <c r="E1143" s="208" t="s">
        <v>1697</v>
      </c>
      <c r="F1143" s="208" t="s">
        <v>27</v>
      </c>
      <c r="G1143" s="208" t="s">
        <v>41</v>
      </c>
      <c r="H1143" s="275">
        <v>79</v>
      </c>
    </row>
    <row r="1144" spans="1:8" ht="12.75" customHeight="1" x14ac:dyDescent="0.2">
      <c r="A1144" s="273">
        <v>2025</v>
      </c>
      <c r="B1144" s="274" t="s">
        <v>566</v>
      </c>
      <c r="C1144" s="274" t="s">
        <v>1619</v>
      </c>
      <c r="D1144" s="208" t="s">
        <v>1620</v>
      </c>
      <c r="E1144" s="208" t="s">
        <v>1712</v>
      </c>
      <c r="F1144" s="208" t="s">
        <v>27</v>
      </c>
      <c r="G1144" s="208" t="s">
        <v>41</v>
      </c>
      <c r="H1144" s="275">
        <v>9.74</v>
      </c>
    </row>
    <row r="1145" spans="1:8" ht="12.75" customHeight="1" x14ac:dyDescent="0.2">
      <c r="A1145" s="273">
        <v>2025</v>
      </c>
      <c r="B1145" s="274" t="s">
        <v>566</v>
      </c>
      <c r="C1145" s="274" t="s">
        <v>1619</v>
      </c>
      <c r="D1145" s="208" t="s">
        <v>1620</v>
      </c>
      <c r="E1145" s="208" t="s">
        <v>1713</v>
      </c>
      <c r="F1145" s="208" t="s">
        <v>27</v>
      </c>
      <c r="G1145" s="208" t="s">
        <v>41</v>
      </c>
      <c r="H1145" s="275">
        <v>9.17</v>
      </c>
    </row>
    <row r="1146" spans="1:8" ht="12.75" customHeight="1" x14ac:dyDescent="0.2">
      <c r="A1146" s="273">
        <v>2025</v>
      </c>
      <c r="B1146" s="274" t="s">
        <v>1714</v>
      </c>
      <c r="C1146" s="274" t="s">
        <v>1619</v>
      </c>
      <c r="D1146" s="208" t="s">
        <v>1620</v>
      </c>
      <c r="E1146" s="208" t="s">
        <v>1703</v>
      </c>
      <c r="F1146" s="208" t="s">
        <v>27</v>
      </c>
      <c r="G1146" s="208" t="s">
        <v>41</v>
      </c>
      <c r="H1146" s="275">
        <v>40.659999999999997</v>
      </c>
    </row>
    <row r="1147" spans="1:8" ht="12.75" customHeight="1" x14ac:dyDescent="0.2">
      <c r="A1147" s="273">
        <v>2025</v>
      </c>
      <c r="B1147" s="274" t="s">
        <v>790</v>
      </c>
      <c r="C1147" s="274" t="s">
        <v>1626</v>
      </c>
      <c r="D1147" s="208" t="s">
        <v>1627</v>
      </c>
      <c r="E1147" s="208" t="s">
        <v>1715</v>
      </c>
      <c r="F1147" s="208" t="s">
        <v>27</v>
      </c>
      <c r="G1147" s="208" t="s">
        <v>41</v>
      </c>
      <c r="H1147" s="275">
        <v>101.71</v>
      </c>
    </row>
    <row r="1148" spans="1:8" ht="12.75" customHeight="1" x14ac:dyDescent="0.2">
      <c r="A1148" s="273">
        <v>2025</v>
      </c>
      <c r="B1148" s="274" t="s">
        <v>790</v>
      </c>
      <c r="C1148" s="274" t="s">
        <v>1619</v>
      </c>
      <c r="D1148" s="208" t="s">
        <v>1620</v>
      </c>
      <c r="E1148" s="208" t="s">
        <v>1635</v>
      </c>
      <c r="F1148" s="208" t="s">
        <v>27</v>
      </c>
      <c r="G1148" s="208" t="s">
        <v>41</v>
      </c>
      <c r="H1148" s="275">
        <v>0.68</v>
      </c>
    </row>
    <row r="1149" spans="1:8" ht="12.75" customHeight="1" x14ac:dyDescent="0.2">
      <c r="A1149" s="273">
        <v>2025</v>
      </c>
      <c r="B1149" s="274" t="s">
        <v>1605</v>
      </c>
      <c r="C1149" s="274" t="s">
        <v>1623</v>
      </c>
      <c r="D1149" s="208" t="s">
        <v>1624</v>
      </c>
      <c r="E1149" s="208" t="s">
        <v>1716</v>
      </c>
      <c r="F1149" s="208" t="s">
        <v>27</v>
      </c>
      <c r="G1149" s="208" t="s">
        <v>41</v>
      </c>
      <c r="H1149" s="275">
        <v>100</v>
      </c>
    </row>
    <row r="1150" spans="1:8" ht="12.75" customHeight="1" x14ac:dyDescent="0.2">
      <c r="A1150" s="273">
        <v>2025</v>
      </c>
      <c r="B1150" s="274" t="s">
        <v>1605</v>
      </c>
      <c r="C1150" s="274" t="s">
        <v>1619</v>
      </c>
      <c r="D1150" s="208" t="s">
        <v>1620</v>
      </c>
      <c r="E1150" s="208" t="s">
        <v>1691</v>
      </c>
      <c r="F1150" s="208" t="s">
        <v>27</v>
      </c>
      <c r="G1150" s="208" t="s">
        <v>41</v>
      </c>
      <c r="H1150" s="276">
        <v>-41.33</v>
      </c>
    </row>
    <row r="1151" spans="1:8" ht="12.75" customHeight="1" x14ac:dyDescent="0.2">
      <c r="A1151" s="273">
        <v>2025</v>
      </c>
      <c r="B1151" s="274" t="s">
        <v>573</v>
      </c>
      <c r="C1151" s="274" t="s">
        <v>1623</v>
      </c>
      <c r="D1151" s="208" t="s">
        <v>1624</v>
      </c>
      <c r="E1151" s="208" t="s">
        <v>1717</v>
      </c>
      <c r="F1151" s="208" t="s">
        <v>27</v>
      </c>
      <c r="G1151" s="208" t="s">
        <v>41</v>
      </c>
      <c r="H1151" s="275">
        <v>156</v>
      </c>
    </row>
    <row r="1152" spans="1:8" ht="12.75" customHeight="1" x14ac:dyDescent="0.2">
      <c r="A1152" s="273">
        <v>2025</v>
      </c>
      <c r="B1152" s="274" t="s">
        <v>573</v>
      </c>
      <c r="C1152" s="274" t="s">
        <v>1619</v>
      </c>
      <c r="D1152" s="208" t="s">
        <v>1620</v>
      </c>
      <c r="E1152" s="208" t="s">
        <v>1622</v>
      </c>
      <c r="F1152" s="208" t="s">
        <v>27</v>
      </c>
      <c r="G1152" s="208" t="s">
        <v>41</v>
      </c>
      <c r="H1152" s="275">
        <v>43.7</v>
      </c>
    </row>
    <row r="1153" spans="1:8" ht="12.75" customHeight="1" x14ac:dyDescent="0.2">
      <c r="A1153" s="273">
        <v>2025</v>
      </c>
      <c r="B1153" s="274" t="s">
        <v>1428</v>
      </c>
      <c r="C1153" s="274" t="s">
        <v>1619</v>
      </c>
      <c r="D1153" s="208" t="s">
        <v>1620</v>
      </c>
      <c r="E1153" s="208" t="s">
        <v>1695</v>
      </c>
      <c r="F1153" s="208" t="s">
        <v>27</v>
      </c>
      <c r="G1153" s="208" t="s">
        <v>41</v>
      </c>
      <c r="H1153" s="275">
        <v>40.229999999999997</v>
      </c>
    </row>
    <row r="1154" spans="1:8" ht="12.75" customHeight="1" x14ac:dyDescent="0.2">
      <c r="A1154" s="273">
        <v>2025</v>
      </c>
      <c r="B1154" s="274" t="s">
        <v>1718</v>
      </c>
      <c r="C1154" s="274" t="s">
        <v>1623</v>
      </c>
      <c r="D1154" s="208" t="s">
        <v>1624</v>
      </c>
      <c r="E1154" s="208" t="s">
        <v>1647</v>
      </c>
      <c r="F1154" s="208" t="s">
        <v>27</v>
      </c>
      <c r="G1154" s="208" t="s">
        <v>41</v>
      </c>
      <c r="H1154" s="275">
        <v>79</v>
      </c>
    </row>
    <row r="1155" spans="1:8" ht="12.75" customHeight="1" x14ac:dyDescent="0.2">
      <c r="A1155" s="273">
        <v>2025</v>
      </c>
      <c r="B1155" s="274" t="s">
        <v>1719</v>
      </c>
      <c r="C1155" s="274" t="s">
        <v>1623</v>
      </c>
      <c r="D1155" s="208" t="s">
        <v>1624</v>
      </c>
      <c r="E1155" s="208" t="s">
        <v>1720</v>
      </c>
      <c r="F1155" s="208" t="s">
        <v>27</v>
      </c>
      <c r="G1155" s="208" t="s">
        <v>41</v>
      </c>
      <c r="H1155" s="275">
        <v>4.16</v>
      </c>
    </row>
    <row r="1156" spans="1:8" ht="12.75" customHeight="1" x14ac:dyDescent="0.2">
      <c r="A1156" s="273">
        <v>2025</v>
      </c>
      <c r="B1156" s="274" t="s">
        <v>798</v>
      </c>
      <c r="C1156" s="274" t="s">
        <v>1619</v>
      </c>
      <c r="D1156" s="208" t="s">
        <v>1620</v>
      </c>
      <c r="E1156" s="208" t="s">
        <v>1721</v>
      </c>
      <c r="F1156" s="208" t="s">
        <v>27</v>
      </c>
      <c r="G1156" s="208" t="s">
        <v>41</v>
      </c>
      <c r="H1156" s="275">
        <v>9.5399999999999991</v>
      </c>
    </row>
    <row r="1157" spans="1:8" ht="12.75" customHeight="1" x14ac:dyDescent="0.2">
      <c r="A1157" s="273">
        <v>2025</v>
      </c>
      <c r="B1157" s="274" t="s">
        <v>798</v>
      </c>
      <c r="C1157" s="274" t="s">
        <v>1619</v>
      </c>
      <c r="D1157" s="208" t="s">
        <v>1620</v>
      </c>
      <c r="E1157" s="208" t="s">
        <v>1722</v>
      </c>
      <c r="F1157" s="208" t="s">
        <v>27</v>
      </c>
      <c r="G1157" s="208" t="s">
        <v>41</v>
      </c>
      <c r="H1157" s="275">
        <v>8.99</v>
      </c>
    </row>
    <row r="1158" spans="1:8" ht="12.75" customHeight="1" x14ac:dyDescent="0.2">
      <c r="A1158" s="273">
        <v>2025</v>
      </c>
      <c r="B1158" s="274" t="s">
        <v>798</v>
      </c>
      <c r="C1158" s="274" t="s">
        <v>1619</v>
      </c>
      <c r="D1158" s="208" t="s">
        <v>1620</v>
      </c>
      <c r="E1158" s="208" t="s">
        <v>1703</v>
      </c>
      <c r="F1158" s="208" t="s">
        <v>27</v>
      </c>
      <c r="G1158" s="208" t="s">
        <v>41</v>
      </c>
      <c r="H1158" s="275">
        <v>40.659999999999997</v>
      </c>
    </row>
    <row r="1159" spans="1:8" ht="12.75" customHeight="1" x14ac:dyDescent="0.2">
      <c r="A1159" s="273">
        <v>2025</v>
      </c>
      <c r="B1159" s="274" t="s">
        <v>429</v>
      </c>
      <c r="C1159" s="274" t="s">
        <v>1723</v>
      </c>
      <c r="D1159" s="208" t="s">
        <v>1724</v>
      </c>
      <c r="E1159" s="208" t="s">
        <v>1725</v>
      </c>
      <c r="F1159" s="208" t="s">
        <v>27</v>
      </c>
      <c r="G1159" s="208" t="s">
        <v>40</v>
      </c>
      <c r="H1159" s="275">
        <v>120.37</v>
      </c>
    </row>
    <row r="1160" spans="1:8" ht="12.75" customHeight="1" x14ac:dyDescent="0.2">
      <c r="A1160" s="273">
        <v>2025</v>
      </c>
      <c r="B1160" s="274" t="s">
        <v>429</v>
      </c>
      <c r="C1160" s="274" t="s">
        <v>1723</v>
      </c>
      <c r="D1160" s="208" t="s">
        <v>1724</v>
      </c>
      <c r="E1160" s="208" t="s">
        <v>1726</v>
      </c>
      <c r="F1160" s="208" t="s">
        <v>27</v>
      </c>
      <c r="G1160" s="208" t="s">
        <v>40</v>
      </c>
      <c r="H1160" s="276">
        <v>-120.37</v>
      </c>
    </row>
    <row r="1161" spans="1:8" ht="12.75" customHeight="1" x14ac:dyDescent="0.2">
      <c r="A1161" s="273">
        <v>2025</v>
      </c>
      <c r="B1161" s="274" t="s">
        <v>654</v>
      </c>
      <c r="C1161" s="274" t="s">
        <v>1727</v>
      </c>
      <c r="D1161" s="208" t="s">
        <v>1728</v>
      </c>
      <c r="E1161" s="208" t="s">
        <v>1729</v>
      </c>
      <c r="F1161" s="208" t="s">
        <v>27</v>
      </c>
      <c r="G1161" s="208" t="s">
        <v>40</v>
      </c>
      <c r="H1161" s="275">
        <v>950.38</v>
      </c>
    </row>
    <row r="1162" spans="1:8" ht="12.75" customHeight="1" x14ac:dyDescent="0.2">
      <c r="A1162" s="273">
        <v>2025</v>
      </c>
      <c r="B1162" s="274" t="s">
        <v>658</v>
      </c>
      <c r="C1162" s="274" t="s">
        <v>1730</v>
      </c>
      <c r="D1162" s="208" t="s">
        <v>1731</v>
      </c>
      <c r="E1162" s="208" t="s">
        <v>1732</v>
      </c>
      <c r="F1162" s="208" t="s">
        <v>27</v>
      </c>
      <c r="G1162" s="208" t="s">
        <v>40</v>
      </c>
      <c r="H1162" s="275">
        <v>210.08</v>
      </c>
    </row>
    <row r="1163" spans="1:8" ht="12.75" customHeight="1" x14ac:dyDescent="0.2">
      <c r="A1163" s="273">
        <v>2025</v>
      </c>
      <c r="B1163" s="274" t="s">
        <v>658</v>
      </c>
      <c r="C1163" s="274" t="s">
        <v>1730</v>
      </c>
      <c r="D1163" s="208" t="s">
        <v>1731</v>
      </c>
      <c r="E1163" s="208" t="s">
        <v>1733</v>
      </c>
      <c r="F1163" s="208" t="s">
        <v>27</v>
      </c>
      <c r="G1163" s="208" t="s">
        <v>40</v>
      </c>
      <c r="H1163" s="275">
        <v>84</v>
      </c>
    </row>
    <row r="1164" spans="1:8" ht="12.75" customHeight="1" x14ac:dyDescent="0.2">
      <c r="A1164" s="273">
        <v>2025</v>
      </c>
      <c r="B1164" s="274" t="s">
        <v>658</v>
      </c>
      <c r="C1164" s="274" t="s">
        <v>1734</v>
      </c>
      <c r="D1164" s="208" t="s">
        <v>1735</v>
      </c>
      <c r="E1164" s="208" t="s">
        <v>1736</v>
      </c>
      <c r="F1164" s="208" t="s">
        <v>27</v>
      </c>
      <c r="G1164" s="208" t="s">
        <v>40</v>
      </c>
      <c r="H1164" s="275">
        <v>107</v>
      </c>
    </row>
    <row r="1165" spans="1:8" ht="12.75" customHeight="1" x14ac:dyDescent="0.2">
      <c r="A1165" s="273">
        <v>2025</v>
      </c>
      <c r="B1165" s="274" t="s">
        <v>433</v>
      </c>
      <c r="C1165" s="274" t="s">
        <v>1734</v>
      </c>
      <c r="D1165" s="208" t="s">
        <v>1735</v>
      </c>
      <c r="E1165" s="208" t="s">
        <v>1737</v>
      </c>
      <c r="F1165" s="208" t="s">
        <v>27</v>
      </c>
      <c r="G1165" s="208" t="s">
        <v>40</v>
      </c>
      <c r="H1165" s="275">
        <v>36.659999999999997</v>
      </c>
    </row>
    <row r="1166" spans="1:8" ht="12.75" customHeight="1" x14ac:dyDescent="0.2">
      <c r="A1166" s="273">
        <v>2025</v>
      </c>
      <c r="B1166" s="274" t="s">
        <v>440</v>
      </c>
      <c r="C1166" s="274" t="s">
        <v>1727</v>
      </c>
      <c r="D1166" s="208" t="s">
        <v>1728</v>
      </c>
      <c r="E1166" s="208" t="s">
        <v>1738</v>
      </c>
      <c r="F1166" s="208" t="s">
        <v>27</v>
      </c>
      <c r="G1166" s="208" t="s">
        <v>40</v>
      </c>
      <c r="H1166" s="275">
        <v>40.9</v>
      </c>
    </row>
    <row r="1167" spans="1:8" ht="12.75" customHeight="1" x14ac:dyDescent="0.2">
      <c r="A1167" s="273">
        <v>2025</v>
      </c>
      <c r="B1167" s="274" t="s">
        <v>1739</v>
      </c>
      <c r="C1167" s="274" t="s">
        <v>1727</v>
      </c>
      <c r="D1167" s="208" t="s">
        <v>1728</v>
      </c>
      <c r="E1167" s="208" t="s">
        <v>1740</v>
      </c>
      <c r="F1167" s="208" t="s">
        <v>27</v>
      </c>
      <c r="G1167" s="208" t="s">
        <v>40</v>
      </c>
      <c r="H1167" s="275">
        <v>20.04</v>
      </c>
    </row>
    <row r="1168" spans="1:8" ht="12.75" customHeight="1" x14ac:dyDescent="0.2">
      <c r="A1168" s="273">
        <v>2025</v>
      </c>
      <c r="B1168" s="274" t="s">
        <v>447</v>
      </c>
      <c r="C1168" s="274" t="s">
        <v>1741</v>
      </c>
      <c r="D1168" s="208" t="s">
        <v>1742</v>
      </c>
      <c r="E1168" s="208" t="s">
        <v>1743</v>
      </c>
      <c r="F1168" s="208" t="s">
        <v>27</v>
      </c>
      <c r="G1168" s="208" t="s">
        <v>40</v>
      </c>
      <c r="H1168" s="275">
        <v>71.67</v>
      </c>
    </row>
    <row r="1169" spans="1:8" ht="12.75" customHeight="1" x14ac:dyDescent="0.2">
      <c r="A1169" s="273">
        <v>2025</v>
      </c>
      <c r="B1169" s="274" t="s">
        <v>943</v>
      </c>
      <c r="C1169" s="274" t="s">
        <v>1741</v>
      </c>
      <c r="D1169" s="208" t="s">
        <v>1742</v>
      </c>
      <c r="E1169" s="208" t="s">
        <v>1744</v>
      </c>
      <c r="F1169" s="208" t="s">
        <v>27</v>
      </c>
      <c r="G1169" s="208" t="s">
        <v>40</v>
      </c>
      <c r="H1169" s="275">
        <v>305.64999999999998</v>
      </c>
    </row>
    <row r="1170" spans="1:8" ht="12.75" customHeight="1" x14ac:dyDescent="0.2">
      <c r="A1170" s="273">
        <v>2025</v>
      </c>
      <c r="B1170" s="274" t="s">
        <v>943</v>
      </c>
      <c r="C1170" s="274" t="s">
        <v>1745</v>
      </c>
      <c r="D1170" s="208" t="s">
        <v>1746</v>
      </c>
      <c r="E1170" s="208" t="s">
        <v>1747</v>
      </c>
      <c r="F1170" s="208" t="s">
        <v>27</v>
      </c>
      <c r="G1170" s="208" t="s">
        <v>40</v>
      </c>
      <c r="H1170" s="275">
        <v>49.68</v>
      </c>
    </row>
    <row r="1171" spans="1:8" ht="12.75" customHeight="1" x14ac:dyDescent="0.2">
      <c r="A1171" s="273">
        <v>2025</v>
      </c>
      <c r="B1171" s="274" t="s">
        <v>1299</v>
      </c>
      <c r="C1171" s="274" t="s">
        <v>1734</v>
      </c>
      <c r="D1171" s="208" t="s">
        <v>1735</v>
      </c>
      <c r="E1171" s="208" t="s">
        <v>1748</v>
      </c>
      <c r="F1171" s="208" t="s">
        <v>27</v>
      </c>
      <c r="G1171" s="208" t="s">
        <v>40</v>
      </c>
      <c r="H1171" s="275">
        <v>26.02</v>
      </c>
    </row>
    <row r="1172" spans="1:8" ht="12.75" customHeight="1" x14ac:dyDescent="0.2">
      <c r="A1172" s="273">
        <v>2025</v>
      </c>
      <c r="B1172" s="274" t="s">
        <v>1299</v>
      </c>
      <c r="C1172" s="274" t="s">
        <v>1734</v>
      </c>
      <c r="D1172" s="208" t="s">
        <v>1735</v>
      </c>
      <c r="E1172" s="208" t="s">
        <v>1748</v>
      </c>
      <c r="F1172" s="208" t="s">
        <v>27</v>
      </c>
      <c r="G1172" s="208" t="s">
        <v>40</v>
      </c>
      <c r="H1172" s="275">
        <v>10.35</v>
      </c>
    </row>
    <row r="1173" spans="1:8" ht="12.75" customHeight="1" x14ac:dyDescent="0.2">
      <c r="A1173" s="273">
        <v>2025</v>
      </c>
      <c r="B1173" s="274" t="s">
        <v>1299</v>
      </c>
      <c r="C1173" s="274" t="s">
        <v>1734</v>
      </c>
      <c r="D1173" s="208" t="s">
        <v>1735</v>
      </c>
      <c r="E1173" s="208" t="s">
        <v>1749</v>
      </c>
      <c r="F1173" s="208" t="s">
        <v>27</v>
      </c>
      <c r="G1173" s="208" t="s">
        <v>40</v>
      </c>
      <c r="H1173" s="275">
        <v>22.73</v>
      </c>
    </row>
    <row r="1174" spans="1:8" ht="12.75" customHeight="1" x14ac:dyDescent="0.2">
      <c r="A1174" s="273">
        <v>2025</v>
      </c>
      <c r="B1174" s="274" t="s">
        <v>1299</v>
      </c>
      <c r="C1174" s="274" t="s">
        <v>1734</v>
      </c>
      <c r="D1174" s="208" t="s">
        <v>1735</v>
      </c>
      <c r="E1174" s="208" t="s">
        <v>1749</v>
      </c>
      <c r="F1174" s="208" t="s">
        <v>27</v>
      </c>
      <c r="G1174" s="208" t="s">
        <v>40</v>
      </c>
      <c r="H1174" s="275">
        <v>17.5</v>
      </c>
    </row>
    <row r="1175" spans="1:8" ht="12.75" customHeight="1" x14ac:dyDescent="0.2">
      <c r="A1175" s="273">
        <v>2025</v>
      </c>
      <c r="B1175" s="274" t="s">
        <v>450</v>
      </c>
      <c r="C1175" s="274" t="s">
        <v>1750</v>
      </c>
      <c r="D1175" s="208" t="s">
        <v>1751</v>
      </c>
      <c r="E1175" s="208" t="s">
        <v>1752</v>
      </c>
      <c r="F1175" s="208" t="s">
        <v>27</v>
      </c>
      <c r="G1175" s="208" t="s">
        <v>40</v>
      </c>
      <c r="H1175" s="275">
        <v>21.66</v>
      </c>
    </row>
    <row r="1176" spans="1:8" ht="12.75" customHeight="1" x14ac:dyDescent="0.2">
      <c r="A1176" s="273">
        <v>2025</v>
      </c>
      <c r="B1176" s="274" t="s">
        <v>450</v>
      </c>
      <c r="C1176" s="274" t="s">
        <v>1730</v>
      </c>
      <c r="D1176" s="208" t="s">
        <v>1731</v>
      </c>
      <c r="E1176" s="208" t="s">
        <v>1753</v>
      </c>
      <c r="F1176" s="208" t="s">
        <v>27</v>
      </c>
      <c r="G1176" s="208" t="s">
        <v>40</v>
      </c>
      <c r="H1176" s="275">
        <v>39.9</v>
      </c>
    </row>
    <row r="1177" spans="1:8" ht="12.75" customHeight="1" x14ac:dyDescent="0.2">
      <c r="A1177" s="273">
        <v>2025</v>
      </c>
      <c r="B1177" s="274" t="s">
        <v>1754</v>
      </c>
      <c r="C1177" s="274" t="s">
        <v>1734</v>
      </c>
      <c r="D1177" s="208" t="s">
        <v>1735</v>
      </c>
      <c r="E1177" s="208" t="s">
        <v>1755</v>
      </c>
      <c r="F1177" s="208" t="s">
        <v>27</v>
      </c>
      <c r="G1177" s="208" t="s">
        <v>40</v>
      </c>
      <c r="H1177" s="275">
        <v>25</v>
      </c>
    </row>
    <row r="1178" spans="1:8" ht="12.75" customHeight="1" x14ac:dyDescent="0.2">
      <c r="A1178" s="273">
        <v>2025</v>
      </c>
      <c r="B1178" s="274" t="s">
        <v>1754</v>
      </c>
      <c r="C1178" s="274" t="s">
        <v>1734</v>
      </c>
      <c r="D1178" s="208" t="s">
        <v>1735</v>
      </c>
      <c r="E1178" s="208" t="s">
        <v>1755</v>
      </c>
      <c r="F1178" s="208" t="s">
        <v>27</v>
      </c>
      <c r="G1178" s="208" t="s">
        <v>40</v>
      </c>
      <c r="H1178" s="275">
        <v>68.09</v>
      </c>
    </row>
    <row r="1179" spans="1:8" ht="12.75" customHeight="1" x14ac:dyDescent="0.2">
      <c r="A1179" s="273">
        <v>2025</v>
      </c>
      <c r="B1179" s="274" t="s">
        <v>1756</v>
      </c>
      <c r="C1179" s="274" t="s">
        <v>1730</v>
      </c>
      <c r="D1179" s="208" t="s">
        <v>1731</v>
      </c>
      <c r="E1179" s="208" t="s">
        <v>1731</v>
      </c>
      <c r="F1179" s="208" t="s">
        <v>27</v>
      </c>
      <c r="G1179" s="208" t="s">
        <v>40</v>
      </c>
      <c r="H1179" s="275">
        <v>190</v>
      </c>
    </row>
    <row r="1180" spans="1:8" ht="12.75" customHeight="1" x14ac:dyDescent="0.2">
      <c r="A1180" s="273">
        <v>2025</v>
      </c>
      <c r="B1180" s="274" t="s">
        <v>817</v>
      </c>
      <c r="C1180" s="274" t="s">
        <v>1730</v>
      </c>
      <c r="D1180" s="208" t="s">
        <v>1731</v>
      </c>
      <c r="E1180" s="208" t="s">
        <v>1757</v>
      </c>
      <c r="F1180" s="208" t="s">
        <v>27</v>
      </c>
      <c r="G1180" s="208" t="s">
        <v>40</v>
      </c>
      <c r="H1180" s="275">
        <v>21.7</v>
      </c>
    </row>
    <row r="1181" spans="1:8" ht="12.75" customHeight="1" x14ac:dyDescent="0.2">
      <c r="A1181" s="273">
        <v>2025</v>
      </c>
      <c r="B1181" s="274" t="s">
        <v>817</v>
      </c>
      <c r="C1181" s="274" t="s">
        <v>1727</v>
      </c>
      <c r="D1181" s="208" t="s">
        <v>1728</v>
      </c>
      <c r="E1181" s="208" t="s">
        <v>1758</v>
      </c>
      <c r="F1181" s="208" t="s">
        <v>27</v>
      </c>
      <c r="G1181" s="208" t="s">
        <v>40</v>
      </c>
      <c r="H1181" s="275">
        <v>26.57</v>
      </c>
    </row>
    <row r="1182" spans="1:8" ht="12.75" customHeight="1" x14ac:dyDescent="0.2">
      <c r="A1182" s="273">
        <v>2025</v>
      </c>
      <c r="B1182" s="274" t="s">
        <v>817</v>
      </c>
      <c r="C1182" s="274" t="s">
        <v>1734</v>
      </c>
      <c r="D1182" s="208" t="s">
        <v>1735</v>
      </c>
      <c r="E1182" s="208" t="s">
        <v>1759</v>
      </c>
      <c r="F1182" s="208" t="s">
        <v>27</v>
      </c>
      <c r="G1182" s="208" t="s">
        <v>40</v>
      </c>
      <c r="H1182" s="275">
        <v>14.45</v>
      </c>
    </row>
    <row r="1183" spans="1:8" ht="12.75" customHeight="1" x14ac:dyDescent="0.2">
      <c r="A1183" s="273">
        <v>2025</v>
      </c>
      <c r="B1183" s="274" t="s">
        <v>1760</v>
      </c>
      <c r="C1183" s="274" t="s">
        <v>1730</v>
      </c>
      <c r="D1183" s="208" t="s">
        <v>1731</v>
      </c>
      <c r="E1183" s="208" t="s">
        <v>1761</v>
      </c>
      <c r="F1183" s="208" t="s">
        <v>27</v>
      </c>
      <c r="G1183" s="208" t="s">
        <v>40</v>
      </c>
      <c r="H1183" s="275">
        <v>16.22</v>
      </c>
    </row>
    <row r="1184" spans="1:8" ht="12.75" customHeight="1" x14ac:dyDescent="0.2">
      <c r="A1184" s="273">
        <v>2025</v>
      </c>
      <c r="B1184" s="274" t="s">
        <v>1760</v>
      </c>
      <c r="C1184" s="274" t="s">
        <v>1730</v>
      </c>
      <c r="D1184" s="208" t="s">
        <v>1731</v>
      </c>
      <c r="E1184" s="208" t="s">
        <v>1762</v>
      </c>
      <c r="F1184" s="208" t="s">
        <v>27</v>
      </c>
      <c r="G1184" s="208" t="s">
        <v>40</v>
      </c>
      <c r="H1184" s="275">
        <v>50</v>
      </c>
    </row>
    <row r="1185" spans="1:8" ht="12.75" customHeight="1" x14ac:dyDescent="0.2">
      <c r="A1185" s="273">
        <v>2025</v>
      </c>
      <c r="B1185" s="274" t="s">
        <v>1760</v>
      </c>
      <c r="C1185" s="274" t="s">
        <v>1734</v>
      </c>
      <c r="D1185" s="208" t="s">
        <v>1735</v>
      </c>
      <c r="E1185" s="208" t="s">
        <v>1763</v>
      </c>
      <c r="F1185" s="208" t="s">
        <v>27</v>
      </c>
      <c r="G1185" s="208" t="s">
        <v>40</v>
      </c>
      <c r="H1185" s="275">
        <v>500</v>
      </c>
    </row>
    <row r="1186" spans="1:8" ht="12.75" customHeight="1" x14ac:dyDescent="0.2">
      <c r="A1186" s="273">
        <v>2025</v>
      </c>
      <c r="B1186" s="274" t="s">
        <v>1760</v>
      </c>
      <c r="C1186" s="274" t="s">
        <v>1734</v>
      </c>
      <c r="D1186" s="208" t="s">
        <v>1735</v>
      </c>
      <c r="E1186" s="208" t="s">
        <v>1764</v>
      </c>
      <c r="F1186" s="208" t="s">
        <v>27</v>
      </c>
      <c r="G1186" s="208" t="s">
        <v>40</v>
      </c>
      <c r="H1186" s="275">
        <v>22.67</v>
      </c>
    </row>
    <row r="1187" spans="1:8" ht="12.75" customHeight="1" x14ac:dyDescent="0.2">
      <c r="A1187" s="273">
        <v>2025</v>
      </c>
      <c r="B1187" s="274" t="s">
        <v>1760</v>
      </c>
      <c r="C1187" s="274" t="s">
        <v>1734</v>
      </c>
      <c r="D1187" s="208" t="s">
        <v>1735</v>
      </c>
      <c r="E1187" s="208" t="s">
        <v>1764</v>
      </c>
      <c r="F1187" s="208" t="s">
        <v>27</v>
      </c>
      <c r="G1187" s="208" t="s">
        <v>40</v>
      </c>
      <c r="H1187" s="275">
        <v>77.819999999999993</v>
      </c>
    </row>
    <row r="1188" spans="1:8" ht="12.75" customHeight="1" x14ac:dyDescent="0.2">
      <c r="A1188" s="273">
        <v>2025</v>
      </c>
      <c r="B1188" s="274" t="s">
        <v>1446</v>
      </c>
      <c r="C1188" s="274" t="s">
        <v>1734</v>
      </c>
      <c r="D1188" s="208" t="s">
        <v>1735</v>
      </c>
      <c r="E1188" s="208" t="s">
        <v>1765</v>
      </c>
      <c r="F1188" s="208" t="s">
        <v>27</v>
      </c>
      <c r="G1188" s="208" t="s">
        <v>40</v>
      </c>
      <c r="H1188" s="275">
        <v>212.73</v>
      </c>
    </row>
    <row r="1189" spans="1:8" ht="12.75" customHeight="1" x14ac:dyDescent="0.2">
      <c r="A1189" s="273">
        <v>2025</v>
      </c>
      <c r="B1189" s="274" t="s">
        <v>1446</v>
      </c>
      <c r="C1189" s="274" t="s">
        <v>1734</v>
      </c>
      <c r="D1189" s="208" t="s">
        <v>1735</v>
      </c>
      <c r="E1189" s="208" t="s">
        <v>1765</v>
      </c>
      <c r="F1189" s="208" t="s">
        <v>27</v>
      </c>
      <c r="G1189" s="208" t="s">
        <v>40</v>
      </c>
      <c r="H1189" s="275">
        <v>81.67</v>
      </c>
    </row>
    <row r="1190" spans="1:8" ht="12.75" customHeight="1" x14ac:dyDescent="0.2">
      <c r="A1190" s="273">
        <v>2025</v>
      </c>
      <c r="B1190" s="274" t="s">
        <v>819</v>
      </c>
      <c r="C1190" s="274" t="s">
        <v>1727</v>
      </c>
      <c r="D1190" s="208" t="s">
        <v>1728</v>
      </c>
      <c r="E1190" s="208" t="s">
        <v>1766</v>
      </c>
      <c r="F1190" s="208" t="s">
        <v>27</v>
      </c>
      <c r="G1190" s="208" t="s">
        <v>40</v>
      </c>
      <c r="H1190" s="275">
        <v>46.3</v>
      </c>
    </row>
    <row r="1191" spans="1:8" ht="12.75" customHeight="1" x14ac:dyDescent="0.2">
      <c r="A1191" s="273">
        <v>2025</v>
      </c>
      <c r="B1191" s="274" t="s">
        <v>819</v>
      </c>
      <c r="C1191" s="274" t="s">
        <v>1734</v>
      </c>
      <c r="D1191" s="208" t="s">
        <v>1735</v>
      </c>
      <c r="E1191" s="208" t="s">
        <v>1767</v>
      </c>
      <c r="F1191" s="208" t="s">
        <v>27</v>
      </c>
      <c r="G1191" s="208" t="s">
        <v>40</v>
      </c>
      <c r="H1191" s="275">
        <v>17.7</v>
      </c>
    </row>
    <row r="1192" spans="1:8" ht="12.75" customHeight="1" x14ac:dyDescent="0.2">
      <c r="A1192" s="273">
        <v>2025</v>
      </c>
      <c r="B1192" s="274" t="s">
        <v>1632</v>
      </c>
      <c r="C1192" s="274" t="s">
        <v>1734</v>
      </c>
      <c r="D1192" s="208" t="s">
        <v>1735</v>
      </c>
      <c r="E1192" s="208" t="s">
        <v>1768</v>
      </c>
      <c r="F1192" s="208" t="s">
        <v>27</v>
      </c>
      <c r="G1192" s="208" t="s">
        <v>40</v>
      </c>
      <c r="H1192" s="275">
        <v>51.6</v>
      </c>
    </row>
    <row r="1193" spans="1:8" ht="12.75" customHeight="1" x14ac:dyDescent="0.2">
      <c r="A1193" s="273">
        <v>2025</v>
      </c>
      <c r="B1193" s="274" t="s">
        <v>1632</v>
      </c>
      <c r="C1193" s="274" t="s">
        <v>1734</v>
      </c>
      <c r="D1193" s="208" t="s">
        <v>1735</v>
      </c>
      <c r="E1193" s="208" t="s">
        <v>1769</v>
      </c>
      <c r="F1193" s="208" t="s">
        <v>27</v>
      </c>
      <c r="G1193" s="208" t="s">
        <v>40</v>
      </c>
      <c r="H1193" s="275">
        <v>41.32</v>
      </c>
    </row>
    <row r="1194" spans="1:8" ht="12.75" customHeight="1" x14ac:dyDescent="0.2">
      <c r="A1194" s="273">
        <v>2025</v>
      </c>
      <c r="B1194" s="274" t="s">
        <v>821</v>
      </c>
      <c r="C1194" s="274" t="s">
        <v>1741</v>
      </c>
      <c r="D1194" s="208" t="s">
        <v>1742</v>
      </c>
      <c r="E1194" s="208" t="s">
        <v>1742</v>
      </c>
      <c r="F1194" s="208" t="s">
        <v>27</v>
      </c>
      <c r="G1194" s="208" t="s">
        <v>40</v>
      </c>
      <c r="H1194" s="275">
        <v>101.09</v>
      </c>
    </row>
    <row r="1195" spans="1:8" ht="12.75" customHeight="1" x14ac:dyDescent="0.2">
      <c r="A1195" s="273">
        <v>2025</v>
      </c>
      <c r="B1195" s="274" t="s">
        <v>821</v>
      </c>
      <c r="C1195" s="274" t="s">
        <v>1745</v>
      </c>
      <c r="D1195" s="208" t="s">
        <v>1746</v>
      </c>
      <c r="E1195" s="208" t="s">
        <v>1746</v>
      </c>
      <c r="F1195" s="208" t="s">
        <v>27</v>
      </c>
      <c r="G1195" s="208" t="s">
        <v>40</v>
      </c>
      <c r="H1195" s="275">
        <v>54.37</v>
      </c>
    </row>
    <row r="1196" spans="1:8" ht="12.75" customHeight="1" x14ac:dyDescent="0.2">
      <c r="A1196" s="273">
        <v>2025</v>
      </c>
      <c r="B1196" s="274" t="s">
        <v>821</v>
      </c>
      <c r="C1196" s="274" t="s">
        <v>1730</v>
      </c>
      <c r="D1196" s="208" t="s">
        <v>1731</v>
      </c>
      <c r="E1196" s="208" t="s">
        <v>1770</v>
      </c>
      <c r="F1196" s="208" t="s">
        <v>27</v>
      </c>
      <c r="G1196" s="208" t="s">
        <v>40</v>
      </c>
      <c r="H1196" s="275">
        <v>711.44</v>
      </c>
    </row>
    <row r="1197" spans="1:8" ht="12.75" customHeight="1" x14ac:dyDescent="0.2">
      <c r="A1197" s="273">
        <v>2025</v>
      </c>
      <c r="B1197" s="274" t="s">
        <v>821</v>
      </c>
      <c r="C1197" s="274" t="s">
        <v>1734</v>
      </c>
      <c r="D1197" s="208" t="s">
        <v>1735</v>
      </c>
      <c r="E1197" s="208" t="s">
        <v>1771</v>
      </c>
      <c r="F1197" s="208" t="s">
        <v>27</v>
      </c>
      <c r="G1197" s="208" t="s">
        <v>40</v>
      </c>
      <c r="H1197" s="275">
        <v>57.95</v>
      </c>
    </row>
    <row r="1198" spans="1:8" ht="12.75" customHeight="1" x14ac:dyDescent="0.2">
      <c r="A1198" s="273">
        <v>2025</v>
      </c>
      <c r="B1198" s="274" t="s">
        <v>456</v>
      </c>
      <c r="C1198" s="274" t="s">
        <v>1723</v>
      </c>
      <c r="D1198" s="208" t="s">
        <v>1724</v>
      </c>
      <c r="E1198" s="208" t="s">
        <v>1772</v>
      </c>
      <c r="F1198" s="208" t="s">
        <v>27</v>
      </c>
      <c r="G1198" s="208" t="s">
        <v>40</v>
      </c>
      <c r="H1198" s="275">
        <v>157.03</v>
      </c>
    </row>
    <row r="1199" spans="1:8" ht="12.75" customHeight="1" x14ac:dyDescent="0.2">
      <c r="A1199" s="273">
        <v>2025</v>
      </c>
      <c r="B1199" s="274" t="s">
        <v>877</v>
      </c>
      <c r="C1199" s="274" t="s">
        <v>1734</v>
      </c>
      <c r="D1199" s="208" t="s">
        <v>1735</v>
      </c>
      <c r="E1199" s="208" t="s">
        <v>1773</v>
      </c>
      <c r="F1199" s="208" t="s">
        <v>27</v>
      </c>
      <c r="G1199" s="208" t="s">
        <v>40</v>
      </c>
      <c r="H1199" s="275">
        <v>58.27</v>
      </c>
    </row>
    <row r="1200" spans="1:8" ht="12.75" customHeight="1" x14ac:dyDescent="0.2">
      <c r="A1200" s="273">
        <v>2025</v>
      </c>
      <c r="B1200" s="274" t="s">
        <v>877</v>
      </c>
      <c r="C1200" s="274" t="s">
        <v>1734</v>
      </c>
      <c r="D1200" s="208" t="s">
        <v>1735</v>
      </c>
      <c r="E1200" s="208" t="s">
        <v>1774</v>
      </c>
      <c r="F1200" s="208" t="s">
        <v>27</v>
      </c>
      <c r="G1200" s="208" t="s">
        <v>40</v>
      </c>
      <c r="H1200" s="275">
        <v>47.3</v>
      </c>
    </row>
    <row r="1201" spans="1:8" ht="12.75" customHeight="1" x14ac:dyDescent="0.2">
      <c r="A1201" s="273">
        <v>2025</v>
      </c>
      <c r="B1201" s="274" t="s">
        <v>1241</v>
      </c>
      <c r="C1201" s="274" t="s">
        <v>1734</v>
      </c>
      <c r="D1201" s="208" t="s">
        <v>1735</v>
      </c>
      <c r="E1201" s="208" t="s">
        <v>1775</v>
      </c>
      <c r="F1201" s="208" t="s">
        <v>27</v>
      </c>
      <c r="G1201" s="208" t="s">
        <v>40</v>
      </c>
      <c r="H1201" s="275">
        <v>10.83</v>
      </c>
    </row>
    <row r="1202" spans="1:8" ht="12.75" customHeight="1" x14ac:dyDescent="0.2">
      <c r="A1202" s="273">
        <v>2025</v>
      </c>
      <c r="B1202" s="274" t="s">
        <v>1241</v>
      </c>
      <c r="C1202" s="274" t="s">
        <v>1734</v>
      </c>
      <c r="D1202" s="208" t="s">
        <v>1735</v>
      </c>
      <c r="E1202" s="208" t="s">
        <v>1775</v>
      </c>
      <c r="F1202" s="208" t="s">
        <v>27</v>
      </c>
      <c r="G1202" s="208" t="s">
        <v>40</v>
      </c>
      <c r="H1202" s="275">
        <v>111.28</v>
      </c>
    </row>
    <row r="1203" spans="1:8" ht="12.75" customHeight="1" x14ac:dyDescent="0.2">
      <c r="A1203" s="273">
        <v>2025</v>
      </c>
      <c r="B1203" s="274" t="s">
        <v>675</v>
      </c>
      <c r="C1203" s="274" t="s">
        <v>1741</v>
      </c>
      <c r="D1203" s="208" t="s">
        <v>1742</v>
      </c>
      <c r="E1203" s="208" t="s">
        <v>1776</v>
      </c>
      <c r="F1203" s="208" t="s">
        <v>27</v>
      </c>
      <c r="G1203" s="208" t="s">
        <v>40</v>
      </c>
      <c r="H1203" s="275">
        <v>76.260000000000005</v>
      </c>
    </row>
    <row r="1204" spans="1:8" ht="12.75" customHeight="1" x14ac:dyDescent="0.2">
      <c r="A1204" s="273">
        <v>2025</v>
      </c>
      <c r="B1204" s="274" t="s">
        <v>1777</v>
      </c>
      <c r="C1204" s="274" t="s">
        <v>1745</v>
      </c>
      <c r="D1204" s="208" t="s">
        <v>1746</v>
      </c>
      <c r="E1204" s="208" t="s">
        <v>1778</v>
      </c>
      <c r="F1204" s="208" t="s">
        <v>27</v>
      </c>
      <c r="G1204" s="208" t="s">
        <v>40</v>
      </c>
      <c r="H1204" s="275">
        <v>99.58</v>
      </c>
    </row>
    <row r="1205" spans="1:8" ht="12.75" customHeight="1" x14ac:dyDescent="0.2">
      <c r="A1205" s="273">
        <v>2025</v>
      </c>
      <c r="B1205" s="274" t="s">
        <v>1779</v>
      </c>
      <c r="C1205" s="274" t="s">
        <v>1734</v>
      </c>
      <c r="D1205" s="208" t="s">
        <v>1735</v>
      </c>
      <c r="E1205" s="208" t="s">
        <v>1780</v>
      </c>
      <c r="F1205" s="208" t="s">
        <v>27</v>
      </c>
      <c r="G1205" s="208" t="s">
        <v>40</v>
      </c>
      <c r="H1205" s="275">
        <v>29.54</v>
      </c>
    </row>
    <row r="1206" spans="1:8" ht="12.75" customHeight="1" x14ac:dyDescent="0.2">
      <c r="A1206" s="273">
        <v>2025</v>
      </c>
      <c r="B1206" s="274" t="s">
        <v>459</v>
      </c>
      <c r="C1206" s="274" t="s">
        <v>1727</v>
      </c>
      <c r="D1206" s="208" t="s">
        <v>1728</v>
      </c>
      <c r="E1206" s="208" t="s">
        <v>1781</v>
      </c>
      <c r="F1206" s="208" t="s">
        <v>27</v>
      </c>
      <c r="G1206" s="208" t="s">
        <v>40</v>
      </c>
      <c r="H1206" s="275">
        <v>19.45</v>
      </c>
    </row>
    <row r="1207" spans="1:8" ht="12.75" customHeight="1" x14ac:dyDescent="0.2">
      <c r="A1207" s="273">
        <v>2025</v>
      </c>
      <c r="B1207" s="274" t="s">
        <v>1782</v>
      </c>
      <c r="C1207" s="274" t="s">
        <v>1734</v>
      </c>
      <c r="D1207" s="208" t="s">
        <v>1735</v>
      </c>
      <c r="E1207" s="208" t="s">
        <v>1783</v>
      </c>
      <c r="F1207" s="208" t="s">
        <v>27</v>
      </c>
      <c r="G1207" s="208" t="s">
        <v>40</v>
      </c>
      <c r="H1207" s="275">
        <v>150.38999999999999</v>
      </c>
    </row>
    <row r="1208" spans="1:8" ht="12.75" customHeight="1" x14ac:dyDescent="0.2">
      <c r="A1208" s="273">
        <v>2025</v>
      </c>
      <c r="B1208" s="274" t="s">
        <v>880</v>
      </c>
      <c r="C1208" s="274" t="s">
        <v>1730</v>
      </c>
      <c r="D1208" s="208" t="s">
        <v>1731</v>
      </c>
      <c r="E1208" s="208" t="s">
        <v>1784</v>
      </c>
      <c r="F1208" s="208" t="s">
        <v>27</v>
      </c>
      <c r="G1208" s="208" t="s">
        <v>40</v>
      </c>
      <c r="H1208" s="275">
        <v>934.45</v>
      </c>
    </row>
    <row r="1209" spans="1:8" ht="12.75" customHeight="1" x14ac:dyDescent="0.2">
      <c r="A1209" s="273">
        <v>2025</v>
      </c>
      <c r="B1209" s="274" t="s">
        <v>880</v>
      </c>
      <c r="C1209" s="274" t="s">
        <v>1734</v>
      </c>
      <c r="D1209" s="208" t="s">
        <v>1735</v>
      </c>
      <c r="E1209" s="208" t="s">
        <v>1785</v>
      </c>
      <c r="F1209" s="208" t="s">
        <v>27</v>
      </c>
      <c r="G1209" s="208" t="s">
        <v>40</v>
      </c>
      <c r="H1209" s="275">
        <v>61.25</v>
      </c>
    </row>
    <row r="1210" spans="1:8" ht="12.75" customHeight="1" x14ac:dyDescent="0.2">
      <c r="A1210" s="273">
        <v>2025</v>
      </c>
      <c r="B1210" s="274" t="s">
        <v>461</v>
      </c>
      <c r="C1210" s="274" t="s">
        <v>1741</v>
      </c>
      <c r="D1210" s="208" t="s">
        <v>1742</v>
      </c>
      <c r="E1210" s="208" t="s">
        <v>1786</v>
      </c>
      <c r="F1210" s="208" t="s">
        <v>27</v>
      </c>
      <c r="G1210" s="208" t="s">
        <v>40</v>
      </c>
      <c r="H1210" s="275">
        <v>29.17</v>
      </c>
    </row>
    <row r="1211" spans="1:8" ht="12.75" customHeight="1" x14ac:dyDescent="0.2">
      <c r="A1211" s="273">
        <v>2025</v>
      </c>
      <c r="B1211" s="274" t="s">
        <v>461</v>
      </c>
      <c r="C1211" s="274" t="s">
        <v>1723</v>
      </c>
      <c r="D1211" s="208" t="s">
        <v>1724</v>
      </c>
      <c r="E1211" s="208" t="s">
        <v>1787</v>
      </c>
      <c r="F1211" s="208" t="s">
        <v>27</v>
      </c>
      <c r="G1211" s="208" t="s">
        <v>40</v>
      </c>
      <c r="H1211" s="275">
        <v>31.28</v>
      </c>
    </row>
    <row r="1212" spans="1:8" ht="12.75" customHeight="1" x14ac:dyDescent="0.2">
      <c r="A1212" s="273">
        <v>2025</v>
      </c>
      <c r="B1212" s="274" t="s">
        <v>884</v>
      </c>
      <c r="C1212" s="274" t="s">
        <v>1734</v>
      </c>
      <c r="D1212" s="208" t="s">
        <v>1735</v>
      </c>
      <c r="E1212" s="208" t="s">
        <v>1788</v>
      </c>
      <c r="F1212" s="208" t="s">
        <v>27</v>
      </c>
      <c r="G1212" s="208" t="s">
        <v>40</v>
      </c>
      <c r="H1212" s="275">
        <v>36.86</v>
      </c>
    </row>
    <row r="1213" spans="1:8" ht="12.75" customHeight="1" x14ac:dyDescent="0.2">
      <c r="A1213" s="273">
        <v>2025</v>
      </c>
      <c r="B1213" s="274" t="s">
        <v>1244</v>
      </c>
      <c r="C1213" s="274" t="s">
        <v>1741</v>
      </c>
      <c r="D1213" s="208" t="s">
        <v>1742</v>
      </c>
      <c r="E1213" s="208" t="s">
        <v>1789</v>
      </c>
      <c r="F1213" s="208" t="s">
        <v>27</v>
      </c>
      <c r="G1213" s="208" t="s">
        <v>40</v>
      </c>
      <c r="H1213" s="275">
        <v>70.84</v>
      </c>
    </row>
    <row r="1214" spans="1:8" ht="12.75" customHeight="1" x14ac:dyDescent="0.2">
      <c r="A1214" s="273">
        <v>2025</v>
      </c>
      <c r="B1214" s="274" t="s">
        <v>462</v>
      </c>
      <c r="C1214" s="274" t="s">
        <v>1730</v>
      </c>
      <c r="D1214" s="208" t="s">
        <v>1731</v>
      </c>
      <c r="E1214" s="208" t="s">
        <v>1790</v>
      </c>
      <c r="F1214" s="208" t="s">
        <v>27</v>
      </c>
      <c r="G1214" s="208" t="s">
        <v>40</v>
      </c>
      <c r="H1214" s="275">
        <v>367.2</v>
      </c>
    </row>
    <row r="1215" spans="1:8" ht="12.75" customHeight="1" x14ac:dyDescent="0.2">
      <c r="A1215" s="273">
        <v>2025</v>
      </c>
      <c r="B1215" s="274" t="s">
        <v>685</v>
      </c>
      <c r="C1215" s="274" t="s">
        <v>1730</v>
      </c>
      <c r="D1215" s="208" t="s">
        <v>1731</v>
      </c>
      <c r="E1215" s="208" t="s">
        <v>1791</v>
      </c>
      <c r="F1215" s="208" t="s">
        <v>27</v>
      </c>
      <c r="G1215" s="208" t="s">
        <v>40</v>
      </c>
      <c r="H1215" s="275">
        <v>1667.1</v>
      </c>
    </row>
    <row r="1216" spans="1:8" ht="12.75" customHeight="1" x14ac:dyDescent="0.2">
      <c r="A1216" s="273">
        <v>2025</v>
      </c>
      <c r="B1216" s="274" t="s">
        <v>685</v>
      </c>
      <c r="C1216" s="274" t="s">
        <v>1723</v>
      </c>
      <c r="D1216" s="208" t="s">
        <v>1724</v>
      </c>
      <c r="E1216" s="208" t="s">
        <v>1792</v>
      </c>
      <c r="F1216" s="208" t="s">
        <v>27</v>
      </c>
      <c r="G1216" s="208" t="s">
        <v>40</v>
      </c>
      <c r="H1216" s="275">
        <v>60.83</v>
      </c>
    </row>
    <row r="1217" spans="1:8" ht="12.75" customHeight="1" x14ac:dyDescent="0.2">
      <c r="A1217" s="273">
        <v>2025</v>
      </c>
      <c r="B1217" s="274" t="s">
        <v>1646</v>
      </c>
      <c r="C1217" s="274" t="s">
        <v>1734</v>
      </c>
      <c r="D1217" s="208" t="s">
        <v>1735</v>
      </c>
      <c r="E1217" s="208" t="s">
        <v>1793</v>
      </c>
      <c r="F1217" s="208" t="s">
        <v>27</v>
      </c>
      <c r="G1217" s="208" t="s">
        <v>40</v>
      </c>
      <c r="H1217" s="275">
        <v>2.99</v>
      </c>
    </row>
    <row r="1218" spans="1:8" ht="12.75" customHeight="1" x14ac:dyDescent="0.2">
      <c r="A1218" s="273">
        <v>2025</v>
      </c>
      <c r="B1218" s="274" t="s">
        <v>464</v>
      </c>
      <c r="C1218" s="274" t="s">
        <v>1734</v>
      </c>
      <c r="D1218" s="208" t="s">
        <v>1735</v>
      </c>
      <c r="E1218" s="208" t="s">
        <v>1794</v>
      </c>
      <c r="F1218" s="208" t="s">
        <v>27</v>
      </c>
      <c r="G1218" s="208" t="s">
        <v>40</v>
      </c>
      <c r="H1218" s="275">
        <v>517.45000000000005</v>
      </c>
    </row>
    <row r="1219" spans="1:8" ht="12.75" customHeight="1" x14ac:dyDescent="0.2">
      <c r="A1219" s="273">
        <v>2025</v>
      </c>
      <c r="B1219" s="274" t="s">
        <v>1476</v>
      </c>
      <c r="C1219" s="274" t="s">
        <v>1727</v>
      </c>
      <c r="D1219" s="208" t="s">
        <v>1728</v>
      </c>
      <c r="E1219" s="208" t="s">
        <v>1795</v>
      </c>
      <c r="F1219" s="208" t="s">
        <v>27</v>
      </c>
      <c r="G1219" s="208" t="s">
        <v>40</v>
      </c>
      <c r="H1219" s="275">
        <v>21.82</v>
      </c>
    </row>
    <row r="1220" spans="1:8" ht="12.75" customHeight="1" x14ac:dyDescent="0.2">
      <c r="A1220" s="273">
        <v>2025</v>
      </c>
      <c r="B1220" s="274" t="s">
        <v>1796</v>
      </c>
      <c r="C1220" s="274" t="s">
        <v>1745</v>
      </c>
      <c r="D1220" s="208" t="s">
        <v>1746</v>
      </c>
      <c r="E1220" s="208" t="s">
        <v>1797</v>
      </c>
      <c r="F1220" s="208" t="s">
        <v>27</v>
      </c>
      <c r="G1220" s="208" t="s">
        <v>40</v>
      </c>
      <c r="H1220" s="275">
        <v>51.26</v>
      </c>
    </row>
    <row r="1221" spans="1:8" ht="12.75" customHeight="1" x14ac:dyDescent="0.2">
      <c r="A1221" s="273">
        <v>2025</v>
      </c>
      <c r="B1221" s="274" t="s">
        <v>1796</v>
      </c>
      <c r="C1221" s="274" t="s">
        <v>1734</v>
      </c>
      <c r="D1221" s="208" t="s">
        <v>1735</v>
      </c>
      <c r="E1221" s="208" t="s">
        <v>1798</v>
      </c>
      <c r="F1221" s="208" t="s">
        <v>27</v>
      </c>
      <c r="G1221" s="208" t="s">
        <v>40</v>
      </c>
      <c r="H1221" s="275">
        <v>9.86</v>
      </c>
    </row>
    <row r="1222" spans="1:8" ht="12.75" customHeight="1" x14ac:dyDescent="0.2">
      <c r="A1222" s="273">
        <v>2025</v>
      </c>
      <c r="B1222" s="274" t="s">
        <v>1796</v>
      </c>
      <c r="C1222" s="274" t="s">
        <v>1734</v>
      </c>
      <c r="D1222" s="208" t="s">
        <v>1735</v>
      </c>
      <c r="E1222" s="208" t="s">
        <v>1798</v>
      </c>
      <c r="F1222" s="208" t="s">
        <v>27</v>
      </c>
      <c r="G1222" s="208" t="s">
        <v>40</v>
      </c>
      <c r="H1222" s="275">
        <v>14.94</v>
      </c>
    </row>
    <row r="1223" spans="1:8" ht="12.75" customHeight="1" x14ac:dyDescent="0.2">
      <c r="A1223" s="273">
        <v>2025</v>
      </c>
      <c r="B1223" s="274" t="s">
        <v>1796</v>
      </c>
      <c r="C1223" s="274" t="s">
        <v>1734</v>
      </c>
      <c r="D1223" s="208" t="s">
        <v>1735</v>
      </c>
      <c r="E1223" s="208" t="s">
        <v>1799</v>
      </c>
      <c r="F1223" s="208" t="s">
        <v>27</v>
      </c>
      <c r="G1223" s="208" t="s">
        <v>40</v>
      </c>
      <c r="H1223" s="275">
        <v>146.01</v>
      </c>
    </row>
    <row r="1224" spans="1:8" ht="12.75" customHeight="1" x14ac:dyDescent="0.2">
      <c r="A1224" s="273">
        <v>2025</v>
      </c>
      <c r="B1224" s="274" t="s">
        <v>1800</v>
      </c>
      <c r="C1224" s="274" t="s">
        <v>1734</v>
      </c>
      <c r="D1224" s="208" t="s">
        <v>1735</v>
      </c>
      <c r="E1224" s="208" t="s">
        <v>1798</v>
      </c>
      <c r="F1224" s="208" t="s">
        <v>27</v>
      </c>
      <c r="G1224" s="208" t="s">
        <v>40</v>
      </c>
      <c r="H1224" s="275">
        <v>18.09</v>
      </c>
    </row>
    <row r="1225" spans="1:8" ht="12.75" customHeight="1" x14ac:dyDescent="0.2">
      <c r="A1225" s="273">
        <v>2025</v>
      </c>
      <c r="B1225" s="274" t="s">
        <v>1800</v>
      </c>
      <c r="C1225" s="274" t="s">
        <v>1734</v>
      </c>
      <c r="D1225" s="208" t="s">
        <v>1735</v>
      </c>
      <c r="E1225" s="208" t="s">
        <v>1798</v>
      </c>
      <c r="F1225" s="208" t="s">
        <v>27</v>
      </c>
      <c r="G1225" s="208" t="s">
        <v>40</v>
      </c>
      <c r="H1225" s="275">
        <v>20.59</v>
      </c>
    </row>
    <row r="1226" spans="1:8" ht="12.75" customHeight="1" x14ac:dyDescent="0.2">
      <c r="A1226" s="273">
        <v>2025</v>
      </c>
      <c r="B1226" s="274" t="s">
        <v>1801</v>
      </c>
      <c r="C1226" s="274" t="s">
        <v>1734</v>
      </c>
      <c r="D1226" s="208" t="s">
        <v>1735</v>
      </c>
      <c r="E1226" s="208" t="s">
        <v>1802</v>
      </c>
      <c r="F1226" s="208" t="s">
        <v>27</v>
      </c>
      <c r="G1226" s="208" t="s">
        <v>40</v>
      </c>
      <c r="H1226" s="275">
        <v>107.2</v>
      </c>
    </row>
    <row r="1227" spans="1:8" ht="12.75" customHeight="1" x14ac:dyDescent="0.2">
      <c r="A1227" s="273">
        <v>2025</v>
      </c>
      <c r="B1227" s="274" t="s">
        <v>466</v>
      </c>
      <c r="C1227" s="274" t="s">
        <v>1734</v>
      </c>
      <c r="D1227" s="208" t="s">
        <v>1735</v>
      </c>
      <c r="E1227" s="208" t="s">
        <v>1803</v>
      </c>
      <c r="F1227" s="208" t="s">
        <v>27</v>
      </c>
      <c r="G1227" s="208" t="s">
        <v>40</v>
      </c>
      <c r="H1227" s="275">
        <v>7.62</v>
      </c>
    </row>
    <row r="1228" spans="1:8" ht="12.75" customHeight="1" x14ac:dyDescent="0.2">
      <c r="A1228" s="273">
        <v>2025</v>
      </c>
      <c r="B1228" s="274" t="s">
        <v>466</v>
      </c>
      <c r="C1228" s="274" t="s">
        <v>1734</v>
      </c>
      <c r="D1228" s="208" t="s">
        <v>1735</v>
      </c>
      <c r="E1228" s="208" t="s">
        <v>1804</v>
      </c>
      <c r="F1228" s="208" t="s">
        <v>27</v>
      </c>
      <c r="G1228" s="208" t="s">
        <v>40</v>
      </c>
      <c r="H1228" s="275">
        <v>8.5</v>
      </c>
    </row>
    <row r="1229" spans="1:8" ht="12.75" customHeight="1" x14ac:dyDescent="0.2">
      <c r="A1229" s="273">
        <v>2025</v>
      </c>
      <c r="B1229" s="274" t="s">
        <v>466</v>
      </c>
      <c r="C1229" s="274" t="s">
        <v>1734</v>
      </c>
      <c r="D1229" s="208" t="s">
        <v>1735</v>
      </c>
      <c r="E1229" s="208" t="s">
        <v>1804</v>
      </c>
      <c r="F1229" s="208" t="s">
        <v>27</v>
      </c>
      <c r="G1229" s="208" t="s">
        <v>40</v>
      </c>
      <c r="H1229" s="275">
        <v>44.45</v>
      </c>
    </row>
    <row r="1230" spans="1:8" ht="12.75" customHeight="1" x14ac:dyDescent="0.2">
      <c r="A1230" s="273">
        <v>2025</v>
      </c>
      <c r="B1230" s="274" t="s">
        <v>1648</v>
      </c>
      <c r="C1230" s="274" t="s">
        <v>1734</v>
      </c>
      <c r="D1230" s="208" t="s">
        <v>1735</v>
      </c>
      <c r="E1230" s="208" t="s">
        <v>1774</v>
      </c>
      <c r="F1230" s="208" t="s">
        <v>27</v>
      </c>
      <c r="G1230" s="208" t="s">
        <v>40</v>
      </c>
      <c r="H1230" s="275">
        <v>44.1</v>
      </c>
    </row>
    <row r="1231" spans="1:8" ht="12.75" customHeight="1" x14ac:dyDescent="0.2">
      <c r="A1231" s="273">
        <v>2025</v>
      </c>
      <c r="B1231" s="274" t="s">
        <v>828</v>
      </c>
      <c r="C1231" s="274" t="s">
        <v>1727</v>
      </c>
      <c r="D1231" s="208" t="s">
        <v>1728</v>
      </c>
      <c r="E1231" s="208" t="s">
        <v>1805</v>
      </c>
      <c r="F1231" s="208" t="s">
        <v>27</v>
      </c>
      <c r="G1231" s="208" t="s">
        <v>40</v>
      </c>
      <c r="H1231" s="275">
        <v>8.1199999999999992</v>
      </c>
    </row>
    <row r="1232" spans="1:8" ht="12.75" customHeight="1" x14ac:dyDescent="0.2">
      <c r="A1232" s="273">
        <v>2025</v>
      </c>
      <c r="B1232" s="274" t="s">
        <v>828</v>
      </c>
      <c r="C1232" s="274" t="s">
        <v>1727</v>
      </c>
      <c r="D1232" s="208" t="s">
        <v>1728</v>
      </c>
      <c r="E1232" s="208" t="s">
        <v>1805</v>
      </c>
      <c r="F1232" s="208" t="s">
        <v>27</v>
      </c>
      <c r="G1232" s="208" t="s">
        <v>40</v>
      </c>
      <c r="H1232" s="275">
        <v>16.63</v>
      </c>
    </row>
    <row r="1233" spans="1:8" ht="12.75" customHeight="1" x14ac:dyDescent="0.2">
      <c r="A1233" s="273">
        <v>2025</v>
      </c>
      <c r="B1233" s="274" t="s">
        <v>828</v>
      </c>
      <c r="C1233" s="274" t="s">
        <v>1734</v>
      </c>
      <c r="D1233" s="208" t="s">
        <v>1735</v>
      </c>
      <c r="E1233" s="208" t="s">
        <v>1774</v>
      </c>
      <c r="F1233" s="208" t="s">
        <v>27</v>
      </c>
      <c r="G1233" s="208" t="s">
        <v>40</v>
      </c>
      <c r="H1233" s="275">
        <v>56.1</v>
      </c>
    </row>
    <row r="1234" spans="1:8" ht="12.75" customHeight="1" x14ac:dyDescent="0.2">
      <c r="A1234" s="273">
        <v>2025</v>
      </c>
      <c r="B1234" s="274" t="s">
        <v>1806</v>
      </c>
      <c r="C1234" s="274" t="s">
        <v>1741</v>
      </c>
      <c r="D1234" s="208" t="s">
        <v>1742</v>
      </c>
      <c r="E1234" s="208" t="s">
        <v>1807</v>
      </c>
      <c r="F1234" s="208" t="s">
        <v>27</v>
      </c>
      <c r="G1234" s="208" t="s">
        <v>40</v>
      </c>
      <c r="H1234" s="275">
        <v>20.84</v>
      </c>
    </row>
    <row r="1235" spans="1:8" ht="12.75" customHeight="1" x14ac:dyDescent="0.2">
      <c r="A1235" s="273">
        <v>2025</v>
      </c>
      <c r="B1235" s="274" t="s">
        <v>1806</v>
      </c>
      <c r="C1235" s="274" t="s">
        <v>1730</v>
      </c>
      <c r="D1235" s="208" t="s">
        <v>1731</v>
      </c>
      <c r="E1235" s="208" t="s">
        <v>1808</v>
      </c>
      <c r="F1235" s="208" t="s">
        <v>27</v>
      </c>
      <c r="G1235" s="208" t="s">
        <v>40</v>
      </c>
      <c r="H1235" s="275">
        <v>28.05</v>
      </c>
    </row>
    <row r="1236" spans="1:8" ht="12.75" customHeight="1" x14ac:dyDescent="0.2">
      <c r="A1236" s="273">
        <v>2025</v>
      </c>
      <c r="B1236" s="274" t="s">
        <v>1649</v>
      </c>
      <c r="C1236" s="274" t="s">
        <v>1734</v>
      </c>
      <c r="D1236" s="208" t="s">
        <v>1735</v>
      </c>
      <c r="E1236" s="208" t="s">
        <v>1788</v>
      </c>
      <c r="F1236" s="208" t="s">
        <v>27</v>
      </c>
      <c r="G1236" s="208" t="s">
        <v>40</v>
      </c>
      <c r="H1236" s="275">
        <v>34.950000000000003</v>
      </c>
    </row>
    <row r="1237" spans="1:8" ht="12.75" customHeight="1" x14ac:dyDescent="0.2">
      <c r="A1237" s="273">
        <v>2025</v>
      </c>
      <c r="B1237" s="274" t="s">
        <v>1809</v>
      </c>
      <c r="C1237" s="274" t="s">
        <v>1730</v>
      </c>
      <c r="D1237" s="208" t="s">
        <v>1731</v>
      </c>
      <c r="E1237" s="208" t="s">
        <v>1810</v>
      </c>
      <c r="F1237" s="208" t="s">
        <v>27</v>
      </c>
      <c r="G1237" s="208" t="s">
        <v>40</v>
      </c>
      <c r="H1237" s="275">
        <v>49.25</v>
      </c>
    </row>
    <row r="1238" spans="1:8" ht="12.75" customHeight="1" x14ac:dyDescent="0.2">
      <c r="A1238" s="273">
        <v>2025</v>
      </c>
      <c r="B1238" s="274" t="s">
        <v>1809</v>
      </c>
      <c r="C1238" s="274" t="s">
        <v>1730</v>
      </c>
      <c r="D1238" s="208" t="s">
        <v>1731</v>
      </c>
      <c r="E1238" s="208" t="s">
        <v>1811</v>
      </c>
      <c r="F1238" s="208" t="s">
        <v>27</v>
      </c>
      <c r="G1238" s="208" t="s">
        <v>40</v>
      </c>
      <c r="H1238" s="275">
        <v>125.1</v>
      </c>
    </row>
    <row r="1239" spans="1:8" ht="12.75" customHeight="1" x14ac:dyDescent="0.2">
      <c r="A1239" s="273">
        <v>2025</v>
      </c>
      <c r="B1239" s="274" t="s">
        <v>468</v>
      </c>
      <c r="C1239" s="274" t="s">
        <v>1741</v>
      </c>
      <c r="D1239" s="208" t="s">
        <v>1742</v>
      </c>
      <c r="E1239" s="208" t="s">
        <v>1797</v>
      </c>
      <c r="F1239" s="208" t="s">
        <v>27</v>
      </c>
      <c r="G1239" s="208" t="s">
        <v>40</v>
      </c>
      <c r="H1239" s="275">
        <v>87.3</v>
      </c>
    </row>
    <row r="1240" spans="1:8" ht="12.75" customHeight="1" x14ac:dyDescent="0.2">
      <c r="A1240" s="273">
        <v>2025</v>
      </c>
      <c r="B1240" s="274" t="s">
        <v>468</v>
      </c>
      <c r="C1240" s="274" t="s">
        <v>1745</v>
      </c>
      <c r="D1240" s="208" t="s">
        <v>1746</v>
      </c>
      <c r="E1240" s="208" t="s">
        <v>1797</v>
      </c>
      <c r="F1240" s="208" t="s">
        <v>27</v>
      </c>
      <c r="G1240" s="208" t="s">
        <v>40</v>
      </c>
      <c r="H1240" s="275">
        <v>48.89</v>
      </c>
    </row>
    <row r="1241" spans="1:8" ht="12.75" customHeight="1" x14ac:dyDescent="0.2">
      <c r="A1241" s="273">
        <v>2025</v>
      </c>
      <c r="B1241" s="274" t="s">
        <v>468</v>
      </c>
      <c r="C1241" s="274" t="s">
        <v>1750</v>
      </c>
      <c r="D1241" s="208" t="s">
        <v>1751</v>
      </c>
      <c r="E1241" s="208" t="s">
        <v>469</v>
      </c>
      <c r="F1241" s="208" t="s">
        <v>27</v>
      </c>
      <c r="G1241" s="208" t="s">
        <v>40</v>
      </c>
      <c r="H1241" s="275">
        <v>44.01</v>
      </c>
    </row>
    <row r="1242" spans="1:8" ht="12.75" customHeight="1" x14ac:dyDescent="0.2">
      <c r="A1242" s="273">
        <v>2025</v>
      </c>
      <c r="B1242" s="274" t="s">
        <v>468</v>
      </c>
      <c r="C1242" s="274" t="s">
        <v>1730</v>
      </c>
      <c r="D1242" s="208" t="s">
        <v>1731</v>
      </c>
      <c r="E1242" s="208" t="s">
        <v>1812</v>
      </c>
      <c r="F1242" s="208" t="s">
        <v>27</v>
      </c>
      <c r="G1242" s="208" t="s">
        <v>40</v>
      </c>
      <c r="H1242" s="275">
        <v>1626.5</v>
      </c>
    </row>
    <row r="1243" spans="1:8" ht="12.75" customHeight="1" x14ac:dyDescent="0.2">
      <c r="A1243" s="273">
        <v>2025</v>
      </c>
      <c r="B1243" s="274" t="s">
        <v>470</v>
      </c>
      <c r="C1243" s="274" t="s">
        <v>1723</v>
      </c>
      <c r="D1243" s="208" t="s">
        <v>1724</v>
      </c>
      <c r="E1243" s="208" t="s">
        <v>1813</v>
      </c>
      <c r="F1243" s="208" t="s">
        <v>27</v>
      </c>
      <c r="G1243" s="208" t="s">
        <v>40</v>
      </c>
      <c r="H1243" s="275">
        <v>141.12</v>
      </c>
    </row>
    <row r="1244" spans="1:8" ht="12.75" customHeight="1" x14ac:dyDescent="0.2">
      <c r="A1244" s="273">
        <v>2025</v>
      </c>
      <c r="B1244" s="274" t="s">
        <v>1814</v>
      </c>
      <c r="C1244" s="274" t="s">
        <v>1730</v>
      </c>
      <c r="D1244" s="208" t="s">
        <v>1731</v>
      </c>
      <c r="E1244" s="208" t="s">
        <v>1815</v>
      </c>
      <c r="F1244" s="208" t="s">
        <v>27</v>
      </c>
      <c r="G1244" s="208" t="s">
        <v>40</v>
      </c>
      <c r="H1244" s="275">
        <v>120.11</v>
      </c>
    </row>
    <row r="1245" spans="1:8" ht="12.75" customHeight="1" x14ac:dyDescent="0.2">
      <c r="A1245" s="273">
        <v>2025</v>
      </c>
      <c r="B1245" s="274" t="s">
        <v>1650</v>
      </c>
      <c r="C1245" s="274" t="s">
        <v>1730</v>
      </c>
      <c r="D1245" s="208" t="s">
        <v>1731</v>
      </c>
      <c r="E1245" s="208" t="s">
        <v>1816</v>
      </c>
      <c r="F1245" s="208" t="s">
        <v>27</v>
      </c>
      <c r="G1245" s="208" t="s">
        <v>40</v>
      </c>
      <c r="H1245" s="275">
        <v>62.28</v>
      </c>
    </row>
    <row r="1246" spans="1:8" ht="12.75" customHeight="1" x14ac:dyDescent="0.2">
      <c r="A1246" s="273">
        <v>2025</v>
      </c>
      <c r="B1246" s="274" t="s">
        <v>1650</v>
      </c>
      <c r="C1246" s="274" t="s">
        <v>1723</v>
      </c>
      <c r="D1246" s="208" t="s">
        <v>1724</v>
      </c>
      <c r="E1246" s="208" t="s">
        <v>1817</v>
      </c>
      <c r="F1246" s="208" t="s">
        <v>27</v>
      </c>
      <c r="G1246" s="208" t="s">
        <v>40</v>
      </c>
      <c r="H1246" s="275">
        <v>18.170000000000002</v>
      </c>
    </row>
    <row r="1247" spans="1:8" ht="12.75" customHeight="1" x14ac:dyDescent="0.2">
      <c r="A1247" s="273">
        <v>2025</v>
      </c>
      <c r="B1247" s="274" t="s">
        <v>696</v>
      </c>
      <c r="C1247" s="274" t="s">
        <v>1730</v>
      </c>
      <c r="D1247" s="208" t="s">
        <v>1731</v>
      </c>
      <c r="E1247" s="208" t="s">
        <v>1818</v>
      </c>
      <c r="F1247" s="208" t="s">
        <v>27</v>
      </c>
      <c r="G1247" s="208" t="s">
        <v>40</v>
      </c>
      <c r="H1247" s="275">
        <v>179.85</v>
      </c>
    </row>
    <row r="1248" spans="1:8" ht="12.75" customHeight="1" x14ac:dyDescent="0.2">
      <c r="A1248" s="273">
        <v>2025</v>
      </c>
      <c r="B1248" s="274" t="s">
        <v>696</v>
      </c>
      <c r="C1248" s="274" t="s">
        <v>1730</v>
      </c>
      <c r="D1248" s="208" t="s">
        <v>1731</v>
      </c>
      <c r="E1248" s="208" t="s">
        <v>1818</v>
      </c>
      <c r="F1248" s="208" t="s">
        <v>27</v>
      </c>
      <c r="G1248" s="208" t="s">
        <v>40</v>
      </c>
      <c r="H1248" s="275">
        <v>39.6</v>
      </c>
    </row>
    <row r="1249" spans="1:8" ht="12.75" customHeight="1" x14ac:dyDescent="0.2">
      <c r="A1249" s="273">
        <v>2025</v>
      </c>
      <c r="B1249" s="274" t="s">
        <v>696</v>
      </c>
      <c r="C1249" s="274" t="s">
        <v>1730</v>
      </c>
      <c r="D1249" s="208" t="s">
        <v>1731</v>
      </c>
      <c r="E1249" s="208" t="s">
        <v>1818</v>
      </c>
      <c r="F1249" s="208" t="s">
        <v>27</v>
      </c>
      <c r="G1249" s="208" t="s">
        <v>40</v>
      </c>
      <c r="H1249" s="275">
        <v>164.2</v>
      </c>
    </row>
    <row r="1250" spans="1:8" ht="12.75" customHeight="1" x14ac:dyDescent="0.2">
      <c r="A1250" s="273">
        <v>2025</v>
      </c>
      <c r="B1250" s="274" t="s">
        <v>1819</v>
      </c>
      <c r="C1250" s="274" t="s">
        <v>1734</v>
      </c>
      <c r="D1250" s="208" t="s">
        <v>1735</v>
      </c>
      <c r="E1250" s="208" t="s">
        <v>1820</v>
      </c>
      <c r="F1250" s="208" t="s">
        <v>27</v>
      </c>
      <c r="G1250" s="208" t="s">
        <v>40</v>
      </c>
      <c r="H1250" s="275">
        <v>28.91</v>
      </c>
    </row>
    <row r="1251" spans="1:8" ht="12.75" customHeight="1" x14ac:dyDescent="0.2">
      <c r="A1251" s="273">
        <v>2025</v>
      </c>
      <c r="B1251" s="274" t="s">
        <v>1819</v>
      </c>
      <c r="C1251" s="274" t="s">
        <v>1734</v>
      </c>
      <c r="D1251" s="208" t="s">
        <v>1735</v>
      </c>
      <c r="E1251" s="208" t="s">
        <v>1820</v>
      </c>
      <c r="F1251" s="208" t="s">
        <v>27</v>
      </c>
      <c r="G1251" s="208" t="s">
        <v>40</v>
      </c>
      <c r="H1251" s="275">
        <v>11.5</v>
      </c>
    </row>
    <row r="1252" spans="1:8" ht="12.75" customHeight="1" x14ac:dyDescent="0.2">
      <c r="A1252" s="273">
        <v>2025</v>
      </c>
      <c r="B1252" s="274" t="s">
        <v>471</v>
      </c>
      <c r="C1252" s="274" t="s">
        <v>1734</v>
      </c>
      <c r="D1252" s="208" t="s">
        <v>1735</v>
      </c>
      <c r="E1252" s="208" t="s">
        <v>1821</v>
      </c>
      <c r="F1252" s="208" t="s">
        <v>27</v>
      </c>
      <c r="G1252" s="208" t="s">
        <v>40</v>
      </c>
      <c r="H1252" s="275">
        <v>66.099999999999994</v>
      </c>
    </row>
    <row r="1253" spans="1:8" ht="12.75" customHeight="1" x14ac:dyDescent="0.2">
      <c r="A1253" s="273">
        <v>2025</v>
      </c>
      <c r="B1253" s="274" t="s">
        <v>1653</v>
      </c>
      <c r="C1253" s="274" t="s">
        <v>1734</v>
      </c>
      <c r="D1253" s="208" t="s">
        <v>1735</v>
      </c>
      <c r="E1253" s="208" t="s">
        <v>1822</v>
      </c>
      <c r="F1253" s="208" t="s">
        <v>27</v>
      </c>
      <c r="G1253" s="208" t="s">
        <v>40</v>
      </c>
      <c r="H1253" s="275">
        <v>7.08</v>
      </c>
    </row>
    <row r="1254" spans="1:8" ht="12.75" customHeight="1" x14ac:dyDescent="0.2">
      <c r="A1254" s="273">
        <v>2025</v>
      </c>
      <c r="B1254" s="274" t="s">
        <v>1653</v>
      </c>
      <c r="C1254" s="274" t="s">
        <v>1734</v>
      </c>
      <c r="D1254" s="208" t="s">
        <v>1735</v>
      </c>
      <c r="E1254" s="208" t="s">
        <v>1822</v>
      </c>
      <c r="F1254" s="208" t="s">
        <v>27</v>
      </c>
      <c r="G1254" s="208" t="s">
        <v>40</v>
      </c>
      <c r="H1254" s="275">
        <v>28.18</v>
      </c>
    </row>
    <row r="1255" spans="1:8" ht="12.75" customHeight="1" x14ac:dyDescent="0.2">
      <c r="A1255" s="273">
        <v>2025</v>
      </c>
      <c r="B1255" s="274" t="s">
        <v>1655</v>
      </c>
      <c r="C1255" s="274" t="s">
        <v>1823</v>
      </c>
      <c r="D1255" s="208" t="s">
        <v>1824</v>
      </c>
      <c r="E1255" s="208" t="s">
        <v>1825</v>
      </c>
      <c r="F1255" s="208" t="s">
        <v>27</v>
      </c>
      <c r="G1255" s="208" t="s">
        <v>40</v>
      </c>
      <c r="H1255" s="275">
        <v>45.86</v>
      </c>
    </row>
    <row r="1256" spans="1:8" ht="12.75" customHeight="1" x14ac:dyDescent="0.2">
      <c r="A1256" s="273">
        <v>2025</v>
      </c>
      <c r="B1256" s="274" t="s">
        <v>1826</v>
      </c>
      <c r="C1256" s="274" t="s">
        <v>1734</v>
      </c>
      <c r="D1256" s="208" t="s">
        <v>1735</v>
      </c>
      <c r="E1256" s="208" t="s">
        <v>1827</v>
      </c>
      <c r="F1256" s="208" t="s">
        <v>27</v>
      </c>
      <c r="G1256" s="208" t="s">
        <v>40</v>
      </c>
      <c r="H1256" s="275">
        <v>14.17</v>
      </c>
    </row>
    <row r="1257" spans="1:8" ht="12.75" customHeight="1" x14ac:dyDescent="0.2">
      <c r="A1257" s="273">
        <v>2025</v>
      </c>
      <c r="B1257" s="274" t="s">
        <v>1826</v>
      </c>
      <c r="C1257" s="274" t="s">
        <v>1734</v>
      </c>
      <c r="D1257" s="208" t="s">
        <v>1735</v>
      </c>
      <c r="E1257" s="208" t="s">
        <v>1827</v>
      </c>
      <c r="F1257" s="208" t="s">
        <v>27</v>
      </c>
      <c r="G1257" s="208" t="s">
        <v>40</v>
      </c>
      <c r="H1257" s="275">
        <v>31.45</v>
      </c>
    </row>
    <row r="1258" spans="1:8" ht="12.75" customHeight="1" x14ac:dyDescent="0.2">
      <c r="A1258" s="273">
        <v>2025</v>
      </c>
      <c r="B1258" s="274" t="s">
        <v>1828</v>
      </c>
      <c r="C1258" s="274" t="s">
        <v>1730</v>
      </c>
      <c r="D1258" s="208" t="s">
        <v>1731</v>
      </c>
      <c r="E1258" s="208" t="s">
        <v>1829</v>
      </c>
      <c r="F1258" s="208" t="s">
        <v>27</v>
      </c>
      <c r="G1258" s="208" t="s">
        <v>40</v>
      </c>
      <c r="H1258" s="275">
        <v>225.56</v>
      </c>
    </row>
    <row r="1259" spans="1:8" ht="12.75" customHeight="1" x14ac:dyDescent="0.2">
      <c r="A1259" s="273">
        <v>2025</v>
      </c>
      <c r="B1259" s="274" t="s">
        <v>1828</v>
      </c>
      <c r="C1259" s="274" t="s">
        <v>1734</v>
      </c>
      <c r="D1259" s="208" t="s">
        <v>1735</v>
      </c>
      <c r="E1259" s="208" t="s">
        <v>1830</v>
      </c>
      <c r="F1259" s="208" t="s">
        <v>27</v>
      </c>
      <c r="G1259" s="208" t="s">
        <v>40</v>
      </c>
      <c r="H1259" s="275">
        <v>7.08</v>
      </c>
    </row>
    <row r="1260" spans="1:8" ht="12.75" customHeight="1" x14ac:dyDescent="0.2">
      <c r="A1260" s="273">
        <v>2025</v>
      </c>
      <c r="B1260" s="274" t="s">
        <v>1828</v>
      </c>
      <c r="C1260" s="274" t="s">
        <v>1734</v>
      </c>
      <c r="D1260" s="208" t="s">
        <v>1735</v>
      </c>
      <c r="E1260" s="208" t="s">
        <v>1830</v>
      </c>
      <c r="F1260" s="208" t="s">
        <v>27</v>
      </c>
      <c r="G1260" s="208" t="s">
        <v>40</v>
      </c>
      <c r="H1260" s="275">
        <v>113.36</v>
      </c>
    </row>
    <row r="1261" spans="1:8" ht="12.75" customHeight="1" x14ac:dyDescent="0.2">
      <c r="A1261" s="273">
        <v>2025</v>
      </c>
      <c r="B1261" s="274" t="s">
        <v>1828</v>
      </c>
      <c r="C1261" s="274" t="s">
        <v>1734</v>
      </c>
      <c r="D1261" s="208" t="s">
        <v>1735</v>
      </c>
      <c r="E1261" s="208" t="s">
        <v>1831</v>
      </c>
      <c r="F1261" s="208" t="s">
        <v>27</v>
      </c>
      <c r="G1261" s="208" t="s">
        <v>40</v>
      </c>
      <c r="H1261" s="275">
        <v>133.19999999999999</v>
      </c>
    </row>
    <row r="1262" spans="1:8" ht="12.75" customHeight="1" x14ac:dyDescent="0.2">
      <c r="A1262" s="273">
        <v>2025</v>
      </c>
      <c r="B1262" s="274" t="s">
        <v>1656</v>
      </c>
      <c r="C1262" s="274" t="s">
        <v>1734</v>
      </c>
      <c r="D1262" s="208" t="s">
        <v>1735</v>
      </c>
      <c r="E1262" s="208" t="s">
        <v>1832</v>
      </c>
      <c r="F1262" s="208" t="s">
        <v>27</v>
      </c>
      <c r="G1262" s="208" t="s">
        <v>40</v>
      </c>
      <c r="H1262" s="275">
        <v>5.83</v>
      </c>
    </row>
    <row r="1263" spans="1:8" ht="12.75" customHeight="1" x14ac:dyDescent="0.2">
      <c r="A1263" s="273">
        <v>2025</v>
      </c>
      <c r="B1263" s="274" t="s">
        <v>1656</v>
      </c>
      <c r="C1263" s="274" t="s">
        <v>1734</v>
      </c>
      <c r="D1263" s="208" t="s">
        <v>1735</v>
      </c>
      <c r="E1263" s="208" t="s">
        <v>1832</v>
      </c>
      <c r="F1263" s="208" t="s">
        <v>27</v>
      </c>
      <c r="G1263" s="208" t="s">
        <v>40</v>
      </c>
      <c r="H1263" s="275">
        <v>27.09</v>
      </c>
    </row>
    <row r="1264" spans="1:8" ht="12.75" customHeight="1" x14ac:dyDescent="0.2">
      <c r="A1264" s="273">
        <v>2025</v>
      </c>
      <c r="B1264" s="274" t="s">
        <v>702</v>
      </c>
      <c r="C1264" s="274" t="s">
        <v>1734</v>
      </c>
      <c r="D1264" s="208" t="s">
        <v>1735</v>
      </c>
      <c r="E1264" s="208" t="s">
        <v>1833</v>
      </c>
      <c r="F1264" s="208" t="s">
        <v>27</v>
      </c>
      <c r="G1264" s="208" t="s">
        <v>40</v>
      </c>
      <c r="H1264" s="275">
        <v>20</v>
      </c>
    </row>
    <row r="1265" spans="1:8" ht="12.75" customHeight="1" x14ac:dyDescent="0.2">
      <c r="A1265" s="273">
        <v>2025</v>
      </c>
      <c r="B1265" s="274" t="s">
        <v>702</v>
      </c>
      <c r="C1265" s="274" t="s">
        <v>1734</v>
      </c>
      <c r="D1265" s="208" t="s">
        <v>1735</v>
      </c>
      <c r="E1265" s="208" t="s">
        <v>1833</v>
      </c>
      <c r="F1265" s="208" t="s">
        <v>27</v>
      </c>
      <c r="G1265" s="208" t="s">
        <v>40</v>
      </c>
      <c r="H1265" s="275">
        <v>72.73</v>
      </c>
    </row>
    <row r="1266" spans="1:8" ht="12.75" customHeight="1" x14ac:dyDescent="0.2">
      <c r="A1266" s="273">
        <v>2025</v>
      </c>
      <c r="B1266" s="274" t="s">
        <v>702</v>
      </c>
      <c r="C1266" s="274" t="s">
        <v>1734</v>
      </c>
      <c r="D1266" s="208" t="s">
        <v>1735</v>
      </c>
      <c r="E1266" s="208" t="s">
        <v>1834</v>
      </c>
      <c r="F1266" s="208" t="s">
        <v>27</v>
      </c>
      <c r="G1266" s="208" t="s">
        <v>40</v>
      </c>
      <c r="H1266" s="275">
        <v>14.17</v>
      </c>
    </row>
    <row r="1267" spans="1:8" ht="12.75" customHeight="1" x14ac:dyDescent="0.2">
      <c r="A1267" s="273">
        <v>2025</v>
      </c>
      <c r="B1267" s="274" t="s">
        <v>702</v>
      </c>
      <c r="C1267" s="274" t="s">
        <v>1734</v>
      </c>
      <c r="D1267" s="208" t="s">
        <v>1735</v>
      </c>
      <c r="E1267" s="208" t="s">
        <v>1834</v>
      </c>
      <c r="F1267" s="208" t="s">
        <v>27</v>
      </c>
      <c r="G1267" s="208" t="s">
        <v>40</v>
      </c>
      <c r="H1267" s="275">
        <v>54.55</v>
      </c>
    </row>
    <row r="1268" spans="1:8" ht="12.75" customHeight="1" x14ac:dyDescent="0.2">
      <c r="A1268" s="273">
        <v>2025</v>
      </c>
      <c r="B1268" s="274" t="s">
        <v>702</v>
      </c>
      <c r="C1268" s="274" t="s">
        <v>1734</v>
      </c>
      <c r="D1268" s="208" t="s">
        <v>1735</v>
      </c>
      <c r="E1268" s="208" t="s">
        <v>1835</v>
      </c>
      <c r="F1268" s="208" t="s">
        <v>27</v>
      </c>
      <c r="G1268" s="208" t="s">
        <v>40</v>
      </c>
      <c r="H1268" s="275">
        <v>366.24</v>
      </c>
    </row>
    <row r="1269" spans="1:8" ht="12.75" customHeight="1" x14ac:dyDescent="0.2">
      <c r="A1269" s="273">
        <v>2025</v>
      </c>
      <c r="B1269" s="274" t="s">
        <v>834</v>
      </c>
      <c r="C1269" s="274" t="s">
        <v>1727</v>
      </c>
      <c r="D1269" s="208" t="s">
        <v>1728</v>
      </c>
      <c r="E1269" s="208" t="s">
        <v>1836</v>
      </c>
      <c r="F1269" s="208" t="s">
        <v>27</v>
      </c>
      <c r="G1269" s="208" t="s">
        <v>40</v>
      </c>
      <c r="H1269" s="275">
        <v>7.29</v>
      </c>
    </row>
    <row r="1270" spans="1:8" ht="12.75" customHeight="1" x14ac:dyDescent="0.2">
      <c r="A1270" s="273">
        <v>2025</v>
      </c>
      <c r="B1270" s="274" t="s">
        <v>834</v>
      </c>
      <c r="C1270" s="274" t="s">
        <v>1727</v>
      </c>
      <c r="D1270" s="208" t="s">
        <v>1728</v>
      </c>
      <c r="E1270" s="208" t="s">
        <v>1836</v>
      </c>
      <c r="F1270" s="208" t="s">
        <v>27</v>
      </c>
      <c r="G1270" s="208" t="s">
        <v>40</v>
      </c>
      <c r="H1270" s="275">
        <v>19.36</v>
      </c>
    </row>
    <row r="1271" spans="1:8" ht="12.75" customHeight="1" x14ac:dyDescent="0.2">
      <c r="A1271" s="273">
        <v>2025</v>
      </c>
      <c r="B1271" s="274" t="s">
        <v>834</v>
      </c>
      <c r="C1271" s="274" t="s">
        <v>1734</v>
      </c>
      <c r="D1271" s="208" t="s">
        <v>1735</v>
      </c>
      <c r="E1271" s="208" t="s">
        <v>1837</v>
      </c>
      <c r="F1271" s="208" t="s">
        <v>27</v>
      </c>
      <c r="G1271" s="208" t="s">
        <v>40</v>
      </c>
      <c r="H1271" s="275">
        <v>60.1</v>
      </c>
    </row>
    <row r="1272" spans="1:8" ht="12.75" customHeight="1" x14ac:dyDescent="0.2">
      <c r="A1272" s="273">
        <v>2025</v>
      </c>
      <c r="B1272" s="274" t="s">
        <v>480</v>
      </c>
      <c r="C1272" s="274" t="s">
        <v>1745</v>
      </c>
      <c r="D1272" s="208" t="s">
        <v>1746</v>
      </c>
      <c r="E1272" s="208" t="s">
        <v>1838</v>
      </c>
      <c r="F1272" s="208" t="s">
        <v>27</v>
      </c>
      <c r="G1272" s="208" t="s">
        <v>40</v>
      </c>
      <c r="H1272" s="275">
        <v>41.46</v>
      </c>
    </row>
    <row r="1273" spans="1:8" ht="12.75" customHeight="1" x14ac:dyDescent="0.2">
      <c r="A1273" s="273">
        <v>2025</v>
      </c>
      <c r="B1273" s="274" t="s">
        <v>480</v>
      </c>
      <c r="C1273" s="274" t="s">
        <v>1750</v>
      </c>
      <c r="D1273" s="208" t="s">
        <v>1751</v>
      </c>
      <c r="E1273" s="208" t="s">
        <v>482</v>
      </c>
      <c r="F1273" s="208" t="s">
        <v>27</v>
      </c>
      <c r="G1273" s="208" t="s">
        <v>40</v>
      </c>
      <c r="H1273" s="275">
        <v>14.74</v>
      </c>
    </row>
    <row r="1274" spans="1:8" ht="12.75" customHeight="1" x14ac:dyDescent="0.2">
      <c r="A1274" s="273">
        <v>2025</v>
      </c>
      <c r="B1274" s="274" t="s">
        <v>480</v>
      </c>
      <c r="C1274" s="274" t="s">
        <v>1730</v>
      </c>
      <c r="D1274" s="208" t="s">
        <v>1731</v>
      </c>
      <c r="E1274" s="208" t="s">
        <v>1839</v>
      </c>
      <c r="F1274" s="208" t="s">
        <v>27</v>
      </c>
      <c r="G1274" s="208" t="s">
        <v>40</v>
      </c>
      <c r="H1274" s="275">
        <v>1688.03</v>
      </c>
    </row>
    <row r="1275" spans="1:8" ht="12.75" customHeight="1" x14ac:dyDescent="0.2">
      <c r="A1275" s="273">
        <v>2025</v>
      </c>
      <c r="B1275" s="274" t="s">
        <v>480</v>
      </c>
      <c r="C1275" s="274" t="s">
        <v>1734</v>
      </c>
      <c r="D1275" s="208" t="s">
        <v>1735</v>
      </c>
      <c r="E1275" s="208" t="s">
        <v>1840</v>
      </c>
      <c r="F1275" s="208" t="s">
        <v>27</v>
      </c>
      <c r="G1275" s="208" t="s">
        <v>40</v>
      </c>
      <c r="H1275" s="275">
        <v>54.03</v>
      </c>
    </row>
    <row r="1276" spans="1:8" ht="12.75" customHeight="1" x14ac:dyDescent="0.2">
      <c r="A1276" s="273">
        <v>2025</v>
      </c>
      <c r="B1276" s="274" t="s">
        <v>480</v>
      </c>
      <c r="C1276" s="274" t="s">
        <v>1734</v>
      </c>
      <c r="D1276" s="208" t="s">
        <v>1735</v>
      </c>
      <c r="E1276" s="208" t="s">
        <v>1840</v>
      </c>
      <c r="F1276" s="208" t="s">
        <v>27</v>
      </c>
      <c r="G1276" s="208" t="s">
        <v>40</v>
      </c>
      <c r="H1276" s="275">
        <v>13.68</v>
      </c>
    </row>
    <row r="1277" spans="1:8" ht="12.75" customHeight="1" x14ac:dyDescent="0.2">
      <c r="A1277" s="273">
        <v>2025</v>
      </c>
      <c r="B1277" s="274" t="s">
        <v>484</v>
      </c>
      <c r="C1277" s="274" t="s">
        <v>1723</v>
      </c>
      <c r="D1277" s="208" t="s">
        <v>1724</v>
      </c>
      <c r="E1277" s="208" t="s">
        <v>1841</v>
      </c>
      <c r="F1277" s="208" t="s">
        <v>27</v>
      </c>
      <c r="G1277" s="208" t="s">
        <v>40</v>
      </c>
      <c r="H1277" s="275">
        <v>7.87</v>
      </c>
    </row>
    <row r="1278" spans="1:8" ht="12.75" customHeight="1" x14ac:dyDescent="0.2">
      <c r="A1278" s="273">
        <v>2025</v>
      </c>
      <c r="B1278" s="274" t="s">
        <v>485</v>
      </c>
      <c r="C1278" s="274" t="s">
        <v>1734</v>
      </c>
      <c r="D1278" s="208" t="s">
        <v>1735</v>
      </c>
      <c r="E1278" s="208" t="s">
        <v>1842</v>
      </c>
      <c r="F1278" s="208" t="s">
        <v>27</v>
      </c>
      <c r="G1278" s="208" t="s">
        <v>40</v>
      </c>
      <c r="H1278" s="275">
        <v>189.65</v>
      </c>
    </row>
    <row r="1279" spans="1:8" ht="12.75" customHeight="1" x14ac:dyDescent="0.2">
      <c r="A1279" s="273">
        <v>2025</v>
      </c>
      <c r="B1279" s="274" t="s">
        <v>711</v>
      </c>
      <c r="C1279" s="274" t="s">
        <v>1734</v>
      </c>
      <c r="D1279" s="208" t="s">
        <v>1735</v>
      </c>
      <c r="E1279" s="208" t="s">
        <v>1843</v>
      </c>
      <c r="F1279" s="208" t="s">
        <v>27</v>
      </c>
      <c r="G1279" s="208" t="s">
        <v>40</v>
      </c>
      <c r="H1279" s="275">
        <v>7.08</v>
      </c>
    </row>
    <row r="1280" spans="1:8" ht="12.75" customHeight="1" x14ac:dyDescent="0.2">
      <c r="A1280" s="273">
        <v>2025</v>
      </c>
      <c r="B1280" s="274" t="s">
        <v>711</v>
      </c>
      <c r="C1280" s="274" t="s">
        <v>1734</v>
      </c>
      <c r="D1280" s="208" t="s">
        <v>1735</v>
      </c>
      <c r="E1280" s="208" t="s">
        <v>1843</v>
      </c>
      <c r="F1280" s="208" t="s">
        <v>27</v>
      </c>
      <c r="G1280" s="208" t="s">
        <v>40</v>
      </c>
      <c r="H1280" s="275">
        <v>36.729999999999997</v>
      </c>
    </row>
    <row r="1281" spans="1:8" ht="12.75" customHeight="1" x14ac:dyDescent="0.2">
      <c r="A1281" s="273">
        <v>2025</v>
      </c>
      <c r="B1281" s="274" t="s">
        <v>711</v>
      </c>
      <c r="C1281" s="274" t="s">
        <v>1734</v>
      </c>
      <c r="D1281" s="208" t="s">
        <v>1735</v>
      </c>
      <c r="E1281" s="208" t="s">
        <v>1844</v>
      </c>
      <c r="F1281" s="208" t="s">
        <v>27</v>
      </c>
      <c r="G1281" s="208" t="s">
        <v>40</v>
      </c>
      <c r="H1281" s="275">
        <v>98.8</v>
      </c>
    </row>
    <row r="1282" spans="1:8" ht="12.75" customHeight="1" x14ac:dyDescent="0.2">
      <c r="A1282" s="273">
        <v>2025</v>
      </c>
      <c r="B1282" s="274" t="s">
        <v>713</v>
      </c>
      <c r="C1282" s="274" t="s">
        <v>1734</v>
      </c>
      <c r="D1282" s="208" t="s">
        <v>1735</v>
      </c>
      <c r="E1282" s="208" t="s">
        <v>1845</v>
      </c>
      <c r="F1282" s="208" t="s">
        <v>27</v>
      </c>
      <c r="G1282" s="208" t="s">
        <v>40</v>
      </c>
      <c r="H1282" s="275">
        <v>21.82</v>
      </c>
    </row>
    <row r="1283" spans="1:8" ht="12.75" customHeight="1" x14ac:dyDescent="0.2">
      <c r="A1283" s="273">
        <v>2025</v>
      </c>
      <c r="B1283" s="274" t="s">
        <v>1356</v>
      </c>
      <c r="C1283" s="274" t="s">
        <v>1745</v>
      </c>
      <c r="D1283" s="208" t="s">
        <v>1746</v>
      </c>
      <c r="E1283" s="208" t="s">
        <v>1846</v>
      </c>
      <c r="F1283" s="208" t="s">
        <v>27</v>
      </c>
      <c r="G1283" s="208" t="s">
        <v>40</v>
      </c>
      <c r="H1283" s="275">
        <v>46.66</v>
      </c>
    </row>
    <row r="1284" spans="1:8" ht="12.75" customHeight="1" x14ac:dyDescent="0.2">
      <c r="A1284" s="273">
        <v>2025</v>
      </c>
      <c r="B1284" s="274" t="s">
        <v>1356</v>
      </c>
      <c r="C1284" s="274" t="s">
        <v>1847</v>
      </c>
      <c r="D1284" s="208" t="s">
        <v>1848</v>
      </c>
      <c r="E1284" s="208" t="s">
        <v>1846</v>
      </c>
      <c r="F1284" s="208" t="s">
        <v>27</v>
      </c>
      <c r="G1284" s="208" t="s">
        <v>40</v>
      </c>
      <c r="H1284" s="275">
        <v>62.75</v>
      </c>
    </row>
    <row r="1285" spans="1:8" ht="12.75" customHeight="1" x14ac:dyDescent="0.2">
      <c r="A1285" s="273">
        <v>2025</v>
      </c>
      <c r="B1285" s="274" t="s">
        <v>837</v>
      </c>
      <c r="C1285" s="274" t="s">
        <v>1730</v>
      </c>
      <c r="D1285" s="208" t="s">
        <v>1731</v>
      </c>
      <c r="E1285" s="208" t="s">
        <v>1849</v>
      </c>
      <c r="F1285" s="208" t="s">
        <v>27</v>
      </c>
      <c r="G1285" s="208" t="s">
        <v>40</v>
      </c>
      <c r="H1285" s="275">
        <v>26.36</v>
      </c>
    </row>
    <row r="1286" spans="1:8" ht="12.75" customHeight="1" x14ac:dyDescent="0.2">
      <c r="A1286" s="273">
        <v>2025</v>
      </c>
      <c r="B1286" s="274" t="s">
        <v>837</v>
      </c>
      <c r="C1286" s="274" t="s">
        <v>1734</v>
      </c>
      <c r="D1286" s="208" t="s">
        <v>1735</v>
      </c>
      <c r="E1286" s="208" t="s">
        <v>1850</v>
      </c>
      <c r="F1286" s="208" t="s">
        <v>27</v>
      </c>
      <c r="G1286" s="208" t="s">
        <v>40</v>
      </c>
      <c r="H1286" s="275">
        <v>24.25</v>
      </c>
    </row>
    <row r="1287" spans="1:8" ht="12.75" customHeight="1" x14ac:dyDescent="0.2">
      <c r="A1287" s="273">
        <v>2025</v>
      </c>
      <c r="B1287" s="274" t="s">
        <v>837</v>
      </c>
      <c r="C1287" s="274" t="s">
        <v>1734</v>
      </c>
      <c r="D1287" s="208" t="s">
        <v>1735</v>
      </c>
      <c r="E1287" s="208" t="s">
        <v>1850</v>
      </c>
      <c r="F1287" s="208" t="s">
        <v>27</v>
      </c>
      <c r="G1287" s="208" t="s">
        <v>40</v>
      </c>
      <c r="H1287" s="275">
        <v>6</v>
      </c>
    </row>
    <row r="1288" spans="1:8" ht="12.75" customHeight="1" x14ac:dyDescent="0.2">
      <c r="A1288" s="273">
        <v>2025</v>
      </c>
      <c r="B1288" s="274" t="s">
        <v>1494</v>
      </c>
      <c r="C1288" s="274" t="s">
        <v>1734</v>
      </c>
      <c r="D1288" s="208" t="s">
        <v>1735</v>
      </c>
      <c r="E1288" s="208" t="s">
        <v>1851</v>
      </c>
      <c r="F1288" s="208" t="s">
        <v>27</v>
      </c>
      <c r="G1288" s="208" t="s">
        <v>40</v>
      </c>
      <c r="H1288" s="275">
        <v>23.07</v>
      </c>
    </row>
    <row r="1289" spans="1:8" ht="12.75" customHeight="1" x14ac:dyDescent="0.2">
      <c r="A1289" s="273">
        <v>2025</v>
      </c>
      <c r="B1289" s="274" t="s">
        <v>1852</v>
      </c>
      <c r="C1289" s="274" t="s">
        <v>1730</v>
      </c>
      <c r="D1289" s="208" t="s">
        <v>1731</v>
      </c>
      <c r="E1289" s="208" t="s">
        <v>1853</v>
      </c>
      <c r="F1289" s="208" t="s">
        <v>27</v>
      </c>
      <c r="G1289" s="208" t="s">
        <v>40</v>
      </c>
      <c r="H1289" s="275">
        <v>140</v>
      </c>
    </row>
    <row r="1290" spans="1:8" ht="12.75" customHeight="1" x14ac:dyDescent="0.2">
      <c r="A1290" s="273">
        <v>2025</v>
      </c>
      <c r="B1290" s="274" t="s">
        <v>841</v>
      </c>
      <c r="C1290" s="274" t="s">
        <v>1727</v>
      </c>
      <c r="D1290" s="208" t="s">
        <v>1728</v>
      </c>
      <c r="E1290" s="208" t="s">
        <v>1854</v>
      </c>
      <c r="F1290" s="208" t="s">
        <v>27</v>
      </c>
      <c r="G1290" s="208" t="s">
        <v>40</v>
      </c>
      <c r="H1290" s="275">
        <v>7.08</v>
      </c>
    </row>
    <row r="1291" spans="1:8" ht="12.75" customHeight="1" x14ac:dyDescent="0.2">
      <c r="A1291" s="273">
        <v>2025</v>
      </c>
      <c r="B1291" s="274" t="s">
        <v>841</v>
      </c>
      <c r="C1291" s="274" t="s">
        <v>1727</v>
      </c>
      <c r="D1291" s="208" t="s">
        <v>1728</v>
      </c>
      <c r="E1291" s="208" t="s">
        <v>1854</v>
      </c>
      <c r="F1291" s="208" t="s">
        <v>27</v>
      </c>
      <c r="G1291" s="208" t="s">
        <v>40</v>
      </c>
      <c r="H1291" s="275">
        <v>20.09</v>
      </c>
    </row>
    <row r="1292" spans="1:8" ht="12.75" customHeight="1" x14ac:dyDescent="0.2">
      <c r="A1292" s="273">
        <v>2025</v>
      </c>
      <c r="B1292" s="274" t="s">
        <v>1855</v>
      </c>
      <c r="C1292" s="274" t="s">
        <v>1727</v>
      </c>
      <c r="D1292" s="208" t="s">
        <v>1728</v>
      </c>
      <c r="E1292" s="208" t="s">
        <v>1856</v>
      </c>
      <c r="F1292" s="208" t="s">
        <v>27</v>
      </c>
      <c r="G1292" s="208" t="s">
        <v>40</v>
      </c>
      <c r="H1292" s="275">
        <v>15.73</v>
      </c>
    </row>
    <row r="1293" spans="1:8" ht="12.75" customHeight="1" x14ac:dyDescent="0.2">
      <c r="A1293" s="273">
        <v>2025</v>
      </c>
      <c r="B1293" s="274" t="s">
        <v>491</v>
      </c>
      <c r="C1293" s="274" t="s">
        <v>1734</v>
      </c>
      <c r="D1293" s="208" t="s">
        <v>1735</v>
      </c>
      <c r="E1293" s="208" t="s">
        <v>1857</v>
      </c>
      <c r="F1293" s="208" t="s">
        <v>27</v>
      </c>
      <c r="G1293" s="208" t="s">
        <v>40</v>
      </c>
      <c r="H1293" s="275">
        <v>22.98</v>
      </c>
    </row>
    <row r="1294" spans="1:8" ht="12.75" customHeight="1" x14ac:dyDescent="0.2">
      <c r="A1294" s="273">
        <v>2025</v>
      </c>
      <c r="B1294" s="274" t="s">
        <v>1858</v>
      </c>
      <c r="C1294" s="274" t="s">
        <v>1730</v>
      </c>
      <c r="D1294" s="208" t="s">
        <v>1731</v>
      </c>
      <c r="E1294" s="208" t="s">
        <v>1859</v>
      </c>
      <c r="F1294" s="208" t="s">
        <v>27</v>
      </c>
      <c r="G1294" s="208" t="s">
        <v>40</v>
      </c>
      <c r="H1294" s="275">
        <v>187.06</v>
      </c>
    </row>
    <row r="1295" spans="1:8" ht="12.75" customHeight="1" x14ac:dyDescent="0.2">
      <c r="A1295" s="273">
        <v>2025</v>
      </c>
      <c r="B1295" s="274" t="s">
        <v>1858</v>
      </c>
      <c r="C1295" s="274" t="s">
        <v>1734</v>
      </c>
      <c r="D1295" s="208" t="s">
        <v>1735</v>
      </c>
      <c r="E1295" s="208" t="s">
        <v>1860</v>
      </c>
      <c r="F1295" s="208" t="s">
        <v>27</v>
      </c>
      <c r="G1295" s="208" t="s">
        <v>40</v>
      </c>
      <c r="H1295" s="275">
        <v>5.42</v>
      </c>
    </row>
    <row r="1296" spans="1:8" ht="12.75" customHeight="1" x14ac:dyDescent="0.2">
      <c r="A1296" s="273">
        <v>2025</v>
      </c>
      <c r="B1296" s="274" t="s">
        <v>1858</v>
      </c>
      <c r="C1296" s="274" t="s">
        <v>1734</v>
      </c>
      <c r="D1296" s="208" t="s">
        <v>1735</v>
      </c>
      <c r="E1296" s="208" t="s">
        <v>1860</v>
      </c>
      <c r="F1296" s="208" t="s">
        <v>27</v>
      </c>
      <c r="G1296" s="208" t="s">
        <v>40</v>
      </c>
      <c r="H1296" s="275">
        <v>29.09</v>
      </c>
    </row>
    <row r="1297" spans="1:8" ht="12.75" customHeight="1" x14ac:dyDescent="0.2">
      <c r="A1297" s="273">
        <v>2025</v>
      </c>
      <c r="B1297" s="274" t="s">
        <v>842</v>
      </c>
      <c r="C1297" s="274" t="s">
        <v>1734</v>
      </c>
      <c r="D1297" s="208" t="s">
        <v>1735</v>
      </c>
      <c r="E1297" s="208" t="s">
        <v>1861</v>
      </c>
      <c r="F1297" s="208" t="s">
        <v>27</v>
      </c>
      <c r="G1297" s="208" t="s">
        <v>40</v>
      </c>
      <c r="H1297" s="275">
        <v>41.84</v>
      </c>
    </row>
    <row r="1298" spans="1:8" ht="12.75" customHeight="1" x14ac:dyDescent="0.2">
      <c r="A1298" s="273">
        <v>2025</v>
      </c>
      <c r="B1298" s="274" t="s">
        <v>493</v>
      </c>
      <c r="C1298" s="274" t="s">
        <v>1734</v>
      </c>
      <c r="D1298" s="208" t="s">
        <v>1735</v>
      </c>
      <c r="E1298" s="208" t="s">
        <v>1862</v>
      </c>
      <c r="F1298" s="208" t="s">
        <v>27</v>
      </c>
      <c r="G1298" s="208" t="s">
        <v>40</v>
      </c>
      <c r="H1298" s="275">
        <v>28.18</v>
      </c>
    </row>
    <row r="1299" spans="1:8" ht="12.75" customHeight="1" x14ac:dyDescent="0.2">
      <c r="A1299" s="273">
        <v>2025</v>
      </c>
      <c r="B1299" s="274" t="s">
        <v>493</v>
      </c>
      <c r="C1299" s="274" t="s">
        <v>1734</v>
      </c>
      <c r="D1299" s="208" t="s">
        <v>1735</v>
      </c>
      <c r="E1299" s="208" t="s">
        <v>1862</v>
      </c>
      <c r="F1299" s="208" t="s">
        <v>27</v>
      </c>
      <c r="G1299" s="208" t="s">
        <v>40</v>
      </c>
      <c r="H1299" s="275">
        <v>5.42</v>
      </c>
    </row>
    <row r="1300" spans="1:8" ht="12.75" customHeight="1" x14ac:dyDescent="0.2">
      <c r="A1300" s="273">
        <v>2025</v>
      </c>
      <c r="B1300" s="274" t="s">
        <v>497</v>
      </c>
      <c r="C1300" s="274" t="s">
        <v>1745</v>
      </c>
      <c r="D1300" s="208" t="s">
        <v>1746</v>
      </c>
      <c r="E1300" s="208" t="s">
        <v>1863</v>
      </c>
      <c r="F1300" s="208" t="s">
        <v>27</v>
      </c>
      <c r="G1300" s="208" t="s">
        <v>40</v>
      </c>
      <c r="H1300" s="275">
        <v>44.94</v>
      </c>
    </row>
    <row r="1301" spans="1:8" ht="12.75" customHeight="1" x14ac:dyDescent="0.2">
      <c r="A1301" s="273">
        <v>2025</v>
      </c>
      <c r="B1301" s="274" t="s">
        <v>497</v>
      </c>
      <c r="C1301" s="274" t="s">
        <v>1847</v>
      </c>
      <c r="D1301" s="208" t="s">
        <v>1848</v>
      </c>
      <c r="E1301" s="208" t="s">
        <v>1864</v>
      </c>
      <c r="F1301" s="208" t="s">
        <v>27</v>
      </c>
      <c r="G1301" s="208" t="s">
        <v>40</v>
      </c>
      <c r="H1301" s="275">
        <v>75.849999999999994</v>
      </c>
    </row>
    <row r="1302" spans="1:8" ht="12.75" customHeight="1" x14ac:dyDescent="0.2">
      <c r="A1302" s="273">
        <v>2025</v>
      </c>
      <c r="B1302" s="274" t="s">
        <v>497</v>
      </c>
      <c r="C1302" s="274" t="s">
        <v>1730</v>
      </c>
      <c r="D1302" s="208" t="s">
        <v>1731</v>
      </c>
      <c r="E1302" s="208" t="s">
        <v>1865</v>
      </c>
      <c r="F1302" s="208" t="s">
        <v>27</v>
      </c>
      <c r="G1302" s="208" t="s">
        <v>40</v>
      </c>
      <c r="H1302" s="275">
        <v>962.33</v>
      </c>
    </row>
    <row r="1303" spans="1:8" ht="12.75" customHeight="1" x14ac:dyDescent="0.2">
      <c r="A1303" s="273">
        <v>2025</v>
      </c>
      <c r="B1303" s="274" t="s">
        <v>499</v>
      </c>
      <c r="C1303" s="274" t="s">
        <v>1723</v>
      </c>
      <c r="D1303" s="208" t="s">
        <v>1724</v>
      </c>
      <c r="E1303" s="208" t="s">
        <v>1866</v>
      </c>
      <c r="F1303" s="208" t="s">
        <v>27</v>
      </c>
      <c r="G1303" s="208" t="s">
        <v>40</v>
      </c>
      <c r="H1303" s="275">
        <v>134.19999999999999</v>
      </c>
    </row>
    <row r="1304" spans="1:8" ht="12.75" customHeight="1" x14ac:dyDescent="0.2">
      <c r="A1304" s="273">
        <v>2025</v>
      </c>
      <c r="B1304" s="274" t="s">
        <v>502</v>
      </c>
      <c r="C1304" s="274" t="s">
        <v>1730</v>
      </c>
      <c r="D1304" s="208" t="s">
        <v>1731</v>
      </c>
      <c r="E1304" s="208" t="s">
        <v>1867</v>
      </c>
      <c r="F1304" s="208" t="s">
        <v>27</v>
      </c>
      <c r="G1304" s="208" t="s">
        <v>40</v>
      </c>
      <c r="H1304" s="275">
        <v>14.73</v>
      </c>
    </row>
    <row r="1305" spans="1:8" ht="12.75" customHeight="1" x14ac:dyDescent="0.2">
      <c r="A1305" s="273">
        <v>2025</v>
      </c>
      <c r="B1305" s="274" t="s">
        <v>502</v>
      </c>
      <c r="C1305" s="274" t="s">
        <v>1723</v>
      </c>
      <c r="D1305" s="208" t="s">
        <v>1724</v>
      </c>
      <c r="E1305" s="208" t="s">
        <v>1868</v>
      </c>
      <c r="F1305" s="208" t="s">
        <v>27</v>
      </c>
      <c r="G1305" s="208" t="s">
        <v>40</v>
      </c>
      <c r="H1305" s="275">
        <v>2.08</v>
      </c>
    </row>
    <row r="1306" spans="1:8" ht="12.75" customHeight="1" x14ac:dyDescent="0.2">
      <c r="A1306" s="273">
        <v>2025</v>
      </c>
      <c r="B1306" s="274" t="s">
        <v>502</v>
      </c>
      <c r="C1306" s="274" t="s">
        <v>1723</v>
      </c>
      <c r="D1306" s="208" t="s">
        <v>1724</v>
      </c>
      <c r="E1306" s="208" t="s">
        <v>1869</v>
      </c>
      <c r="F1306" s="208" t="s">
        <v>27</v>
      </c>
      <c r="G1306" s="208" t="s">
        <v>40</v>
      </c>
      <c r="H1306" s="275">
        <v>76.92</v>
      </c>
    </row>
    <row r="1307" spans="1:8" ht="12.75" customHeight="1" x14ac:dyDescent="0.2">
      <c r="A1307" s="273">
        <v>2025</v>
      </c>
      <c r="B1307" s="274" t="s">
        <v>502</v>
      </c>
      <c r="C1307" s="274" t="s">
        <v>1723</v>
      </c>
      <c r="D1307" s="208" t="s">
        <v>1724</v>
      </c>
      <c r="E1307" s="208" t="s">
        <v>1870</v>
      </c>
      <c r="F1307" s="208" t="s">
        <v>27</v>
      </c>
      <c r="G1307" s="208" t="s">
        <v>40</v>
      </c>
      <c r="H1307" s="275">
        <v>2.17</v>
      </c>
    </row>
    <row r="1308" spans="1:8" ht="12.75" customHeight="1" x14ac:dyDescent="0.2">
      <c r="A1308" s="273">
        <v>2025</v>
      </c>
      <c r="B1308" s="274" t="s">
        <v>502</v>
      </c>
      <c r="C1308" s="274" t="s">
        <v>1734</v>
      </c>
      <c r="D1308" s="208" t="s">
        <v>1735</v>
      </c>
      <c r="E1308" s="208" t="s">
        <v>1871</v>
      </c>
      <c r="F1308" s="208" t="s">
        <v>27</v>
      </c>
      <c r="G1308" s="208" t="s">
        <v>40</v>
      </c>
      <c r="H1308" s="275">
        <v>29.7</v>
      </c>
    </row>
    <row r="1309" spans="1:8" ht="12.75" customHeight="1" x14ac:dyDescent="0.2">
      <c r="A1309" s="273">
        <v>2025</v>
      </c>
      <c r="B1309" s="274" t="s">
        <v>502</v>
      </c>
      <c r="C1309" s="274" t="s">
        <v>1734</v>
      </c>
      <c r="D1309" s="208" t="s">
        <v>1735</v>
      </c>
      <c r="E1309" s="208" t="s">
        <v>1872</v>
      </c>
      <c r="F1309" s="208" t="s">
        <v>27</v>
      </c>
      <c r="G1309" s="208" t="s">
        <v>40</v>
      </c>
      <c r="H1309" s="275">
        <v>10</v>
      </c>
    </row>
    <row r="1310" spans="1:8" ht="12.75" customHeight="1" x14ac:dyDescent="0.2">
      <c r="A1310" s="273">
        <v>2025</v>
      </c>
      <c r="B1310" s="274" t="s">
        <v>502</v>
      </c>
      <c r="C1310" s="274" t="s">
        <v>1734</v>
      </c>
      <c r="D1310" s="208" t="s">
        <v>1735</v>
      </c>
      <c r="E1310" s="208" t="s">
        <v>1872</v>
      </c>
      <c r="F1310" s="208" t="s">
        <v>27</v>
      </c>
      <c r="G1310" s="208" t="s">
        <v>40</v>
      </c>
      <c r="H1310" s="275">
        <v>23.64</v>
      </c>
    </row>
    <row r="1311" spans="1:8" ht="12.75" customHeight="1" x14ac:dyDescent="0.2">
      <c r="A1311" s="273">
        <v>2025</v>
      </c>
      <c r="B1311" s="274" t="s">
        <v>1261</v>
      </c>
      <c r="C1311" s="274" t="s">
        <v>1823</v>
      </c>
      <c r="D1311" s="208" t="s">
        <v>1824</v>
      </c>
      <c r="E1311" s="208" t="s">
        <v>1873</v>
      </c>
      <c r="F1311" s="208" t="s">
        <v>27</v>
      </c>
      <c r="G1311" s="208" t="s">
        <v>40</v>
      </c>
      <c r="H1311" s="275">
        <v>17.23</v>
      </c>
    </row>
    <row r="1312" spans="1:8" ht="12.75" customHeight="1" x14ac:dyDescent="0.2">
      <c r="A1312" s="273">
        <v>2025</v>
      </c>
      <c r="B1312" s="274" t="s">
        <v>1261</v>
      </c>
      <c r="C1312" s="274" t="s">
        <v>1734</v>
      </c>
      <c r="D1312" s="208" t="s">
        <v>1735</v>
      </c>
      <c r="E1312" s="208" t="s">
        <v>1874</v>
      </c>
      <c r="F1312" s="208" t="s">
        <v>27</v>
      </c>
      <c r="G1312" s="208" t="s">
        <v>40</v>
      </c>
      <c r="H1312" s="275">
        <v>6.58</v>
      </c>
    </row>
    <row r="1313" spans="1:8" ht="12.75" customHeight="1" x14ac:dyDescent="0.2">
      <c r="A1313" s="273">
        <v>2025</v>
      </c>
      <c r="B1313" s="274" t="s">
        <v>1261</v>
      </c>
      <c r="C1313" s="274" t="s">
        <v>1734</v>
      </c>
      <c r="D1313" s="208" t="s">
        <v>1735</v>
      </c>
      <c r="E1313" s="208" t="s">
        <v>1874</v>
      </c>
      <c r="F1313" s="208" t="s">
        <v>27</v>
      </c>
      <c r="G1313" s="208" t="s">
        <v>40</v>
      </c>
      <c r="H1313" s="275">
        <v>34.549999999999997</v>
      </c>
    </row>
    <row r="1314" spans="1:8" ht="12.75" customHeight="1" x14ac:dyDescent="0.2">
      <c r="A1314" s="273">
        <v>2025</v>
      </c>
      <c r="B1314" s="274" t="s">
        <v>1261</v>
      </c>
      <c r="C1314" s="274" t="s">
        <v>1734</v>
      </c>
      <c r="D1314" s="208" t="s">
        <v>1735</v>
      </c>
      <c r="E1314" s="208" t="s">
        <v>1875</v>
      </c>
      <c r="F1314" s="208" t="s">
        <v>27</v>
      </c>
      <c r="G1314" s="208" t="s">
        <v>40</v>
      </c>
      <c r="H1314" s="275">
        <v>306.8</v>
      </c>
    </row>
    <row r="1315" spans="1:8" ht="12.75" customHeight="1" x14ac:dyDescent="0.2">
      <c r="A1315" s="273">
        <v>2025</v>
      </c>
      <c r="B1315" s="274" t="s">
        <v>1261</v>
      </c>
      <c r="C1315" s="274" t="s">
        <v>1734</v>
      </c>
      <c r="D1315" s="208" t="s">
        <v>1735</v>
      </c>
      <c r="E1315" s="208" t="s">
        <v>1875</v>
      </c>
      <c r="F1315" s="208" t="s">
        <v>27</v>
      </c>
      <c r="G1315" s="208" t="s">
        <v>40</v>
      </c>
      <c r="H1315" s="275">
        <v>112.1</v>
      </c>
    </row>
    <row r="1316" spans="1:8" ht="12.75" customHeight="1" x14ac:dyDescent="0.2">
      <c r="A1316" s="273">
        <v>2025</v>
      </c>
      <c r="B1316" s="274" t="s">
        <v>723</v>
      </c>
      <c r="C1316" s="274" t="s">
        <v>1734</v>
      </c>
      <c r="D1316" s="208" t="s">
        <v>1735</v>
      </c>
      <c r="E1316" s="208" t="s">
        <v>1876</v>
      </c>
      <c r="F1316" s="208" t="s">
        <v>27</v>
      </c>
      <c r="G1316" s="208" t="s">
        <v>40</v>
      </c>
      <c r="H1316" s="275">
        <v>7.25</v>
      </c>
    </row>
    <row r="1317" spans="1:8" ht="12.75" customHeight="1" x14ac:dyDescent="0.2">
      <c r="A1317" s="273">
        <v>2025</v>
      </c>
      <c r="B1317" s="274" t="s">
        <v>723</v>
      </c>
      <c r="C1317" s="274" t="s">
        <v>1734</v>
      </c>
      <c r="D1317" s="208" t="s">
        <v>1735</v>
      </c>
      <c r="E1317" s="208" t="s">
        <v>1876</v>
      </c>
      <c r="F1317" s="208" t="s">
        <v>27</v>
      </c>
      <c r="G1317" s="208" t="s">
        <v>40</v>
      </c>
      <c r="H1317" s="275">
        <v>69.14</v>
      </c>
    </row>
    <row r="1318" spans="1:8" ht="12.75" customHeight="1" x14ac:dyDescent="0.2">
      <c r="A1318" s="273">
        <v>2025</v>
      </c>
      <c r="B1318" s="274" t="s">
        <v>1661</v>
      </c>
      <c r="C1318" s="274" t="s">
        <v>1734</v>
      </c>
      <c r="D1318" s="208" t="s">
        <v>1735</v>
      </c>
      <c r="E1318" s="208" t="s">
        <v>1877</v>
      </c>
      <c r="F1318" s="208" t="s">
        <v>27</v>
      </c>
      <c r="G1318" s="208" t="s">
        <v>40</v>
      </c>
      <c r="H1318" s="275">
        <v>7.5</v>
      </c>
    </row>
    <row r="1319" spans="1:8" ht="12.75" customHeight="1" x14ac:dyDescent="0.2">
      <c r="A1319" s="273">
        <v>2025</v>
      </c>
      <c r="B1319" s="274" t="s">
        <v>1661</v>
      </c>
      <c r="C1319" s="274" t="s">
        <v>1734</v>
      </c>
      <c r="D1319" s="208" t="s">
        <v>1735</v>
      </c>
      <c r="E1319" s="208" t="s">
        <v>1877</v>
      </c>
      <c r="F1319" s="208" t="s">
        <v>27</v>
      </c>
      <c r="G1319" s="208" t="s">
        <v>40</v>
      </c>
      <c r="H1319" s="275">
        <v>35.270000000000003</v>
      </c>
    </row>
    <row r="1320" spans="1:8" ht="12.75" customHeight="1" x14ac:dyDescent="0.2">
      <c r="A1320" s="273">
        <v>2025</v>
      </c>
      <c r="B1320" s="274" t="s">
        <v>1878</v>
      </c>
      <c r="C1320" s="274" t="s">
        <v>1734</v>
      </c>
      <c r="D1320" s="208" t="s">
        <v>1735</v>
      </c>
      <c r="E1320" s="208" t="s">
        <v>1879</v>
      </c>
      <c r="F1320" s="208" t="s">
        <v>27</v>
      </c>
      <c r="G1320" s="208" t="s">
        <v>40</v>
      </c>
      <c r="H1320" s="275">
        <v>13.64</v>
      </c>
    </row>
    <row r="1321" spans="1:8" ht="12.75" customHeight="1" x14ac:dyDescent="0.2">
      <c r="A1321" s="273">
        <v>2025</v>
      </c>
      <c r="B1321" s="274" t="s">
        <v>1878</v>
      </c>
      <c r="C1321" s="274" t="s">
        <v>1734</v>
      </c>
      <c r="D1321" s="208" t="s">
        <v>1735</v>
      </c>
      <c r="E1321" s="208" t="s">
        <v>1879</v>
      </c>
      <c r="F1321" s="208" t="s">
        <v>27</v>
      </c>
      <c r="G1321" s="208" t="s">
        <v>40</v>
      </c>
      <c r="H1321" s="275">
        <v>87.5</v>
      </c>
    </row>
    <row r="1322" spans="1:8" ht="12.75" customHeight="1" x14ac:dyDescent="0.2">
      <c r="A1322" s="273">
        <v>2025</v>
      </c>
      <c r="B1322" s="274" t="s">
        <v>1880</v>
      </c>
      <c r="C1322" s="274" t="s">
        <v>1745</v>
      </c>
      <c r="D1322" s="208" t="s">
        <v>1746</v>
      </c>
      <c r="E1322" s="208" t="s">
        <v>1881</v>
      </c>
      <c r="F1322" s="208" t="s">
        <v>27</v>
      </c>
      <c r="G1322" s="208" t="s">
        <v>40</v>
      </c>
      <c r="H1322" s="275">
        <v>45.81</v>
      </c>
    </row>
    <row r="1323" spans="1:8" ht="12.75" customHeight="1" x14ac:dyDescent="0.2">
      <c r="A1323" s="273">
        <v>2025</v>
      </c>
      <c r="B1323" s="274" t="s">
        <v>1880</v>
      </c>
      <c r="C1323" s="274" t="s">
        <v>1847</v>
      </c>
      <c r="D1323" s="208" t="s">
        <v>1848</v>
      </c>
      <c r="E1323" s="208" t="s">
        <v>1881</v>
      </c>
      <c r="F1323" s="208" t="s">
        <v>27</v>
      </c>
      <c r="G1323" s="208" t="s">
        <v>40</v>
      </c>
      <c r="H1323" s="275">
        <v>70.08</v>
      </c>
    </row>
    <row r="1324" spans="1:8" ht="12.75" customHeight="1" x14ac:dyDescent="0.2">
      <c r="A1324" s="273">
        <v>2025</v>
      </c>
      <c r="B1324" s="274" t="s">
        <v>727</v>
      </c>
      <c r="C1324" s="274" t="s">
        <v>1734</v>
      </c>
      <c r="D1324" s="208" t="s">
        <v>1735</v>
      </c>
      <c r="E1324" s="208" t="s">
        <v>1882</v>
      </c>
      <c r="F1324" s="208" t="s">
        <v>27</v>
      </c>
      <c r="G1324" s="208" t="s">
        <v>40</v>
      </c>
      <c r="H1324" s="275">
        <v>55.1</v>
      </c>
    </row>
    <row r="1325" spans="1:8" ht="12.75" customHeight="1" x14ac:dyDescent="0.2">
      <c r="A1325" s="273">
        <v>2025</v>
      </c>
      <c r="B1325" s="274" t="s">
        <v>1664</v>
      </c>
      <c r="C1325" s="274" t="s">
        <v>1730</v>
      </c>
      <c r="D1325" s="208" t="s">
        <v>1731</v>
      </c>
      <c r="E1325" s="208" t="s">
        <v>1883</v>
      </c>
      <c r="F1325" s="208" t="s">
        <v>27</v>
      </c>
      <c r="G1325" s="208" t="s">
        <v>40</v>
      </c>
      <c r="H1325" s="275">
        <v>253.2</v>
      </c>
    </row>
    <row r="1326" spans="1:8" ht="12.75" customHeight="1" x14ac:dyDescent="0.2">
      <c r="A1326" s="273">
        <v>2025</v>
      </c>
      <c r="B1326" s="274" t="s">
        <v>505</v>
      </c>
      <c r="C1326" s="274" t="s">
        <v>1734</v>
      </c>
      <c r="D1326" s="208" t="s">
        <v>1735</v>
      </c>
      <c r="E1326" s="208" t="s">
        <v>1884</v>
      </c>
      <c r="F1326" s="208" t="s">
        <v>27</v>
      </c>
      <c r="G1326" s="208" t="s">
        <v>40</v>
      </c>
      <c r="H1326" s="275">
        <v>168.55</v>
      </c>
    </row>
    <row r="1327" spans="1:8" ht="12.75" customHeight="1" x14ac:dyDescent="0.2">
      <c r="A1327" s="273">
        <v>2025</v>
      </c>
      <c r="B1327" s="274" t="s">
        <v>510</v>
      </c>
      <c r="C1327" s="274" t="s">
        <v>1745</v>
      </c>
      <c r="D1327" s="208" t="s">
        <v>1746</v>
      </c>
      <c r="E1327" s="208" t="s">
        <v>1885</v>
      </c>
      <c r="F1327" s="208" t="s">
        <v>27</v>
      </c>
      <c r="G1327" s="208" t="s">
        <v>40</v>
      </c>
      <c r="H1327" s="275">
        <v>48.38</v>
      </c>
    </row>
    <row r="1328" spans="1:8" ht="12.75" customHeight="1" x14ac:dyDescent="0.2">
      <c r="A1328" s="273">
        <v>2025</v>
      </c>
      <c r="B1328" s="274" t="s">
        <v>510</v>
      </c>
      <c r="C1328" s="274" t="s">
        <v>1847</v>
      </c>
      <c r="D1328" s="208" t="s">
        <v>1848</v>
      </c>
      <c r="E1328" s="208" t="s">
        <v>1885</v>
      </c>
      <c r="F1328" s="208" t="s">
        <v>27</v>
      </c>
      <c r="G1328" s="208" t="s">
        <v>40</v>
      </c>
      <c r="H1328" s="275">
        <v>64.290000000000006</v>
      </c>
    </row>
    <row r="1329" spans="1:8" ht="12.75" customHeight="1" x14ac:dyDescent="0.2">
      <c r="A1329" s="273">
        <v>2025</v>
      </c>
      <c r="B1329" s="274" t="s">
        <v>510</v>
      </c>
      <c r="C1329" s="274" t="s">
        <v>1730</v>
      </c>
      <c r="D1329" s="208" t="s">
        <v>1731</v>
      </c>
      <c r="E1329" s="208" t="s">
        <v>1886</v>
      </c>
      <c r="F1329" s="208" t="s">
        <v>27</v>
      </c>
      <c r="G1329" s="208" t="s">
        <v>40</v>
      </c>
      <c r="H1329" s="275">
        <v>1258.06</v>
      </c>
    </row>
    <row r="1330" spans="1:8" ht="12.75" customHeight="1" x14ac:dyDescent="0.2">
      <c r="A1330" s="273">
        <v>2025</v>
      </c>
      <c r="B1330" s="274" t="s">
        <v>510</v>
      </c>
      <c r="C1330" s="274" t="s">
        <v>1887</v>
      </c>
      <c r="D1330" s="208" t="s">
        <v>1888</v>
      </c>
      <c r="E1330" s="208" t="s">
        <v>1889</v>
      </c>
      <c r="F1330" s="208" t="s">
        <v>27</v>
      </c>
      <c r="G1330" s="208" t="s">
        <v>40</v>
      </c>
      <c r="H1330" s="275">
        <v>5080.21</v>
      </c>
    </row>
    <row r="1331" spans="1:8" ht="12.75" customHeight="1" x14ac:dyDescent="0.2">
      <c r="A1331" s="273">
        <v>2025</v>
      </c>
      <c r="B1331" s="274" t="s">
        <v>512</v>
      </c>
      <c r="C1331" s="274" t="s">
        <v>1745</v>
      </c>
      <c r="D1331" s="208" t="s">
        <v>1746</v>
      </c>
      <c r="E1331" s="208" t="s">
        <v>1890</v>
      </c>
      <c r="F1331" s="208" t="s">
        <v>27</v>
      </c>
      <c r="G1331" s="208" t="s">
        <v>40</v>
      </c>
      <c r="H1331" s="275">
        <v>45.86</v>
      </c>
    </row>
    <row r="1332" spans="1:8" ht="12.75" customHeight="1" x14ac:dyDescent="0.2">
      <c r="A1332" s="273">
        <v>2025</v>
      </c>
      <c r="B1332" s="274" t="s">
        <v>512</v>
      </c>
      <c r="C1332" s="274" t="s">
        <v>1823</v>
      </c>
      <c r="D1332" s="208" t="s">
        <v>1824</v>
      </c>
      <c r="E1332" s="208" t="s">
        <v>1890</v>
      </c>
      <c r="F1332" s="208" t="s">
        <v>27</v>
      </c>
      <c r="G1332" s="208" t="s">
        <v>40</v>
      </c>
      <c r="H1332" s="276">
        <v>-45.86</v>
      </c>
    </row>
    <row r="1333" spans="1:8" ht="12.75" customHeight="1" x14ac:dyDescent="0.2">
      <c r="A1333" s="273">
        <v>2025</v>
      </c>
      <c r="B1333" s="274" t="s">
        <v>512</v>
      </c>
      <c r="C1333" s="274" t="s">
        <v>1750</v>
      </c>
      <c r="D1333" s="208" t="s">
        <v>1751</v>
      </c>
      <c r="E1333" s="208" t="s">
        <v>516</v>
      </c>
      <c r="F1333" s="208" t="s">
        <v>27</v>
      </c>
      <c r="G1333" s="208" t="s">
        <v>40</v>
      </c>
      <c r="H1333" s="276">
        <v>-21.66</v>
      </c>
    </row>
    <row r="1334" spans="1:8" ht="12.75" customHeight="1" x14ac:dyDescent="0.2">
      <c r="A1334" s="273">
        <v>2025</v>
      </c>
      <c r="B1334" s="274" t="s">
        <v>512</v>
      </c>
      <c r="C1334" s="274" t="s">
        <v>1750</v>
      </c>
      <c r="D1334" s="208" t="s">
        <v>1751</v>
      </c>
      <c r="E1334" s="208" t="s">
        <v>1752</v>
      </c>
      <c r="F1334" s="208" t="s">
        <v>27</v>
      </c>
      <c r="G1334" s="208" t="s">
        <v>40</v>
      </c>
      <c r="H1334" s="275">
        <v>25.99</v>
      </c>
    </row>
    <row r="1335" spans="1:8" ht="12.75" customHeight="1" x14ac:dyDescent="0.2">
      <c r="A1335" s="273">
        <v>2025</v>
      </c>
      <c r="B1335" s="274" t="s">
        <v>512</v>
      </c>
      <c r="C1335" s="274" t="s">
        <v>1730</v>
      </c>
      <c r="D1335" s="208" t="s">
        <v>1731</v>
      </c>
      <c r="E1335" s="208" t="s">
        <v>1891</v>
      </c>
      <c r="F1335" s="208" t="s">
        <v>27</v>
      </c>
      <c r="G1335" s="208" t="s">
        <v>40</v>
      </c>
      <c r="H1335" s="276">
        <v>-41.8</v>
      </c>
    </row>
    <row r="1336" spans="1:8" ht="12.75" customHeight="1" x14ac:dyDescent="0.2">
      <c r="A1336" s="273">
        <v>2025</v>
      </c>
      <c r="B1336" s="274" t="s">
        <v>512</v>
      </c>
      <c r="C1336" s="274" t="s">
        <v>1723</v>
      </c>
      <c r="D1336" s="208" t="s">
        <v>1724</v>
      </c>
      <c r="E1336" s="208" t="s">
        <v>1892</v>
      </c>
      <c r="F1336" s="208" t="s">
        <v>27</v>
      </c>
      <c r="G1336" s="208" t="s">
        <v>40</v>
      </c>
      <c r="H1336" s="275">
        <v>57.95</v>
      </c>
    </row>
    <row r="1337" spans="1:8" ht="12.75" customHeight="1" x14ac:dyDescent="0.2">
      <c r="A1337" s="273">
        <v>2025</v>
      </c>
      <c r="B1337" s="274" t="s">
        <v>512</v>
      </c>
      <c r="C1337" s="274" t="s">
        <v>1887</v>
      </c>
      <c r="D1337" s="208" t="s">
        <v>1888</v>
      </c>
      <c r="E1337" s="208" t="s">
        <v>1893</v>
      </c>
      <c r="F1337" s="208" t="s">
        <v>27</v>
      </c>
      <c r="G1337" s="208" t="s">
        <v>40</v>
      </c>
      <c r="H1337" s="276">
        <v>-5080.21</v>
      </c>
    </row>
    <row r="1338" spans="1:8" ht="12.75" customHeight="1" x14ac:dyDescent="0.2">
      <c r="A1338" s="273">
        <v>2025</v>
      </c>
      <c r="B1338" s="274" t="s">
        <v>512</v>
      </c>
      <c r="C1338" s="274" t="s">
        <v>1734</v>
      </c>
      <c r="D1338" s="208" t="s">
        <v>1735</v>
      </c>
      <c r="E1338" s="208" t="s">
        <v>1894</v>
      </c>
      <c r="F1338" s="208" t="s">
        <v>27</v>
      </c>
      <c r="G1338" s="208" t="s">
        <v>40</v>
      </c>
      <c r="H1338" s="275">
        <v>14.17</v>
      </c>
    </row>
    <row r="1339" spans="1:8" ht="12.75" customHeight="1" x14ac:dyDescent="0.2">
      <c r="A1339" s="273">
        <v>2025</v>
      </c>
      <c r="B1339" s="274" t="s">
        <v>512</v>
      </c>
      <c r="C1339" s="274" t="s">
        <v>1734</v>
      </c>
      <c r="D1339" s="208" t="s">
        <v>1735</v>
      </c>
      <c r="E1339" s="208" t="s">
        <v>1894</v>
      </c>
      <c r="F1339" s="208" t="s">
        <v>27</v>
      </c>
      <c r="G1339" s="208" t="s">
        <v>40</v>
      </c>
      <c r="H1339" s="275">
        <v>29.09</v>
      </c>
    </row>
    <row r="1340" spans="1:8" ht="12.75" customHeight="1" x14ac:dyDescent="0.2">
      <c r="A1340" s="273">
        <v>2025</v>
      </c>
      <c r="B1340" s="274" t="s">
        <v>512</v>
      </c>
      <c r="C1340" s="274" t="s">
        <v>1734</v>
      </c>
      <c r="D1340" s="208" t="s">
        <v>1735</v>
      </c>
      <c r="E1340" s="208" t="s">
        <v>1895</v>
      </c>
      <c r="F1340" s="208" t="s">
        <v>27</v>
      </c>
      <c r="G1340" s="208" t="s">
        <v>40</v>
      </c>
      <c r="H1340" s="275">
        <v>45.9</v>
      </c>
    </row>
    <row r="1341" spans="1:8" ht="12.75" customHeight="1" x14ac:dyDescent="0.2">
      <c r="A1341" s="273">
        <v>2025</v>
      </c>
      <c r="B1341" s="274" t="s">
        <v>512</v>
      </c>
      <c r="C1341" s="274" t="s">
        <v>1734</v>
      </c>
      <c r="D1341" s="208" t="s">
        <v>1735</v>
      </c>
      <c r="E1341" s="208" t="s">
        <v>1896</v>
      </c>
      <c r="F1341" s="208" t="s">
        <v>27</v>
      </c>
      <c r="G1341" s="208" t="s">
        <v>40</v>
      </c>
      <c r="H1341" s="275">
        <v>76.8</v>
      </c>
    </row>
    <row r="1342" spans="1:8" ht="12.75" customHeight="1" x14ac:dyDescent="0.2">
      <c r="A1342" s="273">
        <v>2025</v>
      </c>
      <c r="B1342" s="274" t="s">
        <v>512</v>
      </c>
      <c r="C1342" s="274" t="s">
        <v>1734</v>
      </c>
      <c r="D1342" s="208" t="s">
        <v>1735</v>
      </c>
      <c r="E1342" s="208" t="s">
        <v>1897</v>
      </c>
      <c r="F1342" s="208" t="s">
        <v>27</v>
      </c>
      <c r="G1342" s="208" t="s">
        <v>40</v>
      </c>
      <c r="H1342" s="275">
        <v>76</v>
      </c>
    </row>
    <row r="1343" spans="1:8" ht="12.75" customHeight="1" x14ac:dyDescent="0.2">
      <c r="A1343" s="273">
        <v>2025</v>
      </c>
      <c r="B1343" s="274" t="s">
        <v>517</v>
      </c>
      <c r="C1343" s="274" t="s">
        <v>1727</v>
      </c>
      <c r="D1343" s="208" t="s">
        <v>1728</v>
      </c>
      <c r="E1343" s="208" t="s">
        <v>1898</v>
      </c>
      <c r="F1343" s="208" t="s">
        <v>27</v>
      </c>
      <c r="G1343" s="208" t="s">
        <v>40</v>
      </c>
      <c r="H1343" s="275">
        <v>5.62</v>
      </c>
    </row>
    <row r="1344" spans="1:8" ht="12.75" customHeight="1" x14ac:dyDescent="0.2">
      <c r="A1344" s="273">
        <v>2025</v>
      </c>
      <c r="B1344" s="274" t="s">
        <v>517</v>
      </c>
      <c r="C1344" s="274" t="s">
        <v>1727</v>
      </c>
      <c r="D1344" s="208" t="s">
        <v>1728</v>
      </c>
      <c r="E1344" s="208" t="s">
        <v>1898</v>
      </c>
      <c r="F1344" s="208" t="s">
        <v>27</v>
      </c>
      <c r="G1344" s="208" t="s">
        <v>40</v>
      </c>
      <c r="H1344" s="275">
        <v>21.84</v>
      </c>
    </row>
    <row r="1345" spans="1:8" ht="12.75" customHeight="1" x14ac:dyDescent="0.2">
      <c r="A1345" s="273">
        <v>2025</v>
      </c>
      <c r="B1345" s="274" t="s">
        <v>738</v>
      </c>
      <c r="C1345" s="274" t="s">
        <v>1734</v>
      </c>
      <c r="D1345" s="208" t="s">
        <v>1735</v>
      </c>
      <c r="E1345" s="208" t="s">
        <v>1899</v>
      </c>
      <c r="F1345" s="208" t="s">
        <v>27</v>
      </c>
      <c r="G1345" s="208" t="s">
        <v>40</v>
      </c>
      <c r="H1345" s="275">
        <v>63.73</v>
      </c>
    </row>
    <row r="1346" spans="1:8" ht="12.75" customHeight="1" x14ac:dyDescent="0.2">
      <c r="A1346" s="273">
        <v>2025</v>
      </c>
      <c r="B1346" s="274" t="s">
        <v>521</v>
      </c>
      <c r="C1346" s="274" t="s">
        <v>1734</v>
      </c>
      <c r="D1346" s="208" t="s">
        <v>1735</v>
      </c>
      <c r="E1346" s="208" t="s">
        <v>1900</v>
      </c>
      <c r="F1346" s="208" t="s">
        <v>27</v>
      </c>
      <c r="G1346" s="208" t="s">
        <v>40</v>
      </c>
      <c r="H1346" s="275">
        <v>59.4</v>
      </c>
    </row>
    <row r="1347" spans="1:8" ht="12.75" customHeight="1" x14ac:dyDescent="0.2">
      <c r="A1347" s="273">
        <v>2025</v>
      </c>
      <c r="B1347" s="274" t="s">
        <v>1671</v>
      </c>
      <c r="C1347" s="274" t="s">
        <v>1745</v>
      </c>
      <c r="D1347" s="208" t="s">
        <v>1746</v>
      </c>
      <c r="E1347" s="208" t="s">
        <v>1901</v>
      </c>
      <c r="F1347" s="208" t="s">
        <v>27</v>
      </c>
      <c r="G1347" s="208" t="s">
        <v>40</v>
      </c>
      <c r="H1347" s="275">
        <v>53.53</v>
      </c>
    </row>
    <row r="1348" spans="1:8" ht="12.75" customHeight="1" x14ac:dyDescent="0.2">
      <c r="A1348" s="273">
        <v>2025</v>
      </c>
      <c r="B1348" s="274" t="s">
        <v>1671</v>
      </c>
      <c r="C1348" s="274" t="s">
        <v>1734</v>
      </c>
      <c r="D1348" s="208" t="s">
        <v>1735</v>
      </c>
      <c r="E1348" s="208" t="s">
        <v>1902</v>
      </c>
      <c r="F1348" s="208" t="s">
        <v>27</v>
      </c>
      <c r="G1348" s="208" t="s">
        <v>40</v>
      </c>
      <c r="H1348" s="275">
        <v>45.39</v>
      </c>
    </row>
    <row r="1349" spans="1:8" ht="12.75" customHeight="1" x14ac:dyDescent="0.2">
      <c r="A1349" s="273">
        <v>2025</v>
      </c>
      <c r="B1349" s="274" t="s">
        <v>1671</v>
      </c>
      <c r="C1349" s="274" t="s">
        <v>1734</v>
      </c>
      <c r="D1349" s="208" t="s">
        <v>1735</v>
      </c>
      <c r="E1349" s="208" t="s">
        <v>1902</v>
      </c>
      <c r="F1349" s="208" t="s">
        <v>27</v>
      </c>
      <c r="G1349" s="208" t="s">
        <v>40</v>
      </c>
      <c r="H1349" s="275">
        <v>36.119999999999997</v>
      </c>
    </row>
    <row r="1350" spans="1:8" ht="12.75" customHeight="1" x14ac:dyDescent="0.2">
      <c r="A1350" s="273">
        <v>2025</v>
      </c>
      <c r="B1350" s="274" t="s">
        <v>1671</v>
      </c>
      <c r="C1350" s="274" t="s">
        <v>1734</v>
      </c>
      <c r="D1350" s="208" t="s">
        <v>1735</v>
      </c>
      <c r="E1350" s="208" t="s">
        <v>1903</v>
      </c>
      <c r="F1350" s="208" t="s">
        <v>27</v>
      </c>
      <c r="G1350" s="208" t="s">
        <v>40</v>
      </c>
      <c r="H1350" s="275">
        <v>9.27</v>
      </c>
    </row>
    <row r="1351" spans="1:8" ht="12.75" customHeight="1" x14ac:dyDescent="0.2">
      <c r="A1351" s="273">
        <v>2025</v>
      </c>
      <c r="B1351" s="274" t="s">
        <v>1671</v>
      </c>
      <c r="C1351" s="274" t="s">
        <v>1734</v>
      </c>
      <c r="D1351" s="208" t="s">
        <v>1735</v>
      </c>
      <c r="E1351" s="208" t="s">
        <v>1903</v>
      </c>
      <c r="F1351" s="208" t="s">
        <v>27</v>
      </c>
      <c r="G1351" s="208" t="s">
        <v>40</v>
      </c>
      <c r="H1351" s="275">
        <v>3.08</v>
      </c>
    </row>
    <row r="1352" spans="1:8" ht="12.75" customHeight="1" x14ac:dyDescent="0.2">
      <c r="A1352" s="273">
        <v>2025</v>
      </c>
      <c r="B1352" s="274" t="s">
        <v>742</v>
      </c>
      <c r="C1352" s="274" t="s">
        <v>1734</v>
      </c>
      <c r="D1352" s="208" t="s">
        <v>1735</v>
      </c>
      <c r="E1352" s="208" t="s">
        <v>1904</v>
      </c>
      <c r="F1352" s="208" t="s">
        <v>27</v>
      </c>
      <c r="G1352" s="208" t="s">
        <v>40</v>
      </c>
      <c r="H1352" s="275">
        <v>77.7</v>
      </c>
    </row>
    <row r="1353" spans="1:8" ht="12.75" customHeight="1" x14ac:dyDescent="0.2">
      <c r="A1353" s="273">
        <v>2025</v>
      </c>
      <c r="B1353" s="274" t="s">
        <v>857</v>
      </c>
      <c r="C1353" s="274" t="s">
        <v>1734</v>
      </c>
      <c r="D1353" s="208" t="s">
        <v>1735</v>
      </c>
      <c r="E1353" s="208" t="s">
        <v>1905</v>
      </c>
      <c r="F1353" s="208" t="s">
        <v>27</v>
      </c>
      <c r="G1353" s="208" t="s">
        <v>40</v>
      </c>
      <c r="H1353" s="275">
        <v>1298.19</v>
      </c>
    </row>
    <row r="1354" spans="1:8" ht="12.75" customHeight="1" x14ac:dyDescent="0.2">
      <c r="A1354" s="273">
        <v>2025</v>
      </c>
      <c r="B1354" s="274" t="s">
        <v>857</v>
      </c>
      <c r="C1354" s="274" t="s">
        <v>1734</v>
      </c>
      <c r="D1354" s="208" t="s">
        <v>1735</v>
      </c>
      <c r="E1354" s="208" t="s">
        <v>1905</v>
      </c>
      <c r="F1354" s="208" t="s">
        <v>27</v>
      </c>
      <c r="G1354" s="208" t="s">
        <v>40</v>
      </c>
      <c r="H1354" s="275">
        <v>299.99</v>
      </c>
    </row>
    <row r="1355" spans="1:8" ht="12.75" customHeight="1" x14ac:dyDescent="0.2">
      <c r="A1355" s="273">
        <v>2025</v>
      </c>
      <c r="B1355" s="274" t="s">
        <v>1906</v>
      </c>
      <c r="C1355" s="274" t="s">
        <v>1734</v>
      </c>
      <c r="D1355" s="208" t="s">
        <v>1735</v>
      </c>
      <c r="E1355" s="208" t="s">
        <v>1907</v>
      </c>
      <c r="F1355" s="208" t="s">
        <v>27</v>
      </c>
      <c r="G1355" s="208" t="s">
        <v>40</v>
      </c>
      <c r="H1355" s="275">
        <v>14.17</v>
      </c>
    </row>
    <row r="1356" spans="1:8" ht="12.75" customHeight="1" x14ac:dyDescent="0.2">
      <c r="A1356" s="273">
        <v>2025</v>
      </c>
      <c r="B1356" s="274" t="s">
        <v>1906</v>
      </c>
      <c r="C1356" s="274" t="s">
        <v>1734</v>
      </c>
      <c r="D1356" s="208" t="s">
        <v>1735</v>
      </c>
      <c r="E1356" s="208" t="s">
        <v>1907</v>
      </c>
      <c r="F1356" s="208" t="s">
        <v>27</v>
      </c>
      <c r="G1356" s="208" t="s">
        <v>40</v>
      </c>
      <c r="H1356" s="275">
        <v>31.73</v>
      </c>
    </row>
    <row r="1357" spans="1:8" ht="12.75" customHeight="1" x14ac:dyDescent="0.2">
      <c r="A1357" s="273">
        <v>2025</v>
      </c>
      <c r="B1357" s="274" t="s">
        <v>1385</v>
      </c>
      <c r="C1357" s="274" t="s">
        <v>1727</v>
      </c>
      <c r="D1357" s="208" t="s">
        <v>1728</v>
      </c>
      <c r="E1357" s="208" t="s">
        <v>1908</v>
      </c>
      <c r="F1357" s="208" t="s">
        <v>27</v>
      </c>
      <c r="G1357" s="208" t="s">
        <v>40</v>
      </c>
      <c r="H1357" s="275">
        <v>6</v>
      </c>
    </row>
    <row r="1358" spans="1:8" ht="12.75" customHeight="1" x14ac:dyDescent="0.2">
      <c r="A1358" s="273">
        <v>2025</v>
      </c>
      <c r="B1358" s="274" t="s">
        <v>1385</v>
      </c>
      <c r="C1358" s="274" t="s">
        <v>1727</v>
      </c>
      <c r="D1358" s="208" t="s">
        <v>1728</v>
      </c>
      <c r="E1358" s="208" t="s">
        <v>1909</v>
      </c>
      <c r="F1358" s="208" t="s">
        <v>27</v>
      </c>
      <c r="G1358" s="208" t="s">
        <v>40</v>
      </c>
      <c r="H1358" s="275">
        <v>27</v>
      </c>
    </row>
    <row r="1359" spans="1:8" ht="12.75" customHeight="1" x14ac:dyDescent="0.2">
      <c r="A1359" s="273">
        <v>2025</v>
      </c>
      <c r="B1359" s="274" t="s">
        <v>528</v>
      </c>
      <c r="C1359" s="274" t="s">
        <v>1745</v>
      </c>
      <c r="D1359" s="208" t="s">
        <v>1746</v>
      </c>
      <c r="E1359" s="208" t="s">
        <v>1910</v>
      </c>
      <c r="F1359" s="208" t="s">
        <v>27</v>
      </c>
      <c r="G1359" s="208" t="s">
        <v>40</v>
      </c>
      <c r="H1359" s="275">
        <v>48.28</v>
      </c>
    </row>
    <row r="1360" spans="1:8" ht="12.75" customHeight="1" x14ac:dyDescent="0.2">
      <c r="A1360" s="273">
        <v>2025</v>
      </c>
      <c r="B1360" s="274" t="s">
        <v>528</v>
      </c>
      <c r="C1360" s="274" t="s">
        <v>1847</v>
      </c>
      <c r="D1360" s="208" t="s">
        <v>1848</v>
      </c>
      <c r="E1360" s="208" t="s">
        <v>1910</v>
      </c>
      <c r="F1360" s="208" t="s">
        <v>27</v>
      </c>
      <c r="G1360" s="208" t="s">
        <v>40</v>
      </c>
      <c r="H1360" s="275">
        <v>66.12</v>
      </c>
    </row>
    <row r="1361" spans="1:8" ht="12.75" customHeight="1" x14ac:dyDescent="0.2">
      <c r="A1361" s="273">
        <v>2025</v>
      </c>
      <c r="B1361" s="274" t="s">
        <v>528</v>
      </c>
      <c r="C1361" s="274" t="s">
        <v>1730</v>
      </c>
      <c r="D1361" s="208" t="s">
        <v>1731</v>
      </c>
      <c r="E1361" s="208" t="s">
        <v>1911</v>
      </c>
      <c r="F1361" s="208" t="s">
        <v>27</v>
      </c>
      <c r="G1361" s="208" t="s">
        <v>40</v>
      </c>
      <c r="H1361" s="275">
        <v>1342.88</v>
      </c>
    </row>
    <row r="1362" spans="1:8" ht="12.75" customHeight="1" x14ac:dyDescent="0.2">
      <c r="A1362" s="273">
        <v>2025</v>
      </c>
      <c r="B1362" s="274" t="s">
        <v>530</v>
      </c>
      <c r="C1362" s="274" t="s">
        <v>1723</v>
      </c>
      <c r="D1362" s="208" t="s">
        <v>1724</v>
      </c>
      <c r="E1362" s="208" t="s">
        <v>1912</v>
      </c>
      <c r="F1362" s="208" t="s">
        <v>27</v>
      </c>
      <c r="G1362" s="208" t="s">
        <v>40</v>
      </c>
      <c r="H1362" s="275">
        <v>48.95</v>
      </c>
    </row>
    <row r="1363" spans="1:8" ht="12.75" customHeight="1" x14ac:dyDescent="0.2">
      <c r="A1363" s="273">
        <v>2025</v>
      </c>
      <c r="B1363" s="274" t="s">
        <v>1273</v>
      </c>
      <c r="C1363" s="274" t="s">
        <v>1734</v>
      </c>
      <c r="D1363" s="208" t="s">
        <v>1735</v>
      </c>
      <c r="E1363" s="208" t="s">
        <v>1913</v>
      </c>
      <c r="F1363" s="208" t="s">
        <v>27</v>
      </c>
      <c r="G1363" s="208" t="s">
        <v>40</v>
      </c>
      <c r="H1363" s="275">
        <v>14.17</v>
      </c>
    </row>
    <row r="1364" spans="1:8" ht="12.75" customHeight="1" x14ac:dyDescent="0.2">
      <c r="A1364" s="273">
        <v>2025</v>
      </c>
      <c r="B1364" s="274" t="s">
        <v>1273</v>
      </c>
      <c r="C1364" s="274" t="s">
        <v>1734</v>
      </c>
      <c r="D1364" s="208" t="s">
        <v>1735</v>
      </c>
      <c r="E1364" s="208" t="s">
        <v>1913</v>
      </c>
      <c r="F1364" s="208" t="s">
        <v>27</v>
      </c>
      <c r="G1364" s="208" t="s">
        <v>40</v>
      </c>
      <c r="H1364" s="275">
        <v>50.82</v>
      </c>
    </row>
    <row r="1365" spans="1:8" ht="12.75" customHeight="1" x14ac:dyDescent="0.2">
      <c r="A1365" s="273">
        <v>2025</v>
      </c>
      <c r="B1365" s="274" t="s">
        <v>1678</v>
      </c>
      <c r="C1365" s="274" t="s">
        <v>1734</v>
      </c>
      <c r="D1365" s="208" t="s">
        <v>1735</v>
      </c>
      <c r="E1365" s="208" t="s">
        <v>1914</v>
      </c>
      <c r="F1365" s="208" t="s">
        <v>27</v>
      </c>
      <c r="G1365" s="208" t="s">
        <v>40</v>
      </c>
      <c r="H1365" s="275">
        <v>100.66</v>
      </c>
    </row>
    <row r="1366" spans="1:8" ht="12.75" customHeight="1" x14ac:dyDescent="0.2">
      <c r="A1366" s="273">
        <v>2025</v>
      </c>
      <c r="B1366" s="274" t="s">
        <v>1915</v>
      </c>
      <c r="C1366" s="274" t="s">
        <v>1745</v>
      </c>
      <c r="D1366" s="208" t="s">
        <v>1746</v>
      </c>
      <c r="E1366" s="208" t="s">
        <v>1916</v>
      </c>
      <c r="F1366" s="208" t="s">
        <v>27</v>
      </c>
      <c r="G1366" s="208" t="s">
        <v>40</v>
      </c>
      <c r="H1366" s="275">
        <v>101.79</v>
      </c>
    </row>
    <row r="1367" spans="1:8" ht="12.75" customHeight="1" x14ac:dyDescent="0.2">
      <c r="A1367" s="273">
        <v>2025</v>
      </c>
      <c r="B1367" s="274" t="s">
        <v>1915</v>
      </c>
      <c r="C1367" s="274" t="s">
        <v>1847</v>
      </c>
      <c r="D1367" s="208" t="s">
        <v>1848</v>
      </c>
      <c r="E1367" s="208" t="s">
        <v>1916</v>
      </c>
      <c r="F1367" s="208" t="s">
        <v>27</v>
      </c>
      <c r="G1367" s="208" t="s">
        <v>40</v>
      </c>
      <c r="H1367" s="275">
        <v>114.34</v>
      </c>
    </row>
    <row r="1368" spans="1:8" ht="12.75" customHeight="1" x14ac:dyDescent="0.2">
      <c r="A1368" s="273">
        <v>2025</v>
      </c>
      <c r="B1368" s="274" t="s">
        <v>1917</v>
      </c>
      <c r="C1368" s="274" t="s">
        <v>1734</v>
      </c>
      <c r="D1368" s="208" t="s">
        <v>1735</v>
      </c>
      <c r="E1368" s="208" t="s">
        <v>1918</v>
      </c>
      <c r="F1368" s="208" t="s">
        <v>27</v>
      </c>
      <c r="G1368" s="208" t="s">
        <v>40</v>
      </c>
      <c r="H1368" s="275">
        <v>53.08</v>
      </c>
    </row>
    <row r="1369" spans="1:8" ht="12.75" customHeight="1" x14ac:dyDescent="0.2">
      <c r="A1369" s="273">
        <v>2025</v>
      </c>
      <c r="B1369" s="274" t="s">
        <v>1919</v>
      </c>
      <c r="C1369" s="274" t="s">
        <v>1745</v>
      </c>
      <c r="D1369" s="208" t="s">
        <v>1746</v>
      </c>
      <c r="E1369" s="208" t="s">
        <v>1920</v>
      </c>
      <c r="F1369" s="208" t="s">
        <v>27</v>
      </c>
      <c r="G1369" s="208" t="s">
        <v>40</v>
      </c>
      <c r="H1369" s="275">
        <v>29.96</v>
      </c>
    </row>
    <row r="1370" spans="1:8" ht="12.75" customHeight="1" x14ac:dyDescent="0.2">
      <c r="A1370" s="273">
        <v>2025</v>
      </c>
      <c r="B1370" s="274" t="s">
        <v>1919</v>
      </c>
      <c r="C1370" s="274" t="s">
        <v>1734</v>
      </c>
      <c r="D1370" s="208" t="s">
        <v>1735</v>
      </c>
      <c r="E1370" s="208" t="s">
        <v>1921</v>
      </c>
      <c r="F1370" s="208" t="s">
        <v>27</v>
      </c>
      <c r="G1370" s="208" t="s">
        <v>40</v>
      </c>
      <c r="H1370" s="275">
        <v>7.08</v>
      </c>
    </row>
    <row r="1371" spans="1:8" ht="12.75" customHeight="1" x14ac:dyDescent="0.2">
      <c r="A1371" s="273">
        <v>2025</v>
      </c>
      <c r="B1371" s="274" t="s">
        <v>1919</v>
      </c>
      <c r="C1371" s="274" t="s">
        <v>1734</v>
      </c>
      <c r="D1371" s="208" t="s">
        <v>1735</v>
      </c>
      <c r="E1371" s="208" t="s">
        <v>1921</v>
      </c>
      <c r="F1371" s="208" t="s">
        <v>27</v>
      </c>
      <c r="G1371" s="208" t="s">
        <v>40</v>
      </c>
      <c r="H1371" s="275">
        <v>70.180000000000007</v>
      </c>
    </row>
    <row r="1372" spans="1:8" ht="12.75" customHeight="1" x14ac:dyDescent="0.2">
      <c r="A1372" s="273">
        <v>2025</v>
      </c>
      <c r="B1372" s="274" t="s">
        <v>1554</v>
      </c>
      <c r="C1372" s="274" t="s">
        <v>1730</v>
      </c>
      <c r="D1372" s="208" t="s">
        <v>1731</v>
      </c>
      <c r="E1372" s="208" t="s">
        <v>1922</v>
      </c>
      <c r="F1372" s="208" t="s">
        <v>27</v>
      </c>
      <c r="G1372" s="208" t="s">
        <v>40</v>
      </c>
      <c r="H1372" s="275">
        <v>129.36000000000001</v>
      </c>
    </row>
    <row r="1373" spans="1:8" ht="12.75" customHeight="1" x14ac:dyDescent="0.2">
      <c r="A1373" s="273">
        <v>2025</v>
      </c>
      <c r="B1373" s="274" t="s">
        <v>536</v>
      </c>
      <c r="C1373" s="274" t="s">
        <v>1847</v>
      </c>
      <c r="D1373" s="208" t="s">
        <v>1848</v>
      </c>
      <c r="E1373" s="208" t="s">
        <v>1923</v>
      </c>
      <c r="F1373" s="208" t="s">
        <v>27</v>
      </c>
      <c r="G1373" s="208" t="s">
        <v>40</v>
      </c>
      <c r="H1373" s="275">
        <v>120.32</v>
      </c>
    </row>
    <row r="1374" spans="1:8" ht="12.75" customHeight="1" x14ac:dyDescent="0.2">
      <c r="A1374" s="273">
        <v>2025</v>
      </c>
      <c r="B1374" s="274" t="s">
        <v>536</v>
      </c>
      <c r="C1374" s="274" t="s">
        <v>1730</v>
      </c>
      <c r="D1374" s="208" t="s">
        <v>1731</v>
      </c>
      <c r="E1374" s="208" t="s">
        <v>1924</v>
      </c>
      <c r="F1374" s="208" t="s">
        <v>27</v>
      </c>
      <c r="G1374" s="208" t="s">
        <v>40</v>
      </c>
      <c r="H1374" s="275">
        <v>979.32</v>
      </c>
    </row>
    <row r="1375" spans="1:8" ht="12.75" customHeight="1" x14ac:dyDescent="0.2">
      <c r="A1375" s="273">
        <v>2025</v>
      </c>
      <c r="B1375" s="274" t="s">
        <v>538</v>
      </c>
      <c r="C1375" s="274" t="s">
        <v>1750</v>
      </c>
      <c r="D1375" s="208" t="s">
        <v>1751</v>
      </c>
      <c r="E1375" s="208" t="s">
        <v>1925</v>
      </c>
      <c r="F1375" s="208" t="s">
        <v>27</v>
      </c>
      <c r="G1375" s="208" t="s">
        <v>40</v>
      </c>
      <c r="H1375" s="275">
        <v>30.39</v>
      </c>
    </row>
    <row r="1376" spans="1:8" ht="12.75" customHeight="1" x14ac:dyDescent="0.2">
      <c r="A1376" s="273">
        <v>2025</v>
      </c>
      <c r="B1376" s="274" t="s">
        <v>1563</v>
      </c>
      <c r="C1376" s="274" t="s">
        <v>1727</v>
      </c>
      <c r="D1376" s="208" t="s">
        <v>1728</v>
      </c>
      <c r="E1376" s="208" t="s">
        <v>1926</v>
      </c>
      <c r="F1376" s="208" t="s">
        <v>27</v>
      </c>
      <c r="G1376" s="208" t="s">
        <v>40</v>
      </c>
      <c r="H1376" s="275">
        <v>6</v>
      </c>
    </row>
    <row r="1377" spans="1:8" ht="12.75" customHeight="1" x14ac:dyDescent="0.2">
      <c r="A1377" s="273">
        <v>2025</v>
      </c>
      <c r="B1377" s="274" t="s">
        <v>1563</v>
      </c>
      <c r="C1377" s="274" t="s">
        <v>1727</v>
      </c>
      <c r="D1377" s="208" t="s">
        <v>1728</v>
      </c>
      <c r="E1377" s="208" t="s">
        <v>1926</v>
      </c>
      <c r="F1377" s="208" t="s">
        <v>27</v>
      </c>
      <c r="G1377" s="208" t="s">
        <v>40</v>
      </c>
      <c r="H1377" s="275">
        <v>16.27</v>
      </c>
    </row>
    <row r="1378" spans="1:8" ht="12.75" customHeight="1" x14ac:dyDescent="0.2">
      <c r="A1378" s="273">
        <v>2025</v>
      </c>
      <c r="B1378" s="274" t="s">
        <v>906</v>
      </c>
      <c r="C1378" s="274" t="s">
        <v>1734</v>
      </c>
      <c r="D1378" s="208" t="s">
        <v>1735</v>
      </c>
      <c r="E1378" s="208" t="s">
        <v>1927</v>
      </c>
      <c r="F1378" s="208" t="s">
        <v>27</v>
      </c>
      <c r="G1378" s="208" t="s">
        <v>40</v>
      </c>
      <c r="H1378" s="275">
        <v>136.25</v>
      </c>
    </row>
    <row r="1379" spans="1:8" ht="12.75" customHeight="1" x14ac:dyDescent="0.2">
      <c r="A1379" s="273">
        <v>2025</v>
      </c>
      <c r="B1379" s="274" t="s">
        <v>906</v>
      </c>
      <c r="C1379" s="274" t="s">
        <v>1734</v>
      </c>
      <c r="D1379" s="208" t="s">
        <v>1735</v>
      </c>
      <c r="E1379" s="208" t="s">
        <v>1928</v>
      </c>
      <c r="F1379" s="208" t="s">
        <v>27</v>
      </c>
      <c r="G1379" s="208" t="s">
        <v>40</v>
      </c>
      <c r="H1379" s="275">
        <v>39.200000000000003</v>
      </c>
    </row>
    <row r="1380" spans="1:8" ht="12.75" customHeight="1" x14ac:dyDescent="0.2">
      <c r="A1380" s="273">
        <v>2025</v>
      </c>
      <c r="B1380" s="274" t="s">
        <v>906</v>
      </c>
      <c r="C1380" s="274" t="s">
        <v>1734</v>
      </c>
      <c r="D1380" s="208" t="s">
        <v>1735</v>
      </c>
      <c r="E1380" s="208" t="s">
        <v>1928</v>
      </c>
      <c r="F1380" s="208" t="s">
        <v>27</v>
      </c>
      <c r="G1380" s="208" t="s">
        <v>40</v>
      </c>
      <c r="H1380" s="275">
        <v>3.45</v>
      </c>
    </row>
    <row r="1381" spans="1:8" ht="12.75" customHeight="1" x14ac:dyDescent="0.2">
      <c r="A1381" s="273">
        <v>2025</v>
      </c>
      <c r="B1381" s="274" t="s">
        <v>906</v>
      </c>
      <c r="C1381" s="274" t="s">
        <v>1734</v>
      </c>
      <c r="D1381" s="208" t="s">
        <v>1735</v>
      </c>
      <c r="E1381" s="208" t="s">
        <v>1929</v>
      </c>
      <c r="F1381" s="208" t="s">
        <v>27</v>
      </c>
      <c r="G1381" s="208" t="s">
        <v>40</v>
      </c>
      <c r="H1381" s="275">
        <v>36.520000000000003</v>
      </c>
    </row>
    <row r="1382" spans="1:8" ht="12.75" customHeight="1" x14ac:dyDescent="0.2">
      <c r="A1382" s="273">
        <v>2025</v>
      </c>
      <c r="B1382" s="274" t="s">
        <v>1930</v>
      </c>
      <c r="C1382" s="274" t="s">
        <v>1723</v>
      </c>
      <c r="D1382" s="208" t="s">
        <v>1724</v>
      </c>
      <c r="E1382" s="208" t="s">
        <v>1931</v>
      </c>
      <c r="F1382" s="208" t="s">
        <v>27</v>
      </c>
      <c r="G1382" s="208" t="s">
        <v>40</v>
      </c>
      <c r="H1382" s="275">
        <v>46.45</v>
      </c>
    </row>
    <row r="1383" spans="1:8" ht="12.75" customHeight="1" x14ac:dyDescent="0.2">
      <c r="A1383" s="273">
        <v>2025</v>
      </c>
      <c r="B1383" s="274" t="s">
        <v>1930</v>
      </c>
      <c r="C1383" s="274" t="s">
        <v>1734</v>
      </c>
      <c r="D1383" s="208" t="s">
        <v>1735</v>
      </c>
      <c r="E1383" s="208" t="s">
        <v>1932</v>
      </c>
      <c r="F1383" s="208" t="s">
        <v>27</v>
      </c>
      <c r="G1383" s="208" t="s">
        <v>40</v>
      </c>
      <c r="H1383" s="275">
        <v>79.17</v>
      </c>
    </row>
    <row r="1384" spans="1:8" ht="12.75" customHeight="1" x14ac:dyDescent="0.2">
      <c r="A1384" s="273">
        <v>2025</v>
      </c>
      <c r="B1384" s="274" t="s">
        <v>755</v>
      </c>
      <c r="C1384" s="274" t="s">
        <v>1734</v>
      </c>
      <c r="D1384" s="208" t="s">
        <v>1735</v>
      </c>
      <c r="E1384" s="208" t="s">
        <v>1933</v>
      </c>
      <c r="F1384" s="208" t="s">
        <v>27</v>
      </c>
      <c r="G1384" s="208" t="s">
        <v>40</v>
      </c>
      <c r="H1384" s="275">
        <v>25.84</v>
      </c>
    </row>
    <row r="1385" spans="1:8" ht="12.75" customHeight="1" x14ac:dyDescent="0.2">
      <c r="A1385" s="273">
        <v>2025</v>
      </c>
      <c r="B1385" s="274" t="s">
        <v>755</v>
      </c>
      <c r="C1385" s="274" t="s">
        <v>1734</v>
      </c>
      <c r="D1385" s="208" t="s">
        <v>1735</v>
      </c>
      <c r="E1385" s="208" t="s">
        <v>1934</v>
      </c>
      <c r="F1385" s="208" t="s">
        <v>27</v>
      </c>
      <c r="G1385" s="208" t="s">
        <v>40</v>
      </c>
      <c r="H1385" s="275">
        <v>14.17</v>
      </c>
    </row>
    <row r="1386" spans="1:8" ht="12.75" customHeight="1" x14ac:dyDescent="0.2">
      <c r="A1386" s="273">
        <v>2025</v>
      </c>
      <c r="B1386" s="274" t="s">
        <v>755</v>
      </c>
      <c r="C1386" s="274" t="s">
        <v>1734</v>
      </c>
      <c r="D1386" s="208" t="s">
        <v>1735</v>
      </c>
      <c r="E1386" s="208" t="s">
        <v>1934</v>
      </c>
      <c r="F1386" s="208" t="s">
        <v>27</v>
      </c>
      <c r="G1386" s="208" t="s">
        <v>40</v>
      </c>
      <c r="H1386" s="275">
        <v>34.450000000000003</v>
      </c>
    </row>
    <row r="1387" spans="1:8" ht="12.75" customHeight="1" x14ac:dyDescent="0.2">
      <c r="A1387" s="273">
        <v>2025</v>
      </c>
      <c r="B1387" s="274" t="s">
        <v>1686</v>
      </c>
      <c r="C1387" s="274" t="s">
        <v>1734</v>
      </c>
      <c r="D1387" s="208" t="s">
        <v>1735</v>
      </c>
      <c r="E1387" s="208" t="s">
        <v>1935</v>
      </c>
      <c r="F1387" s="208" t="s">
        <v>27</v>
      </c>
      <c r="G1387" s="208" t="s">
        <v>40</v>
      </c>
      <c r="H1387" s="275">
        <v>76.900000000000006</v>
      </c>
    </row>
    <row r="1388" spans="1:8" ht="12.75" customHeight="1" x14ac:dyDescent="0.2">
      <c r="A1388" s="273">
        <v>2025</v>
      </c>
      <c r="B1388" s="274" t="s">
        <v>1686</v>
      </c>
      <c r="C1388" s="274" t="s">
        <v>1734</v>
      </c>
      <c r="D1388" s="208" t="s">
        <v>1735</v>
      </c>
      <c r="E1388" s="208" t="s">
        <v>1935</v>
      </c>
      <c r="F1388" s="208" t="s">
        <v>27</v>
      </c>
      <c r="G1388" s="208" t="s">
        <v>40</v>
      </c>
      <c r="H1388" s="275">
        <v>36.33</v>
      </c>
    </row>
    <row r="1389" spans="1:8" ht="12.75" customHeight="1" x14ac:dyDescent="0.2">
      <c r="A1389" s="273">
        <v>2025</v>
      </c>
      <c r="B1389" s="274" t="s">
        <v>1936</v>
      </c>
      <c r="C1389" s="274" t="s">
        <v>1745</v>
      </c>
      <c r="D1389" s="208" t="s">
        <v>1746</v>
      </c>
      <c r="E1389" s="208" t="s">
        <v>1937</v>
      </c>
      <c r="F1389" s="208" t="s">
        <v>27</v>
      </c>
      <c r="G1389" s="208" t="s">
        <v>40</v>
      </c>
      <c r="H1389" s="275">
        <v>45.54</v>
      </c>
    </row>
    <row r="1390" spans="1:8" ht="12.75" customHeight="1" x14ac:dyDescent="0.2">
      <c r="A1390" s="273">
        <v>2025</v>
      </c>
      <c r="B1390" s="274" t="s">
        <v>1936</v>
      </c>
      <c r="C1390" s="274" t="s">
        <v>1847</v>
      </c>
      <c r="D1390" s="208" t="s">
        <v>1848</v>
      </c>
      <c r="E1390" s="208" t="s">
        <v>1937</v>
      </c>
      <c r="F1390" s="208" t="s">
        <v>27</v>
      </c>
      <c r="G1390" s="208" t="s">
        <v>40</v>
      </c>
      <c r="H1390" s="275">
        <v>131.94999999999999</v>
      </c>
    </row>
    <row r="1391" spans="1:8" ht="12.75" customHeight="1" x14ac:dyDescent="0.2">
      <c r="A1391" s="273">
        <v>2025</v>
      </c>
      <c r="B1391" s="274" t="s">
        <v>1938</v>
      </c>
      <c r="C1391" s="274" t="s">
        <v>1734</v>
      </c>
      <c r="D1391" s="208" t="s">
        <v>1735</v>
      </c>
      <c r="E1391" s="208" t="s">
        <v>1939</v>
      </c>
      <c r="F1391" s="208" t="s">
        <v>27</v>
      </c>
      <c r="G1391" s="208" t="s">
        <v>40</v>
      </c>
      <c r="H1391" s="275">
        <v>202.48</v>
      </c>
    </row>
    <row r="1392" spans="1:8" ht="12.75" customHeight="1" x14ac:dyDescent="0.2">
      <c r="A1392" s="273">
        <v>2025</v>
      </c>
      <c r="B1392" s="274" t="s">
        <v>549</v>
      </c>
      <c r="C1392" s="274" t="s">
        <v>1745</v>
      </c>
      <c r="D1392" s="208" t="s">
        <v>1746</v>
      </c>
      <c r="E1392" s="208" t="s">
        <v>1940</v>
      </c>
      <c r="F1392" s="208" t="s">
        <v>27</v>
      </c>
      <c r="G1392" s="208" t="s">
        <v>40</v>
      </c>
      <c r="H1392" s="275">
        <v>56.26</v>
      </c>
    </row>
    <row r="1393" spans="1:8" ht="12.75" customHeight="1" x14ac:dyDescent="0.2">
      <c r="A1393" s="273">
        <v>2025</v>
      </c>
      <c r="B1393" s="274" t="s">
        <v>549</v>
      </c>
      <c r="C1393" s="274" t="s">
        <v>1847</v>
      </c>
      <c r="D1393" s="208" t="s">
        <v>1848</v>
      </c>
      <c r="E1393" s="208" t="s">
        <v>1940</v>
      </c>
      <c r="F1393" s="208" t="s">
        <v>27</v>
      </c>
      <c r="G1393" s="208" t="s">
        <v>40</v>
      </c>
      <c r="H1393" s="275">
        <v>64.61</v>
      </c>
    </row>
    <row r="1394" spans="1:8" ht="12.75" customHeight="1" x14ac:dyDescent="0.2">
      <c r="A1394" s="273">
        <v>2025</v>
      </c>
      <c r="B1394" s="274" t="s">
        <v>549</v>
      </c>
      <c r="C1394" s="274" t="s">
        <v>1730</v>
      </c>
      <c r="D1394" s="208" t="s">
        <v>1731</v>
      </c>
      <c r="E1394" s="208" t="s">
        <v>1941</v>
      </c>
      <c r="F1394" s="208" t="s">
        <v>27</v>
      </c>
      <c r="G1394" s="208" t="s">
        <v>40</v>
      </c>
      <c r="H1394" s="275">
        <v>609.72</v>
      </c>
    </row>
    <row r="1395" spans="1:8" ht="12.75" customHeight="1" x14ac:dyDescent="0.2">
      <c r="A1395" s="273">
        <v>2025</v>
      </c>
      <c r="B1395" s="274" t="s">
        <v>549</v>
      </c>
      <c r="C1395" s="274" t="s">
        <v>1734</v>
      </c>
      <c r="D1395" s="208" t="s">
        <v>1735</v>
      </c>
      <c r="E1395" s="208" t="s">
        <v>1942</v>
      </c>
      <c r="F1395" s="208" t="s">
        <v>27</v>
      </c>
      <c r="G1395" s="208" t="s">
        <v>40</v>
      </c>
      <c r="H1395" s="275">
        <v>31.82</v>
      </c>
    </row>
    <row r="1396" spans="1:8" ht="12.75" customHeight="1" x14ac:dyDescent="0.2">
      <c r="A1396" s="273">
        <v>2025</v>
      </c>
      <c r="B1396" s="274" t="s">
        <v>762</v>
      </c>
      <c r="C1396" s="274" t="s">
        <v>1723</v>
      </c>
      <c r="D1396" s="208" t="s">
        <v>1724</v>
      </c>
      <c r="E1396" s="208" t="s">
        <v>1943</v>
      </c>
      <c r="F1396" s="208" t="s">
        <v>27</v>
      </c>
      <c r="G1396" s="208" t="s">
        <v>40</v>
      </c>
      <c r="H1396" s="275">
        <v>97.62</v>
      </c>
    </row>
    <row r="1397" spans="1:8" ht="12.75" customHeight="1" x14ac:dyDescent="0.2">
      <c r="A1397" s="273">
        <v>2025</v>
      </c>
      <c r="B1397" s="274" t="s">
        <v>762</v>
      </c>
      <c r="C1397" s="274" t="s">
        <v>1734</v>
      </c>
      <c r="D1397" s="208" t="s">
        <v>1735</v>
      </c>
      <c r="E1397" s="208" t="s">
        <v>1944</v>
      </c>
      <c r="F1397" s="208" t="s">
        <v>27</v>
      </c>
      <c r="G1397" s="208" t="s">
        <v>40</v>
      </c>
      <c r="H1397" s="275">
        <v>220.6</v>
      </c>
    </row>
    <row r="1398" spans="1:8" ht="12.75" customHeight="1" x14ac:dyDescent="0.2">
      <c r="A1398" s="273">
        <v>2025</v>
      </c>
      <c r="B1398" s="274" t="s">
        <v>551</v>
      </c>
      <c r="C1398" s="274" t="s">
        <v>1730</v>
      </c>
      <c r="D1398" s="208" t="s">
        <v>1731</v>
      </c>
      <c r="E1398" s="208" t="s">
        <v>1945</v>
      </c>
      <c r="F1398" s="208" t="s">
        <v>27</v>
      </c>
      <c r="G1398" s="208" t="s">
        <v>40</v>
      </c>
      <c r="H1398" s="275">
        <v>31.67</v>
      </c>
    </row>
    <row r="1399" spans="1:8" ht="12.75" customHeight="1" x14ac:dyDescent="0.2">
      <c r="A1399" s="273">
        <v>2025</v>
      </c>
      <c r="B1399" s="274" t="s">
        <v>551</v>
      </c>
      <c r="C1399" s="274" t="s">
        <v>1730</v>
      </c>
      <c r="D1399" s="208" t="s">
        <v>1731</v>
      </c>
      <c r="E1399" s="208" t="s">
        <v>1946</v>
      </c>
      <c r="F1399" s="208" t="s">
        <v>27</v>
      </c>
      <c r="G1399" s="208" t="s">
        <v>40</v>
      </c>
      <c r="H1399" s="275">
        <v>124.5</v>
      </c>
    </row>
    <row r="1400" spans="1:8" ht="12.75" customHeight="1" x14ac:dyDescent="0.2">
      <c r="A1400" s="273">
        <v>2025</v>
      </c>
      <c r="B1400" s="274" t="s">
        <v>551</v>
      </c>
      <c r="C1400" s="274" t="s">
        <v>1730</v>
      </c>
      <c r="D1400" s="208" t="s">
        <v>1731</v>
      </c>
      <c r="E1400" s="208" t="s">
        <v>1947</v>
      </c>
      <c r="F1400" s="208" t="s">
        <v>27</v>
      </c>
      <c r="G1400" s="208" t="s">
        <v>40</v>
      </c>
      <c r="H1400" s="275">
        <v>22.73</v>
      </c>
    </row>
    <row r="1401" spans="1:8" ht="12.75" customHeight="1" x14ac:dyDescent="0.2">
      <c r="A1401" s="273">
        <v>2025</v>
      </c>
      <c r="B1401" s="274" t="s">
        <v>1689</v>
      </c>
      <c r="C1401" s="274" t="s">
        <v>1734</v>
      </c>
      <c r="D1401" s="208" t="s">
        <v>1735</v>
      </c>
      <c r="E1401" s="208" t="s">
        <v>1948</v>
      </c>
      <c r="F1401" s="208" t="s">
        <v>27</v>
      </c>
      <c r="G1401" s="208" t="s">
        <v>40</v>
      </c>
      <c r="H1401" s="275">
        <v>14.17</v>
      </c>
    </row>
    <row r="1402" spans="1:8" ht="12.75" customHeight="1" x14ac:dyDescent="0.2">
      <c r="A1402" s="273">
        <v>2025</v>
      </c>
      <c r="B1402" s="274" t="s">
        <v>1689</v>
      </c>
      <c r="C1402" s="274" t="s">
        <v>1734</v>
      </c>
      <c r="D1402" s="208" t="s">
        <v>1735</v>
      </c>
      <c r="E1402" s="208" t="s">
        <v>1948</v>
      </c>
      <c r="F1402" s="208" t="s">
        <v>27</v>
      </c>
      <c r="G1402" s="208" t="s">
        <v>40</v>
      </c>
      <c r="H1402" s="275">
        <v>49.91</v>
      </c>
    </row>
    <row r="1403" spans="1:8" ht="12.75" customHeight="1" x14ac:dyDescent="0.2">
      <c r="A1403" s="273">
        <v>2025</v>
      </c>
      <c r="B1403" s="274" t="s">
        <v>1949</v>
      </c>
      <c r="C1403" s="274" t="s">
        <v>1734</v>
      </c>
      <c r="D1403" s="208" t="s">
        <v>1735</v>
      </c>
      <c r="E1403" s="208" t="s">
        <v>1950</v>
      </c>
      <c r="F1403" s="208" t="s">
        <v>27</v>
      </c>
      <c r="G1403" s="208" t="s">
        <v>40</v>
      </c>
      <c r="H1403" s="275">
        <v>15.83</v>
      </c>
    </row>
    <row r="1404" spans="1:8" ht="12.75" customHeight="1" x14ac:dyDescent="0.2">
      <c r="A1404" s="273">
        <v>2025</v>
      </c>
      <c r="B1404" s="274" t="s">
        <v>1949</v>
      </c>
      <c r="C1404" s="274" t="s">
        <v>1734</v>
      </c>
      <c r="D1404" s="208" t="s">
        <v>1735</v>
      </c>
      <c r="E1404" s="208" t="s">
        <v>1950</v>
      </c>
      <c r="F1404" s="208" t="s">
        <v>27</v>
      </c>
      <c r="G1404" s="208" t="s">
        <v>40</v>
      </c>
      <c r="H1404" s="275">
        <v>55.36</v>
      </c>
    </row>
    <row r="1405" spans="1:8" ht="12.75" customHeight="1" x14ac:dyDescent="0.2">
      <c r="A1405" s="273">
        <v>2025</v>
      </c>
      <c r="B1405" s="274" t="s">
        <v>864</v>
      </c>
      <c r="C1405" s="274" t="s">
        <v>1951</v>
      </c>
      <c r="D1405" s="208" t="s">
        <v>1952</v>
      </c>
      <c r="E1405" s="208" t="s">
        <v>1953</v>
      </c>
      <c r="F1405" s="208" t="s">
        <v>27</v>
      </c>
      <c r="G1405" s="208" t="s">
        <v>40</v>
      </c>
      <c r="H1405" s="275">
        <v>91.64</v>
      </c>
    </row>
    <row r="1406" spans="1:8" ht="12.75" customHeight="1" x14ac:dyDescent="0.2">
      <c r="A1406" s="273">
        <v>2025</v>
      </c>
      <c r="B1406" s="274" t="s">
        <v>553</v>
      </c>
      <c r="C1406" s="274" t="s">
        <v>1734</v>
      </c>
      <c r="D1406" s="208" t="s">
        <v>1735</v>
      </c>
      <c r="E1406" s="208" t="s">
        <v>1954</v>
      </c>
      <c r="F1406" s="208" t="s">
        <v>27</v>
      </c>
      <c r="G1406" s="208" t="s">
        <v>40</v>
      </c>
      <c r="H1406" s="275">
        <v>75.33</v>
      </c>
    </row>
    <row r="1407" spans="1:8" ht="12.75" customHeight="1" x14ac:dyDescent="0.2">
      <c r="A1407" s="273">
        <v>2025</v>
      </c>
      <c r="B1407" s="274" t="s">
        <v>553</v>
      </c>
      <c r="C1407" s="274" t="s">
        <v>1734</v>
      </c>
      <c r="D1407" s="208" t="s">
        <v>1735</v>
      </c>
      <c r="E1407" s="208" t="s">
        <v>1954</v>
      </c>
      <c r="F1407" s="208" t="s">
        <v>27</v>
      </c>
      <c r="G1407" s="208" t="s">
        <v>40</v>
      </c>
      <c r="H1407" s="275">
        <v>129.63999999999999</v>
      </c>
    </row>
    <row r="1408" spans="1:8" ht="12.75" customHeight="1" x14ac:dyDescent="0.2">
      <c r="A1408" s="273">
        <v>2025</v>
      </c>
      <c r="B1408" s="274" t="s">
        <v>767</v>
      </c>
      <c r="C1408" s="274" t="s">
        <v>1730</v>
      </c>
      <c r="D1408" s="208" t="s">
        <v>1731</v>
      </c>
      <c r="E1408" s="208" t="s">
        <v>1945</v>
      </c>
      <c r="F1408" s="208" t="s">
        <v>27</v>
      </c>
      <c r="G1408" s="208" t="s">
        <v>40</v>
      </c>
      <c r="H1408" s="275">
        <v>13.97</v>
      </c>
    </row>
    <row r="1409" spans="1:8" ht="12.75" customHeight="1" x14ac:dyDescent="0.2">
      <c r="A1409" s="273">
        <v>2025</v>
      </c>
      <c r="B1409" s="274" t="s">
        <v>767</v>
      </c>
      <c r="C1409" s="274" t="s">
        <v>1730</v>
      </c>
      <c r="D1409" s="208" t="s">
        <v>1731</v>
      </c>
      <c r="E1409" s="208" t="s">
        <v>1945</v>
      </c>
      <c r="F1409" s="208" t="s">
        <v>27</v>
      </c>
      <c r="G1409" s="208" t="s">
        <v>40</v>
      </c>
      <c r="H1409" s="275">
        <v>12.98</v>
      </c>
    </row>
    <row r="1410" spans="1:8" ht="12.75" customHeight="1" x14ac:dyDescent="0.2">
      <c r="A1410" s="273">
        <v>2025</v>
      </c>
      <c r="B1410" s="274" t="s">
        <v>770</v>
      </c>
      <c r="C1410" s="274" t="s">
        <v>1745</v>
      </c>
      <c r="D1410" s="208" t="s">
        <v>1746</v>
      </c>
      <c r="E1410" s="208" t="s">
        <v>1955</v>
      </c>
      <c r="F1410" s="208" t="s">
        <v>27</v>
      </c>
      <c r="G1410" s="208" t="s">
        <v>40</v>
      </c>
      <c r="H1410" s="275">
        <v>84.74</v>
      </c>
    </row>
    <row r="1411" spans="1:8" ht="12.75" customHeight="1" x14ac:dyDescent="0.2">
      <c r="A1411" s="273">
        <v>2025</v>
      </c>
      <c r="B1411" s="274" t="s">
        <v>770</v>
      </c>
      <c r="C1411" s="274" t="s">
        <v>1745</v>
      </c>
      <c r="D1411" s="208" t="s">
        <v>1746</v>
      </c>
      <c r="E1411" s="208" t="s">
        <v>1956</v>
      </c>
      <c r="F1411" s="208" t="s">
        <v>27</v>
      </c>
      <c r="G1411" s="208" t="s">
        <v>40</v>
      </c>
      <c r="H1411" s="275">
        <v>67.91</v>
      </c>
    </row>
    <row r="1412" spans="1:8" ht="12.75" customHeight="1" x14ac:dyDescent="0.2">
      <c r="A1412" s="273">
        <v>2025</v>
      </c>
      <c r="B1412" s="274" t="s">
        <v>770</v>
      </c>
      <c r="C1412" s="274" t="s">
        <v>1847</v>
      </c>
      <c r="D1412" s="208" t="s">
        <v>1848</v>
      </c>
      <c r="E1412" s="208" t="s">
        <v>1955</v>
      </c>
      <c r="F1412" s="208" t="s">
        <v>27</v>
      </c>
      <c r="G1412" s="208" t="s">
        <v>40</v>
      </c>
      <c r="H1412" s="275">
        <v>80.56</v>
      </c>
    </row>
    <row r="1413" spans="1:8" ht="12.75" customHeight="1" x14ac:dyDescent="0.2">
      <c r="A1413" s="273">
        <v>2025</v>
      </c>
      <c r="B1413" s="274" t="s">
        <v>557</v>
      </c>
      <c r="C1413" s="274" t="s">
        <v>1734</v>
      </c>
      <c r="D1413" s="208" t="s">
        <v>1735</v>
      </c>
      <c r="E1413" s="208" t="s">
        <v>1957</v>
      </c>
      <c r="F1413" s="208" t="s">
        <v>27</v>
      </c>
      <c r="G1413" s="208" t="s">
        <v>40</v>
      </c>
      <c r="H1413" s="275">
        <v>21.67</v>
      </c>
    </row>
    <row r="1414" spans="1:8" ht="12.75" customHeight="1" x14ac:dyDescent="0.2">
      <c r="A1414" s="273">
        <v>2025</v>
      </c>
      <c r="B1414" s="274" t="s">
        <v>557</v>
      </c>
      <c r="C1414" s="274" t="s">
        <v>1734</v>
      </c>
      <c r="D1414" s="208" t="s">
        <v>1735</v>
      </c>
      <c r="E1414" s="208" t="s">
        <v>1957</v>
      </c>
      <c r="F1414" s="208" t="s">
        <v>27</v>
      </c>
      <c r="G1414" s="208" t="s">
        <v>40</v>
      </c>
      <c r="H1414" s="275">
        <v>37.090000000000003</v>
      </c>
    </row>
    <row r="1415" spans="1:8" ht="12.75" customHeight="1" x14ac:dyDescent="0.2">
      <c r="A1415" s="273">
        <v>2025</v>
      </c>
      <c r="B1415" s="274" t="s">
        <v>1958</v>
      </c>
      <c r="C1415" s="274" t="s">
        <v>1734</v>
      </c>
      <c r="D1415" s="208" t="s">
        <v>1735</v>
      </c>
      <c r="E1415" s="208" t="s">
        <v>1959</v>
      </c>
      <c r="F1415" s="208" t="s">
        <v>27</v>
      </c>
      <c r="G1415" s="208" t="s">
        <v>40</v>
      </c>
      <c r="H1415" s="275">
        <v>12.5</v>
      </c>
    </row>
    <row r="1416" spans="1:8" ht="12.75" customHeight="1" x14ac:dyDescent="0.2">
      <c r="A1416" s="273">
        <v>2025</v>
      </c>
      <c r="B1416" s="274" t="s">
        <v>1958</v>
      </c>
      <c r="C1416" s="274" t="s">
        <v>1734</v>
      </c>
      <c r="D1416" s="208" t="s">
        <v>1735</v>
      </c>
      <c r="E1416" s="208" t="s">
        <v>1959</v>
      </c>
      <c r="F1416" s="208" t="s">
        <v>27</v>
      </c>
      <c r="G1416" s="208" t="s">
        <v>40</v>
      </c>
      <c r="H1416" s="275">
        <v>33.270000000000003</v>
      </c>
    </row>
    <row r="1417" spans="1:8" ht="12.75" customHeight="1" x14ac:dyDescent="0.2">
      <c r="A1417" s="273">
        <v>2025</v>
      </c>
      <c r="B1417" s="274" t="s">
        <v>1410</v>
      </c>
      <c r="C1417" s="274" t="s">
        <v>1734</v>
      </c>
      <c r="D1417" s="208" t="s">
        <v>1735</v>
      </c>
      <c r="E1417" s="208" t="s">
        <v>1960</v>
      </c>
      <c r="F1417" s="208" t="s">
        <v>27</v>
      </c>
      <c r="G1417" s="208" t="s">
        <v>40</v>
      </c>
      <c r="H1417" s="275">
        <v>7.25</v>
      </c>
    </row>
    <row r="1418" spans="1:8" ht="12.75" customHeight="1" x14ac:dyDescent="0.2">
      <c r="A1418" s="273">
        <v>2025</v>
      </c>
      <c r="B1418" s="274" t="s">
        <v>1410</v>
      </c>
      <c r="C1418" s="274" t="s">
        <v>1734</v>
      </c>
      <c r="D1418" s="208" t="s">
        <v>1735</v>
      </c>
      <c r="E1418" s="208" t="s">
        <v>1960</v>
      </c>
      <c r="F1418" s="208" t="s">
        <v>27</v>
      </c>
      <c r="G1418" s="208" t="s">
        <v>40</v>
      </c>
      <c r="H1418" s="275">
        <v>71.05</v>
      </c>
    </row>
    <row r="1419" spans="1:8" ht="12.75" customHeight="1" x14ac:dyDescent="0.2">
      <c r="A1419" s="273">
        <v>2025</v>
      </c>
      <c r="B1419" s="274" t="s">
        <v>920</v>
      </c>
      <c r="C1419" s="274" t="s">
        <v>1734</v>
      </c>
      <c r="D1419" s="208" t="s">
        <v>1735</v>
      </c>
      <c r="E1419" s="208" t="s">
        <v>1961</v>
      </c>
      <c r="F1419" s="208" t="s">
        <v>27</v>
      </c>
      <c r="G1419" s="208" t="s">
        <v>40</v>
      </c>
      <c r="H1419" s="275">
        <v>43.46</v>
      </c>
    </row>
    <row r="1420" spans="1:8" ht="12.75" customHeight="1" x14ac:dyDescent="0.2">
      <c r="A1420" s="273">
        <v>2025</v>
      </c>
      <c r="B1420" s="274" t="s">
        <v>1585</v>
      </c>
      <c r="C1420" s="274" t="s">
        <v>1734</v>
      </c>
      <c r="D1420" s="208" t="s">
        <v>1735</v>
      </c>
      <c r="E1420" s="208" t="s">
        <v>1962</v>
      </c>
      <c r="F1420" s="208" t="s">
        <v>27</v>
      </c>
      <c r="G1420" s="208" t="s">
        <v>40</v>
      </c>
      <c r="H1420" s="275">
        <v>7.08</v>
      </c>
    </row>
    <row r="1421" spans="1:8" ht="12.75" customHeight="1" x14ac:dyDescent="0.2">
      <c r="A1421" s="273">
        <v>2025</v>
      </c>
      <c r="B1421" s="274" t="s">
        <v>1585</v>
      </c>
      <c r="C1421" s="274" t="s">
        <v>1734</v>
      </c>
      <c r="D1421" s="208" t="s">
        <v>1735</v>
      </c>
      <c r="E1421" s="208" t="s">
        <v>1962</v>
      </c>
      <c r="F1421" s="208" t="s">
        <v>27</v>
      </c>
      <c r="G1421" s="208" t="s">
        <v>40</v>
      </c>
      <c r="H1421" s="275">
        <v>18.82</v>
      </c>
    </row>
    <row r="1422" spans="1:8" ht="12.75" customHeight="1" x14ac:dyDescent="0.2">
      <c r="A1422" s="273">
        <v>2025</v>
      </c>
      <c r="B1422" s="274" t="s">
        <v>563</v>
      </c>
      <c r="C1422" s="274" t="s">
        <v>1745</v>
      </c>
      <c r="D1422" s="208" t="s">
        <v>1746</v>
      </c>
      <c r="E1422" s="208" t="s">
        <v>1963</v>
      </c>
      <c r="F1422" s="208" t="s">
        <v>27</v>
      </c>
      <c r="G1422" s="208" t="s">
        <v>40</v>
      </c>
      <c r="H1422" s="275">
        <v>66.900000000000006</v>
      </c>
    </row>
    <row r="1423" spans="1:8" ht="12.75" customHeight="1" x14ac:dyDescent="0.2">
      <c r="A1423" s="273">
        <v>2025</v>
      </c>
      <c r="B1423" s="274" t="s">
        <v>563</v>
      </c>
      <c r="C1423" s="274" t="s">
        <v>1847</v>
      </c>
      <c r="D1423" s="208" t="s">
        <v>1848</v>
      </c>
      <c r="E1423" s="208" t="s">
        <v>1963</v>
      </c>
      <c r="F1423" s="208" t="s">
        <v>27</v>
      </c>
      <c r="G1423" s="208" t="s">
        <v>40</v>
      </c>
      <c r="H1423" s="275">
        <v>101.14</v>
      </c>
    </row>
    <row r="1424" spans="1:8" ht="12.75" customHeight="1" x14ac:dyDescent="0.2">
      <c r="A1424" s="273">
        <v>2025</v>
      </c>
      <c r="B1424" s="274" t="s">
        <v>563</v>
      </c>
      <c r="C1424" s="274" t="s">
        <v>1750</v>
      </c>
      <c r="D1424" s="208" t="s">
        <v>1751</v>
      </c>
      <c r="E1424" s="208" t="s">
        <v>1964</v>
      </c>
      <c r="F1424" s="208" t="s">
        <v>27</v>
      </c>
      <c r="G1424" s="208" t="s">
        <v>40</v>
      </c>
      <c r="H1424" s="275">
        <v>41.44</v>
      </c>
    </row>
    <row r="1425" spans="1:8" ht="12.75" customHeight="1" x14ac:dyDescent="0.2">
      <c r="A1425" s="273">
        <v>2025</v>
      </c>
      <c r="B1425" s="274" t="s">
        <v>779</v>
      </c>
      <c r="C1425" s="274" t="s">
        <v>1730</v>
      </c>
      <c r="D1425" s="208" t="s">
        <v>1731</v>
      </c>
      <c r="E1425" s="208" t="s">
        <v>1965</v>
      </c>
      <c r="F1425" s="208" t="s">
        <v>27</v>
      </c>
      <c r="G1425" s="208" t="s">
        <v>40</v>
      </c>
      <c r="H1425" s="275">
        <v>106.66</v>
      </c>
    </row>
    <row r="1426" spans="1:8" ht="12.75" customHeight="1" x14ac:dyDescent="0.2">
      <c r="A1426" s="273">
        <v>2025</v>
      </c>
      <c r="B1426" s="274" t="s">
        <v>779</v>
      </c>
      <c r="C1426" s="274" t="s">
        <v>1723</v>
      </c>
      <c r="D1426" s="208" t="s">
        <v>1724</v>
      </c>
      <c r="E1426" s="208" t="s">
        <v>1966</v>
      </c>
      <c r="F1426" s="208" t="s">
        <v>27</v>
      </c>
      <c r="G1426" s="208" t="s">
        <v>40</v>
      </c>
      <c r="H1426" s="275">
        <v>60.78</v>
      </c>
    </row>
    <row r="1427" spans="1:8" ht="12.75" customHeight="1" x14ac:dyDescent="0.2">
      <c r="A1427" s="273">
        <v>2025</v>
      </c>
      <c r="B1427" s="274" t="s">
        <v>781</v>
      </c>
      <c r="C1427" s="274" t="s">
        <v>1730</v>
      </c>
      <c r="D1427" s="208" t="s">
        <v>1731</v>
      </c>
      <c r="E1427" s="208" t="s">
        <v>1967</v>
      </c>
      <c r="F1427" s="208" t="s">
        <v>27</v>
      </c>
      <c r="G1427" s="208" t="s">
        <v>40</v>
      </c>
      <c r="H1427" s="275">
        <v>86.87</v>
      </c>
    </row>
    <row r="1428" spans="1:8" ht="12.75" customHeight="1" x14ac:dyDescent="0.2">
      <c r="A1428" s="273">
        <v>2025</v>
      </c>
      <c r="B1428" s="274" t="s">
        <v>1968</v>
      </c>
      <c r="C1428" s="274" t="s">
        <v>1730</v>
      </c>
      <c r="D1428" s="208" t="s">
        <v>1731</v>
      </c>
      <c r="E1428" s="208" t="s">
        <v>1969</v>
      </c>
      <c r="F1428" s="208" t="s">
        <v>27</v>
      </c>
      <c r="G1428" s="208" t="s">
        <v>40</v>
      </c>
      <c r="H1428" s="275">
        <v>129.66</v>
      </c>
    </row>
    <row r="1429" spans="1:8" ht="12.75" customHeight="1" x14ac:dyDescent="0.2">
      <c r="A1429" s="273">
        <v>2025</v>
      </c>
      <c r="B1429" s="274" t="s">
        <v>1968</v>
      </c>
      <c r="C1429" s="274" t="s">
        <v>1730</v>
      </c>
      <c r="D1429" s="208" t="s">
        <v>1731</v>
      </c>
      <c r="E1429" s="208" t="s">
        <v>1970</v>
      </c>
      <c r="F1429" s="208" t="s">
        <v>27</v>
      </c>
      <c r="G1429" s="208" t="s">
        <v>40</v>
      </c>
      <c r="H1429" s="275">
        <v>39.950000000000003</v>
      </c>
    </row>
    <row r="1430" spans="1:8" ht="12.75" customHeight="1" x14ac:dyDescent="0.2">
      <c r="A1430" s="273">
        <v>2025</v>
      </c>
      <c r="B1430" s="274" t="s">
        <v>785</v>
      </c>
      <c r="C1430" s="274" t="s">
        <v>1730</v>
      </c>
      <c r="D1430" s="208" t="s">
        <v>1731</v>
      </c>
      <c r="E1430" s="208" t="s">
        <v>1971</v>
      </c>
      <c r="F1430" s="208" t="s">
        <v>27</v>
      </c>
      <c r="G1430" s="208" t="s">
        <v>40</v>
      </c>
      <c r="H1430" s="275">
        <v>949.99</v>
      </c>
    </row>
    <row r="1431" spans="1:8" ht="12.75" customHeight="1" x14ac:dyDescent="0.2">
      <c r="A1431" s="273">
        <v>2025</v>
      </c>
      <c r="B1431" s="274" t="s">
        <v>785</v>
      </c>
      <c r="C1431" s="274" t="s">
        <v>1730</v>
      </c>
      <c r="D1431" s="208" t="s">
        <v>1731</v>
      </c>
      <c r="E1431" s="208" t="s">
        <v>1972</v>
      </c>
      <c r="F1431" s="208" t="s">
        <v>27</v>
      </c>
      <c r="G1431" s="208" t="s">
        <v>40</v>
      </c>
      <c r="H1431" s="275">
        <v>103.85</v>
      </c>
    </row>
    <row r="1432" spans="1:8" ht="12.75" customHeight="1" x14ac:dyDescent="0.2">
      <c r="A1432" s="273">
        <v>2025</v>
      </c>
      <c r="B1432" s="274" t="s">
        <v>1973</v>
      </c>
      <c r="C1432" s="274" t="s">
        <v>1745</v>
      </c>
      <c r="D1432" s="208" t="s">
        <v>1746</v>
      </c>
      <c r="E1432" s="208" t="s">
        <v>1974</v>
      </c>
      <c r="F1432" s="208" t="s">
        <v>27</v>
      </c>
      <c r="G1432" s="208" t="s">
        <v>40</v>
      </c>
      <c r="H1432" s="275">
        <v>90.08</v>
      </c>
    </row>
    <row r="1433" spans="1:8" ht="12.75" customHeight="1" x14ac:dyDescent="0.2">
      <c r="A1433" s="273">
        <v>2025</v>
      </c>
      <c r="B1433" s="274" t="s">
        <v>1714</v>
      </c>
      <c r="C1433" s="274" t="s">
        <v>1734</v>
      </c>
      <c r="D1433" s="208" t="s">
        <v>1735</v>
      </c>
      <c r="E1433" s="208" t="s">
        <v>1975</v>
      </c>
      <c r="F1433" s="208" t="s">
        <v>27</v>
      </c>
      <c r="G1433" s="208" t="s">
        <v>40</v>
      </c>
      <c r="H1433" s="275">
        <v>471.59</v>
      </c>
    </row>
    <row r="1434" spans="1:8" ht="12.75" customHeight="1" x14ac:dyDescent="0.2">
      <c r="A1434" s="273">
        <v>2025</v>
      </c>
      <c r="B1434" s="274" t="s">
        <v>1420</v>
      </c>
      <c r="C1434" s="274" t="s">
        <v>1734</v>
      </c>
      <c r="D1434" s="208" t="s">
        <v>1735</v>
      </c>
      <c r="E1434" s="208" t="s">
        <v>1976</v>
      </c>
      <c r="F1434" s="208" t="s">
        <v>27</v>
      </c>
      <c r="G1434" s="208" t="s">
        <v>40</v>
      </c>
      <c r="H1434" s="275">
        <v>6.25</v>
      </c>
    </row>
    <row r="1435" spans="1:8" ht="12.75" customHeight="1" x14ac:dyDescent="0.2">
      <c r="A1435" s="273">
        <v>2025</v>
      </c>
      <c r="B1435" s="274" t="s">
        <v>1420</v>
      </c>
      <c r="C1435" s="274" t="s">
        <v>1734</v>
      </c>
      <c r="D1435" s="208" t="s">
        <v>1735</v>
      </c>
      <c r="E1435" s="208" t="s">
        <v>1976</v>
      </c>
      <c r="F1435" s="208" t="s">
        <v>27</v>
      </c>
      <c r="G1435" s="208" t="s">
        <v>40</v>
      </c>
      <c r="H1435" s="275">
        <v>16.809999999999999</v>
      </c>
    </row>
    <row r="1436" spans="1:8" ht="12.75" customHeight="1" x14ac:dyDescent="0.2">
      <c r="A1436" s="273">
        <v>2025</v>
      </c>
      <c r="B1436" s="274" t="s">
        <v>569</v>
      </c>
      <c r="C1436" s="274" t="s">
        <v>1734</v>
      </c>
      <c r="D1436" s="208" t="s">
        <v>1735</v>
      </c>
      <c r="E1436" s="208" t="s">
        <v>1977</v>
      </c>
      <c r="F1436" s="208" t="s">
        <v>27</v>
      </c>
      <c r="G1436" s="208" t="s">
        <v>40</v>
      </c>
      <c r="H1436" s="275">
        <v>67.23</v>
      </c>
    </row>
    <row r="1437" spans="1:8" ht="12.75" customHeight="1" x14ac:dyDescent="0.2">
      <c r="A1437" s="273">
        <v>2025</v>
      </c>
      <c r="B1437" s="274" t="s">
        <v>569</v>
      </c>
      <c r="C1437" s="274" t="s">
        <v>1734</v>
      </c>
      <c r="D1437" s="208" t="s">
        <v>1735</v>
      </c>
      <c r="E1437" s="208" t="s">
        <v>1977</v>
      </c>
      <c r="F1437" s="208" t="s">
        <v>27</v>
      </c>
      <c r="G1437" s="208" t="s">
        <v>40</v>
      </c>
      <c r="H1437" s="275">
        <v>4.17</v>
      </c>
    </row>
    <row r="1438" spans="1:8" ht="12.75" customHeight="1" x14ac:dyDescent="0.2">
      <c r="A1438" s="273">
        <v>2025</v>
      </c>
      <c r="B1438" s="274" t="s">
        <v>1597</v>
      </c>
      <c r="C1438" s="274" t="s">
        <v>1734</v>
      </c>
      <c r="D1438" s="208" t="s">
        <v>1735</v>
      </c>
      <c r="E1438" s="208" t="s">
        <v>1978</v>
      </c>
      <c r="F1438" s="208" t="s">
        <v>27</v>
      </c>
      <c r="G1438" s="208" t="s">
        <v>40</v>
      </c>
      <c r="H1438" s="275">
        <v>12.78</v>
      </c>
    </row>
    <row r="1439" spans="1:8" ht="12.75" customHeight="1" x14ac:dyDescent="0.2">
      <c r="A1439" s="273">
        <v>2025</v>
      </c>
      <c r="B1439" s="274" t="s">
        <v>1597</v>
      </c>
      <c r="C1439" s="274" t="s">
        <v>1734</v>
      </c>
      <c r="D1439" s="208" t="s">
        <v>1735</v>
      </c>
      <c r="E1439" s="208" t="s">
        <v>1978</v>
      </c>
      <c r="F1439" s="208" t="s">
        <v>27</v>
      </c>
      <c r="G1439" s="208" t="s">
        <v>40</v>
      </c>
      <c r="H1439" s="275">
        <v>57.4</v>
      </c>
    </row>
    <row r="1440" spans="1:8" ht="12.75" customHeight="1" x14ac:dyDescent="0.2">
      <c r="A1440" s="273">
        <v>2025</v>
      </c>
      <c r="B1440" s="274" t="s">
        <v>1979</v>
      </c>
      <c r="C1440" s="274" t="s">
        <v>1734</v>
      </c>
      <c r="D1440" s="208" t="s">
        <v>1735</v>
      </c>
      <c r="E1440" s="208" t="s">
        <v>1980</v>
      </c>
      <c r="F1440" s="208" t="s">
        <v>27</v>
      </c>
      <c r="G1440" s="208" t="s">
        <v>40</v>
      </c>
      <c r="H1440" s="275">
        <v>7.08</v>
      </c>
    </row>
    <row r="1441" spans="1:8" ht="12.75" customHeight="1" x14ac:dyDescent="0.2">
      <c r="A1441" s="273">
        <v>2025</v>
      </c>
      <c r="B1441" s="274" t="s">
        <v>1979</v>
      </c>
      <c r="C1441" s="274" t="s">
        <v>1734</v>
      </c>
      <c r="D1441" s="208" t="s">
        <v>1735</v>
      </c>
      <c r="E1441" s="208" t="s">
        <v>1980</v>
      </c>
      <c r="F1441" s="208" t="s">
        <v>27</v>
      </c>
      <c r="G1441" s="208" t="s">
        <v>40</v>
      </c>
      <c r="H1441" s="275">
        <v>28.91</v>
      </c>
    </row>
    <row r="1442" spans="1:8" ht="12.75" customHeight="1" x14ac:dyDescent="0.2">
      <c r="A1442" s="273">
        <v>2025</v>
      </c>
      <c r="B1442" s="274" t="s">
        <v>1981</v>
      </c>
      <c r="C1442" s="274" t="s">
        <v>1734</v>
      </c>
      <c r="D1442" s="208" t="s">
        <v>1735</v>
      </c>
      <c r="E1442" s="208" t="s">
        <v>1982</v>
      </c>
      <c r="F1442" s="208" t="s">
        <v>27</v>
      </c>
      <c r="G1442" s="208" t="s">
        <v>40</v>
      </c>
      <c r="H1442" s="275">
        <v>19.59</v>
      </c>
    </row>
    <row r="1443" spans="1:8" ht="12.75" customHeight="1" x14ac:dyDescent="0.2">
      <c r="A1443" s="273">
        <v>2025</v>
      </c>
      <c r="B1443" s="274" t="s">
        <v>571</v>
      </c>
      <c r="C1443" s="274" t="s">
        <v>1745</v>
      </c>
      <c r="D1443" s="208" t="s">
        <v>1746</v>
      </c>
      <c r="E1443" s="208" t="s">
        <v>1983</v>
      </c>
      <c r="F1443" s="208" t="s">
        <v>27</v>
      </c>
      <c r="G1443" s="208" t="s">
        <v>40</v>
      </c>
      <c r="H1443" s="275">
        <v>99.69</v>
      </c>
    </row>
    <row r="1444" spans="1:8" ht="12.75" customHeight="1" x14ac:dyDescent="0.2">
      <c r="A1444" s="273">
        <v>2025</v>
      </c>
      <c r="B1444" s="274" t="s">
        <v>571</v>
      </c>
      <c r="C1444" s="274" t="s">
        <v>1847</v>
      </c>
      <c r="D1444" s="208" t="s">
        <v>1848</v>
      </c>
      <c r="E1444" s="208" t="s">
        <v>1983</v>
      </c>
      <c r="F1444" s="208" t="s">
        <v>27</v>
      </c>
      <c r="G1444" s="208" t="s">
        <v>40</v>
      </c>
      <c r="H1444" s="275">
        <v>65.709999999999994</v>
      </c>
    </row>
    <row r="1445" spans="1:8" ht="12.75" customHeight="1" x14ac:dyDescent="0.2">
      <c r="A1445" s="273">
        <v>2025</v>
      </c>
      <c r="B1445" s="274" t="s">
        <v>790</v>
      </c>
      <c r="C1445" s="274" t="s">
        <v>1730</v>
      </c>
      <c r="D1445" s="208" t="s">
        <v>1731</v>
      </c>
      <c r="E1445" s="208" t="s">
        <v>1984</v>
      </c>
      <c r="F1445" s="208" t="s">
        <v>27</v>
      </c>
      <c r="G1445" s="208" t="s">
        <v>40</v>
      </c>
      <c r="H1445" s="275">
        <v>374.83</v>
      </c>
    </row>
    <row r="1446" spans="1:8" ht="12.75" customHeight="1" x14ac:dyDescent="0.2">
      <c r="A1446" s="273">
        <v>2025</v>
      </c>
      <c r="B1446" s="274" t="s">
        <v>790</v>
      </c>
      <c r="C1446" s="274" t="s">
        <v>1723</v>
      </c>
      <c r="D1446" s="208" t="s">
        <v>1724</v>
      </c>
      <c r="E1446" s="208" t="s">
        <v>1985</v>
      </c>
      <c r="F1446" s="208" t="s">
        <v>27</v>
      </c>
      <c r="G1446" s="208" t="s">
        <v>40</v>
      </c>
      <c r="H1446" s="275">
        <v>57.78</v>
      </c>
    </row>
    <row r="1447" spans="1:8" ht="12.75" customHeight="1" x14ac:dyDescent="0.2">
      <c r="A1447" s="273">
        <v>2025</v>
      </c>
      <c r="B1447" s="274" t="s">
        <v>1605</v>
      </c>
      <c r="C1447" s="274" t="s">
        <v>1734</v>
      </c>
      <c r="D1447" s="208" t="s">
        <v>1735</v>
      </c>
      <c r="E1447" s="208" t="s">
        <v>1986</v>
      </c>
      <c r="F1447" s="208" t="s">
        <v>27</v>
      </c>
      <c r="G1447" s="208" t="s">
        <v>40</v>
      </c>
      <c r="H1447" s="275">
        <v>132.54</v>
      </c>
    </row>
    <row r="1448" spans="1:8" ht="12.75" customHeight="1" x14ac:dyDescent="0.2">
      <c r="A1448" s="273">
        <v>2025</v>
      </c>
      <c r="B1448" s="274" t="s">
        <v>1605</v>
      </c>
      <c r="C1448" s="274" t="s">
        <v>1734</v>
      </c>
      <c r="D1448" s="208" t="s">
        <v>1735</v>
      </c>
      <c r="E1448" s="208" t="s">
        <v>1986</v>
      </c>
      <c r="F1448" s="208" t="s">
        <v>27</v>
      </c>
      <c r="G1448" s="208" t="s">
        <v>40</v>
      </c>
      <c r="H1448" s="275">
        <v>65.86</v>
      </c>
    </row>
    <row r="1449" spans="1:8" ht="12.75" customHeight="1" x14ac:dyDescent="0.2">
      <c r="A1449" s="273">
        <v>2025</v>
      </c>
      <c r="B1449" s="274" t="s">
        <v>1987</v>
      </c>
      <c r="C1449" s="274" t="s">
        <v>1730</v>
      </c>
      <c r="D1449" s="208" t="s">
        <v>1731</v>
      </c>
      <c r="E1449" s="208" t="s">
        <v>1988</v>
      </c>
      <c r="F1449" s="208" t="s">
        <v>27</v>
      </c>
      <c r="G1449" s="208" t="s">
        <v>40</v>
      </c>
      <c r="H1449" s="275">
        <v>30</v>
      </c>
    </row>
    <row r="1450" spans="1:8" ht="12.75" customHeight="1" x14ac:dyDescent="0.2">
      <c r="A1450" s="273">
        <v>2025</v>
      </c>
      <c r="B1450" s="274" t="s">
        <v>1987</v>
      </c>
      <c r="C1450" s="274" t="s">
        <v>1730</v>
      </c>
      <c r="D1450" s="208" t="s">
        <v>1731</v>
      </c>
      <c r="E1450" s="208" t="s">
        <v>1989</v>
      </c>
      <c r="F1450" s="208" t="s">
        <v>27</v>
      </c>
      <c r="G1450" s="208" t="s">
        <v>40</v>
      </c>
      <c r="H1450" s="275">
        <v>275.05</v>
      </c>
    </row>
    <row r="1451" spans="1:8" ht="12.75" customHeight="1" x14ac:dyDescent="0.2">
      <c r="A1451" s="273">
        <v>2025</v>
      </c>
      <c r="B1451" s="274" t="s">
        <v>573</v>
      </c>
      <c r="C1451" s="274" t="s">
        <v>1823</v>
      </c>
      <c r="D1451" s="208" t="s">
        <v>1824</v>
      </c>
      <c r="E1451" s="208" t="s">
        <v>1990</v>
      </c>
      <c r="F1451" s="208" t="s">
        <v>27</v>
      </c>
      <c r="G1451" s="208" t="s">
        <v>40</v>
      </c>
      <c r="H1451" s="275">
        <v>60.01</v>
      </c>
    </row>
    <row r="1452" spans="1:8" ht="12.75" customHeight="1" x14ac:dyDescent="0.2">
      <c r="A1452" s="273">
        <v>2025</v>
      </c>
      <c r="B1452" s="274" t="s">
        <v>573</v>
      </c>
      <c r="C1452" s="274" t="s">
        <v>1734</v>
      </c>
      <c r="D1452" s="208" t="s">
        <v>1735</v>
      </c>
      <c r="E1452" s="208" t="s">
        <v>1991</v>
      </c>
      <c r="F1452" s="208" t="s">
        <v>27</v>
      </c>
      <c r="G1452" s="208" t="s">
        <v>40</v>
      </c>
      <c r="H1452" s="275">
        <v>88.9</v>
      </c>
    </row>
    <row r="1453" spans="1:8" ht="12.75" customHeight="1" x14ac:dyDescent="0.2">
      <c r="A1453" s="273">
        <v>2025</v>
      </c>
      <c r="B1453" s="274" t="s">
        <v>573</v>
      </c>
      <c r="C1453" s="274" t="s">
        <v>1734</v>
      </c>
      <c r="D1453" s="208" t="s">
        <v>1735</v>
      </c>
      <c r="E1453" s="208" t="s">
        <v>1992</v>
      </c>
      <c r="F1453" s="208" t="s">
        <v>27</v>
      </c>
      <c r="G1453" s="208" t="s">
        <v>40</v>
      </c>
      <c r="H1453" s="275">
        <v>6.25</v>
      </c>
    </row>
    <row r="1454" spans="1:8" ht="12.75" customHeight="1" x14ac:dyDescent="0.2">
      <c r="A1454" s="273">
        <v>2025</v>
      </c>
      <c r="B1454" s="274" t="s">
        <v>573</v>
      </c>
      <c r="C1454" s="274" t="s">
        <v>1734</v>
      </c>
      <c r="D1454" s="208" t="s">
        <v>1735</v>
      </c>
      <c r="E1454" s="208" t="s">
        <v>1992</v>
      </c>
      <c r="F1454" s="208" t="s">
        <v>27</v>
      </c>
      <c r="G1454" s="208" t="s">
        <v>40</v>
      </c>
      <c r="H1454" s="275">
        <v>34.36</v>
      </c>
    </row>
    <row r="1455" spans="1:8" ht="12.75" customHeight="1" x14ac:dyDescent="0.2">
      <c r="A1455" s="273">
        <v>2025</v>
      </c>
      <c r="B1455" s="274" t="s">
        <v>1428</v>
      </c>
      <c r="C1455" s="274" t="s">
        <v>1730</v>
      </c>
      <c r="D1455" s="208" t="s">
        <v>1731</v>
      </c>
      <c r="E1455" s="208" t="s">
        <v>1993</v>
      </c>
      <c r="F1455" s="208" t="s">
        <v>27</v>
      </c>
      <c r="G1455" s="208" t="s">
        <v>40</v>
      </c>
      <c r="H1455" s="275">
        <v>45</v>
      </c>
    </row>
    <row r="1456" spans="1:8" ht="12.75" customHeight="1" x14ac:dyDescent="0.2">
      <c r="A1456" s="273">
        <v>2025</v>
      </c>
      <c r="B1456" s="274" t="s">
        <v>796</v>
      </c>
      <c r="C1456" s="274" t="s">
        <v>1730</v>
      </c>
      <c r="D1456" s="208" t="s">
        <v>1731</v>
      </c>
      <c r="E1456" s="208" t="s">
        <v>1761</v>
      </c>
      <c r="F1456" s="208" t="s">
        <v>27</v>
      </c>
      <c r="G1456" s="208" t="s">
        <v>40</v>
      </c>
      <c r="H1456" s="275">
        <v>22.1</v>
      </c>
    </row>
    <row r="1457" spans="1:8" ht="12.75" customHeight="1" x14ac:dyDescent="0.2">
      <c r="A1457" s="273">
        <v>2025</v>
      </c>
      <c r="B1457" s="274" t="s">
        <v>796</v>
      </c>
      <c r="C1457" s="274" t="s">
        <v>1734</v>
      </c>
      <c r="D1457" s="208" t="s">
        <v>1735</v>
      </c>
      <c r="E1457" s="208" t="s">
        <v>1994</v>
      </c>
      <c r="F1457" s="208" t="s">
        <v>27</v>
      </c>
      <c r="G1457" s="208" t="s">
        <v>40</v>
      </c>
      <c r="H1457" s="275">
        <v>216</v>
      </c>
    </row>
    <row r="1458" spans="1:8" ht="12.75" customHeight="1" x14ac:dyDescent="0.2">
      <c r="A1458" s="273">
        <v>2025</v>
      </c>
      <c r="B1458" s="274" t="s">
        <v>1718</v>
      </c>
      <c r="C1458" s="274" t="s">
        <v>1734</v>
      </c>
      <c r="D1458" s="208" t="s">
        <v>1735</v>
      </c>
      <c r="E1458" s="208" t="s">
        <v>1995</v>
      </c>
      <c r="F1458" s="208" t="s">
        <v>27</v>
      </c>
      <c r="G1458" s="208" t="s">
        <v>40</v>
      </c>
      <c r="H1458" s="275">
        <v>12.08</v>
      </c>
    </row>
    <row r="1459" spans="1:8" ht="12.75" customHeight="1" x14ac:dyDescent="0.2">
      <c r="A1459" s="273">
        <v>2025</v>
      </c>
      <c r="B1459" s="274" t="s">
        <v>1718</v>
      </c>
      <c r="C1459" s="274" t="s">
        <v>1734</v>
      </c>
      <c r="D1459" s="208" t="s">
        <v>1735</v>
      </c>
      <c r="E1459" s="208" t="s">
        <v>1995</v>
      </c>
      <c r="F1459" s="208" t="s">
        <v>27</v>
      </c>
      <c r="G1459" s="208" t="s">
        <v>40</v>
      </c>
      <c r="H1459" s="275">
        <v>32.549999999999997</v>
      </c>
    </row>
    <row r="1460" spans="1:8" ht="12.75" customHeight="1" x14ac:dyDescent="0.2">
      <c r="A1460" s="273">
        <v>2025</v>
      </c>
      <c r="B1460" s="274" t="s">
        <v>1996</v>
      </c>
      <c r="C1460" s="274" t="s">
        <v>1745</v>
      </c>
      <c r="D1460" s="208" t="s">
        <v>1746</v>
      </c>
      <c r="E1460" s="208" t="s">
        <v>1797</v>
      </c>
      <c r="F1460" s="208" t="s">
        <v>27</v>
      </c>
      <c r="G1460" s="208" t="s">
        <v>40</v>
      </c>
      <c r="H1460" s="275">
        <v>122.78</v>
      </c>
    </row>
    <row r="1461" spans="1:8" ht="12.75" customHeight="1" x14ac:dyDescent="0.2">
      <c r="A1461" s="273">
        <v>2025</v>
      </c>
      <c r="B1461" s="274" t="s">
        <v>1996</v>
      </c>
      <c r="C1461" s="274" t="s">
        <v>1847</v>
      </c>
      <c r="D1461" s="208" t="s">
        <v>1848</v>
      </c>
      <c r="E1461" s="208" t="s">
        <v>1797</v>
      </c>
      <c r="F1461" s="208" t="s">
        <v>27</v>
      </c>
      <c r="G1461" s="208" t="s">
        <v>40</v>
      </c>
      <c r="H1461" s="275">
        <v>63.71</v>
      </c>
    </row>
    <row r="1462" spans="1:8" ht="12.75" customHeight="1" x14ac:dyDescent="0.2">
      <c r="A1462" s="273">
        <v>2025</v>
      </c>
      <c r="B1462" s="274" t="s">
        <v>1996</v>
      </c>
      <c r="C1462" s="274" t="s">
        <v>1730</v>
      </c>
      <c r="D1462" s="208" t="s">
        <v>1731</v>
      </c>
      <c r="E1462" s="208" t="s">
        <v>1997</v>
      </c>
      <c r="F1462" s="208" t="s">
        <v>27</v>
      </c>
      <c r="G1462" s="208" t="s">
        <v>40</v>
      </c>
      <c r="H1462" s="275">
        <v>167</v>
      </c>
    </row>
    <row r="1463" spans="1:8" ht="12.75" customHeight="1" x14ac:dyDescent="0.2">
      <c r="A1463" s="273">
        <v>2025</v>
      </c>
      <c r="B1463" s="274" t="s">
        <v>798</v>
      </c>
      <c r="C1463" s="274" t="s">
        <v>1734</v>
      </c>
      <c r="D1463" s="208" t="s">
        <v>1735</v>
      </c>
      <c r="E1463" s="208" t="s">
        <v>1998</v>
      </c>
      <c r="F1463" s="208" t="s">
        <v>27</v>
      </c>
      <c r="G1463" s="208" t="s">
        <v>40</v>
      </c>
      <c r="H1463" s="275">
        <v>118.29</v>
      </c>
    </row>
    <row r="1464" spans="1:8" ht="12.75" customHeight="1" x14ac:dyDescent="0.2">
      <c r="A1464" s="273">
        <v>2025</v>
      </c>
      <c r="B1464" s="274" t="s">
        <v>1608</v>
      </c>
      <c r="C1464" s="274" t="s">
        <v>1734</v>
      </c>
      <c r="D1464" s="208" t="s">
        <v>1735</v>
      </c>
      <c r="E1464" s="208" t="s">
        <v>1999</v>
      </c>
      <c r="F1464" s="208" t="s">
        <v>27</v>
      </c>
      <c r="G1464" s="208" t="s">
        <v>40</v>
      </c>
      <c r="H1464" s="275">
        <v>15</v>
      </c>
    </row>
    <row r="1465" spans="1:8" ht="12.75" customHeight="1" x14ac:dyDescent="0.2">
      <c r="A1465" s="273">
        <v>2025</v>
      </c>
      <c r="B1465" s="274" t="s">
        <v>1608</v>
      </c>
      <c r="C1465" s="274" t="s">
        <v>1734</v>
      </c>
      <c r="D1465" s="208" t="s">
        <v>1735</v>
      </c>
      <c r="E1465" s="208" t="s">
        <v>1999</v>
      </c>
      <c r="F1465" s="208" t="s">
        <v>27</v>
      </c>
      <c r="G1465" s="208" t="s">
        <v>40</v>
      </c>
      <c r="H1465" s="275">
        <v>67.73</v>
      </c>
    </row>
    <row r="1466" spans="1:8" ht="12.75" customHeight="1" x14ac:dyDescent="0.2">
      <c r="A1466" s="273">
        <v>2025</v>
      </c>
      <c r="B1466" s="274" t="s">
        <v>2000</v>
      </c>
      <c r="C1466" s="274" t="s">
        <v>1734</v>
      </c>
      <c r="D1466" s="208" t="s">
        <v>1735</v>
      </c>
      <c r="E1466" s="208" t="s">
        <v>2001</v>
      </c>
      <c r="F1466" s="208" t="s">
        <v>27</v>
      </c>
      <c r="G1466" s="208" t="s">
        <v>40</v>
      </c>
      <c r="H1466" s="275">
        <v>59.55</v>
      </c>
    </row>
    <row r="1467" spans="1:8" ht="12.75" customHeight="1" x14ac:dyDescent="0.2">
      <c r="A1467" s="273">
        <v>2025</v>
      </c>
      <c r="B1467" s="274" t="s">
        <v>2002</v>
      </c>
      <c r="C1467" s="274" t="s">
        <v>1734</v>
      </c>
      <c r="D1467" s="208" t="s">
        <v>1735</v>
      </c>
      <c r="E1467" s="208" t="s">
        <v>2003</v>
      </c>
      <c r="F1467" s="208" t="s">
        <v>27</v>
      </c>
      <c r="G1467" s="208" t="s">
        <v>40</v>
      </c>
      <c r="H1467" s="275">
        <v>110.04</v>
      </c>
    </row>
    <row r="1468" spans="1:8" ht="12.75" customHeight="1" x14ac:dyDescent="0.2">
      <c r="A1468" s="273">
        <v>2025</v>
      </c>
      <c r="B1468" s="274" t="s">
        <v>1610</v>
      </c>
      <c r="C1468" s="274" t="s">
        <v>1734</v>
      </c>
      <c r="D1468" s="208" t="s">
        <v>1735</v>
      </c>
      <c r="E1468" s="208" t="s">
        <v>2004</v>
      </c>
      <c r="F1468" s="208" t="s">
        <v>27</v>
      </c>
      <c r="G1468" s="208" t="s">
        <v>40</v>
      </c>
      <c r="H1468" s="275">
        <v>209.09</v>
      </c>
    </row>
    <row r="1469" spans="1:8" ht="12.75" customHeight="1" x14ac:dyDescent="0.2">
      <c r="A1469" s="273">
        <v>2025</v>
      </c>
      <c r="B1469" s="274" t="s">
        <v>1610</v>
      </c>
      <c r="C1469" s="274" t="s">
        <v>1734</v>
      </c>
      <c r="D1469" s="208" t="s">
        <v>1735</v>
      </c>
      <c r="E1469" s="208" t="s">
        <v>2005</v>
      </c>
      <c r="F1469" s="208" t="s">
        <v>27</v>
      </c>
      <c r="G1469" s="208" t="s">
        <v>40</v>
      </c>
      <c r="H1469" s="276">
        <v>-209.09</v>
      </c>
    </row>
    <row r="1470" spans="1:8" ht="12.75" customHeight="1" x14ac:dyDescent="0.2">
      <c r="A1470" s="273">
        <v>2025</v>
      </c>
      <c r="B1470" s="274" t="s">
        <v>1430</v>
      </c>
      <c r="C1470" s="274" t="s">
        <v>1734</v>
      </c>
      <c r="D1470" s="208" t="s">
        <v>1735</v>
      </c>
      <c r="E1470" s="208" t="s">
        <v>2006</v>
      </c>
      <c r="F1470" s="208" t="s">
        <v>27</v>
      </c>
      <c r="G1470" s="208" t="s">
        <v>40</v>
      </c>
      <c r="H1470" s="275">
        <v>84.99</v>
      </c>
    </row>
    <row r="1471" spans="1:8" ht="12.75" customHeight="1" x14ac:dyDescent="0.2">
      <c r="A1471" s="273">
        <v>2025</v>
      </c>
      <c r="B1471" s="274" t="s">
        <v>581</v>
      </c>
      <c r="C1471" s="274" t="s">
        <v>1745</v>
      </c>
      <c r="D1471" s="208" t="s">
        <v>1746</v>
      </c>
      <c r="E1471" s="208" t="s">
        <v>1797</v>
      </c>
      <c r="F1471" s="208" t="s">
        <v>27</v>
      </c>
      <c r="G1471" s="208" t="s">
        <v>40</v>
      </c>
      <c r="H1471" s="275">
        <v>45.21</v>
      </c>
    </row>
    <row r="1472" spans="1:8" ht="12.75" customHeight="1" x14ac:dyDescent="0.2">
      <c r="A1472" s="273">
        <v>2025</v>
      </c>
      <c r="B1472" s="274" t="s">
        <v>581</v>
      </c>
      <c r="C1472" s="274" t="s">
        <v>1847</v>
      </c>
      <c r="D1472" s="208" t="s">
        <v>1848</v>
      </c>
      <c r="E1472" s="208" t="s">
        <v>1797</v>
      </c>
      <c r="F1472" s="208" t="s">
        <v>27</v>
      </c>
      <c r="G1472" s="208" t="s">
        <v>40</v>
      </c>
      <c r="H1472" s="275">
        <v>64.010000000000005</v>
      </c>
    </row>
    <row r="1473" spans="1:8" ht="12.75" customHeight="1" x14ac:dyDescent="0.2">
      <c r="A1473" s="273">
        <v>2025</v>
      </c>
      <c r="B1473" s="274" t="s">
        <v>581</v>
      </c>
      <c r="C1473" s="274" t="s">
        <v>1750</v>
      </c>
      <c r="D1473" s="208" t="s">
        <v>1751</v>
      </c>
      <c r="E1473" s="208" t="s">
        <v>2007</v>
      </c>
      <c r="F1473" s="208" t="s">
        <v>27</v>
      </c>
      <c r="G1473" s="208" t="s">
        <v>40</v>
      </c>
      <c r="H1473" s="275">
        <v>34.200000000000003</v>
      </c>
    </row>
    <row r="1474" spans="1:8" ht="12.75" customHeight="1" x14ac:dyDescent="0.2">
      <c r="A1474" s="273">
        <v>2025</v>
      </c>
      <c r="B1474" s="274" t="s">
        <v>581</v>
      </c>
      <c r="C1474" s="274" t="s">
        <v>1887</v>
      </c>
      <c r="D1474" s="208" t="s">
        <v>1888</v>
      </c>
      <c r="E1474" s="208" t="s">
        <v>2008</v>
      </c>
      <c r="F1474" s="208" t="s">
        <v>27</v>
      </c>
      <c r="G1474" s="208" t="s">
        <v>40</v>
      </c>
      <c r="H1474" s="275">
        <v>8594.23</v>
      </c>
    </row>
    <row r="1475" spans="1:8" ht="12.75" customHeight="1" x14ac:dyDescent="0.2">
      <c r="A1475" s="273">
        <v>2026</v>
      </c>
      <c r="B1475" s="274" t="s">
        <v>2009</v>
      </c>
      <c r="C1475" s="274" t="s">
        <v>435</v>
      </c>
      <c r="D1475" s="208" t="s">
        <v>436</v>
      </c>
      <c r="E1475" s="208" t="s">
        <v>2010</v>
      </c>
      <c r="F1475" s="208" t="s">
        <v>27</v>
      </c>
      <c r="G1475" s="208" t="s">
        <v>364</v>
      </c>
      <c r="H1475" s="275">
        <v>447.12</v>
      </c>
    </row>
    <row r="1476" spans="1:8" ht="12.75" customHeight="1" x14ac:dyDescent="0.2">
      <c r="A1476" s="273">
        <v>2026</v>
      </c>
      <c r="B1476" s="274" t="s">
        <v>2011</v>
      </c>
      <c r="C1476" s="274" t="s">
        <v>438</v>
      </c>
      <c r="D1476" s="208" t="s">
        <v>439</v>
      </c>
      <c r="E1476" s="208" t="s">
        <v>2012</v>
      </c>
      <c r="F1476" s="208" t="s">
        <v>27</v>
      </c>
      <c r="G1476" s="208" t="s">
        <v>364</v>
      </c>
      <c r="H1476" s="275">
        <v>103.95</v>
      </c>
    </row>
    <row r="1477" spans="1:8" ht="12.75" customHeight="1" x14ac:dyDescent="0.2">
      <c r="A1477" s="273">
        <v>2026</v>
      </c>
      <c r="B1477" s="274" t="s">
        <v>2013</v>
      </c>
      <c r="C1477" s="274" t="s">
        <v>453</v>
      </c>
      <c r="D1477" s="208" t="s">
        <v>454</v>
      </c>
      <c r="E1477" s="208" t="s">
        <v>2014</v>
      </c>
      <c r="F1477" s="208" t="s">
        <v>27</v>
      </c>
      <c r="G1477" s="208" t="s">
        <v>364</v>
      </c>
      <c r="H1477" s="275">
        <v>49.19</v>
      </c>
    </row>
    <row r="1478" spans="1:8" ht="12.75" customHeight="1" x14ac:dyDescent="0.2">
      <c r="A1478" s="273">
        <v>2026</v>
      </c>
      <c r="B1478" s="274" t="s">
        <v>2015</v>
      </c>
      <c r="C1478" s="274" t="s">
        <v>2016</v>
      </c>
      <c r="D1478" s="208" t="s">
        <v>2017</v>
      </c>
      <c r="E1478" s="208" t="s">
        <v>2018</v>
      </c>
      <c r="F1478" s="208" t="s">
        <v>27</v>
      </c>
      <c r="G1478" s="208" t="s">
        <v>364</v>
      </c>
      <c r="H1478" s="276">
        <v>-2.4</v>
      </c>
    </row>
    <row r="1479" spans="1:8" ht="12.75" customHeight="1" x14ac:dyDescent="0.2">
      <c r="A1479" s="273">
        <v>2026</v>
      </c>
      <c r="B1479" s="274" t="s">
        <v>2019</v>
      </c>
      <c r="C1479" s="274" t="s">
        <v>430</v>
      </c>
      <c r="D1479" s="208" t="s">
        <v>431</v>
      </c>
      <c r="E1479" s="208" t="s">
        <v>2020</v>
      </c>
      <c r="F1479" s="208" t="s">
        <v>27</v>
      </c>
      <c r="G1479" s="208" t="s">
        <v>364</v>
      </c>
      <c r="H1479" s="275">
        <v>32.590000000000003</v>
      </c>
    </row>
    <row r="1480" spans="1:8" ht="12.75" customHeight="1" x14ac:dyDescent="0.2">
      <c r="A1480" s="273">
        <v>2026</v>
      </c>
      <c r="B1480" s="274" t="s">
        <v>2021</v>
      </c>
      <c r="C1480" s="274" t="s">
        <v>430</v>
      </c>
      <c r="D1480" s="208" t="s">
        <v>431</v>
      </c>
      <c r="E1480" s="208" t="s">
        <v>2022</v>
      </c>
      <c r="F1480" s="208" t="s">
        <v>27</v>
      </c>
      <c r="G1480" s="208" t="s">
        <v>364</v>
      </c>
      <c r="H1480" s="275">
        <v>3.3</v>
      </c>
    </row>
    <row r="1481" spans="1:8" ht="12.75" customHeight="1" x14ac:dyDescent="0.2">
      <c r="A1481" s="273">
        <v>2026</v>
      </c>
      <c r="B1481" s="274" t="s">
        <v>2023</v>
      </c>
      <c r="C1481" s="274" t="s">
        <v>453</v>
      </c>
      <c r="D1481" s="208" t="s">
        <v>454</v>
      </c>
      <c r="E1481" s="208" t="s">
        <v>2024</v>
      </c>
      <c r="F1481" s="208" t="s">
        <v>27</v>
      </c>
      <c r="G1481" s="208" t="s">
        <v>364</v>
      </c>
      <c r="H1481" s="275">
        <v>58.89</v>
      </c>
    </row>
    <row r="1482" spans="1:8" ht="12.75" customHeight="1" x14ac:dyDescent="0.2">
      <c r="A1482" s="273">
        <v>2026</v>
      </c>
      <c r="B1482" s="274" t="s">
        <v>2025</v>
      </c>
      <c r="C1482" s="274" t="s">
        <v>435</v>
      </c>
      <c r="D1482" s="208" t="s">
        <v>436</v>
      </c>
      <c r="E1482" s="208" t="s">
        <v>2026</v>
      </c>
      <c r="F1482" s="208" t="s">
        <v>27</v>
      </c>
      <c r="G1482" s="208" t="s">
        <v>364</v>
      </c>
      <c r="H1482" s="275">
        <v>285</v>
      </c>
    </row>
    <row r="1483" spans="1:8" ht="12.75" customHeight="1" x14ac:dyDescent="0.2">
      <c r="A1483" s="273">
        <v>2026</v>
      </c>
      <c r="B1483" s="274" t="s">
        <v>2027</v>
      </c>
      <c r="C1483" s="274" t="s">
        <v>453</v>
      </c>
      <c r="D1483" s="208" t="s">
        <v>454</v>
      </c>
      <c r="E1483" s="208" t="s">
        <v>2028</v>
      </c>
      <c r="F1483" s="208" t="s">
        <v>27</v>
      </c>
      <c r="G1483" s="208" t="s">
        <v>364</v>
      </c>
      <c r="H1483" s="275">
        <v>52.13</v>
      </c>
    </row>
    <row r="1484" spans="1:8" ht="12.75" customHeight="1" x14ac:dyDescent="0.2">
      <c r="A1484" s="273">
        <v>2026</v>
      </c>
      <c r="B1484" s="274" t="s">
        <v>2029</v>
      </c>
      <c r="C1484" s="274" t="s">
        <v>435</v>
      </c>
      <c r="D1484" s="208" t="s">
        <v>436</v>
      </c>
      <c r="E1484" s="208" t="s">
        <v>2030</v>
      </c>
      <c r="F1484" s="208" t="s">
        <v>27</v>
      </c>
      <c r="G1484" s="208" t="s">
        <v>364</v>
      </c>
      <c r="H1484" s="275">
        <v>391.58</v>
      </c>
    </row>
    <row r="1485" spans="1:8" ht="12.75" customHeight="1" x14ac:dyDescent="0.2">
      <c r="A1485" s="273">
        <v>2026</v>
      </c>
      <c r="B1485" s="274" t="s">
        <v>2031</v>
      </c>
      <c r="C1485" s="274" t="s">
        <v>691</v>
      </c>
      <c r="D1485" s="208" t="s">
        <v>692</v>
      </c>
      <c r="E1485" s="208" t="s">
        <v>719</v>
      </c>
      <c r="F1485" s="208" t="s">
        <v>27</v>
      </c>
      <c r="G1485" s="208" t="s">
        <v>30</v>
      </c>
      <c r="H1485" s="275">
        <v>52.27</v>
      </c>
    </row>
    <row r="1486" spans="1:8" ht="12.75" customHeight="1" x14ac:dyDescent="0.2">
      <c r="A1486" s="273">
        <v>2026</v>
      </c>
      <c r="B1486" s="274" t="s">
        <v>2031</v>
      </c>
      <c r="C1486" s="274" t="s">
        <v>706</v>
      </c>
      <c r="D1486" s="208" t="s">
        <v>707</v>
      </c>
      <c r="E1486" s="208" t="s">
        <v>2032</v>
      </c>
      <c r="F1486" s="208" t="s">
        <v>27</v>
      </c>
      <c r="G1486" s="208" t="s">
        <v>30</v>
      </c>
      <c r="H1486" s="275">
        <v>9.57</v>
      </c>
    </row>
    <row r="1487" spans="1:8" ht="12.75" customHeight="1" x14ac:dyDescent="0.2">
      <c r="A1487" s="273">
        <v>2026</v>
      </c>
      <c r="B1487" s="274" t="s">
        <v>2033</v>
      </c>
      <c r="C1487" s="274" t="s">
        <v>647</v>
      </c>
      <c r="D1487" s="208" t="s">
        <v>648</v>
      </c>
      <c r="E1487" s="208" t="s">
        <v>2034</v>
      </c>
      <c r="F1487" s="208" t="s">
        <v>27</v>
      </c>
      <c r="G1487" s="208" t="s">
        <v>30</v>
      </c>
      <c r="H1487" s="275">
        <v>2.42</v>
      </c>
    </row>
    <row r="1488" spans="1:8" ht="12.75" customHeight="1" x14ac:dyDescent="0.2">
      <c r="A1488" s="273">
        <v>2026</v>
      </c>
      <c r="B1488" s="274" t="s">
        <v>2033</v>
      </c>
      <c r="C1488" s="274" t="s">
        <v>647</v>
      </c>
      <c r="D1488" s="208" t="s">
        <v>648</v>
      </c>
      <c r="E1488" s="208" t="s">
        <v>659</v>
      </c>
      <c r="F1488" s="208" t="s">
        <v>27</v>
      </c>
      <c r="G1488" s="208" t="s">
        <v>30</v>
      </c>
      <c r="H1488" s="275">
        <v>14.13</v>
      </c>
    </row>
    <row r="1489" spans="1:8" ht="12.75" customHeight="1" x14ac:dyDescent="0.2">
      <c r="A1489" s="273">
        <v>2026</v>
      </c>
      <c r="B1489" s="274" t="s">
        <v>2035</v>
      </c>
      <c r="C1489" s="274" t="s">
        <v>661</v>
      </c>
      <c r="D1489" s="208" t="s">
        <v>662</v>
      </c>
      <c r="E1489" s="208" t="s">
        <v>2036</v>
      </c>
      <c r="F1489" s="208" t="s">
        <v>27</v>
      </c>
      <c r="G1489" s="208" t="s">
        <v>30</v>
      </c>
      <c r="H1489" s="275">
        <v>96.69</v>
      </c>
    </row>
    <row r="1490" spans="1:8" ht="12.75" customHeight="1" x14ac:dyDescent="0.2">
      <c r="A1490" s="273">
        <v>2026</v>
      </c>
      <c r="B1490" s="274" t="s">
        <v>2035</v>
      </c>
      <c r="C1490" s="274" t="s">
        <v>700</v>
      </c>
      <c r="D1490" s="208" t="s">
        <v>701</v>
      </c>
      <c r="E1490" s="208" t="s">
        <v>2037</v>
      </c>
      <c r="F1490" s="208" t="s">
        <v>27</v>
      </c>
      <c r="G1490" s="208" t="s">
        <v>30</v>
      </c>
      <c r="H1490" s="275">
        <v>100.82</v>
      </c>
    </row>
    <row r="1491" spans="1:8" ht="12.75" customHeight="1" x14ac:dyDescent="0.2">
      <c r="A1491" s="273">
        <v>2026</v>
      </c>
      <c r="B1491" s="274" t="s">
        <v>2035</v>
      </c>
      <c r="C1491" s="274" t="s">
        <v>716</v>
      </c>
      <c r="D1491" s="208" t="s">
        <v>717</v>
      </c>
      <c r="E1491" s="208" t="s">
        <v>2036</v>
      </c>
      <c r="F1491" s="208" t="s">
        <v>27</v>
      </c>
      <c r="G1491" s="208" t="s">
        <v>30</v>
      </c>
      <c r="H1491" s="275">
        <v>116.38</v>
      </c>
    </row>
    <row r="1492" spans="1:8" ht="12.75" customHeight="1" x14ac:dyDescent="0.2">
      <c r="A1492" s="273">
        <v>2026</v>
      </c>
      <c r="B1492" s="274" t="s">
        <v>2038</v>
      </c>
      <c r="C1492" s="274" t="s">
        <v>647</v>
      </c>
      <c r="D1492" s="208" t="s">
        <v>648</v>
      </c>
      <c r="E1492" s="208" t="s">
        <v>2039</v>
      </c>
      <c r="F1492" s="208" t="s">
        <v>27</v>
      </c>
      <c r="G1492" s="208" t="s">
        <v>30</v>
      </c>
      <c r="H1492" s="275">
        <v>5.58</v>
      </c>
    </row>
    <row r="1493" spans="1:8" ht="12.75" customHeight="1" x14ac:dyDescent="0.2">
      <c r="A1493" s="273">
        <v>2026</v>
      </c>
      <c r="B1493" s="274" t="s">
        <v>2038</v>
      </c>
      <c r="C1493" s="274" t="s">
        <v>647</v>
      </c>
      <c r="D1493" s="208" t="s">
        <v>648</v>
      </c>
      <c r="E1493" s="208" t="s">
        <v>2040</v>
      </c>
      <c r="F1493" s="208" t="s">
        <v>27</v>
      </c>
      <c r="G1493" s="208" t="s">
        <v>30</v>
      </c>
      <c r="H1493" s="275">
        <v>5.25</v>
      </c>
    </row>
    <row r="1494" spans="1:8" ht="12.75" customHeight="1" x14ac:dyDescent="0.2">
      <c r="A1494" s="273">
        <v>2026</v>
      </c>
      <c r="B1494" s="274" t="s">
        <v>2041</v>
      </c>
      <c r="C1494" s="274" t="s">
        <v>691</v>
      </c>
      <c r="D1494" s="208" t="s">
        <v>692</v>
      </c>
      <c r="E1494" s="208" t="s">
        <v>719</v>
      </c>
      <c r="F1494" s="208" t="s">
        <v>27</v>
      </c>
      <c r="G1494" s="208" t="s">
        <v>30</v>
      </c>
      <c r="H1494" s="275">
        <v>52.27</v>
      </c>
    </row>
    <row r="1495" spans="1:8" ht="12.75" customHeight="1" x14ac:dyDescent="0.2">
      <c r="A1495" s="273">
        <v>2026</v>
      </c>
      <c r="B1495" s="274" t="s">
        <v>2042</v>
      </c>
      <c r="C1495" s="274" t="s">
        <v>647</v>
      </c>
      <c r="D1495" s="208" t="s">
        <v>648</v>
      </c>
      <c r="E1495" s="208" t="s">
        <v>670</v>
      </c>
      <c r="F1495" s="208" t="s">
        <v>27</v>
      </c>
      <c r="G1495" s="208" t="s">
        <v>30</v>
      </c>
      <c r="H1495" s="275">
        <v>14.13</v>
      </c>
    </row>
    <row r="1496" spans="1:8" ht="12.75" customHeight="1" x14ac:dyDescent="0.2">
      <c r="A1496" s="273">
        <v>2026</v>
      </c>
      <c r="B1496" s="274" t="s">
        <v>2043</v>
      </c>
      <c r="C1496" s="274" t="s">
        <v>647</v>
      </c>
      <c r="D1496" s="208" t="s">
        <v>648</v>
      </c>
      <c r="E1496" s="208" t="s">
        <v>2044</v>
      </c>
      <c r="F1496" s="208" t="s">
        <v>27</v>
      </c>
      <c r="G1496" s="208" t="s">
        <v>30</v>
      </c>
      <c r="H1496" s="275">
        <v>2.42</v>
      </c>
    </row>
    <row r="1497" spans="1:8" ht="12.75" customHeight="1" x14ac:dyDescent="0.2">
      <c r="A1497" s="273">
        <v>2026</v>
      </c>
      <c r="B1497" s="274" t="s">
        <v>2045</v>
      </c>
      <c r="C1497" s="274" t="s">
        <v>661</v>
      </c>
      <c r="D1497" s="208" t="s">
        <v>662</v>
      </c>
      <c r="E1497" s="208" t="s">
        <v>2046</v>
      </c>
      <c r="F1497" s="208" t="s">
        <v>27</v>
      </c>
      <c r="G1497" s="208" t="s">
        <v>30</v>
      </c>
      <c r="H1497" s="275">
        <v>90.34</v>
      </c>
    </row>
    <row r="1498" spans="1:8" ht="12.75" customHeight="1" x14ac:dyDescent="0.2">
      <c r="A1498" s="273">
        <v>2026</v>
      </c>
      <c r="B1498" s="274" t="s">
        <v>2045</v>
      </c>
      <c r="C1498" s="274" t="s">
        <v>700</v>
      </c>
      <c r="D1498" s="208" t="s">
        <v>701</v>
      </c>
      <c r="E1498" s="208" t="s">
        <v>2047</v>
      </c>
      <c r="F1498" s="208" t="s">
        <v>27</v>
      </c>
      <c r="G1498" s="208" t="s">
        <v>30</v>
      </c>
      <c r="H1498" s="275">
        <v>100.82</v>
      </c>
    </row>
    <row r="1499" spans="1:8" ht="12.75" customHeight="1" x14ac:dyDescent="0.2">
      <c r="A1499" s="273">
        <v>2026</v>
      </c>
      <c r="B1499" s="274" t="s">
        <v>2045</v>
      </c>
      <c r="C1499" s="274" t="s">
        <v>716</v>
      </c>
      <c r="D1499" s="208" t="s">
        <v>717</v>
      </c>
      <c r="E1499" s="208" t="s">
        <v>2047</v>
      </c>
      <c r="F1499" s="208" t="s">
        <v>27</v>
      </c>
      <c r="G1499" s="208" t="s">
        <v>30</v>
      </c>
      <c r="H1499" s="275">
        <v>116.38</v>
      </c>
    </row>
    <row r="1500" spans="1:8" ht="12.75" customHeight="1" x14ac:dyDescent="0.2">
      <c r="A1500" s="273">
        <v>2026</v>
      </c>
      <c r="B1500" s="274" t="s">
        <v>2048</v>
      </c>
      <c r="C1500" s="274" t="s">
        <v>647</v>
      </c>
      <c r="D1500" s="208" t="s">
        <v>648</v>
      </c>
      <c r="E1500" s="208" t="s">
        <v>2049</v>
      </c>
      <c r="F1500" s="208" t="s">
        <v>27</v>
      </c>
      <c r="G1500" s="208" t="s">
        <v>30</v>
      </c>
      <c r="H1500" s="275">
        <v>5.58</v>
      </c>
    </row>
    <row r="1501" spans="1:8" ht="12.75" customHeight="1" x14ac:dyDescent="0.2">
      <c r="A1501" s="273">
        <v>2026</v>
      </c>
      <c r="B1501" s="274" t="s">
        <v>2048</v>
      </c>
      <c r="C1501" s="274" t="s">
        <v>647</v>
      </c>
      <c r="D1501" s="208" t="s">
        <v>648</v>
      </c>
      <c r="E1501" s="208" t="s">
        <v>2050</v>
      </c>
      <c r="F1501" s="208" t="s">
        <v>27</v>
      </c>
      <c r="G1501" s="208" t="s">
        <v>30</v>
      </c>
      <c r="H1501" s="275">
        <v>5.25</v>
      </c>
    </row>
    <row r="1502" spans="1:8" ht="12.75" customHeight="1" x14ac:dyDescent="0.2">
      <c r="A1502" s="273">
        <v>2026</v>
      </c>
      <c r="B1502" s="274" t="s">
        <v>2051</v>
      </c>
      <c r="C1502" s="274" t="s">
        <v>2052</v>
      </c>
      <c r="D1502" s="208" t="s">
        <v>2053</v>
      </c>
      <c r="E1502" s="208" t="s">
        <v>2054</v>
      </c>
      <c r="F1502" s="208" t="s">
        <v>27</v>
      </c>
      <c r="G1502" s="208" t="s">
        <v>30</v>
      </c>
      <c r="H1502" s="275">
        <v>1280.02</v>
      </c>
    </row>
    <row r="1503" spans="1:8" ht="12.75" customHeight="1" x14ac:dyDescent="0.2">
      <c r="A1503" s="273">
        <v>2026</v>
      </c>
      <c r="B1503" s="274" t="s">
        <v>2055</v>
      </c>
      <c r="C1503" s="274" t="s">
        <v>801</v>
      </c>
      <c r="D1503" s="208" t="s">
        <v>802</v>
      </c>
      <c r="E1503" s="208" t="s">
        <v>2056</v>
      </c>
      <c r="F1503" s="208" t="s">
        <v>27</v>
      </c>
      <c r="G1503" s="208" t="s">
        <v>30</v>
      </c>
      <c r="H1503" s="275">
        <v>9.57</v>
      </c>
    </row>
    <row r="1504" spans="1:8" ht="12.75" customHeight="1" x14ac:dyDescent="0.2">
      <c r="A1504" s="273">
        <v>2026</v>
      </c>
      <c r="B1504" s="274" t="s">
        <v>2057</v>
      </c>
      <c r="C1504" s="274" t="s">
        <v>647</v>
      </c>
      <c r="D1504" s="208" t="s">
        <v>648</v>
      </c>
      <c r="E1504" s="208" t="s">
        <v>682</v>
      </c>
      <c r="F1504" s="208" t="s">
        <v>27</v>
      </c>
      <c r="G1504" s="208" t="s">
        <v>30</v>
      </c>
      <c r="H1504" s="275">
        <v>14.13</v>
      </c>
    </row>
    <row r="1505" spans="1:8" ht="12.75" customHeight="1" x14ac:dyDescent="0.2">
      <c r="A1505" s="273">
        <v>2026</v>
      </c>
      <c r="B1505" s="274" t="s">
        <v>2058</v>
      </c>
      <c r="C1505" s="274" t="s">
        <v>647</v>
      </c>
      <c r="D1505" s="208" t="s">
        <v>648</v>
      </c>
      <c r="E1505" s="208" t="s">
        <v>2059</v>
      </c>
      <c r="F1505" s="208" t="s">
        <v>27</v>
      </c>
      <c r="G1505" s="208" t="s">
        <v>30</v>
      </c>
      <c r="H1505" s="275">
        <v>2.42</v>
      </c>
    </row>
    <row r="1506" spans="1:8" ht="12.75" customHeight="1" x14ac:dyDescent="0.2">
      <c r="A1506" s="273">
        <v>2026</v>
      </c>
      <c r="B1506" s="274" t="s">
        <v>2060</v>
      </c>
      <c r="C1506" s="274" t="s">
        <v>661</v>
      </c>
      <c r="D1506" s="208" t="s">
        <v>662</v>
      </c>
      <c r="E1506" s="208" t="s">
        <v>2061</v>
      </c>
      <c r="F1506" s="208" t="s">
        <v>27</v>
      </c>
      <c r="G1506" s="208" t="s">
        <v>30</v>
      </c>
      <c r="H1506" s="275">
        <v>90.34</v>
      </c>
    </row>
    <row r="1507" spans="1:8" ht="12.75" customHeight="1" x14ac:dyDescent="0.2">
      <c r="A1507" s="273">
        <v>2026</v>
      </c>
      <c r="B1507" s="274" t="s">
        <v>2060</v>
      </c>
      <c r="C1507" s="274" t="s">
        <v>700</v>
      </c>
      <c r="D1507" s="208" t="s">
        <v>701</v>
      </c>
      <c r="E1507" s="208" t="s">
        <v>2062</v>
      </c>
      <c r="F1507" s="208" t="s">
        <v>27</v>
      </c>
      <c r="G1507" s="208" t="s">
        <v>30</v>
      </c>
      <c r="H1507" s="275">
        <v>100.82</v>
      </c>
    </row>
    <row r="1508" spans="1:8" ht="12.75" customHeight="1" x14ac:dyDescent="0.2">
      <c r="A1508" s="273">
        <v>2026</v>
      </c>
      <c r="B1508" s="274" t="s">
        <v>2060</v>
      </c>
      <c r="C1508" s="274" t="s">
        <v>716</v>
      </c>
      <c r="D1508" s="208" t="s">
        <v>717</v>
      </c>
      <c r="E1508" s="208" t="s">
        <v>2063</v>
      </c>
      <c r="F1508" s="208" t="s">
        <v>27</v>
      </c>
      <c r="G1508" s="208" t="s">
        <v>30</v>
      </c>
      <c r="H1508" s="275">
        <v>116.38</v>
      </c>
    </row>
    <row r="1509" spans="1:8" ht="12.75" customHeight="1" x14ac:dyDescent="0.2">
      <c r="A1509" s="273">
        <v>2026</v>
      </c>
      <c r="B1509" s="274" t="s">
        <v>2025</v>
      </c>
      <c r="C1509" s="274" t="s">
        <v>647</v>
      </c>
      <c r="D1509" s="208" t="s">
        <v>648</v>
      </c>
      <c r="E1509" s="208" t="s">
        <v>2064</v>
      </c>
      <c r="F1509" s="208" t="s">
        <v>27</v>
      </c>
      <c r="G1509" s="208" t="s">
        <v>30</v>
      </c>
      <c r="H1509" s="275">
        <v>5.58</v>
      </c>
    </row>
    <row r="1510" spans="1:8" ht="12.75" customHeight="1" x14ac:dyDescent="0.2">
      <c r="A1510" s="273">
        <v>2026</v>
      </c>
      <c r="B1510" s="274" t="s">
        <v>2025</v>
      </c>
      <c r="C1510" s="274" t="s">
        <v>647</v>
      </c>
      <c r="D1510" s="208" t="s">
        <v>648</v>
      </c>
      <c r="E1510" s="208" t="s">
        <v>2065</v>
      </c>
      <c r="F1510" s="208" t="s">
        <v>27</v>
      </c>
      <c r="G1510" s="208" t="s">
        <v>30</v>
      </c>
      <c r="H1510" s="275">
        <v>5.25</v>
      </c>
    </row>
    <row r="1511" spans="1:8" ht="12.75" customHeight="1" x14ac:dyDescent="0.2">
      <c r="A1511" s="273">
        <v>2026</v>
      </c>
      <c r="B1511" s="274" t="s">
        <v>2009</v>
      </c>
      <c r="C1511" s="274" t="s">
        <v>811</v>
      </c>
      <c r="D1511" s="208" t="s">
        <v>2066</v>
      </c>
      <c r="E1511" s="208" t="s">
        <v>2067</v>
      </c>
      <c r="F1511" s="208" t="s">
        <v>27</v>
      </c>
      <c r="G1511" s="208" t="s">
        <v>368</v>
      </c>
      <c r="H1511" s="275">
        <v>0.01</v>
      </c>
    </row>
    <row r="1512" spans="1:8" ht="12.75" customHeight="1" x14ac:dyDescent="0.2">
      <c r="A1512" s="273">
        <v>2026</v>
      </c>
      <c r="B1512" s="274" t="s">
        <v>2038</v>
      </c>
      <c r="C1512" s="274" t="s">
        <v>811</v>
      </c>
      <c r="D1512" s="208" t="s">
        <v>2066</v>
      </c>
      <c r="E1512" s="208" t="s">
        <v>827</v>
      </c>
      <c r="F1512" s="208" t="s">
        <v>27</v>
      </c>
      <c r="G1512" s="208" t="s">
        <v>368</v>
      </c>
      <c r="H1512" s="275">
        <v>1.08</v>
      </c>
    </row>
    <row r="1513" spans="1:8" ht="12.75" customHeight="1" x14ac:dyDescent="0.2">
      <c r="A1513" s="273">
        <v>2026</v>
      </c>
      <c r="B1513" s="274" t="s">
        <v>2013</v>
      </c>
      <c r="C1513" s="274" t="s">
        <v>811</v>
      </c>
      <c r="D1513" s="208" t="s">
        <v>2066</v>
      </c>
      <c r="E1513" s="208" t="s">
        <v>2067</v>
      </c>
      <c r="F1513" s="208" t="s">
        <v>27</v>
      </c>
      <c r="G1513" s="208" t="s">
        <v>368</v>
      </c>
      <c r="H1513" s="275">
        <v>0.01</v>
      </c>
    </row>
    <row r="1514" spans="1:8" ht="12.75" customHeight="1" x14ac:dyDescent="0.2">
      <c r="A1514" s="273">
        <v>2026</v>
      </c>
      <c r="B1514" s="274" t="s">
        <v>2015</v>
      </c>
      <c r="C1514" s="274" t="s">
        <v>811</v>
      </c>
      <c r="D1514" s="208" t="s">
        <v>2066</v>
      </c>
      <c r="E1514" s="208" t="s">
        <v>818</v>
      </c>
      <c r="F1514" s="208" t="s">
        <v>27</v>
      </c>
      <c r="G1514" s="208" t="s">
        <v>368</v>
      </c>
      <c r="H1514" s="275">
        <v>0.43</v>
      </c>
    </row>
    <row r="1515" spans="1:8" ht="12.75" customHeight="1" x14ac:dyDescent="0.2">
      <c r="A1515" s="273">
        <v>2026</v>
      </c>
      <c r="B1515" s="274" t="s">
        <v>2068</v>
      </c>
      <c r="C1515" s="274" t="s">
        <v>811</v>
      </c>
      <c r="D1515" s="208" t="s">
        <v>2066</v>
      </c>
      <c r="E1515" s="208" t="s">
        <v>820</v>
      </c>
      <c r="F1515" s="208" t="s">
        <v>27</v>
      </c>
      <c r="G1515" s="208" t="s">
        <v>368</v>
      </c>
      <c r="H1515" s="275">
        <v>2</v>
      </c>
    </row>
    <row r="1516" spans="1:8" ht="12.75" customHeight="1" x14ac:dyDescent="0.2">
      <c r="A1516" s="273">
        <v>2026</v>
      </c>
      <c r="B1516" s="274" t="s">
        <v>2042</v>
      </c>
      <c r="C1516" s="274" t="s">
        <v>811</v>
      </c>
      <c r="D1516" s="208" t="s">
        <v>2066</v>
      </c>
      <c r="E1516" s="208" t="s">
        <v>2069</v>
      </c>
      <c r="F1516" s="208" t="s">
        <v>27</v>
      </c>
      <c r="G1516" s="208" t="s">
        <v>368</v>
      </c>
      <c r="H1516" s="275">
        <v>0.01</v>
      </c>
    </row>
    <row r="1517" spans="1:8" ht="12.75" customHeight="1" x14ac:dyDescent="0.2">
      <c r="A1517" s="273">
        <v>2026</v>
      </c>
      <c r="B1517" s="274" t="s">
        <v>2070</v>
      </c>
      <c r="C1517" s="274" t="s">
        <v>811</v>
      </c>
      <c r="D1517" s="208" t="s">
        <v>2066</v>
      </c>
      <c r="E1517" s="208" t="s">
        <v>2067</v>
      </c>
      <c r="F1517" s="208" t="s">
        <v>27</v>
      </c>
      <c r="G1517" s="208" t="s">
        <v>368</v>
      </c>
      <c r="H1517" s="275">
        <v>0.01</v>
      </c>
    </row>
    <row r="1518" spans="1:8" ht="12.75" customHeight="1" x14ac:dyDescent="0.2">
      <c r="A1518" s="273">
        <v>2026</v>
      </c>
      <c r="B1518" s="274" t="s">
        <v>2029</v>
      </c>
      <c r="C1518" s="274" t="s">
        <v>811</v>
      </c>
      <c r="D1518" s="208" t="s">
        <v>2066</v>
      </c>
      <c r="E1518" s="208" t="s">
        <v>820</v>
      </c>
      <c r="F1518" s="208" t="s">
        <v>27</v>
      </c>
      <c r="G1518" s="208" t="s">
        <v>368</v>
      </c>
      <c r="H1518" s="275">
        <v>4</v>
      </c>
    </row>
    <row r="1519" spans="1:8" ht="12.75" customHeight="1" x14ac:dyDescent="0.2">
      <c r="A1519" s="273">
        <v>2026</v>
      </c>
      <c r="B1519" s="274" t="s">
        <v>2033</v>
      </c>
      <c r="C1519" s="274" t="s">
        <v>870</v>
      </c>
      <c r="D1519" s="208" t="s">
        <v>871</v>
      </c>
      <c r="E1519" s="208" t="s">
        <v>2071</v>
      </c>
      <c r="F1519" s="208" t="s">
        <v>27</v>
      </c>
      <c r="G1519" s="208" t="s">
        <v>367</v>
      </c>
      <c r="H1519" s="275">
        <v>13.72</v>
      </c>
    </row>
    <row r="1520" spans="1:8" ht="12.75" customHeight="1" x14ac:dyDescent="0.2">
      <c r="A1520" s="273">
        <v>2026</v>
      </c>
      <c r="B1520" s="274" t="s">
        <v>2033</v>
      </c>
      <c r="C1520" s="274" t="s">
        <v>870</v>
      </c>
      <c r="D1520" s="208" t="s">
        <v>871</v>
      </c>
      <c r="E1520" s="208" t="s">
        <v>2072</v>
      </c>
      <c r="F1520" s="208" t="s">
        <v>27</v>
      </c>
      <c r="G1520" s="208" t="s">
        <v>367</v>
      </c>
      <c r="H1520" s="275">
        <v>37.479999999999997</v>
      </c>
    </row>
    <row r="1521" spans="1:8" ht="12.75" customHeight="1" x14ac:dyDescent="0.2">
      <c r="A1521" s="273">
        <v>2026</v>
      </c>
      <c r="B1521" s="274" t="s">
        <v>2033</v>
      </c>
      <c r="C1521" s="274" t="s">
        <v>870</v>
      </c>
      <c r="D1521" s="208" t="s">
        <v>871</v>
      </c>
      <c r="E1521" s="208" t="s">
        <v>2073</v>
      </c>
      <c r="F1521" s="208" t="s">
        <v>27</v>
      </c>
      <c r="G1521" s="208" t="s">
        <v>367</v>
      </c>
      <c r="H1521" s="275">
        <v>54.12</v>
      </c>
    </row>
    <row r="1522" spans="1:8" ht="12.75" customHeight="1" x14ac:dyDescent="0.2">
      <c r="A1522" s="273">
        <v>2026</v>
      </c>
      <c r="B1522" s="274" t="s">
        <v>2074</v>
      </c>
      <c r="C1522" s="274" t="s">
        <v>2075</v>
      </c>
      <c r="D1522" s="208" t="s">
        <v>2076</v>
      </c>
      <c r="E1522" s="208" t="s">
        <v>2077</v>
      </c>
      <c r="F1522" s="208" t="s">
        <v>27</v>
      </c>
      <c r="G1522" s="208" t="s">
        <v>367</v>
      </c>
      <c r="H1522" s="276">
        <v>-7.0000000000000007E-2</v>
      </c>
    </row>
    <row r="1523" spans="1:8" ht="12.75" customHeight="1" x14ac:dyDescent="0.2">
      <c r="A1523" s="273">
        <v>2026</v>
      </c>
      <c r="B1523" s="274" t="s">
        <v>2038</v>
      </c>
      <c r="C1523" s="274" t="s">
        <v>870</v>
      </c>
      <c r="D1523" s="208" t="s">
        <v>871</v>
      </c>
      <c r="E1523" s="208" t="s">
        <v>2078</v>
      </c>
      <c r="F1523" s="208" t="s">
        <v>27</v>
      </c>
      <c r="G1523" s="208" t="s">
        <v>367</v>
      </c>
      <c r="H1523" s="275">
        <v>16.16</v>
      </c>
    </row>
    <row r="1524" spans="1:8" ht="12.75" customHeight="1" x14ac:dyDescent="0.2">
      <c r="A1524" s="273">
        <v>2026</v>
      </c>
      <c r="B1524" s="274" t="s">
        <v>2038</v>
      </c>
      <c r="C1524" s="274" t="s">
        <v>870</v>
      </c>
      <c r="D1524" s="208" t="s">
        <v>871</v>
      </c>
      <c r="E1524" s="208" t="s">
        <v>2079</v>
      </c>
      <c r="F1524" s="208" t="s">
        <v>27</v>
      </c>
      <c r="G1524" s="208" t="s">
        <v>367</v>
      </c>
      <c r="H1524" s="275">
        <v>26.76</v>
      </c>
    </row>
    <row r="1525" spans="1:8" ht="12.75" customHeight="1" x14ac:dyDescent="0.2">
      <c r="A1525" s="273">
        <v>2026</v>
      </c>
      <c r="B1525" s="274" t="s">
        <v>2043</v>
      </c>
      <c r="C1525" s="274" t="s">
        <v>870</v>
      </c>
      <c r="D1525" s="208" t="s">
        <v>871</v>
      </c>
      <c r="E1525" s="208" t="s">
        <v>2080</v>
      </c>
      <c r="F1525" s="208" t="s">
        <v>27</v>
      </c>
      <c r="G1525" s="208" t="s">
        <v>367</v>
      </c>
      <c r="H1525" s="275">
        <v>13.42</v>
      </c>
    </row>
    <row r="1526" spans="1:8" ht="12.75" customHeight="1" x14ac:dyDescent="0.2">
      <c r="A1526" s="273">
        <v>2026</v>
      </c>
      <c r="B1526" s="274" t="s">
        <v>2043</v>
      </c>
      <c r="C1526" s="274" t="s">
        <v>870</v>
      </c>
      <c r="D1526" s="208" t="s">
        <v>871</v>
      </c>
      <c r="E1526" s="208" t="s">
        <v>2081</v>
      </c>
      <c r="F1526" s="208" t="s">
        <v>27</v>
      </c>
      <c r="G1526" s="208" t="s">
        <v>367</v>
      </c>
      <c r="H1526" s="275">
        <v>36.67</v>
      </c>
    </row>
    <row r="1527" spans="1:8" ht="12.75" customHeight="1" x14ac:dyDescent="0.2">
      <c r="A1527" s="273">
        <v>2026</v>
      </c>
      <c r="B1527" s="274" t="s">
        <v>2043</v>
      </c>
      <c r="C1527" s="274" t="s">
        <v>870</v>
      </c>
      <c r="D1527" s="208" t="s">
        <v>871</v>
      </c>
      <c r="E1527" s="208" t="s">
        <v>2082</v>
      </c>
      <c r="F1527" s="208" t="s">
        <v>27</v>
      </c>
      <c r="G1527" s="208" t="s">
        <v>367</v>
      </c>
      <c r="H1527" s="275">
        <v>53.01</v>
      </c>
    </row>
    <row r="1528" spans="1:8" ht="12.75" customHeight="1" x14ac:dyDescent="0.2">
      <c r="A1528" s="273">
        <v>2026</v>
      </c>
      <c r="B1528" s="274" t="s">
        <v>2048</v>
      </c>
      <c r="C1528" s="274" t="s">
        <v>870</v>
      </c>
      <c r="D1528" s="208" t="s">
        <v>871</v>
      </c>
      <c r="E1528" s="208" t="s">
        <v>2083</v>
      </c>
      <c r="F1528" s="208" t="s">
        <v>27</v>
      </c>
      <c r="G1528" s="208" t="s">
        <v>367</v>
      </c>
      <c r="H1528" s="275">
        <v>15.82</v>
      </c>
    </row>
    <row r="1529" spans="1:8" ht="12.75" customHeight="1" x14ac:dyDescent="0.2">
      <c r="A1529" s="273">
        <v>2026</v>
      </c>
      <c r="B1529" s="274" t="s">
        <v>2048</v>
      </c>
      <c r="C1529" s="274" t="s">
        <v>870</v>
      </c>
      <c r="D1529" s="208" t="s">
        <v>871</v>
      </c>
      <c r="E1529" s="208" t="s">
        <v>2084</v>
      </c>
      <c r="F1529" s="208" t="s">
        <v>27</v>
      </c>
      <c r="G1529" s="208" t="s">
        <v>367</v>
      </c>
      <c r="H1529" s="275">
        <v>26.23</v>
      </c>
    </row>
    <row r="1530" spans="1:8" ht="12.75" customHeight="1" x14ac:dyDescent="0.2">
      <c r="A1530" s="273">
        <v>2026</v>
      </c>
      <c r="B1530" s="274" t="s">
        <v>2058</v>
      </c>
      <c r="C1530" s="274" t="s">
        <v>870</v>
      </c>
      <c r="D1530" s="208" t="s">
        <v>871</v>
      </c>
      <c r="E1530" s="208" t="s">
        <v>2085</v>
      </c>
      <c r="F1530" s="208" t="s">
        <v>27</v>
      </c>
      <c r="G1530" s="208" t="s">
        <v>367</v>
      </c>
      <c r="H1530" s="275">
        <v>13.13</v>
      </c>
    </row>
    <row r="1531" spans="1:8" ht="12.75" customHeight="1" x14ac:dyDescent="0.2">
      <c r="A1531" s="273">
        <v>2026</v>
      </c>
      <c r="B1531" s="274" t="s">
        <v>2058</v>
      </c>
      <c r="C1531" s="274" t="s">
        <v>870</v>
      </c>
      <c r="D1531" s="208" t="s">
        <v>871</v>
      </c>
      <c r="E1531" s="208" t="s">
        <v>2086</v>
      </c>
      <c r="F1531" s="208" t="s">
        <v>27</v>
      </c>
      <c r="G1531" s="208" t="s">
        <v>367</v>
      </c>
      <c r="H1531" s="275">
        <v>35.86</v>
      </c>
    </row>
    <row r="1532" spans="1:8" ht="12.75" customHeight="1" x14ac:dyDescent="0.2">
      <c r="A1532" s="273">
        <v>2026</v>
      </c>
      <c r="B1532" s="274" t="s">
        <v>2058</v>
      </c>
      <c r="C1532" s="274" t="s">
        <v>870</v>
      </c>
      <c r="D1532" s="208" t="s">
        <v>871</v>
      </c>
      <c r="E1532" s="208" t="s">
        <v>2087</v>
      </c>
      <c r="F1532" s="208" t="s">
        <v>27</v>
      </c>
      <c r="G1532" s="208" t="s">
        <v>367</v>
      </c>
      <c r="H1532" s="275">
        <v>51.91</v>
      </c>
    </row>
    <row r="1533" spans="1:8" ht="12.75" customHeight="1" x14ac:dyDescent="0.2">
      <c r="A1533" s="273">
        <v>2026</v>
      </c>
      <c r="B1533" s="274" t="s">
        <v>2025</v>
      </c>
      <c r="C1533" s="274" t="s">
        <v>870</v>
      </c>
      <c r="D1533" s="208" t="s">
        <v>871</v>
      </c>
      <c r="E1533" s="208" t="s">
        <v>2088</v>
      </c>
      <c r="F1533" s="208" t="s">
        <v>27</v>
      </c>
      <c r="G1533" s="208" t="s">
        <v>367</v>
      </c>
      <c r="H1533" s="275">
        <v>15.49</v>
      </c>
    </row>
    <row r="1534" spans="1:8" ht="12.75" customHeight="1" x14ac:dyDescent="0.2">
      <c r="A1534" s="273">
        <v>2026</v>
      </c>
      <c r="B1534" s="274" t="s">
        <v>2025</v>
      </c>
      <c r="C1534" s="274" t="s">
        <v>870</v>
      </c>
      <c r="D1534" s="208" t="s">
        <v>871</v>
      </c>
      <c r="E1534" s="208" t="s">
        <v>2089</v>
      </c>
      <c r="F1534" s="208" t="s">
        <v>27</v>
      </c>
      <c r="G1534" s="208" t="s">
        <v>367</v>
      </c>
      <c r="H1534" s="275">
        <v>25.69</v>
      </c>
    </row>
    <row r="1535" spans="1:8" ht="12.75" customHeight="1" x14ac:dyDescent="0.2">
      <c r="A1535" s="273">
        <v>2026</v>
      </c>
      <c r="B1535" s="274" t="s">
        <v>2090</v>
      </c>
      <c r="C1535" s="274" t="s">
        <v>944</v>
      </c>
      <c r="D1535" s="208" t="s">
        <v>945</v>
      </c>
      <c r="E1535" s="208" t="s">
        <v>2091</v>
      </c>
      <c r="F1535" s="277" t="s">
        <v>939</v>
      </c>
      <c r="G1535" s="277" t="s">
        <v>940</v>
      </c>
      <c r="H1535" s="275">
        <v>385.5</v>
      </c>
    </row>
    <row r="1536" spans="1:8" ht="12.75" customHeight="1" x14ac:dyDescent="0.2">
      <c r="A1536" s="273">
        <v>2026</v>
      </c>
      <c r="B1536" s="274" t="s">
        <v>2019</v>
      </c>
      <c r="C1536" s="274" t="s">
        <v>947</v>
      </c>
      <c r="D1536" s="208" t="s">
        <v>948</v>
      </c>
      <c r="E1536" s="208" t="s">
        <v>2092</v>
      </c>
      <c r="F1536" s="277" t="s">
        <v>939</v>
      </c>
      <c r="G1536" s="277" t="s">
        <v>940</v>
      </c>
      <c r="H1536" s="275">
        <v>5900</v>
      </c>
    </row>
    <row r="1537" spans="1:8" ht="12.75" customHeight="1" x14ac:dyDescent="0.2">
      <c r="A1537" s="273">
        <v>2026</v>
      </c>
      <c r="B1537" s="274" t="s">
        <v>2019</v>
      </c>
      <c r="C1537" s="274" t="s">
        <v>949</v>
      </c>
      <c r="D1537" s="208" t="s">
        <v>950</v>
      </c>
      <c r="E1537" s="208" t="s">
        <v>2093</v>
      </c>
      <c r="F1537" s="277" t="s">
        <v>939</v>
      </c>
      <c r="G1537" s="277" t="s">
        <v>940</v>
      </c>
      <c r="H1537" s="275">
        <v>48.28</v>
      </c>
    </row>
    <row r="1538" spans="1:8" ht="12.75" customHeight="1" x14ac:dyDescent="0.2">
      <c r="A1538" s="273">
        <v>2026</v>
      </c>
      <c r="B1538" s="274" t="s">
        <v>2019</v>
      </c>
      <c r="C1538" s="274" t="s">
        <v>952</v>
      </c>
      <c r="D1538" s="208" t="s">
        <v>953</v>
      </c>
      <c r="E1538" s="208" t="s">
        <v>2093</v>
      </c>
      <c r="F1538" s="277" t="s">
        <v>939</v>
      </c>
      <c r="G1538" s="277" t="s">
        <v>940</v>
      </c>
      <c r="H1538" s="275">
        <v>9570.14</v>
      </c>
    </row>
    <row r="1539" spans="1:8" ht="12.75" customHeight="1" x14ac:dyDescent="0.2">
      <c r="A1539" s="273">
        <v>2026</v>
      </c>
      <c r="B1539" s="274" t="s">
        <v>2019</v>
      </c>
      <c r="C1539" s="274" t="s">
        <v>954</v>
      </c>
      <c r="D1539" s="208" t="s">
        <v>955</v>
      </c>
      <c r="E1539" s="208" t="s">
        <v>2093</v>
      </c>
      <c r="F1539" s="277" t="s">
        <v>939</v>
      </c>
      <c r="G1539" s="277" t="s">
        <v>940</v>
      </c>
      <c r="H1539" s="275">
        <v>2756.76</v>
      </c>
    </row>
    <row r="1540" spans="1:8" ht="12.75" customHeight="1" x14ac:dyDescent="0.2">
      <c r="A1540" s="273">
        <v>2026</v>
      </c>
      <c r="B1540" s="274" t="s">
        <v>2019</v>
      </c>
      <c r="C1540" s="274" t="s">
        <v>956</v>
      </c>
      <c r="D1540" s="208" t="s">
        <v>957</v>
      </c>
      <c r="E1540" s="208" t="s">
        <v>2093</v>
      </c>
      <c r="F1540" s="277" t="s">
        <v>939</v>
      </c>
      <c r="G1540" s="277" t="s">
        <v>940</v>
      </c>
      <c r="H1540" s="276">
        <v>-350</v>
      </c>
    </row>
    <row r="1541" spans="1:8" ht="12.75" customHeight="1" x14ac:dyDescent="0.2">
      <c r="A1541" s="273">
        <v>2026</v>
      </c>
      <c r="B1541" s="274" t="s">
        <v>2094</v>
      </c>
      <c r="C1541" s="274" t="s">
        <v>947</v>
      </c>
      <c r="D1541" s="208" t="s">
        <v>948</v>
      </c>
      <c r="E1541" s="208" t="s">
        <v>2095</v>
      </c>
      <c r="F1541" s="277" t="s">
        <v>939</v>
      </c>
      <c r="G1541" s="277" t="s">
        <v>940</v>
      </c>
      <c r="H1541" s="275">
        <v>5900</v>
      </c>
    </row>
    <row r="1542" spans="1:8" ht="12.75" customHeight="1" x14ac:dyDescent="0.2">
      <c r="A1542" s="273">
        <v>2026</v>
      </c>
      <c r="B1542" s="274" t="s">
        <v>2094</v>
      </c>
      <c r="C1542" s="274" t="s">
        <v>949</v>
      </c>
      <c r="D1542" s="208" t="s">
        <v>950</v>
      </c>
      <c r="E1542" s="208" t="s">
        <v>2096</v>
      </c>
      <c r="F1542" s="277" t="s">
        <v>939</v>
      </c>
      <c r="G1542" s="277" t="s">
        <v>940</v>
      </c>
      <c r="H1542" s="275">
        <v>51.12</v>
      </c>
    </row>
    <row r="1543" spans="1:8" ht="12.75" customHeight="1" x14ac:dyDescent="0.2">
      <c r="A1543" s="273">
        <v>2026</v>
      </c>
      <c r="B1543" s="274" t="s">
        <v>2094</v>
      </c>
      <c r="C1543" s="274" t="s">
        <v>952</v>
      </c>
      <c r="D1543" s="208" t="s">
        <v>953</v>
      </c>
      <c r="E1543" s="208" t="s">
        <v>2096</v>
      </c>
      <c r="F1543" s="277" t="s">
        <v>939</v>
      </c>
      <c r="G1543" s="277" t="s">
        <v>940</v>
      </c>
      <c r="H1543" s="275">
        <v>10045.14</v>
      </c>
    </row>
    <row r="1544" spans="1:8" ht="12.75" customHeight="1" x14ac:dyDescent="0.2">
      <c r="A1544" s="273">
        <v>2026</v>
      </c>
      <c r="B1544" s="274" t="s">
        <v>2094</v>
      </c>
      <c r="C1544" s="274" t="s">
        <v>954</v>
      </c>
      <c r="D1544" s="208" t="s">
        <v>955</v>
      </c>
      <c r="E1544" s="208" t="s">
        <v>2096</v>
      </c>
      <c r="F1544" s="277" t="s">
        <v>939</v>
      </c>
      <c r="G1544" s="277" t="s">
        <v>940</v>
      </c>
      <c r="H1544" s="275">
        <v>3338.87</v>
      </c>
    </row>
    <row r="1545" spans="1:8" ht="12.75" customHeight="1" x14ac:dyDescent="0.2">
      <c r="A1545" s="273">
        <v>2026</v>
      </c>
      <c r="B1545" s="274" t="s">
        <v>2094</v>
      </c>
      <c r="C1545" s="274" t="s">
        <v>956</v>
      </c>
      <c r="D1545" s="208" t="s">
        <v>957</v>
      </c>
      <c r="E1545" s="208" t="s">
        <v>2096</v>
      </c>
      <c r="F1545" s="277" t="s">
        <v>939</v>
      </c>
      <c r="G1545" s="277" t="s">
        <v>940</v>
      </c>
      <c r="H1545" s="276">
        <v>-350</v>
      </c>
    </row>
    <row r="1546" spans="1:8" ht="12.75" customHeight="1" x14ac:dyDescent="0.2">
      <c r="A1546" s="273">
        <v>2026</v>
      </c>
      <c r="B1546" s="274" t="s">
        <v>2097</v>
      </c>
      <c r="C1546" s="274" t="s">
        <v>947</v>
      </c>
      <c r="D1546" s="208" t="s">
        <v>948</v>
      </c>
      <c r="E1546" s="208" t="s">
        <v>2098</v>
      </c>
      <c r="F1546" s="277" t="s">
        <v>939</v>
      </c>
      <c r="G1546" s="277" t="s">
        <v>940</v>
      </c>
      <c r="H1546" s="275">
        <v>5900</v>
      </c>
    </row>
    <row r="1547" spans="1:8" ht="12.75" customHeight="1" x14ac:dyDescent="0.2">
      <c r="A1547" s="273">
        <v>2026</v>
      </c>
      <c r="B1547" s="274" t="s">
        <v>2097</v>
      </c>
      <c r="C1547" s="274" t="s">
        <v>949</v>
      </c>
      <c r="D1547" s="208" t="s">
        <v>950</v>
      </c>
      <c r="E1547" s="208" t="s">
        <v>2099</v>
      </c>
      <c r="F1547" s="277" t="s">
        <v>939</v>
      </c>
      <c r="G1547" s="277" t="s">
        <v>940</v>
      </c>
      <c r="H1547" s="275">
        <v>32.07</v>
      </c>
    </row>
    <row r="1548" spans="1:8" ht="12.75" customHeight="1" x14ac:dyDescent="0.2">
      <c r="A1548" s="273">
        <v>2026</v>
      </c>
      <c r="B1548" s="274" t="s">
        <v>2097</v>
      </c>
      <c r="C1548" s="274" t="s">
        <v>952</v>
      </c>
      <c r="D1548" s="208" t="s">
        <v>953</v>
      </c>
      <c r="E1548" s="208" t="s">
        <v>2099</v>
      </c>
      <c r="F1548" s="277" t="s">
        <v>939</v>
      </c>
      <c r="G1548" s="277" t="s">
        <v>940</v>
      </c>
      <c r="H1548" s="275">
        <v>6800.87</v>
      </c>
    </row>
    <row r="1549" spans="1:8" ht="12.75" customHeight="1" x14ac:dyDescent="0.2">
      <c r="A1549" s="273">
        <v>2026</v>
      </c>
      <c r="B1549" s="274" t="s">
        <v>2097</v>
      </c>
      <c r="C1549" s="274" t="s">
        <v>954</v>
      </c>
      <c r="D1549" s="208" t="s">
        <v>955</v>
      </c>
      <c r="E1549" s="208" t="s">
        <v>2099</v>
      </c>
      <c r="F1549" s="277" t="s">
        <v>939</v>
      </c>
      <c r="G1549" s="277" t="s">
        <v>940</v>
      </c>
      <c r="H1549" s="275">
        <v>1690.44</v>
      </c>
    </row>
    <row r="1550" spans="1:8" ht="12.75" customHeight="1" x14ac:dyDescent="0.2">
      <c r="A1550" s="273">
        <v>2026</v>
      </c>
      <c r="B1550" s="274" t="s">
        <v>2097</v>
      </c>
      <c r="C1550" s="274" t="s">
        <v>956</v>
      </c>
      <c r="D1550" s="208" t="s">
        <v>957</v>
      </c>
      <c r="E1550" s="208" t="s">
        <v>2099</v>
      </c>
      <c r="F1550" s="277" t="s">
        <v>939</v>
      </c>
      <c r="G1550" s="277" t="s">
        <v>940</v>
      </c>
      <c r="H1550" s="276">
        <v>-350</v>
      </c>
    </row>
    <row r="1551" spans="1:8" ht="12.75" customHeight="1" x14ac:dyDescent="0.2">
      <c r="A1551" s="273">
        <v>2026</v>
      </c>
      <c r="B1551" s="274" t="s">
        <v>2019</v>
      </c>
      <c r="C1551" s="274" t="s">
        <v>1069</v>
      </c>
      <c r="D1551" s="208" t="s">
        <v>1070</v>
      </c>
      <c r="E1551" s="208" t="s">
        <v>2100</v>
      </c>
      <c r="F1551" s="208" t="s">
        <v>27</v>
      </c>
      <c r="G1551" s="208" t="s">
        <v>38</v>
      </c>
      <c r="H1551" s="275">
        <v>592</v>
      </c>
    </row>
    <row r="1552" spans="1:8" ht="12.75" customHeight="1" x14ac:dyDescent="0.2">
      <c r="A1552" s="273">
        <v>2026</v>
      </c>
      <c r="B1552" s="274" t="s">
        <v>2094</v>
      </c>
      <c r="C1552" s="274" t="s">
        <v>1066</v>
      </c>
      <c r="D1552" s="208" t="s">
        <v>1067</v>
      </c>
      <c r="E1552" s="208" t="s">
        <v>2101</v>
      </c>
      <c r="F1552" s="208" t="s">
        <v>27</v>
      </c>
      <c r="G1552" s="208" t="s">
        <v>38</v>
      </c>
      <c r="H1552" s="275">
        <v>592</v>
      </c>
    </row>
    <row r="1553" spans="1:8" ht="12.75" customHeight="1" x14ac:dyDescent="0.2">
      <c r="A1553" s="273">
        <v>2026</v>
      </c>
      <c r="B1553" s="274" t="s">
        <v>2094</v>
      </c>
      <c r="C1553" s="274" t="s">
        <v>1066</v>
      </c>
      <c r="D1553" s="208" t="s">
        <v>1067</v>
      </c>
      <c r="E1553" s="208" t="s">
        <v>2102</v>
      </c>
      <c r="F1553" s="208" t="s">
        <v>27</v>
      </c>
      <c r="G1553" s="208" t="s">
        <v>38</v>
      </c>
      <c r="H1553" s="275">
        <v>806</v>
      </c>
    </row>
    <row r="1554" spans="1:8" ht="12.75" customHeight="1" x14ac:dyDescent="0.2">
      <c r="A1554" s="273">
        <v>2026</v>
      </c>
      <c r="B1554" s="274" t="s">
        <v>2097</v>
      </c>
      <c r="C1554" s="274" t="s">
        <v>1066</v>
      </c>
      <c r="D1554" s="208" t="s">
        <v>1067</v>
      </c>
      <c r="E1554" s="208" t="s">
        <v>2103</v>
      </c>
      <c r="F1554" s="208" t="s">
        <v>27</v>
      </c>
      <c r="G1554" s="208" t="s">
        <v>38</v>
      </c>
      <c r="H1554" s="275">
        <v>592</v>
      </c>
    </row>
    <row r="1555" spans="1:8" ht="12.75" customHeight="1" x14ac:dyDescent="0.2">
      <c r="A1555" s="273">
        <v>2026</v>
      </c>
      <c r="B1555" s="274" t="s">
        <v>2097</v>
      </c>
      <c r="C1555" s="274" t="s">
        <v>1094</v>
      </c>
      <c r="D1555" s="208" t="s">
        <v>1095</v>
      </c>
      <c r="E1555" s="208" t="s">
        <v>2104</v>
      </c>
      <c r="F1555" s="208" t="s">
        <v>27</v>
      </c>
      <c r="G1555" s="208" t="s">
        <v>38</v>
      </c>
      <c r="H1555" s="275">
        <v>440.6</v>
      </c>
    </row>
    <row r="1556" spans="1:8" ht="12.75" customHeight="1" x14ac:dyDescent="0.2">
      <c r="A1556" s="273">
        <v>2026</v>
      </c>
      <c r="B1556" s="274" t="s">
        <v>2038</v>
      </c>
      <c r="C1556" s="274" t="s">
        <v>1157</v>
      </c>
      <c r="D1556" s="208" t="s">
        <v>1158</v>
      </c>
      <c r="E1556" s="208" t="s">
        <v>2105</v>
      </c>
      <c r="F1556" s="208" t="s">
        <v>27</v>
      </c>
      <c r="G1556" s="208" t="s">
        <v>366</v>
      </c>
      <c r="H1556" s="276">
        <v>-32.69</v>
      </c>
    </row>
    <row r="1557" spans="1:8" ht="12.75" customHeight="1" x14ac:dyDescent="0.2">
      <c r="A1557" s="273">
        <v>2026</v>
      </c>
      <c r="B1557" s="274" t="s">
        <v>2019</v>
      </c>
      <c r="C1557" s="274" t="s">
        <v>1157</v>
      </c>
      <c r="D1557" s="208" t="s">
        <v>1158</v>
      </c>
      <c r="E1557" s="208" t="s">
        <v>2093</v>
      </c>
      <c r="F1557" s="208" t="s">
        <v>27</v>
      </c>
      <c r="G1557" s="208" t="s">
        <v>366</v>
      </c>
      <c r="H1557" s="275">
        <v>47.48</v>
      </c>
    </row>
    <row r="1558" spans="1:8" ht="12.75" customHeight="1" x14ac:dyDescent="0.2">
      <c r="A1558" s="273">
        <v>2026</v>
      </c>
      <c r="B1558" s="274" t="s">
        <v>2019</v>
      </c>
      <c r="C1558" s="274" t="s">
        <v>1157</v>
      </c>
      <c r="D1558" s="208" t="s">
        <v>1158</v>
      </c>
      <c r="E1558" s="208" t="s">
        <v>2093</v>
      </c>
      <c r="F1558" s="208" t="s">
        <v>27</v>
      </c>
      <c r="G1558" s="208" t="s">
        <v>366</v>
      </c>
      <c r="H1558" s="275">
        <v>7.24</v>
      </c>
    </row>
    <row r="1559" spans="1:8" ht="12.75" customHeight="1" x14ac:dyDescent="0.2">
      <c r="A1559" s="273">
        <v>2026</v>
      </c>
      <c r="B1559" s="274" t="s">
        <v>2094</v>
      </c>
      <c r="C1559" s="274" t="s">
        <v>1157</v>
      </c>
      <c r="D1559" s="208" t="s">
        <v>1158</v>
      </c>
      <c r="E1559" s="208" t="s">
        <v>2096</v>
      </c>
      <c r="F1559" s="208" t="s">
        <v>27</v>
      </c>
      <c r="G1559" s="208" t="s">
        <v>366</v>
      </c>
      <c r="H1559" s="275">
        <v>50.27</v>
      </c>
    </row>
    <row r="1560" spans="1:8" ht="12.75" customHeight="1" x14ac:dyDescent="0.2">
      <c r="A1560" s="273">
        <v>2026</v>
      </c>
      <c r="B1560" s="274" t="s">
        <v>2094</v>
      </c>
      <c r="C1560" s="274" t="s">
        <v>1157</v>
      </c>
      <c r="D1560" s="208" t="s">
        <v>1158</v>
      </c>
      <c r="E1560" s="208" t="s">
        <v>2096</v>
      </c>
      <c r="F1560" s="208" t="s">
        <v>27</v>
      </c>
      <c r="G1560" s="208" t="s">
        <v>366</v>
      </c>
      <c r="H1560" s="275">
        <v>7.67</v>
      </c>
    </row>
    <row r="1561" spans="1:8" ht="12.75" customHeight="1" x14ac:dyDescent="0.2">
      <c r="A1561" s="273">
        <v>2026</v>
      </c>
      <c r="B1561" s="274" t="s">
        <v>2097</v>
      </c>
      <c r="C1561" s="274" t="s">
        <v>1157</v>
      </c>
      <c r="D1561" s="208" t="s">
        <v>1158</v>
      </c>
      <c r="E1561" s="208" t="s">
        <v>2099</v>
      </c>
      <c r="F1561" s="208" t="s">
        <v>27</v>
      </c>
      <c r="G1561" s="208" t="s">
        <v>366</v>
      </c>
      <c r="H1561" s="275">
        <v>31.54</v>
      </c>
    </row>
    <row r="1562" spans="1:8" ht="12.75" customHeight="1" x14ac:dyDescent="0.2">
      <c r="A1562" s="273">
        <v>2026</v>
      </c>
      <c r="B1562" s="274" t="s">
        <v>2097</v>
      </c>
      <c r="C1562" s="274" t="s">
        <v>1157</v>
      </c>
      <c r="D1562" s="208" t="s">
        <v>1158</v>
      </c>
      <c r="E1562" s="208" t="s">
        <v>2099</v>
      </c>
      <c r="F1562" s="208" t="s">
        <v>27</v>
      </c>
      <c r="G1562" s="208" t="s">
        <v>366</v>
      </c>
      <c r="H1562" s="275">
        <v>4.8099999999999996</v>
      </c>
    </row>
    <row r="1563" spans="1:8" ht="12.75" customHeight="1" x14ac:dyDescent="0.2">
      <c r="A1563" s="273">
        <v>2026</v>
      </c>
      <c r="B1563" s="274" t="s">
        <v>2031</v>
      </c>
      <c r="C1563" s="274" t="s">
        <v>1197</v>
      </c>
      <c r="D1563" s="208" t="s">
        <v>1198</v>
      </c>
      <c r="E1563" s="208" t="s">
        <v>1199</v>
      </c>
      <c r="F1563" s="208" t="s">
        <v>27</v>
      </c>
      <c r="G1563" s="208" t="s">
        <v>34</v>
      </c>
      <c r="H1563" s="275">
        <v>192</v>
      </c>
    </row>
    <row r="1564" spans="1:8" ht="12.75" customHeight="1" x14ac:dyDescent="0.2">
      <c r="A1564" s="273">
        <v>2026</v>
      </c>
      <c r="B1564" s="274" t="s">
        <v>2031</v>
      </c>
      <c r="C1564" s="274" t="s">
        <v>1200</v>
      </c>
      <c r="D1564" s="208" t="s">
        <v>1201</v>
      </c>
      <c r="E1564" s="208" t="s">
        <v>1202</v>
      </c>
      <c r="F1564" s="208" t="s">
        <v>27</v>
      </c>
      <c r="G1564" s="208" t="s">
        <v>34</v>
      </c>
      <c r="H1564" s="275">
        <v>130</v>
      </c>
    </row>
    <row r="1565" spans="1:8" ht="12.75" customHeight="1" x14ac:dyDescent="0.2">
      <c r="A1565" s="273">
        <v>2026</v>
      </c>
      <c r="B1565" s="274" t="s">
        <v>2106</v>
      </c>
      <c r="C1565" s="274" t="s">
        <v>2107</v>
      </c>
      <c r="D1565" s="208" t="s">
        <v>34</v>
      </c>
      <c r="E1565" s="208" t="s">
        <v>2108</v>
      </c>
      <c r="F1565" s="208" t="s">
        <v>27</v>
      </c>
      <c r="G1565" s="208" t="s">
        <v>34</v>
      </c>
      <c r="H1565" s="275">
        <v>1080</v>
      </c>
    </row>
    <row r="1566" spans="1:8" ht="12.75" customHeight="1" x14ac:dyDescent="0.2">
      <c r="A1566" s="273">
        <v>2026</v>
      </c>
      <c r="B1566" s="274" t="s">
        <v>2106</v>
      </c>
      <c r="C1566" s="274" t="s">
        <v>1203</v>
      </c>
      <c r="D1566" s="208" t="s">
        <v>1204</v>
      </c>
      <c r="E1566" s="208" t="s">
        <v>2108</v>
      </c>
      <c r="F1566" s="208" t="s">
        <v>27</v>
      </c>
      <c r="G1566" s="208" t="s">
        <v>34</v>
      </c>
      <c r="H1566" s="275">
        <v>160</v>
      </c>
    </row>
    <row r="1567" spans="1:8" ht="12.75" customHeight="1" x14ac:dyDescent="0.2">
      <c r="A1567" s="273">
        <v>2026</v>
      </c>
      <c r="B1567" s="274" t="s">
        <v>2106</v>
      </c>
      <c r="C1567" s="274" t="s">
        <v>1203</v>
      </c>
      <c r="D1567" s="208" t="s">
        <v>1204</v>
      </c>
      <c r="E1567" s="208" t="s">
        <v>2108</v>
      </c>
      <c r="F1567" s="208" t="s">
        <v>27</v>
      </c>
      <c r="G1567" s="208" t="s">
        <v>34</v>
      </c>
      <c r="H1567" s="275">
        <v>70</v>
      </c>
    </row>
    <row r="1568" spans="1:8" ht="12.75" customHeight="1" x14ac:dyDescent="0.2">
      <c r="A1568" s="273">
        <v>2026</v>
      </c>
      <c r="B1568" s="274" t="s">
        <v>2041</v>
      </c>
      <c r="C1568" s="274" t="s">
        <v>2107</v>
      </c>
      <c r="D1568" s="208" t="s">
        <v>34</v>
      </c>
      <c r="E1568" s="208" t="s">
        <v>2109</v>
      </c>
      <c r="F1568" s="208" t="s">
        <v>27</v>
      </c>
      <c r="G1568" s="208" t="s">
        <v>34</v>
      </c>
      <c r="H1568" s="275">
        <v>1080</v>
      </c>
    </row>
    <row r="1569" spans="1:8" ht="12.75" customHeight="1" x14ac:dyDescent="0.2">
      <c r="A1569" s="273">
        <v>2026</v>
      </c>
      <c r="B1569" s="274" t="s">
        <v>2041</v>
      </c>
      <c r="C1569" s="274" t="s">
        <v>1197</v>
      </c>
      <c r="D1569" s="208" t="s">
        <v>1198</v>
      </c>
      <c r="E1569" s="208" t="s">
        <v>1199</v>
      </c>
      <c r="F1569" s="208" t="s">
        <v>27</v>
      </c>
      <c r="G1569" s="208" t="s">
        <v>34</v>
      </c>
      <c r="H1569" s="275">
        <v>192</v>
      </c>
    </row>
    <row r="1570" spans="1:8" ht="12.75" customHeight="1" x14ac:dyDescent="0.2">
      <c r="A1570" s="273">
        <v>2026</v>
      </c>
      <c r="B1570" s="274" t="s">
        <v>2041</v>
      </c>
      <c r="C1570" s="274" t="s">
        <v>1200</v>
      </c>
      <c r="D1570" s="208" t="s">
        <v>1201</v>
      </c>
      <c r="E1570" s="208" t="s">
        <v>1202</v>
      </c>
      <c r="F1570" s="208" t="s">
        <v>27</v>
      </c>
      <c r="G1570" s="208" t="s">
        <v>34</v>
      </c>
      <c r="H1570" s="275">
        <v>130</v>
      </c>
    </row>
    <row r="1571" spans="1:8" ht="12.75" customHeight="1" x14ac:dyDescent="0.2">
      <c r="A1571" s="273">
        <v>2026</v>
      </c>
      <c r="B1571" s="274" t="s">
        <v>2041</v>
      </c>
      <c r="C1571" s="274" t="s">
        <v>1203</v>
      </c>
      <c r="D1571" s="208" t="s">
        <v>1204</v>
      </c>
      <c r="E1571" s="208" t="s">
        <v>2109</v>
      </c>
      <c r="F1571" s="208" t="s">
        <v>27</v>
      </c>
      <c r="G1571" s="208" t="s">
        <v>34</v>
      </c>
      <c r="H1571" s="275">
        <v>160</v>
      </c>
    </row>
    <row r="1572" spans="1:8" ht="12.75" customHeight="1" x14ac:dyDescent="0.2">
      <c r="A1572" s="273">
        <v>2026</v>
      </c>
      <c r="B1572" s="274" t="s">
        <v>2041</v>
      </c>
      <c r="C1572" s="274" t="s">
        <v>1203</v>
      </c>
      <c r="D1572" s="208" t="s">
        <v>1204</v>
      </c>
      <c r="E1572" s="208" t="s">
        <v>2109</v>
      </c>
      <c r="F1572" s="208" t="s">
        <v>27</v>
      </c>
      <c r="G1572" s="208" t="s">
        <v>34</v>
      </c>
      <c r="H1572" s="275">
        <v>70</v>
      </c>
    </row>
    <row r="1573" spans="1:8" ht="12.75" customHeight="1" x14ac:dyDescent="0.2">
      <c r="A1573" s="273">
        <v>2026</v>
      </c>
      <c r="B1573" s="274" t="s">
        <v>2055</v>
      </c>
      <c r="C1573" s="274" t="s">
        <v>2107</v>
      </c>
      <c r="D1573" s="208" t="s">
        <v>34</v>
      </c>
      <c r="E1573" s="208" t="s">
        <v>2110</v>
      </c>
      <c r="F1573" s="208" t="s">
        <v>27</v>
      </c>
      <c r="G1573" s="208" t="s">
        <v>34</v>
      </c>
      <c r="H1573" s="275">
        <v>1080</v>
      </c>
    </row>
    <row r="1574" spans="1:8" ht="12.75" customHeight="1" x14ac:dyDescent="0.2">
      <c r="A1574" s="273">
        <v>2026</v>
      </c>
      <c r="B1574" s="274" t="s">
        <v>2055</v>
      </c>
      <c r="C1574" s="274" t="s">
        <v>1197</v>
      </c>
      <c r="D1574" s="208" t="s">
        <v>1198</v>
      </c>
      <c r="E1574" s="208" t="s">
        <v>1199</v>
      </c>
      <c r="F1574" s="208" t="s">
        <v>27</v>
      </c>
      <c r="G1574" s="208" t="s">
        <v>34</v>
      </c>
      <c r="H1574" s="275">
        <v>192</v>
      </c>
    </row>
    <row r="1575" spans="1:8" ht="12.75" customHeight="1" x14ac:dyDescent="0.2">
      <c r="A1575" s="273">
        <v>2026</v>
      </c>
      <c r="B1575" s="274" t="s">
        <v>2055</v>
      </c>
      <c r="C1575" s="274" t="s">
        <v>1200</v>
      </c>
      <c r="D1575" s="208" t="s">
        <v>1201</v>
      </c>
      <c r="E1575" s="208" t="s">
        <v>1202</v>
      </c>
      <c r="F1575" s="208" t="s">
        <v>27</v>
      </c>
      <c r="G1575" s="208" t="s">
        <v>34</v>
      </c>
      <c r="H1575" s="275">
        <v>130</v>
      </c>
    </row>
    <row r="1576" spans="1:8" ht="12.75" customHeight="1" x14ac:dyDescent="0.2">
      <c r="A1576" s="273">
        <v>2026</v>
      </c>
      <c r="B1576" s="274" t="s">
        <v>2055</v>
      </c>
      <c r="C1576" s="274" t="s">
        <v>1203</v>
      </c>
      <c r="D1576" s="208" t="s">
        <v>1204</v>
      </c>
      <c r="E1576" s="208" t="s">
        <v>2110</v>
      </c>
      <c r="F1576" s="208" t="s">
        <v>27</v>
      </c>
      <c r="G1576" s="208" t="s">
        <v>34</v>
      </c>
      <c r="H1576" s="275">
        <v>160</v>
      </c>
    </row>
    <row r="1577" spans="1:8" ht="12.75" customHeight="1" x14ac:dyDescent="0.2">
      <c r="A1577" s="273">
        <v>2026</v>
      </c>
      <c r="B1577" s="274" t="s">
        <v>2055</v>
      </c>
      <c r="C1577" s="274" t="s">
        <v>1203</v>
      </c>
      <c r="D1577" s="208" t="s">
        <v>1204</v>
      </c>
      <c r="E1577" s="208" t="s">
        <v>2110</v>
      </c>
      <c r="F1577" s="208" t="s">
        <v>27</v>
      </c>
      <c r="G1577" s="208" t="s">
        <v>34</v>
      </c>
      <c r="H1577" s="275">
        <v>70</v>
      </c>
    </row>
    <row r="1578" spans="1:8" ht="12.75" customHeight="1" x14ac:dyDescent="0.2">
      <c r="A1578" s="273">
        <v>2026</v>
      </c>
      <c r="B1578" s="274" t="s">
        <v>2031</v>
      </c>
      <c r="C1578" s="274" t="s">
        <v>1255</v>
      </c>
      <c r="D1578" s="208" t="s">
        <v>1256</v>
      </c>
      <c r="E1578" s="208" t="s">
        <v>2032</v>
      </c>
      <c r="F1578" s="208" t="s">
        <v>27</v>
      </c>
      <c r="G1578" s="208" t="s">
        <v>35</v>
      </c>
      <c r="H1578" s="275">
        <v>356.86</v>
      </c>
    </row>
    <row r="1579" spans="1:8" ht="12.75" customHeight="1" x14ac:dyDescent="0.2">
      <c r="A1579" s="273">
        <v>2026</v>
      </c>
      <c r="B1579" s="274" t="s">
        <v>2031</v>
      </c>
      <c r="C1579" s="274" t="s">
        <v>1249</v>
      </c>
      <c r="D1579" s="208" t="s">
        <v>1250</v>
      </c>
      <c r="E1579" s="208" t="s">
        <v>719</v>
      </c>
      <c r="F1579" s="208" t="s">
        <v>27</v>
      </c>
      <c r="G1579" s="208" t="s">
        <v>35</v>
      </c>
      <c r="H1579" s="275">
        <v>1029.1400000000001</v>
      </c>
    </row>
    <row r="1580" spans="1:8" ht="12.75" customHeight="1" x14ac:dyDescent="0.2">
      <c r="A1580" s="273">
        <v>2026</v>
      </c>
      <c r="B1580" s="274" t="s">
        <v>2031</v>
      </c>
      <c r="C1580" s="274" t="s">
        <v>1232</v>
      </c>
      <c r="D1580" s="208" t="s">
        <v>1233</v>
      </c>
      <c r="E1580" s="208" t="s">
        <v>2111</v>
      </c>
      <c r="F1580" s="208" t="s">
        <v>27</v>
      </c>
      <c r="G1580" s="208" t="s">
        <v>35</v>
      </c>
      <c r="H1580" s="275">
        <v>58.81</v>
      </c>
    </row>
    <row r="1581" spans="1:8" ht="12.75" customHeight="1" x14ac:dyDescent="0.2">
      <c r="A1581" s="273">
        <v>2026</v>
      </c>
      <c r="B1581" s="274" t="s">
        <v>2009</v>
      </c>
      <c r="C1581" s="274" t="s">
        <v>2112</v>
      </c>
      <c r="D1581" s="208" t="s">
        <v>2113</v>
      </c>
      <c r="E1581" s="208" t="s">
        <v>2114</v>
      </c>
      <c r="F1581" s="208" t="s">
        <v>27</v>
      </c>
      <c r="G1581" s="208" t="s">
        <v>35</v>
      </c>
      <c r="H1581" s="275">
        <v>393.82</v>
      </c>
    </row>
    <row r="1582" spans="1:8" ht="12.75" customHeight="1" x14ac:dyDescent="0.2">
      <c r="A1582" s="273">
        <v>2026</v>
      </c>
      <c r="B1582" s="274" t="s">
        <v>2041</v>
      </c>
      <c r="C1582" s="274" t="s">
        <v>1249</v>
      </c>
      <c r="D1582" s="208" t="s">
        <v>1250</v>
      </c>
      <c r="E1582" s="208" t="s">
        <v>719</v>
      </c>
      <c r="F1582" s="208" t="s">
        <v>27</v>
      </c>
      <c r="G1582" s="208" t="s">
        <v>35</v>
      </c>
      <c r="H1582" s="275">
        <v>1029.1400000000001</v>
      </c>
    </row>
    <row r="1583" spans="1:8" ht="12.75" customHeight="1" x14ac:dyDescent="0.2">
      <c r="A1583" s="273">
        <v>2026</v>
      </c>
      <c r="B1583" s="274" t="s">
        <v>2041</v>
      </c>
      <c r="C1583" s="274" t="s">
        <v>1232</v>
      </c>
      <c r="D1583" s="208" t="s">
        <v>1233</v>
      </c>
      <c r="E1583" s="208" t="s">
        <v>2115</v>
      </c>
      <c r="F1583" s="208" t="s">
        <v>27</v>
      </c>
      <c r="G1583" s="208" t="s">
        <v>35</v>
      </c>
      <c r="H1583" s="275">
        <v>58.81</v>
      </c>
    </row>
    <row r="1584" spans="1:8" ht="12.75" customHeight="1" x14ac:dyDescent="0.2">
      <c r="A1584" s="273">
        <v>2026</v>
      </c>
      <c r="B1584" s="274" t="s">
        <v>2116</v>
      </c>
      <c r="C1584" s="274" t="s">
        <v>2112</v>
      </c>
      <c r="D1584" s="208" t="s">
        <v>2113</v>
      </c>
      <c r="E1584" s="208" t="s">
        <v>2117</v>
      </c>
      <c r="F1584" s="208" t="s">
        <v>27</v>
      </c>
      <c r="G1584" s="208" t="s">
        <v>35</v>
      </c>
      <c r="H1584" s="275">
        <v>393.82</v>
      </c>
    </row>
    <row r="1585" spans="1:8" ht="12.75" customHeight="1" x14ac:dyDescent="0.2">
      <c r="A1585" s="273">
        <v>2026</v>
      </c>
      <c r="B1585" s="274" t="s">
        <v>2055</v>
      </c>
      <c r="C1585" s="274" t="s">
        <v>1255</v>
      </c>
      <c r="D1585" s="208" t="s">
        <v>1256</v>
      </c>
      <c r="E1585" s="208" t="s">
        <v>2056</v>
      </c>
      <c r="F1585" s="208" t="s">
        <v>27</v>
      </c>
      <c r="G1585" s="208" t="s">
        <v>35</v>
      </c>
      <c r="H1585" s="275">
        <v>356.86</v>
      </c>
    </row>
    <row r="1586" spans="1:8" ht="12.75" customHeight="1" x14ac:dyDescent="0.2">
      <c r="A1586" s="273">
        <v>2026</v>
      </c>
      <c r="B1586" s="274" t="s">
        <v>2055</v>
      </c>
      <c r="C1586" s="274" t="s">
        <v>1232</v>
      </c>
      <c r="D1586" s="208" t="s">
        <v>1233</v>
      </c>
      <c r="E1586" s="208" t="s">
        <v>2118</v>
      </c>
      <c r="F1586" s="208" t="s">
        <v>27</v>
      </c>
      <c r="G1586" s="208" t="s">
        <v>35</v>
      </c>
      <c r="H1586" s="275">
        <v>58.81</v>
      </c>
    </row>
    <row r="1587" spans="1:8" ht="12.75" customHeight="1" x14ac:dyDescent="0.2">
      <c r="A1587" s="273">
        <v>2026</v>
      </c>
      <c r="B1587" s="274" t="s">
        <v>2070</v>
      </c>
      <c r="C1587" s="274" t="s">
        <v>2112</v>
      </c>
      <c r="D1587" s="208" t="s">
        <v>2113</v>
      </c>
      <c r="E1587" s="208" t="s">
        <v>2119</v>
      </c>
      <c r="F1587" s="208" t="s">
        <v>27</v>
      </c>
      <c r="G1587" s="208" t="s">
        <v>35</v>
      </c>
      <c r="H1587" s="275">
        <v>393.82</v>
      </c>
    </row>
    <row r="1588" spans="1:8" ht="12.75" customHeight="1" x14ac:dyDescent="0.2">
      <c r="A1588" s="273">
        <v>2026</v>
      </c>
      <c r="B1588" s="274" t="s">
        <v>2120</v>
      </c>
      <c r="C1588" s="274" t="s">
        <v>2121</v>
      </c>
      <c r="D1588" s="208" t="s">
        <v>2122</v>
      </c>
      <c r="E1588" s="208" t="s">
        <v>2123</v>
      </c>
      <c r="F1588" s="208" t="s">
        <v>27</v>
      </c>
      <c r="G1588" s="208" t="s">
        <v>35</v>
      </c>
      <c r="H1588" s="275">
        <v>108</v>
      </c>
    </row>
    <row r="1589" spans="1:8" ht="12.75" customHeight="1" x14ac:dyDescent="0.2">
      <c r="A1589" s="273">
        <v>2026</v>
      </c>
      <c r="B1589" s="274" t="s">
        <v>2031</v>
      </c>
      <c r="C1589" s="274" t="s">
        <v>1339</v>
      </c>
      <c r="D1589" s="208" t="s">
        <v>1340</v>
      </c>
      <c r="E1589" s="208" t="s">
        <v>719</v>
      </c>
      <c r="F1589" s="208" t="s">
        <v>27</v>
      </c>
      <c r="G1589" s="208" t="s">
        <v>365</v>
      </c>
      <c r="H1589" s="275">
        <v>34.18</v>
      </c>
    </row>
    <row r="1590" spans="1:8" ht="12.75" customHeight="1" x14ac:dyDescent="0.2">
      <c r="A1590" s="273">
        <v>2026</v>
      </c>
      <c r="B1590" s="274" t="s">
        <v>2031</v>
      </c>
      <c r="C1590" s="274" t="s">
        <v>1293</v>
      </c>
      <c r="D1590" s="208" t="s">
        <v>1294</v>
      </c>
      <c r="E1590" s="208" t="s">
        <v>2032</v>
      </c>
      <c r="F1590" s="208" t="s">
        <v>27</v>
      </c>
      <c r="G1590" s="208" t="s">
        <v>365</v>
      </c>
      <c r="H1590" s="275">
        <v>20.48</v>
      </c>
    </row>
    <row r="1591" spans="1:8" ht="12.75" customHeight="1" x14ac:dyDescent="0.2">
      <c r="A1591" s="273">
        <v>2026</v>
      </c>
      <c r="B1591" s="274" t="s">
        <v>2090</v>
      </c>
      <c r="C1591" s="274" t="s">
        <v>1293</v>
      </c>
      <c r="D1591" s="208" t="s">
        <v>1294</v>
      </c>
      <c r="E1591" s="208" t="s">
        <v>2124</v>
      </c>
      <c r="F1591" s="208" t="s">
        <v>27</v>
      </c>
      <c r="G1591" s="208" t="s">
        <v>365</v>
      </c>
      <c r="H1591" s="275">
        <v>0.99</v>
      </c>
    </row>
    <row r="1592" spans="1:8" ht="12.75" customHeight="1" x14ac:dyDescent="0.2">
      <c r="A1592" s="273">
        <v>2026</v>
      </c>
      <c r="B1592" s="274" t="s">
        <v>2125</v>
      </c>
      <c r="C1592" s="274" t="s">
        <v>1293</v>
      </c>
      <c r="D1592" s="208" t="s">
        <v>1294</v>
      </c>
      <c r="E1592" s="208" t="s">
        <v>2126</v>
      </c>
      <c r="F1592" s="208" t="s">
        <v>27</v>
      </c>
      <c r="G1592" s="208" t="s">
        <v>365</v>
      </c>
      <c r="H1592" s="275">
        <v>11.99</v>
      </c>
    </row>
    <row r="1593" spans="1:8" ht="12.75" customHeight="1" x14ac:dyDescent="0.2">
      <c r="A1593" s="273">
        <v>2026</v>
      </c>
      <c r="B1593" s="274" t="s">
        <v>2127</v>
      </c>
      <c r="C1593" s="274" t="s">
        <v>1324</v>
      </c>
      <c r="D1593" s="208" t="s">
        <v>1325</v>
      </c>
      <c r="E1593" s="208" t="s">
        <v>2128</v>
      </c>
      <c r="F1593" s="208" t="s">
        <v>27</v>
      </c>
      <c r="G1593" s="208" t="s">
        <v>365</v>
      </c>
      <c r="H1593" s="275">
        <v>60</v>
      </c>
    </row>
    <row r="1594" spans="1:8" ht="12.75" customHeight="1" x14ac:dyDescent="0.2">
      <c r="A1594" s="273">
        <v>2026</v>
      </c>
      <c r="B1594" s="274" t="s">
        <v>2041</v>
      </c>
      <c r="C1594" s="274" t="s">
        <v>1339</v>
      </c>
      <c r="D1594" s="208" t="s">
        <v>1340</v>
      </c>
      <c r="E1594" s="208" t="s">
        <v>719</v>
      </c>
      <c r="F1594" s="208" t="s">
        <v>27</v>
      </c>
      <c r="G1594" s="208" t="s">
        <v>365</v>
      </c>
      <c r="H1594" s="275">
        <v>34.18</v>
      </c>
    </row>
    <row r="1595" spans="1:8" ht="12.75" customHeight="1" x14ac:dyDescent="0.2">
      <c r="A1595" s="273">
        <v>2026</v>
      </c>
      <c r="B1595" s="274" t="s">
        <v>2116</v>
      </c>
      <c r="C1595" s="274" t="s">
        <v>1339</v>
      </c>
      <c r="D1595" s="208" t="s">
        <v>1340</v>
      </c>
      <c r="E1595" s="208" t="s">
        <v>2129</v>
      </c>
      <c r="F1595" s="208" t="s">
        <v>27</v>
      </c>
      <c r="G1595" s="208" t="s">
        <v>365</v>
      </c>
      <c r="H1595" s="275">
        <v>15</v>
      </c>
    </row>
    <row r="1596" spans="1:8" ht="12.75" customHeight="1" x14ac:dyDescent="0.2">
      <c r="A1596" s="273">
        <v>2026</v>
      </c>
      <c r="B1596" s="274" t="s">
        <v>2130</v>
      </c>
      <c r="C1596" s="274" t="s">
        <v>1293</v>
      </c>
      <c r="D1596" s="208" t="s">
        <v>1294</v>
      </c>
      <c r="E1596" s="208" t="s">
        <v>2131</v>
      </c>
      <c r="F1596" s="208" t="s">
        <v>27</v>
      </c>
      <c r="G1596" s="208" t="s">
        <v>365</v>
      </c>
      <c r="H1596" s="275">
        <v>0.99</v>
      </c>
    </row>
    <row r="1597" spans="1:8" ht="12.75" customHeight="1" x14ac:dyDescent="0.2">
      <c r="A1597" s="273">
        <v>2026</v>
      </c>
      <c r="B1597" s="274" t="s">
        <v>2132</v>
      </c>
      <c r="C1597" s="274" t="s">
        <v>1293</v>
      </c>
      <c r="D1597" s="208" t="s">
        <v>1294</v>
      </c>
      <c r="E1597" s="208" t="s">
        <v>2133</v>
      </c>
      <c r="F1597" s="208" t="s">
        <v>27</v>
      </c>
      <c r="G1597" s="208" t="s">
        <v>365</v>
      </c>
      <c r="H1597" s="275">
        <v>33.770000000000003</v>
      </c>
    </row>
    <row r="1598" spans="1:8" ht="12.75" customHeight="1" x14ac:dyDescent="0.2">
      <c r="A1598" s="273">
        <v>2026</v>
      </c>
      <c r="B1598" s="274" t="s">
        <v>2048</v>
      </c>
      <c r="C1598" s="274" t="s">
        <v>1293</v>
      </c>
      <c r="D1598" s="208" t="s">
        <v>1294</v>
      </c>
      <c r="E1598" s="208" t="s">
        <v>2134</v>
      </c>
      <c r="F1598" s="208" t="s">
        <v>27</v>
      </c>
      <c r="G1598" s="208" t="s">
        <v>365</v>
      </c>
      <c r="H1598" s="275">
        <v>2.52</v>
      </c>
    </row>
    <row r="1599" spans="1:8" ht="12.75" customHeight="1" x14ac:dyDescent="0.2">
      <c r="A1599" s="273">
        <v>2026</v>
      </c>
      <c r="B1599" s="274" t="s">
        <v>2051</v>
      </c>
      <c r="C1599" s="274" t="s">
        <v>1324</v>
      </c>
      <c r="D1599" s="208" t="s">
        <v>1325</v>
      </c>
      <c r="E1599" s="208" t="s">
        <v>2135</v>
      </c>
      <c r="F1599" s="208" t="s">
        <v>27</v>
      </c>
      <c r="G1599" s="208" t="s">
        <v>365</v>
      </c>
      <c r="H1599" s="275">
        <v>60</v>
      </c>
    </row>
    <row r="1600" spans="1:8" ht="12.75" customHeight="1" x14ac:dyDescent="0.2">
      <c r="A1600" s="273">
        <v>2026</v>
      </c>
      <c r="B1600" s="274" t="s">
        <v>2094</v>
      </c>
      <c r="C1600" s="274" t="s">
        <v>2136</v>
      </c>
      <c r="D1600" s="208" t="s">
        <v>2137</v>
      </c>
      <c r="E1600" s="208" t="s">
        <v>2138</v>
      </c>
      <c r="F1600" s="208" t="s">
        <v>27</v>
      </c>
      <c r="G1600" s="208" t="s">
        <v>365</v>
      </c>
      <c r="H1600" s="275">
        <v>112.61</v>
      </c>
    </row>
    <row r="1601" spans="1:8" ht="12.75" customHeight="1" x14ac:dyDescent="0.2">
      <c r="A1601" s="273">
        <v>2026</v>
      </c>
      <c r="B1601" s="274" t="s">
        <v>2055</v>
      </c>
      <c r="C1601" s="274" t="s">
        <v>1293</v>
      </c>
      <c r="D1601" s="208" t="s">
        <v>1294</v>
      </c>
      <c r="E1601" s="208" t="s">
        <v>2056</v>
      </c>
      <c r="F1601" s="208" t="s">
        <v>27</v>
      </c>
      <c r="G1601" s="208" t="s">
        <v>365</v>
      </c>
      <c r="H1601" s="275">
        <v>20.48</v>
      </c>
    </row>
    <row r="1602" spans="1:8" ht="12.75" customHeight="1" x14ac:dyDescent="0.2">
      <c r="A1602" s="273">
        <v>2026</v>
      </c>
      <c r="B1602" s="274" t="s">
        <v>2139</v>
      </c>
      <c r="C1602" s="274" t="s">
        <v>1293</v>
      </c>
      <c r="D1602" s="208" t="s">
        <v>1294</v>
      </c>
      <c r="E1602" s="208" t="s">
        <v>2140</v>
      </c>
      <c r="F1602" s="208" t="s">
        <v>27</v>
      </c>
      <c r="G1602" s="208" t="s">
        <v>365</v>
      </c>
      <c r="H1602" s="275">
        <v>6.87</v>
      </c>
    </row>
    <row r="1603" spans="1:8" ht="12.75" customHeight="1" x14ac:dyDescent="0.2">
      <c r="A1603" s="273">
        <v>2026</v>
      </c>
      <c r="B1603" s="274" t="s">
        <v>2141</v>
      </c>
      <c r="C1603" s="274" t="s">
        <v>1293</v>
      </c>
      <c r="D1603" s="208" t="s">
        <v>1294</v>
      </c>
      <c r="E1603" s="208" t="s">
        <v>2142</v>
      </c>
      <c r="F1603" s="208" t="s">
        <v>27</v>
      </c>
      <c r="G1603" s="208" t="s">
        <v>365</v>
      </c>
      <c r="H1603" s="275">
        <v>6.88</v>
      </c>
    </row>
    <row r="1604" spans="1:8" ht="12.75" customHeight="1" x14ac:dyDescent="0.2">
      <c r="A1604" s="273">
        <v>2026</v>
      </c>
      <c r="B1604" s="274" t="s">
        <v>2060</v>
      </c>
      <c r="C1604" s="274" t="s">
        <v>1293</v>
      </c>
      <c r="D1604" s="208" t="s">
        <v>1294</v>
      </c>
      <c r="E1604" s="208" t="s">
        <v>2143</v>
      </c>
      <c r="F1604" s="208" t="s">
        <v>27</v>
      </c>
      <c r="G1604" s="208" t="s">
        <v>365</v>
      </c>
      <c r="H1604" s="275">
        <v>34.67</v>
      </c>
    </row>
    <row r="1605" spans="1:8" ht="12.75" customHeight="1" x14ac:dyDescent="0.2">
      <c r="A1605" s="273">
        <v>2026</v>
      </c>
      <c r="B1605" s="274" t="s">
        <v>2060</v>
      </c>
      <c r="C1605" s="274" t="s">
        <v>1293</v>
      </c>
      <c r="D1605" s="208" t="s">
        <v>1294</v>
      </c>
      <c r="E1605" s="208" t="s">
        <v>2144</v>
      </c>
      <c r="F1605" s="208" t="s">
        <v>27</v>
      </c>
      <c r="G1605" s="208" t="s">
        <v>365</v>
      </c>
      <c r="H1605" s="275">
        <v>3.03</v>
      </c>
    </row>
    <row r="1606" spans="1:8" ht="12.75" customHeight="1" x14ac:dyDescent="0.2">
      <c r="A1606" s="273">
        <v>2026</v>
      </c>
      <c r="B1606" s="274" t="s">
        <v>2145</v>
      </c>
      <c r="C1606" s="274" t="s">
        <v>1293</v>
      </c>
      <c r="D1606" s="208" t="s">
        <v>1294</v>
      </c>
      <c r="E1606" s="208" t="s">
        <v>2146</v>
      </c>
      <c r="F1606" s="208" t="s">
        <v>27</v>
      </c>
      <c r="G1606" s="208" t="s">
        <v>365</v>
      </c>
      <c r="H1606" s="276">
        <v>-6.95</v>
      </c>
    </row>
    <row r="1607" spans="1:8" ht="12.75" customHeight="1" x14ac:dyDescent="0.2">
      <c r="A1607" s="273">
        <v>2026</v>
      </c>
      <c r="B1607" s="274" t="s">
        <v>2097</v>
      </c>
      <c r="C1607" s="274" t="s">
        <v>1324</v>
      </c>
      <c r="D1607" s="208" t="s">
        <v>1325</v>
      </c>
      <c r="E1607" s="208" t="s">
        <v>2147</v>
      </c>
      <c r="F1607" s="208" t="s">
        <v>27</v>
      </c>
      <c r="G1607" s="208" t="s">
        <v>365</v>
      </c>
      <c r="H1607" s="275">
        <v>60</v>
      </c>
    </row>
    <row r="1608" spans="1:8" ht="12.75" customHeight="1" x14ac:dyDescent="0.2">
      <c r="A1608" s="273">
        <v>2026</v>
      </c>
      <c r="B1608" s="274" t="s">
        <v>2148</v>
      </c>
      <c r="C1608" s="274" t="s">
        <v>1437</v>
      </c>
      <c r="D1608" s="208" t="s">
        <v>1438</v>
      </c>
      <c r="E1608" s="208" t="s">
        <v>2149</v>
      </c>
      <c r="F1608" s="208" t="s">
        <v>27</v>
      </c>
      <c r="G1608" s="208" t="s">
        <v>37</v>
      </c>
      <c r="H1608" s="275">
        <v>25</v>
      </c>
    </row>
    <row r="1609" spans="1:8" ht="12.75" customHeight="1" x14ac:dyDescent="0.2">
      <c r="A1609" s="273">
        <v>2026</v>
      </c>
      <c r="B1609" s="274" t="s">
        <v>2148</v>
      </c>
      <c r="C1609" s="274" t="s">
        <v>1437</v>
      </c>
      <c r="D1609" s="208" t="s">
        <v>1438</v>
      </c>
      <c r="E1609" s="208" t="s">
        <v>2150</v>
      </c>
      <c r="F1609" s="208" t="s">
        <v>27</v>
      </c>
      <c r="G1609" s="208" t="s">
        <v>37</v>
      </c>
      <c r="H1609" s="275">
        <v>20</v>
      </c>
    </row>
    <row r="1610" spans="1:8" ht="12.75" customHeight="1" x14ac:dyDescent="0.2">
      <c r="A1610" s="273">
        <v>2026</v>
      </c>
      <c r="B1610" s="274" t="s">
        <v>2009</v>
      </c>
      <c r="C1610" s="274" t="s">
        <v>1433</v>
      </c>
      <c r="D1610" s="208" t="s">
        <v>1434</v>
      </c>
      <c r="E1610" s="208" t="s">
        <v>2151</v>
      </c>
      <c r="F1610" s="208" t="s">
        <v>27</v>
      </c>
      <c r="G1610" s="208" t="s">
        <v>37</v>
      </c>
      <c r="H1610" s="275">
        <v>1227.9000000000001</v>
      </c>
    </row>
    <row r="1611" spans="1:8" ht="12.75" customHeight="1" x14ac:dyDescent="0.2">
      <c r="A1611" s="273">
        <v>2026</v>
      </c>
      <c r="B1611" s="274" t="s">
        <v>2090</v>
      </c>
      <c r="C1611" s="274" t="s">
        <v>1568</v>
      </c>
      <c r="D1611" s="208" t="s">
        <v>1569</v>
      </c>
      <c r="E1611" s="208" t="s">
        <v>2152</v>
      </c>
      <c r="F1611" s="208" t="s">
        <v>27</v>
      </c>
      <c r="G1611" s="208" t="s">
        <v>37</v>
      </c>
      <c r="H1611" s="275">
        <v>1500</v>
      </c>
    </row>
    <row r="1612" spans="1:8" ht="12.75" customHeight="1" x14ac:dyDescent="0.2">
      <c r="A1612" s="273">
        <v>2026</v>
      </c>
      <c r="B1612" s="274" t="s">
        <v>2035</v>
      </c>
      <c r="C1612" s="274" t="s">
        <v>1461</v>
      </c>
      <c r="D1612" s="208" t="s">
        <v>1462</v>
      </c>
      <c r="E1612" s="208" t="s">
        <v>2153</v>
      </c>
      <c r="F1612" s="208" t="s">
        <v>27</v>
      </c>
      <c r="G1612" s="208" t="s">
        <v>37</v>
      </c>
      <c r="H1612" s="275">
        <v>150</v>
      </c>
    </row>
    <row r="1613" spans="1:8" ht="12.75" customHeight="1" x14ac:dyDescent="0.2">
      <c r="A1613" s="273">
        <v>2026</v>
      </c>
      <c r="B1613" s="274" t="s">
        <v>2035</v>
      </c>
      <c r="C1613" s="274" t="s">
        <v>1461</v>
      </c>
      <c r="D1613" s="208" t="s">
        <v>1462</v>
      </c>
      <c r="E1613" s="208" t="s">
        <v>2154</v>
      </c>
      <c r="F1613" s="208" t="s">
        <v>27</v>
      </c>
      <c r="G1613" s="208" t="s">
        <v>37</v>
      </c>
      <c r="H1613" s="275">
        <v>150</v>
      </c>
    </row>
    <row r="1614" spans="1:8" ht="12.75" customHeight="1" x14ac:dyDescent="0.2">
      <c r="A1614" s="273">
        <v>2026</v>
      </c>
      <c r="B1614" s="274" t="s">
        <v>2155</v>
      </c>
      <c r="C1614" s="274" t="s">
        <v>1568</v>
      </c>
      <c r="D1614" s="208" t="s">
        <v>1569</v>
      </c>
      <c r="E1614" s="208" t="s">
        <v>2156</v>
      </c>
      <c r="F1614" s="208" t="s">
        <v>27</v>
      </c>
      <c r="G1614" s="208" t="s">
        <v>37</v>
      </c>
      <c r="H1614" s="275">
        <v>2450</v>
      </c>
    </row>
    <row r="1615" spans="1:8" ht="12.75" customHeight="1" x14ac:dyDescent="0.2">
      <c r="A1615" s="273">
        <v>2026</v>
      </c>
      <c r="B1615" s="274" t="s">
        <v>2013</v>
      </c>
      <c r="C1615" s="274" t="s">
        <v>1437</v>
      </c>
      <c r="D1615" s="208" t="s">
        <v>1438</v>
      </c>
      <c r="E1615" s="208" t="s">
        <v>2157</v>
      </c>
      <c r="F1615" s="208" t="s">
        <v>27</v>
      </c>
      <c r="G1615" s="208" t="s">
        <v>37</v>
      </c>
      <c r="H1615" s="275">
        <v>1124.04</v>
      </c>
    </row>
    <row r="1616" spans="1:8" ht="12.75" customHeight="1" x14ac:dyDescent="0.2">
      <c r="A1616" s="273">
        <v>2026</v>
      </c>
      <c r="B1616" s="274" t="s">
        <v>2068</v>
      </c>
      <c r="C1616" s="274" t="s">
        <v>1433</v>
      </c>
      <c r="D1616" s="208" t="s">
        <v>1434</v>
      </c>
      <c r="E1616" s="208" t="s">
        <v>2158</v>
      </c>
      <c r="F1616" s="208" t="s">
        <v>27</v>
      </c>
      <c r="G1616" s="208" t="s">
        <v>37</v>
      </c>
      <c r="H1616" s="275">
        <v>349</v>
      </c>
    </row>
    <row r="1617" spans="1:8" ht="12.75" customHeight="1" x14ac:dyDescent="0.2">
      <c r="A1617" s="273">
        <v>2026</v>
      </c>
      <c r="B1617" s="274" t="s">
        <v>2159</v>
      </c>
      <c r="C1617" s="274" t="s">
        <v>1437</v>
      </c>
      <c r="D1617" s="208" t="s">
        <v>1438</v>
      </c>
      <c r="E1617" s="208" t="s">
        <v>2160</v>
      </c>
      <c r="F1617" s="208" t="s">
        <v>27</v>
      </c>
      <c r="G1617" s="208" t="s">
        <v>37</v>
      </c>
      <c r="H1617" s="276">
        <v>-60</v>
      </c>
    </row>
    <row r="1618" spans="1:8" ht="12.75" customHeight="1" x14ac:dyDescent="0.2">
      <c r="A1618" s="273">
        <v>2026</v>
      </c>
      <c r="B1618" s="274" t="s">
        <v>2019</v>
      </c>
      <c r="C1618" s="274" t="s">
        <v>1437</v>
      </c>
      <c r="D1618" s="208" t="s">
        <v>1438</v>
      </c>
      <c r="E1618" s="208" t="s">
        <v>2161</v>
      </c>
      <c r="F1618" s="208" t="s">
        <v>27</v>
      </c>
      <c r="G1618" s="208" t="s">
        <v>37</v>
      </c>
      <c r="H1618" s="275">
        <v>2075</v>
      </c>
    </row>
    <row r="1619" spans="1:8" ht="12.75" customHeight="1" x14ac:dyDescent="0.2">
      <c r="A1619" s="273">
        <v>2026</v>
      </c>
      <c r="B1619" s="274" t="s">
        <v>2019</v>
      </c>
      <c r="C1619" s="274" t="s">
        <v>1437</v>
      </c>
      <c r="D1619" s="208" t="s">
        <v>1438</v>
      </c>
      <c r="E1619" s="208" t="s">
        <v>2162</v>
      </c>
      <c r="F1619" s="208" t="s">
        <v>27</v>
      </c>
      <c r="G1619" s="208" t="s">
        <v>37</v>
      </c>
      <c r="H1619" s="275">
        <v>240</v>
      </c>
    </row>
    <row r="1620" spans="1:8" ht="12.75" customHeight="1" x14ac:dyDescent="0.2">
      <c r="A1620" s="273">
        <v>2026</v>
      </c>
      <c r="B1620" s="274" t="s">
        <v>2021</v>
      </c>
      <c r="C1620" s="274" t="s">
        <v>1437</v>
      </c>
      <c r="D1620" s="208" t="s">
        <v>1438</v>
      </c>
      <c r="E1620" s="208" t="s">
        <v>2163</v>
      </c>
      <c r="F1620" s="208" t="s">
        <v>27</v>
      </c>
      <c r="G1620" s="208" t="s">
        <v>37</v>
      </c>
      <c r="H1620" s="275">
        <v>20</v>
      </c>
    </row>
    <row r="1621" spans="1:8" ht="12.75" customHeight="1" x14ac:dyDescent="0.2">
      <c r="A1621" s="273">
        <v>2026</v>
      </c>
      <c r="B1621" s="274" t="s">
        <v>2043</v>
      </c>
      <c r="C1621" s="274" t="s">
        <v>1433</v>
      </c>
      <c r="D1621" s="208" t="s">
        <v>1434</v>
      </c>
      <c r="E1621" s="208" t="s">
        <v>2164</v>
      </c>
      <c r="F1621" s="208" t="s">
        <v>27</v>
      </c>
      <c r="G1621" s="208" t="s">
        <v>37</v>
      </c>
      <c r="H1621" s="275">
        <v>1644.95</v>
      </c>
    </row>
    <row r="1622" spans="1:8" ht="12.75" customHeight="1" x14ac:dyDescent="0.2">
      <c r="A1622" s="273">
        <v>2026</v>
      </c>
      <c r="B1622" s="274" t="s">
        <v>2165</v>
      </c>
      <c r="C1622" s="274" t="s">
        <v>1442</v>
      </c>
      <c r="D1622" s="208" t="s">
        <v>1443</v>
      </c>
      <c r="E1622" s="208" t="s">
        <v>2166</v>
      </c>
      <c r="F1622" s="208" t="s">
        <v>27</v>
      </c>
      <c r="G1622" s="208" t="s">
        <v>37</v>
      </c>
      <c r="H1622" s="275">
        <v>41.67</v>
      </c>
    </row>
    <row r="1623" spans="1:8" ht="12.75" customHeight="1" x14ac:dyDescent="0.2">
      <c r="A1623" s="273">
        <v>2026</v>
      </c>
      <c r="B1623" s="274" t="s">
        <v>2165</v>
      </c>
      <c r="C1623" s="274" t="s">
        <v>1442</v>
      </c>
      <c r="D1623" s="208" t="s">
        <v>1443</v>
      </c>
      <c r="E1623" s="208" t="s">
        <v>2167</v>
      </c>
      <c r="F1623" s="208" t="s">
        <v>27</v>
      </c>
      <c r="G1623" s="208" t="s">
        <v>37</v>
      </c>
      <c r="H1623" s="275">
        <v>41.67</v>
      </c>
    </row>
    <row r="1624" spans="1:8" ht="12.75" customHeight="1" x14ac:dyDescent="0.2">
      <c r="A1624" s="273">
        <v>2026</v>
      </c>
      <c r="B1624" s="274" t="s">
        <v>2045</v>
      </c>
      <c r="C1624" s="274" t="s">
        <v>1442</v>
      </c>
      <c r="D1624" s="208" t="s">
        <v>1443</v>
      </c>
      <c r="E1624" s="208" t="s">
        <v>2168</v>
      </c>
      <c r="F1624" s="208" t="s">
        <v>27</v>
      </c>
      <c r="G1624" s="208" t="s">
        <v>37</v>
      </c>
      <c r="H1624" s="275">
        <v>500</v>
      </c>
    </row>
    <row r="1625" spans="1:8" ht="12.75" customHeight="1" x14ac:dyDescent="0.2">
      <c r="A1625" s="273">
        <v>2026</v>
      </c>
      <c r="B1625" s="274" t="s">
        <v>2132</v>
      </c>
      <c r="C1625" s="274" t="s">
        <v>1442</v>
      </c>
      <c r="D1625" s="208" t="s">
        <v>1443</v>
      </c>
      <c r="E1625" s="208" t="s">
        <v>2169</v>
      </c>
      <c r="F1625" s="208" t="s">
        <v>27</v>
      </c>
      <c r="G1625" s="208" t="s">
        <v>37</v>
      </c>
      <c r="H1625" s="275">
        <v>500</v>
      </c>
    </row>
    <row r="1626" spans="1:8" ht="12.75" customHeight="1" x14ac:dyDescent="0.2">
      <c r="A1626" s="273">
        <v>2026</v>
      </c>
      <c r="B1626" s="274" t="s">
        <v>2132</v>
      </c>
      <c r="C1626" s="274" t="s">
        <v>1461</v>
      </c>
      <c r="D1626" s="208" t="s">
        <v>1462</v>
      </c>
      <c r="E1626" s="208" t="s">
        <v>2170</v>
      </c>
      <c r="F1626" s="208" t="s">
        <v>27</v>
      </c>
      <c r="G1626" s="208" t="s">
        <v>37</v>
      </c>
      <c r="H1626" s="275">
        <v>150</v>
      </c>
    </row>
    <row r="1627" spans="1:8" ht="12.75" customHeight="1" x14ac:dyDescent="0.2">
      <c r="A1627" s="273">
        <v>2026</v>
      </c>
      <c r="B1627" s="274" t="s">
        <v>2171</v>
      </c>
      <c r="C1627" s="274" t="s">
        <v>1433</v>
      </c>
      <c r="D1627" s="208" t="s">
        <v>1434</v>
      </c>
      <c r="E1627" s="208" t="s">
        <v>2172</v>
      </c>
      <c r="F1627" s="208" t="s">
        <v>27</v>
      </c>
      <c r="G1627" s="208" t="s">
        <v>37</v>
      </c>
      <c r="H1627" s="275">
        <v>349</v>
      </c>
    </row>
    <row r="1628" spans="1:8" ht="12.75" customHeight="1" x14ac:dyDescent="0.2">
      <c r="A1628" s="273">
        <v>2026</v>
      </c>
      <c r="B1628" s="274" t="s">
        <v>2173</v>
      </c>
      <c r="C1628" s="274" t="s">
        <v>2174</v>
      </c>
      <c r="D1628" s="208" t="s">
        <v>2175</v>
      </c>
      <c r="E1628" s="208" t="s">
        <v>2176</v>
      </c>
      <c r="F1628" s="208" t="s">
        <v>27</v>
      </c>
      <c r="G1628" s="208" t="s">
        <v>37</v>
      </c>
      <c r="H1628" s="275">
        <v>743.13</v>
      </c>
    </row>
    <row r="1629" spans="1:8" ht="12.75" customHeight="1" x14ac:dyDescent="0.2">
      <c r="A1629" s="273">
        <v>2026</v>
      </c>
      <c r="B1629" s="274" t="s">
        <v>2094</v>
      </c>
      <c r="C1629" s="274" t="s">
        <v>1437</v>
      </c>
      <c r="D1629" s="208" t="s">
        <v>1438</v>
      </c>
      <c r="E1629" s="208" t="s">
        <v>2177</v>
      </c>
      <c r="F1629" s="208" t="s">
        <v>27</v>
      </c>
      <c r="G1629" s="208" t="s">
        <v>37</v>
      </c>
      <c r="H1629" s="275">
        <v>2075</v>
      </c>
    </row>
    <row r="1630" spans="1:8" ht="12.75" customHeight="1" x14ac:dyDescent="0.2">
      <c r="A1630" s="273">
        <v>2026</v>
      </c>
      <c r="B1630" s="274" t="s">
        <v>2094</v>
      </c>
      <c r="C1630" s="274" t="s">
        <v>1437</v>
      </c>
      <c r="D1630" s="208" t="s">
        <v>1438</v>
      </c>
      <c r="E1630" s="208" t="s">
        <v>2178</v>
      </c>
      <c r="F1630" s="208" t="s">
        <v>27</v>
      </c>
      <c r="G1630" s="208" t="s">
        <v>37</v>
      </c>
      <c r="H1630" s="275">
        <v>240</v>
      </c>
    </row>
    <row r="1631" spans="1:8" ht="12.75" customHeight="1" x14ac:dyDescent="0.2">
      <c r="A1631" s="273">
        <v>2026</v>
      </c>
      <c r="B1631" s="274" t="s">
        <v>2179</v>
      </c>
      <c r="C1631" s="274" t="s">
        <v>1437</v>
      </c>
      <c r="D1631" s="208" t="s">
        <v>1438</v>
      </c>
      <c r="E1631" s="208" t="s">
        <v>2180</v>
      </c>
      <c r="F1631" s="208" t="s">
        <v>27</v>
      </c>
      <c r="G1631" s="208" t="s">
        <v>37</v>
      </c>
      <c r="H1631" s="275">
        <v>20</v>
      </c>
    </row>
    <row r="1632" spans="1:8" ht="12.75" customHeight="1" x14ac:dyDescent="0.2">
      <c r="A1632" s="273">
        <v>2026</v>
      </c>
      <c r="B1632" s="274" t="s">
        <v>2070</v>
      </c>
      <c r="C1632" s="274" t="s">
        <v>1433</v>
      </c>
      <c r="D1632" s="208" t="s">
        <v>1434</v>
      </c>
      <c r="E1632" s="208" t="s">
        <v>2181</v>
      </c>
      <c r="F1632" s="208" t="s">
        <v>27</v>
      </c>
      <c r="G1632" s="208" t="s">
        <v>37</v>
      </c>
      <c r="H1632" s="275">
        <v>2659.76</v>
      </c>
    </row>
    <row r="1633" spans="1:8" ht="12.75" customHeight="1" x14ac:dyDescent="0.2">
      <c r="A1633" s="273">
        <v>2026</v>
      </c>
      <c r="B1633" s="274" t="s">
        <v>2145</v>
      </c>
      <c r="C1633" s="274" t="s">
        <v>1442</v>
      </c>
      <c r="D1633" s="208" t="s">
        <v>1443</v>
      </c>
      <c r="E1633" s="208" t="s">
        <v>2182</v>
      </c>
      <c r="F1633" s="208" t="s">
        <v>27</v>
      </c>
      <c r="G1633" s="208" t="s">
        <v>37</v>
      </c>
      <c r="H1633" s="275">
        <v>500</v>
      </c>
    </row>
    <row r="1634" spans="1:8" ht="12.75" customHeight="1" x14ac:dyDescent="0.2">
      <c r="A1634" s="273">
        <v>2026</v>
      </c>
      <c r="B1634" s="274" t="s">
        <v>2145</v>
      </c>
      <c r="C1634" s="274" t="s">
        <v>1442</v>
      </c>
      <c r="D1634" s="208" t="s">
        <v>1443</v>
      </c>
      <c r="E1634" s="208" t="s">
        <v>2183</v>
      </c>
      <c r="F1634" s="208" t="s">
        <v>27</v>
      </c>
      <c r="G1634" s="208" t="s">
        <v>37</v>
      </c>
      <c r="H1634" s="275">
        <v>500</v>
      </c>
    </row>
    <row r="1635" spans="1:8" ht="12.75" customHeight="1" x14ac:dyDescent="0.2">
      <c r="A1635" s="273">
        <v>2026</v>
      </c>
      <c r="B1635" s="274" t="s">
        <v>2184</v>
      </c>
      <c r="C1635" s="274" t="s">
        <v>1568</v>
      </c>
      <c r="D1635" s="208" t="s">
        <v>1569</v>
      </c>
      <c r="E1635" s="208" t="s">
        <v>2185</v>
      </c>
      <c r="F1635" s="208" t="s">
        <v>27</v>
      </c>
      <c r="G1635" s="208" t="s">
        <v>37</v>
      </c>
      <c r="H1635" s="275">
        <v>1200</v>
      </c>
    </row>
    <row r="1636" spans="1:8" ht="12.75" customHeight="1" x14ac:dyDescent="0.2">
      <c r="A1636" s="273">
        <v>2026</v>
      </c>
      <c r="B1636" s="274" t="s">
        <v>2148</v>
      </c>
      <c r="C1636" s="274" t="s">
        <v>1619</v>
      </c>
      <c r="D1636" s="208" t="s">
        <v>1620</v>
      </c>
      <c r="E1636" s="208" t="s">
        <v>1635</v>
      </c>
      <c r="F1636" s="208" t="s">
        <v>27</v>
      </c>
      <c r="G1636" s="208" t="s">
        <v>41</v>
      </c>
      <c r="H1636" s="275">
        <v>0.67</v>
      </c>
    </row>
    <row r="1637" spans="1:8" ht="12.75" customHeight="1" x14ac:dyDescent="0.2">
      <c r="A1637" s="273">
        <v>2026</v>
      </c>
      <c r="B1637" s="274" t="s">
        <v>2009</v>
      </c>
      <c r="C1637" s="274" t="s">
        <v>1619</v>
      </c>
      <c r="D1637" s="208" t="s">
        <v>1620</v>
      </c>
      <c r="E1637" s="208" t="s">
        <v>1695</v>
      </c>
      <c r="F1637" s="208" t="s">
        <v>27</v>
      </c>
      <c r="G1637" s="208" t="s">
        <v>41</v>
      </c>
      <c r="H1637" s="276">
        <v>-40.229999999999997</v>
      </c>
    </row>
    <row r="1638" spans="1:8" ht="12.75" customHeight="1" x14ac:dyDescent="0.2">
      <c r="A1638" s="273">
        <v>2026</v>
      </c>
      <c r="B1638" s="274" t="s">
        <v>2009</v>
      </c>
      <c r="C1638" s="274" t="s">
        <v>2186</v>
      </c>
      <c r="D1638" s="208" t="s">
        <v>2187</v>
      </c>
      <c r="E1638" s="208" t="s">
        <v>1622</v>
      </c>
      <c r="F1638" s="208" t="s">
        <v>27</v>
      </c>
      <c r="G1638" s="208" t="s">
        <v>41</v>
      </c>
      <c r="H1638" s="275">
        <v>43.7</v>
      </c>
    </row>
    <row r="1639" spans="1:8" ht="12.75" customHeight="1" x14ac:dyDescent="0.2">
      <c r="A1639" s="273">
        <v>2026</v>
      </c>
      <c r="B1639" s="274" t="s">
        <v>2011</v>
      </c>
      <c r="C1639" s="274" t="s">
        <v>1619</v>
      </c>
      <c r="D1639" s="208" t="s">
        <v>1620</v>
      </c>
      <c r="E1639" s="208" t="s">
        <v>1695</v>
      </c>
      <c r="F1639" s="208" t="s">
        <v>27</v>
      </c>
      <c r="G1639" s="208" t="s">
        <v>41</v>
      </c>
      <c r="H1639" s="275">
        <v>40.44</v>
      </c>
    </row>
    <row r="1640" spans="1:8" ht="12.75" customHeight="1" x14ac:dyDescent="0.2">
      <c r="A1640" s="273">
        <v>2026</v>
      </c>
      <c r="B1640" s="274" t="s">
        <v>2035</v>
      </c>
      <c r="C1640" s="274" t="s">
        <v>1623</v>
      </c>
      <c r="D1640" s="208" t="s">
        <v>1624</v>
      </c>
      <c r="E1640" s="208" t="s">
        <v>2188</v>
      </c>
      <c r="F1640" s="208" t="s">
        <v>27</v>
      </c>
      <c r="G1640" s="208" t="s">
        <v>41</v>
      </c>
      <c r="H1640" s="275">
        <v>4.16</v>
      </c>
    </row>
    <row r="1641" spans="1:8" ht="12.75" customHeight="1" x14ac:dyDescent="0.2">
      <c r="A1641" s="273">
        <v>2026</v>
      </c>
      <c r="B1641" s="274" t="s">
        <v>2035</v>
      </c>
      <c r="C1641" s="274" t="s">
        <v>1623</v>
      </c>
      <c r="D1641" s="208" t="s">
        <v>1624</v>
      </c>
      <c r="E1641" s="208" t="s">
        <v>2189</v>
      </c>
      <c r="F1641" s="208" t="s">
        <v>27</v>
      </c>
      <c r="G1641" s="208" t="s">
        <v>41</v>
      </c>
      <c r="H1641" s="275">
        <v>79</v>
      </c>
    </row>
    <row r="1642" spans="1:8" ht="12.75" customHeight="1" x14ac:dyDescent="0.2">
      <c r="A1642" s="273">
        <v>2026</v>
      </c>
      <c r="B1642" s="274" t="s">
        <v>2038</v>
      </c>
      <c r="C1642" s="274" t="s">
        <v>1619</v>
      </c>
      <c r="D1642" s="208" t="s">
        <v>1620</v>
      </c>
      <c r="E1642" s="208" t="s">
        <v>1703</v>
      </c>
      <c r="F1642" s="208" t="s">
        <v>27</v>
      </c>
      <c r="G1642" s="208" t="s">
        <v>41</v>
      </c>
      <c r="H1642" s="275">
        <v>40.659999999999997</v>
      </c>
    </row>
    <row r="1643" spans="1:8" ht="12.75" customHeight="1" x14ac:dyDescent="0.2">
      <c r="A1643" s="273">
        <v>2026</v>
      </c>
      <c r="B1643" s="274" t="s">
        <v>2038</v>
      </c>
      <c r="C1643" s="274" t="s">
        <v>2186</v>
      </c>
      <c r="D1643" s="208" t="s">
        <v>2187</v>
      </c>
      <c r="E1643" s="208" t="s">
        <v>2190</v>
      </c>
      <c r="F1643" s="208" t="s">
        <v>27</v>
      </c>
      <c r="G1643" s="208" t="s">
        <v>41</v>
      </c>
      <c r="H1643" s="275">
        <v>9.35</v>
      </c>
    </row>
    <row r="1644" spans="1:8" ht="12.75" customHeight="1" x14ac:dyDescent="0.2">
      <c r="A1644" s="273">
        <v>2026</v>
      </c>
      <c r="B1644" s="274" t="s">
        <v>2038</v>
      </c>
      <c r="C1644" s="274" t="s">
        <v>2186</v>
      </c>
      <c r="D1644" s="208" t="s">
        <v>2187</v>
      </c>
      <c r="E1644" s="208" t="s">
        <v>2191</v>
      </c>
      <c r="F1644" s="208" t="s">
        <v>27</v>
      </c>
      <c r="G1644" s="208" t="s">
        <v>41</v>
      </c>
      <c r="H1644" s="275">
        <v>8.81</v>
      </c>
    </row>
    <row r="1645" spans="1:8" ht="12.75" customHeight="1" x14ac:dyDescent="0.2">
      <c r="A1645" s="273">
        <v>2026</v>
      </c>
      <c r="B1645" s="274" t="s">
        <v>2159</v>
      </c>
      <c r="C1645" s="274" t="s">
        <v>2186</v>
      </c>
      <c r="D1645" s="208" t="s">
        <v>2187</v>
      </c>
      <c r="E1645" s="208" t="s">
        <v>2192</v>
      </c>
      <c r="F1645" s="208" t="s">
        <v>27</v>
      </c>
      <c r="G1645" s="208" t="s">
        <v>41</v>
      </c>
      <c r="H1645" s="275">
        <v>104.8</v>
      </c>
    </row>
    <row r="1646" spans="1:8" ht="12.75" customHeight="1" x14ac:dyDescent="0.2">
      <c r="A1646" s="273">
        <v>2026</v>
      </c>
      <c r="B1646" s="274" t="s">
        <v>2041</v>
      </c>
      <c r="C1646" s="274" t="s">
        <v>1626</v>
      </c>
      <c r="D1646" s="208" t="s">
        <v>1627</v>
      </c>
      <c r="E1646" s="208" t="s">
        <v>2193</v>
      </c>
      <c r="F1646" s="208" t="s">
        <v>27</v>
      </c>
      <c r="G1646" s="208" t="s">
        <v>41</v>
      </c>
      <c r="H1646" s="275">
        <v>81.599999999999994</v>
      </c>
    </row>
    <row r="1647" spans="1:8" ht="12.75" customHeight="1" x14ac:dyDescent="0.2">
      <c r="A1647" s="273">
        <v>2026</v>
      </c>
      <c r="B1647" s="274" t="s">
        <v>2116</v>
      </c>
      <c r="C1647" s="274" t="s">
        <v>2186</v>
      </c>
      <c r="D1647" s="208" t="s">
        <v>2187</v>
      </c>
      <c r="E1647" s="208" t="s">
        <v>2194</v>
      </c>
      <c r="F1647" s="208" t="s">
        <v>27</v>
      </c>
      <c r="G1647" s="208" t="s">
        <v>41</v>
      </c>
      <c r="H1647" s="275">
        <v>43.7</v>
      </c>
    </row>
    <row r="1648" spans="1:8" ht="12.75" customHeight="1" x14ac:dyDescent="0.2">
      <c r="A1648" s="273">
        <v>2026</v>
      </c>
      <c r="B1648" s="274" t="s">
        <v>2195</v>
      </c>
      <c r="C1648" s="274" t="s">
        <v>1623</v>
      </c>
      <c r="D1648" s="208" t="s">
        <v>1624</v>
      </c>
      <c r="E1648" s="208" t="s">
        <v>2196</v>
      </c>
      <c r="F1648" s="208" t="s">
        <v>27</v>
      </c>
      <c r="G1648" s="208" t="s">
        <v>41</v>
      </c>
      <c r="H1648" s="275">
        <v>4.16</v>
      </c>
    </row>
    <row r="1649" spans="1:8" ht="12.75" customHeight="1" x14ac:dyDescent="0.2">
      <c r="A1649" s="273">
        <v>2026</v>
      </c>
      <c r="B1649" s="274" t="s">
        <v>2195</v>
      </c>
      <c r="C1649" s="274" t="s">
        <v>2186</v>
      </c>
      <c r="D1649" s="208" t="s">
        <v>2187</v>
      </c>
      <c r="E1649" s="208" t="s">
        <v>2197</v>
      </c>
      <c r="F1649" s="208" t="s">
        <v>27</v>
      </c>
      <c r="G1649" s="208" t="s">
        <v>41</v>
      </c>
      <c r="H1649" s="275">
        <v>1.05</v>
      </c>
    </row>
    <row r="1650" spans="1:8" ht="12.75" customHeight="1" x14ac:dyDescent="0.2">
      <c r="A1650" s="273">
        <v>2026</v>
      </c>
      <c r="B1650" s="274" t="s">
        <v>2048</v>
      </c>
      <c r="C1650" s="274" t="s">
        <v>2186</v>
      </c>
      <c r="D1650" s="208" t="s">
        <v>2187</v>
      </c>
      <c r="E1650" s="208" t="s">
        <v>2198</v>
      </c>
      <c r="F1650" s="208" t="s">
        <v>27</v>
      </c>
      <c r="G1650" s="208" t="s">
        <v>41</v>
      </c>
      <c r="H1650" s="275">
        <v>9.16</v>
      </c>
    </row>
    <row r="1651" spans="1:8" ht="12.75" customHeight="1" x14ac:dyDescent="0.2">
      <c r="A1651" s="273">
        <v>2026</v>
      </c>
      <c r="B1651" s="274" t="s">
        <v>2048</v>
      </c>
      <c r="C1651" s="274" t="s">
        <v>2186</v>
      </c>
      <c r="D1651" s="208" t="s">
        <v>2187</v>
      </c>
      <c r="E1651" s="208" t="s">
        <v>2199</v>
      </c>
      <c r="F1651" s="208" t="s">
        <v>27</v>
      </c>
      <c r="G1651" s="208" t="s">
        <v>41</v>
      </c>
      <c r="H1651" s="275">
        <v>8.64</v>
      </c>
    </row>
    <row r="1652" spans="1:8" ht="12.75" customHeight="1" x14ac:dyDescent="0.2">
      <c r="A1652" s="273">
        <v>2026</v>
      </c>
      <c r="B1652" s="274" t="s">
        <v>2200</v>
      </c>
      <c r="C1652" s="274" t="s">
        <v>2186</v>
      </c>
      <c r="D1652" s="208" t="s">
        <v>2187</v>
      </c>
      <c r="E1652" s="208" t="s">
        <v>2197</v>
      </c>
      <c r="F1652" s="208" t="s">
        <v>27</v>
      </c>
      <c r="G1652" s="208" t="s">
        <v>41</v>
      </c>
      <c r="H1652" s="275">
        <v>0.35</v>
      </c>
    </row>
    <row r="1653" spans="1:8" ht="12.75" customHeight="1" x14ac:dyDescent="0.2">
      <c r="A1653" s="273">
        <v>2026</v>
      </c>
      <c r="B1653" s="274" t="s">
        <v>2055</v>
      </c>
      <c r="C1653" s="274" t="s">
        <v>1626</v>
      </c>
      <c r="D1653" s="208" t="s">
        <v>1627</v>
      </c>
      <c r="E1653" s="208" t="s">
        <v>2201</v>
      </c>
      <c r="F1653" s="208" t="s">
        <v>27</v>
      </c>
      <c r="G1653" s="208" t="s">
        <v>41</v>
      </c>
      <c r="H1653" s="275">
        <v>74.040000000000006</v>
      </c>
    </row>
    <row r="1654" spans="1:8" ht="12.75" customHeight="1" x14ac:dyDescent="0.2">
      <c r="A1654" s="273">
        <v>2026</v>
      </c>
      <c r="B1654" s="274" t="s">
        <v>2139</v>
      </c>
      <c r="C1654" s="274" t="s">
        <v>1619</v>
      </c>
      <c r="D1654" s="208" t="s">
        <v>1620</v>
      </c>
      <c r="E1654" s="208" t="s">
        <v>2202</v>
      </c>
      <c r="F1654" s="208" t="s">
        <v>27</v>
      </c>
      <c r="G1654" s="208" t="s">
        <v>41</v>
      </c>
      <c r="H1654" s="276">
        <v>-41.33</v>
      </c>
    </row>
    <row r="1655" spans="1:8" ht="12.75" customHeight="1" x14ac:dyDescent="0.2">
      <c r="A1655" s="273">
        <v>2026</v>
      </c>
      <c r="B1655" s="274" t="s">
        <v>2139</v>
      </c>
      <c r="C1655" s="274" t="s">
        <v>2186</v>
      </c>
      <c r="D1655" s="208" t="s">
        <v>2187</v>
      </c>
      <c r="E1655" s="208" t="s">
        <v>2203</v>
      </c>
      <c r="F1655" s="208" t="s">
        <v>27</v>
      </c>
      <c r="G1655" s="208" t="s">
        <v>41</v>
      </c>
      <c r="H1655" s="275">
        <v>0.45</v>
      </c>
    </row>
    <row r="1656" spans="1:8" ht="12.75" customHeight="1" x14ac:dyDescent="0.2">
      <c r="A1656" s="273">
        <v>2026</v>
      </c>
      <c r="B1656" s="274" t="s">
        <v>2070</v>
      </c>
      <c r="C1656" s="274" t="s">
        <v>2186</v>
      </c>
      <c r="D1656" s="208" t="s">
        <v>2187</v>
      </c>
      <c r="E1656" s="208" t="s">
        <v>2194</v>
      </c>
      <c r="F1656" s="208" t="s">
        <v>27</v>
      </c>
      <c r="G1656" s="208" t="s">
        <v>41</v>
      </c>
      <c r="H1656" s="275">
        <v>43.7</v>
      </c>
    </row>
    <row r="1657" spans="1:8" ht="12.75" customHeight="1" x14ac:dyDescent="0.2">
      <c r="A1657" s="273">
        <v>2026</v>
      </c>
      <c r="B1657" s="274" t="s">
        <v>2204</v>
      </c>
      <c r="C1657" s="274" t="s">
        <v>2186</v>
      </c>
      <c r="D1657" s="208" t="s">
        <v>2187</v>
      </c>
      <c r="E1657" s="208" t="s">
        <v>2205</v>
      </c>
      <c r="F1657" s="208" t="s">
        <v>27</v>
      </c>
      <c r="G1657" s="208" t="s">
        <v>41</v>
      </c>
      <c r="H1657" s="275">
        <v>40.44</v>
      </c>
    </row>
    <row r="1658" spans="1:8" ht="12.75" customHeight="1" x14ac:dyDescent="0.2">
      <c r="A1658" s="273">
        <v>2026</v>
      </c>
      <c r="B1658" s="274" t="s">
        <v>2204</v>
      </c>
      <c r="C1658" s="274" t="s">
        <v>2186</v>
      </c>
      <c r="D1658" s="208" t="s">
        <v>2187</v>
      </c>
      <c r="E1658" s="208" t="s">
        <v>2203</v>
      </c>
      <c r="F1658" s="208" t="s">
        <v>27</v>
      </c>
      <c r="G1658" s="208" t="s">
        <v>41</v>
      </c>
      <c r="H1658" s="275">
        <v>0.45</v>
      </c>
    </row>
    <row r="1659" spans="1:8" ht="12.75" customHeight="1" x14ac:dyDescent="0.2">
      <c r="A1659" s="273">
        <v>2026</v>
      </c>
      <c r="B1659" s="274" t="s">
        <v>2145</v>
      </c>
      <c r="C1659" s="274" t="s">
        <v>1623</v>
      </c>
      <c r="D1659" s="208" t="s">
        <v>1624</v>
      </c>
      <c r="E1659" s="208" t="s">
        <v>2206</v>
      </c>
      <c r="F1659" s="208" t="s">
        <v>27</v>
      </c>
      <c r="G1659" s="208" t="s">
        <v>41</v>
      </c>
      <c r="H1659" s="275">
        <v>4.16</v>
      </c>
    </row>
    <row r="1660" spans="1:8" ht="12.75" customHeight="1" x14ac:dyDescent="0.2">
      <c r="A1660" s="273">
        <v>2026</v>
      </c>
      <c r="B1660" s="274" t="s">
        <v>2145</v>
      </c>
      <c r="C1660" s="274" t="s">
        <v>2186</v>
      </c>
      <c r="D1660" s="208" t="s">
        <v>2187</v>
      </c>
      <c r="E1660" s="208" t="s">
        <v>2203</v>
      </c>
      <c r="F1660" s="208" t="s">
        <v>27</v>
      </c>
      <c r="G1660" s="208" t="s">
        <v>41</v>
      </c>
      <c r="H1660" s="275">
        <v>1.07</v>
      </c>
    </row>
    <row r="1661" spans="1:8" ht="12.75" customHeight="1" x14ac:dyDescent="0.2">
      <c r="A1661" s="273">
        <v>2026</v>
      </c>
      <c r="B1661" s="274" t="s">
        <v>2145</v>
      </c>
      <c r="C1661" s="274" t="s">
        <v>2186</v>
      </c>
      <c r="D1661" s="208" t="s">
        <v>2187</v>
      </c>
      <c r="E1661" s="208" t="s">
        <v>2203</v>
      </c>
      <c r="F1661" s="208" t="s">
        <v>27</v>
      </c>
      <c r="G1661" s="208" t="s">
        <v>41</v>
      </c>
      <c r="H1661" s="275">
        <v>0.36</v>
      </c>
    </row>
    <row r="1662" spans="1:8" ht="12.75" customHeight="1" x14ac:dyDescent="0.2">
      <c r="A1662" s="273">
        <v>2026</v>
      </c>
      <c r="B1662" s="274" t="s">
        <v>2025</v>
      </c>
      <c r="C1662" s="274" t="s">
        <v>2186</v>
      </c>
      <c r="D1662" s="208" t="s">
        <v>2187</v>
      </c>
      <c r="E1662" s="208" t="s">
        <v>2207</v>
      </c>
      <c r="F1662" s="208" t="s">
        <v>27</v>
      </c>
      <c r="G1662" s="208" t="s">
        <v>41</v>
      </c>
      <c r="H1662" s="275">
        <v>8.9700000000000006</v>
      </c>
    </row>
    <row r="1663" spans="1:8" ht="12.75" customHeight="1" x14ac:dyDescent="0.2">
      <c r="A1663" s="273">
        <v>2026</v>
      </c>
      <c r="B1663" s="274" t="s">
        <v>2025</v>
      </c>
      <c r="C1663" s="274" t="s">
        <v>2186</v>
      </c>
      <c r="D1663" s="208" t="s">
        <v>2187</v>
      </c>
      <c r="E1663" s="208" t="s">
        <v>2208</v>
      </c>
      <c r="F1663" s="208" t="s">
        <v>27</v>
      </c>
      <c r="G1663" s="208" t="s">
        <v>41</v>
      </c>
      <c r="H1663" s="275">
        <v>8.4600000000000009</v>
      </c>
    </row>
    <row r="1664" spans="1:8" ht="12.75" customHeight="1" x14ac:dyDescent="0.2">
      <c r="A1664" s="273">
        <v>2026</v>
      </c>
      <c r="B1664" s="274" t="s">
        <v>2184</v>
      </c>
      <c r="C1664" s="274" t="s">
        <v>2186</v>
      </c>
      <c r="D1664" s="208" t="s">
        <v>2187</v>
      </c>
      <c r="E1664" s="208" t="s">
        <v>2203</v>
      </c>
      <c r="F1664" s="208" t="s">
        <v>27</v>
      </c>
      <c r="G1664" s="208" t="s">
        <v>41</v>
      </c>
      <c r="H1664" s="275">
        <v>2.72</v>
      </c>
    </row>
    <row r="1665" spans="1:8" ht="12.75" customHeight="1" x14ac:dyDescent="0.2">
      <c r="A1665" s="273">
        <v>2026</v>
      </c>
      <c r="B1665" s="274" t="s">
        <v>2031</v>
      </c>
      <c r="C1665" s="274" t="s">
        <v>1723</v>
      </c>
      <c r="D1665" s="208" t="s">
        <v>1724</v>
      </c>
      <c r="E1665" s="208" t="s">
        <v>2209</v>
      </c>
      <c r="F1665" s="208" t="s">
        <v>27</v>
      </c>
      <c r="G1665" s="208" t="s">
        <v>40</v>
      </c>
      <c r="H1665" s="275">
        <v>149.19999999999999</v>
      </c>
    </row>
    <row r="1666" spans="1:8" ht="12.75" customHeight="1" x14ac:dyDescent="0.2">
      <c r="A1666" s="273">
        <v>2026</v>
      </c>
      <c r="B1666" s="274" t="s">
        <v>2009</v>
      </c>
      <c r="C1666" s="274" t="s">
        <v>1734</v>
      </c>
      <c r="D1666" s="208" t="s">
        <v>1735</v>
      </c>
      <c r="E1666" s="208" t="s">
        <v>2210</v>
      </c>
      <c r="F1666" s="208" t="s">
        <v>27</v>
      </c>
      <c r="G1666" s="208" t="s">
        <v>40</v>
      </c>
      <c r="H1666" s="275">
        <v>3.89</v>
      </c>
    </row>
    <row r="1667" spans="1:8" ht="12.75" customHeight="1" x14ac:dyDescent="0.2">
      <c r="A1667" s="273">
        <v>2026</v>
      </c>
      <c r="B1667" s="274" t="s">
        <v>2009</v>
      </c>
      <c r="C1667" s="274" t="s">
        <v>1734</v>
      </c>
      <c r="D1667" s="208" t="s">
        <v>1735</v>
      </c>
      <c r="E1667" s="208" t="s">
        <v>2210</v>
      </c>
      <c r="F1667" s="208" t="s">
        <v>27</v>
      </c>
      <c r="G1667" s="208" t="s">
        <v>40</v>
      </c>
      <c r="H1667" s="275">
        <v>43.94</v>
      </c>
    </row>
    <row r="1668" spans="1:8" ht="12.75" customHeight="1" x14ac:dyDescent="0.2">
      <c r="A1668" s="273">
        <v>2026</v>
      </c>
      <c r="B1668" s="274" t="s">
        <v>2211</v>
      </c>
      <c r="C1668" s="274" t="s">
        <v>1745</v>
      </c>
      <c r="D1668" s="208" t="s">
        <v>1746</v>
      </c>
      <c r="E1668" s="208" t="s">
        <v>2212</v>
      </c>
      <c r="F1668" s="208" t="s">
        <v>27</v>
      </c>
      <c r="G1668" s="208" t="s">
        <v>40</v>
      </c>
      <c r="H1668" s="275">
        <v>91.61</v>
      </c>
    </row>
    <row r="1669" spans="1:8" ht="12.75" customHeight="1" x14ac:dyDescent="0.2">
      <c r="A1669" s="273">
        <v>2026</v>
      </c>
      <c r="B1669" s="274" t="s">
        <v>2211</v>
      </c>
      <c r="C1669" s="274" t="s">
        <v>1847</v>
      </c>
      <c r="D1669" s="208" t="s">
        <v>1848</v>
      </c>
      <c r="E1669" s="208" t="s">
        <v>2212</v>
      </c>
      <c r="F1669" s="208" t="s">
        <v>27</v>
      </c>
      <c r="G1669" s="208" t="s">
        <v>40</v>
      </c>
      <c r="H1669" s="275">
        <v>123.45</v>
      </c>
    </row>
    <row r="1670" spans="1:8" ht="12.75" customHeight="1" x14ac:dyDescent="0.2">
      <c r="A1670" s="273">
        <v>2026</v>
      </c>
      <c r="B1670" s="274" t="s">
        <v>2211</v>
      </c>
      <c r="C1670" s="274" t="s">
        <v>1734</v>
      </c>
      <c r="D1670" s="208" t="s">
        <v>1735</v>
      </c>
      <c r="E1670" s="208" t="s">
        <v>2213</v>
      </c>
      <c r="F1670" s="208" t="s">
        <v>27</v>
      </c>
      <c r="G1670" s="208" t="s">
        <v>40</v>
      </c>
      <c r="H1670" s="275">
        <v>35</v>
      </c>
    </row>
    <row r="1671" spans="1:8" ht="12.75" customHeight="1" x14ac:dyDescent="0.2">
      <c r="A1671" s="273">
        <v>2026</v>
      </c>
      <c r="B1671" s="274" t="s">
        <v>2211</v>
      </c>
      <c r="C1671" s="274" t="s">
        <v>1734</v>
      </c>
      <c r="D1671" s="208" t="s">
        <v>1735</v>
      </c>
      <c r="E1671" s="208" t="s">
        <v>2214</v>
      </c>
      <c r="F1671" s="208" t="s">
        <v>27</v>
      </c>
      <c r="G1671" s="208" t="s">
        <v>40</v>
      </c>
      <c r="H1671" s="275">
        <v>10.83</v>
      </c>
    </row>
    <row r="1672" spans="1:8" ht="12.75" customHeight="1" x14ac:dyDescent="0.2">
      <c r="A1672" s="273">
        <v>2026</v>
      </c>
      <c r="B1672" s="274" t="s">
        <v>2211</v>
      </c>
      <c r="C1672" s="274" t="s">
        <v>1734</v>
      </c>
      <c r="D1672" s="208" t="s">
        <v>1735</v>
      </c>
      <c r="E1672" s="208" t="s">
        <v>2214</v>
      </c>
      <c r="F1672" s="208" t="s">
        <v>27</v>
      </c>
      <c r="G1672" s="208" t="s">
        <v>40</v>
      </c>
      <c r="H1672" s="275">
        <v>33.18</v>
      </c>
    </row>
    <row r="1673" spans="1:8" ht="12.75" customHeight="1" x14ac:dyDescent="0.2">
      <c r="A1673" s="273">
        <v>2026</v>
      </c>
      <c r="B1673" s="274" t="s">
        <v>2215</v>
      </c>
      <c r="C1673" s="274" t="s">
        <v>1734</v>
      </c>
      <c r="D1673" s="208" t="s">
        <v>1735</v>
      </c>
      <c r="E1673" s="208" t="s">
        <v>2216</v>
      </c>
      <c r="F1673" s="208" t="s">
        <v>27</v>
      </c>
      <c r="G1673" s="208" t="s">
        <v>40</v>
      </c>
      <c r="H1673" s="275">
        <v>195</v>
      </c>
    </row>
    <row r="1674" spans="1:8" ht="12.75" customHeight="1" x14ac:dyDescent="0.2">
      <c r="A1674" s="273">
        <v>2026</v>
      </c>
      <c r="B1674" s="274" t="s">
        <v>2215</v>
      </c>
      <c r="C1674" s="274" t="s">
        <v>1734</v>
      </c>
      <c r="D1674" s="208" t="s">
        <v>1735</v>
      </c>
      <c r="E1674" s="208" t="s">
        <v>2216</v>
      </c>
      <c r="F1674" s="208" t="s">
        <v>27</v>
      </c>
      <c r="G1674" s="208" t="s">
        <v>40</v>
      </c>
      <c r="H1674" s="275">
        <v>25.45</v>
      </c>
    </row>
    <row r="1675" spans="1:8" ht="12.75" customHeight="1" x14ac:dyDescent="0.2">
      <c r="A1675" s="273">
        <v>2026</v>
      </c>
      <c r="B1675" s="274" t="s">
        <v>2013</v>
      </c>
      <c r="C1675" s="274" t="s">
        <v>1734</v>
      </c>
      <c r="D1675" s="208" t="s">
        <v>1735</v>
      </c>
      <c r="E1675" s="208" t="s">
        <v>2214</v>
      </c>
      <c r="F1675" s="208" t="s">
        <v>27</v>
      </c>
      <c r="G1675" s="208" t="s">
        <v>40</v>
      </c>
      <c r="H1675" s="275">
        <v>52</v>
      </c>
    </row>
    <row r="1676" spans="1:8" ht="12.75" customHeight="1" x14ac:dyDescent="0.2">
      <c r="A1676" s="273">
        <v>2026</v>
      </c>
      <c r="B1676" s="274" t="s">
        <v>2015</v>
      </c>
      <c r="C1676" s="274" t="s">
        <v>1734</v>
      </c>
      <c r="D1676" s="208" t="s">
        <v>1735</v>
      </c>
      <c r="E1676" s="208" t="s">
        <v>2217</v>
      </c>
      <c r="F1676" s="208" t="s">
        <v>27</v>
      </c>
      <c r="G1676" s="208" t="s">
        <v>40</v>
      </c>
      <c r="H1676" s="275">
        <v>52</v>
      </c>
    </row>
    <row r="1677" spans="1:8" ht="12.75" customHeight="1" x14ac:dyDescent="0.2">
      <c r="A1677" s="273">
        <v>2026</v>
      </c>
      <c r="B1677" s="274" t="s">
        <v>2015</v>
      </c>
      <c r="C1677" s="274" t="s">
        <v>1734</v>
      </c>
      <c r="D1677" s="208" t="s">
        <v>1735</v>
      </c>
      <c r="E1677" s="208" t="s">
        <v>2018</v>
      </c>
      <c r="F1677" s="208" t="s">
        <v>27</v>
      </c>
      <c r="G1677" s="208" t="s">
        <v>40</v>
      </c>
      <c r="H1677" s="275">
        <v>14.7</v>
      </c>
    </row>
    <row r="1678" spans="1:8" ht="12.75" customHeight="1" x14ac:dyDescent="0.2">
      <c r="A1678" s="273">
        <v>2026</v>
      </c>
      <c r="B1678" s="274" t="s">
        <v>2015</v>
      </c>
      <c r="C1678" s="274" t="s">
        <v>1734</v>
      </c>
      <c r="D1678" s="208" t="s">
        <v>1735</v>
      </c>
      <c r="E1678" s="208" t="s">
        <v>2018</v>
      </c>
      <c r="F1678" s="208" t="s">
        <v>27</v>
      </c>
      <c r="G1678" s="208" t="s">
        <v>40</v>
      </c>
      <c r="H1678" s="275">
        <v>43.18</v>
      </c>
    </row>
    <row r="1679" spans="1:8" ht="12.75" customHeight="1" x14ac:dyDescent="0.2">
      <c r="A1679" s="273">
        <v>2026</v>
      </c>
      <c r="B1679" s="274" t="s">
        <v>2068</v>
      </c>
      <c r="C1679" s="274" t="s">
        <v>1734</v>
      </c>
      <c r="D1679" s="208" t="s">
        <v>1735</v>
      </c>
      <c r="E1679" s="208" t="s">
        <v>1950</v>
      </c>
      <c r="F1679" s="208" t="s">
        <v>27</v>
      </c>
      <c r="G1679" s="208" t="s">
        <v>40</v>
      </c>
      <c r="H1679" s="275">
        <v>21.25</v>
      </c>
    </row>
    <row r="1680" spans="1:8" ht="12.75" customHeight="1" x14ac:dyDescent="0.2">
      <c r="A1680" s="273">
        <v>2026</v>
      </c>
      <c r="B1680" s="274" t="s">
        <v>2068</v>
      </c>
      <c r="C1680" s="274" t="s">
        <v>1734</v>
      </c>
      <c r="D1680" s="208" t="s">
        <v>1735</v>
      </c>
      <c r="E1680" s="208" t="s">
        <v>1950</v>
      </c>
      <c r="F1680" s="208" t="s">
        <v>27</v>
      </c>
      <c r="G1680" s="208" t="s">
        <v>40</v>
      </c>
      <c r="H1680" s="275">
        <v>54.64</v>
      </c>
    </row>
    <row r="1681" spans="1:8" ht="12.75" customHeight="1" x14ac:dyDescent="0.2">
      <c r="A1681" s="273">
        <v>2026</v>
      </c>
      <c r="B1681" s="274" t="s">
        <v>2019</v>
      </c>
      <c r="C1681" s="274" t="s">
        <v>1741</v>
      </c>
      <c r="D1681" s="208" t="s">
        <v>1742</v>
      </c>
      <c r="E1681" s="208" t="s">
        <v>2218</v>
      </c>
      <c r="F1681" s="208" t="s">
        <v>27</v>
      </c>
      <c r="G1681" s="208" t="s">
        <v>40</v>
      </c>
      <c r="H1681" s="275">
        <v>89.87</v>
      </c>
    </row>
    <row r="1682" spans="1:8" ht="12.75" customHeight="1" x14ac:dyDescent="0.2">
      <c r="A1682" s="273">
        <v>2026</v>
      </c>
      <c r="B1682" s="274" t="s">
        <v>2019</v>
      </c>
      <c r="C1682" s="274" t="s">
        <v>1745</v>
      </c>
      <c r="D1682" s="208" t="s">
        <v>1746</v>
      </c>
      <c r="E1682" s="208" t="s">
        <v>2218</v>
      </c>
      <c r="F1682" s="208" t="s">
        <v>27</v>
      </c>
      <c r="G1682" s="208" t="s">
        <v>40</v>
      </c>
      <c r="H1682" s="275">
        <v>84.52</v>
      </c>
    </row>
    <row r="1683" spans="1:8" ht="12.75" customHeight="1" x14ac:dyDescent="0.2">
      <c r="A1683" s="273">
        <v>2026</v>
      </c>
      <c r="B1683" s="274" t="s">
        <v>2041</v>
      </c>
      <c r="C1683" s="274" t="s">
        <v>1723</v>
      </c>
      <c r="D1683" s="208" t="s">
        <v>1724</v>
      </c>
      <c r="E1683" s="208" t="s">
        <v>2219</v>
      </c>
      <c r="F1683" s="208" t="s">
        <v>27</v>
      </c>
      <c r="G1683" s="208" t="s">
        <v>40</v>
      </c>
      <c r="H1683" s="275">
        <v>99.95</v>
      </c>
    </row>
    <row r="1684" spans="1:8" ht="12.75" customHeight="1" x14ac:dyDescent="0.2">
      <c r="A1684" s="273">
        <v>2026</v>
      </c>
      <c r="B1684" s="274" t="s">
        <v>2165</v>
      </c>
      <c r="C1684" s="274" t="s">
        <v>1734</v>
      </c>
      <c r="D1684" s="208" t="s">
        <v>1735</v>
      </c>
      <c r="E1684" s="208" t="s">
        <v>2220</v>
      </c>
      <c r="F1684" s="208" t="s">
        <v>27</v>
      </c>
      <c r="G1684" s="208" t="s">
        <v>40</v>
      </c>
      <c r="H1684" s="275">
        <v>44.17</v>
      </c>
    </row>
    <row r="1685" spans="1:8" ht="12.75" customHeight="1" x14ac:dyDescent="0.2">
      <c r="A1685" s="273">
        <v>2026</v>
      </c>
      <c r="B1685" s="274" t="s">
        <v>2195</v>
      </c>
      <c r="C1685" s="274" t="s">
        <v>1734</v>
      </c>
      <c r="D1685" s="208" t="s">
        <v>1735</v>
      </c>
      <c r="E1685" s="208" t="s">
        <v>2221</v>
      </c>
      <c r="F1685" s="208" t="s">
        <v>27</v>
      </c>
      <c r="G1685" s="208" t="s">
        <v>40</v>
      </c>
      <c r="H1685" s="275">
        <v>8.18</v>
      </c>
    </row>
    <row r="1686" spans="1:8" ht="12.75" customHeight="1" x14ac:dyDescent="0.2">
      <c r="A1686" s="273">
        <v>2026</v>
      </c>
      <c r="B1686" s="274" t="s">
        <v>2222</v>
      </c>
      <c r="C1686" s="274" t="s">
        <v>1730</v>
      </c>
      <c r="D1686" s="208" t="s">
        <v>1731</v>
      </c>
      <c r="E1686" s="208" t="s">
        <v>2223</v>
      </c>
      <c r="F1686" s="208" t="s">
        <v>27</v>
      </c>
      <c r="G1686" s="208" t="s">
        <v>40</v>
      </c>
      <c r="H1686" s="275">
        <v>583.26</v>
      </c>
    </row>
    <row r="1687" spans="1:8" ht="12.75" customHeight="1" x14ac:dyDescent="0.2">
      <c r="A1687" s="273">
        <v>2026</v>
      </c>
      <c r="B1687" s="274" t="s">
        <v>2224</v>
      </c>
      <c r="C1687" s="274" t="s">
        <v>1745</v>
      </c>
      <c r="D1687" s="208" t="s">
        <v>1746</v>
      </c>
      <c r="E1687" s="208" t="s">
        <v>2225</v>
      </c>
      <c r="F1687" s="208" t="s">
        <v>27</v>
      </c>
      <c r="G1687" s="208" t="s">
        <v>40</v>
      </c>
      <c r="H1687" s="275">
        <v>84</v>
      </c>
    </row>
    <row r="1688" spans="1:8" ht="12.75" customHeight="1" x14ac:dyDescent="0.2">
      <c r="A1688" s="273">
        <v>2026</v>
      </c>
      <c r="B1688" s="274" t="s">
        <v>2224</v>
      </c>
      <c r="C1688" s="274" t="s">
        <v>1847</v>
      </c>
      <c r="D1688" s="208" t="s">
        <v>1848</v>
      </c>
      <c r="E1688" s="208" t="s">
        <v>2225</v>
      </c>
      <c r="F1688" s="208" t="s">
        <v>27</v>
      </c>
      <c r="G1688" s="208" t="s">
        <v>40</v>
      </c>
      <c r="H1688" s="275">
        <v>131.34</v>
      </c>
    </row>
    <row r="1689" spans="1:8" ht="12.75" customHeight="1" x14ac:dyDescent="0.2">
      <c r="A1689" s="273">
        <v>2026</v>
      </c>
      <c r="B1689" s="274" t="s">
        <v>2226</v>
      </c>
      <c r="C1689" s="274" t="s">
        <v>1734</v>
      </c>
      <c r="D1689" s="208" t="s">
        <v>1735</v>
      </c>
      <c r="E1689" s="208" t="s">
        <v>2227</v>
      </c>
      <c r="F1689" s="208" t="s">
        <v>27</v>
      </c>
      <c r="G1689" s="208" t="s">
        <v>40</v>
      </c>
      <c r="H1689" s="275">
        <v>2.04</v>
      </c>
    </row>
    <row r="1690" spans="1:8" ht="12.75" customHeight="1" x14ac:dyDescent="0.2">
      <c r="A1690" s="273">
        <v>2026</v>
      </c>
      <c r="B1690" s="274" t="s">
        <v>2228</v>
      </c>
      <c r="C1690" s="274" t="s">
        <v>1734</v>
      </c>
      <c r="D1690" s="208" t="s">
        <v>1735</v>
      </c>
      <c r="E1690" s="208" t="s">
        <v>2229</v>
      </c>
      <c r="F1690" s="208" t="s">
        <v>27</v>
      </c>
      <c r="G1690" s="208" t="s">
        <v>40</v>
      </c>
      <c r="H1690" s="275">
        <v>7.42</v>
      </c>
    </row>
    <row r="1691" spans="1:8" ht="12.75" customHeight="1" x14ac:dyDescent="0.2">
      <c r="A1691" s="273">
        <v>2026</v>
      </c>
      <c r="B1691" s="274" t="s">
        <v>2228</v>
      </c>
      <c r="C1691" s="274" t="s">
        <v>1734</v>
      </c>
      <c r="D1691" s="208" t="s">
        <v>1735</v>
      </c>
      <c r="E1691" s="208" t="s">
        <v>2229</v>
      </c>
      <c r="F1691" s="208" t="s">
        <v>27</v>
      </c>
      <c r="G1691" s="208" t="s">
        <v>40</v>
      </c>
      <c r="H1691" s="275">
        <v>64</v>
      </c>
    </row>
    <row r="1692" spans="1:8" ht="12.75" customHeight="1" x14ac:dyDescent="0.2">
      <c r="A1692" s="273">
        <v>2026</v>
      </c>
      <c r="B1692" s="274" t="s">
        <v>2023</v>
      </c>
      <c r="C1692" s="274" t="s">
        <v>1734</v>
      </c>
      <c r="D1692" s="208" t="s">
        <v>1735</v>
      </c>
      <c r="E1692" s="208" t="s">
        <v>2230</v>
      </c>
      <c r="F1692" s="208" t="s">
        <v>27</v>
      </c>
      <c r="G1692" s="208" t="s">
        <v>40</v>
      </c>
      <c r="H1692" s="275">
        <v>402</v>
      </c>
    </row>
    <row r="1693" spans="1:8" ht="12.75" customHeight="1" x14ac:dyDescent="0.2">
      <c r="A1693" s="273">
        <v>2026</v>
      </c>
      <c r="B1693" s="274" t="s">
        <v>2023</v>
      </c>
      <c r="C1693" s="274" t="s">
        <v>1734</v>
      </c>
      <c r="D1693" s="208" t="s">
        <v>1735</v>
      </c>
      <c r="E1693" s="208" t="s">
        <v>2231</v>
      </c>
      <c r="F1693" s="208" t="s">
        <v>27</v>
      </c>
      <c r="G1693" s="208" t="s">
        <v>40</v>
      </c>
      <c r="H1693" s="275">
        <v>39.64</v>
      </c>
    </row>
    <row r="1694" spans="1:8" ht="12.75" customHeight="1" x14ac:dyDescent="0.2">
      <c r="A1694" s="273">
        <v>2026</v>
      </c>
      <c r="B1694" s="274" t="s">
        <v>2232</v>
      </c>
      <c r="C1694" s="274" t="s">
        <v>1730</v>
      </c>
      <c r="D1694" s="208" t="s">
        <v>1731</v>
      </c>
      <c r="E1694" s="208" t="s">
        <v>2233</v>
      </c>
      <c r="F1694" s="208" t="s">
        <v>27</v>
      </c>
      <c r="G1694" s="208" t="s">
        <v>40</v>
      </c>
      <c r="H1694" s="275">
        <v>261.91000000000003</v>
      </c>
    </row>
    <row r="1695" spans="1:8" ht="12.75" customHeight="1" x14ac:dyDescent="0.2">
      <c r="A1695" s="273">
        <v>2026</v>
      </c>
      <c r="B1695" s="274" t="s">
        <v>2051</v>
      </c>
      <c r="C1695" s="274" t="s">
        <v>1730</v>
      </c>
      <c r="D1695" s="208" t="s">
        <v>1731</v>
      </c>
      <c r="E1695" s="208" t="s">
        <v>2234</v>
      </c>
      <c r="F1695" s="208" t="s">
        <v>27</v>
      </c>
      <c r="G1695" s="208" t="s">
        <v>40</v>
      </c>
      <c r="H1695" s="275">
        <v>88.18</v>
      </c>
    </row>
    <row r="1696" spans="1:8" ht="12.75" customHeight="1" x14ac:dyDescent="0.2">
      <c r="A1696" s="273">
        <v>2026</v>
      </c>
      <c r="B1696" s="274" t="s">
        <v>2171</v>
      </c>
      <c r="C1696" s="274" t="s">
        <v>1730</v>
      </c>
      <c r="D1696" s="208" t="s">
        <v>1731</v>
      </c>
      <c r="E1696" s="208" t="s">
        <v>2235</v>
      </c>
      <c r="F1696" s="208" t="s">
        <v>27</v>
      </c>
      <c r="G1696" s="208" t="s">
        <v>40</v>
      </c>
      <c r="H1696" s="275">
        <v>46.11</v>
      </c>
    </row>
    <row r="1697" spans="1:8" ht="12.75" customHeight="1" x14ac:dyDescent="0.2">
      <c r="A1697" s="273">
        <v>2026</v>
      </c>
      <c r="B1697" s="274" t="s">
        <v>2094</v>
      </c>
      <c r="C1697" s="274" t="s">
        <v>1745</v>
      </c>
      <c r="D1697" s="208" t="s">
        <v>1746</v>
      </c>
      <c r="E1697" s="208" t="s">
        <v>2236</v>
      </c>
      <c r="F1697" s="208" t="s">
        <v>27</v>
      </c>
      <c r="G1697" s="208" t="s">
        <v>40</v>
      </c>
      <c r="H1697" s="275">
        <v>95.51</v>
      </c>
    </row>
    <row r="1698" spans="1:8" ht="12.75" customHeight="1" x14ac:dyDescent="0.2">
      <c r="A1698" s="273">
        <v>2026</v>
      </c>
      <c r="B1698" s="274" t="s">
        <v>2094</v>
      </c>
      <c r="C1698" s="274" t="s">
        <v>1847</v>
      </c>
      <c r="D1698" s="208" t="s">
        <v>1848</v>
      </c>
      <c r="E1698" s="208" t="s">
        <v>2236</v>
      </c>
      <c r="F1698" s="208" t="s">
        <v>27</v>
      </c>
      <c r="G1698" s="208" t="s">
        <v>40</v>
      </c>
      <c r="H1698" s="275">
        <v>67.349999999999994</v>
      </c>
    </row>
    <row r="1699" spans="1:8" ht="12.75" customHeight="1" x14ac:dyDescent="0.2">
      <c r="A1699" s="273">
        <v>2026</v>
      </c>
      <c r="B1699" s="274" t="s">
        <v>2055</v>
      </c>
      <c r="C1699" s="274" t="s">
        <v>1723</v>
      </c>
      <c r="D1699" s="208" t="s">
        <v>1724</v>
      </c>
      <c r="E1699" s="208" t="s">
        <v>2237</v>
      </c>
      <c r="F1699" s="208" t="s">
        <v>27</v>
      </c>
      <c r="G1699" s="208" t="s">
        <v>40</v>
      </c>
      <c r="H1699" s="275">
        <v>143.12</v>
      </c>
    </row>
    <row r="1700" spans="1:8" ht="12.75" customHeight="1" x14ac:dyDescent="0.2">
      <c r="A1700" s="273">
        <v>2026</v>
      </c>
      <c r="B1700" s="274" t="s">
        <v>2179</v>
      </c>
      <c r="C1700" s="274" t="s">
        <v>1734</v>
      </c>
      <c r="D1700" s="208" t="s">
        <v>1735</v>
      </c>
      <c r="E1700" s="208" t="s">
        <v>2238</v>
      </c>
      <c r="F1700" s="208" t="s">
        <v>27</v>
      </c>
      <c r="G1700" s="208" t="s">
        <v>40</v>
      </c>
      <c r="H1700" s="275">
        <v>107.9</v>
      </c>
    </row>
    <row r="1701" spans="1:8" ht="12.75" customHeight="1" x14ac:dyDescent="0.2">
      <c r="A1701" s="273">
        <v>2026</v>
      </c>
      <c r="B1701" s="274" t="s">
        <v>2179</v>
      </c>
      <c r="C1701" s="274" t="s">
        <v>1734</v>
      </c>
      <c r="D1701" s="208" t="s">
        <v>1735</v>
      </c>
      <c r="E1701" s="208" t="s">
        <v>2239</v>
      </c>
      <c r="F1701" s="208" t="s">
        <v>27</v>
      </c>
      <c r="G1701" s="208" t="s">
        <v>40</v>
      </c>
      <c r="H1701" s="275">
        <v>54.09</v>
      </c>
    </row>
    <row r="1702" spans="1:8" ht="12.75" customHeight="1" x14ac:dyDescent="0.2">
      <c r="A1702" s="273">
        <v>2026</v>
      </c>
      <c r="B1702" s="274" t="s">
        <v>2240</v>
      </c>
      <c r="C1702" s="274" t="s">
        <v>1734</v>
      </c>
      <c r="D1702" s="208" t="s">
        <v>1735</v>
      </c>
      <c r="E1702" s="208" t="s">
        <v>2241</v>
      </c>
      <c r="F1702" s="208" t="s">
        <v>27</v>
      </c>
      <c r="G1702" s="208" t="s">
        <v>40</v>
      </c>
      <c r="H1702" s="275">
        <v>69.2</v>
      </c>
    </row>
    <row r="1703" spans="1:8" ht="12.75" customHeight="1" x14ac:dyDescent="0.2">
      <c r="A1703" s="273">
        <v>2026</v>
      </c>
      <c r="B1703" s="274" t="s">
        <v>2242</v>
      </c>
      <c r="C1703" s="274" t="s">
        <v>1745</v>
      </c>
      <c r="D1703" s="208" t="s">
        <v>1746</v>
      </c>
      <c r="E1703" s="208" t="s">
        <v>2243</v>
      </c>
      <c r="F1703" s="208" t="s">
        <v>27</v>
      </c>
      <c r="G1703" s="208" t="s">
        <v>40</v>
      </c>
      <c r="H1703" s="275">
        <v>125.54</v>
      </c>
    </row>
    <row r="1704" spans="1:8" ht="12.75" customHeight="1" x14ac:dyDescent="0.2">
      <c r="A1704" s="273">
        <v>2026</v>
      </c>
      <c r="B1704" s="274" t="s">
        <v>2242</v>
      </c>
      <c r="C1704" s="274" t="s">
        <v>1847</v>
      </c>
      <c r="D1704" s="208" t="s">
        <v>1848</v>
      </c>
      <c r="E1704" s="208" t="s">
        <v>2243</v>
      </c>
      <c r="F1704" s="208" t="s">
        <v>27</v>
      </c>
      <c r="G1704" s="208" t="s">
        <v>40</v>
      </c>
      <c r="H1704" s="275">
        <v>136.27000000000001</v>
      </c>
    </row>
    <row r="1705" spans="1:8" ht="12.75" customHeight="1" x14ac:dyDescent="0.2">
      <c r="A1705" s="273">
        <v>2026</v>
      </c>
      <c r="B1705" s="274" t="s">
        <v>2027</v>
      </c>
      <c r="C1705" s="274" t="s">
        <v>1734</v>
      </c>
      <c r="D1705" s="208" t="s">
        <v>1735</v>
      </c>
      <c r="E1705" s="208" t="s">
        <v>2244</v>
      </c>
      <c r="F1705" s="208" t="s">
        <v>27</v>
      </c>
      <c r="G1705" s="208" t="s">
        <v>40</v>
      </c>
      <c r="H1705" s="275">
        <v>81.819999999999993</v>
      </c>
    </row>
    <row r="1706" spans="1:8" ht="12.75" customHeight="1" x14ac:dyDescent="0.2">
      <c r="A1706" s="273">
        <v>2026</v>
      </c>
      <c r="B1706" s="274" t="s">
        <v>2029</v>
      </c>
      <c r="C1706" s="274" t="s">
        <v>1734</v>
      </c>
      <c r="D1706" s="208" t="s">
        <v>1735</v>
      </c>
      <c r="E1706" s="208" t="s">
        <v>2245</v>
      </c>
      <c r="F1706" s="208" t="s">
        <v>27</v>
      </c>
      <c r="G1706" s="208" t="s">
        <v>40</v>
      </c>
      <c r="H1706" s="275">
        <v>40.81</v>
      </c>
    </row>
    <row r="1707" spans="1:8" ht="12.75" customHeight="1" x14ac:dyDescent="0.2">
      <c r="A1707" s="273">
        <v>2026</v>
      </c>
      <c r="B1707" s="274" t="s">
        <v>2246</v>
      </c>
      <c r="C1707" s="274" t="s">
        <v>1730</v>
      </c>
      <c r="D1707" s="208" t="s">
        <v>1731</v>
      </c>
      <c r="E1707" s="208" t="s">
        <v>2247</v>
      </c>
      <c r="F1707" s="208" t="s">
        <v>27</v>
      </c>
      <c r="G1707" s="208" t="s">
        <v>40</v>
      </c>
      <c r="H1707" s="275">
        <v>92.59</v>
      </c>
    </row>
    <row r="1708" spans="1:8" ht="12.75" customHeight="1" x14ac:dyDescent="0.2">
      <c r="A1708" s="273">
        <v>2026</v>
      </c>
      <c r="B1708" s="274" t="s">
        <v>2246</v>
      </c>
      <c r="C1708" s="274" t="s">
        <v>1734</v>
      </c>
      <c r="D1708" s="208" t="s">
        <v>1735</v>
      </c>
      <c r="E1708" s="208" t="s">
        <v>2248</v>
      </c>
      <c r="F1708" s="208" t="s">
        <v>27</v>
      </c>
      <c r="G1708" s="208" t="s">
        <v>40</v>
      </c>
      <c r="H1708" s="275">
        <v>26.93</v>
      </c>
    </row>
    <row r="1709" spans="1:8" ht="12.75" customHeight="1" x14ac:dyDescent="0.2">
      <c r="A1709" s="273">
        <v>2026</v>
      </c>
      <c r="B1709" s="274" t="s">
        <v>2249</v>
      </c>
      <c r="C1709" s="274" t="s">
        <v>1734</v>
      </c>
      <c r="D1709" s="208" t="s">
        <v>1735</v>
      </c>
      <c r="E1709" s="208" t="s">
        <v>2250</v>
      </c>
      <c r="F1709" s="208" t="s">
        <v>27</v>
      </c>
      <c r="G1709" s="208" t="s">
        <v>40</v>
      </c>
      <c r="H1709" s="275">
        <v>34.450000000000003</v>
      </c>
    </row>
  </sheetData>
  <autoFilter ref="A1:H1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9"/>
  <sheetViews>
    <sheetView zoomScaleNormal="100" workbookViewId="0">
      <selection activeCell="K38" sqref="K38"/>
    </sheetView>
  </sheetViews>
  <sheetFormatPr baseColWidth="10" defaultColWidth="10.6640625" defaultRowHeight="15" x14ac:dyDescent="0.2"/>
  <sheetData>
    <row r="1" spans="1:17" ht="15" customHeight="1" x14ac:dyDescent="0.2">
      <c r="D1" s="7">
        <v>0.01</v>
      </c>
      <c r="E1" s="7"/>
      <c r="F1" s="7">
        <v>0.14000000000000001</v>
      </c>
      <c r="G1" s="7">
        <v>0.1</v>
      </c>
      <c r="H1" s="7"/>
      <c r="I1" s="7"/>
      <c r="J1" s="7">
        <v>0.15</v>
      </c>
      <c r="K1" s="7">
        <v>0.2</v>
      </c>
      <c r="L1" s="7"/>
      <c r="M1" s="7">
        <v>0.35</v>
      </c>
      <c r="N1" s="7">
        <v>0.05</v>
      </c>
      <c r="O1" s="279"/>
      <c r="P1" s="7"/>
      <c r="Q1" s="7"/>
    </row>
    <row r="2" spans="1:17" ht="15" customHeight="1" x14ac:dyDescent="0.2">
      <c r="A2" s="280"/>
      <c r="B2" s="280" t="s">
        <v>2251</v>
      </c>
      <c r="C2" s="280" t="s">
        <v>2252</v>
      </c>
      <c r="D2" s="280" t="s">
        <v>2253</v>
      </c>
      <c r="E2" s="280" t="s">
        <v>2254</v>
      </c>
      <c r="F2" s="280" t="s">
        <v>2255</v>
      </c>
      <c r="G2" s="280" t="s">
        <v>2256</v>
      </c>
      <c r="H2" s="280" t="s">
        <v>2257</v>
      </c>
      <c r="I2" s="280" t="s">
        <v>2258</v>
      </c>
      <c r="J2" s="280" t="s">
        <v>2259</v>
      </c>
      <c r="K2" s="280" t="s">
        <v>2260</v>
      </c>
      <c r="L2" s="280" t="s">
        <v>2261</v>
      </c>
      <c r="M2" s="280" t="s">
        <v>2262</v>
      </c>
      <c r="N2" s="280" t="s">
        <v>2263</v>
      </c>
      <c r="O2" s="280" t="s">
        <v>2264</v>
      </c>
      <c r="P2" s="280" t="s">
        <v>2265</v>
      </c>
      <c r="Q2" s="280" t="s">
        <v>2266</v>
      </c>
    </row>
    <row r="3" spans="1:17" ht="15" customHeight="1" x14ac:dyDescent="0.2">
      <c r="A3" s="18" t="s">
        <v>197</v>
      </c>
      <c r="B3" s="16">
        <v>147500</v>
      </c>
      <c r="C3" s="16">
        <v>141500</v>
      </c>
      <c r="D3" s="16">
        <v>1475</v>
      </c>
      <c r="E3" s="16">
        <v>-6000</v>
      </c>
      <c r="F3" s="16">
        <v>20650</v>
      </c>
      <c r="G3" s="16">
        <v>14750</v>
      </c>
      <c r="H3" s="16">
        <v>-8490</v>
      </c>
      <c r="I3" s="16">
        <v>8850</v>
      </c>
      <c r="J3" s="16">
        <v>22125</v>
      </c>
      <c r="K3" s="16">
        <v>29500</v>
      </c>
      <c r="L3" s="16">
        <v>-3537.5</v>
      </c>
      <c r="M3" s="16">
        <v>51625</v>
      </c>
      <c r="N3" s="16">
        <v>7375</v>
      </c>
      <c r="O3" s="45">
        <v>12198.333333333299</v>
      </c>
      <c r="P3" s="16">
        <v>7600</v>
      </c>
      <c r="Q3" s="16">
        <v>76208.333333333299</v>
      </c>
    </row>
    <row r="4" spans="1:17" ht="15" customHeight="1" x14ac:dyDescent="0.2">
      <c r="A4" s="18" t="s">
        <v>199</v>
      </c>
      <c r="B4" s="16">
        <v>141500</v>
      </c>
      <c r="C4" s="16">
        <v>135500</v>
      </c>
      <c r="D4" s="16">
        <v>1415</v>
      </c>
      <c r="E4" s="16">
        <v>-6000</v>
      </c>
      <c r="F4" s="16">
        <v>19810</v>
      </c>
      <c r="G4" s="16">
        <v>14150</v>
      </c>
      <c r="H4" s="16">
        <v>-8130</v>
      </c>
      <c r="I4" s="16">
        <v>8490</v>
      </c>
      <c r="J4" s="16">
        <v>21225</v>
      </c>
      <c r="K4" s="16">
        <v>28300</v>
      </c>
      <c r="L4" s="16">
        <v>-3387.5</v>
      </c>
      <c r="M4" s="16">
        <v>49525</v>
      </c>
      <c r="N4" s="16">
        <v>7075</v>
      </c>
      <c r="O4" s="45">
        <v>11378.333333333299</v>
      </c>
      <c r="P4" s="16">
        <v>7600</v>
      </c>
      <c r="Q4" s="16">
        <v>73108.333333333299</v>
      </c>
    </row>
    <row r="5" spans="1:17" ht="15" customHeight="1" x14ac:dyDescent="0.2">
      <c r="A5" s="18" t="s">
        <v>2267</v>
      </c>
      <c r="B5" s="16">
        <v>152500</v>
      </c>
      <c r="C5" s="16">
        <v>146500</v>
      </c>
      <c r="D5" s="16">
        <v>1525</v>
      </c>
      <c r="E5" s="16">
        <v>-6000</v>
      </c>
      <c r="F5" s="16">
        <v>21350</v>
      </c>
      <c r="G5" s="16">
        <v>15250</v>
      </c>
      <c r="H5" s="16">
        <v>-8790</v>
      </c>
      <c r="I5" s="16">
        <v>9150</v>
      </c>
      <c r="J5" s="16">
        <v>22875</v>
      </c>
      <c r="K5" s="16">
        <v>30500</v>
      </c>
      <c r="L5" s="16">
        <v>-3662.5</v>
      </c>
      <c r="M5" s="16">
        <v>53375</v>
      </c>
      <c r="N5" s="16">
        <v>7625</v>
      </c>
      <c r="O5" s="45">
        <v>12881.666666666701</v>
      </c>
      <c r="P5" s="16">
        <v>7600</v>
      </c>
      <c r="Q5" s="16">
        <v>78791.666666666701</v>
      </c>
    </row>
    <row r="6" spans="1:17" ht="15" customHeight="1" x14ac:dyDescent="0.2">
      <c r="A6" s="18" t="s">
        <v>2268</v>
      </c>
      <c r="B6" s="16">
        <v>138800</v>
      </c>
      <c r="C6" s="16">
        <v>132800</v>
      </c>
      <c r="D6" s="16">
        <v>1388</v>
      </c>
      <c r="E6" s="16">
        <v>-6000</v>
      </c>
      <c r="F6" s="16">
        <v>19432</v>
      </c>
      <c r="G6" s="16">
        <v>13880</v>
      </c>
      <c r="H6" s="16">
        <v>-7968</v>
      </c>
      <c r="I6" s="16">
        <v>8328</v>
      </c>
      <c r="J6" s="16">
        <v>20820</v>
      </c>
      <c r="K6" s="16">
        <v>27760</v>
      </c>
      <c r="L6" s="16">
        <v>-3320</v>
      </c>
      <c r="M6" s="16">
        <v>48580</v>
      </c>
      <c r="N6" s="16">
        <v>6940</v>
      </c>
      <c r="O6" s="45">
        <v>11009.333333333299</v>
      </c>
      <c r="P6" s="16">
        <v>7600</v>
      </c>
      <c r="Q6" s="16">
        <v>71713.333333333299</v>
      </c>
    </row>
    <row r="7" spans="1:17" ht="15" customHeight="1" x14ac:dyDescent="0.2">
      <c r="A7" t="s">
        <v>200</v>
      </c>
      <c r="B7" s="16">
        <v>141800</v>
      </c>
      <c r="C7" s="16">
        <v>135800</v>
      </c>
      <c r="D7" s="16">
        <v>1418</v>
      </c>
      <c r="E7" s="16">
        <v>-6000</v>
      </c>
      <c r="F7" s="16">
        <v>19852</v>
      </c>
      <c r="G7" s="16">
        <v>14180</v>
      </c>
      <c r="H7" s="16">
        <v>-8148</v>
      </c>
      <c r="I7" s="16">
        <v>8508</v>
      </c>
      <c r="J7" s="16">
        <v>21270</v>
      </c>
      <c r="K7" s="16">
        <v>28360</v>
      </c>
      <c r="L7" s="16">
        <v>-3395</v>
      </c>
      <c r="M7" s="16">
        <v>49630</v>
      </c>
      <c r="N7" s="16">
        <v>7090</v>
      </c>
      <c r="O7" s="45">
        <v>11419.333333333299</v>
      </c>
      <c r="P7" s="16">
        <v>7600</v>
      </c>
      <c r="Q7" s="16">
        <v>73263.333333333299</v>
      </c>
    </row>
    <row r="8" spans="1:17" ht="15" customHeight="1" x14ac:dyDescent="0.2">
      <c r="A8" s="18" t="s">
        <v>2269</v>
      </c>
      <c r="B8" s="16">
        <v>138700</v>
      </c>
      <c r="C8" s="16">
        <v>132700</v>
      </c>
      <c r="D8" s="16">
        <v>1387</v>
      </c>
      <c r="E8" s="16">
        <v>-6000</v>
      </c>
      <c r="F8" s="16">
        <v>19418</v>
      </c>
      <c r="G8" s="16">
        <v>13870</v>
      </c>
      <c r="H8" s="16">
        <v>-7962</v>
      </c>
      <c r="I8" s="16">
        <v>8322</v>
      </c>
      <c r="J8" s="16">
        <v>20805</v>
      </c>
      <c r="K8" s="16">
        <v>27740</v>
      </c>
      <c r="L8" s="16">
        <v>-3317.5</v>
      </c>
      <c r="M8" s="16">
        <v>48545</v>
      </c>
      <c r="N8" s="16">
        <v>6935</v>
      </c>
      <c r="O8" s="45">
        <v>10995.666666666701</v>
      </c>
      <c r="P8" s="16">
        <v>7600</v>
      </c>
      <c r="Q8" s="16">
        <v>71661.666666666701</v>
      </c>
    </row>
    <row r="9" spans="1:17" ht="15" customHeight="1" x14ac:dyDescent="0.2">
      <c r="A9" s="18" t="s">
        <v>2270</v>
      </c>
      <c r="B9" s="16">
        <v>154600</v>
      </c>
      <c r="C9" s="16">
        <v>148600</v>
      </c>
      <c r="D9" s="16">
        <v>1546</v>
      </c>
      <c r="E9" s="16">
        <v>-6000</v>
      </c>
      <c r="F9" s="16">
        <v>21644</v>
      </c>
      <c r="G9" s="16">
        <v>15460</v>
      </c>
      <c r="H9" s="16">
        <v>-8916</v>
      </c>
      <c r="I9" s="16">
        <v>9276</v>
      </c>
      <c r="J9" s="16">
        <v>23190</v>
      </c>
      <c r="K9" s="16">
        <v>30920</v>
      </c>
      <c r="L9" s="16">
        <v>-3715</v>
      </c>
      <c r="M9" s="16">
        <v>54110</v>
      </c>
      <c r="N9" s="16">
        <v>7730</v>
      </c>
      <c r="O9" s="45">
        <v>13168.666666666701</v>
      </c>
      <c r="P9" s="16">
        <v>7600</v>
      </c>
      <c r="Q9" s="16">
        <v>79876.666666666701</v>
      </c>
    </row>
    <row r="10" spans="1:17" ht="15" customHeight="1" x14ac:dyDescent="0.2">
      <c r="A10" t="s">
        <v>202</v>
      </c>
      <c r="B10" s="16">
        <v>161700</v>
      </c>
      <c r="C10" s="16">
        <v>155700</v>
      </c>
      <c r="D10" s="16">
        <v>1617</v>
      </c>
      <c r="E10" s="16">
        <v>-6000</v>
      </c>
      <c r="F10" s="16">
        <v>22638</v>
      </c>
      <c r="G10" s="16">
        <v>16170</v>
      </c>
      <c r="H10" s="16">
        <v>-9342</v>
      </c>
      <c r="I10" s="16">
        <v>9702</v>
      </c>
      <c r="J10" s="16">
        <v>24255</v>
      </c>
      <c r="K10" s="16">
        <v>32340</v>
      </c>
      <c r="L10" s="16">
        <v>-3892.5</v>
      </c>
      <c r="M10" s="16">
        <v>56595</v>
      </c>
      <c r="N10" s="16">
        <v>8085</v>
      </c>
      <c r="O10" s="45">
        <v>14139</v>
      </c>
      <c r="P10" s="16">
        <v>7600</v>
      </c>
      <c r="Q10" s="16">
        <v>83545</v>
      </c>
    </row>
    <row r="11" spans="1:17" ht="15" customHeight="1" x14ac:dyDescent="0.2">
      <c r="A11" t="s">
        <v>208</v>
      </c>
      <c r="B11" s="16">
        <v>154900</v>
      </c>
      <c r="C11" s="16">
        <v>148900</v>
      </c>
      <c r="D11" s="16">
        <v>1549</v>
      </c>
      <c r="E11" s="16">
        <v>-6000</v>
      </c>
      <c r="F11" s="16">
        <v>21686</v>
      </c>
      <c r="G11" s="16">
        <v>15490</v>
      </c>
      <c r="H11" s="16">
        <v>-8934</v>
      </c>
      <c r="I11" s="16">
        <v>9294</v>
      </c>
      <c r="J11" s="16">
        <v>23235</v>
      </c>
      <c r="K11" s="16">
        <v>30980</v>
      </c>
      <c r="L11" s="16">
        <v>-3722.5</v>
      </c>
      <c r="M11" s="16">
        <v>54215</v>
      </c>
      <c r="N11" s="16">
        <v>7745</v>
      </c>
      <c r="O11" s="45">
        <v>13209.666666666701</v>
      </c>
      <c r="P11" s="16">
        <v>7600</v>
      </c>
      <c r="Q11" s="16">
        <v>80031.666666666701</v>
      </c>
    </row>
    <row r="12" spans="1:17" ht="15" customHeight="1" x14ac:dyDescent="0.2">
      <c r="A12" s="18" t="s">
        <v>2271</v>
      </c>
      <c r="B12" s="16">
        <v>155700</v>
      </c>
      <c r="C12" s="16">
        <v>149700</v>
      </c>
      <c r="D12" s="16">
        <v>1557</v>
      </c>
      <c r="E12" s="16">
        <v>-6000</v>
      </c>
      <c r="F12" s="16">
        <v>21798</v>
      </c>
      <c r="G12" s="16">
        <v>15570</v>
      </c>
      <c r="H12" s="16">
        <v>-8982</v>
      </c>
      <c r="I12" s="16">
        <v>9342</v>
      </c>
      <c r="J12" s="16">
        <v>23355</v>
      </c>
      <c r="K12" s="16">
        <v>31140</v>
      </c>
      <c r="L12" s="16">
        <v>-3742.5</v>
      </c>
      <c r="M12" s="16">
        <v>54495</v>
      </c>
      <c r="N12" s="16">
        <v>7785</v>
      </c>
      <c r="O12" s="45">
        <v>13319</v>
      </c>
      <c r="P12" s="16">
        <v>7600</v>
      </c>
      <c r="Q12" s="16">
        <v>80445</v>
      </c>
    </row>
    <row r="13" spans="1:17" ht="15" customHeight="1" x14ac:dyDescent="0.2">
      <c r="A13" s="18" t="s">
        <v>2272</v>
      </c>
      <c r="B13" s="16">
        <v>190100</v>
      </c>
      <c r="C13" s="16">
        <v>184100</v>
      </c>
      <c r="D13" s="16">
        <v>1901</v>
      </c>
      <c r="E13" s="16">
        <v>-6000</v>
      </c>
      <c r="F13" s="16">
        <v>26614</v>
      </c>
      <c r="G13" s="16">
        <v>19010</v>
      </c>
      <c r="H13" s="16">
        <v>-11046</v>
      </c>
      <c r="I13" s="16">
        <v>11406</v>
      </c>
      <c r="J13" s="16">
        <v>28515</v>
      </c>
      <c r="K13" s="16">
        <v>38020</v>
      </c>
      <c r="L13" s="16">
        <v>-4602.5</v>
      </c>
      <c r="M13" s="16">
        <v>66535</v>
      </c>
      <c r="N13" s="16">
        <v>9505</v>
      </c>
      <c r="O13" s="45">
        <v>18020.333333333299</v>
      </c>
      <c r="P13" s="16">
        <v>7600</v>
      </c>
      <c r="Q13" s="16">
        <v>98218.333333333299</v>
      </c>
    </row>
    <row r="14" spans="1:17" ht="15" customHeight="1" x14ac:dyDescent="0.2">
      <c r="A14" s="18" t="s">
        <v>2273</v>
      </c>
      <c r="B14" s="16">
        <v>165700</v>
      </c>
      <c r="C14" s="16">
        <v>159700</v>
      </c>
      <c r="D14" s="16">
        <v>1657</v>
      </c>
      <c r="E14" s="16">
        <v>-6000</v>
      </c>
      <c r="F14" s="16">
        <v>23198</v>
      </c>
      <c r="G14" s="16">
        <v>16570</v>
      </c>
      <c r="H14" s="16">
        <v>-9582</v>
      </c>
      <c r="I14" s="16">
        <v>9942</v>
      </c>
      <c r="J14" s="16">
        <v>24855</v>
      </c>
      <c r="K14" s="16">
        <v>33140</v>
      </c>
      <c r="L14" s="16">
        <v>-3992.5</v>
      </c>
      <c r="M14" s="16">
        <v>57995</v>
      </c>
      <c r="N14" s="16">
        <v>8285</v>
      </c>
      <c r="O14" s="45">
        <v>14685.666666666701</v>
      </c>
      <c r="P14" s="16">
        <v>7600</v>
      </c>
      <c r="Q14" s="16">
        <v>85611.666666666701</v>
      </c>
    </row>
    <row r="15" spans="1:17" ht="15" customHeight="1" x14ac:dyDescent="0.2">
      <c r="A15" t="s">
        <v>196</v>
      </c>
      <c r="B15" s="16">
        <v>148400</v>
      </c>
      <c r="C15" s="16">
        <v>148400</v>
      </c>
      <c r="D15" s="16">
        <v>1484</v>
      </c>
      <c r="E15" s="16">
        <v>0</v>
      </c>
      <c r="F15" s="16">
        <v>20776</v>
      </c>
      <c r="G15" s="16">
        <v>14840</v>
      </c>
      <c r="H15" s="16">
        <v>-8904</v>
      </c>
      <c r="I15" s="16">
        <v>8904</v>
      </c>
      <c r="J15" s="16">
        <v>22260</v>
      </c>
      <c r="K15" s="16">
        <v>29680</v>
      </c>
      <c r="L15" s="16">
        <v>-3710</v>
      </c>
      <c r="M15" s="16">
        <v>51940</v>
      </c>
      <c r="N15" s="16">
        <v>7420</v>
      </c>
      <c r="O15" s="45">
        <v>12681.333333333299</v>
      </c>
      <c r="P15" s="16">
        <v>7600</v>
      </c>
      <c r="Q15" s="16">
        <v>76673.333333333299</v>
      </c>
    </row>
    <row r="16" spans="1:17" ht="15" customHeight="1" x14ac:dyDescent="0.2">
      <c r="A16" t="s">
        <v>2274</v>
      </c>
      <c r="B16" s="16">
        <v>168300</v>
      </c>
      <c r="C16" s="16">
        <v>162300</v>
      </c>
      <c r="D16" s="16">
        <v>1683</v>
      </c>
      <c r="E16" s="16">
        <v>-6000</v>
      </c>
      <c r="F16" s="16">
        <v>23562</v>
      </c>
      <c r="G16" s="16">
        <v>16830</v>
      </c>
      <c r="H16" s="16">
        <v>-9738</v>
      </c>
      <c r="I16" s="16">
        <v>10098</v>
      </c>
      <c r="J16" s="16">
        <v>25245</v>
      </c>
      <c r="K16" s="16">
        <v>33660</v>
      </c>
      <c r="L16" s="16">
        <v>-4057.5</v>
      </c>
      <c r="M16" s="16">
        <v>58905</v>
      </c>
      <c r="N16" s="16">
        <v>8415</v>
      </c>
      <c r="O16" s="45">
        <v>15041</v>
      </c>
      <c r="P16" s="16">
        <v>7600</v>
      </c>
      <c r="Q16" s="16">
        <v>86955</v>
      </c>
    </row>
    <row r="17" spans="1:17" ht="15" customHeight="1" x14ac:dyDescent="0.2">
      <c r="A17" t="s">
        <v>217</v>
      </c>
      <c r="B17" s="16">
        <v>123800</v>
      </c>
      <c r="C17" s="16">
        <v>117800</v>
      </c>
      <c r="D17" s="16">
        <v>1238</v>
      </c>
      <c r="E17" s="16">
        <v>-6000</v>
      </c>
      <c r="F17" s="16">
        <v>17332</v>
      </c>
      <c r="G17" s="16">
        <v>12380</v>
      </c>
      <c r="H17" s="16">
        <v>-7068</v>
      </c>
      <c r="I17" s="16">
        <v>7428</v>
      </c>
      <c r="J17" s="16">
        <v>18570</v>
      </c>
      <c r="K17" s="16">
        <v>24760</v>
      </c>
      <c r="L17" s="16">
        <v>-2945</v>
      </c>
      <c r="M17" s="16">
        <v>43330</v>
      </c>
      <c r="N17" s="16">
        <v>6190</v>
      </c>
      <c r="O17" s="45">
        <v>8959.3333333333394</v>
      </c>
      <c r="P17" s="16">
        <v>7600</v>
      </c>
      <c r="Q17" s="16">
        <v>63963.333333333299</v>
      </c>
    </row>
    <row r="18" spans="1:17" ht="15" customHeight="1" x14ac:dyDescent="0.2">
      <c r="A18" t="s">
        <v>194</v>
      </c>
      <c r="B18" s="16">
        <v>161200</v>
      </c>
      <c r="C18" s="16">
        <v>155200</v>
      </c>
      <c r="D18" s="16">
        <v>1612</v>
      </c>
      <c r="E18" s="16">
        <v>-6000</v>
      </c>
      <c r="F18" s="16">
        <v>22568</v>
      </c>
      <c r="G18" s="16">
        <v>16120</v>
      </c>
      <c r="H18" s="16">
        <v>-9312</v>
      </c>
      <c r="I18" s="16">
        <v>9672</v>
      </c>
      <c r="J18" s="16">
        <v>24180</v>
      </c>
      <c r="K18" s="16">
        <v>32240</v>
      </c>
      <c r="L18" s="16">
        <v>-3880</v>
      </c>
      <c r="M18" s="16">
        <v>56420</v>
      </c>
      <c r="N18" s="16">
        <v>8060</v>
      </c>
      <c r="O18" s="45">
        <v>14070.666666666701</v>
      </c>
      <c r="P18" s="16">
        <v>7600</v>
      </c>
      <c r="Q18" s="16">
        <v>83286.666666666701</v>
      </c>
    </row>
    <row r="19" spans="1:17" ht="15" customHeight="1" x14ac:dyDescent="0.2">
      <c r="A19" t="s">
        <v>198</v>
      </c>
      <c r="B19" s="16">
        <v>168900</v>
      </c>
      <c r="C19" s="16">
        <v>162900</v>
      </c>
      <c r="D19" s="16">
        <v>1689</v>
      </c>
      <c r="E19" s="16">
        <v>-6000</v>
      </c>
      <c r="F19" s="16">
        <v>23646</v>
      </c>
      <c r="G19" s="16">
        <v>16890</v>
      </c>
      <c r="H19" s="16">
        <v>-9774</v>
      </c>
      <c r="I19" s="16">
        <v>10134</v>
      </c>
      <c r="J19" s="16">
        <v>25335</v>
      </c>
      <c r="K19" s="16">
        <v>33780</v>
      </c>
      <c r="L19" s="16">
        <v>-4072.5</v>
      </c>
      <c r="M19" s="16">
        <v>59115</v>
      </c>
      <c r="N19" s="16">
        <v>8445</v>
      </c>
      <c r="O19" s="45">
        <v>15123</v>
      </c>
      <c r="P19" s="16">
        <v>7600</v>
      </c>
      <c r="Q19" s="16">
        <v>87265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20"/>
  <sheetViews>
    <sheetView zoomScale="115" zoomScaleNormal="115" workbookViewId="0">
      <selection activeCell="C6" sqref="C6"/>
    </sheetView>
  </sheetViews>
  <sheetFormatPr baseColWidth="10" defaultColWidth="11.5" defaultRowHeight="15" x14ac:dyDescent="0.2"/>
  <cols>
    <col min="1" max="1" width="31.83203125" customWidth="1"/>
    <col min="5" max="5" width="21.83203125" customWidth="1"/>
    <col min="6" max="6" width="11.5" style="7"/>
  </cols>
  <sheetData>
    <row r="2" spans="1:6" ht="15" customHeight="1" x14ac:dyDescent="0.2">
      <c r="A2" s="453" t="s">
        <v>2278</v>
      </c>
      <c r="B2" s="453"/>
      <c r="C2" s="453"/>
      <c r="E2" s="453" t="s">
        <v>2279</v>
      </c>
      <c r="F2" s="453"/>
    </row>
    <row r="3" spans="1:6" ht="15" customHeight="1" x14ac:dyDescent="0.2">
      <c r="A3" s="453"/>
      <c r="B3" s="453"/>
      <c r="C3" s="453"/>
      <c r="E3" s="453"/>
      <c r="F3" s="453"/>
    </row>
    <row r="4" spans="1:6" ht="15" customHeight="1" x14ac:dyDescent="0.2">
      <c r="A4" s="35" t="s">
        <v>171</v>
      </c>
      <c r="B4" s="279">
        <v>0</v>
      </c>
      <c r="E4" s="283"/>
      <c r="F4" s="283"/>
    </row>
    <row r="5" spans="1:6" ht="15" customHeight="1" x14ac:dyDescent="0.2">
      <c r="A5" s="35" t="s">
        <v>2280</v>
      </c>
      <c r="B5" s="279">
        <v>0.05</v>
      </c>
      <c r="E5" t="s">
        <v>213</v>
      </c>
      <c r="F5" s="7">
        <v>0.1</v>
      </c>
    </row>
    <row r="6" spans="1:6" ht="15" customHeight="1" x14ac:dyDescent="0.2">
      <c r="A6" s="284" t="s">
        <v>2281</v>
      </c>
      <c r="C6" s="285">
        <v>0.05</v>
      </c>
      <c r="E6" t="s">
        <v>2282</v>
      </c>
      <c r="F6" s="7">
        <v>0.2</v>
      </c>
    </row>
    <row r="7" spans="1:6" ht="15" customHeight="1" x14ac:dyDescent="0.2">
      <c r="A7" s="284" t="s">
        <v>2283</v>
      </c>
      <c r="C7" s="285">
        <v>0.05</v>
      </c>
      <c r="E7" t="s">
        <v>219</v>
      </c>
      <c r="F7" s="7">
        <v>0.4</v>
      </c>
    </row>
    <row r="8" spans="1:6" ht="15" customHeight="1" x14ac:dyDescent="0.2">
      <c r="A8" s="284" t="s">
        <v>2284</v>
      </c>
      <c r="C8" s="285">
        <v>0.05</v>
      </c>
      <c r="E8" t="s">
        <v>221</v>
      </c>
      <c r="F8" s="7">
        <v>0.6</v>
      </c>
    </row>
    <row r="9" spans="1:6" ht="15" customHeight="1" x14ac:dyDescent="0.2">
      <c r="A9" s="284" t="s">
        <v>2285</v>
      </c>
      <c r="C9" s="285">
        <v>0.05</v>
      </c>
      <c r="E9" t="s">
        <v>220</v>
      </c>
      <c r="F9" s="7">
        <v>0.8</v>
      </c>
    </row>
    <row r="10" spans="1:6" ht="15" customHeight="1" x14ac:dyDescent="0.2">
      <c r="A10" s="35" t="s">
        <v>138</v>
      </c>
      <c r="B10" s="279">
        <v>0.25</v>
      </c>
      <c r="E10" t="s">
        <v>2286</v>
      </c>
      <c r="F10" s="7">
        <v>0.95</v>
      </c>
    </row>
    <row r="11" spans="1:6" ht="15" customHeight="1" x14ac:dyDescent="0.2">
      <c r="A11" s="35" t="s">
        <v>2282</v>
      </c>
      <c r="B11" s="286">
        <v>0.4</v>
      </c>
      <c r="E11" t="s">
        <v>224</v>
      </c>
      <c r="F11" s="7">
        <v>1</v>
      </c>
    </row>
    <row r="12" spans="1:6" ht="15" customHeight="1" x14ac:dyDescent="0.2">
      <c r="A12" s="35" t="s">
        <v>2287</v>
      </c>
      <c r="B12" s="286">
        <v>0.4</v>
      </c>
    </row>
    <row r="13" spans="1:6" ht="15" customHeight="1" x14ac:dyDescent="0.2">
      <c r="A13" s="35" t="s">
        <v>186</v>
      </c>
      <c r="B13" s="286">
        <v>0.4</v>
      </c>
    </row>
    <row r="14" spans="1:6" ht="15" customHeight="1" x14ac:dyDescent="0.2">
      <c r="A14" s="35" t="s">
        <v>159</v>
      </c>
      <c r="B14" s="279">
        <v>0.6</v>
      </c>
    </row>
    <row r="15" spans="1:6" ht="15" customHeight="1" x14ac:dyDescent="0.2">
      <c r="A15" s="35" t="s">
        <v>151</v>
      </c>
      <c r="B15" s="279">
        <v>0.8</v>
      </c>
    </row>
    <row r="16" spans="1:6" ht="15" customHeight="1" x14ac:dyDescent="0.2">
      <c r="A16" s="35" t="s">
        <v>164</v>
      </c>
      <c r="B16" s="279">
        <v>0.95</v>
      </c>
    </row>
    <row r="17" spans="1:2" ht="15" customHeight="1" x14ac:dyDescent="0.2">
      <c r="A17" s="35" t="s">
        <v>154</v>
      </c>
      <c r="B17" s="279">
        <v>1</v>
      </c>
    </row>
    <row r="19" spans="1:2" ht="15" customHeight="1" x14ac:dyDescent="0.2">
      <c r="A19" s="35" t="s">
        <v>193</v>
      </c>
    </row>
    <row r="20" spans="1:2" ht="15" customHeight="1" x14ac:dyDescent="0.2">
      <c r="A20" s="35" t="s">
        <v>137</v>
      </c>
    </row>
  </sheetData>
  <mergeCells count="2">
    <mergeCell ref="A2:C3"/>
    <mergeCell ref="E2:F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"/>
  <sheetViews>
    <sheetView zoomScaleNormal="100" workbookViewId="0">
      <selection activeCell="C6" sqref="C6"/>
    </sheetView>
  </sheetViews>
  <sheetFormatPr baseColWidth="10" defaultColWidth="10.6640625" defaultRowHeight="15" x14ac:dyDescent="0.2"/>
  <cols>
    <col min="1" max="1" width="20.1640625" customWidth="1"/>
  </cols>
  <sheetData>
    <row r="1" spans="1:6" ht="15" customHeight="1" x14ac:dyDescent="0.2">
      <c r="B1" s="287">
        <v>2023</v>
      </c>
      <c r="C1" s="287">
        <v>2024</v>
      </c>
      <c r="D1" s="287">
        <v>2025</v>
      </c>
      <c r="E1" s="287">
        <v>2026</v>
      </c>
      <c r="F1" s="287">
        <v>2027</v>
      </c>
    </row>
    <row r="2" spans="1:6" ht="15" customHeight="1" x14ac:dyDescent="0.2">
      <c r="B2" s="288"/>
      <c r="C2" s="288"/>
      <c r="D2" s="288"/>
      <c r="E2" s="288"/>
      <c r="F2" s="288"/>
    </row>
    <row r="3" spans="1:6" ht="15" customHeight="1" x14ac:dyDescent="0.2">
      <c r="A3" t="s">
        <v>2288</v>
      </c>
      <c r="B3" s="16">
        <v>25</v>
      </c>
      <c r="C3" s="16">
        <v>25</v>
      </c>
      <c r="D3" s="16">
        <v>25</v>
      </c>
      <c r="E3" s="16">
        <v>25</v>
      </c>
      <c r="F3" s="16">
        <v>25</v>
      </c>
    </row>
    <row r="4" spans="1:6" ht="15" customHeight="1" x14ac:dyDescent="0.2">
      <c r="A4" t="s">
        <v>2289</v>
      </c>
      <c r="B4" s="16"/>
      <c r="C4" s="16"/>
      <c r="D4" s="16">
        <v>2.5</v>
      </c>
      <c r="E4" s="16">
        <f>+D4</f>
        <v>2.5</v>
      </c>
      <c r="F4" s="16">
        <f>+E4</f>
        <v>2.5</v>
      </c>
    </row>
    <row r="5" spans="1:6" ht="15" customHeight="1" x14ac:dyDescent="0.2">
      <c r="A5" t="s">
        <v>2290</v>
      </c>
      <c r="B5" s="16"/>
      <c r="C5" s="16">
        <f>+B5+B6</f>
        <v>-54</v>
      </c>
      <c r="D5" s="16" t="e">
        <f>+C5+C6-D4-D10</f>
        <v>#REF!</v>
      </c>
      <c r="E5" s="16" t="e">
        <f>+D6+D5-E10</f>
        <v>#REF!</v>
      </c>
      <c r="F5" s="16" t="e">
        <f>+E6+E5-F10</f>
        <v>#REF!</v>
      </c>
    </row>
    <row r="6" spans="1:6" ht="15" customHeight="1" x14ac:dyDescent="0.2">
      <c r="A6" t="s">
        <v>2291</v>
      </c>
      <c r="B6" s="16">
        <v>-54</v>
      </c>
      <c r="C6" s="16" t="e">
        <f>+'Projection P&amp;L'!#REF!</f>
        <v>#REF!</v>
      </c>
      <c r="D6" s="16" t="e">
        <f>+'Projection P&amp;L'!#REF!</f>
        <v>#REF!</v>
      </c>
      <c r="E6" s="16">
        <f>+'Projection P&amp;L'!C41</f>
        <v>38.018100585613823</v>
      </c>
      <c r="F6" s="16">
        <f>+'Projection P&amp;L'!D41</f>
        <v>61.025000000000034</v>
      </c>
    </row>
    <row r="7" spans="1:6" ht="15" customHeight="1" x14ac:dyDescent="0.2">
      <c r="B7" s="16"/>
      <c r="C7" s="16"/>
      <c r="D7" s="16"/>
      <c r="E7" s="16"/>
      <c r="F7" s="16"/>
    </row>
    <row r="8" spans="1:6" ht="15" customHeight="1" x14ac:dyDescent="0.2">
      <c r="A8" s="35" t="s">
        <v>2292</v>
      </c>
      <c r="B8" s="45">
        <f>+B3+B4+B5+B6</f>
        <v>-29</v>
      </c>
      <c r="C8" s="45" t="e">
        <f>+C3+C4+C5+C6</f>
        <v>#REF!</v>
      </c>
      <c r="D8" s="45" t="e">
        <f>+D3+D4+D5+D6</f>
        <v>#REF!</v>
      </c>
      <c r="E8" s="45" t="e">
        <f>+E3+E4+E5+E6</f>
        <v>#REF!</v>
      </c>
      <c r="F8" s="45" t="e">
        <f>+F3+F4+F5+F6</f>
        <v>#REF!</v>
      </c>
    </row>
    <row r="10" spans="1:6" ht="15" customHeight="1" x14ac:dyDescent="0.2">
      <c r="A10" t="s">
        <v>2293</v>
      </c>
      <c r="D10" s="14"/>
      <c r="E10" s="14"/>
      <c r="F10" s="1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39"/>
  <sheetViews>
    <sheetView zoomScaleNormal="100" workbookViewId="0">
      <pane xSplit="5" ySplit="2" topLeftCell="AH3" activePane="bottomRight" state="frozen"/>
      <selection pane="topRight" activeCell="AH1" sqref="AH1"/>
      <selection pane="bottomLeft" activeCell="A3" sqref="A3"/>
      <selection pane="bottomRight" activeCell="D28" sqref="D28"/>
    </sheetView>
  </sheetViews>
  <sheetFormatPr baseColWidth="10" defaultColWidth="8.83203125" defaultRowHeight="15" x14ac:dyDescent="0.2"/>
  <cols>
    <col min="1" max="1" width="4.33203125" customWidth="1"/>
    <col min="2" max="2" width="19.1640625" customWidth="1"/>
    <col min="3" max="3" width="6.1640625" customWidth="1"/>
    <col min="4" max="4" width="59.33203125" customWidth="1"/>
    <col min="5" max="5" width="12.1640625" style="288" customWidth="1"/>
    <col min="6" max="6" width="30.5" customWidth="1"/>
    <col min="7" max="7" width="19.1640625" customWidth="1"/>
    <col min="8" max="8" width="29.1640625" customWidth="1"/>
    <col min="9" max="11" width="20.1640625" customWidth="1"/>
    <col min="12" max="13" width="11.83203125" customWidth="1"/>
    <col min="14" max="14" width="20.83203125" customWidth="1"/>
    <col min="15" max="15" width="22.1640625" style="288" customWidth="1"/>
    <col min="16" max="16" width="15.5" style="288" customWidth="1"/>
    <col min="17" max="17" width="19.1640625" style="288" customWidth="1"/>
    <col min="18" max="18" width="15.5" style="288" customWidth="1"/>
    <col min="19" max="20" width="12.83203125" style="288" customWidth="1"/>
    <col min="21" max="21" width="29.1640625" style="288" customWidth="1"/>
    <col min="22" max="22" width="17.6640625" customWidth="1"/>
    <col min="23" max="23" width="4.33203125" customWidth="1"/>
    <col min="24" max="24" width="14.33203125" style="16" customWidth="1"/>
    <col min="25" max="26" width="16.83203125" style="16" customWidth="1"/>
    <col min="27" max="27" width="22.6640625" style="16" customWidth="1"/>
    <col min="28" max="28" width="20.1640625" style="16" customWidth="1"/>
    <col min="29" max="29" width="28.83203125" style="16" customWidth="1"/>
    <col min="30" max="30" width="24.5" style="16" customWidth="1"/>
    <col min="31" max="32" width="20.5" style="16" customWidth="1"/>
    <col min="33" max="40" width="19.83203125" style="16" customWidth="1"/>
    <col min="41" max="41" width="25.5" style="16" customWidth="1"/>
    <col min="42" max="42" width="16.33203125" style="16" customWidth="1"/>
    <col min="43" max="43" width="13" style="16" customWidth="1"/>
    <col min="44" max="45" width="12.83203125" style="16" customWidth="1"/>
    <col min="46" max="46" width="10.5" style="16" customWidth="1"/>
    <col min="47" max="47" width="10.6640625" style="16" customWidth="1"/>
    <col min="48" max="48" width="13" style="16" customWidth="1"/>
    <col min="49" max="49" width="10.5" style="16" customWidth="1"/>
    <col min="50" max="50" width="10.83203125" style="16" customWidth="1"/>
    <col min="51" max="51" width="11.83203125" style="16" customWidth="1"/>
    <col min="52" max="52" width="11.1640625" style="16" customWidth="1"/>
    <col min="53" max="53" width="9.33203125" style="16" customWidth="1"/>
    <col min="54" max="54" width="10.33203125" style="16" customWidth="1"/>
    <col min="55" max="56" width="12.33203125" customWidth="1"/>
    <col min="57" max="57" width="12.5" customWidth="1"/>
  </cols>
  <sheetData>
    <row r="1" spans="1:57" s="35" customFormat="1" ht="16.5" customHeight="1" x14ac:dyDescent="0.2">
      <c r="E1" s="280"/>
      <c r="F1" s="460" t="s">
        <v>2294</v>
      </c>
      <c r="G1" s="460"/>
      <c r="H1" s="460"/>
      <c r="I1" s="460"/>
      <c r="J1" s="460"/>
      <c r="K1" s="460"/>
      <c r="L1" s="460"/>
      <c r="M1" s="460"/>
      <c r="N1" s="460"/>
      <c r="O1" s="461" t="s">
        <v>2295</v>
      </c>
      <c r="P1" s="461"/>
      <c r="Q1" s="461"/>
      <c r="R1" s="461"/>
      <c r="S1" s="461"/>
      <c r="T1" s="461"/>
      <c r="U1" s="280"/>
      <c r="X1" s="462" t="s">
        <v>75</v>
      </c>
      <c r="Y1" s="462"/>
      <c r="Z1" s="462"/>
      <c r="AA1" s="463" t="s">
        <v>76</v>
      </c>
      <c r="AB1" s="463"/>
      <c r="AC1" s="463"/>
      <c r="AD1" s="463"/>
      <c r="AE1" s="463"/>
      <c r="AF1" s="463"/>
      <c r="AG1" s="463"/>
      <c r="AH1" s="457" t="s">
        <v>77</v>
      </c>
      <c r="AI1" s="457"/>
      <c r="AJ1" s="457"/>
      <c r="AK1" s="457" t="s">
        <v>78</v>
      </c>
      <c r="AL1" s="457"/>
      <c r="AM1" s="457"/>
      <c r="AN1" s="457" t="s">
        <v>80</v>
      </c>
      <c r="AO1" s="457"/>
      <c r="AP1" s="458" t="s">
        <v>81</v>
      </c>
      <c r="AQ1" s="457" t="s">
        <v>82</v>
      </c>
      <c r="AR1" s="457"/>
      <c r="AS1" s="457"/>
      <c r="AT1" s="457"/>
      <c r="AU1" s="457"/>
      <c r="AV1" s="457"/>
      <c r="AW1" s="457"/>
      <c r="AX1" s="457"/>
      <c r="AY1" s="457"/>
      <c r="AZ1" s="457"/>
      <c r="BA1" s="457"/>
      <c r="BB1" s="457"/>
      <c r="BC1" s="457"/>
      <c r="BD1" s="457"/>
      <c r="BE1" s="457"/>
    </row>
    <row r="2" spans="1:57" s="316" customFormat="1" ht="52.5" customHeight="1" x14ac:dyDescent="0.2">
      <c r="A2" s="289"/>
      <c r="B2" s="459" t="s">
        <v>83</v>
      </c>
      <c r="C2" s="459"/>
      <c r="D2" s="291" t="s">
        <v>84</v>
      </c>
      <c r="E2" s="292" t="s">
        <v>85</v>
      </c>
      <c r="F2" s="293" t="s">
        <v>88</v>
      </c>
      <c r="G2" s="290" t="s">
        <v>89</v>
      </c>
      <c r="H2" s="290" t="s">
        <v>90</v>
      </c>
      <c r="I2" s="290" t="s">
        <v>91</v>
      </c>
      <c r="J2" s="290" t="s">
        <v>167</v>
      </c>
      <c r="K2" s="290" t="s">
        <v>93</v>
      </c>
      <c r="L2" s="290" t="s">
        <v>94</v>
      </c>
      <c r="M2" s="290" t="s">
        <v>210</v>
      </c>
      <c r="N2" s="294" t="s">
        <v>96</v>
      </c>
      <c r="O2" s="295" t="s">
        <v>2254</v>
      </c>
      <c r="P2" s="290" t="s">
        <v>98</v>
      </c>
      <c r="Q2" s="290" t="s">
        <v>99</v>
      </c>
      <c r="R2" s="290" t="s">
        <v>94</v>
      </c>
      <c r="S2" s="290" t="s">
        <v>2296</v>
      </c>
      <c r="T2" s="294" t="s">
        <v>96</v>
      </c>
      <c r="U2" s="290" t="s">
        <v>86</v>
      </c>
      <c r="V2" s="290" t="s">
        <v>2297</v>
      </c>
      <c r="W2" s="289"/>
      <c r="X2" s="296" t="s">
        <v>101</v>
      </c>
      <c r="Y2" s="297" t="s">
        <v>103</v>
      </c>
      <c r="Z2" s="298" t="s">
        <v>104</v>
      </c>
      <c r="AA2" s="299" t="s">
        <v>105</v>
      </c>
      <c r="AB2" s="300" t="s">
        <v>106</v>
      </c>
      <c r="AC2" s="300" t="s">
        <v>107</v>
      </c>
      <c r="AD2" s="300" t="s">
        <v>108</v>
      </c>
      <c r="AE2" s="300" t="s">
        <v>109</v>
      </c>
      <c r="AF2" s="300" t="s">
        <v>110</v>
      </c>
      <c r="AG2" s="300" t="s">
        <v>2298</v>
      </c>
      <c r="AH2" s="301" t="s">
        <v>112</v>
      </c>
      <c r="AI2" s="302" t="s">
        <v>113</v>
      </c>
      <c r="AJ2" s="303" t="s">
        <v>2299</v>
      </c>
      <c r="AK2" s="301" t="s">
        <v>115</v>
      </c>
      <c r="AL2" s="302" t="s">
        <v>116</v>
      </c>
      <c r="AM2" s="303" t="s">
        <v>2300</v>
      </c>
      <c r="AN2" s="301" t="s">
        <v>2301</v>
      </c>
      <c r="AO2" s="303" t="s">
        <v>2302</v>
      </c>
      <c r="AP2" s="458"/>
      <c r="AQ2" s="304" t="s">
        <v>121</v>
      </c>
      <c r="AR2" s="305" t="s">
        <v>122</v>
      </c>
      <c r="AS2" s="306" t="s">
        <v>123</v>
      </c>
      <c r="AT2" s="307" t="s">
        <v>124</v>
      </c>
      <c r="AU2" s="308" t="s">
        <v>125</v>
      </c>
      <c r="AV2" s="309" t="s">
        <v>126</v>
      </c>
      <c r="AW2" s="310" t="s">
        <v>127</v>
      </c>
      <c r="AX2" s="311" t="s">
        <v>128</v>
      </c>
      <c r="AY2" s="312" t="s">
        <v>129</v>
      </c>
      <c r="AZ2" s="304" t="s">
        <v>130</v>
      </c>
      <c r="BA2" s="305" t="s">
        <v>131</v>
      </c>
      <c r="BB2" s="306" t="s">
        <v>132</v>
      </c>
      <c r="BC2" s="313" t="s">
        <v>133</v>
      </c>
      <c r="BD2" s="314" t="s">
        <v>134</v>
      </c>
      <c r="BE2" s="315" t="s">
        <v>135</v>
      </c>
    </row>
    <row r="3" spans="1:57" ht="16.5" customHeight="1" x14ac:dyDescent="0.2">
      <c r="A3" s="317"/>
      <c r="B3" s="455" t="s">
        <v>2303</v>
      </c>
      <c r="C3" s="455"/>
      <c r="D3" s="318" t="s">
        <v>2304</v>
      </c>
      <c r="E3" s="319" t="s">
        <v>137</v>
      </c>
      <c r="F3" s="320">
        <f>135500/1.2</f>
        <v>112916.66666666667</v>
      </c>
      <c r="G3" s="321">
        <v>5000</v>
      </c>
      <c r="H3" s="321">
        <f t="shared" ref="H3:H11" si="0">F3+G3-I3</f>
        <v>112916.66666666667</v>
      </c>
      <c r="I3" s="321">
        <v>5000</v>
      </c>
      <c r="J3" s="321">
        <f t="shared" ref="J3:J11" si="1">H3*0.06</f>
        <v>6775</v>
      </c>
      <c r="K3" s="321">
        <f t="shared" ref="K3:K11" si="2">H3*0.025</f>
        <v>2822.916666666667</v>
      </c>
      <c r="L3" s="321">
        <v>7600.15</v>
      </c>
      <c r="M3" s="321">
        <f t="shared" ref="M3:M11" si="3">0.6*(F3+G3)</f>
        <v>70750</v>
      </c>
      <c r="N3" s="322"/>
      <c r="O3" s="323"/>
      <c r="P3" s="324"/>
      <c r="Q3" s="324"/>
      <c r="R3" s="325"/>
      <c r="S3" s="324"/>
      <c r="T3" s="324"/>
      <c r="U3" s="324" t="s">
        <v>2305</v>
      </c>
      <c r="V3" s="326">
        <v>0.2</v>
      </c>
      <c r="W3" s="317"/>
      <c r="X3" s="327">
        <f t="shared" ref="X3:X11" si="4">IF(E3="oui","",(H3+I3)*V3)</f>
        <v>23583.333333333336</v>
      </c>
      <c r="Y3" s="16">
        <f t="shared" ref="Y3:Y11" si="5">IF(O3="",0,(1-V3)*O3)</f>
        <v>0</v>
      </c>
      <c r="Z3" s="328">
        <f t="shared" ref="Z3:Z11" si="6">IF(O3="",I3*(V3),0)</f>
        <v>1000</v>
      </c>
      <c r="AA3" s="327">
        <f t="shared" ref="AA3:AA11" si="7">IF(P3="",+H3*6%*V3,0)</f>
        <v>1355</v>
      </c>
      <c r="AB3" s="16">
        <f t="shared" ref="AB3:AB11" si="8">IF(P3="",0,P3*(1-V3))</f>
        <v>0</v>
      </c>
      <c r="AC3" s="16">
        <f t="shared" ref="AC3:AC11" si="9">IF(Q3="",+H3*2.5%*V3,0)</f>
        <v>564.58333333333337</v>
      </c>
      <c r="AD3" s="16">
        <f t="shared" ref="AD3:AD11" si="10">IF(Q3="",0,Q3*(1-V3))</f>
        <v>0</v>
      </c>
      <c r="AE3" s="16">
        <f t="shared" ref="AE3:AE11" si="11">IF(R3="",+L3*V3,(1-V3)*R3)</f>
        <v>1520.03</v>
      </c>
      <c r="AF3" s="16">
        <f t="shared" ref="AF3:AF11" si="12">IF(S3="",M3*V3,S3*V3)</f>
        <v>14150</v>
      </c>
      <c r="AG3" s="16">
        <f t="shared" ref="AG3:AG11" si="13">IF(T3="",0,T3*(1-V3))</f>
        <v>0</v>
      </c>
      <c r="AH3" s="327">
        <f t="shared" ref="AH3:AH11" si="14">+H3-J3-K3-L3-M3-N3</f>
        <v>24968.600000000006</v>
      </c>
      <c r="AI3" s="16">
        <v>0</v>
      </c>
      <c r="AJ3" s="328">
        <f t="shared" ref="AJ3:AJ11" si="15">AH3*V3-AI3</f>
        <v>4993.7200000000012</v>
      </c>
      <c r="AK3" s="327">
        <f t="shared" ref="AK3:AK11" si="16">H3</f>
        <v>112916.66666666667</v>
      </c>
      <c r="AL3" s="16">
        <v>0</v>
      </c>
      <c r="AM3" s="328">
        <f t="shared" ref="AM3:AM11" si="17">AK3*V3-AL3</f>
        <v>22583.333333333336</v>
      </c>
      <c r="AN3" s="327">
        <f t="shared" ref="AN3:AN11" si="18">AK3-AL3-AM3</f>
        <v>90333.333333333343</v>
      </c>
      <c r="AO3" s="328">
        <f t="shared" ref="AO3:AO11" si="19">AH3-AI3-AJ3</f>
        <v>19974.880000000005</v>
      </c>
      <c r="AP3" s="7">
        <f t="shared" ref="AP3:AP11" si="20">+AH3/AK3</f>
        <v>0.22112413284132845</v>
      </c>
      <c r="AQ3" s="327">
        <f t="shared" ref="AQ3:AQ11" si="21">IF(S3="",M3*V3,S3*V3)</f>
        <v>14150</v>
      </c>
      <c r="AS3" s="329">
        <f t="shared" ref="AS3:AS11" si="22">+AQ3-AR3</f>
        <v>14150</v>
      </c>
      <c r="AT3" s="327">
        <f t="shared" ref="AT3:AT11" si="23">+L3*V3</f>
        <v>1520.03</v>
      </c>
      <c r="AV3" s="328">
        <f t="shared" ref="AV3:AV11" si="24">+AT3-AU3</f>
        <v>1520.03</v>
      </c>
      <c r="AW3" s="327">
        <f t="shared" ref="AW3:AW11" si="25">IF(P3="",J3*V3,P3*V3)</f>
        <v>1355</v>
      </c>
      <c r="AY3" s="328">
        <f t="shared" ref="AY3:AY11" si="26">+AW3-AX3</f>
        <v>1355</v>
      </c>
      <c r="AZ3" s="327">
        <f t="shared" ref="AZ3:AZ11" si="27">IF(Q3="",K3*V3,Q3*V3)</f>
        <v>564.58333333333337</v>
      </c>
      <c r="BB3" s="328">
        <f t="shared" ref="BB3:BB11" si="28">+AZ3-BA3</f>
        <v>564.58333333333337</v>
      </c>
      <c r="BC3" s="327">
        <f t="shared" ref="BC3:BC11" si="29">+V3*N3</f>
        <v>0</v>
      </c>
      <c r="BD3" s="16"/>
      <c r="BE3" s="328"/>
    </row>
    <row r="4" spans="1:57" ht="15.75" customHeight="1" x14ac:dyDescent="0.2">
      <c r="A4" s="317"/>
      <c r="B4" s="456"/>
      <c r="C4" s="456"/>
      <c r="D4" s="318" t="s">
        <v>2306</v>
      </c>
      <c r="E4" s="319" t="s">
        <v>137</v>
      </c>
      <c r="F4" s="320">
        <f>146500/1.2</f>
        <v>122083.33333333334</v>
      </c>
      <c r="G4" s="321">
        <v>5000</v>
      </c>
      <c r="H4" s="321">
        <f t="shared" si="0"/>
        <v>122083.33333333334</v>
      </c>
      <c r="I4" s="321">
        <v>5000</v>
      </c>
      <c r="J4" s="321">
        <f t="shared" si="1"/>
        <v>7325</v>
      </c>
      <c r="K4" s="321">
        <f t="shared" si="2"/>
        <v>3052.0833333333339</v>
      </c>
      <c r="L4" s="321">
        <v>7600.15</v>
      </c>
      <c r="M4" s="321">
        <f t="shared" si="3"/>
        <v>76250</v>
      </c>
      <c r="N4" s="322"/>
      <c r="O4" s="323"/>
      <c r="P4" s="324"/>
      <c r="Q4" s="324"/>
      <c r="R4" s="325"/>
      <c r="S4" s="324"/>
      <c r="T4" s="324"/>
      <c r="U4" s="324" t="s">
        <v>2305</v>
      </c>
      <c r="V4" s="326">
        <v>0.1</v>
      </c>
      <c r="W4" s="317"/>
      <c r="X4" s="327">
        <f t="shared" si="4"/>
        <v>12708.333333333336</v>
      </c>
      <c r="Y4" s="16">
        <f t="shared" si="5"/>
        <v>0</v>
      </c>
      <c r="Z4" s="328">
        <f t="shared" si="6"/>
        <v>500</v>
      </c>
      <c r="AA4" s="327">
        <f t="shared" si="7"/>
        <v>732.5</v>
      </c>
      <c r="AB4" s="16">
        <f t="shared" si="8"/>
        <v>0</v>
      </c>
      <c r="AC4" s="16">
        <f t="shared" si="9"/>
        <v>305.20833333333343</v>
      </c>
      <c r="AD4" s="16">
        <f t="shared" si="10"/>
        <v>0</v>
      </c>
      <c r="AE4" s="16">
        <f t="shared" si="11"/>
        <v>760.01499999999999</v>
      </c>
      <c r="AF4" s="16">
        <f t="shared" si="12"/>
        <v>7625</v>
      </c>
      <c r="AG4" s="16">
        <f t="shared" si="13"/>
        <v>0</v>
      </c>
      <c r="AH4" s="327">
        <f t="shared" si="14"/>
        <v>27856.10000000002</v>
      </c>
      <c r="AI4" s="16">
        <v>0</v>
      </c>
      <c r="AJ4" s="328">
        <f t="shared" si="15"/>
        <v>2785.6100000000024</v>
      </c>
      <c r="AK4" s="327">
        <f t="shared" si="16"/>
        <v>122083.33333333334</v>
      </c>
      <c r="AL4" s="16">
        <v>0</v>
      </c>
      <c r="AM4" s="328">
        <f t="shared" si="17"/>
        <v>12208.333333333336</v>
      </c>
      <c r="AN4" s="327">
        <f t="shared" si="18"/>
        <v>109875</v>
      </c>
      <c r="AO4" s="328">
        <f t="shared" si="19"/>
        <v>25070.49000000002</v>
      </c>
      <c r="AP4" s="7">
        <f t="shared" si="20"/>
        <v>0.22817283276450526</v>
      </c>
      <c r="AQ4" s="327">
        <f t="shared" si="21"/>
        <v>7625</v>
      </c>
      <c r="AS4" s="329">
        <f t="shared" si="22"/>
        <v>7625</v>
      </c>
      <c r="AT4" s="327">
        <f t="shared" si="23"/>
        <v>760.01499999999999</v>
      </c>
      <c r="AV4" s="328">
        <f t="shared" si="24"/>
        <v>760.01499999999999</v>
      </c>
      <c r="AW4" s="327">
        <f t="shared" si="25"/>
        <v>732.5</v>
      </c>
      <c r="AY4" s="328">
        <f t="shared" si="26"/>
        <v>732.5</v>
      </c>
      <c r="AZ4" s="327">
        <f t="shared" si="27"/>
        <v>305.20833333333343</v>
      </c>
      <c r="BB4" s="328">
        <f t="shared" si="28"/>
        <v>305.20833333333343</v>
      </c>
      <c r="BC4" s="327">
        <f t="shared" si="29"/>
        <v>0</v>
      </c>
      <c r="BD4" s="16"/>
      <c r="BE4" s="328"/>
    </row>
    <row r="5" spans="1:57" ht="15.75" customHeight="1" x14ac:dyDescent="0.2">
      <c r="A5" s="317"/>
      <c r="B5" s="456"/>
      <c r="C5" s="456"/>
      <c r="D5" s="318" t="s">
        <v>2307</v>
      </c>
      <c r="E5" s="319" t="s">
        <v>137</v>
      </c>
      <c r="F5" s="320">
        <f>132800/1.2</f>
        <v>110666.66666666667</v>
      </c>
      <c r="G5" s="321">
        <v>5000</v>
      </c>
      <c r="H5" s="321">
        <f t="shared" si="0"/>
        <v>110666.66666666667</v>
      </c>
      <c r="I5" s="321">
        <v>5000</v>
      </c>
      <c r="J5" s="321">
        <f t="shared" si="1"/>
        <v>6640</v>
      </c>
      <c r="K5" s="321">
        <f t="shared" si="2"/>
        <v>2766.666666666667</v>
      </c>
      <c r="L5" s="321">
        <v>7600.15</v>
      </c>
      <c r="M5" s="321">
        <f t="shared" si="3"/>
        <v>69400</v>
      </c>
      <c r="N5" s="322"/>
      <c r="O5" s="323"/>
      <c r="P5" s="324"/>
      <c r="Q5" s="324"/>
      <c r="R5" s="325"/>
      <c r="S5" s="324"/>
      <c r="T5" s="324"/>
      <c r="U5" s="324" t="s">
        <v>2305</v>
      </c>
      <c r="V5" s="326">
        <v>0.1</v>
      </c>
      <c r="W5" s="317"/>
      <c r="X5" s="327">
        <f t="shared" si="4"/>
        <v>11566.666666666668</v>
      </c>
      <c r="Y5" s="16">
        <f t="shared" si="5"/>
        <v>0</v>
      </c>
      <c r="Z5" s="328">
        <f t="shared" si="6"/>
        <v>500</v>
      </c>
      <c r="AA5" s="327">
        <f t="shared" si="7"/>
        <v>664</v>
      </c>
      <c r="AB5" s="16">
        <f t="shared" si="8"/>
        <v>0</v>
      </c>
      <c r="AC5" s="16">
        <f t="shared" si="9"/>
        <v>276.66666666666669</v>
      </c>
      <c r="AD5" s="16">
        <f t="shared" si="10"/>
        <v>0</v>
      </c>
      <c r="AE5" s="16">
        <f t="shared" si="11"/>
        <v>760.01499999999999</v>
      </c>
      <c r="AF5" s="16">
        <f t="shared" si="12"/>
        <v>6940</v>
      </c>
      <c r="AG5" s="16">
        <f t="shared" si="13"/>
        <v>0</v>
      </c>
      <c r="AH5" s="327">
        <f t="shared" si="14"/>
        <v>24259.850000000006</v>
      </c>
      <c r="AI5" s="16">
        <v>0</v>
      </c>
      <c r="AJ5" s="328">
        <f t="shared" si="15"/>
        <v>2425.9850000000006</v>
      </c>
      <c r="AK5" s="327">
        <f t="shared" si="16"/>
        <v>110666.66666666667</v>
      </c>
      <c r="AL5" s="16">
        <v>0</v>
      </c>
      <c r="AM5" s="328">
        <f t="shared" si="17"/>
        <v>11066.666666666668</v>
      </c>
      <c r="AN5" s="327">
        <f t="shared" si="18"/>
        <v>99600</v>
      </c>
      <c r="AO5" s="328">
        <f t="shared" si="19"/>
        <v>21833.865000000005</v>
      </c>
      <c r="AP5" s="7">
        <f t="shared" si="20"/>
        <v>0.21921551204819281</v>
      </c>
      <c r="AQ5" s="327">
        <f t="shared" si="21"/>
        <v>6940</v>
      </c>
      <c r="AS5" s="329">
        <f t="shared" si="22"/>
        <v>6940</v>
      </c>
      <c r="AT5" s="327">
        <f t="shared" si="23"/>
        <v>760.01499999999999</v>
      </c>
      <c r="AV5" s="328">
        <f t="shared" si="24"/>
        <v>760.01499999999999</v>
      </c>
      <c r="AW5" s="327">
        <f t="shared" si="25"/>
        <v>664</v>
      </c>
      <c r="AY5" s="328">
        <f t="shared" si="26"/>
        <v>664</v>
      </c>
      <c r="AZ5" s="327">
        <f t="shared" si="27"/>
        <v>276.66666666666669</v>
      </c>
      <c r="BB5" s="328">
        <f t="shared" si="28"/>
        <v>276.66666666666669</v>
      </c>
      <c r="BC5" s="327">
        <f t="shared" si="29"/>
        <v>0</v>
      </c>
      <c r="BD5" s="16"/>
      <c r="BE5" s="328"/>
    </row>
    <row r="6" spans="1:57" ht="15.75" customHeight="1" x14ac:dyDescent="0.2">
      <c r="A6" s="317"/>
      <c r="B6" s="456"/>
      <c r="C6" s="456"/>
      <c r="D6" s="318" t="s">
        <v>2308</v>
      </c>
      <c r="E6" s="319" t="s">
        <v>137</v>
      </c>
      <c r="F6" s="320">
        <f>135800/1.2</f>
        <v>113166.66666666667</v>
      </c>
      <c r="G6" s="321">
        <v>5000</v>
      </c>
      <c r="H6" s="321">
        <f t="shared" si="0"/>
        <v>113166.66666666667</v>
      </c>
      <c r="I6" s="321">
        <v>5000</v>
      </c>
      <c r="J6" s="321">
        <f t="shared" si="1"/>
        <v>6790</v>
      </c>
      <c r="K6" s="321">
        <f t="shared" si="2"/>
        <v>2829.166666666667</v>
      </c>
      <c r="L6" s="321">
        <v>7600.15</v>
      </c>
      <c r="M6" s="321">
        <f t="shared" si="3"/>
        <v>70900</v>
      </c>
      <c r="N6" s="322"/>
      <c r="O6" s="323"/>
      <c r="P6" s="324"/>
      <c r="Q6" s="324"/>
      <c r="R6" s="325"/>
      <c r="S6" s="324"/>
      <c r="T6" s="324"/>
      <c r="U6" s="324" t="s">
        <v>2305</v>
      </c>
      <c r="V6" s="326">
        <v>0.25</v>
      </c>
      <c r="W6" s="317"/>
      <c r="X6" s="327">
        <f t="shared" si="4"/>
        <v>29541.666666666668</v>
      </c>
      <c r="Y6" s="16">
        <f t="shared" si="5"/>
        <v>0</v>
      </c>
      <c r="Z6" s="328">
        <f t="shared" si="6"/>
        <v>1250</v>
      </c>
      <c r="AA6" s="327">
        <f t="shared" si="7"/>
        <v>1697.5</v>
      </c>
      <c r="AB6" s="16">
        <f t="shared" si="8"/>
        <v>0</v>
      </c>
      <c r="AC6" s="16">
        <f t="shared" si="9"/>
        <v>707.29166666666674</v>
      </c>
      <c r="AD6" s="16">
        <f t="shared" si="10"/>
        <v>0</v>
      </c>
      <c r="AE6" s="16">
        <f t="shared" si="11"/>
        <v>1900.0374999999999</v>
      </c>
      <c r="AF6" s="16">
        <f t="shared" si="12"/>
        <v>17725</v>
      </c>
      <c r="AG6" s="16">
        <f t="shared" si="13"/>
        <v>0</v>
      </c>
      <c r="AH6" s="327">
        <f t="shared" si="14"/>
        <v>25047.350000000006</v>
      </c>
      <c r="AI6" s="16">
        <v>0</v>
      </c>
      <c r="AJ6" s="328">
        <f t="shared" si="15"/>
        <v>6261.8375000000015</v>
      </c>
      <c r="AK6" s="327">
        <f t="shared" si="16"/>
        <v>113166.66666666667</v>
      </c>
      <c r="AL6" s="16">
        <v>0</v>
      </c>
      <c r="AM6" s="328">
        <f t="shared" si="17"/>
        <v>28291.666666666668</v>
      </c>
      <c r="AN6" s="327">
        <f t="shared" si="18"/>
        <v>84875</v>
      </c>
      <c r="AO6" s="328">
        <f t="shared" si="19"/>
        <v>18785.512500000004</v>
      </c>
      <c r="AP6" s="7">
        <f t="shared" si="20"/>
        <v>0.22133151693667161</v>
      </c>
      <c r="AQ6" s="327">
        <f t="shared" si="21"/>
        <v>17725</v>
      </c>
      <c r="AS6" s="329">
        <f t="shared" si="22"/>
        <v>17725</v>
      </c>
      <c r="AT6" s="327">
        <f t="shared" si="23"/>
        <v>1900.0374999999999</v>
      </c>
      <c r="AV6" s="328">
        <f t="shared" si="24"/>
        <v>1900.0374999999999</v>
      </c>
      <c r="AW6" s="327">
        <f t="shared" si="25"/>
        <v>1697.5</v>
      </c>
      <c r="AY6" s="328">
        <f t="shared" si="26"/>
        <v>1697.5</v>
      </c>
      <c r="AZ6" s="327">
        <f t="shared" si="27"/>
        <v>707.29166666666674</v>
      </c>
      <c r="BB6" s="328">
        <f t="shared" si="28"/>
        <v>707.29166666666674</v>
      </c>
      <c r="BC6" s="327">
        <f t="shared" si="29"/>
        <v>0</v>
      </c>
      <c r="BD6" s="16"/>
      <c r="BE6" s="328"/>
    </row>
    <row r="7" spans="1:57" ht="15.75" customHeight="1" x14ac:dyDescent="0.2">
      <c r="A7" s="317"/>
      <c r="B7" s="330"/>
      <c r="C7" s="331"/>
      <c r="D7" s="318" t="s">
        <v>2309</v>
      </c>
      <c r="E7" s="319" t="s">
        <v>137</v>
      </c>
      <c r="F7" s="320">
        <f>135500/1.2</f>
        <v>112916.66666666667</v>
      </c>
      <c r="G7" s="321">
        <f>8500/1.2</f>
        <v>7083.3333333333339</v>
      </c>
      <c r="H7" s="321">
        <f t="shared" si="0"/>
        <v>115000</v>
      </c>
      <c r="I7" s="321">
        <v>5000</v>
      </c>
      <c r="J7" s="321">
        <f t="shared" si="1"/>
        <v>6900</v>
      </c>
      <c r="K7" s="321">
        <f t="shared" si="2"/>
        <v>2875</v>
      </c>
      <c r="L7" s="321">
        <v>7600.15</v>
      </c>
      <c r="M7" s="321">
        <f t="shared" si="3"/>
        <v>72000</v>
      </c>
      <c r="N7" s="322">
        <v>6000</v>
      </c>
      <c r="O7" s="323"/>
      <c r="P7" s="324"/>
      <c r="Q7" s="324"/>
      <c r="R7" s="325"/>
      <c r="S7" s="324"/>
      <c r="T7" s="332">
        <v>6000</v>
      </c>
      <c r="U7" s="324" t="s">
        <v>2305</v>
      </c>
      <c r="V7" s="326">
        <v>0.25</v>
      </c>
      <c r="W7" s="317"/>
      <c r="X7" s="327">
        <f t="shared" si="4"/>
        <v>30000</v>
      </c>
      <c r="Y7" s="16">
        <f t="shared" si="5"/>
        <v>0</v>
      </c>
      <c r="Z7" s="328">
        <f t="shared" si="6"/>
        <v>1250</v>
      </c>
      <c r="AA7" s="327">
        <f t="shared" si="7"/>
        <v>1725</v>
      </c>
      <c r="AB7" s="16">
        <f t="shared" si="8"/>
        <v>0</v>
      </c>
      <c r="AC7" s="16">
        <f t="shared" si="9"/>
        <v>718.75</v>
      </c>
      <c r="AD7" s="16">
        <f t="shared" si="10"/>
        <v>0</v>
      </c>
      <c r="AE7" s="16">
        <f t="shared" si="11"/>
        <v>1900.0374999999999</v>
      </c>
      <c r="AF7" s="16">
        <f t="shared" si="12"/>
        <v>18000</v>
      </c>
      <c r="AG7" s="16">
        <f t="shared" si="13"/>
        <v>4500</v>
      </c>
      <c r="AH7" s="327">
        <f t="shared" si="14"/>
        <v>19624.850000000006</v>
      </c>
      <c r="AI7" s="16">
        <v>0</v>
      </c>
      <c r="AJ7" s="328">
        <f t="shared" si="15"/>
        <v>4906.2125000000015</v>
      </c>
      <c r="AK7" s="327">
        <f t="shared" si="16"/>
        <v>115000</v>
      </c>
      <c r="AL7" s="16">
        <v>0</v>
      </c>
      <c r="AM7" s="328">
        <f t="shared" si="17"/>
        <v>28750</v>
      </c>
      <c r="AN7" s="327">
        <f t="shared" si="18"/>
        <v>86250</v>
      </c>
      <c r="AO7" s="328">
        <f t="shared" si="19"/>
        <v>14718.637500000004</v>
      </c>
      <c r="AP7" s="7">
        <f t="shared" si="20"/>
        <v>0.17065086956521744</v>
      </c>
      <c r="AQ7" s="327">
        <f t="shared" si="21"/>
        <v>18000</v>
      </c>
      <c r="AS7" s="329">
        <f t="shared" si="22"/>
        <v>18000</v>
      </c>
      <c r="AT7" s="327">
        <f t="shared" si="23"/>
        <v>1900.0374999999999</v>
      </c>
      <c r="AV7" s="328">
        <f t="shared" si="24"/>
        <v>1900.0374999999999</v>
      </c>
      <c r="AW7" s="327">
        <f t="shared" si="25"/>
        <v>1725</v>
      </c>
      <c r="AY7" s="328">
        <f t="shared" si="26"/>
        <v>1725</v>
      </c>
      <c r="AZ7" s="327">
        <f t="shared" si="27"/>
        <v>718.75</v>
      </c>
      <c r="BB7" s="328">
        <f t="shared" si="28"/>
        <v>718.75</v>
      </c>
      <c r="BC7" s="327">
        <f t="shared" si="29"/>
        <v>1500</v>
      </c>
      <c r="BD7" s="16"/>
      <c r="BE7" s="328">
        <f>+BC7-BD7</f>
        <v>1500</v>
      </c>
    </row>
    <row r="8" spans="1:57" ht="15.75" customHeight="1" x14ac:dyDescent="0.2">
      <c r="A8" s="317"/>
      <c r="B8" s="330"/>
      <c r="C8" s="331"/>
      <c r="D8" s="318" t="s">
        <v>2310</v>
      </c>
      <c r="E8" s="319" t="s">
        <v>137</v>
      </c>
      <c r="F8" s="320">
        <f>132700/1.2</f>
        <v>110583.33333333334</v>
      </c>
      <c r="G8" s="321">
        <v>5000</v>
      </c>
      <c r="H8" s="321">
        <f t="shared" si="0"/>
        <v>110583.33333333334</v>
      </c>
      <c r="I8" s="321">
        <v>5000</v>
      </c>
      <c r="J8" s="321">
        <f t="shared" si="1"/>
        <v>6635</v>
      </c>
      <c r="K8" s="321">
        <f t="shared" si="2"/>
        <v>2764.5833333333339</v>
      </c>
      <c r="L8" s="321">
        <v>7600.15</v>
      </c>
      <c r="M8" s="321">
        <f t="shared" si="3"/>
        <v>69350</v>
      </c>
      <c r="N8" s="322"/>
      <c r="O8" s="323"/>
      <c r="P8" s="324"/>
      <c r="Q8" s="324"/>
      <c r="R8" s="325"/>
      <c r="S8" s="324"/>
      <c r="T8" s="324"/>
      <c r="U8" s="324" t="s">
        <v>2305</v>
      </c>
      <c r="V8" s="326">
        <v>0.1</v>
      </c>
      <c r="W8" s="317"/>
      <c r="X8" s="327">
        <f t="shared" si="4"/>
        <v>11558.333333333336</v>
      </c>
      <c r="Y8" s="16">
        <f t="shared" si="5"/>
        <v>0</v>
      </c>
      <c r="Z8" s="328">
        <f t="shared" si="6"/>
        <v>500</v>
      </c>
      <c r="AA8" s="327">
        <f t="shared" si="7"/>
        <v>663.5</v>
      </c>
      <c r="AB8" s="16">
        <f t="shared" si="8"/>
        <v>0</v>
      </c>
      <c r="AC8" s="16">
        <f t="shared" si="9"/>
        <v>276.45833333333343</v>
      </c>
      <c r="AD8" s="16">
        <f t="shared" si="10"/>
        <v>0</v>
      </c>
      <c r="AE8" s="16">
        <f t="shared" si="11"/>
        <v>760.01499999999999</v>
      </c>
      <c r="AF8" s="16">
        <f t="shared" si="12"/>
        <v>6935</v>
      </c>
      <c r="AG8" s="16">
        <f t="shared" si="13"/>
        <v>0</v>
      </c>
      <c r="AH8" s="327">
        <f t="shared" si="14"/>
        <v>24233.60000000002</v>
      </c>
      <c r="AI8" s="16">
        <v>0</v>
      </c>
      <c r="AJ8" s="328">
        <f t="shared" si="15"/>
        <v>2423.3600000000019</v>
      </c>
      <c r="AK8" s="327">
        <f t="shared" si="16"/>
        <v>110583.33333333334</v>
      </c>
      <c r="AL8" s="16">
        <v>0</v>
      </c>
      <c r="AM8" s="328">
        <f t="shared" si="17"/>
        <v>11058.333333333336</v>
      </c>
      <c r="AN8" s="327">
        <f t="shared" si="18"/>
        <v>99525</v>
      </c>
      <c r="AO8" s="328">
        <f t="shared" si="19"/>
        <v>21810.24000000002</v>
      </c>
      <c r="AP8" s="7">
        <f t="shared" si="20"/>
        <v>0.21914333082140183</v>
      </c>
      <c r="AQ8" s="327">
        <f t="shared" si="21"/>
        <v>6935</v>
      </c>
      <c r="AS8" s="329">
        <f t="shared" si="22"/>
        <v>6935</v>
      </c>
      <c r="AT8" s="327">
        <f t="shared" si="23"/>
        <v>760.01499999999999</v>
      </c>
      <c r="AV8" s="328">
        <f t="shared" si="24"/>
        <v>760.01499999999999</v>
      </c>
      <c r="AW8" s="327">
        <f t="shared" si="25"/>
        <v>663.5</v>
      </c>
      <c r="AY8" s="328">
        <f t="shared" si="26"/>
        <v>663.5</v>
      </c>
      <c r="AZ8" s="327">
        <f t="shared" si="27"/>
        <v>276.45833333333343</v>
      </c>
      <c r="BB8" s="328">
        <f t="shared" si="28"/>
        <v>276.45833333333343</v>
      </c>
      <c r="BC8" s="327">
        <f t="shared" si="29"/>
        <v>0</v>
      </c>
      <c r="BD8" s="16"/>
      <c r="BE8" s="328"/>
    </row>
    <row r="9" spans="1:57" ht="15.75" customHeight="1" x14ac:dyDescent="0.2">
      <c r="A9" s="317"/>
      <c r="B9" s="330"/>
      <c r="C9" s="331"/>
      <c r="D9" s="318" t="s">
        <v>2311</v>
      </c>
      <c r="E9" s="319" t="s">
        <v>137</v>
      </c>
      <c r="F9" s="320">
        <f>148600/1.2</f>
        <v>123833.33333333334</v>
      </c>
      <c r="G9" s="321">
        <v>5000</v>
      </c>
      <c r="H9" s="321">
        <f t="shared" si="0"/>
        <v>123833.33333333334</v>
      </c>
      <c r="I9" s="321">
        <v>5000</v>
      </c>
      <c r="J9" s="321">
        <f t="shared" si="1"/>
        <v>7430</v>
      </c>
      <c r="K9" s="321">
        <f t="shared" si="2"/>
        <v>3095.8333333333339</v>
      </c>
      <c r="L9" s="321">
        <v>7600.15</v>
      </c>
      <c r="M9" s="321">
        <f t="shared" si="3"/>
        <v>77300</v>
      </c>
      <c r="N9" s="322"/>
      <c r="O9" s="323"/>
      <c r="P9" s="324"/>
      <c r="Q9" s="324"/>
      <c r="R9" s="325"/>
      <c r="S9" s="324"/>
      <c r="T9" s="324"/>
      <c r="U9" s="324" t="s">
        <v>2305</v>
      </c>
      <c r="V9" s="326">
        <v>0.1</v>
      </c>
      <c r="W9" s="317"/>
      <c r="X9" s="327">
        <f t="shared" si="4"/>
        <v>12883.333333333336</v>
      </c>
      <c r="Y9" s="16">
        <f t="shared" si="5"/>
        <v>0</v>
      </c>
      <c r="Z9" s="328">
        <f t="shared" si="6"/>
        <v>500</v>
      </c>
      <c r="AA9" s="327">
        <f t="shared" si="7"/>
        <v>743</v>
      </c>
      <c r="AB9" s="16">
        <f t="shared" si="8"/>
        <v>0</v>
      </c>
      <c r="AC9" s="16">
        <f t="shared" si="9"/>
        <v>309.58333333333343</v>
      </c>
      <c r="AD9" s="16">
        <f t="shared" si="10"/>
        <v>0</v>
      </c>
      <c r="AE9" s="16">
        <f t="shared" si="11"/>
        <v>760.01499999999999</v>
      </c>
      <c r="AF9" s="16">
        <f t="shared" si="12"/>
        <v>7730</v>
      </c>
      <c r="AG9" s="16">
        <f t="shared" si="13"/>
        <v>0</v>
      </c>
      <c r="AH9" s="327">
        <f t="shared" si="14"/>
        <v>28407.35000000002</v>
      </c>
      <c r="AI9" s="16">
        <v>0</v>
      </c>
      <c r="AJ9" s="328">
        <f t="shared" si="15"/>
        <v>2840.7350000000024</v>
      </c>
      <c r="AK9" s="327">
        <f t="shared" si="16"/>
        <v>123833.33333333334</v>
      </c>
      <c r="AL9" s="16">
        <v>0</v>
      </c>
      <c r="AM9" s="328">
        <f t="shared" si="17"/>
        <v>12383.333333333336</v>
      </c>
      <c r="AN9" s="327">
        <f t="shared" si="18"/>
        <v>111450</v>
      </c>
      <c r="AO9" s="328">
        <f t="shared" si="19"/>
        <v>25566.61500000002</v>
      </c>
      <c r="AP9" s="7">
        <f t="shared" si="20"/>
        <v>0.22939986541049812</v>
      </c>
      <c r="AQ9" s="327">
        <f t="shared" si="21"/>
        <v>7730</v>
      </c>
      <c r="AS9" s="329">
        <f t="shared" si="22"/>
        <v>7730</v>
      </c>
      <c r="AT9" s="327">
        <f t="shared" si="23"/>
        <v>760.01499999999999</v>
      </c>
      <c r="AV9" s="328">
        <f t="shared" si="24"/>
        <v>760.01499999999999</v>
      </c>
      <c r="AW9" s="327">
        <f t="shared" si="25"/>
        <v>743</v>
      </c>
      <c r="AY9" s="328">
        <f t="shared" si="26"/>
        <v>743</v>
      </c>
      <c r="AZ9" s="327">
        <f t="shared" si="27"/>
        <v>309.58333333333343</v>
      </c>
      <c r="BB9" s="328">
        <f t="shared" si="28"/>
        <v>309.58333333333343</v>
      </c>
      <c r="BC9" s="327">
        <f t="shared" si="29"/>
        <v>0</v>
      </c>
      <c r="BD9" s="16"/>
      <c r="BE9" s="328"/>
    </row>
    <row r="10" spans="1:57" ht="15.75" customHeight="1" x14ac:dyDescent="0.2">
      <c r="A10" s="317"/>
      <c r="B10" s="330"/>
      <c r="C10" s="331"/>
      <c r="D10" s="318" t="s">
        <v>2312</v>
      </c>
      <c r="E10" s="319" t="s">
        <v>137</v>
      </c>
      <c r="F10" s="320">
        <f>155700/1.2</f>
        <v>129750</v>
      </c>
      <c r="G10" s="321">
        <v>5000</v>
      </c>
      <c r="H10" s="321">
        <f t="shared" si="0"/>
        <v>129750</v>
      </c>
      <c r="I10" s="321">
        <v>5000</v>
      </c>
      <c r="J10" s="321">
        <f t="shared" si="1"/>
        <v>7785</v>
      </c>
      <c r="K10" s="321">
        <f t="shared" si="2"/>
        <v>3243.75</v>
      </c>
      <c r="L10" s="321">
        <v>7600.15</v>
      </c>
      <c r="M10" s="321">
        <f t="shared" si="3"/>
        <v>80850</v>
      </c>
      <c r="N10" s="322"/>
      <c r="O10" s="323"/>
      <c r="P10" s="324"/>
      <c r="Q10" s="324"/>
      <c r="R10" s="325"/>
      <c r="S10" s="324"/>
      <c r="T10" s="324"/>
      <c r="U10" s="324" t="s">
        <v>2305</v>
      </c>
      <c r="V10" s="326">
        <v>0.15</v>
      </c>
      <c r="W10" s="317"/>
      <c r="X10" s="327">
        <f t="shared" si="4"/>
        <v>20212.5</v>
      </c>
      <c r="Y10" s="16">
        <f t="shared" si="5"/>
        <v>0</v>
      </c>
      <c r="Z10" s="328">
        <f t="shared" si="6"/>
        <v>750</v>
      </c>
      <c r="AA10" s="327">
        <f t="shared" si="7"/>
        <v>1167.75</v>
      </c>
      <c r="AB10" s="16">
        <f t="shared" si="8"/>
        <v>0</v>
      </c>
      <c r="AC10" s="16">
        <f t="shared" si="9"/>
        <v>486.5625</v>
      </c>
      <c r="AD10" s="16">
        <f t="shared" si="10"/>
        <v>0</v>
      </c>
      <c r="AE10" s="16">
        <f t="shared" si="11"/>
        <v>1140.0224999999998</v>
      </c>
      <c r="AF10" s="16">
        <f t="shared" si="12"/>
        <v>12127.5</v>
      </c>
      <c r="AG10" s="16">
        <f t="shared" si="13"/>
        <v>0</v>
      </c>
      <c r="AH10" s="327">
        <f t="shared" si="14"/>
        <v>30271.100000000006</v>
      </c>
      <c r="AI10" s="16">
        <v>0</v>
      </c>
      <c r="AJ10" s="328">
        <f t="shared" si="15"/>
        <v>4540.6650000000009</v>
      </c>
      <c r="AK10" s="327">
        <f t="shared" si="16"/>
        <v>129750</v>
      </c>
      <c r="AL10" s="16">
        <v>0</v>
      </c>
      <c r="AM10" s="328">
        <f t="shared" si="17"/>
        <v>19462.5</v>
      </c>
      <c r="AN10" s="327">
        <f t="shared" si="18"/>
        <v>110287.5</v>
      </c>
      <c r="AO10" s="328">
        <f t="shared" si="19"/>
        <v>25730.435000000005</v>
      </c>
      <c r="AP10" s="7">
        <f t="shared" si="20"/>
        <v>0.23330327552986518</v>
      </c>
      <c r="AQ10" s="327">
        <f t="shared" si="21"/>
        <v>12127.5</v>
      </c>
      <c r="AS10" s="329">
        <f t="shared" si="22"/>
        <v>12127.5</v>
      </c>
      <c r="AT10" s="327">
        <f t="shared" si="23"/>
        <v>1140.0224999999998</v>
      </c>
      <c r="AV10" s="328">
        <f t="shared" si="24"/>
        <v>1140.0224999999998</v>
      </c>
      <c r="AW10" s="327">
        <f t="shared" si="25"/>
        <v>1167.75</v>
      </c>
      <c r="AY10" s="328">
        <f t="shared" si="26"/>
        <v>1167.75</v>
      </c>
      <c r="AZ10" s="327">
        <f t="shared" si="27"/>
        <v>486.5625</v>
      </c>
      <c r="BB10" s="328">
        <f t="shared" si="28"/>
        <v>486.5625</v>
      </c>
      <c r="BC10" s="327">
        <f t="shared" si="29"/>
        <v>0</v>
      </c>
      <c r="BD10" s="16"/>
      <c r="BE10" s="328"/>
    </row>
    <row r="11" spans="1:57" ht="15.75" customHeight="1" x14ac:dyDescent="0.2">
      <c r="A11" s="317"/>
      <c r="B11" s="330"/>
      <c r="C11" s="331"/>
      <c r="D11" s="318" t="s">
        <v>2313</v>
      </c>
      <c r="E11" s="319" t="s">
        <v>137</v>
      </c>
      <c r="F11" s="320">
        <f>148900/1.2</f>
        <v>124083.33333333334</v>
      </c>
      <c r="G11" s="321">
        <v>5000</v>
      </c>
      <c r="H11" s="321">
        <f t="shared" si="0"/>
        <v>124083.33333333334</v>
      </c>
      <c r="I11" s="321">
        <v>5000</v>
      </c>
      <c r="J11" s="321">
        <f t="shared" si="1"/>
        <v>7445</v>
      </c>
      <c r="K11" s="321">
        <f t="shared" si="2"/>
        <v>3102.0833333333339</v>
      </c>
      <c r="L11" s="321">
        <v>7600.15</v>
      </c>
      <c r="M11" s="321">
        <f t="shared" si="3"/>
        <v>77450</v>
      </c>
      <c r="N11" s="322"/>
      <c r="O11" s="323"/>
      <c r="P11" s="324"/>
      <c r="Q11" s="324"/>
      <c r="R11" s="325"/>
      <c r="S11" s="324"/>
      <c r="T11" s="324"/>
      <c r="U11" s="324" t="s">
        <v>2305</v>
      </c>
      <c r="V11" s="326">
        <v>0.2</v>
      </c>
      <c r="W11" s="317"/>
      <c r="X11" s="327">
        <f t="shared" si="4"/>
        <v>25816.666666666672</v>
      </c>
      <c r="Y11" s="16">
        <f t="shared" si="5"/>
        <v>0</v>
      </c>
      <c r="Z11" s="328">
        <f t="shared" si="6"/>
        <v>1000</v>
      </c>
      <c r="AA11" s="327">
        <f t="shared" si="7"/>
        <v>1489</v>
      </c>
      <c r="AB11" s="16">
        <f t="shared" si="8"/>
        <v>0</v>
      </c>
      <c r="AC11" s="16">
        <f t="shared" si="9"/>
        <v>620.41666666666686</v>
      </c>
      <c r="AD11" s="16">
        <f t="shared" si="10"/>
        <v>0</v>
      </c>
      <c r="AE11" s="16">
        <f t="shared" si="11"/>
        <v>1520.03</v>
      </c>
      <c r="AF11" s="16">
        <f t="shared" si="12"/>
        <v>15490</v>
      </c>
      <c r="AG11" s="16">
        <f t="shared" si="13"/>
        <v>0</v>
      </c>
      <c r="AH11" s="327">
        <f t="shared" si="14"/>
        <v>28486.10000000002</v>
      </c>
      <c r="AI11" s="16">
        <v>0</v>
      </c>
      <c r="AJ11" s="328">
        <f t="shared" si="15"/>
        <v>5697.2200000000048</v>
      </c>
      <c r="AK11" s="327">
        <f t="shared" si="16"/>
        <v>124083.33333333334</v>
      </c>
      <c r="AL11" s="16">
        <v>0</v>
      </c>
      <c r="AM11" s="328">
        <f t="shared" si="17"/>
        <v>24816.666666666672</v>
      </c>
      <c r="AN11" s="327">
        <f t="shared" si="18"/>
        <v>99266.666666666672</v>
      </c>
      <c r="AO11" s="328">
        <f t="shared" si="19"/>
        <v>22788.880000000016</v>
      </c>
      <c r="AP11" s="7">
        <f t="shared" si="20"/>
        <v>0.2295723304231029</v>
      </c>
      <c r="AQ11" s="327">
        <f t="shared" si="21"/>
        <v>15490</v>
      </c>
      <c r="AS11" s="329">
        <f t="shared" si="22"/>
        <v>15490</v>
      </c>
      <c r="AT11" s="327">
        <f t="shared" si="23"/>
        <v>1520.03</v>
      </c>
      <c r="AV11" s="328">
        <f t="shared" si="24"/>
        <v>1520.03</v>
      </c>
      <c r="AW11" s="327">
        <f t="shared" si="25"/>
        <v>1489</v>
      </c>
      <c r="AY11" s="328">
        <f t="shared" si="26"/>
        <v>1489</v>
      </c>
      <c r="AZ11" s="327">
        <f t="shared" si="27"/>
        <v>620.41666666666686</v>
      </c>
      <c r="BB11" s="328">
        <f t="shared" si="28"/>
        <v>620.41666666666686</v>
      </c>
      <c r="BC11" s="327">
        <f t="shared" si="29"/>
        <v>0</v>
      </c>
      <c r="BD11" s="16"/>
      <c r="BE11" s="328"/>
    </row>
    <row r="12" spans="1:57" ht="15.75" customHeight="1" x14ac:dyDescent="0.2">
      <c r="A12" s="317"/>
      <c r="B12" s="333"/>
      <c r="C12" s="334"/>
      <c r="D12" s="335"/>
      <c r="E12" s="336"/>
      <c r="F12" s="337"/>
      <c r="G12" s="338"/>
      <c r="H12" s="338"/>
      <c r="I12" s="338"/>
      <c r="J12" s="338"/>
      <c r="K12" s="338"/>
      <c r="L12" s="338"/>
      <c r="M12" s="338"/>
      <c r="N12" s="339"/>
      <c r="O12" s="340"/>
      <c r="P12" s="338"/>
      <c r="Q12" s="338"/>
      <c r="R12" s="338"/>
      <c r="S12" s="338"/>
      <c r="T12" s="338"/>
      <c r="U12" s="338"/>
      <c r="V12" s="338"/>
      <c r="W12" s="317"/>
      <c r="X12" s="327"/>
      <c r="Z12" s="328"/>
      <c r="AA12" s="327"/>
      <c r="AH12" s="327"/>
      <c r="AJ12" s="328"/>
      <c r="AK12" s="327"/>
      <c r="AM12" s="328"/>
      <c r="AN12" s="327"/>
      <c r="AO12" s="328"/>
      <c r="AP12" s="7"/>
      <c r="AQ12" s="327"/>
      <c r="AS12" s="329"/>
      <c r="AT12" s="327"/>
      <c r="AV12" s="328"/>
      <c r="AW12" s="327"/>
      <c r="AY12" s="328"/>
      <c r="AZ12" s="327"/>
      <c r="BB12" s="328"/>
      <c r="BC12" s="327"/>
      <c r="BD12" s="16"/>
      <c r="BE12" s="328"/>
    </row>
    <row r="13" spans="1:57" ht="15.75" customHeight="1" x14ac:dyDescent="0.2">
      <c r="A13" s="317"/>
      <c r="B13" s="454" t="s">
        <v>2314</v>
      </c>
      <c r="C13" s="454"/>
      <c r="D13" s="341" t="s">
        <v>2315</v>
      </c>
      <c r="E13" s="319" t="s">
        <v>137</v>
      </c>
      <c r="F13" s="342">
        <v>127823.33</v>
      </c>
      <c r="G13" s="343"/>
      <c r="H13" s="343">
        <f t="shared" ref="H13:H19" si="30">F13+G13-I13</f>
        <v>119489.99666666667</v>
      </c>
      <c r="I13" s="343">
        <f>10000/1.2</f>
        <v>8333.3333333333339</v>
      </c>
      <c r="J13" s="343">
        <v>7169.4</v>
      </c>
      <c r="K13" s="343">
        <v>1493.62</v>
      </c>
      <c r="L13" s="343">
        <v>7600.15</v>
      </c>
      <c r="M13" s="343">
        <v>77412.740000000005</v>
      </c>
      <c r="N13" s="322">
        <v>0</v>
      </c>
      <c r="O13" s="344">
        <f>10000/1.2</f>
        <v>8333.3333333333339</v>
      </c>
      <c r="P13" s="332">
        <v>7169.4</v>
      </c>
      <c r="Q13" s="332">
        <v>1493.62</v>
      </c>
      <c r="R13" s="325"/>
      <c r="S13" s="325"/>
      <c r="T13" s="325">
        <v>0</v>
      </c>
      <c r="U13" s="324" t="s">
        <v>2316</v>
      </c>
      <c r="V13" s="326">
        <v>0.6</v>
      </c>
      <c r="W13" s="317"/>
      <c r="X13" s="327">
        <f t="shared" ref="X13:X19" si="31">IF(E13="oui","",(H13+I13)*V13)</f>
        <v>76693.997999999992</v>
      </c>
      <c r="Y13" s="16">
        <f>IF(O13="",0,(1-V13)*O13)</f>
        <v>3333.3333333333339</v>
      </c>
      <c r="Z13" s="328">
        <f t="shared" ref="Z13:Z19" si="32">IF(O13="",I13*(V13),0)</f>
        <v>0</v>
      </c>
      <c r="AA13" s="327">
        <f t="shared" ref="AA13:AA19" si="33">IF(P13="",+H13*6%*V13,0)</f>
        <v>0</v>
      </c>
      <c r="AB13" s="16">
        <f t="shared" ref="AB13:AB19" si="34">IF(P13="",0,P13*(1-V13))</f>
        <v>2867.76</v>
      </c>
      <c r="AC13" s="16">
        <f t="shared" ref="AC13:AC19" si="35">IF(Q13="",+H13*2.5%*V13,0)</f>
        <v>0</v>
      </c>
      <c r="AD13" s="16">
        <f t="shared" ref="AD13:AD19" si="36">IF(Q13="",0,Q13*(1-V13))</f>
        <v>597.44799999999998</v>
      </c>
      <c r="AE13" s="16">
        <f t="shared" ref="AE13:AE19" si="37">IF(R13="",+L13*V13,(1-V13)*R13)</f>
        <v>4560.0899999999992</v>
      </c>
      <c r="AF13" s="16">
        <f t="shared" ref="AF13:AF19" si="38">IF(S13="",M13*V13,S13*V13)</f>
        <v>46447.644</v>
      </c>
      <c r="AG13" s="16">
        <f t="shared" ref="AG13:AG19" si="39">IF(T13="",0,T13*(1-V13))</f>
        <v>0</v>
      </c>
      <c r="AH13" s="327">
        <f t="shared" ref="AH13:AH19" si="40">+H13-J13-K13-L13-M13-N13</f>
        <v>25814.086666666684</v>
      </c>
      <c r="AI13" s="16">
        <v>5735.7766666666703</v>
      </c>
      <c r="AJ13" s="328">
        <f t="shared" ref="AJ13:AJ19" si="41">AH13*V13-AI13</f>
        <v>9752.6753333333399</v>
      </c>
      <c r="AK13" s="327">
        <f t="shared" ref="AK13:AK19" si="42">H13</f>
        <v>119489.99666666667</v>
      </c>
      <c r="AL13" s="16">
        <v>12141.666666666701</v>
      </c>
      <c r="AM13" s="328">
        <f t="shared" ref="AM13:AM19" si="43">AK13*V13-AL13</f>
        <v>59552.331333333306</v>
      </c>
      <c r="AN13" s="327">
        <f t="shared" ref="AN13:AN19" si="44">AK13-AL13-AM13</f>
        <v>47795.998666666666</v>
      </c>
      <c r="AO13" s="328">
        <f t="shared" ref="AO13:AO19" si="45">AH13-AI13-AJ13</f>
        <v>10325.634666666672</v>
      </c>
      <c r="AP13" s="7">
        <f t="shared" ref="AP13:AP19" si="46">+AH13/AK13</f>
        <v>0.2160355459602073</v>
      </c>
      <c r="AQ13" s="327">
        <f t="shared" ref="AQ13:AQ19" si="47">IF(S13="",M13*V13,S13*V13)</f>
        <v>46447.644</v>
      </c>
      <c r="AR13" s="16">
        <v>4613.8333333333303</v>
      </c>
      <c r="AS13" s="329">
        <f t="shared" ref="AS13:AS19" si="48">+AQ13-AR13</f>
        <v>41833.810666666672</v>
      </c>
      <c r="AT13" s="327">
        <f t="shared" ref="AT13:AT19" si="49">+L13*V13</f>
        <v>4560.0899999999992</v>
      </c>
      <c r="AU13" s="16">
        <v>760.01499999999999</v>
      </c>
      <c r="AV13" s="328">
        <f t="shared" ref="AV13:AV19" si="50">+AT13-AU13</f>
        <v>3800.0749999999994</v>
      </c>
      <c r="AW13" s="327">
        <f t="shared" ref="AW13:AW19" si="51">IF(P13="",J13*V13,P13*V13)</f>
        <v>4301.6399999999994</v>
      </c>
      <c r="AX13" s="16">
        <v>728.5</v>
      </c>
      <c r="AY13" s="328">
        <f t="shared" ref="AY13:AY19" si="52">+AW13-AX13</f>
        <v>3573.1399999999994</v>
      </c>
      <c r="AZ13" s="327">
        <f t="shared" ref="AZ13:AZ19" si="53">IF(Q13="",K13*V13,Q13*V13)</f>
        <v>896.17199999999991</v>
      </c>
      <c r="BA13" s="16">
        <v>303.54166666666703</v>
      </c>
      <c r="BB13" s="328">
        <f t="shared" ref="BB13:BB19" si="54">+AZ13-BA13</f>
        <v>592.63033333333283</v>
      </c>
      <c r="BC13" s="327">
        <f t="shared" ref="BC13:BC19" si="55">+V13*N13</f>
        <v>0</v>
      </c>
      <c r="BD13" s="16"/>
      <c r="BE13" s="328"/>
    </row>
    <row r="14" spans="1:57" ht="15.75" customHeight="1" x14ac:dyDescent="0.2">
      <c r="A14" s="317"/>
      <c r="B14" s="318"/>
      <c r="C14" s="345"/>
      <c r="D14" s="341" t="s">
        <v>225</v>
      </c>
      <c r="E14" s="319" t="s">
        <v>137</v>
      </c>
      <c r="F14" s="346">
        <v>127839.17</v>
      </c>
      <c r="G14" s="343"/>
      <c r="H14" s="343">
        <f t="shared" si="30"/>
        <v>121172.50333333333</v>
      </c>
      <c r="I14" s="343">
        <f>8000/1.2</f>
        <v>6666.666666666667</v>
      </c>
      <c r="J14" s="343">
        <v>7170.35</v>
      </c>
      <c r="K14" s="343">
        <v>1493.82</v>
      </c>
      <c r="L14" s="343">
        <v>7600.15</v>
      </c>
      <c r="M14" s="343">
        <v>80785.89</v>
      </c>
      <c r="N14" s="322">
        <v>2000</v>
      </c>
      <c r="O14" s="344">
        <f>8000/1.2</f>
        <v>6666.666666666667</v>
      </c>
      <c r="P14" s="332">
        <v>7170.35</v>
      </c>
      <c r="Q14" s="332">
        <v>1493.82</v>
      </c>
      <c r="R14" s="325"/>
      <c r="S14" s="325"/>
      <c r="T14" s="332">
        <v>2000</v>
      </c>
      <c r="U14" s="324" t="s">
        <v>2317</v>
      </c>
      <c r="V14" s="326">
        <v>0.8</v>
      </c>
      <c r="W14" s="317"/>
      <c r="X14" s="327">
        <f t="shared" si="31"/>
        <v>102271.33600000001</v>
      </c>
      <c r="Y14" s="16">
        <f>IF(O14="",0,(1-V14)*O14)</f>
        <v>1333.333333333333</v>
      </c>
      <c r="Z14" s="328">
        <f t="shared" si="32"/>
        <v>0</v>
      </c>
      <c r="AA14" s="327">
        <f t="shared" si="33"/>
        <v>0</v>
      </c>
      <c r="AB14" s="16">
        <f t="shared" si="34"/>
        <v>1434.0699999999997</v>
      </c>
      <c r="AC14" s="16">
        <f t="shared" si="35"/>
        <v>0</v>
      </c>
      <c r="AD14" s="16">
        <f t="shared" si="36"/>
        <v>298.7639999999999</v>
      </c>
      <c r="AE14" s="16">
        <f t="shared" si="37"/>
        <v>6080.12</v>
      </c>
      <c r="AF14" s="16">
        <f t="shared" si="38"/>
        <v>64628.712</v>
      </c>
      <c r="AG14" s="16">
        <f t="shared" si="39"/>
        <v>399.99999999999989</v>
      </c>
      <c r="AH14" s="327">
        <f t="shared" si="40"/>
        <v>22122.29333333332</v>
      </c>
      <c r="AI14" s="16">
        <v>12184.8866666667</v>
      </c>
      <c r="AJ14" s="328">
        <f t="shared" si="41"/>
        <v>5512.9479999999585</v>
      </c>
      <c r="AK14" s="327">
        <f t="shared" si="42"/>
        <v>121172.50333333333</v>
      </c>
      <c r="AL14" s="16">
        <v>25616.666666666701</v>
      </c>
      <c r="AM14" s="328">
        <f t="shared" si="43"/>
        <v>71321.335999999967</v>
      </c>
      <c r="AN14" s="327">
        <f t="shared" si="44"/>
        <v>24234.50066666666</v>
      </c>
      <c r="AO14" s="328">
        <f t="shared" si="45"/>
        <v>4424.4586666666619</v>
      </c>
      <c r="AP14" s="7">
        <f t="shared" si="46"/>
        <v>0.18256859208790235</v>
      </c>
      <c r="AQ14" s="327">
        <f t="shared" si="47"/>
        <v>64628.712</v>
      </c>
      <c r="AR14" s="16">
        <v>9734.3333333333303</v>
      </c>
      <c r="AS14" s="329">
        <f t="shared" si="48"/>
        <v>54894.378666666671</v>
      </c>
      <c r="AT14" s="327">
        <f t="shared" si="49"/>
        <v>6080.12</v>
      </c>
      <c r="AU14" s="16">
        <v>1520.03</v>
      </c>
      <c r="AV14" s="328">
        <f t="shared" si="50"/>
        <v>4560.09</v>
      </c>
      <c r="AW14" s="327">
        <f t="shared" si="51"/>
        <v>5736.2800000000007</v>
      </c>
      <c r="AX14" s="16">
        <v>1537</v>
      </c>
      <c r="AY14" s="328">
        <f t="shared" si="52"/>
        <v>4199.2800000000007</v>
      </c>
      <c r="AZ14" s="327">
        <f t="shared" si="53"/>
        <v>1195.056</v>
      </c>
      <c r="BA14" s="16">
        <v>640.41666666666697</v>
      </c>
      <c r="BB14" s="328">
        <f t="shared" si="54"/>
        <v>554.63933333333307</v>
      </c>
      <c r="BC14" s="327">
        <f t="shared" si="55"/>
        <v>1600</v>
      </c>
      <c r="BD14" s="16"/>
      <c r="BE14" s="328">
        <f>+BC14-BD14</f>
        <v>1600</v>
      </c>
    </row>
    <row r="15" spans="1:57" ht="15.75" customHeight="1" x14ac:dyDescent="0.2">
      <c r="A15" s="317"/>
      <c r="B15" s="318"/>
      <c r="C15" s="345"/>
      <c r="D15" s="341" t="s">
        <v>226</v>
      </c>
      <c r="E15" s="319" t="s">
        <v>137</v>
      </c>
      <c r="F15" s="346">
        <v>142761.67000000001</v>
      </c>
      <c r="G15" s="343"/>
      <c r="H15" s="343">
        <f t="shared" si="30"/>
        <v>137761.67000000001</v>
      </c>
      <c r="I15" s="343">
        <f>6000/1.2</f>
        <v>5000</v>
      </c>
      <c r="J15" s="343">
        <v>8065.7</v>
      </c>
      <c r="K15" s="343">
        <v>1680.35</v>
      </c>
      <c r="L15" s="343">
        <v>7600.15</v>
      </c>
      <c r="M15" s="343">
        <v>81922.009999999995</v>
      </c>
      <c r="N15" s="322">
        <v>2000</v>
      </c>
      <c r="O15" s="344">
        <f>6000/1.2</f>
        <v>5000</v>
      </c>
      <c r="P15" s="332">
        <v>8065.7</v>
      </c>
      <c r="Q15" s="332">
        <v>1680.35</v>
      </c>
      <c r="R15" s="325"/>
      <c r="S15" s="325"/>
      <c r="T15" s="332">
        <v>2000</v>
      </c>
      <c r="U15" s="324" t="s">
        <v>2318</v>
      </c>
      <c r="V15" s="326">
        <v>0.4</v>
      </c>
      <c r="W15" s="317"/>
      <c r="X15" s="327">
        <f t="shared" si="31"/>
        <v>57104.668000000005</v>
      </c>
      <c r="Y15" s="16">
        <f>IF(O15="",0,(1-V15)*O15)</f>
        <v>3000</v>
      </c>
      <c r="Z15" s="328">
        <f t="shared" si="32"/>
        <v>0</v>
      </c>
      <c r="AA15" s="327">
        <f t="shared" si="33"/>
        <v>0</v>
      </c>
      <c r="AB15" s="16">
        <f t="shared" si="34"/>
        <v>4839.42</v>
      </c>
      <c r="AC15" s="16">
        <f t="shared" si="35"/>
        <v>0</v>
      </c>
      <c r="AD15" s="16">
        <f t="shared" si="36"/>
        <v>1008.2099999999999</v>
      </c>
      <c r="AE15" s="16">
        <f t="shared" si="37"/>
        <v>3040.06</v>
      </c>
      <c r="AF15" s="16">
        <f t="shared" si="38"/>
        <v>32768.803999999996</v>
      </c>
      <c r="AG15" s="16">
        <f t="shared" si="39"/>
        <v>1200</v>
      </c>
      <c r="AH15" s="327">
        <f t="shared" si="40"/>
        <v>36493.460000000021</v>
      </c>
      <c r="AI15" s="16">
        <v>6226.19333333334</v>
      </c>
      <c r="AJ15" s="328">
        <f t="shared" si="41"/>
        <v>8371.1906666666691</v>
      </c>
      <c r="AK15" s="327">
        <f t="shared" si="42"/>
        <v>137761.67000000001</v>
      </c>
      <c r="AL15" s="16">
        <v>13058.333333333299</v>
      </c>
      <c r="AM15" s="328">
        <f t="shared" si="43"/>
        <v>42046.334666666706</v>
      </c>
      <c r="AN15" s="327">
        <f t="shared" si="44"/>
        <v>82657.002000000008</v>
      </c>
      <c r="AO15" s="328">
        <f t="shared" si="45"/>
        <v>21896.076000000012</v>
      </c>
      <c r="AP15" s="7">
        <f t="shared" si="46"/>
        <v>0.26490285723162343</v>
      </c>
      <c r="AQ15" s="327">
        <f t="shared" si="47"/>
        <v>32768.803999999996</v>
      </c>
      <c r="AR15" s="16">
        <v>4962.1666666666697</v>
      </c>
      <c r="AS15" s="329">
        <f t="shared" si="48"/>
        <v>27806.637333333325</v>
      </c>
      <c r="AT15" s="327">
        <f t="shared" si="49"/>
        <v>3040.06</v>
      </c>
      <c r="AU15" s="16">
        <v>760.01499999999999</v>
      </c>
      <c r="AV15" s="328">
        <f t="shared" si="50"/>
        <v>2280.0450000000001</v>
      </c>
      <c r="AW15" s="327">
        <f t="shared" si="51"/>
        <v>3226.28</v>
      </c>
      <c r="AX15" s="16">
        <v>783.5</v>
      </c>
      <c r="AY15" s="328">
        <f t="shared" si="52"/>
        <v>2442.7800000000002</v>
      </c>
      <c r="AZ15" s="327">
        <f t="shared" si="53"/>
        <v>672.14</v>
      </c>
      <c r="BA15" s="16">
        <v>326.45833333333297</v>
      </c>
      <c r="BB15" s="328">
        <f t="shared" si="54"/>
        <v>345.68166666666701</v>
      </c>
      <c r="BC15" s="327">
        <f t="shared" si="55"/>
        <v>800</v>
      </c>
      <c r="BD15" s="16"/>
      <c r="BE15" s="328">
        <f>+BC15-BD15</f>
        <v>800</v>
      </c>
    </row>
    <row r="16" spans="1:57" ht="15.75" customHeight="1" x14ac:dyDescent="0.2">
      <c r="A16" s="317"/>
      <c r="B16" s="318"/>
      <c r="C16" s="345"/>
      <c r="D16" s="341" t="s">
        <v>227</v>
      </c>
      <c r="E16" s="319" t="s">
        <v>137</v>
      </c>
      <c r="F16" s="346">
        <v>126492.65</v>
      </c>
      <c r="G16" s="343"/>
      <c r="H16" s="343">
        <f t="shared" si="30"/>
        <v>121492.65</v>
      </c>
      <c r="I16" s="343">
        <f>6000/1.2</f>
        <v>5000</v>
      </c>
      <c r="J16" s="343">
        <v>7085.7</v>
      </c>
      <c r="K16" s="343">
        <v>1476.19</v>
      </c>
      <c r="L16" s="343">
        <v>7600.15</v>
      </c>
      <c r="M16" s="343">
        <v>74584.600000000006</v>
      </c>
      <c r="N16" s="322">
        <v>0</v>
      </c>
      <c r="O16" s="344">
        <f>6000/1.2</f>
        <v>5000</v>
      </c>
      <c r="P16" s="332">
        <v>7085.7</v>
      </c>
      <c r="Q16" s="332">
        <v>1476.19</v>
      </c>
      <c r="R16" s="325"/>
      <c r="S16" s="325"/>
      <c r="T16" s="325">
        <v>0</v>
      </c>
      <c r="U16" s="324" t="s">
        <v>2317</v>
      </c>
      <c r="V16" s="326">
        <v>0.8</v>
      </c>
      <c r="W16" s="317"/>
      <c r="X16" s="327">
        <f t="shared" si="31"/>
        <v>101194.12</v>
      </c>
      <c r="Y16" s="16">
        <f>IF(O16="",0,(1-V16)*O16)</f>
        <v>999.99999999999977</v>
      </c>
      <c r="Z16" s="328">
        <f t="shared" si="32"/>
        <v>0</v>
      </c>
      <c r="AA16" s="327">
        <f t="shared" si="33"/>
        <v>0</v>
      </c>
      <c r="AB16" s="16">
        <f t="shared" si="34"/>
        <v>1417.1399999999996</v>
      </c>
      <c r="AC16" s="16">
        <f t="shared" si="35"/>
        <v>0</v>
      </c>
      <c r="AD16" s="16">
        <f t="shared" si="36"/>
        <v>295.23799999999994</v>
      </c>
      <c r="AE16" s="16">
        <f t="shared" si="37"/>
        <v>6080.12</v>
      </c>
      <c r="AF16" s="16">
        <f t="shared" si="38"/>
        <v>59667.680000000008</v>
      </c>
      <c r="AG16" s="16">
        <f t="shared" si="39"/>
        <v>0</v>
      </c>
      <c r="AH16" s="327">
        <f t="shared" si="40"/>
        <v>30746.009999999995</v>
      </c>
      <c r="AI16" s="16">
        <v>5943.2674999999999</v>
      </c>
      <c r="AJ16" s="328">
        <f t="shared" si="41"/>
        <v>18653.540499999996</v>
      </c>
      <c r="AK16" s="327">
        <f t="shared" si="42"/>
        <v>121492.65</v>
      </c>
      <c r="AL16" s="16">
        <v>28666.666666666701</v>
      </c>
      <c r="AM16" s="328">
        <f t="shared" si="43"/>
        <v>68527.453333333295</v>
      </c>
      <c r="AN16" s="327">
        <f t="shared" si="44"/>
        <v>24298.53</v>
      </c>
      <c r="AO16" s="328">
        <f t="shared" si="45"/>
        <v>6149.2019999999975</v>
      </c>
      <c r="AP16" s="7">
        <f t="shared" si="46"/>
        <v>0.25306888935256572</v>
      </c>
      <c r="AQ16" s="327">
        <f t="shared" si="47"/>
        <v>59667.680000000008</v>
      </c>
      <c r="AR16" s="16">
        <v>18386.695</v>
      </c>
      <c r="AS16" s="329">
        <f t="shared" si="48"/>
        <v>41280.985000000008</v>
      </c>
      <c r="AT16" s="327">
        <f t="shared" si="49"/>
        <v>6080.12</v>
      </c>
      <c r="AU16" s="16">
        <v>1900.0374999999999</v>
      </c>
      <c r="AV16" s="328">
        <f t="shared" si="50"/>
        <v>4180.0825000000004</v>
      </c>
      <c r="AW16" s="327">
        <f t="shared" si="51"/>
        <v>5668.56</v>
      </c>
      <c r="AX16" s="16">
        <v>1720</v>
      </c>
      <c r="AY16" s="328">
        <f t="shared" si="52"/>
        <v>3948.5600000000004</v>
      </c>
      <c r="AZ16" s="327">
        <f t="shared" si="53"/>
        <v>1180.952</v>
      </c>
      <c r="BA16" s="16">
        <v>716.66666666666697</v>
      </c>
      <c r="BB16" s="328">
        <f t="shared" si="54"/>
        <v>464.28533333333303</v>
      </c>
      <c r="BC16" s="327">
        <f t="shared" si="55"/>
        <v>0</v>
      </c>
      <c r="BD16" s="16"/>
      <c r="BE16" s="328"/>
    </row>
    <row r="17" spans="1:57" ht="15.75" customHeight="1" x14ac:dyDescent="0.2">
      <c r="A17" s="317"/>
      <c r="B17" s="318"/>
      <c r="C17" s="345"/>
      <c r="D17" s="341" t="s">
        <v>228</v>
      </c>
      <c r="E17" s="319" t="s">
        <v>137</v>
      </c>
      <c r="F17" s="346">
        <v>124735</v>
      </c>
      <c r="G17" s="343"/>
      <c r="H17" s="343">
        <f t="shared" si="30"/>
        <v>118901.66666666667</v>
      </c>
      <c r="I17" s="343">
        <f>7000/1.2</f>
        <v>5833.3333333333339</v>
      </c>
      <c r="J17" s="343">
        <v>6834.1</v>
      </c>
      <c r="K17" s="343">
        <v>1423.77</v>
      </c>
      <c r="L17" s="343">
        <v>7600.15</v>
      </c>
      <c r="M17" s="343">
        <v>70637.64</v>
      </c>
      <c r="N17" s="322">
        <v>3500</v>
      </c>
      <c r="O17" s="344">
        <f>7000/1.2</f>
        <v>5833.3333333333339</v>
      </c>
      <c r="P17" s="332">
        <v>6834.1</v>
      </c>
      <c r="Q17" s="332">
        <v>1423.77</v>
      </c>
      <c r="R17" s="325"/>
      <c r="S17" s="325"/>
      <c r="T17" s="332">
        <v>3500</v>
      </c>
      <c r="U17" s="324" t="s">
        <v>2317</v>
      </c>
      <c r="V17" s="326">
        <v>0.8</v>
      </c>
      <c r="W17" s="317"/>
      <c r="X17" s="327">
        <f t="shared" si="31"/>
        <v>99788</v>
      </c>
      <c r="Y17" s="16">
        <f>IF(O17="",0,(1-V17)*O17)</f>
        <v>1166.6666666666665</v>
      </c>
      <c r="Z17" s="328">
        <f t="shared" si="32"/>
        <v>0</v>
      </c>
      <c r="AA17" s="327">
        <f t="shared" si="33"/>
        <v>0</v>
      </c>
      <c r="AB17" s="16">
        <f t="shared" si="34"/>
        <v>1366.8199999999997</v>
      </c>
      <c r="AC17" s="16">
        <f t="shared" si="35"/>
        <v>0</v>
      </c>
      <c r="AD17" s="16">
        <f t="shared" si="36"/>
        <v>284.75399999999991</v>
      </c>
      <c r="AE17" s="16">
        <f t="shared" si="37"/>
        <v>6080.12</v>
      </c>
      <c r="AF17" s="16">
        <f t="shared" si="38"/>
        <v>56510.112000000001</v>
      </c>
      <c r="AG17" s="16">
        <f t="shared" si="39"/>
        <v>699.99999999999989</v>
      </c>
      <c r="AH17" s="327">
        <f t="shared" si="40"/>
        <v>28906.006666666668</v>
      </c>
      <c r="AI17" s="16">
        <v>5330.06833333334</v>
      </c>
      <c r="AJ17" s="328">
        <f t="shared" si="41"/>
        <v>17794.736999999997</v>
      </c>
      <c r="AK17" s="327">
        <f t="shared" si="42"/>
        <v>118901.66666666667</v>
      </c>
      <c r="AL17" s="16">
        <v>11383.333333333299</v>
      </c>
      <c r="AM17" s="328">
        <f t="shared" si="43"/>
        <v>83738.000000000044</v>
      </c>
      <c r="AN17" s="327">
        <f t="shared" si="44"/>
        <v>23780.333333333328</v>
      </c>
      <c r="AO17" s="328">
        <f t="shared" si="45"/>
        <v>5781.2013333333307</v>
      </c>
      <c r="AP17" s="7">
        <f t="shared" si="46"/>
        <v>0.24310850702961831</v>
      </c>
      <c r="AQ17" s="327">
        <f t="shared" si="47"/>
        <v>56510.112000000001</v>
      </c>
      <c r="AR17" s="16">
        <v>4325.6666666666697</v>
      </c>
      <c r="AS17" s="329">
        <f t="shared" si="48"/>
        <v>52184.445333333329</v>
      </c>
      <c r="AT17" s="327">
        <f t="shared" si="49"/>
        <v>6080.12</v>
      </c>
      <c r="AU17" s="16">
        <v>760.01499999999999</v>
      </c>
      <c r="AV17" s="328">
        <f t="shared" si="50"/>
        <v>5320.1049999999996</v>
      </c>
      <c r="AW17" s="327">
        <f t="shared" si="51"/>
        <v>5467.2800000000007</v>
      </c>
      <c r="AX17" s="16">
        <v>683</v>
      </c>
      <c r="AY17" s="328">
        <f t="shared" si="52"/>
        <v>4784.2800000000007</v>
      </c>
      <c r="AZ17" s="327">
        <f t="shared" si="53"/>
        <v>1139.0160000000001</v>
      </c>
      <c r="BA17" s="16">
        <v>284.58333333333297</v>
      </c>
      <c r="BB17" s="328">
        <f t="shared" si="54"/>
        <v>854.43266666666705</v>
      </c>
      <c r="BC17" s="327">
        <f t="shared" si="55"/>
        <v>2800</v>
      </c>
      <c r="BD17" s="16"/>
      <c r="BE17" s="328">
        <f>+BC17-BD17</f>
        <v>2800</v>
      </c>
    </row>
    <row r="18" spans="1:57" ht="15.75" customHeight="1" x14ac:dyDescent="0.2">
      <c r="A18" s="317"/>
      <c r="B18" s="318"/>
      <c r="C18" s="345"/>
      <c r="D18" s="341" t="s">
        <v>232</v>
      </c>
      <c r="E18" s="319" t="s">
        <v>137</v>
      </c>
      <c r="F18" s="346">
        <v>118746.61</v>
      </c>
      <c r="G18" s="343"/>
      <c r="H18" s="343">
        <f t="shared" si="30"/>
        <v>114579.94333333333</v>
      </c>
      <c r="I18" s="343">
        <f>5000/1.2</f>
        <v>4166.666666666667</v>
      </c>
      <c r="J18" s="343">
        <v>6836.7</v>
      </c>
      <c r="K18" s="343">
        <v>1424.31</v>
      </c>
      <c r="L18" s="343">
        <v>7600.15</v>
      </c>
      <c r="M18" s="343">
        <v>71316.100000000006</v>
      </c>
      <c r="N18" s="322">
        <v>3000</v>
      </c>
      <c r="O18" s="347"/>
      <c r="P18" s="332">
        <v>6836.7</v>
      </c>
      <c r="Q18" s="332">
        <v>1424.31</v>
      </c>
      <c r="R18" s="325"/>
      <c r="S18" s="325"/>
      <c r="T18" s="332">
        <v>3000</v>
      </c>
      <c r="U18" s="324" t="s">
        <v>2316</v>
      </c>
      <c r="V18" s="326">
        <v>0.6</v>
      </c>
      <c r="W18" s="317"/>
      <c r="X18" s="327">
        <f t="shared" si="31"/>
        <v>71247.966</v>
      </c>
      <c r="Y18" s="16">
        <v>0</v>
      </c>
      <c r="Z18" s="328">
        <f t="shared" si="32"/>
        <v>2500</v>
      </c>
      <c r="AA18" s="327">
        <f t="shared" si="33"/>
        <v>0</v>
      </c>
      <c r="AB18" s="16">
        <f t="shared" si="34"/>
        <v>2734.6800000000003</v>
      </c>
      <c r="AC18" s="16">
        <f t="shared" si="35"/>
        <v>0</v>
      </c>
      <c r="AD18" s="16">
        <f t="shared" si="36"/>
        <v>569.72400000000005</v>
      </c>
      <c r="AE18" s="16">
        <f t="shared" si="37"/>
        <v>4560.0899999999992</v>
      </c>
      <c r="AF18" s="16">
        <f t="shared" si="38"/>
        <v>42789.66</v>
      </c>
      <c r="AG18" s="16">
        <f t="shared" si="39"/>
        <v>1200</v>
      </c>
      <c r="AH18" s="327">
        <f t="shared" si="40"/>
        <v>24402.683333333334</v>
      </c>
      <c r="AI18" s="16">
        <v>0</v>
      </c>
      <c r="AJ18" s="328">
        <f t="shared" si="41"/>
        <v>14641.61</v>
      </c>
      <c r="AK18" s="327">
        <f t="shared" si="42"/>
        <v>114579.94333333333</v>
      </c>
      <c r="AL18" s="16">
        <v>0</v>
      </c>
      <c r="AM18" s="328">
        <f t="shared" si="43"/>
        <v>68747.966</v>
      </c>
      <c r="AN18" s="327">
        <f t="shared" si="44"/>
        <v>45831.977333333329</v>
      </c>
      <c r="AO18" s="328">
        <f t="shared" si="45"/>
        <v>9761.0733333333337</v>
      </c>
      <c r="AP18" s="7">
        <f t="shared" si="46"/>
        <v>0.2129751736945934</v>
      </c>
      <c r="AQ18" s="327">
        <f t="shared" si="47"/>
        <v>42789.66</v>
      </c>
      <c r="AS18" s="329">
        <f t="shared" si="48"/>
        <v>42789.66</v>
      </c>
      <c r="AT18" s="327">
        <f t="shared" si="49"/>
        <v>4560.0899999999992</v>
      </c>
      <c r="AV18" s="328">
        <f t="shared" si="50"/>
        <v>4560.0899999999992</v>
      </c>
      <c r="AW18" s="327">
        <f t="shared" si="51"/>
        <v>4102.0199999999995</v>
      </c>
      <c r="AY18" s="328">
        <f t="shared" si="52"/>
        <v>4102.0199999999995</v>
      </c>
      <c r="AZ18" s="327">
        <f t="shared" si="53"/>
        <v>854.5859999999999</v>
      </c>
      <c r="BB18" s="328">
        <f t="shared" si="54"/>
        <v>854.5859999999999</v>
      </c>
      <c r="BC18" s="327">
        <f t="shared" si="55"/>
        <v>1800</v>
      </c>
      <c r="BD18" s="16"/>
      <c r="BE18" s="328">
        <f>+BC18-BD18</f>
        <v>1800</v>
      </c>
    </row>
    <row r="19" spans="1:57" ht="15.75" customHeight="1" x14ac:dyDescent="0.2">
      <c r="A19" s="317"/>
      <c r="B19" s="318"/>
      <c r="C19" s="345"/>
      <c r="D19" s="341" t="s">
        <v>233</v>
      </c>
      <c r="E19" s="319" t="s">
        <v>137</v>
      </c>
      <c r="F19" s="346">
        <v>118994.6</v>
      </c>
      <c r="G19" s="343"/>
      <c r="H19" s="343">
        <f t="shared" si="30"/>
        <v>113994.6</v>
      </c>
      <c r="I19" s="348">
        <v>5000</v>
      </c>
      <c r="J19" s="343">
        <v>6801.5</v>
      </c>
      <c r="K19" s="343">
        <v>1416.98</v>
      </c>
      <c r="L19" s="343">
        <v>7600.15</v>
      </c>
      <c r="M19" s="343">
        <v>67314.12</v>
      </c>
      <c r="N19" s="349">
        <v>3500</v>
      </c>
      <c r="O19" s="350"/>
      <c r="P19" s="332">
        <v>6801.5</v>
      </c>
      <c r="Q19" s="332">
        <v>1416.98</v>
      </c>
      <c r="R19" s="325"/>
      <c r="S19" s="325"/>
      <c r="T19" s="332">
        <v>3500</v>
      </c>
      <c r="U19" s="324" t="s">
        <v>2318</v>
      </c>
      <c r="V19" s="326">
        <v>0.4</v>
      </c>
      <c r="W19" s="317"/>
      <c r="X19" s="327">
        <f t="shared" si="31"/>
        <v>47597.840000000004</v>
      </c>
      <c r="Y19" s="16">
        <v>0</v>
      </c>
      <c r="Z19" s="328">
        <f t="shared" si="32"/>
        <v>2000</v>
      </c>
      <c r="AA19" s="327">
        <f t="shared" si="33"/>
        <v>0</v>
      </c>
      <c r="AB19" s="16">
        <f t="shared" si="34"/>
        <v>4080.8999999999996</v>
      </c>
      <c r="AC19" s="16">
        <f t="shared" si="35"/>
        <v>0</v>
      </c>
      <c r="AD19" s="16">
        <f t="shared" si="36"/>
        <v>850.18799999999999</v>
      </c>
      <c r="AE19" s="16">
        <f t="shared" si="37"/>
        <v>3040.06</v>
      </c>
      <c r="AF19" s="16">
        <f t="shared" si="38"/>
        <v>26925.648000000001</v>
      </c>
      <c r="AG19" s="16">
        <f t="shared" si="39"/>
        <v>2100</v>
      </c>
      <c r="AH19" s="327">
        <f t="shared" si="40"/>
        <v>27361.85000000002</v>
      </c>
      <c r="AI19" s="16">
        <v>0</v>
      </c>
      <c r="AJ19" s="328">
        <f t="shared" si="41"/>
        <v>10944.740000000009</v>
      </c>
      <c r="AK19" s="327">
        <f t="shared" si="42"/>
        <v>113994.6</v>
      </c>
      <c r="AL19" s="16">
        <v>0</v>
      </c>
      <c r="AM19" s="328">
        <f t="shared" si="43"/>
        <v>45597.840000000004</v>
      </c>
      <c r="AN19" s="327">
        <f t="shared" si="44"/>
        <v>68396.760000000009</v>
      </c>
      <c r="AO19" s="328">
        <f t="shared" si="45"/>
        <v>16417.110000000011</v>
      </c>
      <c r="AP19" s="7">
        <f t="shared" si="46"/>
        <v>0.24002759779849236</v>
      </c>
      <c r="AQ19" s="327">
        <f t="shared" si="47"/>
        <v>26925.648000000001</v>
      </c>
      <c r="AS19" s="329">
        <f t="shared" si="48"/>
        <v>26925.648000000001</v>
      </c>
      <c r="AT19" s="327">
        <f t="shared" si="49"/>
        <v>3040.06</v>
      </c>
      <c r="AV19" s="328">
        <f t="shared" si="50"/>
        <v>3040.06</v>
      </c>
      <c r="AW19" s="327">
        <f t="shared" si="51"/>
        <v>2720.6000000000004</v>
      </c>
      <c r="AY19" s="328">
        <f t="shared" si="52"/>
        <v>2720.6000000000004</v>
      </c>
      <c r="AZ19" s="327">
        <f t="shared" si="53"/>
        <v>566.79200000000003</v>
      </c>
      <c r="BB19" s="328">
        <f t="shared" si="54"/>
        <v>566.79200000000003</v>
      </c>
      <c r="BC19" s="327">
        <f t="shared" si="55"/>
        <v>1400</v>
      </c>
      <c r="BD19" s="16"/>
      <c r="BE19" s="328">
        <f>+BC19-BD19</f>
        <v>1400</v>
      </c>
    </row>
    <row r="20" spans="1:57" ht="15.75" customHeight="1" x14ac:dyDescent="0.2">
      <c r="A20" s="317"/>
      <c r="B20" s="333"/>
      <c r="C20" s="334"/>
      <c r="D20" s="351"/>
      <c r="E20" s="352"/>
      <c r="F20" s="337"/>
      <c r="G20" s="338"/>
      <c r="H20" s="338"/>
      <c r="I20" s="338"/>
      <c r="J20" s="338"/>
      <c r="K20" s="338"/>
      <c r="L20" s="338"/>
      <c r="M20" s="338"/>
      <c r="N20" s="339"/>
      <c r="O20" s="353"/>
      <c r="P20" s="354"/>
      <c r="Q20" s="354"/>
      <c r="R20" s="354"/>
      <c r="S20" s="354"/>
      <c r="T20" s="354"/>
      <c r="U20" s="354"/>
      <c r="V20" s="338"/>
      <c r="W20" s="317"/>
      <c r="X20" s="327"/>
      <c r="Z20" s="328"/>
      <c r="AA20" s="327"/>
      <c r="AH20" s="327"/>
      <c r="AJ20" s="328"/>
      <c r="AK20" s="327"/>
      <c r="AM20" s="328"/>
      <c r="AN20" s="327"/>
      <c r="AO20" s="328"/>
      <c r="AP20" s="7"/>
      <c r="AQ20" s="327"/>
      <c r="AS20" s="329"/>
      <c r="AT20" s="327"/>
      <c r="AV20" s="328"/>
      <c r="AW20" s="327"/>
      <c r="AY20" s="328"/>
      <c r="AZ20" s="327"/>
      <c r="BB20" s="328"/>
      <c r="BC20" s="327"/>
      <c r="BD20" s="16"/>
      <c r="BE20" s="328"/>
    </row>
    <row r="21" spans="1:57" ht="15.75" customHeight="1" x14ac:dyDescent="0.2">
      <c r="A21" s="317"/>
      <c r="B21" s="454" t="s">
        <v>222</v>
      </c>
      <c r="C21" s="454"/>
      <c r="D21" s="341" t="s">
        <v>2319</v>
      </c>
      <c r="E21" s="319" t="s">
        <v>137</v>
      </c>
      <c r="F21" s="342">
        <v>119182.5</v>
      </c>
      <c r="G21" s="343"/>
      <c r="H21" s="343">
        <f>F21+G21-I21</f>
        <v>119182.5</v>
      </c>
      <c r="I21" s="343">
        <v>0</v>
      </c>
      <c r="J21" s="343">
        <v>6900</v>
      </c>
      <c r="K21" s="343">
        <v>2875</v>
      </c>
      <c r="L21" s="343">
        <v>7378.79</v>
      </c>
      <c r="M21" s="343">
        <v>80258.37</v>
      </c>
      <c r="N21" s="322">
        <v>0</v>
      </c>
      <c r="O21" s="347"/>
      <c r="P21" s="332">
        <v>6900</v>
      </c>
      <c r="Q21" s="332">
        <v>2875</v>
      </c>
      <c r="R21" s="332">
        <v>7378.79</v>
      </c>
      <c r="S21" s="332">
        <v>80258.37</v>
      </c>
      <c r="T21" s="325">
        <v>0</v>
      </c>
      <c r="U21" s="324" t="s">
        <v>2320</v>
      </c>
      <c r="V21" s="326">
        <v>1</v>
      </c>
      <c r="W21" s="317"/>
      <c r="X21" s="327">
        <f>IF(E21="oui","",(H21+I21)*V21)</f>
        <v>119182.5</v>
      </c>
      <c r="Y21" s="16">
        <f>IF(O21="",0,(1-V21)*O21)</f>
        <v>0</v>
      </c>
      <c r="Z21" s="328">
        <f>IF(O21="",I21*(V21),0)</f>
        <v>0</v>
      </c>
      <c r="AA21" s="327">
        <f>IF(P21="",+H21*6%*V21,0)</f>
        <v>0</v>
      </c>
      <c r="AB21" s="16">
        <f>IF(P21="",0,P21*(1-V21))</f>
        <v>0</v>
      </c>
      <c r="AC21" s="16">
        <f>IF(Q21="",+H21*2.5%*V21,0)</f>
        <v>0</v>
      </c>
      <c r="AD21" s="16">
        <f>IF(Q21="",0,Q21*(1-V21))</f>
        <v>0</v>
      </c>
      <c r="AE21" s="16">
        <f>IF(R21="",+L21*V21,(1-V21)*R21)</f>
        <v>0</v>
      </c>
      <c r="AF21" s="16">
        <f>IF(S21="",0,-S21*(1-V21))</f>
        <v>0</v>
      </c>
      <c r="AG21" s="16">
        <f>IF(T21="",0,T21*(1-V21))</f>
        <v>0</v>
      </c>
      <c r="AH21" s="327">
        <f>+H21-J21-K21-L21-M21-N21</f>
        <v>21770.340000000011</v>
      </c>
      <c r="AI21" s="16">
        <v>16283.895</v>
      </c>
      <c r="AJ21" s="328">
        <f>AH21*V21-AI21</f>
        <v>5486.4450000000106</v>
      </c>
      <c r="AK21" s="327">
        <f>H21</f>
        <v>119182.5</v>
      </c>
      <c r="AL21" s="16">
        <v>89343.014999999999</v>
      </c>
      <c r="AM21" s="328">
        <f>AK21*V21-AL21</f>
        <v>29839.485000000001</v>
      </c>
      <c r="AN21" s="327">
        <f>AK21-AL21-AM21</f>
        <v>0</v>
      </c>
      <c r="AO21" s="328">
        <f>AH21-AI21-AJ21</f>
        <v>0</v>
      </c>
      <c r="AP21" s="7">
        <f>+AH21/AK21</f>
        <v>0.18266389780378839</v>
      </c>
      <c r="AQ21" s="327">
        <f>IF(S21="",M21*V21,S21*V21)</f>
        <v>80258.37</v>
      </c>
      <c r="AR21" s="16">
        <v>60193.777499999997</v>
      </c>
      <c r="AS21" s="329">
        <f>+AQ21-AR21</f>
        <v>20064.592499999999</v>
      </c>
      <c r="AT21" s="327">
        <f>+L21*V21</f>
        <v>7378.79</v>
      </c>
      <c r="AU21" s="16">
        <v>5534.0924999999997</v>
      </c>
      <c r="AV21" s="328">
        <f>+AT21-AU21</f>
        <v>1844.6975000000002</v>
      </c>
      <c r="AW21" s="327">
        <f>IF(P21="",J21*V21,P21*V21)</f>
        <v>6900</v>
      </c>
      <c r="AX21" s="16">
        <v>5175</v>
      </c>
      <c r="AY21" s="328">
        <f>+AW21-AX21</f>
        <v>1725</v>
      </c>
      <c r="AZ21" s="327">
        <f>IF(Q21="",K21*V21,Q21*V21)</f>
        <v>2875</v>
      </c>
      <c r="BA21" s="16">
        <v>2156.25</v>
      </c>
      <c r="BB21" s="328">
        <f>+AZ21-BA21</f>
        <v>718.75</v>
      </c>
      <c r="BC21" s="327">
        <f>+V21*N21</f>
        <v>0</v>
      </c>
      <c r="BD21" s="16"/>
      <c r="BE21" s="328"/>
    </row>
    <row r="22" spans="1:57" ht="15.75" customHeight="1" x14ac:dyDescent="0.2">
      <c r="A22" s="317"/>
      <c r="B22" s="318"/>
      <c r="C22" s="345"/>
      <c r="D22" s="341" t="s">
        <v>2321</v>
      </c>
      <c r="E22" s="319" t="s">
        <v>137</v>
      </c>
      <c r="F22" s="342">
        <v>128711.54</v>
      </c>
      <c r="G22" s="343"/>
      <c r="H22" s="343">
        <f>F22+G22-I22</f>
        <v>126128.20999999999</v>
      </c>
      <c r="I22" s="348">
        <v>2583.33</v>
      </c>
      <c r="J22" s="343">
        <v>7313.95</v>
      </c>
      <c r="K22" s="343">
        <v>3047.48</v>
      </c>
      <c r="L22" s="343">
        <v>7378.79</v>
      </c>
      <c r="M22" s="343">
        <v>83972.54</v>
      </c>
      <c r="N22" s="349">
        <v>0</v>
      </c>
      <c r="O22" s="350"/>
      <c r="P22" s="332">
        <v>7313.95</v>
      </c>
      <c r="Q22" s="332">
        <v>3047.48</v>
      </c>
      <c r="R22" s="332">
        <v>7378.79</v>
      </c>
      <c r="S22" s="332">
        <v>83972.54</v>
      </c>
      <c r="T22" s="325">
        <v>0</v>
      </c>
      <c r="U22" s="324" t="s">
        <v>2320</v>
      </c>
      <c r="V22" s="326">
        <v>1</v>
      </c>
      <c r="W22" s="317"/>
      <c r="X22" s="327">
        <f>IF(E22="oui","",(H22+I22)*V22)</f>
        <v>128711.54</v>
      </c>
      <c r="Y22" s="16">
        <f>IF(O22="",0,(1-V22)*O22)</f>
        <v>0</v>
      </c>
      <c r="Z22" s="328">
        <f>IF(O22="",I22*(V22),0)</f>
        <v>2583.33</v>
      </c>
      <c r="AA22" s="327">
        <f>IF(P22="",+H22*6%*V22,0)</f>
        <v>0</v>
      </c>
      <c r="AB22" s="16">
        <f>IF(P22="",0,P22*(1-V22))</f>
        <v>0</v>
      </c>
      <c r="AC22" s="16">
        <f>IF(Q22="",+H22*2.5%*V22,0)</f>
        <v>0</v>
      </c>
      <c r="AD22" s="16">
        <f>IF(Q22="",0,Q22*(1-V22))</f>
        <v>0</v>
      </c>
      <c r="AE22" s="16">
        <f>IF(R22="",+L22*V22,(1-V22)*R22)</f>
        <v>0</v>
      </c>
      <c r="AF22" s="16">
        <f>IF(S22="",0,-S22*(1-V22))</f>
        <v>0</v>
      </c>
      <c r="AG22" s="16">
        <f>IF(T22="",0,T22*(1-V22))</f>
        <v>0</v>
      </c>
      <c r="AH22" s="327">
        <f>+H22-J22-K22-L22-M22-N22</f>
        <v>24415.450000000012</v>
      </c>
      <c r="AI22" s="16">
        <v>15830.293</v>
      </c>
      <c r="AJ22" s="328">
        <f>AH22*V22-AI22</f>
        <v>8585.157000000012</v>
      </c>
      <c r="AK22" s="327">
        <f>H22</f>
        <v>126128.20999999999</v>
      </c>
      <c r="AL22" s="16">
        <f>-2583.33+904.17+83622.747</f>
        <v>81943.587</v>
      </c>
      <c r="AM22" s="328">
        <f>AK22*V22-AL22</f>
        <v>44184.622999999992</v>
      </c>
      <c r="AN22" s="327">
        <f>AK22-AL22-AM22</f>
        <v>0</v>
      </c>
      <c r="AO22" s="328">
        <f>AH22-AI22-AJ22</f>
        <v>0</v>
      </c>
      <c r="AP22" s="7">
        <f>+AH22/AK22</f>
        <v>0.19357644098810262</v>
      </c>
      <c r="AQ22" s="327">
        <f>IF(S22="",M22*V22,S22*V22)</f>
        <v>83972.54</v>
      </c>
      <c r="AR22" s="16">
        <v>54582.150999999998</v>
      </c>
      <c r="AS22" s="329">
        <f>+AQ22-AR22</f>
        <v>29390.388999999996</v>
      </c>
      <c r="AT22" s="327">
        <f>+L22*V22</f>
        <v>7378.79</v>
      </c>
      <c r="AU22" s="16">
        <v>4796.2134999999998</v>
      </c>
      <c r="AV22" s="328">
        <f>+AT22-AU22</f>
        <v>2582.5765000000001</v>
      </c>
      <c r="AW22" s="327">
        <f>IF(P22="",J22*V22,P22*V22)</f>
        <v>7313.95</v>
      </c>
      <c r="AX22" s="16">
        <v>4754.0675000000001</v>
      </c>
      <c r="AY22" s="328">
        <f>+AW22-AX22</f>
        <v>2559.8824999999997</v>
      </c>
      <c r="AZ22" s="327">
        <f>IF(Q22="",K22*V22,Q22*V22)</f>
        <v>3047.48</v>
      </c>
      <c r="BA22" s="16">
        <v>1980.8620000000001</v>
      </c>
      <c r="BB22" s="328">
        <f>+AZ22-BA22</f>
        <v>1066.6179999999999</v>
      </c>
      <c r="BC22" s="327">
        <f>+V22*N22</f>
        <v>0</v>
      </c>
      <c r="BD22" s="16"/>
      <c r="BE22" s="328"/>
    </row>
    <row r="23" spans="1:57" ht="15.75" customHeight="1" x14ac:dyDescent="0.2">
      <c r="A23" s="317"/>
      <c r="B23" s="318"/>
      <c r="C23" s="345"/>
      <c r="D23" s="341" t="s">
        <v>231</v>
      </c>
      <c r="E23" s="319" t="s">
        <v>137</v>
      </c>
      <c r="F23" s="342">
        <v>115625</v>
      </c>
      <c r="G23" s="343"/>
      <c r="H23" s="343">
        <f>F23+G23-I23</f>
        <v>111458.33333333333</v>
      </c>
      <c r="I23" s="343">
        <f>5000/1.2</f>
        <v>4166.666666666667</v>
      </c>
      <c r="J23" s="343">
        <v>7137.5</v>
      </c>
      <c r="K23" s="343">
        <v>1486.98</v>
      </c>
      <c r="L23" s="343">
        <v>7600.15</v>
      </c>
      <c r="M23" s="343">
        <v>73603.47</v>
      </c>
      <c r="N23" s="322">
        <v>0</v>
      </c>
      <c r="O23" s="344">
        <f>5000/1.2</f>
        <v>4166.666666666667</v>
      </c>
      <c r="P23" s="332">
        <v>7137.5</v>
      </c>
      <c r="Q23" s="332">
        <v>1486.98</v>
      </c>
      <c r="R23" s="332">
        <v>7600.15</v>
      </c>
      <c r="S23" s="332">
        <v>73603.47</v>
      </c>
      <c r="T23" s="325">
        <v>0</v>
      </c>
      <c r="U23" s="324" t="s">
        <v>2320</v>
      </c>
      <c r="V23" s="326">
        <v>1</v>
      </c>
      <c r="W23" s="317"/>
      <c r="X23" s="327">
        <f>IF(E23="oui","",(H23+I23)*V23)</f>
        <v>115625</v>
      </c>
      <c r="Y23" s="16">
        <f>IF(O23="",0,(1-V23)*O23)</f>
        <v>0</v>
      </c>
      <c r="Z23" s="328">
        <f>IF(O23="",I23*(V23),0)</f>
        <v>0</v>
      </c>
      <c r="AA23" s="327">
        <f>IF(P23="",+H23*6%*V23,0)</f>
        <v>0</v>
      </c>
      <c r="AB23" s="16">
        <f>IF(P23="",0,P23*(1-V23))</f>
        <v>0</v>
      </c>
      <c r="AC23" s="16">
        <f>IF(Q23="",+H23*2.5%*V23,0)</f>
        <v>0</v>
      </c>
      <c r="AD23" s="16">
        <f>IF(Q23="",0,Q23*(1-V23))</f>
        <v>0</v>
      </c>
      <c r="AE23" s="16">
        <f>IF(R23="",+L23*V23,(1-V23)*R23)</f>
        <v>0</v>
      </c>
      <c r="AF23" s="16">
        <f>IF(S23="",0,-S23*(1-V23))</f>
        <v>0</v>
      </c>
      <c r="AG23" s="16">
        <f>IF(T23="",0,T23*(1-V23))</f>
        <v>0</v>
      </c>
      <c r="AH23" s="327">
        <f>+H23-J23-K23-L23-M23-N23</f>
        <v>21630.233333333337</v>
      </c>
      <c r="AI23" s="16">
        <v>6289.3325000000004</v>
      </c>
      <c r="AJ23" s="328">
        <f>AH23*V23-AI23</f>
        <v>15340.900833333337</v>
      </c>
      <c r="AK23" s="327">
        <f>H23</f>
        <v>111458.33333333333</v>
      </c>
      <c r="AL23" s="16">
        <v>28729.166666666701</v>
      </c>
      <c r="AM23" s="328">
        <f>AK23*V23-AL23</f>
        <v>82729.166666666628</v>
      </c>
      <c r="AN23" s="327">
        <f>AK23-AL23-AM23</f>
        <v>0</v>
      </c>
      <c r="AO23" s="328">
        <f>AH23-AI23-AJ23</f>
        <v>0</v>
      </c>
      <c r="AP23" s="7">
        <f>+AH23/AK23</f>
        <v>0.19406564485981312</v>
      </c>
      <c r="AQ23" s="327">
        <f>IF(S23="",M23*V23,S23*V23)</f>
        <v>73603.47</v>
      </c>
      <c r="AR23" s="16">
        <v>18097.817500000001</v>
      </c>
      <c r="AS23" s="329">
        <f>+AQ23-AR23</f>
        <v>55505.652499999997</v>
      </c>
      <c r="AT23" s="327">
        <f>+L23*V23</f>
        <v>7600.15</v>
      </c>
      <c r="AU23" s="16">
        <v>1900.0374999999999</v>
      </c>
      <c r="AV23" s="328">
        <f>+AT23-AU23</f>
        <v>5700.1124999999993</v>
      </c>
      <c r="AW23" s="327">
        <f>IF(P23="",J23*V23,P23*V23)</f>
        <v>7137.5</v>
      </c>
      <c r="AX23" s="16">
        <v>1723.75</v>
      </c>
      <c r="AY23" s="328">
        <f>+AW23-AX23</f>
        <v>5413.75</v>
      </c>
      <c r="AZ23" s="327">
        <f>IF(Q23="",K23*V23,Q23*V23)</f>
        <v>1486.98</v>
      </c>
      <c r="BA23" s="16">
        <v>718.22916666666697</v>
      </c>
      <c r="BB23" s="328">
        <f>+AZ23-BA23</f>
        <v>768.75083333333305</v>
      </c>
      <c r="BC23" s="327">
        <f>+V23*N23</f>
        <v>0</v>
      </c>
      <c r="BD23" s="16"/>
      <c r="BE23" s="328"/>
    </row>
    <row r="24" spans="1:57" s="42" customFormat="1" ht="16.5" customHeight="1" x14ac:dyDescent="0.2">
      <c r="A24" s="355"/>
      <c r="B24" s="356" t="s">
        <v>165</v>
      </c>
      <c r="C24" s="357" t="s">
        <v>2322</v>
      </c>
      <c r="D24" s="358">
        <v>3</v>
      </c>
      <c r="E24" s="359"/>
      <c r="F24" s="360"/>
      <c r="G24" s="361"/>
      <c r="H24" s="361"/>
      <c r="I24" s="361"/>
      <c r="J24" s="361"/>
      <c r="K24" s="361"/>
      <c r="L24" s="361"/>
      <c r="M24" s="361"/>
      <c r="N24" s="362"/>
      <c r="O24" s="363"/>
      <c r="P24" s="364"/>
      <c r="Q24" s="364"/>
      <c r="R24" s="364"/>
      <c r="S24" s="364"/>
      <c r="T24" s="364"/>
      <c r="U24" s="364"/>
      <c r="V24" s="361"/>
      <c r="W24" s="355"/>
      <c r="X24" s="365"/>
      <c r="Y24" s="366">
        <f>IF(O24="",0,(1-V24)*O24)</f>
        <v>0</v>
      </c>
      <c r="Z24" s="367">
        <f>IF(O24="",I24*(V24),0)</f>
        <v>0</v>
      </c>
      <c r="AA24" s="365"/>
      <c r="AB24" s="366"/>
      <c r="AC24" s="366"/>
      <c r="AD24" s="366"/>
      <c r="AE24" s="366"/>
      <c r="AF24" s="366"/>
      <c r="AG24" s="366"/>
      <c r="AH24" s="365"/>
      <c r="AI24" s="366"/>
      <c r="AJ24" s="367"/>
      <c r="AK24" s="365"/>
      <c r="AL24" s="366"/>
      <c r="AM24" s="367"/>
      <c r="AN24" s="365"/>
      <c r="AO24" s="367"/>
      <c r="AP24" s="368"/>
      <c r="AQ24" s="365"/>
      <c r="AR24" s="366"/>
      <c r="AS24" s="367"/>
      <c r="AT24" s="365"/>
      <c r="AU24" s="366"/>
      <c r="AV24" s="367"/>
      <c r="AW24" s="365"/>
      <c r="AX24" s="366"/>
      <c r="AY24" s="367"/>
      <c r="AZ24" s="365"/>
      <c r="BA24" s="366"/>
      <c r="BB24" s="367"/>
      <c r="BC24" s="365"/>
      <c r="BD24" s="366"/>
      <c r="BE24" s="367"/>
    </row>
    <row r="25" spans="1:57" s="35" customFormat="1" ht="16.5" customHeight="1" x14ac:dyDescent="0.2">
      <c r="A25" s="369"/>
      <c r="B25" s="370" t="s">
        <v>166</v>
      </c>
      <c r="C25" s="371" t="s">
        <v>2322</v>
      </c>
      <c r="D25" s="372">
        <v>20</v>
      </c>
      <c r="E25" s="373"/>
      <c r="F25" s="374"/>
      <c r="G25" s="375"/>
      <c r="H25" s="375"/>
      <c r="I25" s="375"/>
      <c r="J25" s="375"/>
      <c r="K25" s="375"/>
      <c r="L25" s="375"/>
      <c r="M25" s="375"/>
      <c r="N25" s="376"/>
      <c r="O25" s="377"/>
      <c r="P25" s="378"/>
      <c r="Q25" s="378"/>
      <c r="R25" s="378"/>
      <c r="S25" s="378"/>
      <c r="T25" s="378"/>
      <c r="U25" s="378"/>
      <c r="V25" s="375"/>
      <c r="W25" s="369"/>
      <c r="X25" s="379">
        <f>SUM(X3:X23)</f>
        <v>1097287.8013333334</v>
      </c>
      <c r="Y25" s="380">
        <f>SUM(Y3:Y19)</f>
        <v>9833.3333333333321</v>
      </c>
      <c r="Z25" s="381">
        <f>SUM(Z3:Z19)</f>
        <v>11750</v>
      </c>
      <c r="AA25" s="379">
        <f t="shared" ref="AA25:AO25" si="56">SUM(AA3:AA23)</f>
        <v>10237.25</v>
      </c>
      <c r="AB25" s="380">
        <f t="shared" si="56"/>
        <v>18740.79</v>
      </c>
      <c r="AC25" s="380">
        <f t="shared" si="56"/>
        <v>4265.5208333333339</v>
      </c>
      <c r="AD25" s="380">
        <f t="shared" si="56"/>
        <v>3904.326</v>
      </c>
      <c r="AE25" s="380">
        <f t="shared" si="56"/>
        <v>44460.877499999995</v>
      </c>
      <c r="AF25" s="382">
        <f t="shared" si="56"/>
        <v>436460.76000000007</v>
      </c>
      <c r="AG25" s="380">
        <f t="shared" si="56"/>
        <v>10100</v>
      </c>
      <c r="AH25" s="383">
        <f t="shared" si="56"/>
        <v>496817.31333333353</v>
      </c>
      <c r="AI25" s="384">
        <f t="shared" si="56"/>
        <v>73823.713000000062</v>
      </c>
      <c r="AJ25" s="385">
        <f t="shared" si="56"/>
        <v>151959.28933333335</v>
      </c>
      <c r="AK25" s="383">
        <f t="shared" si="56"/>
        <v>2266245.4066666672</v>
      </c>
      <c r="AL25" s="45">
        <f t="shared" si="56"/>
        <v>290882.43533333339</v>
      </c>
      <c r="AM25" s="385">
        <f t="shared" si="56"/>
        <v>766905.36933333334</v>
      </c>
      <c r="AN25" s="383">
        <f t="shared" si="56"/>
        <v>1208457.602</v>
      </c>
      <c r="AO25" s="329">
        <f t="shared" si="56"/>
        <v>271034.3110000001</v>
      </c>
      <c r="AP25" s="7">
        <f>+AH25/AK25</f>
        <v>0.21922485176222944</v>
      </c>
      <c r="AQ25" s="383">
        <f>SUM(AQ3:AQ23)</f>
        <v>674295.14</v>
      </c>
      <c r="AR25" s="45">
        <v>174896.44099999999</v>
      </c>
      <c r="AS25" s="385">
        <f>SUM(AS3:AS23)</f>
        <v>499398.69899999991</v>
      </c>
      <c r="AT25" s="383">
        <f>SUM(AT3:AT23)</f>
        <v>66818.607499999998</v>
      </c>
      <c r="AU25" s="45">
        <v>17930.455999999998</v>
      </c>
      <c r="AV25" s="385">
        <f>SUM(AV3:AV23)</f>
        <v>48888.151499999993</v>
      </c>
      <c r="AW25" s="383">
        <f>SUM(AW3:AW23)</f>
        <v>62811.359999999993</v>
      </c>
      <c r="AX25" s="45">
        <v>17104.817500000001</v>
      </c>
      <c r="AY25" s="385">
        <f>SUM(AY3:AY24)</f>
        <v>45706.542499999996</v>
      </c>
      <c r="AZ25" s="383">
        <f>SUM(AZ3:AZ24)</f>
        <v>18179.694833333331</v>
      </c>
      <c r="BA25" s="45">
        <v>7127.0078333333304</v>
      </c>
      <c r="BB25" s="385">
        <f>SUM(BB3:BB24)</f>
        <v>11052.687000000002</v>
      </c>
      <c r="BC25" s="383">
        <f>SUM(BC3:BC24)</f>
        <v>9900</v>
      </c>
      <c r="BD25" s="45">
        <f>SUM(BD3:BD24)</f>
        <v>0</v>
      </c>
      <c r="BE25" s="385">
        <f>SUM(BE3:BE24)</f>
        <v>9900</v>
      </c>
    </row>
    <row r="26" spans="1:57" ht="15.75" customHeight="1" x14ac:dyDescent="0.2">
      <c r="A26" s="386"/>
      <c r="S26" s="387">
        <f>SUM(S21:S25)</f>
        <v>237834.37999999998</v>
      </c>
      <c r="T26" s="387"/>
      <c r="W26" s="388"/>
    </row>
    <row r="27" spans="1:57" ht="15" customHeight="1" x14ac:dyDescent="0.2">
      <c r="AE27" s="16" t="s">
        <v>2323</v>
      </c>
      <c r="AF27" s="16">
        <v>400886.59</v>
      </c>
      <c r="AI27" s="389" t="s">
        <v>2324</v>
      </c>
      <c r="AJ27" s="389" t="s">
        <v>2325</v>
      </c>
      <c r="AK27" s="389"/>
      <c r="AL27" s="389" t="s">
        <v>2326</v>
      </c>
      <c r="AM27" s="389" t="s">
        <v>2327</v>
      </c>
    </row>
    <row r="28" spans="1:57" ht="15" customHeight="1" x14ac:dyDescent="0.2">
      <c r="B28" s="390"/>
      <c r="C28" s="390"/>
      <c r="AE28" s="16" t="s">
        <v>2327</v>
      </c>
      <c r="AF28" s="391">
        <f>+AF25-AF27</f>
        <v>35574.170000000042</v>
      </c>
      <c r="AI28" s="16">
        <v>290882</v>
      </c>
      <c r="AJ28" s="16">
        <v>766905</v>
      </c>
      <c r="AL28" s="16">
        <f>+AM25</f>
        <v>766905.36933333334</v>
      </c>
      <c r="AM28" s="16">
        <f t="shared" ref="AM28:AM34" si="57">+AL28-AJ28</f>
        <v>0.36933333333581686</v>
      </c>
    </row>
    <row r="29" spans="1:57" ht="15" customHeight="1" x14ac:dyDescent="0.2">
      <c r="AI29" s="16">
        <v>-174896</v>
      </c>
      <c r="AJ29" s="19">
        <v>-463825</v>
      </c>
      <c r="AK29" s="19" t="s">
        <v>121</v>
      </c>
      <c r="AL29" s="19">
        <f>-AS25</f>
        <v>-499398.69899999991</v>
      </c>
      <c r="AM29" s="392">
        <f t="shared" si="57"/>
        <v>-35573.698999999906</v>
      </c>
    </row>
    <row r="30" spans="1:57" ht="15" customHeight="1" x14ac:dyDescent="0.2">
      <c r="AI30" s="16">
        <v>-17930</v>
      </c>
      <c r="AJ30" s="16">
        <v>-48888</v>
      </c>
      <c r="AK30" s="16" t="s">
        <v>124</v>
      </c>
      <c r="AL30" s="16">
        <f>-AV25</f>
        <v>-48888.151499999993</v>
      </c>
      <c r="AM30" s="16">
        <f t="shared" si="57"/>
        <v>-0.15149999999266583</v>
      </c>
    </row>
    <row r="31" spans="1:57" ht="15" customHeight="1" x14ac:dyDescent="0.2">
      <c r="AJ31" s="16">
        <v>-9900</v>
      </c>
      <c r="AK31" s="16" t="s">
        <v>2328</v>
      </c>
      <c r="AL31" s="16">
        <f>-BE25</f>
        <v>-9900</v>
      </c>
      <c r="AM31" s="16">
        <f t="shared" si="57"/>
        <v>0</v>
      </c>
    </row>
    <row r="32" spans="1:57" ht="15" customHeight="1" x14ac:dyDescent="0.2">
      <c r="AI32" s="16">
        <v>-17105</v>
      </c>
      <c r="AJ32" s="16">
        <v>-45707</v>
      </c>
      <c r="AK32" s="16" t="s">
        <v>2329</v>
      </c>
      <c r="AL32" s="16">
        <f>-AY25</f>
        <v>-45706.542499999996</v>
      </c>
      <c r="AM32" s="16">
        <f t="shared" si="57"/>
        <v>0.45750000000407454</v>
      </c>
    </row>
    <row r="33" spans="6:57" ht="15" customHeight="1" x14ac:dyDescent="0.2">
      <c r="AI33" s="16">
        <v>-7127</v>
      </c>
      <c r="AJ33" s="16">
        <v>-11053</v>
      </c>
      <c r="AK33" s="16" t="s">
        <v>2330</v>
      </c>
      <c r="AL33" s="16">
        <f>-BB25</f>
        <v>-11052.687000000002</v>
      </c>
      <c r="AM33" s="16">
        <f t="shared" si="57"/>
        <v>0.31299999999828287</v>
      </c>
    </row>
    <row r="34" spans="6:57" ht="15" customHeight="1" x14ac:dyDescent="0.2">
      <c r="AI34" s="384">
        <f>SUM(AI28:AI33)</f>
        <v>73824</v>
      </c>
      <c r="AJ34" s="393">
        <f>SUM(AJ28:AJ33)</f>
        <v>187532</v>
      </c>
      <c r="AK34" s="393" t="s">
        <v>2331</v>
      </c>
      <c r="AL34" s="16">
        <f>SUM(AL28:AL33)</f>
        <v>151959.28933333347</v>
      </c>
      <c r="AM34" s="16">
        <f t="shared" si="57"/>
        <v>-35572.710666666535</v>
      </c>
    </row>
    <row r="37" spans="6:57" ht="15" customHeight="1" x14ac:dyDescent="0.2">
      <c r="AI37" s="16">
        <f>+AI25-AI34</f>
        <v>-0.28699999993841629</v>
      </c>
      <c r="AJ37" s="16">
        <f>+AJ34-AJ25</f>
        <v>35572.710666666651</v>
      </c>
      <c r="AK37" s="16" t="s">
        <v>2332</v>
      </c>
    </row>
    <row r="39" spans="6:57" ht="15" customHeight="1" x14ac:dyDescent="0.2">
      <c r="F39" s="288"/>
      <c r="G39" s="288"/>
      <c r="H39" s="288"/>
      <c r="I39" s="288"/>
      <c r="J39" s="288"/>
      <c r="K39" s="288"/>
      <c r="L39" s="288"/>
      <c r="M39" s="288"/>
      <c r="N39" s="288"/>
      <c r="V39" s="288"/>
      <c r="W39" s="288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8"/>
      <c r="AU39" s="288"/>
      <c r="AV39" s="288"/>
      <c r="AW39" s="288"/>
      <c r="AX39" s="288"/>
      <c r="AY39" s="288"/>
      <c r="AZ39" s="288"/>
      <c r="BA39" s="288"/>
      <c r="BB39" s="288"/>
      <c r="BC39" s="288"/>
      <c r="BD39" s="288"/>
      <c r="BE39" s="288"/>
    </row>
  </sheetData>
  <mergeCells count="16">
    <mergeCell ref="AK1:AM1"/>
    <mergeCell ref="AN1:AO1"/>
    <mergeCell ref="AP1:AP2"/>
    <mergeCell ref="AQ1:BE1"/>
    <mergeCell ref="B2:C2"/>
    <mergeCell ref="F1:N1"/>
    <mergeCell ref="O1:T1"/>
    <mergeCell ref="X1:Z1"/>
    <mergeCell ref="AA1:AG1"/>
    <mergeCell ref="AH1:AJ1"/>
    <mergeCell ref="B21:C21"/>
    <mergeCell ref="B3:C3"/>
    <mergeCell ref="B4:C4"/>
    <mergeCell ref="B5:C5"/>
    <mergeCell ref="B6:C6"/>
    <mergeCell ref="B13:C1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21"/>
  <sheetViews>
    <sheetView zoomScaleNormal="100" workbookViewId="0">
      <pane xSplit="4" ySplit="2" topLeftCell="AN3" activePane="bottomRight" state="frozen"/>
      <selection pane="topRight" activeCell="AN1" sqref="AN1"/>
      <selection pane="bottomLeft" activeCell="A3" sqref="A3"/>
      <selection pane="bottomRight" activeCell="D28" sqref="D28"/>
    </sheetView>
  </sheetViews>
  <sheetFormatPr baseColWidth="10" defaultColWidth="8.83203125" defaultRowHeight="15" x14ac:dyDescent="0.2"/>
  <cols>
    <col min="1" max="1" width="4.33203125" customWidth="1"/>
    <col min="2" max="2" width="41" customWidth="1"/>
    <col min="3" max="3" width="11.83203125" customWidth="1"/>
    <col min="4" max="4" width="63" customWidth="1"/>
    <col min="5" max="5" width="19.1640625" customWidth="1"/>
    <col min="6" max="6" width="19.33203125" style="284" customWidth="1"/>
    <col min="7" max="7" width="16.33203125" style="284" customWidth="1"/>
    <col min="8" max="8" width="30.33203125" customWidth="1"/>
    <col min="9" max="9" width="17.33203125" customWidth="1"/>
    <col min="10" max="10" width="22.1640625" style="281" customWidth="1"/>
    <col min="11" max="11" width="12.83203125" style="281" customWidth="1"/>
    <col min="12" max="12" width="29" style="281" customWidth="1"/>
    <col min="13" max="13" width="10.83203125" style="281" customWidth="1"/>
    <col min="14" max="14" width="24.1640625" customWidth="1"/>
    <col min="15" max="15" width="9.83203125" customWidth="1"/>
    <col min="16" max="16" width="10.5" customWidth="1"/>
    <col min="17" max="17" width="30.5" customWidth="1"/>
    <col min="18" max="18" width="22.1640625" customWidth="1"/>
    <col min="19" max="19" width="25.83203125" customWidth="1"/>
    <col min="20" max="20" width="22.83203125" customWidth="1"/>
    <col min="21" max="21" width="15.83203125" customWidth="1"/>
    <col min="22" max="22" width="21.6640625" customWidth="1"/>
    <col min="23" max="23" width="12" customWidth="1"/>
    <col min="24" max="24" width="23.33203125" customWidth="1"/>
    <col min="25" max="29" width="21.6640625" style="288" customWidth="1"/>
    <col min="30" max="30" width="32.6640625" style="288" customWidth="1"/>
    <col min="31" max="31" width="16" customWidth="1"/>
    <col min="32" max="32" width="17.6640625" customWidth="1"/>
    <col min="33" max="33" width="4.33203125" customWidth="1"/>
    <col min="34" max="34" width="12.83203125" customWidth="1"/>
    <col min="35" max="35" width="16.83203125" customWidth="1"/>
    <col min="36" max="36" width="22.6640625" customWidth="1"/>
    <col min="37" max="37" width="20.1640625" customWidth="1"/>
    <col min="38" max="38" width="28.83203125" customWidth="1"/>
    <col min="39" max="39" width="24.33203125" customWidth="1"/>
    <col min="40" max="40" width="20.5" customWidth="1"/>
    <col min="41" max="44" width="19.83203125" customWidth="1"/>
    <col min="45" max="45" width="21.6640625" customWidth="1"/>
    <col min="46" max="46" width="11.33203125" customWidth="1"/>
  </cols>
  <sheetData>
    <row r="1" spans="1:46" ht="15" customHeight="1" x14ac:dyDescent="0.2">
      <c r="AH1" s="465" t="s">
        <v>2333</v>
      </c>
      <c r="AI1" s="465"/>
      <c r="AJ1" s="465" t="s">
        <v>2334</v>
      </c>
      <c r="AK1" s="465"/>
      <c r="AL1" s="465"/>
      <c r="AM1" s="465"/>
      <c r="AN1" s="465"/>
      <c r="AO1" s="465"/>
      <c r="AP1" s="288"/>
      <c r="AQ1" s="288"/>
      <c r="AR1" s="288"/>
    </row>
    <row r="2" spans="1:46" ht="15.75" customHeight="1" x14ac:dyDescent="0.2">
      <c r="A2" s="317"/>
      <c r="B2" s="466" t="s">
        <v>83</v>
      </c>
      <c r="C2" s="466"/>
      <c r="D2" s="394" t="s">
        <v>84</v>
      </c>
      <c r="E2" s="394" t="s">
        <v>2335</v>
      </c>
      <c r="F2" s="395" t="s">
        <v>2336</v>
      </c>
      <c r="G2" s="395" t="s">
        <v>2337</v>
      </c>
      <c r="H2" s="394" t="s">
        <v>88</v>
      </c>
      <c r="I2" s="394" t="s">
        <v>2338</v>
      </c>
      <c r="J2" s="396" t="s">
        <v>2339</v>
      </c>
      <c r="K2" s="396" t="s">
        <v>2340</v>
      </c>
      <c r="L2" s="396" t="s">
        <v>2341</v>
      </c>
      <c r="M2" s="396" t="s">
        <v>2342</v>
      </c>
      <c r="N2" s="394" t="s">
        <v>2343</v>
      </c>
      <c r="O2" s="394" t="s">
        <v>2344</v>
      </c>
      <c r="P2" s="394" t="s">
        <v>2345</v>
      </c>
      <c r="Q2" s="394" t="s">
        <v>2346</v>
      </c>
      <c r="R2" s="394" t="s">
        <v>2347</v>
      </c>
      <c r="S2" s="394" t="s">
        <v>2348</v>
      </c>
      <c r="T2" s="394" t="s">
        <v>2349</v>
      </c>
      <c r="U2" s="394" t="s">
        <v>2350</v>
      </c>
      <c r="V2" s="394" t="s">
        <v>2351</v>
      </c>
      <c r="W2" s="394" t="s">
        <v>2352</v>
      </c>
      <c r="X2" s="394" t="s">
        <v>2353</v>
      </c>
      <c r="Y2" s="397" t="s">
        <v>2354</v>
      </c>
      <c r="Z2" s="397" t="s">
        <v>98</v>
      </c>
      <c r="AA2" s="397" t="s">
        <v>99</v>
      </c>
      <c r="AB2" s="397" t="s">
        <v>94</v>
      </c>
      <c r="AC2" s="397" t="s">
        <v>2296</v>
      </c>
      <c r="AD2" s="397" t="s">
        <v>86</v>
      </c>
      <c r="AE2" s="394" t="s">
        <v>2355</v>
      </c>
      <c r="AF2" s="394" t="s">
        <v>2297</v>
      </c>
      <c r="AG2" s="398"/>
      <c r="AH2" t="s">
        <v>2356</v>
      </c>
      <c r="AI2" t="s">
        <v>2357</v>
      </c>
      <c r="AJ2" t="s">
        <v>105</v>
      </c>
      <c r="AK2" t="s">
        <v>106</v>
      </c>
      <c r="AL2" t="s">
        <v>107</v>
      </c>
      <c r="AM2" t="s">
        <v>108</v>
      </c>
      <c r="AN2" t="s">
        <v>109</v>
      </c>
      <c r="AO2" t="s">
        <v>2358</v>
      </c>
      <c r="AP2" t="s">
        <v>2359</v>
      </c>
      <c r="AQ2" t="s">
        <v>2360</v>
      </c>
      <c r="AR2" t="s">
        <v>2361</v>
      </c>
      <c r="AS2" t="s">
        <v>2362</v>
      </c>
    </row>
    <row r="3" spans="1:46" ht="15.75" customHeight="1" x14ac:dyDescent="0.2">
      <c r="A3" s="317"/>
      <c r="B3" s="455" t="s">
        <v>2303</v>
      </c>
      <c r="C3" s="455"/>
      <c r="D3" s="399" t="s">
        <v>2363</v>
      </c>
      <c r="E3" s="399" t="s">
        <v>2364</v>
      </c>
      <c r="F3" s="400">
        <v>208262</v>
      </c>
      <c r="G3" s="401" t="s">
        <v>2365</v>
      </c>
      <c r="H3" s="343">
        <f>145700/1.2</f>
        <v>121416.66666666667</v>
      </c>
      <c r="I3" s="343">
        <v>0</v>
      </c>
      <c r="J3" s="402" t="s">
        <v>2366</v>
      </c>
      <c r="K3" s="403" t="s">
        <v>2366</v>
      </c>
      <c r="L3" s="402" t="s">
        <v>2367</v>
      </c>
      <c r="M3" s="402" t="s">
        <v>2368</v>
      </c>
      <c r="N3" s="404" t="s">
        <v>2369</v>
      </c>
      <c r="O3" s="399" t="s">
        <v>2370</v>
      </c>
      <c r="P3" s="399" t="s">
        <v>2371</v>
      </c>
      <c r="Q3" s="399" t="s">
        <v>2372</v>
      </c>
      <c r="R3" s="399" t="s">
        <v>2373</v>
      </c>
      <c r="S3" s="399" t="s">
        <v>2374</v>
      </c>
      <c r="T3" s="399"/>
      <c r="U3" s="399"/>
      <c r="V3" s="324"/>
      <c r="W3" s="324"/>
      <c r="X3" s="324" t="s">
        <v>2375</v>
      </c>
      <c r="Y3" s="324" t="s">
        <v>2376</v>
      </c>
      <c r="Z3" s="325"/>
      <c r="AA3" s="325"/>
      <c r="AB3" s="325">
        <v>7600.15</v>
      </c>
      <c r="AC3" s="325"/>
      <c r="AD3" s="324" t="s">
        <v>2305</v>
      </c>
      <c r="AE3" s="324"/>
      <c r="AF3" s="326">
        <v>0.1</v>
      </c>
      <c r="AG3" s="398"/>
      <c r="AH3" s="405">
        <f t="shared" ref="AH3:AH8" si="0">+H3*AF3</f>
        <v>12141.666666666668</v>
      </c>
      <c r="AI3" s="405">
        <f t="shared" ref="AI3:AI8" si="1">I3*(1-AF3)</f>
        <v>0</v>
      </c>
      <c r="AJ3" s="405">
        <f t="shared" ref="AJ3:AJ8" si="2">IF(Z3="",+H3*6%*AF3,0)</f>
        <v>728.5</v>
      </c>
      <c r="AK3" s="405">
        <f t="shared" ref="AK3:AK8" si="3">IF(Z3="",0,-Z3*(1-AF3))</f>
        <v>0</v>
      </c>
      <c r="AL3" s="405">
        <f t="shared" ref="AL3:AL8" si="4">IF(AA3="",+H3*2.5%*AF3,0)</f>
        <v>303.54166666666669</v>
      </c>
      <c r="AM3" s="405">
        <f t="shared" ref="AM3:AM8" si="5">IF(AA3="",0,-AA3*(1-AF3))</f>
        <v>0</v>
      </c>
      <c r="AN3" s="405">
        <f t="shared" ref="AN3:AN8" si="6">+AB3*AF3</f>
        <v>760.01499999999999</v>
      </c>
      <c r="AO3" s="405">
        <f t="shared" ref="AO3:AO8" si="7">IF(AC3="",H3*38%*AF3,AC3*AF3)</f>
        <v>4613.8333333333339</v>
      </c>
      <c r="AP3" s="405">
        <f t="shared" ref="AP3:AP8" si="8">H3-AH3</f>
        <v>109275</v>
      </c>
      <c r="AQ3" s="405">
        <f t="shared" ref="AQ3:AQ8" si="9">H3-AB3-H3*0.06-H3*0.025-H3*0.62</f>
        <v>28217.766666666663</v>
      </c>
      <c r="AR3" s="405">
        <f t="shared" ref="AR3:AR8" si="10">AQ3*AF3</f>
        <v>2821.7766666666666</v>
      </c>
      <c r="AS3" s="390">
        <f t="shared" ref="AS3:AS8" si="11">$C$16*(1-AF3)</f>
        <v>22500</v>
      </c>
      <c r="AT3" s="406">
        <f>AQ3-AR3</f>
        <v>25395.989999999998</v>
      </c>
    </row>
    <row r="4" spans="1:46" ht="15.75" customHeight="1" x14ac:dyDescent="0.2">
      <c r="A4" s="317"/>
      <c r="B4" s="456"/>
      <c r="C4" s="456"/>
      <c r="D4" s="407" t="s">
        <v>2377</v>
      </c>
      <c r="E4" s="399" t="s">
        <v>2378</v>
      </c>
      <c r="F4" s="400">
        <v>184183</v>
      </c>
      <c r="G4" s="401" t="s">
        <v>2379</v>
      </c>
      <c r="H4" s="343">
        <f>137900/1.2</f>
        <v>114916.66666666667</v>
      </c>
      <c r="I4" s="343">
        <v>0</v>
      </c>
      <c r="J4" s="402" t="s">
        <v>2380</v>
      </c>
      <c r="K4" s="403" t="s">
        <v>2380</v>
      </c>
      <c r="L4" s="403" t="s">
        <v>2381</v>
      </c>
      <c r="M4" s="403" t="s">
        <v>2382</v>
      </c>
      <c r="N4" s="404" t="s">
        <v>2369</v>
      </c>
      <c r="O4" s="404" t="s">
        <v>2369</v>
      </c>
      <c r="P4" s="404" t="s">
        <v>2371</v>
      </c>
      <c r="Q4" s="404" t="s">
        <v>2383</v>
      </c>
      <c r="R4" s="404" t="s">
        <v>2384</v>
      </c>
      <c r="S4" s="404" t="s">
        <v>2385</v>
      </c>
      <c r="T4" s="408" t="s">
        <v>2386</v>
      </c>
      <c r="U4" s="399" t="s">
        <v>2387</v>
      </c>
      <c r="V4" s="399" t="s">
        <v>2388</v>
      </c>
      <c r="W4" s="324"/>
      <c r="X4" s="324" t="s">
        <v>2389</v>
      </c>
      <c r="Y4" s="324" t="s">
        <v>2376</v>
      </c>
      <c r="Z4" s="325"/>
      <c r="AA4" s="325"/>
      <c r="AB4" s="325">
        <v>7600.15</v>
      </c>
      <c r="AC4" s="325">
        <v>72391.27</v>
      </c>
      <c r="AD4" s="324" t="s">
        <v>2305</v>
      </c>
      <c r="AE4" s="324"/>
      <c r="AF4" s="326">
        <v>0.25</v>
      </c>
      <c r="AG4" s="398"/>
      <c r="AH4" s="405">
        <f t="shared" si="0"/>
        <v>28729.166666666668</v>
      </c>
      <c r="AI4" s="405">
        <f t="shared" si="1"/>
        <v>0</v>
      </c>
      <c r="AJ4" s="405">
        <f t="shared" si="2"/>
        <v>1723.75</v>
      </c>
      <c r="AK4" s="405">
        <f t="shared" si="3"/>
        <v>0</v>
      </c>
      <c r="AL4" s="405">
        <f t="shared" si="4"/>
        <v>718.22916666666674</v>
      </c>
      <c r="AM4" s="405">
        <f t="shared" si="5"/>
        <v>0</v>
      </c>
      <c r="AN4" s="405">
        <f t="shared" si="6"/>
        <v>1900.0374999999999</v>
      </c>
      <c r="AO4" s="405">
        <f t="shared" si="7"/>
        <v>18097.817500000001</v>
      </c>
      <c r="AP4" s="405">
        <f t="shared" si="8"/>
        <v>86187.5</v>
      </c>
      <c r="AQ4" s="405">
        <f t="shared" si="9"/>
        <v>26300.266666666663</v>
      </c>
      <c r="AR4" s="405">
        <f t="shared" si="10"/>
        <v>6575.0666666666657</v>
      </c>
      <c r="AS4" s="390">
        <f t="shared" si="11"/>
        <v>18750</v>
      </c>
    </row>
    <row r="5" spans="1:46" ht="15.75" customHeight="1" x14ac:dyDescent="0.2">
      <c r="A5" s="317"/>
      <c r="B5" s="456"/>
      <c r="C5" s="456"/>
      <c r="D5" s="399" t="s">
        <v>2390</v>
      </c>
      <c r="E5" s="399" t="s">
        <v>2391</v>
      </c>
      <c r="F5" s="400">
        <v>206300</v>
      </c>
      <c r="G5" s="401" t="s">
        <v>2365</v>
      </c>
      <c r="H5" s="343">
        <f>153700/1.2</f>
        <v>128083.33333333334</v>
      </c>
      <c r="I5" s="343">
        <v>0</v>
      </c>
      <c r="J5" s="402" t="s">
        <v>2392</v>
      </c>
      <c r="K5" s="403" t="s">
        <v>2392</v>
      </c>
      <c r="L5" s="403" t="s">
        <v>2393</v>
      </c>
      <c r="M5" s="403" t="s">
        <v>2394</v>
      </c>
      <c r="N5" s="404" t="s">
        <v>2369</v>
      </c>
      <c r="O5" s="399" t="s">
        <v>2370</v>
      </c>
      <c r="P5" s="399" t="s">
        <v>2395</v>
      </c>
      <c r="Q5" s="399" t="s">
        <v>2383</v>
      </c>
      <c r="R5" s="404" t="s">
        <v>2384</v>
      </c>
      <c r="S5" s="404" t="s">
        <v>2396</v>
      </c>
      <c r="T5" s="399" t="s">
        <v>2397</v>
      </c>
      <c r="U5" s="399" t="s">
        <v>2387</v>
      </c>
      <c r="V5" s="399" t="s">
        <v>2398</v>
      </c>
      <c r="W5" s="324"/>
      <c r="X5" s="324" t="s">
        <v>2399</v>
      </c>
      <c r="Y5" s="324" t="s">
        <v>2376</v>
      </c>
      <c r="Z5" s="325"/>
      <c r="AA5" s="325"/>
      <c r="AB5" s="325">
        <v>7600.15</v>
      </c>
      <c r="AC5" s="325"/>
      <c r="AD5" s="324" t="s">
        <v>2305</v>
      </c>
      <c r="AE5" s="324"/>
      <c r="AF5" s="326">
        <v>0.2</v>
      </c>
      <c r="AG5" s="398"/>
      <c r="AH5" s="405">
        <f t="shared" si="0"/>
        <v>25616.666666666672</v>
      </c>
      <c r="AI5" s="405">
        <f t="shared" si="1"/>
        <v>0</v>
      </c>
      <c r="AJ5" s="405">
        <f t="shared" si="2"/>
        <v>1537</v>
      </c>
      <c r="AK5" s="405">
        <f t="shared" si="3"/>
        <v>0</v>
      </c>
      <c r="AL5" s="405">
        <f t="shared" si="4"/>
        <v>640.41666666666686</v>
      </c>
      <c r="AM5" s="405">
        <f t="shared" si="5"/>
        <v>0</v>
      </c>
      <c r="AN5" s="405">
        <f t="shared" si="6"/>
        <v>1520.03</v>
      </c>
      <c r="AO5" s="405">
        <f t="shared" si="7"/>
        <v>9734.3333333333339</v>
      </c>
      <c r="AP5" s="405">
        <f t="shared" si="8"/>
        <v>102466.66666666667</v>
      </c>
      <c r="AQ5" s="405">
        <f t="shared" si="9"/>
        <v>30184.433333333349</v>
      </c>
      <c r="AR5" s="405">
        <f t="shared" si="10"/>
        <v>6036.88666666667</v>
      </c>
      <c r="AS5" s="390">
        <f t="shared" si="11"/>
        <v>20000</v>
      </c>
    </row>
    <row r="6" spans="1:46" ht="15.75" customHeight="1" x14ac:dyDescent="0.2">
      <c r="A6" s="317"/>
      <c r="B6" s="456"/>
      <c r="C6" s="456"/>
      <c r="D6" s="399" t="s">
        <v>2400</v>
      </c>
      <c r="E6" s="399" t="s">
        <v>2364</v>
      </c>
      <c r="F6" s="400">
        <v>210700</v>
      </c>
      <c r="G6" s="401" t="s">
        <v>2379</v>
      </c>
      <c r="H6" s="343">
        <f>156700/1.2</f>
        <v>130583.33333333334</v>
      </c>
      <c r="I6" s="343">
        <v>0</v>
      </c>
      <c r="J6" s="402" t="s">
        <v>2401</v>
      </c>
      <c r="K6" s="403" t="s">
        <v>2401</v>
      </c>
      <c r="L6" s="402" t="s">
        <v>2402</v>
      </c>
      <c r="M6" s="402"/>
      <c r="N6" s="399" t="s">
        <v>2403</v>
      </c>
      <c r="O6" s="399" t="s">
        <v>2404</v>
      </c>
      <c r="P6" s="399"/>
      <c r="Q6" s="399" t="s">
        <v>2383</v>
      </c>
      <c r="R6" s="399" t="s">
        <v>2373</v>
      </c>
      <c r="S6" s="404" t="s">
        <v>2405</v>
      </c>
      <c r="T6" s="399"/>
      <c r="U6" s="399"/>
      <c r="V6" s="324"/>
      <c r="W6" s="324"/>
      <c r="X6" s="324" t="s">
        <v>2375</v>
      </c>
      <c r="Y6" s="324" t="s">
        <v>2376</v>
      </c>
      <c r="Z6" s="325"/>
      <c r="AA6" s="325"/>
      <c r="AB6" s="325">
        <v>7600.15</v>
      </c>
      <c r="AC6" s="325"/>
      <c r="AD6" s="324" t="s">
        <v>2305</v>
      </c>
      <c r="AE6" s="324"/>
      <c r="AF6" s="326">
        <v>0.1</v>
      </c>
      <c r="AG6" s="398"/>
      <c r="AH6" s="405">
        <f t="shared" si="0"/>
        <v>13058.333333333336</v>
      </c>
      <c r="AI6" s="405">
        <f t="shared" si="1"/>
        <v>0</v>
      </c>
      <c r="AJ6" s="405">
        <f t="shared" si="2"/>
        <v>783.5</v>
      </c>
      <c r="AK6" s="405">
        <f t="shared" si="3"/>
        <v>0</v>
      </c>
      <c r="AL6" s="405">
        <f t="shared" si="4"/>
        <v>326.45833333333343</v>
      </c>
      <c r="AM6" s="405">
        <f t="shared" si="5"/>
        <v>0</v>
      </c>
      <c r="AN6" s="405">
        <f t="shared" si="6"/>
        <v>760.01499999999999</v>
      </c>
      <c r="AO6" s="405">
        <f t="shared" si="7"/>
        <v>4962.1666666666679</v>
      </c>
      <c r="AP6" s="405">
        <f t="shared" si="8"/>
        <v>117525</v>
      </c>
      <c r="AQ6" s="405">
        <f t="shared" si="9"/>
        <v>30921.933333333349</v>
      </c>
      <c r="AR6" s="405">
        <f t="shared" si="10"/>
        <v>3092.193333333335</v>
      </c>
      <c r="AS6" s="390">
        <f t="shared" si="11"/>
        <v>22500</v>
      </c>
    </row>
    <row r="7" spans="1:46" ht="15.75" customHeight="1" x14ac:dyDescent="0.2">
      <c r="A7" s="317"/>
      <c r="B7" s="456"/>
      <c r="C7" s="456"/>
      <c r="D7" s="399" t="s">
        <v>2406</v>
      </c>
      <c r="E7" s="399" t="s">
        <v>2391</v>
      </c>
      <c r="F7" s="400">
        <v>208600</v>
      </c>
      <c r="G7" s="401" t="s">
        <v>2379</v>
      </c>
      <c r="H7" s="343">
        <f>137600/1.2</f>
        <v>114666.66666666667</v>
      </c>
      <c r="I7" s="343">
        <v>0</v>
      </c>
      <c r="J7" s="402" t="s">
        <v>2407</v>
      </c>
      <c r="K7" s="403" t="s">
        <v>2408</v>
      </c>
      <c r="L7" s="402" t="s">
        <v>2409</v>
      </c>
      <c r="M7" s="402" t="s">
        <v>2410</v>
      </c>
      <c r="N7" s="404" t="s">
        <v>2369</v>
      </c>
      <c r="O7" s="404" t="s">
        <v>2369</v>
      </c>
      <c r="P7" s="399" t="s">
        <v>2371</v>
      </c>
      <c r="Q7" s="399" t="s">
        <v>2372</v>
      </c>
      <c r="R7" s="404" t="s">
        <v>2384</v>
      </c>
      <c r="S7" s="404" t="s">
        <v>2411</v>
      </c>
      <c r="T7" s="399" t="s">
        <v>2412</v>
      </c>
      <c r="U7" s="399" t="s">
        <v>2387</v>
      </c>
      <c r="V7" s="399" t="s">
        <v>2413</v>
      </c>
      <c r="W7" s="324"/>
      <c r="X7" s="324" t="s">
        <v>2389</v>
      </c>
      <c r="Y7" s="324" t="s">
        <v>2376</v>
      </c>
      <c r="Z7" s="325"/>
      <c r="AA7" s="325"/>
      <c r="AB7" s="325">
        <v>7600.15</v>
      </c>
      <c r="AC7" s="325">
        <v>73546.78</v>
      </c>
      <c r="AD7" s="324" t="s">
        <v>2305</v>
      </c>
      <c r="AE7" s="324"/>
      <c r="AF7" s="326">
        <v>0.25</v>
      </c>
      <c r="AG7" s="398"/>
      <c r="AH7" s="405">
        <f t="shared" si="0"/>
        <v>28666.666666666668</v>
      </c>
      <c r="AI7" s="405">
        <f t="shared" si="1"/>
        <v>0</v>
      </c>
      <c r="AJ7" s="405">
        <f t="shared" si="2"/>
        <v>1720</v>
      </c>
      <c r="AK7" s="405">
        <f t="shared" si="3"/>
        <v>0</v>
      </c>
      <c r="AL7" s="405">
        <f t="shared" si="4"/>
        <v>716.66666666666674</v>
      </c>
      <c r="AM7" s="405">
        <f t="shared" si="5"/>
        <v>0</v>
      </c>
      <c r="AN7" s="405">
        <f t="shared" si="6"/>
        <v>1900.0374999999999</v>
      </c>
      <c r="AO7" s="405">
        <f t="shared" si="7"/>
        <v>18386.695</v>
      </c>
      <c r="AP7" s="405">
        <f t="shared" si="8"/>
        <v>86000</v>
      </c>
      <c r="AQ7" s="405">
        <f t="shared" si="9"/>
        <v>26226.516666666663</v>
      </c>
      <c r="AR7" s="405">
        <f t="shared" si="10"/>
        <v>6556.6291666666657</v>
      </c>
      <c r="AS7" s="390">
        <f t="shared" si="11"/>
        <v>18750</v>
      </c>
    </row>
    <row r="8" spans="1:46" ht="15.75" customHeight="1" x14ac:dyDescent="0.2">
      <c r="A8" s="317"/>
      <c r="B8" s="456"/>
      <c r="C8" s="456"/>
      <c r="D8" s="399" t="s">
        <v>2414</v>
      </c>
      <c r="E8" s="399" t="s">
        <v>2364</v>
      </c>
      <c r="F8" s="400">
        <v>190350</v>
      </c>
      <c r="G8" s="401" t="s">
        <v>2379</v>
      </c>
      <c r="H8" s="343">
        <f>136600/1.2</f>
        <v>113833.33333333334</v>
      </c>
      <c r="I8" s="343">
        <v>0</v>
      </c>
      <c r="J8" s="402" t="s">
        <v>2415</v>
      </c>
      <c r="K8" s="403" t="s">
        <v>2415</v>
      </c>
      <c r="L8" s="402" t="s">
        <v>2416</v>
      </c>
      <c r="M8" s="402" t="s">
        <v>2417</v>
      </c>
      <c r="N8" s="404" t="s">
        <v>2369</v>
      </c>
      <c r="O8" s="399" t="s">
        <v>2370</v>
      </c>
      <c r="P8" s="399" t="s">
        <v>2371</v>
      </c>
      <c r="Q8" s="399" t="s">
        <v>2372</v>
      </c>
      <c r="R8" s="399" t="s">
        <v>2373</v>
      </c>
      <c r="S8" s="399" t="s">
        <v>2418</v>
      </c>
      <c r="T8" s="399"/>
      <c r="U8" s="399"/>
      <c r="V8" s="324"/>
      <c r="W8" s="324"/>
      <c r="X8" s="324" t="s">
        <v>2375</v>
      </c>
      <c r="Y8" s="324" t="s">
        <v>2376</v>
      </c>
      <c r="Z8" s="325"/>
      <c r="AA8" s="325"/>
      <c r="AB8" s="325">
        <v>7600.15</v>
      </c>
      <c r="AC8" s="325"/>
      <c r="AD8" s="324" t="s">
        <v>2305</v>
      </c>
      <c r="AE8" s="324"/>
      <c r="AF8" s="326">
        <v>0.1</v>
      </c>
      <c r="AG8" s="398"/>
      <c r="AH8" s="405">
        <f t="shared" si="0"/>
        <v>11383.333333333336</v>
      </c>
      <c r="AI8" s="405">
        <f t="shared" si="1"/>
        <v>0</v>
      </c>
      <c r="AJ8" s="405">
        <f t="shared" si="2"/>
        <v>683</v>
      </c>
      <c r="AK8" s="405">
        <f t="shared" si="3"/>
        <v>0</v>
      </c>
      <c r="AL8" s="405">
        <f t="shared" si="4"/>
        <v>284.58333333333343</v>
      </c>
      <c r="AM8" s="405">
        <f t="shared" si="5"/>
        <v>0</v>
      </c>
      <c r="AN8" s="405">
        <f t="shared" si="6"/>
        <v>760.01499999999999</v>
      </c>
      <c r="AO8" s="405">
        <f t="shared" si="7"/>
        <v>4325.666666666667</v>
      </c>
      <c r="AP8" s="405">
        <f t="shared" si="8"/>
        <v>102450</v>
      </c>
      <c r="AQ8" s="405">
        <f t="shared" si="9"/>
        <v>25980.683333333349</v>
      </c>
      <c r="AR8" s="405">
        <f t="shared" si="10"/>
        <v>2598.068333333335</v>
      </c>
      <c r="AS8" s="390">
        <f t="shared" si="11"/>
        <v>22500</v>
      </c>
    </row>
    <row r="9" spans="1:46" ht="15.75" customHeight="1" x14ac:dyDescent="0.2">
      <c r="A9" s="317"/>
      <c r="B9" s="333" t="s">
        <v>165</v>
      </c>
      <c r="C9" s="334" t="s">
        <v>2322</v>
      </c>
      <c r="D9" s="338">
        <v>6</v>
      </c>
      <c r="E9" s="338"/>
      <c r="F9" s="409"/>
      <c r="G9" s="409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54"/>
      <c r="Z9" s="410"/>
      <c r="AA9" s="410"/>
      <c r="AB9" s="410"/>
      <c r="AC9" s="410"/>
      <c r="AD9" s="354"/>
      <c r="AE9" s="338"/>
      <c r="AF9" s="338"/>
      <c r="AG9" s="398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5"/>
      <c r="AS9" s="390"/>
    </row>
    <row r="10" spans="1:46" ht="15.75" customHeight="1" x14ac:dyDescent="0.2">
      <c r="A10" s="317"/>
      <c r="B10" s="464" t="s">
        <v>2314</v>
      </c>
      <c r="C10" s="464"/>
      <c r="D10" s="407" t="s">
        <v>2319</v>
      </c>
      <c r="E10" s="399" t="s">
        <v>2391</v>
      </c>
      <c r="F10" s="400">
        <v>174760</v>
      </c>
      <c r="G10" s="401" t="s">
        <v>2419</v>
      </c>
      <c r="H10" s="343">
        <v>119124.02</v>
      </c>
      <c r="I10" s="343">
        <v>0</v>
      </c>
      <c r="J10" s="411">
        <v>44942</v>
      </c>
      <c r="K10" s="411">
        <v>44942</v>
      </c>
      <c r="L10" s="411">
        <v>44944</v>
      </c>
      <c r="M10" s="411">
        <v>44946</v>
      </c>
      <c r="N10" s="399" t="s">
        <v>2369</v>
      </c>
      <c r="O10" s="399" t="s">
        <v>2369</v>
      </c>
      <c r="P10" s="399" t="s">
        <v>2371</v>
      </c>
      <c r="Q10" s="399" t="s">
        <v>2420</v>
      </c>
      <c r="R10" s="399" t="s">
        <v>2421</v>
      </c>
      <c r="S10" s="324"/>
      <c r="T10" s="408">
        <v>44253</v>
      </c>
      <c r="U10" s="399" t="s">
        <v>2387</v>
      </c>
      <c r="V10" s="412">
        <v>45042</v>
      </c>
      <c r="W10" s="412">
        <v>45118</v>
      </c>
      <c r="X10" s="412">
        <v>45118</v>
      </c>
      <c r="Y10" s="324" t="s">
        <v>2376</v>
      </c>
      <c r="Z10" s="325">
        <v>6900</v>
      </c>
      <c r="AA10" s="325">
        <v>2875</v>
      </c>
      <c r="AB10" s="325">
        <v>7378.79</v>
      </c>
      <c r="AC10" s="325">
        <v>80258.37</v>
      </c>
      <c r="AD10" s="324" t="s">
        <v>2316</v>
      </c>
      <c r="AE10" s="324" t="s">
        <v>2422</v>
      </c>
      <c r="AF10" s="326">
        <v>0.75</v>
      </c>
      <c r="AG10" s="398"/>
      <c r="AH10" s="405">
        <f>+H10*AF10</f>
        <v>89343.014999999999</v>
      </c>
      <c r="AI10" s="405">
        <f>I10*(1-AF10)</f>
        <v>0</v>
      </c>
      <c r="AJ10" s="405">
        <f>IF(Z10="",+H10*6%*AF10,0)</f>
        <v>0</v>
      </c>
      <c r="AK10" s="405">
        <f>IF(Z10="",0,-Z10*(1-AF10))</f>
        <v>-1725</v>
      </c>
      <c r="AL10" s="405">
        <f>IF(AA10="",+H10*2.5%*AF10,0)</f>
        <v>0</v>
      </c>
      <c r="AM10" s="405">
        <f>IF(AA10="",0,-AA10*(1-AF10))</f>
        <v>-718.75</v>
      </c>
      <c r="AN10" s="405">
        <f>+AB10*AF10</f>
        <v>5534.0924999999997</v>
      </c>
      <c r="AO10" s="405">
        <f>IF(AC10="",H10*38%*AF10,AC10*AF10)</f>
        <v>60193.777499999997</v>
      </c>
      <c r="AP10" s="405">
        <f>H10-AH10</f>
        <v>29781.005000000005</v>
      </c>
      <c r="AQ10" s="405">
        <f>H10-AB10-H10*0.06-H10*0.025-H10*0.62</f>
        <v>27762.795900000012</v>
      </c>
      <c r="AR10" s="405">
        <f>AQ10*AF10</f>
        <v>20822.096925000009</v>
      </c>
      <c r="AS10" s="390">
        <f>$C$16*(1-AF10)</f>
        <v>6250</v>
      </c>
    </row>
    <row r="11" spans="1:46" ht="15.75" customHeight="1" x14ac:dyDescent="0.2">
      <c r="A11" s="317"/>
      <c r="B11" s="318"/>
      <c r="C11" s="345"/>
      <c r="D11" s="407" t="s">
        <v>2321</v>
      </c>
      <c r="E11" s="399" t="s">
        <v>2391</v>
      </c>
      <c r="F11" s="400">
        <v>225200</v>
      </c>
      <c r="G11" s="401" t="s">
        <v>2423</v>
      </c>
      <c r="H11" s="343">
        <v>128650.38</v>
      </c>
      <c r="I11" s="343">
        <v>2583.33</v>
      </c>
      <c r="J11" s="413">
        <v>44974</v>
      </c>
      <c r="K11" s="411">
        <v>44977</v>
      </c>
      <c r="L11" s="411">
        <v>44978</v>
      </c>
      <c r="M11" s="411">
        <v>44984</v>
      </c>
      <c r="N11" s="399" t="s">
        <v>2369</v>
      </c>
      <c r="O11" s="399" t="s">
        <v>2369</v>
      </c>
      <c r="P11" s="399" t="s">
        <v>2395</v>
      </c>
      <c r="Q11" s="399" t="s">
        <v>2424</v>
      </c>
      <c r="R11" s="399" t="s">
        <v>2384</v>
      </c>
      <c r="S11" s="412">
        <v>45037</v>
      </c>
      <c r="T11" s="408">
        <v>45120</v>
      </c>
      <c r="U11" s="399" t="s">
        <v>2387</v>
      </c>
      <c r="V11" s="412">
        <v>45112</v>
      </c>
      <c r="W11" s="412">
        <v>45184</v>
      </c>
      <c r="X11" s="412">
        <v>45184</v>
      </c>
      <c r="Y11" s="324" t="s">
        <v>2376</v>
      </c>
      <c r="Z11" s="325">
        <v>7313.95</v>
      </c>
      <c r="AA11" s="325">
        <v>3047.48</v>
      </c>
      <c r="AB11" s="325">
        <v>7378.79</v>
      </c>
      <c r="AC11" s="325">
        <v>83972.54</v>
      </c>
      <c r="AD11" s="324" t="s">
        <v>2316</v>
      </c>
      <c r="AE11" s="324" t="s">
        <v>2422</v>
      </c>
      <c r="AF11" s="326">
        <v>0.65</v>
      </c>
      <c r="AG11" s="398"/>
      <c r="AH11" s="405">
        <f>+H11*AF11</f>
        <v>83622.747000000003</v>
      </c>
      <c r="AI11" s="405">
        <f>I11*(1-AF11)</f>
        <v>904.16549999999995</v>
      </c>
      <c r="AJ11" s="405">
        <f>IF(Z11="",+H11*6%*AF11,0)</f>
        <v>0</v>
      </c>
      <c r="AK11" s="405">
        <f>IF(Z11="",0,-Z11*(1-AF11))</f>
        <v>-2559.8824999999997</v>
      </c>
      <c r="AL11" s="405">
        <f>IF(AA11="",+H11*2.5%*AF11,0)</f>
        <v>0</v>
      </c>
      <c r="AM11" s="405">
        <f>IF(AA11="",0,-AA11*(1-AF11))</f>
        <v>-1066.6179999999999</v>
      </c>
      <c r="AN11" s="405">
        <f>+AB11*AF11</f>
        <v>4796.2134999999998</v>
      </c>
      <c r="AO11" s="405">
        <f>IF(AC11="",H11*38%*AF11,AC11*AF11)</f>
        <v>54582.150999999998</v>
      </c>
      <c r="AP11" s="405">
        <f>H11-AH11</f>
        <v>45027.633000000002</v>
      </c>
      <c r="AQ11" s="405">
        <f>H11-AB11-H11*0.06-H11*0.025-H11*0.62</f>
        <v>30573.072100000005</v>
      </c>
      <c r="AR11" s="405">
        <f>AQ11*AF11</f>
        <v>19872.496865000005</v>
      </c>
      <c r="AS11" s="390">
        <f>$C$16*(1-AF11)</f>
        <v>8750</v>
      </c>
    </row>
    <row r="12" spans="1:46" ht="15.75" customHeight="1" x14ac:dyDescent="0.2">
      <c r="A12" s="317"/>
      <c r="B12" s="333" t="s">
        <v>165</v>
      </c>
      <c r="C12" s="334" t="s">
        <v>2322</v>
      </c>
      <c r="D12" s="338">
        <v>2</v>
      </c>
      <c r="E12" s="338"/>
      <c r="F12" s="409"/>
      <c r="G12" s="409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54"/>
      <c r="Z12" s="354"/>
      <c r="AA12" s="354"/>
      <c r="AB12" s="354"/>
      <c r="AC12" s="354"/>
      <c r="AD12" s="354"/>
      <c r="AE12" s="338"/>
      <c r="AF12" s="338"/>
      <c r="AG12" s="398"/>
      <c r="AI12" s="405"/>
      <c r="AM12" s="405"/>
      <c r="AO12" s="405"/>
      <c r="AP12" s="405"/>
      <c r="AQ12" s="405"/>
      <c r="AR12" s="405"/>
    </row>
    <row r="13" spans="1:46" ht="15.75" customHeight="1" x14ac:dyDescent="0.2">
      <c r="A13" s="317"/>
      <c r="B13" s="414" t="s">
        <v>166</v>
      </c>
      <c r="C13" s="415" t="s">
        <v>2322</v>
      </c>
      <c r="D13" s="416">
        <v>8</v>
      </c>
      <c r="E13" s="416"/>
      <c r="F13" s="417"/>
      <c r="G13" s="417"/>
      <c r="H13" s="416"/>
      <c r="I13" s="416"/>
      <c r="J13" s="416"/>
      <c r="K13" s="416"/>
      <c r="L13" s="416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8"/>
      <c r="Z13" s="418"/>
      <c r="AA13" s="418"/>
      <c r="AB13" s="418"/>
      <c r="AC13" s="418"/>
      <c r="AD13" s="418"/>
      <c r="AE13" s="416"/>
      <c r="AF13" s="416"/>
      <c r="AG13" s="398"/>
      <c r="AH13" s="405">
        <f t="shared" ref="AH13:AO13" si="12">SUM(AH3:AH12)</f>
        <v>292561.59533333336</v>
      </c>
      <c r="AI13" s="405">
        <f t="shared" si="12"/>
        <v>904.16549999999995</v>
      </c>
      <c r="AJ13" s="405">
        <f t="shared" si="12"/>
        <v>7175.75</v>
      </c>
      <c r="AK13" s="405">
        <f t="shared" si="12"/>
        <v>-4284.8824999999997</v>
      </c>
      <c r="AL13" s="405">
        <f t="shared" si="12"/>
        <v>2989.8958333333344</v>
      </c>
      <c r="AM13" s="405">
        <f t="shared" si="12"/>
        <v>-1785.3679999999999</v>
      </c>
      <c r="AN13" s="405">
        <f t="shared" si="12"/>
        <v>17930.455999999998</v>
      </c>
      <c r="AO13" s="405">
        <f t="shared" si="12"/>
        <v>174896.44099999999</v>
      </c>
      <c r="AP13" s="390">
        <f>SUM(AP3:AP11)</f>
        <v>678712.80466666678</v>
      </c>
      <c r="AQ13" s="390">
        <f>SUM(AQ3:AQ11)</f>
        <v>226167.46800000005</v>
      </c>
      <c r="AR13" s="390">
        <f>SUM(AR3:AR11)</f>
        <v>68375.214623333362</v>
      </c>
      <c r="AS13" s="390">
        <f>SUM(AS3:AS11)</f>
        <v>140000</v>
      </c>
    </row>
    <row r="14" spans="1:46" ht="15.75" customHeight="1" x14ac:dyDescent="0.2">
      <c r="A14" s="386"/>
      <c r="AG14" s="388"/>
    </row>
    <row r="16" spans="1:46" ht="15" customHeight="1" x14ac:dyDescent="0.2">
      <c r="B16" t="s">
        <v>2425</v>
      </c>
      <c r="C16" s="390">
        <v>25000</v>
      </c>
    </row>
    <row r="18" spans="34:44" ht="15" customHeight="1" x14ac:dyDescent="0.2">
      <c r="AH18" s="419">
        <f>+AH13/(SUM(H3:H11))</f>
        <v>0.30121415259511974</v>
      </c>
    </row>
    <row r="20" spans="34:44" ht="15" customHeight="1" x14ac:dyDescent="0.2">
      <c r="AP20" s="282">
        <f>+AO13+AN13+AL13+AJ13</f>
        <v>202992.54283333334</v>
      </c>
      <c r="AQ20" s="282"/>
      <c r="AR20" s="282"/>
    </row>
    <row r="21" spans="34:44" ht="15" customHeight="1" x14ac:dyDescent="0.2">
      <c r="AP21">
        <f>+AP20*1.2</f>
        <v>243591.0514</v>
      </c>
    </row>
  </sheetData>
  <mergeCells count="10">
    <mergeCell ref="AH1:AI1"/>
    <mergeCell ref="AJ1:AO1"/>
    <mergeCell ref="B2:C2"/>
    <mergeCell ref="B3:C3"/>
    <mergeCell ref="B4:C4"/>
    <mergeCell ref="B5:C5"/>
    <mergeCell ref="B6:C6"/>
    <mergeCell ref="B7:C7"/>
    <mergeCell ref="B8:C8"/>
    <mergeCell ref="B10:C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074"/>
  <sheetViews>
    <sheetView zoomScaleNormal="100" workbookViewId="0"/>
  </sheetViews>
  <sheetFormatPr baseColWidth="10" defaultColWidth="8.6640625" defaultRowHeight="15" x14ac:dyDescent="0.2"/>
  <sheetData>
    <row r="1" spans="1:10" ht="15" customHeight="1" x14ac:dyDescent="0.2">
      <c r="A1" t="s">
        <v>2426</v>
      </c>
    </row>
    <row r="2" spans="1:10" ht="15" customHeight="1" x14ac:dyDescent="0.2">
      <c r="A2" t="s">
        <v>2427</v>
      </c>
    </row>
    <row r="4" spans="1:10" ht="15" customHeight="1" x14ac:dyDescent="0.2">
      <c r="A4" t="s">
        <v>2428</v>
      </c>
      <c r="B4" t="s">
        <v>2429</v>
      </c>
      <c r="F4" t="s">
        <v>2430</v>
      </c>
      <c r="G4" t="s">
        <v>2431</v>
      </c>
      <c r="H4" t="s">
        <v>2432</v>
      </c>
      <c r="I4" t="s">
        <v>2433</v>
      </c>
      <c r="J4" t="s">
        <v>2434</v>
      </c>
    </row>
    <row r="5" spans="1:10" ht="15" customHeight="1" x14ac:dyDescent="0.2">
      <c r="A5" s="420">
        <v>45658</v>
      </c>
      <c r="B5" t="s">
        <v>2435</v>
      </c>
      <c r="C5" t="s">
        <v>2428</v>
      </c>
      <c r="D5" t="s">
        <v>2436</v>
      </c>
      <c r="E5" t="s">
        <v>2437</v>
      </c>
      <c r="G5">
        <v>25000</v>
      </c>
      <c r="I5">
        <v>25000</v>
      </c>
    </row>
    <row r="6" spans="1:10" ht="15" customHeight="1" x14ac:dyDescent="0.2">
      <c r="A6" t="s">
        <v>2428</v>
      </c>
      <c r="E6" t="s">
        <v>349</v>
      </c>
      <c r="G6">
        <v>25000</v>
      </c>
      <c r="I6">
        <v>25000</v>
      </c>
    </row>
    <row r="8" spans="1:10" ht="15" customHeight="1" x14ac:dyDescent="0.2">
      <c r="A8" t="s">
        <v>2438</v>
      </c>
      <c r="B8" t="s">
        <v>2289</v>
      </c>
      <c r="F8" t="s">
        <v>2430</v>
      </c>
      <c r="G8" t="s">
        <v>2431</v>
      </c>
      <c r="H8" t="s">
        <v>2432</v>
      </c>
      <c r="I8" t="s">
        <v>2433</v>
      </c>
      <c r="J8" t="s">
        <v>2434</v>
      </c>
    </row>
    <row r="9" spans="1:10" ht="15" customHeight="1" x14ac:dyDescent="0.2">
      <c r="A9" s="420">
        <v>45716</v>
      </c>
      <c r="B9" t="s">
        <v>2439</v>
      </c>
      <c r="C9" t="s">
        <v>2438</v>
      </c>
      <c r="D9" t="s">
        <v>2440</v>
      </c>
      <c r="E9" t="s">
        <v>2441</v>
      </c>
      <c r="G9">
        <v>2500</v>
      </c>
      <c r="I9">
        <v>2500</v>
      </c>
    </row>
    <row r="10" spans="1:10" ht="15" customHeight="1" x14ac:dyDescent="0.2">
      <c r="A10" t="s">
        <v>2438</v>
      </c>
      <c r="E10" t="s">
        <v>349</v>
      </c>
      <c r="G10">
        <v>2500</v>
      </c>
      <c r="I10">
        <v>2500</v>
      </c>
    </row>
    <row r="12" spans="1:10" ht="15" customHeight="1" x14ac:dyDescent="0.2">
      <c r="A12" t="s">
        <v>2442</v>
      </c>
      <c r="B12" t="s">
        <v>2443</v>
      </c>
      <c r="F12" t="s">
        <v>2430</v>
      </c>
      <c r="G12" t="s">
        <v>2431</v>
      </c>
      <c r="H12" t="s">
        <v>2432</v>
      </c>
      <c r="I12" t="s">
        <v>2433</v>
      </c>
      <c r="J12" t="s">
        <v>2434</v>
      </c>
    </row>
    <row r="13" spans="1:10" ht="15" customHeight="1" x14ac:dyDescent="0.2">
      <c r="A13" s="420">
        <v>45716</v>
      </c>
      <c r="B13" t="s">
        <v>2439</v>
      </c>
      <c r="C13" t="s">
        <v>2442</v>
      </c>
      <c r="D13" t="s">
        <v>2440</v>
      </c>
      <c r="E13" t="s">
        <v>2441</v>
      </c>
      <c r="G13">
        <v>835.33</v>
      </c>
      <c r="I13">
        <v>835.33</v>
      </c>
    </row>
    <row r="14" spans="1:10" ht="15" customHeight="1" x14ac:dyDescent="0.2">
      <c r="A14" t="s">
        <v>2442</v>
      </c>
      <c r="E14" t="s">
        <v>349</v>
      </c>
      <c r="G14">
        <v>835.33</v>
      </c>
      <c r="I14">
        <v>835.33</v>
      </c>
    </row>
    <row r="16" spans="1:10" ht="15" customHeight="1" x14ac:dyDescent="0.2">
      <c r="A16" t="s">
        <v>2444</v>
      </c>
      <c r="B16" t="s">
        <v>2445</v>
      </c>
      <c r="F16" t="s">
        <v>2430</v>
      </c>
      <c r="G16" t="s">
        <v>2431</v>
      </c>
      <c r="H16" t="s">
        <v>2432</v>
      </c>
      <c r="I16" t="s">
        <v>2433</v>
      </c>
      <c r="J16" t="s">
        <v>2434</v>
      </c>
    </row>
    <row r="17" spans="1:10" ht="15" customHeight="1" x14ac:dyDescent="0.2">
      <c r="A17" s="420">
        <v>45658</v>
      </c>
      <c r="B17" t="s">
        <v>2435</v>
      </c>
      <c r="C17" t="s">
        <v>2444</v>
      </c>
      <c r="D17" t="s">
        <v>2436</v>
      </c>
      <c r="E17" t="s">
        <v>2446</v>
      </c>
      <c r="F17">
        <v>54214.400000000001</v>
      </c>
      <c r="H17">
        <v>54214.400000000001</v>
      </c>
    </row>
    <row r="18" spans="1:10" ht="15" customHeight="1" x14ac:dyDescent="0.2">
      <c r="A18" s="420">
        <v>45658</v>
      </c>
      <c r="B18" t="s">
        <v>2439</v>
      </c>
      <c r="C18" t="s">
        <v>2444</v>
      </c>
      <c r="D18" t="s">
        <v>2447</v>
      </c>
      <c r="E18" t="s">
        <v>2448</v>
      </c>
      <c r="G18">
        <v>54214.400000000001</v>
      </c>
    </row>
    <row r="19" spans="1:10" ht="15" customHeight="1" x14ac:dyDescent="0.2">
      <c r="A19" t="s">
        <v>2444</v>
      </c>
      <c r="E19" t="s">
        <v>349</v>
      </c>
      <c r="F19">
        <v>54214.400000000001</v>
      </c>
      <c r="G19">
        <v>54214.400000000001</v>
      </c>
    </row>
    <row r="21" spans="1:10" ht="15" customHeight="1" x14ac:dyDescent="0.2">
      <c r="A21" t="s">
        <v>2449</v>
      </c>
      <c r="B21" t="s">
        <v>2450</v>
      </c>
      <c r="F21" t="s">
        <v>2430</v>
      </c>
      <c r="G21" t="s">
        <v>2431</v>
      </c>
      <c r="H21" t="s">
        <v>2432</v>
      </c>
      <c r="I21" t="s">
        <v>2433</v>
      </c>
      <c r="J21" t="s">
        <v>2434</v>
      </c>
    </row>
    <row r="22" spans="1:10" ht="15" customHeight="1" x14ac:dyDescent="0.2">
      <c r="A22" s="420">
        <v>45658</v>
      </c>
      <c r="B22" t="s">
        <v>2439</v>
      </c>
      <c r="C22" t="s">
        <v>2449</v>
      </c>
      <c r="D22" t="s">
        <v>2447</v>
      </c>
      <c r="E22" t="s">
        <v>2448</v>
      </c>
      <c r="F22">
        <v>54214.400000000001</v>
      </c>
      <c r="H22">
        <v>54214.400000000001</v>
      </c>
    </row>
    <row r="23" spans="1:10" ht="15" customHeight="1" x14ac:dyDescent="0.2">
      <c r="A23" s="420">
        <v>45716</v>
      </c>
      <c r="B23" t="s">
        <v>2439</v>
      </c>
      <c r="C23" t="s">
        <v>2449</v>
      </c>
      <c r="D23" t="s">
        <v>2440</v>
      </c>
      <c r="E23" t="s">
        <v>2441</v>
      </c>
      <c r="G23">
        <v>54214.400000000001</v>
      </c>
    </row>
    <row r="24" spans="1:10" ht="15" customHeight="1" x14ac:dyDescent="0.2">
      <c r="A24" t="s">
        <v>2449</v>
      </c>
      <c r="E24" t="s">
        <v>349</v>
      </c>
      <c r="F24">
        <v>54214.400000000001</v>
      </c>
      <c r="G24">
        <v>54214.400000000001</v>
      </c>
    </row>
    <row r="26" spans="1:10" ht="15" customHeight="1" x14ac:dyDescent="0.2">
      <c r="A26" t="s">
        <v>2451</v>
      </c>
      <c r="B26" t="s">
        <v>2452</v>
      </c>
      <c r="F26" t="s">
        <v>2430</v>
      </c>
      <c r="G26" t="s">
        <v>2431</v>
      </c>
      <c r="H26" t="s">
        <v>2432</v>
      </c>
      <c r="I26" t="s">
        <v>2433</v>
      </c>
      <c r="J26" t="s">
        <v>2434</v>
      </c>
    </row>
    <row r="27" spans="1:10" ht="15" customHeight="1" x14ac:dyDescent="0.2">
      <c r="A27" s="420">
        <v>45658</v>
      </c>
      <c r="B27" t="s">
        <v>2435</v>
      </c>
      <c r="C27" t="s">
        <v>2451</v>
      </c>
      <c r="D27" t="s">
        <v>2436</v>
      </c>
      <c r="E27" t="s">
        <v>2453</v>
      </c>
      <c r="G27">
        <v>57549.73</v>
      </c>
      <c r="I27">
        <v>57549.73</v>
      </c>
    </row>
    <row r="28" spans="1:10" ht="15" customHeight="1" x14ac:dyDescent="0.2">
      <c r="A28" s="420">
        <v>45716</v>
      </c>
      <c r="B28" t="s">
        <v>2439</v>
      </c>
      <c r="C28" t="s">
        <v>2451</v>
      </c>
      <c r="D28" t="s">
        <v>2440</v>
      </c>
      <c r="E28" t="s">
        <v>2441</v>
      </c>
      <c r="F28">
        <v>57549.73</v>
      </c>
    </row>
    <row r="29" spans="1:10" ht="15" customHeight="1" x14ac:dyDescent="0.2">
      <c r="A29" t="s">
        <v>2451</v>
      </c>
      <c r="E29" t="s">
        <v>349</v>
      </c>
      <c r="F29">
        <v>57549.73</v>
      </c>
      <c r="G29">
        <v>57549.73</v>
      </c>
    </row>
    <row r="31" spans="1:10" ht="15" customHeight="1" x14ac:dyDescent="0.2">
      <c r="A31" t="s">
        <v>2454</v>
      </c>
      <c r="B31" t="s">
        <v>2455</v>
      </c>
      <c r="F31" t="s">
        <v>2430</v>
      </c>
      <c r="G31" t="s">
        <v>2431</v>
      </c>
      <c r="H31" t="s">
        <v>2432</v>
      </c>
      <c r="I31" t="s">
        <v>2433</v>
      </c>
      <c r="J31" t="s">
        <v>2434</v>
      </c>
    </row>
    <row r="32" spans="1:10" ht="15" customHeight="1" x14ac:dyDescent="0.2">
      <c r="A32" s="420">
        <v>45658</v>
      </c>
      <c r="B32" t="s">
        <v>2435</v>
      </c>
      <c r="C32" t="s">
        <v>2454</v>
      </c>
      <c r="D32" t="s">
        <v>2436</v>
      </c>
      <c r="E32" t="s">
        <v>2456</v>
      </c>
      <c r="G32">
        <v>13798.88</v>
      </c>
      <c r="I32">
        <v>13798.88</v>
      </c>
    </row>
    <row r="33" spans="1:10" ht="15" customHeight="1" x14ac:dyDescent="0.2">
      <c r="A33" s="420">
        <v>45662</v>
      </c>
      <c r="B33" t="s">
        <v>2457</v>
      </c>
      <c r="C33" t="s">
        <v>2454</v>
      </c>
      <c r="D33" t="s">
        <v>2458</v>
      </c>
      <c r="E33" t="s">
        <v>2459</v>
      </c>
      <c r="F33">
        <v>233.71</v>
      </c>
      <c r="I33">
        <v>13565.17</v>
      </c>
    </row>
    <row r="34" spans="1:10" ht="15" customHeight="1" x14ac:dyDescent="0.2">
      <c r="A34" s="420">
        <v>45693</v>
      </c>
      <c r="B34" t="s">
        <v>2457</v>
      </c>
      <c r="C34" t="s">
        <v>2454</v>
      </c>
      <c r="D34" t="s">
        <v>2458</v>
      </c>
      <c r="E34" t="s">
        <v>2460</v>
      </c>
      <c r="F34">
        <v>234</v>
      </c>
      <c r="I34">
        <v>13331.17</v>
      </c>
    </row>
    <row r="35" spans="1:10" ht="15" customHeight="1" x14ac:dyDescent="0.2">
      <c r="A35" s="420">
        <v>45721</v>
      </c>
      <c r="B35" t="s">
        <v>2457</v>
      </c>
      <c r="C35" t="s">
        <v>2454</v>
      </c>
      <c r="D35" t="s">
        <v>2458</v>
      </c>
      <c r="E35" t="s">
        <v>2461</v>
      </c>
      <c r="F35">
        <v>234.3</v>
      </c>
      <c r="I35">
        <v>13096.87</v>
      </c>
    </row>
    <row r="36" spans="1:10" ht="15" customHeight="1" x14ac:dyDescent="0.2">
      <c r="A36" s="420">
        <v>45752</v>
      </c>
      <c r="B36" t="s">
        <v>2457</v>
      </c>
      <c r="C36" t="s">
        <v>2454</v>
      </c>
      <c r="D36" t="s">
        <v>2458</v>
      </c>
      <c r="E36" t="s">
        <v>2462</v>
      </c>
      <c r="F36">
        <v>234.59</v>
      </c>
      <c r="I36">
        <v>12862.28</v>
      </c>
    </row>
    <row r="37" spans="1:10" ht="15" customHeight="1" x14ac:dyDescent="0.2">
      <c r="A37" s="420">
        <v>45782</v>
      </c>
      <c r="B37" t="s">
        <v>2457</v>
      </c>
      <c r="C37" t="s">
        <v>2454</v>
      </c>
      <c r="D37" t="s">
        <v>2458</v>
      </c>
      <c r="E37" t="s">
        <v>2463</v>
      </c>
      <c r="F37">
        <v>234.88</v>
      </c>
      <c r="I37">
        <v>12627.4</v>
      </c>
    </row>
    <row r="38" spans="1:10" ht="15" customHeight="1" x14ac:dyDescent="0.2">
      <c r="A38" s="420">
        <v>45813</v>
      </c>
      <c r="B38" t="s">
        <v>2457</v>
      </c>
      <c r="C38" t="s">
        <v>2454</v>
      </c>
      <c r="D38" t="s">
        <v>2458</v>
      </c>
      <c r="E38" t="s">
        <v>2464</v>
      </c>
      <c r="F38">
        <v>235.18</v>
      </c>
      <c r="I38">
        <v>12392.22</v>
      </c>
    </row>
    <row r="39" spans="1:10" ht="15" customHeight="1" x14ac:dyDescent="0.2">
      <c r="A39" s="420">
        <v>45843</v>
      </c>
      <c r="B39" t="s">
        <v>2457</v>
      </c>
      <c r="C39" t="s">
        <v>2454</v>
      </c>
      <c r="D39" t="s">
        <v>2458</v>
      </c>
      <c r="E39" t="s">
        <v>2465</v>
      </c>
      <c r="F39">
        <v>235.47</v>
      </c>
      <c r="I39">
        <v>12156.75</v>
      </c>
    </row>
    <row r="40" spans="1:10" ht="15" customHeight="1" x14ac:dyDescent="0.2">
      <c r="A40" s="420">
        <v>45874</v>
      </c>
      <c r="B40" t="s">
        <v>2457</v>
      </c>
      <c r="C40" t="s">
        <v>2454</v>
      </c>
      <c r="D40" t="s">
        <v>2458</v>
      </c>
      <c r="E40" t="s">
        <v>2466</v>
      </c>
      <c r="F40">
        <v>235.76</v>
      </c>
      <c r="I40">
        <v>11920.99</v>
      </c>
    </row>
    <row r="41" spans="1:10" ht="15" customHeight="1" x14ac:dyDescent="0.2">
      <c r="A41" s="420">
        <v>45905</v>
      </c>
      <c r="B41" t="s">
        <v>2457</v>
      </c>
      <c r="C41" t="s">
        <v>2454</v>
      </c>
      <c r="D41" t="s">
        <v>2458</v>
      </c>
      <c r="E41" t="s">
        <v>2467</v>
      </c>
      <c r="F41">
        <v>236.06</v>
      </c>
      <c r="I41">
        <v>11684.93</v>
      </c>
    </row>
    <row r="42" spans="1:10" ht="15" customHeight="1" x14ac:dyDescent="0.2">
      <c r="A42" s="420">
        <v>45935</v>
      </c>
      <c r="B42" t="s">
        <v>2457</v>
      </c>
      <c r="C42" t="s">
        <v>2454</v>
      </c>
      <c r="D42" t="s">
        <v>2458</v>
      </c>
      <c r="E42" t="s">
        <v>2468</v>
      </c>
      <c r="F42">
        <v>236.35</v>
      </c>
      <c r="I42">
        <v>11448.58</v>
      </c>
    </row>
    <row r="43" spans="1:10" ht="15" customHeight="1" x14ac:dyDescent="0.2">
      <c r="A43" s="420">
        <v>45966</v>
      </c>
      <c r="B43" t="s">
        <v>2457</v>
      </c>
      <c r="C43" t="s">
        <v>2454</v>
      </c>
      <c r="D43" t="s">
        <v>2458</v>
      </c>
      <c r="E43" t="s">
        <v>2469</v>
      </c>
      <c r="F43">
        <v>236.65</v>
      </c>
      <c r="I43">
        <v>11211.93</v>
      </c>
    </row>
    <row r="44" spans="1:10" ht="15" customHeight="1" x14ac:dyDescent="0.2">
      <c r="A44" s="420">
        <v>45996</v>
      </c>
      <c r="B44" t="s">
        <v>2457</v>
      </c>
      <c r="C44" t="s">
        <v>2454</v>
      </c>
      <c r="D44" t="s">
        <v>2458</v>
      </c>
      <c r="E44" t="s">
        <v>2470</v>
      </c>
      <c r="F44">
        <v>236.95</v>
      </c>
      <c r="I44">
        <v>10974.98</v>
      </c>
    </row>
    <row r="45" spans="1:10" ht="15" customHeight="1" x14ac:dyDescent="0.2">
      <c r="A45" t="s">
        <v>2454</v>
      </c>
      <c r="E45" t="s">
        <v>349</v>
      </c>
      <c r="F45">
        <v>2823.9</v>
      </c>
      <c r="G45">
        <v>13798.88</v>
      </c>
      <c r="I45">
        <v>10974.98</v>
      </c>
    </row>
    <row r="47" spans="1:10" ht="15" customHeight="1" x14ac:dyDescent="0.2">
      <c r="A47" t="s">
        <v>2471</v>
      </c>
      <c r="B47" t="s">
        <v>2472</v>
      </c>
      <c r="F47" t="s">
        <v>2430</v>
      </c>
      <c r="G47" t="s">
        <v>2431</v>
      </c>
      <c r="H47" t="s">
        <v>2432</v>
      </c>
      <c r="I47" t="s">
        <v>2433</v>
      </c>
      <c r="J47" t="s">
        <v>2434</v>
      </c>
    </row>
    <row r="48" spans="1:10" ht="15" customHeight="1" x14ac:dyDescent="0.2">
      <c r="A48" s="420">
        <v>45658</v>
      </c>
      <c r="B48" t="s">
        <v>2435</v>
      </c>
      <c r="C48" t="s">
        <v>2471</v>
      </c>
      <c r="D48" t="s">
        <v>2436</v>
      </c>
      <c r="E48" t="s">
        <v>2473</v>
      </c>
      <c r="G48">
        <v>35328.370000000003</v>
      </c>
      <c r="I48">
        <v>35328.370000000003</v>
      </c>
    </row>
    <row r="49" spans="1:10" ht="15" customHeight="1" x14ac:dyDescent="0.2">
      <c r="A49" s="420">
        <v>45662</v>
      </c>
      <c r="B49" t="s">
        <v>2457</v>
      </c>
      <c r="C49" t="s">
        <v>2471</v>
      </c>
      <c r="D49" t="s">
        <v>2474</v>
      </c>
      <c r="E49" t="s">
        <v>2475</v>
      </c>
      <c r="F49">
        <v>596.96</v>
      </c>
      <c r="I49">
        <v>34731.410000000003</v>
      </c>
    </row>
    <row r="50" spans="1:10" ht="15" customHeight="1" x14ac:dyDescent="0.2">
      <c r="A50" s="420">
        <v>45693</v>
      </c>
      <c r="B50" t="s">
        <v>2457</v>
      </c>
      <c r="C50" t="s">
        <v>2471</v>
      </c>
      <c r="D50" t="s">
        <v>2474</v>
      </c>
      <c r="E50" t="s">
        <v>2476</v>
      </c>
      <c r="F50">
        <v>597.75</v>
      </c>
      <c r="I50">
        <v>34133.660000000003</v>
      </c>
    </row>
    <row r="51" spans="1:10" ht="15" customHeight="1" x14ac:dyDescent="0.2">
      <c r="A51" s="420">
        <v>45721</v>
      </c>
      <c r="B51" t="s">
        <v>2457</v>
      </c>
      <c r="C51" t="s">
        <v>2471</v>
      </c>
      <c r="D51" t="s">
        <v>2474</v>
      </c>
      <c r="E51" t="s">
        <v>2477</v>
      </c>
      <c r="F51">
        <v>598.54999999999995</v>
      </c>
      <c r="I51">
        <v>33535.11</v>
      </c>
    </row>
    <row r="52" spans="1:10" ht="15" customHeight="1" x14ac:dyDescent="0.2">
      <c r="A52" s="420">
        <v>45752</v>
      </c>
      <c r="B52" t="s">
        <v>2457</v>
      </c>
      <c r="C52" t="s">
        <v>2471</v>
      </c>
      <c r="D52" t="s">
        <v>2474</v>
      </c>
      <c r="E52" t="s">
        <v>2478</v>
      </c>
      <c r="F52">
        <v>599.35</v>
      </c>
      <c r="I52">
        <v>32935.760000000002</v>
      </c>
    </row>
    <row r="53" spans="1:10" ht="15" customHeight="1" x14ac:dyDescent="0.2">
      <c r="A53" s="420">
        <v>45782</v>
      </c>
      <c r="B53" t="s">
        <v>2457</v>
      </c>
      <c r="C53" t="s">
        <v>2471</v>
      </c>
      <c r="D53" t="s">
        <v>2474</v>
      </c>
      <c r="E53" t="s">
        <v>2479</v>
      </c>
      <c r="F53">
        <v>600.15</v>
      </c>
      <c r="I53">
        <v>32335.61</v>
      </c>
    </row>
    <row r="54" spans="1:10" ht="15" customHeight="1" x14ac:dyDescent="0.2">
      <c r="A54" s="420">
        <v>45813</v>
      </c>
      <c r="B54" t="s">
        <v>2457</v>
      </c>
      <c r="C54" t="s">
        <v>2471</v>
      </c>
      <c r="D54" t="s">
        <v>2474</v>
      </c>
      <c r="E54" t="s">
        <v>2480</v>
      </c>
      <c r="F54">
        <v>600.95000000000005</v>
      </c>
      <c r="I54">
        <v>31734.66</v>
      </c>
    </row>
    <row r="55" spans="1:10" ht="15" customHeight="1" x14ac:dyDescent="0.2">
      <c r="A55" s="420">
        <v>45843</v>
      </c>
      <c r="B55" t="s">
        <v>2457</v>
      </c>
      <c r="C55" t="s">
        <v>2471</v>
      </c>
      <c r="D55" t="s">
        <v>2474</v>
      </c>
      <c r="E55" t="s">
        <v>2481</v>
      </c>
      <c r="F55">
        <v>601.75</v>
      </c>
      <c r="I55">
        <v>31132.91</v>
      </c>
    </row>
    <row r="56" spans="1:10" ht="15" customHeight="1" x14ac:dyDescent="0.2">
      <c r="A56" s="420">
        <v>45874</v>
      </c>
      <c r="B56" t="s">
        <v>2457</v>
      </c>
      <c r="C56" t="s">
        <v>2471</v>
      </c>
      <c r="D56" t="s">
        <v>2474</v>
      </c>
      <c r="E56" t="s">
        <v>2482</v>
      </c>
      <c r="F56">
        <v>602.54999999999995</v>
      </c>
      <c r="I56">
        <v>30530.36</v>
      </c>
    </row>
    <row r="57" spans="1:10" ht="15" customHeight="1" x14ac:dyDescent="0.2">
      <c r="A57" s="420">
        <v>45905</v>
      </c>
      <c r="B57" t="s">
        <v>2457</v>
      </c>
      <c r="C57" t="s">
        <v>2471</v>
      </c>
      <c r="D57" t="s">
        <v>2474</v>
      </c>
      <c r="E57" t="s">
        <v>2483</v>
      </c>
      <c r="F57">
        <v>603.35</v>
      </c>
      <c r="I57">
        <v>29927.01</v>
      </c>
    </row>
    <row r="58" spans="1:10" ht="15" customHeight="1" x14ac:dyDescent="0.2">
      <c r="A58" s="420">
        <v>45935</v>
      </c>
      <c r="B58" t="s">
        <v>2457</v>
      </c>
      <c r="C58" t="s">
        <v>2471</v>
      </c>
      <c r="D58" t="s">
        <v>2474</v>
      </c>
      <c r="E58" t="s">
        <v>2484</v>
      </c>
      <c r="F58">
        <v>604.16</v>
      </c>
      <c r="I58">
        <v>29322.85</v>
      </c>
    </row>
    <row r="59" spans="1:10" ht="15" customHeight="1" x14ac:dyDescent="0.2">
      <c r="A59" s="420">
        <v>45966</v>
      </c>
      <c r="B59" t="s">
        <v>2457</v>
      </c>
      <c r="C59" t="s">
        <v>2471</v>
      </c>
      <c r="D59" t="s">
        <v>2474</v>
      </c>
      <c r="E59" t="s">
        <v>2485</v>
      </c>
      <c r="F59">
        <v>604.96</v>
      </c>
      <c r="I59">
        <v>28717.89</v>
      </c>
    </row>
    <row r="60" spans="1:10" ht="15" customHeight="1" x14ac:dyDescent="0.2">
      <c r="A60" s="420">
        <v>45996</v>
      </c>
      <c r="B60" t="s">
        <v>2457</v>
      </c>
      <c r="C60" t="s">
        <v>2471</v>
      </c>
      <c r="D60" t="s">
        <v>2474</v>
      </c>
      <c r="E60" t="s">
        <v>2486</v>
      </c>
      <c r="F60">
        <v>605.77</v>
      </c>
      <c r="I60">
        <v>28112.12</v>
      </c>
    </row>
    <row r="61" spans="1:10" ht="15" customHeight="1" x14ac:dyDescent="0.2">
      <c r="A61" t="s">
        <v>2471</v>
      </c>
      <c r="E61" t="s">
        <v>349</v>
      </c>
      <c r="F61">
        <v>7216.25</v>
      </c>
      <c r="G61">
        <v>35328.370000000003</v>
      </c>
      <c r="I61">
        <v>28112.12</v>
      </c>
    </row>
    <row r="63" spans="1:10" ht="15" customHeight="1" x14ac:dyDescent="0.2">
      <c r="A63" t="s">
        <v>2487</v>
      </c>
      <c r="B63" t="s">
        <v>2488</v>
      </c>
      <c r="F63" t="s">
        <v>2430</v>
      </c>
      <c r="G63" t="s">
        <v>2431</v>
      </c>
      <c r="H63" t="s">
        <v>2432</v>
      </c>
      <c r="I63" t="s">
        <v>2433</v>
      </c>
      <c r="J63" t="s">
        <v>2434</v>
      </c>
    </row>
    <row r="64" spans="1:10" ht="15" customHeight="1" x14ac:dyDescent="0.2">
      <c r="A64" s="420">
        <v>45946</v>
      </c>
      <c r="B64" t="s">
        <v>2457</v>
      </c>
      <c r="C64" t="s">
        <v>2487</v>
      </c>
      <c r="D64" t="s">
        <v>2489</v>
      </c>
      <c r="E64" t="s">
        <v>2490</v>
      </c>
      <c r="G64">
        <v>10000</v>
      </c>
      <c r="I64">
        <v>10000</v>
      </c>
    </row>
    <row r="65" spans="1:10" ht="15" customHeight="1" x14ac:dyDescent="0.2">
      <c r="A65" s="420">
        <v>45977</v>
      </c>
      <c r="B65" t="s">
        <v>2457</v>
      </c>
      <c r="C65" t="s">
        <v>2487</v>
      </c>
      <c r="D65" t="s">
        <v>2489</v>
      </c>
      <c r="E65" t="s">
        <v>2491</v>
      </c>
      <c r="F65">
        <v>190.76</v>
      </c>
      <c r="I65">
        <v>9809.24</v>
      </c>
    </row>
    <row r="66" spans="1:10" ht="15" customHeight="1" x14ac:dyDescent="0.2">
      <c r="A66" s="420">
        <v>46007</v>
      </c>
      <c r="B66" t="s">
        <v>2457</v>
      </c>
      <c r="C66" t="s">
        <v>2487</v>
      </c>
      <c r="D66" t="s">
        <v>2489</v>
      </c>
      <c r="E66" t="s">
        <v>2492</v>
      </c>
      <c r="F66">
        <v>191.47</v>
      </c>
      <c r="I66">
        <v>9617.77</v>
      </c>
    </row>
    <row r="67" spans="1:10" ht="15" customHeight="1" x14ac:dyDescent="0.2">
      <c r="A67" t="s">
        <v>2487</v>
      </c>
      <c r="E67" t="s">
        <v>349</v>
      </c>
      <c r="F67">
        <v>382.23</v>
      </c>
      <c r="G67">
        <v>10000</v>
      </c>
      <c r="I67">
        <v>9617.77</v>
      </c>
    </row>
    <row r="69" spans="1:10" ht="15" customHeight="1" x14ac:dyDescent="0.2">
      <c r="A69" t="s">
        <v>2493</v>
      </c>
      <c r="B69" t="s">
        <v>2494</v>
      </c>
      <c r="F69" t="s">
        <v>2430</v>
      </c>
      <c r="G69" t="s">
        <v>2431</v>
      </c>
      <c r="H69" t="s">
        <v>2432</v>
      </c>
      <c r="I69" t="s">
        <v>2433</v>
      </c>
      <c r="J69" t="s">
        <v>2434</v>
      </c>
    </row>
    <row r="70" spans="1:10" ht="15" customHeight="1" x14ac:dyDescent="0.2">
      <c r="A70" s="420">
        <v>45946</v>
      </c>
      <c r="B70" t="s">
        <v>2457</v>
      </c>
      <c r="C70" t="s">
        <v>2493</v>
      </c>
      <c r="D70" t="s">
        <v>2495</v>
      </c>
      <c r="E70" t="s">
        <v>2496</v>
      </c>
      <c r="G70">
        <v>10624.67</v>
      </c>
      <c r="I70">
        <v>10624.67</v>
      </c>
    </row>
    <row r="71" spans="1:10" ht="15" customHeight="1" x14ac:dyDescent="0.2">
      <c r="A71" s="420">
        <v>45977</v>
      </c>
      <c r="B71" t="s">
        <v>2457</v>
      </c>
      <c r="C71" t="s">
        <v>2493</v>
      </c>
      <c r="D71" t="s">
        <v>2495</v>
      </c>
      <c r="E71" t="s">
        <v>2497</v>
      </c>
      <c r="F71">
        <v>208.61</v>
      </c>
      <c r="I71">
        <v>10416.06</v>
      </c>
    </row>
    <row r="72" spans="1:10" ht="15" customHeight="1" x14ac:dyDescent="0.2">
      <c r="A72" s="420">
        <v>46007</v>
      </c>
      <c r="B72" t="s">
        <v>2457</v>
      </c>
      <c r="C72" t="s">
        <v>2493</v>
      </c>
      <c r="D72" t="s">
        <v>2495</v>
      </c>
      <c r="E72" t="s">
        <v>2498</v>
      </c>
      <c r="F72">
        <v>209.12</v>
      </c>
      <c r="I72">
        <v>10206.94</v>
      </c>
    </row>
    <row r="73" spans="1:10" ht="15" customHeight="1" x14ac:dyDescent="0.2">
      <c r="A73" t="s">
        <v>2493</v>
      </c>
      <c r="E73" t="s">
        <v>349</v>
      </c>
      <c r="F73">
        <v>417.73</v>
      </c>
      <c r="G73">
        <v>10624.67</v>
      </c>
      <c r="I73">
        <v>10206.94</v>
      </c>
    </row>
    <row r="75" spans="1:10" ht="15" customHeight="1" x14ac:dyDescent="0.2">
      <c r="A75" t="s">
        <v>2499</v>
      </c>
      <c r="B75" t="s">
        <v>2500</v>
      </c>
      <c r="F75" t="s">
        <v>2430</v>
      </c>
      <c r="G75" t="s">
        <v>2431</v>
      </c>
      <c r="H75" t="s">
        <v>2432</v>
      </c>
      <c r="I75" t="s">
        <v>2433</v>
      </c>
      <c r="J75" t="s">
        <v>2434</v>
      </c>
    </row>
    <row r="76" spans="1:10" ht="15" customHeight="1" x14ac:dyDescent="0.2">
      <c r="A76" s="420">
        <v>45935</v>
      </c>
      <c r="B76" t="s">
        <v>2457</v>
      </c>
      <c r="C76" t="s">
        <v>2499</v>
      </c>
      <c r="D76" t="s">
        <v>2501</v>
      </c>
      <c r="E76" t="s">
        <v>2502</v>
      </c>
      <c r="G76">
        <v>20175</v>
      </c>
      <c r="I76">
        <v>20175</v>
      </c>
    </row>
    <row r="77" spans="1:10" ht="15" customHeight="1" x14ac:dyDescent="0.2">
      <c r="A77" s="420">
        <v>45966</v>
      </c>
      <c r="B77" t="s">
        <v>2457</v>
      </c>
      <c r="C77" t="s">
        <v>2499</v>
      </c>
      <c r="D77" t="s">
        <v>2501</v>
      </c>
      <c r="E77" t="s">
        <v>2503</v>
      </c>
      <c r="F77">
        <v>393.37</v>
      </c>
      <c r="I77">
        <v>19781.63</v>
      </c>
    </row>
    <row r="78" spans="1:10" ht="15" customHeight="1" x14ac:dyDescent="0.2">
      <c r="A78" s="420">
        <v>45996</v>
      </c>
      <c r="B78" t="s">
        <v>2457</v>
      </c>
      <c r="C78" t="s">
        <v>2499</v>
      </c>
      <c r="D78" t="s">
        <v>2501</v>
      </c>
      <c r="E78" t="s">
        <v>2504</v>
      </c>
      <c r="F78">
        <v>394.46</v>
      </c>
      <c r="I78">
        <v>19387.169999999998</v>
      </c>
    </row>
    <row r="79" spans="1:10" ht="15" customHeight="1" x14ac:dyDescent="0.2">
      <c r="A79" t="s">
        <v>2499</v>
      </c>
      <c r="E79" t="s">
        <v>349</v>
      </c>
      <c r="F79">
        <v>787.83</v>
      </c>
      <c r="G79">
        <v>20175</v>
      </c>
      <c r="I79">
        <v>19387.169999999998</v>
      </c>
    </row>
    <row r="81" spans="1:10" ht="15" customHeight="1" x14ac:dyDescent="0.2">
      <c r="A81" t="s">
        <v>2505</v>
      </c>
      <c r="B81" t="s">
        <v>2506</v>
      </c>
      <c r="F81" t="s">
        <v>2430</v>
      </c>
      <c r="G81" t="s">
        <v>2431</v>
      </c>
      <c r="H81" t="s">
        <v>2432</v>
      </c>
      <c r="I81" t="s">
        <v>2433</v>
      </c>
      <c r="J81" t="s">
        <v>2434</v>
      </c>
    </row>
    <row r="82" spans="1:10" ht="15" customHeight="1" x14ac:dyDescent="0.2">
      <c r="A82" s="420">
        <v>46022</v>
      </c>
      <c r="B82" t="s">
        <v>2507</v>
      </c>
      <c r="C82" t="s">
        <v>2505</v>
      </c>
      <c r="D82" t="s">
        <v>2508</v>
      </c>
      <c r="E82" t="s">
        <v>933</v>
      </c>
      <c r="G82">
        <v>12.95</v>
      </c>
      <c r="I82">
        <v>12.95</v>
      </c>
      <c r="J82" t="s">
        <v>2509</v>
      </c>
    </row>
    <row r="83" spans="1:10" ht="15" customHeight="1" x14ac:dyDescent="0.2">
      <c r="A83" s="420">
        <v>46022</v>
      </c>
      <c r="B83" t="s">
        <v>2507</v>
      </c>
      <c r="C83" t="s">
        <v>2505</v>
      </c>
      <c r="D83" t="s">
        <v>2510</v>
      </c>
      <c r="E83" t="s">
        <v>934</v>
      </c>
      <c r="G83">
        <v>7.82</v>
      </c>
      <c r="I83">
        <v>20.77</v>
      </c>
      <c r="J83" t="s">
        <v>2511</v>
      </c>
    </row>
    <row r="84" spans="1:10" ht="15" customHeight="1" x14ac:dyDescent="0.2">
      <c r="A84" s="420">
        <v>46022</v>
      </c>
      <c r="B84" t="s">
        <v>2507</v>
      </c>
      <c r="C84" t="s">
        <v>2505</v>
      </c>
      <c r="D84" t="s">
        <v>2512</v>
      </c>
      <c r="E84" t="s">
        <v>935</v>
      </c>
      <c r="G84">
        <v>45.39</v>
      </c>
      <c r="I84">
        <v>66.16</v>
      </c>
      <c r="J84" t="s">
        <v>2513</v>
      </c>
    </row>
    <row r="85" spans="1:10" ht="15" customHeight="1" x14ac:dyDescent="0.2">
      <c r="A85" t="s">
        <v>2505</v>
      </c>
      <c r="E85" t="s">
        <v>349</v>
      </c>
      <c r="G85">
        <v>66.16</v>
      </c>
      <c r="I85">
        <v>66.16</v>
      </c>
    </row>
    <row r="87" spans="1:10" ht="15" customHeight="1" x14ac:dyDescent="0.2">
      <c r="A87" t="s">
        <v>2514</v>
      </c>
      <c r="B87" t="s">
        <v>2515</v>
      </c>
      <c r="F87" t="s">
        <v>2430</v>
      </c>
      <c r="G87" t="s">
        <v>2431</v>
      </c>
      <c r="H87" t="s">
        <v>2432</v>
      </c>
      <c r="I87" t="s">
        <v>2433</v>
      </c>
      <c r="J87" t="s">
        <v>2434</v>
      </c>
    </row>
    <row r="88" spans="1:10" ht="15" customHeight="1" x14ac:dyDescent="0.2">
      <c r="A88" s="420">
        <v>45658</v>
      </c>
      <c r="B88" t="s">
        <v>2435</v>
      </c>
      <c r="C88" t="s">
        <v>2514</v>
      </c>
      <c r="D88" t="s">
        <v>2436</v>
      </c>
      <c r="E88" t="s">
        <v>2516</v>
      </c>
      <c r="G88">
        <v>53.97</v>
      </c>
      <c r="I88">
        <v>53.97</v>
      </c>
    </row>
    <row r="89" spans="1:10" ht="15" customHeight="1" x14ac:dyDescent="0.2">
      <c r="A89" s="420">
        <v>45658</v>
      </c>
      <c r="B89" t="s">
        <v>2517</v>
      </c>
      <c r="C89" t="s">
        <v>2514</v>
      </c>
      <c r="D89" t="s">
        <v>2518</v>
      </c>
      <c r="E89" t="s">
        <v>872</v>
      </c>
      <c r="F89">
        <v>39.5</v>
      </c>
      <c r="I89">
        <v>14.47</v>
      </c>
    </row>
    <row r="90" spans="1:10" ht="15" customHeight="1" x14ac:dyDescent="0.2">
      <c r="A90" s="420">
        <v>45658</v>
      </c>
      <c r="B90" t="s">
        <v>2517</v>
      </c>
      <c r="C90" t="s">
        <v>2514</v>
      </c>
      <c r="D90" t="s">
        <v>2518</v>
      </c>
      <c r="E90" t="s">
        <v>873</v>
      </c>
      <c r="F90">
        <v>14.47</v>
      </c>
    </row>
    <row r="91" spans="1:10" ht="15" customHeight="1" x14ac:dyDescent="0.2">
      <c r="A91" t="s">
        <v>2514</v>
      </c>
      <c r="E91" t="s">
        <v>349</v>
      </c>
      <c r="F91">
        <v>53.97</v>
      </c>
      <c r="G91">
        <v>53.97</v>
      </c>
    </row>
    <row r="93" spans="1:10" ht="15" customHeight="1" x14ac:dyDescent="0.2">
      <c r="A93" t="s">
        <v>2519</v>
      </c>
      <c r="B93" t="s">
        <v>2520</v>
      </c>
      <c r="F93" t="s">
        <v>2430</v>
      </c>
      <c r="G93" t="s">
        <v>2431</v>
      </c>
      <c r="H93" t="s">
        <v>2432</v>
      </c>
      <c r="I93" t="s">
        <v>2433</v>
      </c>
      <c r="J93" t="s">
        <v>2434</v>
      </c>
    </row>
    <row r="94" spans="1:10" ht="15" customHeight="1" x14ac:dyDescent="0.2">
      <c r="A94" s="420">
        <v>45658</v>
      </c>
      <c r="B94" t="s">
        <v>2435</v>
      </c>
      <c r="C94" t="s">
        <v>2519</v>
      </c>
      <c r="D94" t="s">
        <v>2436</v>
      </c>
      <c r="E94" t="s">
        <v>2521</v>
      </c>
      <c r="F94">
        <v>37000</v>
      </c>
      <c r="H94">
        <v>37000</v>
      </c>
    </row>
    <row r="95" spans="1:10" ht="15" customHeight="1" x14ac:dyDescent="0.2">
      <c r="A95" t="s">
        <v>2519</v>
      </c>
      <c r="E95" t="s">
        <v>349</v>
      </c>
      <c r="F95">
        <v>37000</v>
      </c>
      <c r="H95">
        <v>37000</v>
      </c>
    </row>
    <row r="97" spans="1:10" ht="15" customHeight="1" x14ac:dyDescent="0.2">
      <c r="A97" t="s">
        <v>2522</v>
      </c>
      <c r="B97" t="s">
        <v>2523</v>
      </c>
      <c r="F97" t="s">
        <v>2430</v>
      </c>
      <c r="G97" t="s">
        <v>2431</v>
      </c>
      <c r="H97" t="s">
        <v>2432</v>
      </c>
      <c r="I97" t="s">
        <v>2433</v>
      </c>
      <c r="J97" t="s">
        <v>2434</v>
      </c>
    </row>
    <row r="98" spans="1:10" ht="15" customHeight="1" x14ac:dyDescent="0.2">
      <c r="A98" s="420">
        <v>45658</v>
      </c>
      <c r="B98" t="s">
        <v>2435</v>
      </c>
      <c r="C98" t="s">
        <v>2522</v>
      </c>
      <c r="D98" t="s">
        <v>2436</v>
      </c>
      <c r="E98" t="s">
        <v>2524</v>
      </c>
      <c r="F98">
        <v>8539.51</v>
      </c>
      <c r="H98">
        <v>8539.51</v>
      </c>
    </row>
    <row r="99" spans="1:10" ht="15" customHeight="1" x14ac:dyDescent="0.2">
      <c r="A99" t="s">
        <v>2522</v>
      </c>
      <c r="E99" t="s">
        <v>349</v>
      </c>
      <c r="F99">
        <v>8539.51</v>
      </c>
      <c r="H99">
        <v>8539.51</v>
      </c>
    </row>
    <row r="101" spans="1:10" ht="15" customHeight="1" x14ac:dyDescent="0.2">
      <c r="A101" t="s">
        <v>2525</v>
      </c>
      <c r="B101" t="s">
        <v>2526</v>
      </c>
      <c r="F101" t="s">
        <v>2430</v>
      </c>
      <c r="G101" t="s">
        <v>2431</v>
      </c>
      <c r="H101" t="s">
        <v>2432</v>
      </c>
      <c r="I101" t="s">
        <v>2433</v>
      </c>
      <c r="J101" t="s">
        <v>2434</v>
      </c>
    </row>
    <row r="102" spans="1:10" ht="15" customHeight="1" x14ac:dyDescent="0.2">
      <c r="A102" s="420">
        <v>45658</v>
      </c>
      <c r="B102" t="s">
        <v>2435</v>
      </c>
      <c r="C102" t="s">
        <v>2525</v>
      </c>
      <c r="D102" t="s">
        <v>2436</v>
      </c>
      <c r="E102" t="s">
        <v>2527</v>
      </c>
      <c r="F102">
        <v>629.15</v>
      </c>
      <c r="H102">
        <v>629.15</v>
      </c>
    </row>
    <row r="103" spans="1:10" ht="15" customHeight="1" x14ac:dyDescent="0.2">
      <c r="A103" s="420">
        <v>45658</v>
      </c>
      <c r="B103" t="s">
        <v>2435</v>
      </c>
      <c r="C103" t="s">
        <v>2525</v>
      </c>
      <c r="D103" t="s">
        <v>2436</v>
      </c>
      <c r="E103" t="s">
        <v>2528</v>
      </c>
      <c r="F103">
        <v>3744.56</v>
      </c>
      <c r="H103">
        <v>4373.71</v>
      </c>
    </row>
    <row r="104" spans="1:10" ht="15" customHeight="1" x14ac:dyDescent="0.2">
      <c r="A104" s="420">
        <v>45658</v>
      </c>
      <c r="B104" t="s">
        <v>2435</v>
      </c>
      <c r="C104" t="s">
        <v>2525</v>
      </c>
      <c r="D104" t="s">
        <v>2436</v>
      </c>
      <c r="E104" t="s">
        <v>2529</v>
      </c>
      <c r="G104">
        <v>297.33</v>
      </c>
      <c r="H104">
        <v>4076.38</v>
      </c>
    </row>
    <row r="105" spans="1:10" ht="15" customHeight="1" x14ac:dyDescent="0.2">
      <c r="A105" s="420">
        <v>45658</v>
      </c>
      <c r="B105" t="s">
        <v>2435</v>
      </c>
      <c r="C105" t="s">
        <v>2525</v>
      </c>
      <c r="D105" t="s">
        <v>2436</v>
      </c>
      <c r="E105" t="s">
        <v>2530</v>
      </c>
      <c r="G105">
        <v>554.04999999999995</v>
      </c>
      <c r="H105">
        <v>3522.33</v>
      </c>
    </row>
    <row r="106" spans="1:10" ht="15" customHeight="1" x14ac:dyDescent="0.2">
      <c r="A106" s="420">
        <v>45658</v>
      </c>
      <c r="B106" t="s">
        <v>2435</v>
      </c>
      <c r="C106" t="s">
        <v>2525</v>
      </c>
      <c r="D106" t="s">
        <v>2436</v>
      </c>
      <c r="E106" t="s">
        <v>2531</v>
      </c>
      <c r="G106">
        <v>494.84</v>
      </c>
      <c r="H106">
        <v>3027.49</v>
      </c>
    </row>
    <row r="107" spans="1:10" ht="15" customHeight="1" x14ac:dyDescent="0.2">
      <c r="A107" s="420">
        <v>45675</v>
      </c>
      <c r="B107" t="s">
        <v>2532</v>
      </c>
      <c r="C107" t="s">
        <v>2525</v>
      </c>
      <c r="D107" t="s">
        <v>2533</v>
      </c>
      <c r="E107" t="s">
        <v>2534</v>
      </c>
      <c r="F107">
        <v>1457.5</v>
      </c>
      <c r="H107">
        <v>4484.99</v>
      </c>
    </row>
    <row r="108" spans="1:10" ht="15" customHeight="1" x14ac:dyDescent="0.2">
      <c r="A108" s="420">
        <v>45838</v>
      </c>
      <c r="B108" t="s">
        <v>2535</v>
      </c>
      <c r="C108" t="s">
        <v>2525</v>
      </c>
      <c r="D108" t="s">
        <v>2536</v>
      </c>
      <c r="E108" t="s">
        <v>2537</v>
      </c>
      <c r="G108">
        <v>1249.17</v>
      </c>
      <c r="H108">
        <v>3235.82</v>
      </c>
      <c r="J108" t="s">
        <v>2511</v>
      </c>
    </row>
    <row r="109" spans="1:10" ht="15" customHeight="1" x14ac:dyDescent="0.2">
      <c r="A109" s="420">
        <v>45839</v>
      </c>
      <c r="B109" t="s">
        <v>2535</v>
      </c>
      <c r="C109" t="s">
        <v>2525</v>
      </c>
      <c r="D109" t="s">
        <v>2536</v>
      </c>
      <c r="E109" t="s">
        <v>2538</v>
      </c>
      <c r="F109">
        <v>1249.17</v>
      </c>
      <c r="H109">
        <v>4484.99</v>
      </c>
      <c r="J109" t="s">
        <v>2511</v>
      </c>
    </row>
    <row r="110" spans="1:10" ht="15" customHeight="1" x14ac:dyDescent="0.2">
      <c r="A110" s="420">
        <v>45929</v>
      </c>
      <c r="B110" t="s">
        <v>2532</v>
      </c>
      <c r="C110" t="s">
        <v>2525</v>
      </c>
      <c r="D110" t="s">
        <v>2539</v>
      </c>
      <c r="E110" t="s">
        <v>2540</v>
      </c>
      <c r="F110">
        <v>1568</v>
      </c>
      <c r="H110">
        <v>6052.99</v>
      </c>
    </row>
    <row r="111" spans="1:10" ht="15" customHeight="1" x14ac:dyDescent="0.2">
      <c r="A111" s="420">
        <v>46022</v>
      </c>
      <c r="B111" t="s">
        <v>2541</v>
      </c>
      <c r="C111" t="s">
        <v>2525</v>
      </c>
      <c r="D111" t="s">
        <v>2542</v>
      </c>
      <c r="E111" t="s">
        <v>2543</v>
      </c>
      <c r="G111">
        <v>1249.17</v>
      </c>
      <c r="H111">
        <v>4803.82</v>
      </c>
    </row>
    <row r="112" spans="1:10" ht="15" customHeight="1" x14ac:dyDescent="0.2">
      <c r="A112" t="s">
        <v>2525</v>
      </c>
      <c r="E112" t="s">
        <v>349</v>
      </c>
      <c r="F112">
        <v>8648.3799999999992</v>
      </c>
      <c r="G112">
        <v>3844.56</v>
      </c>
      <c r="H112">
        <v>4803.82</v>
      </c>
    </row>
    <row r="114" spans="1:10" ht="15" customHeight="1" x14ac:dyDescent="0.2">
      <c r="A114" t="s">
        <v>2544</v>
      </c>
      <c r="B114" t="s">
        <v>2545</v>
      </c>
      <c r="F114" t="s">
        <v>2430</v>
      </c>
      <c r="G114" t="s">
        <v>2431</v>
      </c>
      <c r="H114" t="s">
        <v>2432</v>
      </c>
      <c r="I114" t="s">
        <v>2433</v>
      </c>
      <c r="J114" t="s">
        <v>2434</v>
      </c>
    </row>
    <row r="115" spans="1:10" ht="15" customHeight="1" x14ac:dyDescent="0.2">
      <c r="A115" s="420">
        <v>45658</v>
      </c>
      <c r="B115" t="s">
        <v>2435</v>
      </c>
      <c r="C115" t="s">
        <v>2544</v>
      </c>
      <c r="D115" t="s">
        <v>2436</v>
      </c>
      <c r="E115" t="s">
        <v>2546</v>
      </c>
      <c r="F115">
        <v>3371.44</v>
      </c>
      <c r="H115">
        <v>3371.44</v>
      </c>
    </row>
    <row r="116" spans="1:10" ht="15" customHeight="1" x14ac:dyDescent="0.2">
      <c r="A116" s="420">
        <v>45786</v>
      </c>
      <c r="B116" t="s">
        <v>2547</v>
      </c>
      <c r="C116" t="s">
        <v>2544</v>
      </c>
      <c r="D116" t="s">
        <v>2548</v>
      </c>
      <c r="E116" t="s">
        <v>2549</v>
      </c>
      <c r="F116">
        <v>500.9</v>
      </c>
      <c r="H116">
        <v>3872.34</v>
      </c>
    </row>
    <row r="117" spans="1:10" ht="15" customHeight="1" x14ac:dyDescent="0.2">
      <c r="A117" s="420">
        <v>45838</v>
      </c>
      <c r="B117" t="s">
        <v>2535</v>
      </c>
      <c r="C117" t="s">
        <v>2544</v>
      </c>
      <c r="D117" t="s">
        <v>2536</v>
      </c>
      <c r="E117" t="s">
        <v>2550</v>
      </c>
      <c r="G117">
        <v>190.64</v>
      </c>
      <c r="H117">
        <v>3681.7</v>
      </c>
      <c r="J117" t="s">
        <v>2511</v>
      </c>
    </row>
    <row r="118" spans="1:10" ht="15" customHeight="1" x14ac:dyDescent="0.2">
      <c r="A118" s="420">
        <v>45839</v>
      </c>
      <c r="B118" t="s">
        <v>2535</v>
      </c>
      <c r="C118" t="s">
        <v>2544</v>
      </c>
      <c r="D118" t="s">
        <v>2536</v>
      </c>
      <c r="E118" t="s">
        <v>2551</v>
      </c>
      <c r="F118">
        <v>190.64</v>
      </c>
      <c r="H118">
        <v>3872.34</v>
      </c>
      <c r="J118" t="s">
        <v>2511</v>
      </c>
    </row>
    <row r="119" spans="1:10" ht="15" customHeight="1" x14ac:dyDescent="0.2">
      <c r="A119" s="420">
        <v>46022</v>
      </c>
      <c r="B119" t="s">
        <v>2541</v>
      </c>
      <c r="C119" t="s">
        <v>2544</v>
      </c>
      <c r="D119" t="s">
        <v>2542</v>
      </c>
      <c r="E119" t="s">
        <v>2552</v>
      </c>
      <c r="G119">
        <v>190.64</v>
      </c>
      <c r="H119">
        <v>3681.7</v>
      </c>
    </row>
    <row r="120" spans="1:10" ht="15" customHeight="1" x14ac:dyDescent="0.2">
      <c r="A120" t="s">
        <v>2544</v>
      </c>
      <c r="E120" t="s">
        <v>349</v>
      </c>
      <c r="F120">
        <v>4062.98</v>
      </c>
      <c r="G120">
        <v>381.28</v>
      </c>
      <c r="H120">
        <v>3681.7</v>
      </c>
    </row>
    <row r="122" spans="1:10" ht="15" customHeight="1" x14ac:dyDescent="0.2">
      <c r="A122" t="s">
        <v>2553</v>
      </c>
      <c r="B122" t="s">
        <v>2554</v>
      </c>
      <c r="F122" t="s">
        <v>2430</v>
      </c>
      <c r="G122" t="s">
        <v>2431</v>
      </c>
      <c r="H122" t="s">
        <v>2432</v>
      </c>
      <c r="I122" t="s">
        <v>2433</v>
      </c>
      <c r="J122" t="s">
        <v>2434</v>
      </c>
    </row>
    <row r="123" spans="1:10" ht="15" customHeight="1" x14ac:dyDescent="0.2">
      <c r="A123" s="420">
        <v>45945</v>
      </c>
      <c r="B123" t="s">
        <v>2555</v>
      </c>
      <c r="C123" t="s">
        <v>2553</v>
      </c>
      <c r="D123" t="s">
        <v>2556</v>
      </c>
      <c r="E123" t="s">
        <v>2557</v>
      </c>
      <c r="F123">
        <v>70</v>
      </c>
      <c r="H123">
        <v>70</v>
      </c>
    </row>
    <row r="124" spans="1:10" ht="15" customHeight="1" x14ac:dyDescent="0.2">
      <c r="A124" t="s">
        <v>2553</v>
      </c>
      <c r="E124" t="s">
        <v>349</v>
      </c>
      <c r="F124">
        <v>70</v>
      </c>
      <c r="H124">
        <v>70</v>
      </c>
    </row>
    <row r="126" spans="1:10" ht="15" customHeight="1" x14ac:dyDescent="0.2">
      <c r="A126" t="s">
        <v>2558</v>
      </c>
      <c r="B126" t="s">
        <v>2559</v>
      </c>
      <c r="F126" t="s">
        <v>2430</v>
      </c>
      <c r="G126" t="s">
        <v>2431</v>
      </c>
      <c r="H126" t="s">
        <v>2432</v>
      </c>
      <c r="I126" t="s">
        <v>2433</v>
      </c>
      <c r="J126" t="s">
        <v>2434</v>
      </c>
    </row>
    <row r="127" spans="1:10" ht="15" customHeight="1" x14ac:dyDescent="0.2">
      <c r="A127" s="420">
        <v>45658</v>
      </c>
      <c r="B127" t="s">
        <v>2435</v>
      </c>
      <c r="C127" t="s">
        <v>2558</v>
      </c>
      <c r="D127" t="s">
        <v>2436</v>
      </c>
      <c r="E127" t="s">
        <v>2560</v>
      </c>
      <c r="F127">
        <v>2700</v>
      </c>
      <c r="H127">
        <v>2700</v>
      </c>
    </row>
    <row r="128" spans="1:10" ht="15" customHeight="1" x14ac:dyDescent="0.2">
      <c r="A128" s="420">
        <v>45735</v>
      </c>
      <c r="B128" t="s">
        <v>2333</v>
      </c>
      <c r="C128" t="s">
        <v>2558</v>
      </c>
      <c r="D128" t="s">
        <v>2561</v>
      </c>
      <c r="E128" t="s">
        <v>2562</v>
      </c>
      <c r="F128">
        <v>7565</v>
      </c>
      <c r="H128">
        <v>10265</v>
      </c>
    </row>
    <row r="129" spans="1:10" ht="15" customHeight="1" x14ac:dyDescent="0.2">
      <c r="A129" t="s">
        <v>2558</v>
      </c>
      <c r="E129" t="s">
        <v>349</v>
      </c>
      <c r="F129">
        <v>10265</v>
      </c>
      <c r="H129">
        <v>10265</v>
      </c>
    </row>
    <row r="131" spans="1:10" ht="15" customHeight="1" x14ac:dyDescent="0.2">
      <c r="A131" t="s">
        <v>2563</v>
      </c>
      <c r="B131" t="s">
        <v>2564</v>
      </c>
      <c r="F131" t="s">
        <v>2430</v>
      </c>
      <c r="G131" t="s">
        <v>2431</v>
      </c>
      <c r="H131" t="s">
        <v>2432</v>
      </c>
      <c r="I131" t="s">
        <v>2433</v>
      </c>
      <c r="J131" t="s">
        <v>2434</v>
      </c>
    </row>
    <row r="132" spans="1:10" ht="15" customHeight="1" x14ac:dyDescent="0.2">
      <c r="A132" s="420">
        <v>45658</v>
      </c>
      <c r="B132" t="s">
        <v>2435</v>
      </c>
      <c r="C132" t="s">
        <v>2563</v>
      </c>
      <c r="D132" t="s">
        <v>2436</v>
      </c>
      <c r="E132" t="s">
        <v>2565</v>
      </c>
      <c r="G132">
        <v>7095.88</v>
      </c>
      <c r="I132">
        <v>7095.88</v>
      </c>
    </row>
    <row r="133" spans="1:10" ht="15" customHeight="1" x14ac:dyDescent="0.2">
      <c r="A133" s="420">
        <v>45658</v>
      </c>
      <c r="B133" t="s">
        <v>2435</v>
      </c>
      <c r="C133" t="s">
        <v>2563</v>
      </c>
      <c r="D133" t="s">
        <v>2436</v>
      </c>
      <c r="E133" t="s">
        <v>2566</v>
      </c>
      <c r="G133">
        <v>2141.5</v>
      </c>
      <c r="I133">
        <v>9237.3799999999992</v>
      </c>
    </row>
    <row r="134" spans="1:10" ht="15" customHeight="1" x14ac:dyDescent="0.2">
      <c r="A134" s="420">
        <v>45658</v>
      </c>
      <c r="B134" t="s">
        <v>2435</v>
      </c>
      <c r="C134" t="s">
        <v>2563</v>
      </c>
      <c r="D134" t="s">
        <v>2436</v>
      </c>
      <c r="E134" t="s">
        <v>2567</v>
      </c>
      <c r="G134">
        <v>3140.87</v>
      </c>
      <c r="I134">
        <v>12378.25</v>
      </c>
    </row>
    <row r="135" spans="1:10" ht="15" customHeight="1" x14ac:dyDescent="0.2">
      <c r="A135" s="420">
        <v>45838</v>
      </c>
      <c r="B135" t="s">
        <v>2535</v>
      </c>
      <c r="C135" t="s">
        <v>2563</v>
      </c>
      <c r="D135" t="s">
        <v>2536</v>
      </c>
      <c r="E135" t="s">
        <v>585</v>
      </c>
      <c r="G135">
        <v>1570.44</v>
      </c>
      <c r="I135">
        <v>13948.69</v>
      </c>
      <c r="J135" t="s">
        <v>2511</v>
      </c>
    </row>
    <row r="136" spans="1:10" ht="15" customHeight="1" x14ac:dyDescent="0.2">
      <c r="A136" s="420">
        <v>45838</v>
      </c>
      <c r="B136" t="s">
        <v>2535</v>
      </c>
      <c r="C136" t="s">
        <v>2563</v>
      </c>
      <c r="D136" t="s">
        <v>2536</v>
      </c>
      <c r="E136" t="s">
        <v>586</v>
      </c>
      <c r="G136">
        <v>1070.75</v>
      </c>
      <c r="I136">
        <v>15019.44</v>
      </c>
      <c r="J136" t="s">
        <v>2509</v>
      </c>
    </row>
    <row r="137" spans="1:10" ht="15" customHeight="1" x14ac:dyDescent="0.2">
      <c r="A137" s="420">
        <v>45839</v>
      </c>
      <c r="B137" t="s">
        <v>2535</v>
      </c>
      <c r="C137" t="s">
        <v>2563</v>
      </c>
      <c r="D137" t="s">
        <v>2536</v>
      </c>
      <c r="E137" t="s">
        <v>608</v>
      </c>
      <c r="F137">
        <v>1570.44</v>
      </c>
      <c r="I137">
        <v>13449</v>
      </c>
      <c r="J137" t="s">
        <v>2511</v>
      </c>
    </row>
    <row r="138" spans="1:10" ht="15" customHeight="1" x14ac:dyDescent="0.2">
      <c r="A138" s="420">
        <v>45839</v>
      </c>
      <c r="B138" t="s">
        <v>2535</v>
      </c>
      <c r="C138" t="s">
        <v>2563</v>
      </c>
      <c r="D138" t="s">
        <v>2536</v>
      </c>
      <c r="E138" t="s">
        <v>609</v>
      </c>
      <c r="F138">
        <v>1070.75</v>
      </c>
      <c r="I138">
        <v>12378.25</v>
      </c>
      <c r="J138" t="s">
        <v>2509</v>
      </c>
    </row>
    <row r="139" spans="1:10" ht="15" customHeight="1" x14ac:dyDescent="0.2">
      <c r="A139" s="420">
        <v>46022</v>
      </c>
      <c r="B139" t="s">
        <v>2541</v>
      </c>
      <c r="C139" t="s">
        <v>2563</v>
      </c>
      <c r="D139" t="s">
        <v>2542</v>
      </c>
      <c r="E139" t="s">
        <v>627</v>
      </c>
      <c r="G139">
        <v>3140.87</v>
      </c>
      <c r="I139">
        <v>15519.12</v>
      </c>
    </row>
    <row r="140" spans="1:10" ht="15" customHeight="1" x14ac:dyDescent="0.2">
      <c r="A140" s="420">
        <v>46022</v>
      </c>
      <c r="B140" t="s">
        <v>2541</v>
      </c>
      <c r="C140" t="s">
        <v>2563</v>
      </c>
      <c r="D140" t="s">
        <v>2542</v>
      </c>
      <c r="E140" t="s">
        <v>628</v>
      </c>
      <c r="G140">
        <v>2141.5</v>
      </c>
      <c r="I140">
        <v>17660.62</v>
      </c>
    </row>
    <row r="141" spans="1:10" ht="15" customHeight="1" x14ac:dyDescent="0.2">
      <c r="A141" t="s">
        <v>2563</v>
      </c>
      <c r="E141" t="s">
        <v>349</v>
      </c>
      <c r="F141">
        <v>2641.19</v>
      </c>
      <c r="G141">
        <v>20301.810000000001</v>
      </c>
      <c r="I141">
        <v>17660.62</v>
      </c>
    </row>
    <row r="143" spans="1:10" ht="15" customHeight="1" x14ac:dyDescent="0.2">
      <c r="A143" t="s">
        <v>2568</v>
      </c>
      <c r="B143" t="s">
        <v>2569</v>
      </c>
      <c r="F143" t="s">
        <v>2430</v>
      </c>
      <c r="G143" t="s">
        <v>2431</v>
      </c>
      <c r="H143" t="s">
        <v>2432</v>
      </c>
      <c r="I143" t="s">
        <v>2433</v>
      </c>
      <c r="J143" t="s">
        <v>2434</v>
      </c>
    </row>
    <row r="144" spans="1:10" ht="15" customHeight="1" x14ac:dyDescent="0.2">
      <c r="A144" s="420">
        <v>45658</v>
      </c>
      <c r="B144" t="s">
        <v>2435</v>
      </c>
      <c r="C144" t="s">
        <v>2568</v>
      </c>
      <c r="D144" t="s">
        <v>2436</v>
      </c>
      <c r="E144" t="s">
        <v>2570</v>
      </c>
      <c r="G144">
        <v>2488.87</v>
      </c>
      <c r="I144">
        <v>2488.87</v>
      </c>
    </row>
    <row r="145" spans="1:10" ht="15" customHeight="1" x14ac:dyDescent="0.2">
      <c r="A145" s="420">
        <v>45658</v>
      </c>
      <c r="B145" t="s">
        <v>2435</v>
      </c>
      <c r="C145" t="s">
        <v>2568</v>
      </c>
      <c r="D145" t="s">
        <v>2436</v>
      </c>
      <c r="E145" t="s">
        <v>2571</v>
      </c>
      <c r="G145">
        <v>1327.2</v>
      </c>
      <c r="I145">
        <v>3816.07</v>
      </c>
    </row>
    <row r="146" spans="1:10" ht="15" customHeight="1" x14ac:dyDescent="0.2">
      <c r="A146" s="420">
        <v>45658</v>
      </c>
      <c r="B146" t="s">
        <v>2435</v>
      </c>
      <c r="C146" t="s">
        <v>2568</v>
      </c>
      <c r="D146" t="s">
        <v>2436</v>
      </c>
      <c r="E146" t="s">
        <v>2572</v>
      </c>
      <c r="G146">
        <v>632.79</v>
      </c>
      <c r="I146">
        <v>4448.8599999999997</v>
      </c>
    </row>
    <row r="147" spans="1:10" ht="15" customHeight="1" x14ac:dyDescent="0.2">
      <c r="A147" s="420">
        <v>45838</v>
      </c>
      <c r="B147" t="s">
        <v>2535</v>
      </c>
      <c r="C147" t="s">
        <v>2568</v>
      </c>
      <c r="D147" t="s">
        <v>2536</v>
      </c>
      <c r="E147" t="s">
        <v>589</v>
      </c>
      <c r="G147">
        <v>316.39</v>
      </c>
      <c r="I147">
        <v>4765.25</v>
      </c>
      <c r="J147" t="s">
        <v>2511</v>
      </c>
    </row>
    <row r="148" spans="1:10" ht="15" customHeight="1" x14ac:dyDescent="0.2">
      <c r="A148" s="420">
        <v>45838</v>
      </c>
      <c r="B148" t="s">
        <v>2535</v>
      </c>
      <c r="C148" t="s">
        <v>2568</v>
      </c>
      <c r="D148" t="s">
        <v>2536</v>
      </c>
      <c r="E148" t="s">
        <v>590</v>
      </c>
      <c r="G148">
        <v>663.6</v>
      </c>
      <c r="I148">
        <v>5428.85</v>
      </c>
      <c r="J148" t="s">
        <v>2509</v>
      </c>
    </row>
    <row r="149" spans="1:10" ht="15" customHeight="1" x14ac:dyDescent="0.2">
      <c r="A149" s="420">
        <v>45839</v>
      </c>
      <c r="B149" t="s">
        <v>2535</v>
      </c>
      <c r="C149" t="s">
        <v>2568</v>
      </c>
      <c r="D149" t="s">
        <v>2536</v>
      </c>
      <c r="E149" t="s">
        <v>618</v>
      </c>
      <c r="F149">
        <v>316.39</v>
      </c>
      <c r="I149">
        <v>5112.46</v>
      </c>
      <c r="J149" t="s">
        <v>2511</v>
      </c>
    </row>
    <row r="150" spans="1:10" ht="15" customHeight="1" x14ac:dyDescent="0.2">
      <c r="A150" s="420">
        <v>45839</v>
      </c>
      <c r="B150" t="s">
        <v>2535</v>
      </c>
      <c r="C150" t="s">
        <v>2568</v>
      </c>
      <c r="D150" t="s">
        <v>2536</v>
      </c>
      <c r="E150" t="s">
        <v>619</v>
      </c>
      <c r="F150">
        <v>663.6</v>
      </c>
      <c r="I150">
        <v>4448.8599999999997</v>
      </c>
      <c r="J150" t="s">
        <v>2509</v>
      </c>
    </row>
    <row r="151" spans="1:10" ht="15" customHeight="1" x14ac:dyDescent="0.2">
      <c r="A151" s="420">
        <v>46022</v>
      </c>
      <c r="B151" t="s">
        <v>2541</v>
      </c>
      <c r="C151" t="s">
        <v>2568</v>
      </c>
      <c r="D151" t="s">
        <v>2542</v>
      </c>
      <c r="E151" t="s">
        <v>629</v>
      </c>
      <c r="G151">
        <v>448.22</v>
      </c>
      <c r="I151">
        <v>4897.08</v>
      </c>
    </row>
    <row r="152" spans="1:10" ht="15" customHeight="1" x14ac:dyDescent="0.2">
      <c r="A152" s="420">
        <v>46022</v>
      </c>
      <c r="B152" t="s">
        <v>2541</v>
      </c>
      <c r="C152" t="s">
        <v>2568</v>
      </c>
      <c r="D152" t="s">
        <v>2542</v>
      </c>
      <c r="E152" t="s">
        <v>630</v>
      </c>
      <c r="G152">
        <v>1327.2</v>
      </c>
      <c r="I152">
        <v>6224.28</v>
      </c>
    </row>
    <row r="153" spans="1:10" ht="15" customHeight="1" x14ac:dyDescent="0.2">
      <c r="A153" t="s">
        <v>2568</v>
      </c>
      <c r="E153" t="s">
        <v>349</v>
      </c>
      <c r="F153">
        <v>979.99</v>
      </c>
      <c r="G153">
        <v>7204.27</v>
      </c>
      <c r="I153">
        <v>6224.28</v>
      </c>
    </row>
    <row r="155" spans="1:10" ht="15" customHeight="1" x14ac:dyDescent="0.2">
      <c r="A155" t="s">
        <v>2573</v>
      </c>
      <c r="B155" t="s">
        <v>2574</v>
      </c>
      <c r="F155" t="s">
        <v>2430</v>
      </c>
      <c r="G155" t="s">
        <v>2431</v>
      </c>
      <c r="H155" t="s">
        <v>2432</v>
      </c>
      <c r="I155" t="s">
        <v>2433</v>
      </c>
      <c r="J155" t="s">
        <v>2434</v>
      </c>
    </row>
    <row r="156" spans="1:10" ht="15" customHeight="1" x14ac:dyDescent="0.2">
      <c r="A156" s="420">
        <v>45658</v>
      </c>
      <c r="B156" t="s">
        <v>2435</v>
      </c>
      <c r="C156" t="s">
        <v>2573</v>
      </c>
      <c r="D156" t="s">
        <v>2436</v>
      </c>
      <c r="E156" t="s">
        <v>2575</v>
      </c>
      <c r="G156">
        <v>1291.68</v>
      </c>
      <c r="I156">
        <v>1291.68</v>
      </c>
    </row>
    <row r="157" spans="1:10" ht="15" customHeight="1" x14ac:dyDescent="0.2">
      <c r="A157" s="420">
        <v>45658</v>
      </c>
      <c r="B157" t="s">
        <v>2435</v>
      </c>
      <c r="C157" t="s">
        <v>2573</v>
      </c>
      <c r="D157" t="s">
        <v>2436</v>
      </c>
      <c r="E157" t="s">
        <v>2576</v>
      </c>
      <c r="G157">
        <v>125.83</v>
      </c>
      <c r="I157">
        <v>1417.51</v>
      </c>
    </row>
    <row r="158" spans="1:10" ht="15" customHeight="1" x14ac:dyDescent="0.2">
      <c r="A158" s="420">
        <v>45658</v>
      </c>
      <c r="B158" t="s">
        <v>2435</v>
      </c>
      <c r="C158" t="s">
        <v>2573</v>
      </c>
      <c r="D158" t="s">
        <v>2436</v>
      </c>
      <c r="E158" t="s">
        <v>2577</v>
      </c>
      <c r="G158">
        <v>76.709999999999994</v>
      </c>
      <c r="I158">
        <v>1494.22</v>
      </c>
    </row>
    <row r="159" spans="1:10" ht="15" customHeight="1" x14ac:dyDescent="0.2">
      <c r="A159" s="420">
        <v>45658</v>
      </c>
      <c r="B159" t="s">
        <v>2435</v>
      </c>
      <c r="C159" t="s">
        <v>2573</v>
      </c>
      <c r="D159" t="s">
        <v>2436</v>
      </c>
      <c r="E159" t="s">
        <v>2529</v>
      </c>
      <c r="F159">
        <v>297.33</v>
      </c>
      <c r="I159">
        <v>1196.8900000000001</v>
      </c>
    </row>
    <row r="160" spans="1:10" ht="15" customHeight="1" x14ac:dyDescent="0.2">
      <c r="A160" s="420">
        <v>45658</v>
      </c>
      <c r="B160" t="s">
        <v>2435</v>
      </c>
      <c r="C160" t="s">
        <v>2573</v>
      </c>
      <c r="D160" t="s">
        <v>2436</v>
      </c>
      <c r="E160" t="s">
        <v>2578</v>
      </c>
      <c r="G160">
        <v>98.97</v>
      </c>
      <c r="I160">
        <v>1295.8599999999999</v>
      </c>
    </row>
    <row r="161" spans="1:10" ht="15" customHeight="1" x14ac:dyDescent="0.2">
      <c r="A161" s="420">
        <v>45658</v>
      </c>
      <c r="B161" t="s">
        <v>2435</v>
      </c>
      <c r="C161" t="s">
        <v>2573</v>
      </c>
      <c r="D161" t="s">
        <v>2436</v>
      </c>
      <c r="E161" t="s">
        <v>2579</v>
      </c>
      <c r="G161">
        <v>382.34</v>
      </c>
      <c r="I161">
        <v>1678.2</v>
      </c>
    </row>
    <row r="162" spans="1:10" ht="15" customHeight="1" x14ac:dyDescent="0.2">
      <c r="A162" s="420">
        <v>45658</v>
      </c>
      <c r="B162" t="s">
        <v>2435</v>
      </c>
      <c r="C162" t="s">
        <v>2573</v>
      </c>
      <c r="D162" t="s">
        <v>2436</v>
      </c>
      <c r="E162" t="s">
        <v>2580</v>
      </c>
      <c r="G162">
        <v>187.74</v>
      </c>
      <c r="I162">
        <v>1865.94</v>
      </c>
    </row>
    <row r="163" spans="1:10" ht="15" customHeight="1" x14ac:dyDescent="0.2">
      <c r="A163" s="420">
        <v>45658</v>
      </c>
      <c r="B163" t="s">
        <v>2435</v>
      </c>
      <c r="C163" t="s">
        <v>2573</v>
      </c>
      <c r="D163" t="s">
        <v>2436</v>
      </c>
      <c r="E163" t="s">
        <v>2530</v>
      </c>
      <c r="F163">
        <v>554.04999999999995</v>
      </c>
      <c r="I163">
        <v>1311.89</v>
      </c>
    </row>
    <row r="164" spans="1:10" ht="15" customHeight="1" x14ac:dyDescent="0.2">
      <c r="A164" s="420">
        <v>45658</v>
      </c>
      <c r="B164" t="s">
        <v>2435</v>
      </c>
      <c r="C164" t="s">
        <v>2573</v>
      </c>
      <c r="D164" t="s">
        <v>2436</v>
      </c>
      <c r="E164" t="s">
        <v>2581</v>
      </c>
      <c r="G164">
        <v>184.66</v>
      </c>
      <c r="I164">
        <v>1496.55</v>
      </c>
    </row>
    <row r="165" spans="1:10" ht="15" customHeight="1" x14ac:dyDescent="0.2">
      <c r="A165" s="420">
        <v>45658</v>
      </c>
      <c r="B165" t="s">
        <v>2435</v>
      </c>
      <c r="C165" t="s">
        <v>2573</v>
      </c>
      <c r="D165" t="s">
        <v>2436</v>
      </c>
      <c r="E165" t="s">
        <v>2582</v>
      </c>
      <c r="G165">
        <v>138.79</v>
      </c>
      <c r="I165">
        <v>1635.34</v>
      </c>
    </row>
    <row r="166" spans="1:10" ht="15" customHeight="1" x14ac:dyDescent="0.2">
      <c r="A166" s="420">
        <v>45658</v>
      </c>
      <c r="B166" t="s">
        <v>2435</v>
      </c>
      <c r="C166" t="s">
        <v>2573</v>
      </c>
      <c r="D166" t="s">
        <v>2436</v>
      </c>
      <c r="E166" t="s">
        <v>2531</v>
      </c>
      <c r="F166">
        <v>494.84</v>
      </c>
      <c r="I166">
        <v>1140.5</v>
      </c>
    </row>
    <row r="167" spans="1:10" ht="15" customHeight="1" x14ac:dyDescent="0.2">
      <c r="A167" s="420">
        <v>45658</v>
      </c>
      <c r="B167" t="s">
        <v>2435</v>
      </c>
      <c r="C167" t="s">
        <v>2573</v>
      </c>
      <c r="D167" t="s">
        <v>2436</v>
      </c>
      <c r="E167" t="s">
        <v>2583</v>
      </c>
      <c r="G167">
        <v>164.89</v>
      </c>
      <c r="I167">
        <v>1305.3900000000001</v>
      </c>
    </row>
    <row r="168" spans="1:10" ht="15" customHeight="1" x14ac:dyDescent="0.2">
      <c r="A168" s="420">
        <v>45658</v>
      </c>
      <c r="B168" t="s">
        <v>2435</v>
      </c>
      <c r="C168" t="s">
        <v>2573</v>
      </c>
      <c r="D168" t="s">
        <v>2436</v>
      </c>
      <c r="E168" t="s">
        <v>2584</v>
      </c>
      <c r="G168">
        <v>415.99</v>
      </c>
      <c r="I168">
        <v>1721.38</v>
      </c>
    </row>
    <row r="169" spans="1:10" ht="15" customHeight="1" x14ac:dyDescent="0.2">
      <c r="A169" s="420">
        <v>45838</v>
      </c>
      <c r="B169" t="s">
        <v>2535</v>
      </c>
      <c r="C169" t="s">
        <v>2573</v>
      </c>
      <c r="D169" t="s">
        <v>2536</v>
      </c>
      <c r="E169" t="s">
        <v>591</v>
      </c>
      <c r="G169">
        <v>20.79</v>
      </c>
      <c r="I169">
        <v>1742.17</v>
      </c>
      <c r="J169" t="s">
        <v>2585</v>
      </c>
    </row>
    <row r="170" spans="1:10" ht="15" customHeight="1" x14ac:dyDescent="0.2">
      <c r="A170" s="420">
        <v>45838</v>
      </c>
      <c r="B170" t="s">
        <v>2535</v>
      </c>
      <c r="C170" t="s">
        <v>2573</v>
      </c>
      <c r="D170" t="s">
        <v>2536</v>
      </c>
      <c r="E170" t="s">
        <v>2537</v>
      </c>
      <c r="F170">
        <v>1249.17</v>
      </c>
      <c r="I170">
        <v>493</v>
      </c>
      <c r="J170" t="s">
        <v>2586</v>
      </c>
    </row>
    <row r="171" spans="1:10" ht="15" customHeight="1" x14ac:dyDescent="0.2">
      <c r="A171" s="420">
        <v>45838</v>
      </c>
      <c r="B171" t="s">
        <v>2535</v>
      </c>
      <c r="C171" t="s">
        <v>2573</v>
      </c>
      <c r="D171" t="s">
        <v>2536</v>
      </c>
      <c r="E171" t="s">
        <v>606</v>
      </c>
      <c r="G171">
        <v>559.79999999999995</v>
      </c>
      <c r="I171">
        <v>1052.8</v>
      </c>
      <c r="J171" t="s">
        <v>2511</v>
      </c>
    </row>
    <row r="172" spans="1:10" ht="15" customHeight="1" x14ac:dyDescent="0.2">
      <c r="A172" s="420">
        <v>45838</v>
      </c>
      <c r="B172" t="s">
        <v>2535</v>
      </c>
      <c r="C172" t="s">
        <v>2573</v>
      </c>
      <c r="D172" t="s">
        <v>2536</v>
      </c>
      <c r="E172" t="s">
        <v>592</v>
      </c>
      <c r="G172">
        <v>191.17</v>
      </c>
      <c r="I172">
        <v>1243.97</v>
      </c>
      <c r="J172" t="s">
        <v>2513</v>
      </c>
    </row>
    <row r="173" spans="1:10" ht="15" customHeight="1" x14ac:dyDescent="0.2">
      <c r="A173" s="420">
        <v>45838</v>
      </c>
      <c r="B173" t="s">
        <v>2535</v>
      </c>
      <c r="C173" t="s">
        <v>2573</v>
      </c>
      <c r="D173" t="s">
        <v>2536</v>
      </c>
      <c r="E173" t="s">
        <v>593</v>
      </c>
      <c r="G173">
        <v>104.86</v>
      </c>
      <c r="I173">
        <v>1348.83</v>
      </c>
      <c r="J173" t="s">
        <v>2509</v>
      </c>
    </row>
    <row r="174" spans="1:10" ht="15" customHeight="1" x14ac:dyDescent="0.2">
      <c r="A174" s="420">
        <v>45838</v>
      </c>
      <c r="B174" t="s">
        <v>2535</v>
      </c>
      <c r="C174" t="s">
        <v>2573</v>
      </c>
      <c r="D174" t="s">
        <v>2536</v>
      </c>
      <c r="E174" t="s">
        <v>602</v>
      </c>
      <c r="G174">
        <v>219.97</v>
      </c>
      <c r="I174">
        <v>1568.8</v>
      </c>
      <c r="J174" t="s">
        <v>2587</v>
      </c>
    </row>
    <row r="175" spans="1:10" ht="15" customHeight="1" x14ac:dyDescent="0.2">
      <c r="A175" s="420">
        <v>45839</v>
      </c>
      <c r="B175" t="s">
        <v>2535</v>
      </c>
      <c r="C175" t="s">
        <v>2573</v>
      </c>
      <c r="D175" t="s">
        <v>2536</v>
      </c>
      <c r="E175" t="s">
        <v>625</v>
      </c>
      <c r="F175">
        <v>559.79999999999995</v>
      </c>
      <c r="I175">
        <v>1009</v>
      </c>
      <c r="J175" t="s">
        <v>2511</v>
      </c>
    </row>
    <row r="176" spans="1:10" ht="15" customHeight="1" x14ac:dyDescent="0.2">
      <c r="A176" s="420">
        <v>45839</v>
      </c>
      <c r="B176" t="s">
        <v>2535</v>
      </c>
      <c r="C176" t="s">
        <v>2573</v>
      </c>
      <c r="D176" t="s">
        <v>2536</v>
      </c>
      <c r="E176" t="s">
        <v>610</v>
      </c>
      <c r="F176">
        <v>104.86</v>
      </c>
      <c r="I176">
        <v>904.14</v>
      </c>
      <c r="J176" t="s">
        <v>2509</v>
      </c>
    </row>
    <row r="177" spans="1:10" ht="15" customHeight="1" x14ac:dyDescent="0.2">
      <c r="A177" s="420">
        <v>45839</v>
      </c>
      <c r="B177" t="s">
        <v>2535</v>
      </c>
      <c r="C177" t="s">
        <v>2573</v>
      </c>
      <c r="D177" t="s">
        <v>2536</v>
      </c>
      <c r="E177" t="s">
        <v>612</v>
      </c>
      <c r="F177">
        <v>191.17</v>
      </c>
      <c r="I177">
        <v>712.97</v>
      </c>
      <c r="J177" t="s">
        <v>2513</v>
      </c>
    </row>
    <row r="178" spans="1:10" ht="15" customHeight="1" x14ac:dyDescent="0.2">
      <c r="A178" s="420">
        <v>45839</v>
      </c>
      <c r="B178" t="s">
        <v>2535</v>
      </c>
      <c r="C178" t="s">
        <v>2573</v>
      </c>
      <c r="D178" t="s">
        <v>2536</v>
      </c>
      <c r="E178" t="s">
        <v>615</v>
      </c>
      <c r="F178">
        <v>20.79</v>
      </c>
      <c r="I178">
        <v>692.18</v>
      </c>
      <c r="J178" t="s">
        <v>2585</v>
      </c>
    </row>
    <row r="179" spans="1:10" ht="15" customHeight="1" x14ac:dyDescent="0.2">
      <c r="A179" s="420">
        <v>45839</v>
      </c>
      <c r="B179" t="s">
        <v>2535</v>
      </c>
      <c r="C179" t="s">
        <v>2573</v>
      </c>
      <c r="D179" t="s">
        <v>2536</v>
      </c>
      <c r="E179" t="s">
        <v>2538</v>
      </c>
      <c r="G179">
        <v>1249.17</v>
      </c>
      <c r="I179">
        <v>1941.35</v>
      </c>
      <c r="J179" t="s">
        <v>2586</v>
      </c>
    </row>
    <row r="180" spans="1:10" ht="15" customHeight="1" x14ac:dyDescent="0.2">
      <c r="A180" s="420">
        <v>45839</v>
      </c>
      <c r="B180" t="s">
        <v>2535</v>
      </c>
      <c r="C180" t="s">
        <v>2573</v>
      </c>
      <c r="D180" t="s">
        <v>2536</v>
      </c>
      <c r="E180" t="s">
        <v>623</v>
      </c>
      <c r="F180">
        <v>219.97</v>
      </c>
      <c r="I180">
        <v>1721.38</v>
      </c>
      <c r="J180" t="s">
        <v>2587</v>
      </c>
    </row>
    <row r="181" spans="1:10" ht="15" customHeight="1" x14ac:dyDescent="0.2">
      <c r="A181" s="420">
        <v>46022</v>
      </c>
      <c r="B181" t="s">
        <v>2541</v>
      </c>
      <c r="C181" t="s">
        <v>2573</v>
      </c>
      <c r="D181" t="s">
        <v>2542</v>
      </c>
      <c r="E181" t="s">
        <v>631</v>
      </c>
      <c r="G181">
        <v>20.8</v>
      </c>
      <c r="I181">
        <v>1742.18</v>
      </c>
    </row>
    <row r="182" spans="1:10" ht="15" customHeight="1" x14ac:dyDescent="0.2">
      <c r="A182" s="420">
        <v>46022</v>
      </c>
      <c r="B182" t="s">
        <v>2541</v>
      </c>
      <c r="C182" t="s">
        <v>2573</v>
      </c>
      <c r="D182" t="s">
        <v>2542</v>
      </c>
      <c r="E182" t="s">
        <v>2543</v>
      </c>
      <c r="F182">
        <v>1249.17</v>
      </c>
      <c r="I182">
        <v>493.01</v>
      </c>
    </row>
    <row r="183" spans="1:10" ht="15" customHeight="1" x14ac:dyDescent="0.2">
      <c r="A183" s="420">
        <v>46022</v>
      </c>
      <c r="B183" t="s">
        <v>2541</v>
      </c>
      <c r="C183" t="s">
        <v>2573</v>
      </c>
      <c r="D183" t="s">
        <v>2542</v>
      </c>
      <c r="E183" t="s">
        <v>645</v>
      </c>
      <c r="G183">
        <v>279.63</v>
      </c>
      <c r="I183">
        <v>772.64</v>
      </c>
    </row>
    <row r="184" spans="1:10" ht="15" customHeight="1" x14ac:dyDescent="0.2">
      <c r="A184" s="420">
        <v>46022</v>
      </c>
      <c r="B184" t="s">
        <v>2541</v>
      </c>
      <c r="C184" t="s">
        <v>2573</v>
      </c>
      <c r="D184" t="s">
        <v>2542</v>
      </c>
      <c r="E184" t="s">
        <v>632</v>
      </c>
      <c r="G184">
        <v>382.34</v>
      </c>
      <c r="I184">
        <v>1154.98</v>
      </c>
    </row>
    <row r="185" spans="1:10" ht="15" customHeight="1" x14ac:dyDescent="0.2">
      <c r="A185" s="420">
        <v>46022</v>
      </c>
      <c r="B185" t="s">
        <v>2541</v>
      </c>
      <c r="C185" t="s">
        <v>2573</v>
      </c>
      <c r="D185" t="s">
        <v>2542</v>
      </c>
      <c r="E185" t="s">
        <v>633</v>
      </c>
      <c r="G185">
        <v>209.72</v>
      </c>
      <c r="I185">
        <v>1364.7</v>
      </c>
    </row>
    <row r="186" spans="1:10" ht="15" customHeight="1" x14ac:dyDescent="0.2">
      <c r="A186" s="420">
        <v>46022</v>
      </c>
      <c r="B186" t="s">
        <v>2541</v>
      </c>
      <c r="C186" t="s">
        <v>2573</v>
      </c>
      <c r="D186" t="s">
        <v>2542</v>
      </c>
      <c r="E186" t="s">
        <v>642</v>
      </c>
      <c r="G186">
        <v>462.89</v>
      </c>
      <c r="I186">
        <v>1827.59</v>
      </c>
    </row>
    <row r="187" spans="1:10" ht="15" customHeight="1" x14ac:dyDescent="0.2">
      <c r="A187" s="420">
        <v>46022</v>
      </c>
      <c r="B187" t="s">
        <v>2541</v>
      </c>
      <c r="C187" t="s">
        <v>2573</v>
      </c>
      <c r="D187" t="s">
        <v>2542</v>
      </c>
      <c r="E187" t="s">
        <v>644</v>
      </c>
      <c r="G187">
        <v>133.57</v>
      </c>
      <c r="I187">
        <v>1961.16</v>
      </c>
    </row>
    <row r="188" spans="1:10" ht="15" customHeight="1" x14ac:dyDescent="0.2">
      <c r="A188" t="s">
        <v>2573</v>
      </c>
      <c r="E188" t="s">
        <v>349</v>
      </c>
      <c r="F188">
        <v>4941.1499999999996</v>
      </c>
      <c r="G188">
        <v>6902.31</v>
      </c>
      <c r="I188">
        <v>1961.16</v>
      </c>
    </row>
    <row r="190" spans="1:10" ht="15" customHeight="1" x14ac:dyDescent="0.2">
      <c r="A190" t="s">
        <v>2588</v>
      </c>
      <c r="B190" t="s">
        <v>2589</v>
      </c>
      <c r="F190" t="s">
        <v>2430</v>
      </c>
      <c r="G190" t="s">
        <v>2431</v>
      </c>
      <c r="H190" t="s">
        <v>2432</v>
      </c>
      <c r="I190" t="s">
        <v>2433</v>
      </c>
      <c r="J190" t="s">
        <v>2434</v>
      </c>
    </row>
    <row r="191" spans="1:10" ht="15" customHeight="1" x14ac:dyDescent="0.2">
      <c r="A191" s="420">
        <v>45658</v>
      </c>
      <c r="B191" t="s">
        <v>2435</v>
      </c>
      <c r="C191" t="s">
        <v>2588</v>
      </c>
      <c r="D191" t="s">
        <v>2436</v>
      </c>
      <c r="E191" t="s">
        <v>2590</v>
      </c>
      <c r="G191">
        <v>671.47</v>
      </c>
      <c r="I191">
        <v>671.47</v>
      </c>
    </row>
    <row r="192" spans="1:10" ht="15" customHeight="1" x14ac:dyDescent="0.2">
      <c r="A192" s="420">
        <v>45658</v>
      </c>
      <c r="B192" t="s">
        <v>2435</v>
      </c>
      <c r="C192" t="s">
        <v>2588</v>
      </c>
      <c r="D192" t="s">
        <v>2436</v>
      </c>
      <c r="E192" t="s">
        <v>2591</v>
      </c>
      <c r="G192">
        <v>66.87</v>
      </c>
      <c r="I192">
        <v>738.34</v>
      </c>
    </row>
    <row r="193" spans="1:10" ht="15" customHeight="1" x14ac:dyDescent="0.2">
      <c r="A193" s="420">
        <v>45658</v>
      </c>
      <c r="B193" t="s">
        <v>2435</v>
      </c>
      <c r="C193" t="s">
        <v>2588</v>
      </c>
      <c r="D193" t="s">
        <v>2436</v>
      </c>
      <c r="E193" t="s">
        <v>2591</v>
      </c>
      <c r="G193">
        <v>66.37</v>
      </c>
      <c r="I193">
        <v>804.71</v>
      </c>
    </row>
    <row r="194" spans="1:10" ht="15" customHeight="1" x14ac:dyDescent="0.2">
      <c r="A194" s="420">
        <v>45658</v>
      </c>
      <c r="B194" t="s">
        <v>2435</v>
      </c>
      <c r="C194" t="s">
        <v>2588</v>
      </c>
      <c r="D194" t="s">
        <v>2436</v>
      </c>
      <c r="E194" t="s">
        <v>2592</v>
      </c>
      <c r="G194">
        <v>47.98</v>
      </c>
      <c r="I194">
        <v>852.69</v>
      </c>
    </row>
    <row r="195" spans="1:10" ht="15" customHeight="1" x14ac:dyDescent="0.2">
      <c r="A195" s="420">
        <v>45658</v>
      </c>
      <c r="B195" t="s">
        <v>2435</v>
      </c>
      <c r="C195" t="s">
        <v>2588</v>
      </c>
      <c r="D195" t="s">
        <v>2436</v>
      </c>
      <c r="E195" t="s">
        <v>2593</v>
      </c>
      <c r="G195">
        <v>61.13</v>
      </c>
      <c r="I195">
        <v>913.82</v>
      </c>
    </row>
    <row r="196" spans="1:10" ht="15" customHeight="1" x14ac:dyDescent="0.2">
      <c r="A196" s="420">
        <v>45658</v>
      </c>
      <c r="B196" t="s">
        <v>2435</v>
      </c>
      <c r="C196" t="s">
        <v>2588</v>
      </c>
      <c r="D196" t="s">
        <v>2436</v>
      </c>
      <c r="E196" t="s">
        <v>2594</v>
      </c>
      <c r="G196">
        <v>29.15</v>
      </c>
      <c r="I196">
        <v>942.97</v>
      </c>
    </row>
    <row r="197" spans="1:10" ht="15" customHeight="1" x14ac:dyDescent="0.2">
      <c r="A197" s="420">
        <v>45658</v>
      </c>
      <c r="B197" t="s">
        <v>2435</v>
      </c>
      <c r="C197" t="s">
        <v>2588</v>
      </c>
      <c r="D197" t="s">
        <v>2436</v>
      </c>
      <c r="E197" t="s">
        <v>2595</v>
      </c>
      <c r="G197">
        <v>38.1</v>
      </c>
      <c r="I197">
        <v>981.07</v>
      </c>
    </row>
    <row r="198" spans="1:10" ht="15" customHeight="1" x14ac:dyDescent="0.2">
      <c r="A198" s="420">
        <v>45658</v>
      </c>
      <c r="B198" t="s">
        <v>2435</v>
      </c>
      <c r="C198" t="s">
        <v>2588</v>
      </c>
      <c r="D198" t="s">
        <v>2436</v>
      </c>
      <c r="E198" t="s">
        <v>2592</v>
      </c>
      <c r="G198">
        <v>55.45</v>
      </c>
      <c r="I198">
        <v>1036.52</v>
      </c>
    </row>
    <row r="199" spans="1:10" ht="15" customHeight="1" x14ac:dyDescent="0.2">
      <c r="A199" s="420">
        <v>45658</v>
      </c>
      <c r="B199" t="s">
        <v>2435</v>
      </c>
      <c r="C199" t="s">
        <v>2588</v>
      </c>
      <c r="D199" t="s">
        <v>2436</v>
      </c>
      <c r="E199" t="s">
        <v>2596</v>
      </c>
      <c r="G199">
        <v>49.74</v>
      </c>
      <c r="I199">
        <v>1086.26</v>
      </c>
    </row>
    <row r="200" spans="1:10" ht="15" customHeight="1" x14ac:dyDescent="0.2">
      <c r="A200" s="420">
        <v>45658</v>
      </c>
      <c r="B200" t="s">
        <v>2435</v>
      </c>
      <c r="C200" t="s">
        <v>2588</v>
      </c>
      <c r="D200" t="s">
        <v>2436</v>
      </c>
      <c r="E200" t="s">
        <v>2597</v>
      </c>
      <c r="G200">
        <v>21.65</v>
      </c>
      <c r="I200">
        <v>1107.9100000000001</v>
      </c>
    </row>
    <row r="201" spans="1:10" ht="15" customHeight="1" x14ac:dyDescent="0.2">
      <c r="A201" s="420">
        <v>45658</v>
      </c>
      <c r="B201" t="s">
        <v>2435</v>
      </c>
      <c r="C201" t="s">
        <v>2588</v>
      </c>
      <c r="D201" t="s">
        <v>2436</v>
      </c>
      <c r="E201" t="s">
        <v>2598</v>
      </c>
      <c r="G201">
        <v>237.44</v>
      </c>
      <c r="I201">
        <v>1345.35</v>
      </c>
    </row>
    <row r="202" spans="1:10" ht="15" customHeight="1" x14ac:dyDescent="0.2">
      <c r="A202" s="420">
        <v>45838</v>
      </c>
      <c r="B202" t="s">
        <v>2535</v>
      </c>
      <c r="C202" t="s">
        <v>2588</v>
      </c>
      <c r="D202" t="s">
        <v>2536</v>
      </c>
      <c r="E202" t="s">
        <v>594</v>
      </c>
      <c r="G202">
        <v>118.72</v>
      </c>
      <c r="I202">
        <v>1464.07</v>
      </c>
      <c r="J202" t="s">
        <v>2586</v>
      </c>
    </row>
    <row r="203" spans="1:10" ht="15" customHeight="1" x14ac:dyDescent="0.2">
      <c r="A203" s="420">
        <v>45838</v>
      </c>
      <c r="B203" t="s">
        <v>2535</v>
      </c>
      <c r="C203" t="s">
        <v>2588</v>
      </c>
      <c r="D203" t="s">
        <v>2536</v>
      </c>
      <c r="E203" t="s">
        <v>595</v>
      </c>
      <c r="G203">
        <v>10.83</v>
      </c>
      <c r="I203">
        <v>1474.9</v>
      </c>
      <c r="J203" t="s">
        <v>2599</v>
      </c>
    </row>
    <row r="204" spans="1:10" ht="15" customHeight="1" x14ac:dyDescent="0.2">
      <c r="A204" s="420">
        <v>45838</v>
      </c>
      <c r="B204" t="s">
        <v>2535</v>
      </c>
      <c r="C204" t="s">
        <v>2588</v>
      </c>
      <c r="D204" t="s">
        <v>2536</v>
      </c>
      <c r="E204" t="s">
        <v>596</v>
      </c>
      <c r="G204">
        <v>24.87</v>
      </c>
      <c r="I204">
        <v>1499.77</v>
      </c>
      <c r="J204" t="s">
        <v>2600</v>
      </c>
    </row>
    <row r="205" spans="1:10" ht="15" customHeight="1" x14ac:dyDescent="0.2">
      <c r="A205" s="420">
        <v>45838</v>
      </c>
      <c r="B205" t="s">
        <v>2535</v>
      </c>
      <c r="C205" t="s">
        <v>2588</v>
      </c>
      <c r="D205" t="s">
        <v>2536</v>
      </c>
      <c r="E205" t="s">
        <v>597</v>
      </c>
      <c r="G205">
        <v>27.73</v>
      </c>
      <c r="I205">
        <v>1527.5</v>
      </c>
      <c r="J205" t="s">
        <v>2509</v>
      </c>
    </row>
    <row r="206" spans="1:10" ht="15" customHeight="1" x14ac:dyDescent="0.2">
      <c r="A206" s="420">
        <v>45838</v>
      </c>
      <c r="B206" t="s">
        <v>2535</v>
      </c>
      <c r="C206" t="s">
        <v>2588</v>
      </c>
      <c r="D206" t="s">
        <v>2536</v>
      </c>
      <c r="E206" t="s">
        <v>598</v>
      </c>
      <c r="G206">
        <v>13.65</v>
      </c>
      <c r="I206">
        <v>1541.15</v>
      </c>
      <c r="J206" t="s">
        <v>2601</v>
      </c>
    </row>
    <row r="207" spans="1:10" ht="15" customHeight="1" x14ac:dyDescent="0.2">
      <c r="A207" s="420">
        <v>45838</v>
      </c>
      <c r="B207" t="s">
        <v>2535</v>
      </c>
      <c r="C207" t="s">
        <v>2588</v>
      </c>
      <c r="D207" t="s">
        <v>2536</v>
      </c>
      <c r="E207" t="s">
        <v>2550</v>
      </c>
      <c r="F207">
        <v>190.64</v>
      </c>
      <c r="I207">
        <v>1350.51</v>
      </c>
      <c r="J207" t="s">
        <v>2602</v>
      </c>
    </row>
    <row r="208" spans="1:10" ht="15" customHeight="1" x14ac:dyDescent="0.2">
      <c r="A208" s="420">
        <v>45838</v>
      </c>
      <c r="B208" t="s">
        <v>2535</v>
      </c>
      <c r="C208" t="s">
        <v>2588</v>
      </c>
      <c r="D208" t="s">
        <v>2536</v>
      </c>
      <c r="E208" t="s">
        <v>607</v>
      </c>
      <c r="G208">
        <v>188.58</v>
      </c>
      <c r="I208">
        <v>1539.09</v>
      </c>
      <c r="J208" t="s">
        <v>2587</v>
      </c>
    </row>
    <row r="209" spans="1:10" ht="15" customHeight="1" x14ac:dyDescent="0.2">
      <c r="A209" s="420">
        <v>45838</v>
      </c>
      <c r="B209" t="s">
        <v>2535</v>
      </c>
      <c r="C209" t="s">
        <v>2588</v>
      </c>
      <c r="D209" t="s">
        <v>2536</v>
      </c>
      <c r="E209" t="s">
        <v>599</v>
      </c>
      <c r="G209">
        <v>14.58</v>
      </c>
      <c r="I209">
        <v>1553.67</v>
      </c>
      <c r="J209" t="s">
        <v>2513</v>
      </c>
    </row>
    <row r="210" spans="1:10" ht="15" customHeight="1" x14ac:dyDescent="0.2">
      <c r="A210" s="420">
        <v>45838</v>
      </c>
      <c r="B210" t="s">
        <v>2535</v>
      </c>
      <c r="C210" t="s">
        <v>2588</v>
      </c>
      <c r="D210" t="s">
        <v>2536</v>
      </c>
      <c r="E210" t="s">
        <v>600</v>
      </c>
      <c r="G210">
        <v>30.57</v>
      </c>
      <c r="I210">
        <v>1584.24</v>
      </c>
      <c r="J210" t="s">
        <v>2585</v>
      </c>
    </row>
    <row r="211" spans="1:10" ht="15" customHeight="1" x14ac:dyDescent="0.2">
      <c r="A211" s="420">
        <v>45838</v>
      </c>
      <c r="B211" t="s">
        <v>2535</v>
      </c>
      <c r="C211" t="s">
        <v>2588</v>
      </c>
      <c r="D211" t="s">
        <v>2536</v>
      </c>
      <c r="E211" t="s">
        <v>597</v>
      </c>
      <c r="G211">
        <v>23.99</v>
      </c>
      <c r="I211">
        <v>1608.23</v>
      </c>
      <c r="J211" t="s">
        <v>2511</v>
      </c>
    </row>
    <row r="212" spans="1:10" ht="15" customHeight="1" x14ac:dyDescent="0.2">
      <c r="A212" s="420">
        <v>45838</v>
      </c>
      <c r="B212" t="s">
        <v>2535</v>
      </c>
      <c r="C212" t="s">
        <v>2588</v>
      </c>
      <c r="D212" t="s">
        <v>2536</v>
      </c>
      <c r="E212" t="s">
        <v>601</v>
      </c>
      <c r="G212">
        <v>33.18</v>
      </c>
      <c r="I212">
        <v>1641.41</v>
      </c>
      <c r="J212" t="s">
        <v>2603</v>
      </c>
    </row>
    <row r="213" spans="1:10" ht="15" customHeight="1" x14ac:dyDescent="0.2">
      <c r="A213" s="420">
        <v>45838</v>
      </c>
      <c r="B213" t="s">
        <v>2535</v>
      </c>
      <c r="C213" t="s">
        <v>2588</v>
      </c>
      <c r="D213" t="s">
        <v>2536</v>
      </c>
      <c r="E213" t="s">
        <v>601</v>
      </c>
      <c r="G213">
        <v>33.44</v>
      </c>
      <c r="I213">
        <v>1674.85</v>
      </c>
      <c r="J213" t="s">
        <v>2604</v>
      </c>
    </row>
    <row r="214" spans="1:10" ht="15" customHeight="1" x14ac:dyDescent="0.2">
      <c r="A214" s="420">
        <v>45838</v>
      </c>
      <c r="B214" t="s">
        <v>2535</v>
      </c>
      <c r="C214" t="s">
        <v>2588</v>
      </c>
      <c r="D214" t="s">
        <v>2536</v>
      </c>
      <c r="E214" t="s">
        <v>603</v>
      </c>
      <c r="G214">
        <v>14.47</v>
      </c>
      <c r="I214">
        <v>1689.32</v>
      </c>
      <c r="J214" t="s">
        <v>2605</v>
      </c>
    </row>
    <row r="215" spans="1:10" ht="15" customHeight="1" x14ac:dyDescent="0.2">
      <c r="A215" s="420">
        <v>45839</v>
      </c>
      <c r="B215" t="s">
        <v>2535</v>
      </c>
      <c r="C215" t="s">
        <v>2588</v>
      </c>
      <c r="D215" t="s">
        <v>2536</v>
      </c>
      <c r="E215" t="s">
        <v>611</v>
      </c>
      <c r="F215">
        <v>23.99</v>
      </c>
      <c r="I215">
        <v>1665.33</v>
      </c>
      <c r="J215" t="s">
        <v>2511</v>
      </c>
    </row>
    <row r="216" spans="1:10" ht="15" customHeight="1" x14ac:dyDescent="0.2">
      <c r="A216" s="420">
        <v>45839</v>
      </c>
      <c r="B216" t="s">
        <v>2535</v>
      </c>
      <c r="C216" t="s">
        <v>2588</v>
      </c>
      <c r="D216" t="s">
        <v>2536</v>
      </c>
      <c r="E216" t="s">
        <v>611</v>
      </c>
      <c r="F216">
        <v>27.73</v>
      </c>
      <c r="I216">
        <v>1637.6</v>
      </c>
      <c r="J216" t="s">
        <v>2509</v>
      </c>
    </row>
    <row r="217" spans="1:10" ht="15" customHeight="1" x14ac:dyDescent="0.2">
      <c r="A217" s="420">
        <v>45839</v>
      </c>
      <c r="B217" t="s">
        <v>2535</v>
      </c>
      <c r="C217" t="s">
        <v>2588</v>
      </c>
      <c r="D217" t="s">
        <v>2536</v>
      </c>
      <c r="E217" t="s">
        <v>613</v>
      </c>
      <c r="F217">
        <v>14.58</v>
      </c>
      <c r="I217">
        <v>1623.02</v>
      </c>
      <c r="J217" t="s">
        <v>2513</v>
      </c>
    </row>
    <row r="218" spans="1:10" ht="15" customHeight="1" x14ac:dyDescent="0.2">
      <c r="A218" s="420">
        <v>45839</v>
      </c>
      <c r="B218" t="s">
        <v>2535</v>
      </c>
      <c r="C218" t="s">
        <v>2588</v>
      </c>
      <c r="D218" t="s">
        <v>2536</v>
      </c>
      <c r="E218" t="s">
        <v>614</v>
      </c>
      <c r="F218">
        <v>30.57</v>
      </c>
      <c r="I218">
        <v>1592.45</v>
      </c>
      <c r="J218" t="s">
        <v>2585</v>
      </c>
    </row>
    <row r="219" spans="1:10" ht="15" customHeight="1" x14ac:dyDescent="0.2">
      <c r="A219" s="420">
        <v>45839</v>
      </c>
      <c r="B219" t="s">
        <v>2535</v>
      </c>
      <c r="C219" t="s">
        <v>2588</v>
      </c>
      <c r="D219" t="s">
        <v>2536</v>
      </c>
      <c r="E219" t="s">
        <v>616</v>
      </c>
      <c r="F219">
        <v>118.72</v>
      </c>
      <c r="I219">
        <v>1473.73</v>
      </c>
      <c r="J219" t="s">
        <v>2586</v>
      </c>
    </row>
    <row r="220" spans="1:10" ht="15" customHeight="1" x14ac:dyDescent="0.2">
      <c r="A220" s="420">
        <v>45839</v>
      </c>
      <c r="B220" t="s">
        <v>2535</v>
      </c>
      <c r="C220" t="s">
        <v>2588</v>
      </c>
      <c r="D220" t="s">
        <v>2536</v>
      </c>
      <c r="E220" t="s">
        <v>626</v>
      </c>
      <c r="F220">
        <v>188.58</v>
      </c>
      <c r="I220">
        <v>1285.1500000000001</v>
      </c>
      <c r="J220" t="s">
        <v>2587</v>
      </c>
    </row>
    <row r="221" spans="1:10" ht="15" customHeight="1" x14ac:dyDescent="0.2">
      <c r="A221" s="420">
        <v>45839</v>
      </c>
      <c r="B221" t="s">
        <v>2535</v>
      </c>
      <c r="C221" t="s">
        <v>2588</v>
      </c>
      <c r="D221" t="s">
        <v>2536</v>
      </c>
      <c r="E221" t="s">
        <v>617</v>
      </c>
      <c r="F221">
        <v>33.18</v>
      </c>
      <c r="I221">
        <v>1251.97</v>
      </c>
      <c r="J221" t="s">
        <v>2603</v>
      </c>
    </row>
    <row r="222" spans="1:10" ht="15" customHeight="1" x14ac:dyDescent="0.2">
      <c r="A222" s="420">
        <v>45839</v>
      </c>
      <c r="B222" t="s">
        <v>2535</v>
      </c>
      <c r="C222" t="s">
        <v>2588</v>
      </c>
      <c r="D222" t="s">
        <v>2536</v>
      </c>
      <c r="E222" t="s">
        <v>617</v>
      </c>
      <c r="F222">
        <v>33.44</v>
      </c>
      <c r="I222">
        <v>1218.53</v>
      </c>
      <c r="J222" t="s">
        <v>2604</v>
      </c>
    </row>
    <row r="223" spans="1:10" ht="15" customHeight="1" x14ac:dyDescent="0.2">
      <c r="A223" s="420">
        <v>45839</v>
      </c>
      <c r="B223" t="s">
        <v>2535</v>
      </c>
      <c r="C223" t="s">
        <v>2588</v>
      </c>
      <c r="D223" t="s">
        <v>2536</v>
      </c>
      <c r="E223" t="s">
        <v>620</v>
      </c>
      <c r="F223">
        <v>10.83</v>
      </c>
      <c r="I223">
        <v>1207.7</v>
      </c>
      <c r="J223" t="s">
        <v>2599</v>
      </c>
    </row>
    <row r="224" spans="1:10" ht="15" customHeight="1" x14ac:dyDescent="0.2">
      <c r="A224" s="420">
        <v>45839</v>
      </c>
      <c r="B224" t="s">
        <v>2535</v>
      </c>
      <c r="C224" t="s">
        <v>2588</v>
      </c>
      <c r="D224" t="s">
        <v>2536</v>
      </c>
      <c r="E224" t="s">
        <v>621</v>
      </c>
      <c r="F224">
        <v>24.87</v>
      </c>
      <c r="I224">
        <v>1182.83</v>
      </c>
      <c r="J224" t="s">
        <v>2600</v>
      </c>
    </row>
    <row r="225" spans="1:10" ht="15" customHeight="1" x14ac:dyDescent="0.2">
      <c r="A225" s="420">
        <v>45839</v>
      </c>
      <c r="B225" t="s">
        <v>2535</v>
      </c>
      <c r="C225" t="s">
        <v>2588</v>
      </c>
      <c r="D225" t="s">
        <v>2536</v>
      </c>
      <c r="E225" t="s">
        <v>622</v>
      </c>
      <c r="F225">
        <v>13.65</v>
      </c>
      <c r="I225">
        <v>1169.18</v>
      </c>
      <c r="J225" t="s">
        <v>2601</v>
      </c>
    </row>
    <row r="226" spans="1:10" ht="15" customHeight="1" x14ac:dyDescent="0.2">
      <c r="A226" s="420">
        <v>45839</v>
      </c>
      <c r="B226" t="s">
        <v>2535</v>
      </c>
      <c r="C226" t="s">
        <v>2588</v>
      </c>
      <c r="D226" t="s">
        <v>2536</v>
      </c>
      <c r="E226" t="s">
        <v>2551</v>
      </c>
      <c r="G226">
        <v>190.64</v>
      </c>
      <c r="I226">
        <v>1359.82</v>
      </c>
      <c r="J226" t="s">
        <v>2602</v>
      </c>
    </row>
    <row r="227" spans="1:10" ht="15" customHeight="1" x14ac:dyDescent="0.2">
      <c r="A227" s="420">
        <v>45839</v>
      </c>
      <c r="B227" t="s">
        <v>2535</v>
      </c>
      <c r="C227" t="s">
        <v>2588</v>
      </c>
      <c r="D227" t="s">
        <v>2536</v>
      </c>
      <c r="E227" t="s">
        <v>624</v>
      </c>
      <c r="F227">
        <v>14.47</v>
      </c>
      <c r="I227">
        <v>1345.35</v>
      </c>
      <c r="J227" t="s">
        <v>2605</v>
      </c>
    </row>
    <row r="228" spans="1:10" ht="15" customHeight="1" x14ac:dyDescent="0.2">
      <c r="A228" s="420">
        <v>46022</v>
      </c>
      <c r="B228" t="s">
        <v>2541</v>
      </c>
      <c r="C228" t="s">
        <v>2588</v>
      </c>
      <c r="D228" t="s">
        <v>2542</v>
      </c>
      <c r="E228" t="s">
        <v>634</v>
      </c>
      <c r="G228">
        <v>237.44</v>
      </c>
      <c r="I228">
        <v>1582.79</v>
      </c>
    </row>
    <row r="229" spans="1:10" ht="15" customHeight="1" x14ac:dyDescent="0.2">
      <c r="A229" s="420">
        <v>46022</v>
      </c>
      <c r="B229" t="s">
        <v>2541</v>
      </c>
      <c r="C229" t="s">
        <v>2588</v>
      </c>
      <c r="D229" t="s">
        <v>2542</v>
      </c>
      <c r="E229" t="s">
        <v>635</v>
      </c>
      <c r="G229">
        <v>21.65</v>
      </c>
      <c r="I229">
        <v>1604.44</v>
      </c>
    </row>
    <row r="230" spans="1:10" ht="15" customHeight="1" x14ac:dyDescent="0.2">
      <c r="A230" s="420">
        <v>46022</v>
      </c>
      <c r="B230" t="s">
        <v>2541</v>
      </c>
      <c r="C230" t="s">
        <v>2588</v>
      </c>
      <c r="D230" t="s">
        <v>2542</v>
      </c>
      <c r="E230" t="s">
        <v>636</v>
      </c>
      <c r="G230">
        <v>49.74</v>
      </c>
      <c r="I230">
        <v>1654.18</v>
      </c>
    </row>
    <row r="231" spans="1:10" ht="15" customHeight="1" x14ac:dyDescent="0.2">
      <c r="A231" s="420">
        <v>46022</v>
      </c>
      <c r="B231" t="s">
        <v>2541</v>
      </c>
      <c r="C231" t="s">
        <v>2588</v>
      </c>
      <c r="D231" t="s">
        <v>2542</v>
      </c>
      <c r="E231" t="s">
        <v>637</v>
      </c>
      <c r="G231">
        <v>55.45</v>
      </c>
      <c r="I231">
        <v>1709.63</v>
      </c>
    </row>
    <row r="232" spans="1:10" ht="15" customHeight="1" x14ac:dyDescent="0.2">
      <c r="A232" s="420">
        <v>46022</v>
      </c>
      <c r="B232" t="s">
        <v>2541</v>
      </c>
      <c r="C232" t="s">
        <v>2588</v>
      </c>
      <c r="D232" t="s">
        <v>2542</v>
      </c>
      <c r="E232" t="s">
        <v>638</v>
      </c>
      <c r="G232">
        <v>13.65</v>
      </c>
      <c r="I232">
        <v>1723.28</v>
      </c>
    </row>
    <row r="233" spans="1:10" ht="15" customHeight="1" x14ac:dyDescent="0.2">
      <c r="A233" s="420">
        <v>46022</v>
      </c>
      <c r="B233" t="s">
        <v>2541</v>
      </c>
      <c r="C233" t="s">
        <v>2588</v>
      </c>
      <c r="D233" t="s">
        <v>2542</v>
      </c>
      <c r="E233" t="s">
        <v>2552</v>
      </c>
      <c r="F233">
        <v>190.64</v>
      </c>
      <c r="I233">
        <v>1532.64</v>
      </c>
    </row>
    <row r="234" spans="1:10" ht="15" customHeight="1" x14ac:dyDescent="0.2">
      <c r="A234" s="420">
        <v>46022</v>
      </c>
      <c r="B234" t="s">
        <v>2541</v>
      </c>
      <c r="C234" t="s">
        <v>2588</v>
      </c>
      <c r="D234" t="s">
        <v>2542</v>
      </c>
      <c r="E234" t="s">
        <v>646</v>
      </c>
      <c r="G234">
        <v>94.29</v>
      </c>
      <c r="I234">
        <v>1626.93</v>
      </c>
    </row>
    <row r="235" spans="1:10" ht="15" customHeight="1" x14ac:dyDescent="0.2">
      <c r="A235" s="420">
        <v>46022</v>
      </c>
      <c r="B235" t="s">
        <v>2541</v>
      </c>
      <c r="C235" t="s">
        <v>2588</v>
      </c>
      <c r="D235" t="s">
        <v>2542</v>
      </c>
      <c r="E235" t="s">
        <v>639</v>
      </c>
      <c r="G235">
        <v>29.15</v>
      </c>
      <c r="I235">
        <v>1656.08</v>
      </c>
    </row>
    <row r="236" spans="1:10" ht="15" customHeight="1" x14ac:dyDescent="0.2">
      <c r="A236" s="420">
        <v>46022</v>
      </c>
      <c r="B236" t="s">
        <v>2541</v>
      </c>
      <c r="C236" t="s">
        <v>2588</v>
      </c>
      <c r="D236" t="s">
        <v>2542</v>
      </c>
      <c r="E236" t="s">
        <v>640</v>
      </c>
      <c r="G236">
        <v>61.13</v>
      </c>
      <c r="I236">
        <v>1717.21</v>
      </c>
    </row>
    <row r="237" spans="1:10" ht="15" customHeight="1" x14ac:dyDescent="0.2">
      <c r="A237" s="420">
        <v>46022</v>
      </c>
      <c r="B237" t="s">
        <v>2541</v>
      </c>
      <c r="C237" t="s">
        <v>2588</v>
      </c>
      <c r="D237" t="s">
        <v>2542</v>
      </c>
      <c r="E237" t="s">
        <v>637</v>
      </c>
      <c r="G237">
        <v>47.98</v>
      </c>
      <c r="I237">
        <v>1765.19</v>
      </c>
    </row>
    <row r="238" spans="1:10" ht="15" customHeight="1" x14ac:dyDescent="0.2">
      <c r="A238" s="420">
        <v>46022</v>
      </c>
      <c r="B238" t="s">
        <v>2541</v>
      </c>
      <c r="C238" t="s">
        <v>2588</v>
      </c>
      <c r="D238" t="s">
        <v>2542</v>
      </c>
      <c r="E238" t="s">
        <v>641</v>
      </c>
      <c r="G238">
        <v>66.37</v>
      </c>
      <c r="I238">
        <v>1831.56</v>
      </c>
    </row>
    <row r="239" spans="1:10" ht="15" customHeight="1" x14ac:dyDescent="0.2">
      <c r="A239" s="420">
        <v>46022</v>
      </c>
      <c r="B239" t="s">
        <v>2541</v>
      </c>
      <c r="C239" t="s">
        <v>2588</v>
      </c>
      <c r="D239" t="s">
        <v>2542</v>
      </c>
      <c r="E239" t="s">
        <v>641</v>
      </c>
      <c r="G239">
        <v>66.87</v>
      </c>
      <c r="I239">
        <v>1898.43</v>
      </c>
    </row>
    <row r="240" spans="1:10" ht="15" customHeight="1" x14ac:dyDescent="0.2">
      <c r="A240" s="420">
        <v>46022</v>
      </c>
      <c r="B240" t="s">
        <v>2541</v>
      </c>
      <c r="C240" t="s">
        <v>2588</v>
      </c>
      <c r="D240" t="s">
        <v>2542</v>
      </c>
      <c r="E240" t="s">
        <v>643</v>
      </c>
      <c r="G240">
        <v>64.56</v>
      </c>
      <c r="I240">
        <v>1962.99</v>
      </c>
    </row>
    <row r="241" spans="1:10" ht="15" customHeight="1" x14ac:dyDescent="0.2">
      <c r="A241" t="s">
        <v>2588</v>
      </c>
      <c r="E241" t="s">
        <v>349</v>
      </c>
      <c r="F241">
        <v>915.89</v>
      </c>
      <c r="G241">
        <v>2878.88</v>
      </c>
      <c r="I241">
        <v>1962.99</v>
      </c>
    </row>
    <row r="243" spans="1:10" ht="15" customHeight="1" x14ac:dyDescent="0.2">
      <c r="A243" t="s">
        <v>2606</v>
      </c>
      <c r="B243" t="s">
        <v>2607</v>
      </c>
      <c r="F243" t="s">
        <v>2430</v>
      </c>
      <c r="G243" t="s">
        <v>2431</v>
      </c>
      <c r="H243" t="s">
        <v>2432</v>
      </c>
      <c r="I243" t="s">
        <v>2433</v>
      </c>
      <c r="J243" t="s">
        <v>2434</v>
      </c>
    </row>
    <row r="244" spans="1:10" ht="15" customHeight="1" x14ac:dyDescent="0.2">
      <c r="A244" s="420">
        <v>45846</v>
      </c>
      <c r="B244" t="s">
        <v>2532</v>
      </c>
      <c r="C244" t="s">
        <v>2606</v>
      </c>
      <c r="D244" t="s">
        <v>2608</v>
      </c>
      <c r="E244" t="s">
        <v>1121</v>
      </c>
      <c r="G244">
        <v>720</v>
      </c>
      <c r="I244">
        <v>720</v>
      </c>
      <c r="J244" t="s">
        <v>2511</v>
      </c>
    </row>
    <row r="245" spans="1:10" ht="15" customHeight="1" x14ac:dyDescent="0.2">
      <c r="A245" s="420">
        <v>45947</v>
      </c>
      <c r="B245" t="s">
        <v>2333</v>
      </c>
      <c r="C245" t="s">
        <v>2606</v>
      </c>
      <c r="D245" t="s">
        <v>2609</v>
      </c>
      <c r="E245" t="s">
        <v>2610</v>
      </c>
      <c r="F245">
        <v>720</v>
      </c>
      <c r="J245" t="s">
        <v>2511</v>
      </c>
    </row>
    <row r="246" spans="1:10" ht="15" customHeight="1" x14ac:dyDescent="0.2">
      <c r="A246" t="s">
        <v>2606</v>
      </c>
      <c r="E246" t="s">
        <v>349</v>
      </c>
      <c r="F246">
        <v>720</v>
      </c>
      <c r="G246">
        <v>720</v>
      </c>
    </row>
    <row r="248" spans="1:10" ht="15" customHeight="1" x14ac:dyDescent="0.2">
      <c r="A248" t="s">
        <v>2611</v>
      </c>
      <c r="B248" t="s">
        <v>2612</v>
      </c>
      <c r="F248" t="s">
        <v>2430</v>
      </c>
      <c r="G248" t="s">
        <v>2431</v>
      </c>
      <c r="H248" t="s">
        <v>2432</v>
      </c>
      <c r="I248" t="s">
        <v>2433</v>
      </c>
      <c r="J248" t="s">
        <v>2434</v>
      </c>
    </row>
    <row r="249" spans="1:10" ht="15" customHeight="1" x14ac:dyDescent="0.2">
      <c r="A249" s="420">
        <v>45908</v>
      </c>
      <c r="B249" t="s">
        <v>2532</v>
      </c>
      <c r="C249" t="s">
        <v>2611</v>
      </c>
      <c r="D249" t="s">
        <v>2613</v>
      </c>
      <c r="E249" t="s">
        <v>545</v>
      </c>
      <c r="G249">
        <v>20.49</v>
      </c>
      <c r="I249">
        <v>20.49</v>
      </c>
      <c r="J249" t="s">
        <v>2511</v>
      </c>
    </row>
    <row r="250" spans="1:10" ht="15" customHeight="1" x14ac:dyDescent="0.2">
      <c r="A250" s="420">
        <v>45908</v>
      </c>
      <c r="B250" t="s">
        <v>2532</v>
      </c>
      <c r="C250" t="s">
        <v>2611</v>
      </c>
      <c r="D250" t="s">
        <v>2614</v>
      </c>
      <c r="E250" t="s">
        <v>546</v>
      </c>
      <c r="G250">
        <v>70.53</v>
      </c>
      <c r="I250">
        <v>91.02</v>
      </c>
      <c r="J250" t="s">
        <v>2511</v>
      </c>
    </row>
    <row r="251" spans="1:10" ht="15" customHeight="1" x14ac:dyDescent="0.2">
      <c r="A251" s="420">
        <v>45936</v>
      </c>
      <c r="B251" t="s">
        <v>2333</v>
      </c>
      <c r="C251" t="s">
        <v>2611</v>
      </c>
      <c r="D251" t="s">
        <v>2615</v>
      </c>
      <c r="E251" t="s">
        <v>2616</v>
      </c>
      <c r="F251">
        <v>70.53</v>
      </c>
      <c r="I251">
        <v>20.49</v>
      </c>
      <c r="J251" t="s">
        <v>2511</v>
      </c>
    </row>
    <row r="252" spans="1:10" ht="15" customHeight="1" x14ac:dyDescent="0.2">
      <c r="A252" s="420">
        <v>45936</v>
      </c>
      <c r="B252" t="s">
        <v>2333</v>
      </c>
      <c r="C252" t="s">
        <v>2611</v>
      </c>
      <c r="D252" t="s">
        <v>2615</v>
      </c>
      <c r="E252" t="s">
        <v>2617</v>
      </c>
      <c r="F252">
        <v>20.49</v>
      </c>
      <c r="J252" t="s">
        <v>2511</v>
      </c>
    </row>
    <row r="253" spans="1:10" ht="15" customHeight="1" x14ac:dyDescent="0.2">
      <c r="A253" t="s">
        <v>2611</v>
      </c>
      <c r="E253" t="s">
        <v>349</v>
      </c>
      <c r="F253">
        <v>91.02</v>
      </c>
      <c r="G253">
        <v>91.02</v>
      </c>
    </row>
    <row r="255" spans="1:10" ht="15" customHeight="1" x14ac:dyDescent="0.2">
      <c r="A255" t="s">
        <v>2618</v>
      </c>
      <c r="B255" t="s">
        <v>2619</v>
      </c>
      <c r="F255" t="s">
        <v>2430</v>
      </c>
      <c r="G255" t="s">
        <v>2431</v>
      </c>
      <c r="H255" t="s">
        <v>2432</v>
      </c>
      <c r="I255" t="s">
        <v>2433</v>
      </c>
      <c r="J255" t="s">
        <v>2434</v>
      </c>
    </row>
    <row r="256" spans="1:10" ht="15" customHeight="1" x14ac:dyDescent="0.2">
      <c r="A256" s="420">
        <v>45713</v>
      </c>
      <c r="B256" t="s">
        <v>2532</v>
      </c>
      <c r="C256" t="s">
        <v>2618</v>
      </c>
      <c r="D256" t="s">
        <v>2620</v>
      </c>
      <c r="E256" t="s">
        <v>460</v>
      </c>
      <c r="G256">
        <v>6.51</v>
      </c>
      <c r="I256">
        <v>6.51</v>
      </c>
      <c r="J256" t="s">
        <v>2511</v>
      </c>
    </row>
    <row r="257" spans="1:10" ht="15" customHeight="1" x14ac:dyDescent="0.2">
      <c r="A257" s="420">
        <v>45714</v>
      </c>
      <c r="B257" t="s">
        <v>2333</v>
      </c>
      <c r="C257" t="s">
        <v>2618</v>
      </c>
      <c r="D257" t="s">
        <v>2621</v>
      </c>
      <c r="E257" t="s">
        <v>2622</v>
      </c>
      <c r="F257">
        <v>6.51</v>
      </c>
      <c r="J257" t="s">
        <v>2511</v>
      </c>
    </row>
    <row r="258" spans="1:10" ht="15" customHeight="1" x14ac:dyDescent="0.2">
      <c r="A258" t="s">
        <v>2618</v>
      </c>
      <c r="E258" t="s">
        <v>349</v>
      </c>
      <c r="F258">
        <v>6.51</v>
      </c>
      <c r="G258">
        <v>6.51</v>
      </c>
    </row>
    <row r="260" spans="1:10" ht="15" customHeight="1" x14ac:dyDescent="0.2">
      <c r="A260" t="s">
        <v>2623</v>
      </c>
      <c r="B260" t="s">
        <v>2624</v>
      </c>
      <c r="F260" t="s">
        <v>2430</v>
      </c>
      <c r="G260" t="s">
        <v>2431</v>
      </c>
      <c r="H260" t="s">
        <v>2432</v>
      </c>
      <c r="I260" t="s">
        <v>2433</v>
      </c>
      <c r="J260" t="s">
        <v>2434</v>
      </c>
    </row>
    <row r="261" spans="1:10" ht="15" customHeight="1" x14ac:dyDescent="0.2">
      <c r="A261" s="420">
        <v>45900</v>
      </c>
      <c r="B261" t="s">
        <v>2532</v>
      </c>
      <c r="C261" t="s">
        <v>2623</v>
      </c>
      <c r="D261" t="s">
        <v>2625</v>
      </c>
      <c r="E261" t="s">
        <v>1556</v>
      </c>
      <c r="G261">
        <v>288</v>
      </c>
      <c r="I261">
        <v>288</v>
      </c>
      <c r="J261" t="s">
        <v>2511</v>
      </c>
    </row>
    <row r="262" spans="1:10" ht="15" customHeight="1" x14ac:dyDescent="0.2">
      <c r="A262" s="420">
        <v>45930</v>
      </c>
      <c r="B262" t="s">
        <v>2333</v>
      </c>
      <c r="C262" t="s">
        <v>2623</v>
      </c>
      <c r="D262" t="s">
        <v>2626</v>
      </c>
      <c r="E262" t="s">
        <v>2627</v>
      </c>
      <c r="F262">
        <v>288</v>
      </c>
      <c r="J262" t="s">
        <v>2511</v>
      </c>
    </row>
    <row r="263" spans="1:10" ht="15" customHeight="1" x14ac:dyDescent="0.2">
      <c r="A263" s="420">
        <v>45930</v>
      </c>
      <c r="B263" t="s">
        <v>2532</v>
      </c>
      <c r="C263" t="s">
        <v>2623</v>
      </c>
      <c r="D263" t="s">
        <v>2628</v>
      </c>
      <c r="E263" t="s">
        <v>1574</v>
      </c>
      <c r="G263">
        <v>288</v>
      </c>
      <c r="I263">
        <v>288</v>
      </c>
      <c r="J263" t="s">
        <v>2511</v>
      </c>
    </row>
    <row r="264" spans="1:10" ht="15" customHeight="1" x14ac:dyDescent="0.2">
      <c r="A264" s="420">
        <v>45960</v>
      </c>
      <c r="B264" t="s">
        <v>2333</v>
      </c>
      <c r="C264" t="s">
        <v>2623</v>
      </c>
      <c r="D264" t="s">
        <v>2629</v>
      </c>
      <c r="E264" t="s">
        <v>2630</v>
      </c>
      <c r="F264">
        <v>288</v>
      </c>
      <c r="J264" t="s">
        <v>2511</v>
      </c>
    </row>
    <row r="265" spans="1:10" ht="15" customHeight="1" x14ac:dyDescent="0.2">
      <c r="A265" s="420">
        <v>45961</v>
      </c>
      <c r="B265" t="s">
        <v>2532</v>
      </c>
      <c r="C265" t="s">
        <v>2623</v>
      </c>
      <c r="D265" t="s">
        <v>2631</v>
      </c>
      <c r="E265" t="s">
        <v>1587</v>
      </c>
      <c r="G265">
        <v>288</v>
      </c>
      <c r="I265">
        <v>288</v>
      </c>
      <c r="J265" t="s">
        <v>2509</v>
      </c>
    </row>
    <row r="266" spans="1:10" ht="15" customHeight="1" x14ac:dyDescent="0.2">
      <c r="A266" s="420">
        <v>45991</v>
      </c>
      <c r="B266" t="s">
        <v>2532</v>
      </c>
      <c r="C266" t="s">
        <v>2623</v>
      </c>
      <c r="D266" t="s">
        <v>2632</v>
      </c>
      <c r="E266" t="s">
        <v>1599</v>
      </c>
      <c r="G266">
        <v>288</v>
      </c>
      <c r="I266">
        <v>576</v>
      </c>
      <c r="J266" t="s">
        <v>2511</v>
      </c>
    </row>
    <row r="267" spans="1:10" ht="15" customHeight="1" x14ac:dyDescent="0.2">
      <c r="A267" s="420">
        <v>45992</v>
      </c>
      <c r="B267" t="s">
        <v>2333</v>
      </c>
      <c r="C267" t="s">
        <v>2623</v>
      </c>
      <c r="D267" t="s">
        <v>2633</v>
      </c>
      <c r="E267" t="s">
        <v>2634</v>
      </c>
      <c r="F267">
        <v>288</v>
      </c>
      <c r="I267">
        <v>288</v>
      </c>
      <c r="J267" t="s">
        <v>2509</v>
      </c>
    </row>
    <row r="268" spans="1:10" ht="15" customHeight="1" x14ac:dyDescent="0.2">
      <c r="A268" s="420">
        <v>46022</v>
      </c>
      <c r="B268" t="s">
        <v>2532</v>
      </c>
      <c r="C268" t="s">
        <v>2623</v>
      </c>
      <c r="D268" t="s">
        <v>2635</v>
      </c>
      <c r="E268" t="s">
        <v>1613</v>
      </c>
      <c r="G268">
        <v>288</v>
      </c>
      <c r="I268">
        <v>576</v>
      </c>
      <c r="J268" t="s">
        <v>2509</v>
      </c>
    </row>
    <row r="269" spans="1:10" ht="15" customHeight="1" x14ac:dyDescent="0.2">
      <c r="A269" t="s">
        <v>2623</v>
      </c>
      <c r="E269" t="s">
        <v>349</v>
      </c>
      <c r="F269">
        <v>864</v>
      </c>
      <c r="G269">
        <v>1440</v>
      </c>
      <c r="I269">
        <v>576</v>
      </c>
    </row>
    <row r="271" spans="1:10" ht="15" customHeight="1" x14ac:dyDescent="0.2">
      <c r="A271" t="s">
        <v>2636</v>
      </c>
      <c r="B271" t="s">
        <v>2637</v>
      </c>
      <c r="F271" t="s">
        <v>2430</v>
      </c>
      <c r="G271" t="s">
        <v>2431</v>
      </c>
      <c r="H271" t="s">
        <v>2432</v>
      </c>
      <c r="I271" t="s">
        <v>2433</v>
      </c>
      <c r="J271" t="s">
        <v>2434</v>
      </c>
    </row>
    <row r="272" spans="1:10" ht="15" customHeight="1" x14ac:dyDescent="0.2">
      <c r="A272" s="420">
        <v>45747</v>
      </c>
      <c r="B272" t="s">
        <v>2439</v>
      </c>
      <c r="C272" t="s">
        <v>2636</v>
      </c>
      <c r="D272" t="s">
        <v>2638</v>
      </c>
      <c r="E272" t="s">
        <v>1251</v>
      </c>
      <c r="G272">
        <v>177.11</v>
      </c>
      <c r="I272">
        <v>177.11</v>
      </c>
      <c r="J272" t="s">
        <v>2511</v>
      </c>
    </row>
    <row r="273" spans="1:10" ht="15" customHeight="1" x14ac:dyDescent="0.2">
      <c r="A273" s="420">
        <v>45748</v>
      </c>
      <c r="B273" t="s">
        <v>2439</v>
      </c>
      <c r="C273" t="s">
        <v>2636</v>
      </c>
      <c r="D273" t="s">
        <v>2639</v>
      </c>
      <c r="E273" t="s">
        <v>693</v>
      </c>
      <c r="G273">
        <v>1328.26</v>
      </c>
      <c r="I273">
        <v>1505.37</v>
      </c>
      <c r="J273" t="s">
        <v>2511</v>
      </c>
    </row>
    <row r="274" spans="1:10" ht="15" customHeight="1" x14ac:dyDescent="0.2">
      <c r="A274" s="420">
        <v>45778</v>
      </c>
      <c r="B274" t="s">
        <v>2439</v>
      </c>
      <c r="C274" t="s">
        <v>2636</v>
      </c>
      <c r="D274" t="s">
        <v>2640</v>
      </c>
      <c r="E274" t="s">
        <v>705</v>
      </c>
      <c r="G274">
        <v>1328.26</v>
      </c>
      <c r="I274">
        <v>2833.63</v>
      </c>
      <c r="J274" t="s">
        <v>2511</v>
      </c>
    </row>
    <row r="275" spans="1:10" ht="15" customHeight="1" x14ac:dyDescent="0.2">
      <c r="A275" s="420">
        <v>45782</v>
      </c>
      <c r="B275" t="s">
        <v>2333</v>
      </c>
      <c r="C275" t="s">
        <v>2636</v>
      </c>
      <c r="D275" t="s">
        <v>2641</v>
      </c>
      <c r="E275" t="s">
        <v>2642</v>
      </c>
      <c r="F275">
        <v>2833.63</v>
      </c>
      <c r="J275" t="s">
        <v>2511</v>
      </c>
    </row>
    <row r="276" spans="1:10" ht="15" customHeight="1" x14ac:dyDescent="0.2">
      <c r="A276" s="420">
        <v>45809</v>
      </c>
      <c r="B276" t="s">
        <v>2439</v>
      </c>
      <c r="C276" t="s">
        <v>2636</v>
      </c>
      <c r="D276" t="s">
        <v>2643</v>
      </c>
      <c r="E276" t="s">
        <v>719</v>
      </c>
      <c r="G276">
        <v>1328.26</v>
      </c>
      <c r="I276">
        <v>1328.26</v>
      </c>
      <c r="J276" t="s">
        <v>2511</v>
      </c>
    </row>
    <row r="277" spans="1:10" ht="15" customHeight="1" x14ac:dyDescent="0.2">
      <c r="A277" s="420">
        <v>45813</v>
      </c>
      <c r="B277" t="s">
        <v>2333</v>
      </c>
      <c r="C277" t="s">
        <v>2636</v>
      </c>
      <c r="D277" t="s">
        <v>2644</v>
      </c>
      <c r="E277" t="s">
        <v>2645</v>
      </c>
      <c r="F277">
        <v>1328.25</v>
      </c>
      <c r="I277">
        <v>0.01</v>
      </c>
      <c r="J277" t="s">
        <v>2511</v>
      </c>
    </row>
    <row r="278" spans="1:10" ht="15" customHeight="1" x14ac:dyDescent="0.2">
      <c r="A278" s="420">
        <v>45839</v>
      </c>
      <c r="B278" t="s">
        <v>2439</v>
      </c>
      <c r="C278" t="s">
        <v>2636</v>
      </c>
      <c r="D278" t="s">
        <v>2646</v>
      </c>
      <c r="E278" t="s">
        <v>719</v>
      </c>
      <c r="G278">
        <v>1328.26</v>
      </c>
      <c r="I278">
        <v>1328.27</v>
      </c>
      <c r="J278" t="s">
        <v>2511</v>
      </c>
    </row>
    <row r="279" spans="1:10" ht="15" customHeight="1" x14ac:dyDescent="0.2">
      <c r="A279" s="420">
        <v>45845</v>
      </c>
      <c r="B279" t="s">
        <v>2333</v>
      </c>
      <c r="C279" t="s">
        <v>2636</v>
      </c>
      <c r="D279" t="s">
        <v>2647</v>
      </c>
      <c r="E279" t="s">
        <v>2648</v>
      </c>
      <c r="F279">
        <v>1328.25</v>
      </c>
      <c r="I279">
        <v>0.02</v>
      </c>
      <c r="J279" t="s">
        <v>2511</v>
      </c>
    </row>
    <row r="280" spans="1:10" ht="15" customHeight="1" x14ac:dyDescent="0.2">
      <c r="A280" s="420">
        <v>45870</v>
      </c>
      <c r="B280" t="s">
        <v>2439</v>
      </c>
      <c r="C280" t="s">
        <v>2636</v>
      </c>
      <c r="D280" t="s">
        <v>2649</v>
      </c>
      <c r="E280" t="s">
        <v>719</v>
      </c>
      <c r="G280">
        <v>1328.26</v>
      </c>
      <c r="I280">
        <v>1328.28</v>
      </c>
      <c r="J280" t="s">
        <v>2511</v>
      </c>
    </row>
    <row r="281" spans="1:10" ht="15" customHeight="1" x14ac:dyDescent="0.2">
      <c r="A281" s="420">
        <v>45874</v>
      </c>
      <c r="B281" t="s">
        <v>2333</v>
      </c>
      <c r="C281" t="s">
        <v>2636</v>
      </c>
      <c r="D281" t="s">
        <v>2650</v>
      </c>
      <c r="E281" t="s">
        <v>2651</v>
      </c>
      <c r="F281">
        <v>1328.25</v>
      </c>
      <c r="I281">
        <v>0.03</v>
      </c>
      <c r="J281" t="s">
        <v>2511</v>
      </c>
    </row>
    <row r="282" spans="1:10" ht="15" customHeight="1" x14ac:dyDescent="0.2">
      <c r="A282" s="420">
        <v>45901</v>
      </c>
      <c r="B282" t="s">
        <v>2439</v>
      </c>
      <c r="C282" t="s">
        <v>2636</v>
      </c>
      <c r="D282" t="s">
        <v>2652</v>
      </c>
      <c r="E282" t="s">
        <v>719</v>
      </c>
      <c r="G282">
        <v>1328.26</v>
      </c>
      <c r="I282">
        <v>1328.29</v>
      </c>
      <c r="J282" t="s">
        <v>2511</v>
      </c>
    </row>
    <row r="283" spans="1:10" ht="15" customHeight="1" x14ac:dyDescent="0.2">
      <c r="A283" s="420">
        <v>45905</v>
      </c>
      <c r="B283" t="s">
        <v>2333</v>
      </c>
      <c r="C283" t="s">
        <v>2636</v>
      </c>
      <c r="D283" t="s">
        <v>2653</v>
      </c>
      <c r="E283" t="s">
        <v>2654</v>
      </c>
      <c r="F283">
        <v>1328.25</v>
      </c>
      <c r="I283">
        <v>0.04</v>
      </c>
      <c r="J283" t="s">
        <v>2511</v>
      </c>
    </row>
    <row r="284" spans="1:10" ht="15" customHeight="1" x14ac:dyDescent="0.2">
      <c r="A284" s="420">
        <v>45931</v>
      </c>
      <c r="B284" t="s">
        <v>2439</v>
      </c>
      <c r="C284" t="s">
        <v>2636</v>
      </c>
      <c r="D284" t="s">
        <v>2655</v>
      </c>
      <c r="E284" t="s">
        <v>719</v>
      </c>
      <c r="G284">
        <v>1328.26</v>
      </c>
      <c r="I284">
        <v>1328.3</v>
      </c>
      <c r="J284" t="s">
        <v>2511</v>
      </c>
    </row>
    <row r="285" spans="1:10" ht="15" customHeight="1" x14ac:dyDescent="0.2">
      <c r="A285" s="420">
        <v>45936</v>
      </c>
      <c r="B285" t="s">
        <v>2333</v>
      </c>
      <c r="C285" t="s">
        <v>2636</v>
      </c>
      <c r="D285" t="s">
        <v>2656</v>
      </c>
      <c r="E285" t="s">
        <v>2657</v>
      </c>
      <c r="F285">
        <v>1328.25</v>
      </c>
      <c r="I285">
        <v>0.05</v>
      </c>
      <c r="J285" t="s">
        <v>2511</v>
      </c>
    </row>
    <row r="286" spans="1:10" ht="15" customHeight="1" x14ac:dyDescent="0.2">
      <c r="A286" s="420">
        <v>45962</v>
      </c>
      <c r="B286" t="s">
        <v>2439</v>
      </c>
      <c r="C286" t="s">
        <v>2636</v>
      </c>
      <c r="D286" t="s">
        <v>2658</v>
      </c>
      <c r="E286" t="s">
        <v>719</v>
      </c>
      <c r="G286">
        <v>1328.26</v>
      </c>
      <c r="I286">
        <v>1328.31</v>
      </c>
      <c r="J286" t="s">
        <v>2511</v>
      </c>
    </row>
    <row r="287" spans="1:10" ht="15" customHeight="1" x14ac:dyDescent="0.2">
      <c r="A287" s="420">
        <v>45966</v>
      </c>
      <c r="B287" t="s">
        <v>2333</v>
      </c>
      <c r="C287" t="s">
        <v>2636</v>
      </c>
      <c r="D287" t="s">
        <v>2659</v>
      </c>
      <c r="E287" t="s">
        <v>2660</v>
      </c>
      <c r="F287">
        <v>1328.25</v>
      </c>
      <c r="I287">
        <v>0.06</v>
      </c>
      <c r="J287" t="s">
        <v>2511</v>
      </c>
    </row>
    <row r="288" spans="1:10" ht="15" customHeight="1" x14ac:dyDescent="0.2">
      <c r="A288" s="420">
        <v>45992</v>
      </c>
      <c r="B288" t="s">
        <v>2439</v>
      </c>
      <c r="C288" t="s">
        <v>2636</v>
      </c>
      <c r="D288" t="s">
        <v>2661</v>
      </c>
      <c r="E288" t="s">
        <v>719</v>
      </c>
      <c r="G288">
        <v>1328.26</v>
      </c>
      <c r="I288">
        <v>1328.32</v>
      </c>
      <c r="J288" t="s">
        <v>2511</v>
      </c>
    </row>
    <row r="289" spans="1:10" ht="15" customHeight="1" x14ac:dyDescent="0.2">
      <c r="A289" s="420">
        <v>45996</v>
      </c>
      <c r="B289" t="s">
        <v>2333</v>
      </c>
      <c r="C289" t="s">
        <v>2636</v>
      </c>
      <c r="D289" t="s">
        <v>2662</v>
      </c>
      <c r="E289" t="s">
        <v>2663</v>
      </c>
      <c r="F289">
        <v>1328.25</v>
      </c>
      <c r="I289">
        <v>7.0000000000000007E-2</v>
      </c>
      <c r="J289" t="s">
        <v>2511</v>
      </c>
    </row>
    <row r="290" spans="1:10" ht="15" customHeight="1" x14ac:dyDescent="0.2">
      <c r="A290" s="420">
        <v>45996</v>
      </c>
      <c r="B290" t="s">
        <v>2517</v>
      </c>
      <c r="C290" t="s">
        <v>2636</v>
      </c>
      <c r="D290" t="s">
        <v>2664</v>
      </c>
      <c r="E290" t="s">
        <v>2665</v>
      </c>
      <c r="F290">
        <v>7.0000000000000007E-2</v>
      </c>
      <c r="J290" t="s">
        <v>2511</v>
      </c>
    </row>
    <row r="291" spans="1:10" ht="15" customHeight="1" x14ac:dyDescent="0.2">
      <c r="A291" t="s">
        <v>2636</v>
      </c>
      <c r="E291" t="s">
        <v>349</v>
      </c>
      <c r="F291">
        <v>12131.45</v>
      </c>
      <c r="G291">
        <v>12131.45</v>
      </c>
    </row>
    <row r="293" spans="1:10" ht="15" customHeight="1" x14ac:dyDescent="0.2">
      <c r="A293" t="s">
        <v>2666</v>
      </c>
      <c r="B293" t="s">
        <v>2667</v>
      </c>
      <c r="F293" t="s">
        <v>2430</v>
      </c>
      <c r="G293" t="s">
        <v>2431</v>
      </c>
      <c r="H293" t="s">
        <v>2432</v>
      </c>
      <c r="I293" t="s">
        <v>2433</v>
      </c>
      <c r="J293" t="s">
        <v>2434</v>
      </c>
    </row>
    <row r="294" spans="1:10" ht="15" customHeight="1" x14ac:dyDescent="0.2">
      <c r="A294" s="420">
        <v>45658</v>
      </c>
      <c r="B294" t="s">
        <v>2435</v>
      </c>
      <c r="C294" t="s">
        <v>2666</v>
      </c>
      <c r="D294" t="s">
        <v>2436</v>
      </c>
      <c r="E294" t="s">
        <v>2668</v>
      </c>
      <c r="G294">
        <v>386</v>
      </c>
      <c r="I294">
        <v>386</v>
      </c>
      <c r="J294" t="s">
        <v>2509</v>
      </c>
    </row>
    <row r="295" spans="1:10" ht="15" customHeight="1" x14ac:dyDescent="0.2">
      <c r="A295" s="420">
        <v>45658</v>
      </c>
      <c r="B295" t="s">
        <v>2435</v>
      </c>
      <c r="C295" t="s">
        <v>2666</v>
      </c>
      <c r="D295" t="s">
        <v>2436</v>
      </c>
      <c r="E295" t="s">
        <v>2669</v>
      </c>
      <c r="G295">
        <v>1390.68</v>
      </c>
      <c r="I295">
        <v>1776.68</v>
      </c>
      <c r="J295" t="s">
        <v>2511</v>
      </c>
    </row>
    <row r="296" spans="1:10" ht="15" customHeight="1" x14ac:dyDescent="0.2">
      <c r="A296" s="420">
        <v>45658</v>
      </c>
      <c r="B296" t="s">
        <v>2435</v>
      </c>
      <c r="C296" t="s">
        <v>2666</v>
      </c>
      <c r="D296" t="s">
        <v>2436</v>
      </c>
      <c r="E296" t="s">
        <v>2670</v>
      </c>
      <c r="G296">
        <v>387.72</v>
      </c>
      <c r="I296">
        <v>2164.4</v>
      </c>
      <c r="J296" t="s">
        <v>2513</v>
      </c>
    </row>
    <row r="297" spans="1:10" ht="15" customHeight="1" x14ac:dyDescent="0.2">
      <c r="A297" s="420">
        <v>45688</v>
      </c>
      <c r="B297" t="s">
        <v>2333</v>
      </c>
      <c r="C297" t="s">
        <v>2666</v>
      </c>
      <c r="D297" t="s">
        <v>2671</v>
      </c>
      <c r="E297" t="s">
        <v>2672</v>
      </c>
      <c r="F297">
        <v>386</v>
      </c>
      <c r="I297">
        <v>1778.4</v>
      </c>
      <c r="J297" t="s">
        <v>2509</v>
      </c>
    </row>
    <row r="298" spans="1:10" ht="15" customHeight="1" x14ac:dyDescent="0.2">
      <c r="A298" s="420">
        <v>45688</v>
      </c>
      <c r="B298" t="s">
        <v>2333</v>
      </c>
      <c r="C298" t="s">
        <v>2666</v>
      </c>
      <c r="D298" t="s">
        <v>2673</v>
      </c>
      <c r="E298" t="s">
        <v>2674</v>
      </c>
      <c r="F298">
        <v>1390.68</v>
      </c>
      <c r="I298">
        <v>387.72</v>
      </c>
      <c r="J298" t="s">
        <v>2511</v>
      </c>
    </row>
    <row r="299" spans="1:10" ht="15" customHeight="1" x14ac:dyDescent="0.2">
      <c r="A299" s="420">
        <v>45688</v>
      </c>
      <c r="B299" t="s">
        <v>2532</v>
      </c>
      <c r="C299" t="s">
        <v>2666</v>
      </c>
      <c r="D299" t="s">
        <v>2675</v>
      </c>
      <c r="E299" t="s">
        <v>1079</v>
      </c>
      <c r="G299">
        <v>386</v>
      </c>
      <c r="I299">
        <v>773.72</v>
      </c>
      <c r="J299" t="s">
        <v>2585</v>
      </c>
    </row>
    <row r="300" spans="1:10" ht="15" customHeight="1" x14ac:dyDescent="0.2">
      <c r="A300" s="420">
        <v>45705</v>
      </c>
      <c r="B300" t="s">
        <v>2333</v>
      </c>
      <c r="C300" t="s">
        <v>2666</v>
      </c>
      <c r="D300" t="s">
        <v>2676</v>
      </c>
      <c r="E300" t="s">
        <v>2677</v>
      </c>
      <c r="F300">
        <v>387.72</v>
      </c>
      <c r="I300">
        <v>386</v>
      </c>
      <c r="J300" t="s">
        <v>2513</v>
      </c>
    </row>
    <row r="301" spans="1:10" ht="15" customHeight="1" x14ac:dyDescent="0.2">
      <c r="A301" s="420">
        <v>45716</v>
      </c>
      <c r="B301" t="s">
        <v>2333</v>
      </c>
      <c r="C301" t="s">
        <v>2666</v>
      </c>
      <c r="D301" t="s">
        <v>2678</v>
      </c>
      <c r="E301" t="s">
        <v>2679</v>
      </c>
      <c r="F301">
        <v>386</v>
      </c>
      <c r="J301" t="s">
        <v>2585</v>
      </c>
    </row>
    <row r="302" spans="1:10" ht="15" customHeight="1" x14ac:dyDescent="0.2">
      <c r="A302" s="420">
        <v>45716</v>
      </c>
      <c r="B302" t="s">
        <v>2532</v>
      </c>
      <c r="C302" t="s">
        <v>2666</v>
      </c>
      <c r="D302" t="s">
        <v>2680</v>
      </c>
      <c r="E302" t="s">
        <v>1085</v>
      </c>
      <c r="G302">
        <v>1080</v>
      </c>
      <c r="I302">
        <v>1080</v>
      </c>
      <c r="J302" t="s">
        <v>2587</v>
      </c>
    </row>
    <row r="303" spans="1:10" ht="15" customHeight="1" x14ac:dyDescent="0.2">
      <c r="A303" s="420">
        <v>45716</v>
      </c>
      <c r="B303" t="s">
        <v>2532</v>
      </c>
      <c r="C303" t="s">
        <v>2666</v>
      </c>
      <c r="D303" t="s">
        <v>2681</v>
      </c>
      <c r="E303" t="s">
        <v>1086</v>
      </c>
      <c r="G303">
        <v>386</v>
      </c>
      <c r="I303">
        <v>1466</v>
      </c>
      <c r="J303" t="s">
        <v>2586</v>
      </c>
    </row>
    <row r="304" spans="1:10" ht="15" customHeight="1" x14ac:dyDescent="0.2">
      <c r="A304" s="420">
        <v>45716</v>
      </c>
      <c r="B304" t="s">
        <v>2532</v>
      </c>
      <c r="C304" t="s">
        <v>2666</v>
      </c>
      <c r="D304" t="s">
        <v>2682</v>
      </c>
      <c r="E304" t="s">
        <v>1087</v>
      </c>
      <c r="G304">
        <v>321.60000000000002</v>
      </c>
      <c r="I304">
        <v>1787.6</v>
      </c>
      <c r="J304" t="s">
        <v>2605</v>
      </c>
    </row>
    <row r="305" spans="1:10" ht="15" customHeight="1" x14ac:dyDescent="0.2">
      <c r="A305" s="420">
        <v>45747</v>
      </c>
      <c r="B305" t="s">
        <v>2333</v>
      </c>
      <c r="C305" t="s">
        <v>2666</v>
      </c>
      <c r="D305" t="s">
        <v>2683</v>
      </c>
      <c r="E305" t="s">
        <v>2684</v>
      </c>
      <c r="F305">
        <v>321.60000000000002</v>
      </c>
      <c r="I305">
        <v>1466</v>
      </c>
      <c r="J305" t="s">
        <v>2605</v>
      </c>
    </row>
    <row r="306" spans="1:10" ht="15" customHeight="1" x14ac:dyDescent="0.2">
      <c r="A306" s="420">
        <v>45747</v>
      </c>
      <c r="B306" t="s">
        <v>2333</v>
      </c>
      <c r="C306" t="s">
        <v>2666</v>
      </c>
      <c r="D306" t="s">
        <v>2685</v>
      </c>
      <c r="E306" t="s">
        <v>2686</v>
      </c>
      <c r="F306">
        <v>386</v>
      </c>
      <c r="I306">
        <v>1080</v>
      </c>
      <c r="J306" t="s">
        <v>2586</v>
      </c>
    </row>
    <row r="307" spans="1:10" ht="15" customHeight="1" x14ac:dyDescent="0.2">
      <c r="A307" s="420">
        <v>45747</v>
      </c>
      <c r="B307" t="s">
        <v>2333</v>
      </c>
      <c r="C307" t="s">
        <v>2666</v>
      </c>
      <c r="D307" t="s">
        <v>2687</v>
      </c>
      <c r="E307" t="s">
        <v>2688</v>
      </c>
      <c r="F307">
        <v>540</v>
      </c>
      <c r="I307">
        <v>540</v>
      </c>
      <c r="J307" t="s">
        <v>2587</v>
      </c>
    </row>
    <row r="308" spans="1:10" ht="15" customHeight="1" x14ac:dyDescent="0.2">
      <c r="A308" s="420">
        <v>45747</v>
      </c>
      <c r="B308" t="s">
        <v>2532</v>
      </c>
      <c r="C308" t="s">
        <v>2666</v>
      </c>
      <c r="D308" t="s">
        <v>2689</v>
      </c>
      <c r="E308" t="s">
        <v>1096</v>
      </c>
      <c r="G308">
        <v>472.68</v>
      </c>
      <c r="I308">
        <v>1012.68</v>
      </c>
      <c r="J308" t="s">
        <v>2599</v>
      </c>
    </row>
    <row r="309" spans="1:10" ht="15" customHeight="1" x14ac:dyDescent="0.2">
      <c r="A309" s="420">
        <v>45747</v>
      </c>
      <c r="B309" t="s">
        <v>2532</v>
      </c>
      <c r="C309" t="s">
        <v>2666</v>
      </c>
      <c r="D309" t="s">
        <v>2690</v>
      </c>
      <c r="E309" t="s">
        <v>1099</v>
      </c>
      <c r="G309">
        <v>348.81</v>
      </c>
      <c r="I309">
        <v>1361.49</v>
      </c>
      <c r="J309" t="s">
        <v>2603</v>
      </c>
    </row>
    <row r="310" spans="1:10" ht="15" customHeight="1" x14ac:dyDescent="0.2">
      <c r="A310" s="420">
        <v>45747</v>
      </c>
      <c r="B310" t="s">
        <v>2532</v>
      </c>
      <c r="C310" t="s">
        <v>2666</v>
      </c>
      <c r="D310" t="s">
        <v>2691</v>
      </c>
      <c r="E310" t="s">
        <v>1093</v>
      </c>
      <c r="G310">
        <v>386</v>
      </c>
      <c r="I310">
        <v>1747.49</v>
      </c>
      <c r="J310" t="s">
        <v>2604</v>
      </c>
    </row>
    <row r="311" spans="1:10" ht="15" customHeight="1" x14ac:dyDescent="0.2">
      <c r="A311" s="420">
        <v>45777</v>
      </c>
      <c r="B311" t="s">
        <v>2333</v>
      </c>
      <c r="C311" t="s">
        <v>2666</v>
      </c>
      <c r="D311" t="s">
        <v>2692</v>
      </c>
      <c r="E311" t="s">
        <v>2693</v>
      </c>
      <c r="F311">
        <v>348.81</v>
      </c>
      <c r="I311">
        <v>1398.68</v>
      </c>
      <c r="J311" t="s">
        <v>2603</v>
      </c>
    </row>
    <row r="312" spans="1:10" ht="15" customHeight="1" x14ac:dyDescent="0.2">
      <c r="A312" s="420">
        <v>45777</v>
      </c>
      <c r="B312" t="s">
        <v>2333</v>
      </c>
      <c r="C312" t="s">
        <v>2666</v>
      </c>
      <c r="D312" t="s">
        <v>2694</v>
      </c>
      <c r="E312" t="s">
        <v>2695</v>
      </c>
      <c r="F312">
        <v>386</v>
      </c>
      <c r="I312">
        <v>1012.68</v>
      </c>
      <c r="J312" t="s">
        <v>2604</v>
      </c>
    </row>
    <row r="313" spans="1:10" ht="15" customHeight="1" x14ac:dyDescent="0.2">
      <c r="A313" s="420">
        <v>45777</v>
      </c>
      <c r="B313" t="s">
        <v>2333</v>
      </c>
      <c r="C313" t="s">
        <v>2666</v>
      </c>
      <c r="D313" t="s">
        <v>2696</v>
      </c>
      <c r="E313" t="s">
        <v>2697</v>
      </c>
      <c r="F313">
        <v>540</v>
      </c>
      <c r="I313">
        <v>472.68</v>
      </c>
      <c r="J313" t="s">
        <v>2587</v>
      </c>
    </row>
    <row r="314" spans="1:10" ht="15" customHeight="1" x14ac:dyDescent="0.2">
      <c r="A314" s="420">
        <v>45777</v>
      </c>
      <c r="B314" t="s">
        <v>2532</v>
      </c>
      <c r="C314" t="s">
        <v>2666</v>
      </c>
      <c r="D314" t="s">
        <v>2698</v>
      </c>
      <c r="E314" t="s">
        <v>1104</v>
      </c>
      <c r="G314">
        <v>960</v>
      </c>
      <c r="I314">
        <v>1432.68</v>
      </c>
      <c r="J314" t="s">
        <v>2600</v>
      </c>
    </row>
    <row r="315" spans="1:10" ht="15" customHeight="1" x14ac:dyDescent="0.2">
      <c r="A315" s="420">
        <v>45777</v>
      </c>
      <c r="B315" t="s">
        <v>2532</v>
      </c>
      <c r="C315" t="s">
        <v>2666</v>
      </c>
      <c r="D315" t="s">
        <v>2699</v>
      </c>
      <c r="E315" t="s">
        <v>1103</v>
      </c>
      <c r="G315">
        <v>385.96</v>
      </c>
      <c r="I315">
        <v>1818.64</v>
      </c>
      <c r="J315" t="s">
        <v>2602</v>
      </c>
    </row>
    <row r="316" spans="1:10" ht="15" customHeight="1" x14ac:dyDescent="0.2">
      <c r="A316" s="420">
        <v>45792</v>
      </c>
      <c r="B316" t="s">
        <v>2333</v>
      </c>
      <c r="C316" t="s">
        <v>2666</v>
      </c>
      <c r="D316" t="s">
        <v>2700</v>
      </c>
      <c r="E316" t="s">
        <v>2701</v>
      </c>
      <c r="F316">
        <v>472.68</v>
      </c>
      <c r="I316">
        <v>1345.96</v>
      </c>
      <c r="J316" t="s">
        <v>2599</v>
      </c>
    </row>
    <row r="317" spans="1:10" ht="15" customHeight="1" x14ac:dyDescent="0.2">
      <c r="A317" s="420">
        <v>45808</v>
      </c>
      <c r="B317" t="s">
        <v>2532</v>
      </c>
      <c r="C317" t="s">
        <v>2666</v>
      </c>
      <c r="D317" t="s">
        <v>2702</v>
      </c>
      <c r="E317" t="s">
        <v>1105</v>
      </c>
      <c r="G317">
        <v>710.4</v>
      </c>
      <c r="I317">
        <v>2056.36</v>
      </c>
      <c r="J317" t="s">
        <v>2601</v>
      </c>
    </row>
    <row r="318" spans="1:10" ht="15" customHeight="1" x14ac:dyDescent="0.2">
      <c r="A318" s="420">
        <v>45810</v>
      </c>
      <c r="B318" t="s">
        <v>2333</v>
      </c>
      <c r="C318" t="s">
        <v>2666</v>
      </c>
      <c r="D318" t="s">
        <v>2703</v>
      </c>
      <c r="E318" t="s">
        <v>2704</v>
      </c>
      <c r="F318">
        <v>960</v>
      </c>
      <c r="I318">
        <v>1096.3599999999999</v>
      </c>
      <c r="J318" t="s">
        <v>2600</v>
      </c>
    </row>
    <row r="319" spans="1:10" ht="15" customHeight="1" x14ac:dyDescent="0.2">
      <c r="A319" s="420">
        <v>45810</v>
      </c>
      <c r="B319" t="s">
        <v>2333</v>
      </c>
      <c r="C319" t="s">
        <v>2666</v>
      </c>
      <c r="D319" t="s">
        <v>2705</v>
      </c>
      <c r="E319" t="s">
        <v>2706</v>
      </c>
      <c r="F319">
        <v>385.96</v>
      </c>
      <c r="I319">
        <v>710.4</v>
      </c>
      <c r="J319" t="s">
        <v>2602</v>
      </c>
    </row>
    <row r="320" spans="1:10" ht="15" customHeight="1" x14ac:dyDescent="0.2">
      <c r="A320" s="420">
        <v>45838</v>
      </c>
      <c r="B320" t="s">
        <v>2333</v>
      </c>
      <c r="C320" t="s">
        <v>2666</v>
      </c>
      <c r="D320" t="s">
        <v>2707</v>
      </c>
      <c r="E320" t="s">
        <v>2708</v>
      </c>
      <c r="F320">
        <v>710.4</v>
      </c>
      <c r="J320" t="s">
        <v>2601</v>
      </c>
    </row>
    <row r="321" spans="1:10" ht="15" customHeight="1" x14ac:dyDescent="0.2">
      <c r="A321" s="420">
        <v>45838</v>
      </c>
      <c r="B321" t="s">
        <v>2547</v>
      </c>
      <c r="C321" t="s">
        <v>2666</v>
      </c>
      <c r="D321" t="s">
        <v>2709</v>
      </c>
      <c r="E321" t="s">
        <v>1108</v>
      </c>
      <c r="G321">
        <v>353.28</v>
      </c>
      <c r="I321">
        <v>353.28</v>
      </c>
      <c r="J321" t="s">
        <v>2710</v>
      </c>
    </row>
    <row r="322" spans="1:10" ht="15" customHeight="1" x14ac:dyDescent="0.2">
      <c r="A322" s="420">
        <v>45838</v>
      </c>
      <c r="B322" t="s">
        <v>2547</v>
      </c>
      <c r="C322" t="s">
        <v>2666</v>
      </c>
      <c r="D322" t="s">
        <v>2711</v>
      </c>
      <c r="E322" t="s">
        <v>1106</v>
      </c>
      <c r="G322">
        <v>710.4</v>
      </c>
      <c r="I322">
        <v>1063.68</v>
      </c>
      <c r="J322" t="s">
        <v>2710</v>
      </c>
    </row>
    <row r="323" spans="1:10" ht="15" customHeight="1" x14ac:dyDescent="0.2">
      <c r="A323" s="420">
        <v>45869</v>
      </c>
      <c r="B323" t="s">
        <v>2333</v>
      </c>
      <c r="C323" t="s">
        <v>2666</v>
      </c>
      <c r="D323" t="s">
        <v>2712</v>
      </c>
      <c r="E323" t="s">
        <v>2713</v>
      </c>
      <c r="F323">
        <v>710.4</v>
      </c>
      <c r="I323">
        <v>353.28</v>
      </c>
      <c r="J323" t="s">
        <v>2710</v>
      </c>
    </row>
    <row r="324" spans="1:10" ht="15" customHeight="1" x14ac:dyDescent="0.2">
      <c r="A324" s="420">
        <v>45869</v>
      </c>
      <c r="B324" t="s">
        <v>2532</v>
      </c>
      <c r="C324" t="s">
        <v>2666</v>
      </c>
      <c r="D324" t="s">
        <v>2714</v>
      </c>
      <c r="E324" t="s">
        <v>1133</v>
      </c>
      <c r="G324">
        <v>710.4</v>
      </c>
      <c r="I324">
        <v>1063.68</v>
      </c>
      <c r="J324" t="s">
        <v>2715</v>
      </c>
    </row>
    <row r="325" spans="1:10" ht="15" customHeight="1" x14ac:dyDescent="0.2">
      <c r="A325" s="420">
        <v>45884</v>
      </c>
      <c r="B325" t="s">
        <v>2333</v>
      </c>
      <c r="C325" t="s">
        <v>2666</v>
      </c>
      <c r="D325" t="s">
        <v>2716</v>
      </c>
      <c r="E325" t="s">
        <v>2717</v>
      </c>
      <c r="F325">
        <v>353.28</v>
      </c>
      <c r="I325">
        <v>710.4</v>
      </c>
      <c r="J325" t="s">
        <v>2710</v>
      </c>
    </row>
    <row r="326" spans="1:10" ht="15" customHeight="1" x14ac:dyDescent="0.2">
      <c r="A326" s="420">
        <v>45900</v>
      </c>
      <c r="B326" t="s">
        <v>2532</v>
      </c>
      <c r="C326" t="s">
        <v>2666</v>
      </c>
      <c r="D326" t="s">
        <v>2718</v>
      </c>
      <c r="E326" t="s">
        <v>1134</v>
      </c>
      <c r="G326">
        <v>710.4</v>
      </c>
      <c r="I326">
        <v>1420.8</v>
      </c>
      <c r="J326" t="s">
        <v>2719</v>
      </c>
    </row>
    <row r="327" spans="1:10" ht="15" customHeight="1" x14ac:dyDescent="0.2">
      <c r="A327" s="420">
        <v>45901</v>
      </c>
      <c r="B327" t="s">
        <v>2333</v>
      </c>
      <c r="C327" t="s">
        <v>2666</v>
      </c>
      <c r="D327" t="s">
        <v>2720</v>
      </c>
      <c r="E327" t="s">
        <v>2721</v>
      </c>
      <c r="F327">
        <v>710.4</v>
      </c>
      <c r="I327">
        <v>710.4</v>
      </c>
      <c r="J327" t="s">
        <v>2715</v>
      </c>
    </row>
    <row r="328" spans="1:10" ht="15" customHeight="1" x14ac:dyDescent="0.2">
      <c r="A328" s="420">
        <v>45930</v>
      </c>
      <c r="B328" t="s">
        <v>2333</v>
      </c>
      <c r="C328" t="s">
        <v>2666</v>
      </c>
      <c r="D328" t="s">
        <v>2722</v>
      </c>
      <c r="E328" t="s">
        <v>2723</v>
      </c>
      <c r="F328">
        <v>710.4</v>
      </c>
      <c r="J328" t="s">
        <v>2719</v>
      </c>
    </row>
    <row r="329" spans="1:10" ht="15" customHeight="1" x14ac:dyDescent="0.2">
      <c r="A329" s="420">
        <v>45930</v>
      </c>
      <c r="B329" t="s">
        <v>2532</v>
      </c>
      <c r="C329" t="s">
        <v>2666</v>
      </c>
      <c r="D329" t="s">
        <v>2724</v>
      </c>
      <c r="E329" t="s">
        <v>1139</v>
      </c>
      <c r="G329">
        <v>710.4</v>
      </c>
      <c r="I329">
        <v>710.4</v>
      </c>
      <c r="J329" t="s">
        <v>2725</v>
      </c>
    </row>
    <row r="330" spans="1:10" ht="15" customHeight="1" x14ac:dyDescent="0.2">
      <c r="A330" s="420">
        <v>45930</v>
      </c>
      <c r="B330" t="s">
        <v>2532</v>
      </c>
      <c r="C330" t="s">
        <v>2666</v>
      </c>
      <c r="D330" t="s">
        <v>2726</v>
      </c>
      <c r="E330" t="s">
        <v>1140</v>
      </c>
      <c r="G330">
        <v>1620</v>
      </c>
      <c r="I330">
        <v>2330.4</v>
      </c>
      <c r="J330" t="s">
        <v>2727</v>
      </c>
    </row>
    <row r="331" spans="1:10" ht="15" customHeight="1" x14ac:dyDescent="0.2">
      <c r="A331" s="420">
        <v>45930</v>
      </c>
      <c r="B331" t="s">
        <v>2532</v>
      </c>
      <c r="C331" t="s">
        <v>2666</v>
      </c>
      <c r="D331" t="s">
        <v>2728</v>
      </c>
      <c r="E331" t="s">
        <v>1141</v>
      </c>
      <c r="G331">
        <v>500.64</v>
      </c>
      <c r="I331">
        <v>2831.04</v>
      </c>
      <c r="J331" t="s">
        <v>2729</v>
      </c>
    </row>
    <row r="332" spans="1:10" ht="15" customHeight="1" x14ac:dyDescent="0.2">
      <c r="A332" s="420">
        <v>45930</v>
      </c>
      <c r="B332" t="s">
        <v>2532</v>
      </c>
      <c r="C332" t="s">
        <v>2666</v>
      </c>
      <c r="D332" t="s">
        <v>2730</v>
      </c>
      <c r="E332" t="s">
        <v>1142</v>
      </c>
      <c r="G332">
        <v>744</v>
      </c>
      <c r="I332">
        <v>3575.04</v>
      </c>
      <c r="J332" t="s">
        <v>2731</v>
      </c>
    </row>
    <row r="333" spans="1:10" ht="15" customHeight="1" x14ac:dyDescent="0.2">
      <c r="A333" s="420">
        <v>45961</v>
      </c>
      <c r="B333" t="s">
        <v>2333</v>
      </c>
      <c r="C333" t="s">
        <v>2666</v>
      </c>
      <c r="D333" t="s">
        <v>2732</v>
      </c>
      <c r="E333" t="s">
        <v>2733</v>
      </c>
      <c r="F333">
        <v>1620</v>
      </c>
      <c r="I333">
        <v>1955.04</v>
      </c>
      <c r="J333" t="s">
        <v>2727</v>
      </c>
    </row>
    <row r="334" spans="1:10" ht="15" customHeight="1" x14ac:dyDescent="0.2">
      <c r="A334" s="420">
        <v>45961</v>
      </c>
      <c r="B334" t="s">
        <v>2333</v>
      </c>
      <c r="C334" t="s">
        <v>2666</v>
      </c>
      <c r="D334" t="s">
        <v>2734</v>
      </c>
      <c r="E334" t="s">
        <v>2735</v>
      </c>
      <c r="F334">
        <v>710.4</v>
      </c>
      <c r="I334">
        <v>1244.6400000000001</v>
      </c>
      <c r="J334" t="s">
        <v>2725</v>
      </c>
    </row>
    <row r="335" spans="1:10" ht="15" customHeight="1" x14ac:dyDescent="0.2">
      <c r="A335" s="420">
        <v>45961</v>
      </c>
      <c r="B335" t="s">
        <v>2333</v>
      </c>
      <c r="C335" t="s">
        <v>2666</v>
      </c>
      <c r="D335" t="s">
        <v>2736</v>
      </c>
      <c r="E335" t="s">
        <v>2737</v>
      </c>
      <c r="F335">
        <v>744</v>
      </c>
      <c r="I335">
        <v>500.64</v>
      </c>
      <c r="J335" t="s">
        <v>2731</v>
      </c>
    </row>
    <row r="336" spans="1:10" ht="15" customHeight="1" x14ac:dyDescent="0.2">
      <c r="A336" s="420">
        <v>45961</v>
      </c>
      <c r="B336" t="s">
        <v>2532</v>
      </c>
      <c r="C336" t="s">
        <v>2666</v>
      </c>
      <c r="D336" t="s">
        <v>2738</v>
      </c>
      <c r="E336" t="s">
        <v>1150</v>
      </c>
      <c r="G336">
        <v>710.4</v>
      </c>
      <c r="I336">
        <v>1211.04</v>
      </c>
      <c r="J336" t="s">
        <v>2739</v>
      </c>
    </row>
    <row r="337" spans="1:10" ht="15" customHeight="1" x14ac:dyDescent="0.2">
      <c r="A337" s="420">
        <v>45978</v>
      </c>
      <c r="B337" t="s">
        <v>2333</v>
      </c>
      <c r="C337" t="s">
        <v>2666</v>
      </c>
      <c r="D337" t="s">
        <v>2740</v>
      </c>
      <c r="E337" t="s">
        <v>2741</v>
      </c>
      <c r="F337">
        <v>500.64</v>
      </c>
      <c r="I337">
        <v>710.4</v>
      </c>
      <c r="J337" t="s">
        <v>2729</v>
      </c>
    </row>
    <row r="338" spans="1:10" ht="15" customHeight="1" x14ac:dyDescent="0.2">
      <c r="A338" s="420">
        <v>45991</v>
      </c>
      <c r="B338" t="s">
        <v>2532</v>
      </c>
      <c r="C338" t="s">
        <v>2666</v>
      </c>
      <c r="D338" t="s">
        <v>2742</v>
      </c>
      <c r="E338" t="s">
        <v>1151</v>
      </c>
      <c r="G338">
        <v>710.4</v>
      </c>
      <c r="I338">
        <v>1420.8</v>
      </c>
      <c r="J338" t="s">
        <v>2743</v>
      </c>
    </row>
    <row r="339" spans="1:10" ht="15" customHeight="1" x14ac:dyDescent="0.2">
      <c r="A339" s="420">
        <v>45992</v>
      </c>
      <c r="B339" t="s">
        <v>2333</v>
      </c>
      <c r="C339" t="s">
        <v>2666</v>
      </c>
      <c r="D339" t="s">
        <v>2744</v>
      </c>
      <c r="E339" t="s">
        <v>2745</v>
      </c>
      <c r="F339">
        <v>710.4</v>
      </c>
      <c r="I339">
        <v>710.4</v>
      </c>
      <c r="J339" t="s">
        <v>2739</v>
      </c>
    </row>
    <row r="340" spans="1:10" ht="15" customHeight="1" x14ac:dyDescent="0.2">
      <c r="A340" s="420">
        <v>46022</v>
      </c>
      <c r="B340" t="s">
        <v>2333</v>
      </c>
      <c r="C340" t="s">
        <v>2666</v>
      </c>
      <c r="D340" t="s">
        <v>2746</v>
      </c>
      <c r="E340" t="s">
        <v>2747</v>
      </c>
      <c r="F340">
        <v>710.4</v>
      </c>
      <c r="J340" t="s">
        <v>2743</v>
      </c>
    </row>
    <row r="341" spans="1:10" ht="15" customHeight="1" x14ac:dyDescent="0.2">
      <c r="A341" s="420">
        <v>46022</v>
      </c>
      <c r="B341" t="s">
        <v>2532</v>
      </c>
      <c r="C341" t="s">
        <v>2666</v>
      </c>
      <c r="D341" t="s">
        <v>2748</v>
      </c>
      <c r="E341" t="s">
        <v>1155</v>
      </c>
      <c r="G341">
        <v>579</v>
      </c>
      <c r="I341">
        <v>579</v>
      </c>
      <c r="J341" t="s">
        <v>2509</v>
      </c>
    </row>
    <row r="342" spans="1:10" ht="15" customHeight="1" x14ac:dyDescent="0.2">
      <c r="A342" s="420">
        <v>46022</v>
      </c>
      <c r="B342" t="s">
        <v>2532</v>
      </c>
      <c r="C342" t="s">
        <v>2666</v>
      </c>
      <c r="D342" t="s">
        <v>2749</v>
      </c>
      <c r="E342" t="s">
        <v>2750</v>
      </c>
      <c r="G342">
        <v>710.4</v>
      </c>
      <c r="I342">
        <v>1289.4000000000001</v>
      </c>
      <c r="J342" t="s">
        <v>2511</v>
      </c>
    </row>
    <row r="343" spans="1:10" ht="15" customHeight="1" x14ac:dyDescent="0.2">
      <c r="A343" t="s">
        <v>2666</v>
      </c>
      <c r="E343" t="s">
        <v>349</v>
      </c>
      <c r="F343">
        <v>15082.17</v>
      </c>
      <c r="G343">
        <v>16371.57</v>
      </c>
      <c r="I343">
        <v>1289.4000000000001</v>
      </c>
    </row>
    <row r="345" spans="1:10" ht="15" customHeight="1" x14ac:dyDescent="0.2">
      <c r="A345" t="s">
        <v>2751</v>
      </c>
      <c r="B345" t="s">
        <v>2752</v>
      </c>
      <c r="F345" t="s">
        <v>2430</v>
      </c>
      <c r="G345" t="s">
        <v>2431</v>
      </c>
      <c r="H345" t="s">
        <v>2432</v>
      </c>
      <c r="I345" t="s">
        <v>2433</v>
      </c>
      <c r="J345" t="s">
        <v>2434</v>
      </c>
    </row>
    <row r="346" spans="1:10" ht="15" customHeight="1" x14ac:dyDescent="0.2">
      <c r="A346" s="420">
        <v>45663</v>
      </c>
      <c r="B346" t="s">
        <v>2532</v>
      </c>
      <c r="C346" t="s">
        <v>2751</v>
      </c>
      <c r="D346" t="s">
        <v>2753</v>
      </c>
      <c r="E346" t="s">
        <v>437</v>
      </c>
      <c r="G346">
        <v>40.22</v>
      </c>
      <c r="I346">
        <v>40.22</v>
      </c>
      <c r="J346" t="s">
        <v>2511</v>
      </c>
    </row>
    <row r="347" spans="1:10" ht="15" customHeight="1" x14ac:dyDescent="0.2">
      <c r="A347" s="420">
        <v>45664</v>
      </c>
      <c r="B347" t="s">
        <v>2532</v>
      </c>
      <c r="C347" t="s">
        <v>2751</v>
      </c>
      <c r="D347" t="s">
        <v>2754</v>
      </c>
      <c r="E347" t="s">
        <v>446</v>
      </c>
      <c r="G347">
        <v>29.98</v>
      </c>
      <c r="I347">
        <v>70.2</v>
      </c>
      <c r="J347" t="s">
        <v>2511</v>
      </c>
    </row>
    <row r="348" spans="1:10" ht="15" customHeight="1" x14ac:dyDescent="0.2">
      <c r="A348" s="420">
        <v>45664</v>
      </c>
      <c r="B348" t="s">
        <v>2532</v>
      </c>
      <c r="C348" t="s">
        <v>2751</v>
      </c>
      <c r="D348" t="s">
        <v>2755</v>
      </c>
      <c r="E348" t="s">
        <v>441</v>
      </c>
      <c r="G348">
        <v>10.49</v>
      </c>
      <c r="I348">
        <v>80.69</v>
      </c>
      <c r="J348" t="s">
        <v>2511</v>
      </c>
    </row>
    <row r="349" spans="1:10" ht="15" customHeight="1" x14ac:dyDescent="0.2">
      <c r="A349" s="420">
        <v>45664</v>
      </c>
      <c r="B349" t="s">
        <v>2532</v>
      </c>
      <c r="C349" t="s">
        <v>2751</v>
      </c>
      <c r="D349" t="s">
        <v>2756</v>
      </c>
      <c r="E349" t="s">
        <v>442</v>
      </c>
      <c r="G349">
        <v>59.9</v>
      </c>
      <c r="I349">
        <v>140.59</v>
      </c>
      <c r="J349" t="s">
        <v>2511</v>
      </c>
    </row>
    <row r="350" spans="1:10" ht="15" customHeight="1" x14ac:dyDescent="0.2">
      <c r="A350" s="420">
        <v>45664</v>
      </c>
      <c r="B350" t="s">
        <v>2532</v>
      </c>
      <c r="C350" t="s">
        <v>2751</v>
      </c>
      <c r="D350" t="s">
        <v>2757</v>
      </c>
      <c r="E350" t="s">
        <v>443</v>
      </c>
      <c r="G350">
        <v>34.159999999999997</v>
      </c>
      <c r="I350">
        <v>174.75</v>
      </c>
      <c r="J350" t="s">
        <v>2511</v>
      </c>
    </row>
    <row r="351" spans="1:10" ht="15" customHeight="1" x14ac:dyDescent="0.2">
      <c r="A351" s="420">
        <v>45664</v>
      </c>
      <c r="B351" t="s">
        <v>2532</v>
      </c>
      <c r="C351" t="s">
        <v>2751</v>
      </c>
      <c r="D351" t="s">
        <v>2758</v>
      </c>
      <c r="E351" t="s">
        <v>444</v>
      </c>
      <c r="G351">
        <v>33.659999999999997</v>
      </c>
      <c r="I351">
        <v>208.41</v>
      </c>
      <c r="J351" t="s">
        <v>2511</v>
      </c>
    </row>
    <row r="352" spans="1:10" ht="15" customHeight="1" x14ac:dyDescent="0.2">
      <c r="A352" s="420">
        <v>45664</v>
      </c>
      <c r="B352" t="s">
        <v>2532</v>
      </c>
      <c r="C352" t="s">
        <v>2751</v>
      </c>
      <c r="D352" t="s">
        <v>2759</v>
      </c>
      <c r="E352" t="s">
        <v>445</v>
      </c>
      <c r="G352">
        <v>59.9</v>
      </c>
      <c r="I352">
        <v>268.31</v>
      </c>
      <c r="J352" t="s">
        <v>2511</v>
      </c>
    </row>
    <row r="353" spans="1:10" ht="15" customHeight="1" x14ac:dyDescent="0.2">
      <c r="A353" s="420">
        <v>45665</v>
      </c>
      <c r="B353" t="s">
        <v>2333</v>
      </c>
      <c r="C353" t="s">
        <v>2751</v>
      </c>
      <c r="D353" t="s">
        <v>2760</v>
      </c>
      <c r="E353" t="s">
        <v>2761</v>
      </c>
      <c r="F353">
        <v>268.31</v>
      </c>
      <c r="J353" t="s">
        <v>2511</v>
      </c>
    </row>
    <row r="354" spans="1:10" ht="15" customHeight="1" x14ac:dyDescent="0.2">
      <c r="A354" s="420">
        <v>45725</v>
      </c>
      <c r="B354" t="s">
        <v>2532</v>
      </c>
      <c r="C354" t="s">
        <v>2751</v>
      </c>
      <c r="D354" t="s">
        <v>2762</v>
      </c>
      <c r="E354" t="s">
        <v>463</v>
      </c>
      <c r="G354">
        <v>31.98</v>
      </c>
      <c r="I354">
        <v>31.98</v>
      </c>
      <c r="J354" t="s">
        <v>2509</v>
      </c>
    </row>
    <row r="355" spans="1:10" ht="15" customHeight="1" x14ac:dyDescent="0.2">
      <c r="A355" s="420">
        <v>45726</v>
      </c>
      <c r="B355" t="s">
        <v>2333</v>
      </c>
      <c r="C355" t="s">
        <v>2751</v>
      </c>
      <c r="D355" t="s">
        <v>2763</v>
      </c>
      <c r="E355" t="s">
        <v>2761</v>
      </c>
      <c r="F355">
        <v>31.98</v>
      </c>
      <c r="J355" t="s">
        <v>2509</v>
      </c>
    </row>
    <row r="356" spans="1:10" ht="15" customHeight="1" x14ac:dyDescent="0.2">
      <c r="A356" s="420">
        <v>45785</v>
      </c>
      <c r="B356" t="s">
        <v>2532</v>
      </c>
      <c r="C356" t="s">
        <v>2751</v>
      </c>
      <c r="D356" t="s">
        <v>2764</v>
      </c>
      <c r="E356" t="s">
        <v>488</v>
      </c>
      <c r="G356">
        <v>31.98</v>
      </c>
      <c r="I356">
        <v>31.98</v>
      </c>
      <c r="J356" t="s">
        <v>2513</v>
      </c>
    </row>
    <row r="357" spans="1:10" ht="15" customHeight="1" x14ac:dyDescent="0.2">
      <c r="A357" s="420">
        <v>45786</v>
      </c>
      <c r="B357" t="s">
        <v>2333</v>
      </c>
      <c r="C357" t="s">
        <v>2751</v>
      </c>
      <c r="D357" t="s">
        <v>2765</v>
      </c>
      <c r="E357" t="s">
        <v>2761</v>
      </c>
      <c r="F357">
        <v>31.98</v>
      </c>
      <c r="J357" t="s">
        <v>2513</v>
      </c>
    </row>
    <row r="358" spans="1:10" ht="15" customHeight="1" x14ac:dyDescent="0.2">
      <c r="A358" s="420">
        <v>45839</v>
      </c>
      <c r="B358" t="s">
        <v>2333</v>
      </c>
      <c r="C358" t="s">
        <v>2751</v>
      </c>
      <c r="D358" t="s">
        <v>2766</v>
      </c>
      <c r="E358" t="s">
        <v>2761</v>
      </c>
      <c r="F358">
        <v>98.99</v>
      </c>
      <c r="H358">
        <v>98.99</v>
      </c>
      <c r="J358" t="s">
        <v>2585</v>
      </c>
    </row>
    <row r="359" spans="1:10" ht="15" customHeight="1" x14ac:dyDescent="0.2">
      <c r="A359" s="420">
        <v>45839</v>
      </c>
      <c r="B359" t="s">
        <v>2547</v>
      </c>
      <c r="C359" t="s">
        <v>2751</v>
      </c>
      <c r="D359" t="s">
        <v>2767</v>
      </c>
      <c r="E359" t="s">
        <v>515</v>
      </c>
      <c r="G359">
        <v>98.99</v>
      </c>
      <c r="J359" t="s">
        <v>2585</v>
      </c>
    </row>
    <row r="360" spans="1:10" ht="15" customHeight="1" x14ac:dyDescent="0.2">
      <c r="A360" s="420">
        <v>45846</v>
      </c>
      <c r="B360" t="s">
        <v>2532</v>
      </c>
      <c r="C360" t="s">
        <v>2751</v>
      </c>
      <c r="D360" t="s">
        <v>2768</v>
      </c>
      <c r="E360" t="s">
        <v>520</v>
      </c>
      <c r="G360">
        <v>31.98</v>
      </c>
      <c r="I360">
        <v>31.98</v>
      </c>
      <c r="J360" t="s">
        <v>2585</v>
      </c>
    </row>
    <row r="361" spans="1:10" ht="15" customHeight="1" x14ac:dyDescent="0.2">
      <c r="A361" s="420">
        <v>45847</v>
      </c>
      <c r="B361" t="s">
        <v>2333</v>
      </c>
      <c r="C361" t="s">
        <v>2751</v>
      </c>
      <c r="D361" t="s">
        <v>2769</v>
      </c>
      <c r="E361" t="s">
        <v>2761</v>
      </c>
      <c r="F361">
        <v>31.98</v>
      </c>
      <c r="J361" t="s">
        <v>2585</v>
      </c>
    </row>
    <row r="362" spans="1:10" ht="15" customHeight="1" x14ac:dyDescent="0.2">
      <c r="A362" s="420">
        <v>45851</v>
      </c>
      <c r="B362" t="s">
        <v>2532</v>
      </c>
      <c r="C362" t="s">
        <v>2751</v>
      </c>
      <c r="D362" t="s">
        <v>2770</v>
      </c>
      <c r="E362" t="s">
        <v>524</v>
      </c>
      <c r="F362">
        <v>31.98</v>
      </c>
      <c r="H362">
        <v>31.98</v>
      </c>
      <c r="J362" t="s">
        <v>2585</v>
      </c>
    </row>
    <row r="363" spans="1:10" ht="15" customHeight="1" x14ac:dyDescent="0.2">
      <c r="A363" s="420">
        <v>45853</v>
      </c>
      <c r="B363" t="s">
        <v>2333</v>
      </c>
      <c r="C363" t="s">
        <v>2751</v>
      </c>
      <c r="D363" t="s">
        <v>2771</v>
      </c>
      <c r="E363" t="s">
        <v>2772</v>
      </c>
      <c r="G363">
        <v>31.98</v>
      </c>
      <c r="J363" t="s">
        <v>2585</v>
      </c>
    </row>
    <row r="364" spans="1:10" ht="15" customHeight="1" x14ac:dyDescent="0.2">
      <c r="A364" s="420">
        <v>45874</v>
      </c>
      <c r="B364" t="s">
        <v>2547</v>
      </c>
      <c r="C364" t="s">
        <v>2751</v>
      </c>
      <c r="D364" t="s">
        <v>2773</v>
      </c>
      <c r="E364" t="s">
        <v>2774</v>
      </c>
      <c r="G364">
        <v>73.98</v>
      </c>
      <c r="I364">
        <v>73.98</v>
      </c>
      <c r="J364" t="s">
        <v>2585</v>
      </c>
    </row>
    <row r="365" spans="1:10" ht="15" customHeight="1" x14ac:dyDescent="0.2">
      <c r="A365" s="420">
        <v>45874</v>
      </c>
      <c r="B365" t="s">
        <v>2532</v>
      </c>
      <c r="C365" t="s">
        <v>2751</v>
      </c>
      <c r="D365" t="s">
        <v>2775</v>
      </c>
      <c r="E365" t="s">
        <v>2776</v>
      </c>
      <c r="G365">
        <v>21.49</v>
      </c>
      <c r="I365">
        <v>95.47</v>
      </c>
      <c r="J365" t="s">
        <v>2585</v>
      </c>
    </row>
    <row r="366" spans="1:10" ht="15" customHeight="1" x14ac:dyDescent="0.2">
      <c r="A366" s="420">
        <v>45875</v>
      </c>
      <c r="B366" t="s">
        <v>2333</v>
      </c>
      <c r="C366" t="s">
        <v>2751</v>
      </c>
      <c r="D366" t="s">
        <v>2777</v>
      </c>
      <c r="E366" t="s">
        <v>2761</v>
      </c>
      <c r="F366">
        <v>95.47</v>
      </c>
      <c r="J366" t="s">
        <v>2585</v>
      </c>
    </row>
    <row r="367" spans="1:10" ht="15" customHeight="1" x14ac:dyDescent="0.2">
      <c r="A367" s="420">
        <v>45906</v>
      </c>
      <c r="B367" t="s">
        <v>2532</v>
      </c>
      <c r="C367" t="s">
        <v>2751</v>
      </c>
      <c r="D367" t="s">
        <v>2778</v>
      </c>
      <c r="E367" t="s">
        <v>543</v>
      </c>
      <c r="G367">
        <v>31.98</v>
      </c>
      <c r="I367">
        <v>31.98</v>
      </c>
      <c r="J367" t="s">
        <v>2585</v>
      </c>
    </row>
    <row r="368" spans="1:10" ht="15" customHeight="1" x14ac:dyDescent="0.2">
      <c r="A368" s="420">
        <v>45908</v>
      </c>
      <c r="B368" t="s">
        <v>2333</v>
      </c>
      <c r="C368" t="s">
        <v>2751</v>
      </c>
      <c r="D368" t="s">
        <v>2779</v>
      </c>
      <c r="E368" t="s">
        <v>2761</v>
      </c>
      <c r="F368">
        <v>31.98</v>
      </c>
      <c r="J368" t="s">
        <v>2585</v>
      </c>
    </row>
    <row r="369" spans="1:10" ht="15" customHeight="1" x14ac:dyDescent="0.2">
      <c r="A369" s="420">
        <v>45999</v>
      </c>
      <c r="B369" t="s">
        <v>2532</v>
      </c>
      <c r="C369" t="s">
        <v>2751</v>
      </c>
      <c r="D369" t="s">
        <v>2780</v>
      </c>
      <c r="E369" t="s">
        <v>575</v>
      </c>
      <c r="G369">
        <v>15.66</v>
      </c>
      <c r="I369">
        <v>15.66</v>
      </c>
      <c r="J369" t="s">
        <v>2586</v>
      </c>
    </row>
    <row r="370" spans="1:10" ht="15" customHeight="1" x14ac:dyDescent="0.2">
      <c r="A370" s="420">
        <v>46000</v>
      </c>
      <c r="B370" t="s">
        <v>2333</v>
      </c>
      <c r="C370" t="s">
        <v>2751</v>
      </c>
      <c r="D370" t="s">
        <v>2781</v>
      </c>
      <c r="E370" t="s">
        <v>2782</v>
      </c>
      <c r="F370">
        <v>15.66</v>
      </c>
      <c r="J370" t="s">
        <v>2586</v>
      </c>
    </row>
    <row r="371" spans="1:10" ht="15" customHeight="1" x14ac:dyDescent="0.2">
      <c r="A371" t="s">
        <v>2751</v>
      </c>
      <c r="E371" t="s">
        <v>349</v>
      </c>
      <c r="F371">
        <v>638.33000000000004</v>
      </c>
      <c r="G371">
        <v>638.33000000000004</v>
      </c>
    </row>
    <row r="373" spans="1:10" ht="15" customHeight="1" x14ac:dyDescent="0.2">
      <c r="A373" t="s">
        <v>2783</v>
      </c>
      <c r="B373" t="s">
        <v>2784</v>
      </c>
      <c r="F373" t="s">
        <v>2430</v>
      </c>
      <c r="G373" t="s">
        <v>2431</v>
      </c>
      <c r="H373" t="s">
        <v>2432</v>
      </c>
      <c r="I373" t="s">
        <v>2433</v>
      </c>
      <c r="J373" t="s">
        <v>2434</v>
      </c>
    </row>
    <row r="374" spans="1:10" ht="15" customHeight="1" x14ac:dyDescent="0.2">
      <c r="A374" s="420">
        <v>45699</v>
      </c>
      <c r="B374" t="s">
        <v>2532</v>
      </c>
      <c r="C374" t="s">
        <v>2783</v>
      </c>
      <c r="D374" t="s">
        <v>2785</v>
      </c>
      <c r="E374" t="s">
        <v>825</v>
      </c>
      <c r="G374">
        <v>90</v>
      </c>
      <c r="I374">
        <v>90</v>
      </c>
      <c r="J374" t="s">
        <v>2511</v>
      </c>
    </row>
    <row r="375" spans="1:10" ht="15" customHeight="1" x14ac:dyDescent="0.2">
      <c r="A375" s="420">
        <v>45804</v>
      </c>
      <c r="B375" t="s">
        <v>2333</v>
      </c>
      <c r="C375" t="s">
        <v>2783</v>
      </c>
      <c r="D375" t="s">
        <v>2786</v>
      </c>
      <c r="E375" t="s">
        <v>816</v>
      </c>
      <c r="F375">
        <v>30</v>
      </c>
      <c r="I375">
        <v>60</v>
      </c>
      <c r="J375" t="s">
        <v>2511</v>
      </c>
    </row>
    <row r="376" spans="1:10" ht="15" customHeight="1" x14ac:dyDescent="0.2">
      <c r="A376" s="420">
        <v>45804</v>
      </c>
      <c r="B376" t="s">
        <v>2333</v>
      </c>
      <c r="C376" t="s">
        <v>2783</v>
      </c>
      <c r="D376" t="s">
        <v>2787</v>
      </c>
      <c r="E376" t="s">
        <v>816</v>
      </c>
      <c r="F376">
        <v>30</v>
      </c>
      <c r="I376">
        <v>30</v>
      </c>
      <c r="J376" t="s">
        <v>2511</v>
      </c>
    </row>
    <row r="377" spans="1:10" ht="15" customHeight="1" x14ac:dyDescent="0.2">
      <c r="A377" s="420">
        <v>45804</v>
      </c>
      <c r="B377" t="s">
        <v>2333</v>
      </c>
      <c r="C377" t="s">
        <v>2783</v>
      </c>
      <c r="D377" t="s">
        <v>2788</v>
      </c>
      <c r="E377" t="s">
        <v>816</v>
      </c>
      <c r="F377">
        <v>30</v>
      </c>
      <c r="J377" t="s">
        <v>2511</v>
      </c>
    </row>
    <row r="378" spans="1:10" ht="15" customHeight="1" x14ac:dyDescent="0.2">
      <c r="A378" s="420">
        <v>45861</v>
      </c>
      <c r="B378" t="s">
        <v>2532</v>
      </c>
      <c r="C378" t="s">
        <v>2783</v>
      </c>
      <c r="D378" t="s">
        <v>2789</v>
      </c>
      <c r="E378" t="s">
        <v>858</v>
      </c>
      <c r="G378">
        <v>30</v>
      </c>
      <c r="I378">
        <v>30</v>
      </c>
      <c r="J378" t="s">
        <v>2513</v>
      </c>
    </row>
    <row r="379" spans="1:10" ht="15" customHeight="1" x14ac:dyDescent="0.2">
      <c r="A379" s="420">
        <v>45888</v>
      </c>
      <c r="B379" t="s">
        <v>2532</v>
      </c>
      <c r="C379" t="s">
        <v>2783</v>
      </c>
      <c r="D379" t="s">
        <v>2790</v>
      </c>
      <c r="E379" t="s">
        <v>862</v>
      </c>
      <c r="G379">
        <v>30</v>
      </c>
      <c r="I379">
        <v>60</v>
      </c>
      <c r="J379" t="s">
        <v>2585</v>
      </c>
    </row>
    <row r="380" spans="1:10" ht="15" customHeight="1" x14ac:dyDescent="0.2">
      <c r="A380" s="420">
        <v>45932</v>
      </c>
      <c r="B380" t="s">
        <v>2532</v>
      </c>
      <c r="C380" t="s">
        <v>2783</v>
      </c>
      <c r="D380" t="s">
        <v>2791</v>
      </c>
      <c r="E380" t="s">
        <v>863</v>
      </c>
      <c r="G380">
        <v>64</v>
      </c>
      <c r="I380">
        <v>124</v>
      </c>
      <c r="J380" t="s">
        <v>2509</v>
      </c>
    </row>
    <row r="381" spans="1:10" ht="15" customHeight="1" x14ac:dyDescent="0.2">
      <c r="A381" s="420">
        <v>45937</v>
      </c>
      <c r="B381" t="s">
        <v>2333</v>
      </c>
      <c r="C381" t="s">
        <v>2783</v>
      </c>
      <c r="D381" t="s">
        <v>2792</v>
      </c>
      <c r="E381" t="s">
        <v>2793</v>
      </c>
      <c r="F381">
        <v>64</v>
      </c>
      <c r="I381">
        <v>60</v>
      </c>
      <c r="J381" t="s">
        <v>2509</v>
      </c>
    </row>
    <row r="382" spans="1:10" ht="15" customHeight="1" x14ac:dyDescent="0.2">
      <c r="A382" s="420">
        <v>45938</v>
      </c>
      <c r="B382" t="s">
        <v>2333</v>
      </c>
      <c r="C382" t="s">
        <v>2783</v>
      </c>
      <c r="D382" t="s">
        <v>2794</v>
      </c>
      <c r="E382" t="s">
        <v>816</v>
      </c>
      <c r="F382">
        <v>30</v>
      </c>
      <c r="I382">
        <v>30</v>
      </c>
      <c r="J382" t="s">
        <v>2585</v>
      </c>
    </row>
    <row r="383" spans="1:10" ht="15" customHeight="1" x14ac:dyDescent="0.2">
      <c r="A383" s="420">
        <v>45938</v>
      </c>
      <c r="B383" t="s">
        <v>2333</v>
      </c>
      <c r="C383" t="s">
        <v>2783</v>
      </c>
      <c r="D383" t="s">
        <v>2795</v>
      </c>
      <c r="E383" t="s">
        <v>816</v>
      </c>
      <c r="F383">
        <v>30</v>
      </c>
      <c r="J383" t="s">
        <v>2513</v>
      </c>
    </row>
    <row r="384" spans="1:10" ht="15" customHeight="1" x14ac:dyDescent="0.2">
      <c r="A384" s="420">
        <v>45993</v>
      </c>
      <c r="B384" t="s">
        <v>2532</v>
      </c>
      <c r="C384" t="s">
        <v>2783</v>
      </c>
      <c r="D384" t="s">
        <v>2796</v>
      </c>
      <c r="E384" t="s">
        <v>868</v>
      </c>
      <c r="G384">
        <v>30</v>
      </c>
      <c r="I384">
        <v>30</v>
      </c>
      <c r="J384" t="s">
        <v>2586</v>
      </c>
    </row>
    <row r="385" spans="1:10" ht="15" customHeight="1" x14ac:dyDescent="0.2">
      <c r="A385" s="420">
        <v>46000</v>
      </c>
      <c r="B385" t="s">
        <v>2333</v>
      </c>
      <c r="C385" t="s">
        <v>2783</v>
      </c>
      <c r="D385" t="s">
        <v>2797</v>
      </c>
      <c r="E385" t="s">
        <v>816</v>
      </c>
      <c r="F385">
        <v>30</v>
      </c>
      <c r="J385" t="s">
        <v>2586</v>
      </c>
    </row>
    <row r="386" spans="1:10" ht="15" customHeight="1" x14ac:dyDescent="0.2">
      <c r="A386" t="s">
        <v>2783</v>
      </c>
      <c r="E386" t="s">
        <v>349</v>
      </c>
      <c r="F386">
        <v>244</v>
      </c>
      <c r="G386">
        <v>244</v>
      </c>
    </row>
    <row r="388" spans="1:10" ht="15" customHeight="1" x14ac:dyDescent="0.2">
      <c r="A388" t="s">
        <v>2798</v>
      </c>
      <c r="B388" t="s">
        <v>1381</v>
      </c>
      <c r="F388" t="s">
        <v>2430</v>
      </c>
      <c r="G388" t="s">
        <v>2431</v>
      </c>
      <c r="H388" t="s">
        <v>2432</v>
      </c>
      <c r="I388" t="s">
        <v>2433</v>
      </c>
      <c r="J388" t="s">
        <v>2434</v>
      </c>
    </row>
    <row r="389" spans="1:10" ht="15" customHeight="1" x14ac:dyDescent="0.2">
      <c r="A389" s="420">
        <v>45680</v>
      </c>
      <c r="B389" t="s">
        <v>2532</v>
      </c>
      <c r="C389" t="s">
        <v>2798</v>
      </c>
      <c r="D389" t="s">
        <v>2799</v>
      </c>
      <c r="E389" t="s">
        <v>1302</v>
      </c>
      <c r="G389">
        <v>34.950000000000003</v>
      </c>
      <c r="I389">
        <v>34.950000000000003</v>
      </c>
      <c r="J389" t="s">
        <v>2511</v>
      </c>
    </row>
    <row r="390" spans="1:10" ht="15" customHeight="1" x14ac:dyDescent="0.2">
      <c r="A390" s="420">
        <v>45681</v>
      </c>
      <c r="B390" t="s">
        <v>2333</v>
      </c>
      <c r="C390" t="s">
        <v>2798</v>
      </c>
      <c r="D390" t="s">
        <v>2800</v>
      </c>
      <c r="E390" t="s">
        <v>1312</v>
      </c>
      <c r="F390">
        <v>34.950000000000003</v>
      </c>
      <c r="J390" t="s">
        <v>2511</v>
      </c>
    </row>
    <row r="391" spans="1:10" ht="15" customHeight="1" x14ac:dyDescent="0.2">
      <c r="A391" s="420">
        <v>45711</v>
      </c>
      <c r="B391" t="s">
        <v>2532</v>
      </c>
      <c r="C391" t="s">
        <v>2798</v>
      </c>
      <c r="D391" t="s">
        <v>2801</v>
      </c>
      <c r="E391" t="s">
        <v>1320</v>
      </c>
      <c r="G391">
        <v>34.950000000000003</v>
      </c>
      <c r="I391">
        <v>34.950000000000003</v>
      </c>
      <c r="J391" t="s">
        <v>2509</v>
      </c>
    </row>
    <row r="392" spans="1:10" ht="15" customHeight="1" x14ac:dyDescent="0.2">
      <c r="A392" s="420">
        <v>45712</v>
      </c>
      <c r="B392" t="s">
        <v>2333</v>
      </c>
      <c r="C392" t="s">
        <v>2798</v>
      </c>
      <c r="D392" t="s">
        <v>2802</v>
      </c>
      <c r="E392" t="s">
        <v>1312</v>
      </c>
      <c r="F392">
        <v>34.950000000000003</v>
      </c>
      <c r="J392" t="s">
        <v>2509</v>
      </c>
    </row>
    <row r="393" spans="1:10" ht="15" customHeight="1" x14ac:dyDescent="0.2">
      <c r="A393" s="420">
        <v>45723</v>
      </c>
      <c r="B393" t="s">
        <v>2532</v>
      </c>
      <c r="C393" t="s">
        <v>2798</v>
      </c>
      <c r="D393" t="s">
        <v>2803</v>
      </c>
      <c r="E393" t="s">
        <v>2804</v>
      </c>
      <c r="G393">
        <v>0.99</v>
      </c>
      <c r="I393">
        <v>0.99</v>
      </c>
      <c r="J393" t="s">
        <v>2585</v>
      </c>
    </row>
    <row r="394" spans="1:10" ht="15" customHeight="1" x14ac:dyDescent="0.2">
      <c r="A394" s="420">
        <v>45726</v>
      </c>
      <c r="B394" t="s">
        <v>2333</v>
      </c>
      <c r="C394" t="s">
        <v>2798</v>
      </c>
      <c r="D394" t="s">
        <v>2805</v>
      </c>
      <c r="E394" t="s">
        <v>1312</v>
      </c>
      <c r="F394">
        <v>0.99</v>
      </c>
      <c r="J394" t="s">
        <v>2585</v>
      </c>
    </row>
    <row r="395" spans="1:10" ht="15" customHeight="1" x14ac:dyDescent="0.2">
      <c r="A395" s="420">
        <v>45739</v>
      </c>
      <c r="B395" t="s">
        <v>2532</v>
      </c>
      <c r="C395" t="s">
        <v>2798</v>
      </c>
      <c r="D395" t="s">
        <v>2806</v>
      </c>
      <c r="E395" t="s">
        <v>1334</v>
      </c>
      <c r="G395">
        <v>34.950000000000003</v>
      </c>
      <c r="I395">
        <v>34.950000000000003</v>
      </c>
      <c r="J395" t="s">
        <v>2513</v>
      </c>
    </row>
    <row r="396" spans="1:10" ht="15" customHeight="1" x14ac:dyDescent="0.2">
      <c r="A396" s="420">
        <v>45740</v>
      </c>
      <c r="B396" t="s">
        <v>2333</v>
      </c>
      <c r="C396" t="s">
        <v>2798</v>
      </c>
      <c r="D396" t="s">
        <v>2807</v>
      </c>
      <c r="E396" t="s">
        <v>1312</v>
      </c>
      <c r="F396">
        <v>34.950000000000003</v>
      </c>
      <c r="J396" t="s">
        <v>2513</v>
      </c>
    </row>
    <row r="397" spans="1:10" ht="15" customHeight="1" x14ac:dyDescent="0.2">
      <c r="A397" s="420">
        <v>45755</v>
      </c>
      <c r="B397" t="s">
        <v>2333</v>
      </c>
      <c r="C397" t="s">
        <v>2798</v>
      </c>
      <c r="D397" t="s">
        <v>2808</v>
      </c>
      <c r="E397" t="s">
        <v>1312</v>
      </c>
      <c r="F397">
        <v>0.99</v>
      </c>
      <c r="H397">
        <v>0.99</v>
      </c>
      <c r="J397" t="s">
        <v>2586</v>
      </c>
    </row>
    <row r="398" spans="1:10" ht="15" customHeight="1" x14ac:dyDescent="0.2">
      <c r="A398" s="420">
        <v>45755</v>
      </c>
      <c r="B398" t="s">
        <v>2532</v>
      </c>
      <c r="C398" t="s">
        <v>2798</v>
      </c>
      <c r="D398" t="s">
        <v>2809</v>
      </c>
      <c r="E398" t="s">
        <v>2810</v>
      </c>
      <c r="G398">
        <v>0.99</v>
      </c>
      <c r="J398" t="s">
        <v>2586</v>
      </c>
    </row>
    <row r="399" spans="1:10" ht="15" customHeight="1" x14ac:dyDescent="0.2">
      <c r="A399" s="420">
        <v>45770</v>
      </c>
      <c r="B399" t="s">
        <v>2532</v>
      </c>
      <c r="C399" t="s">
        <v>2798</v>
      </c>
      <c r="D399" t="s">
        <v>2811</v>
      </c>
      <c r="E399" t="s">
        <v>1373</v>
      </c>
      <c r="G399">
        <v>34.950000000000003</v>
      </c>
      <c r="I399">
        <v>34.950000000000003</v>
      </c>
      <c r="J399" t="s">
        <v>2587</v>
      </c>
    </row>
    <row r="400" spans="1:10" ht="15" customHeight="1" x14ac:dyDescent="0.2">
      <c r="A400" s="420">
        <v>45771</v>
      </c>
      <c r="B400" t="s">
        <v>2333</v>
      </c>
      <c r="C400" t="s">
        <v>2798</v>
      </c>
      <c r="D400" t="s">
        <v>2812</v>
      </c>
      <c r="E400" t="s">
        <v>1312</v>
      </c>
      <c r="F400">
        <v>34.950000000000003</v>
      </c>
      <c r="J400" t="s">
        <v>2587</v>
      </c>
    </row>
    <row r="401" spans="1:10" ht="15" customHeight="1" x14ac:dyDescent="0.2">
      <c r="A401" s="420">
        <v>45784</v>
      </c>
      <c r="B401" t="s">
        <v>2532</v>
      </c>
      <c r="C401" t="s">
        <v>2798</v>
      </c>
      <c r="D401" t="s">
        <v>2813</v>
      </c>
      <c r="E401" t="s">
        <v>1352</v>
      </c>
      <c r="G401">
        <v>0.99</v>
      </c>
      <c r="I401">
        <v>0.99</v>
      </c>
      <c r="J401" t="s">
        <v>2604</v>
      </c>
    </row>
    <row r="402" spans="1:10" ht="15" customHeight="1" x14ac:dyDescent="0.2">
      <c r="A402" s="420">
        <v>45786</v>
      </c>
      <c r="B402" t="s">
        <v>2333</v>
      </c>
      <c r="C402" t="s">
        <v>2798</v>
      </c>
      <c r="D402" t="s">
        <v>2814</v>
      </c>
      <c r="E402" t="s">
        <v>1312</v>
      </c>
      <c r="F402">
        <v>0.99</v>
      </c>
      <c r="J402" t="s">
        <v>2604</v>
      </c>
    </row>
    <row r="403" spans="1:10" ht="15" customHeight="1" x14ac:dyDescent="0.2">
      <c r="A403" s="420">
        <v>45800</v>
      </c>
      <c r="B403" t="s">
        <v>2532</v>
      </c>
      <c r="C403" t="s">
        <v>2798</v>
      </c>
      <c r="D403" t="s">
        <v>2815</v>
      </c>
      <c r="E403" t="s">
        <v>1358</v>
      </c>
      <c r="G403">
        <v>34.950000000000003</v>
      </c>
      <c r="I403">
        <v>34.950000000000003</v>
      </c>
      <c r="J403" t="s">
        <v>2603</v>
      </c>
    </row>
    <row r="404" spans="1:10" ht="15" customHeight="1" x14ac:dyDescent="0.2">
      <c r="A404" s="420">
        <v>45803</v>
      </c>
      <c r="B404" t="s">
        <v>2333</v>
      </c>
      <c r="C404" t="s">
        <v>2798</v>
      </c>
      <c r="D404" t="s">
        <v>2816</v>
      </c>
      <c r="E404" t="s">
        <v>1312</v>
      </c>
      <c r="F404">
        <v>34.950000000000003</v>
      </c>
      <c r="J404" t="s">
        <v>2603</v>
      </c>
    </row>
    <row r="405" spans="1:10" ht="15" customHeight="1" x14ac:dyDescent="0.2">
      <c r="A405" s="420">
        <v>45815</v>
      </c>
      <c r="B405" t="s">
        <v>2532</v>
      </c>
      <c r="C405" t="s">
        <v>2798</v>
      </c>
      <c r="D405" t="s">
        <v>2817</v>
      </c>
      <c r="E405" t="s">
        <v>1352</v>
      </c>
      <c r="G405">
        <v>0.99</v>
      </c>
      <c r="I405">
        <v>0.99</v>
      </c>
      <c r="J405" t="s">
        <v>2600</v>
      </c>
    </row>
    <row r="406" spans="1:10" ht="15" customHeight="1" x14ac:dyDescent="0.2">
      <c r="A406" s="420">
        <v>45818</v>
      </c>
      <c r="B406" t="s">
        <v>2333</v>
      </c>
      <c r="C406" t="s">
        <v>2798</v>
      </c>
      <c r="D406" t="s">
        <v>2818</v>
      </c>
      <c r="E406" t="s">
        <v>1312</v>
      </c>
      <c r="F406">
        <v>0.99</v>
      </c>
      <c r="J406" t="s">
        <v>2600</v>
      </c>
    </row>
    <row r="407" spans="1:10" ht="15" customHeight="1" x14ac:dyDescent="0.2">
      <c r="A407" s="420">
        <v>45831</v>
      </c>
      <c r="B407" t="s">
        <v>2532</v>
      </c>
      <c r="C407" t="s">
        <v>2798</v>
      </c>
      <c r="D407" t="s">
        <v>2819</v>
      </c>
      <c r="E407" t="s">
        <v>1373</v>
      </c>
      <c r="G407">
        <v>34.950000000000003</v>
      </c>
      <c r="I407">
        <v>34.950000000000003</v>
      </c>
      <c r="J407" t="s">
        <v>2599</v>
      </c>
    </row>
    <row r="408" spans="1:10" ht="15" customHeight="1" x14ac:dyDescent="0.2">
      <c r="A408" s="420">
        <v>45832</v>
      </c>
      <c r="B408" t="s">
        <v>2333</v>
      </c>
      <c r="C408" t="s">
        <v>2798</v>
      </c>
      <c r="D408" t="s">
        <v>2820</v>
      </c>
      <c r="E408" t="s">
        <v>1312</v>
      </c>
      <c r="F408">
        <v>34.950000000000003</v>
      </c>
      <c r="J408" t="s">
        <v>2599</v>
      </c>
    </row>
    <row r="409" spans="1:10" ht="15" customHeight="1" x14ac:dyDescent="0.2">
      <c r="A409" s="420">
        <v>45845</v>
      </c>
      <c r="B409" t="s">
        <v>2547</v>
      </c>
      <c r="C409" t="s">
        <v>2798</v>
      </c>
      <c r="D409" t="s">
        <v>2821</v>
      </c>
      <c r="E409" t="s">
        <v>1381</v>
      </c>
      <c r="G409">
        <v>0.99</v>
      </c>
      <c r="I409">
        <v>0.99</v>
      </c>
      <c r="J409" t="s">
        <v>2602</v>
      </c>
    </row>
    <row r="410" spans="1:10" ht="15" customHeight="1" x14ac:dyDescent="0.2">
      <c r="A410" s="420">
        <v>45846</v>
      </c>
      <c r="B410" t="s">
        <v>2333</v>
      </c>
      <c r="C410" t="s">
        <v>2798</v>
      </c>
      <c r="D410" t="s">
        <v>2822</v>
      </c>
      <c r="E410" t="s">
        <v>1312</v>
      </c>
      <c r="F410">
        <v>0.99</v>
      </c>
      <c r="J410" t="s">
        <v>2602</v>
      </c>
    </row>
    <row r="411" spans="1:10" ht="15" customHeight="1" x14ac:dyDescent="0.2">
      <c r="A411" s="420">
        <v>45861</v>
      </c>
      <c r="B411" t="s">
        <v>2547</v>
      </c>
      <c r="C411" t="s">
        <v>2798</v>
      </c>
      <c r="D411" t="s">
        <v>2823</v>
      </c>
      <c r="E411" t="s">
        <v>1383</v>
      </c>
      <c r="G411">
        <v>34.950000000000003</v>
      </c>
      <c r="I411">
        <v>34.950000000000003</v>
      </c>
      <c r="J411" t="s">
        <v>2601</v>
      </c>
    </row>
    <row r="412" spans="1:10" ht="15" customHeight="1" x14ac:dyDescent="0.2">
      <c r="A412" s="420">
        <v>45862</v>
      </c>
      <c r="B412" t="s">
        <v>2333</v>
      </c>
      <c r="C412" t="s">
        <v>2798</v>
      </c>
      <c r="D412" t="s">
        <v>2824</v>
      </c>
      <c r="E412" t="s">
        <v>1312</v>
      </c>
      <c r="F412">
        <v>34.950000000000003</v>
      </c>
      <c r="J412" t="s">
        <v>2601</v>
      </c>
    </row>
    <row r="413" spans="1:10" ht="15" customHeight="1" x14ac:dyDescent="0.2">
      <c r="A413" s="420">
        <v>45876</v>
      </c>
      <c r="B413" t="s">
        <v>2532</v>
      </c>
      <c r="C413" t="s">
        <v>2798</v>
      </c>
      <c r="D413" t="s">
        <v>2825</v>
      </c>
      <c r="E413" t="s">
        <v>1381</v>
      </c>
      <c r="G413">
        <v>0.99</v>
      </c>
      <c r="I413">
        <v>0.99</v>
      </c>
      <c r="J413" t="s">
        <v>2605</v>
      </c>
    </row>
    <row r="414" spans="1:10" ht="15" customHeight="1" x14ac:dyDescent="0.2">
      <c r="A414" s="420">
        <v>45877</v>
      </c>
      <c r="B414" t="s">
        <v>2333</v>
      </c>
      <c r="C414" t="s">
        <v>2798</v>
      </c>
      <c r="D414" t="s">
        <v>2826</v>
      </c>
      <c r="E414" t="s">
        <v>1312</v>
      </c>
      <c r="F414">
        <v>0.99</v>
      </c>
      <c r="J414" t="s">
        <v>2605</v>
      </c>
    </row>
    <row r="415" spans="1:10" ht="15" customHeight="1" x14ac:dyDescent="0.2">
      <c r="A415" s="420">
        <v>45892</v>
      </c>
      <c r="B415" t="s">
        <v>2532</v>
      </c>
      <c r="C415" t="s">
        <v>2798</v>
      </c>
      <c r="D415" t="s">
        <v>2827</v>
      </c>
      <c r="E415" t="s">
        <v>1373</v>
      </c>
      <c r="G415">
        <v>34.950000000000003</v>
      </c>
      <c r="I415">
        <v>34.950000000000003</v>
      </c>
      <c r="J415" t="s">
        <v>2601</v>
      </c>
    </row>
    <row r="416" spans="1:10" ht="15" customHeight="1" x14ac:dyDescent="0.2">
      <c r="A416" s="420">
        <v>45894</v>
      </c>
      <c r="B416" t="s">
        <v>2333</v>
      </c>
      <c r="C416" t="s">
        <v>2798</v>
      </c>
      <c r="D416" t="s">
        <v>2828</v>
      </c>
      <c r="E416" t="s">
        <v>2829</v>
      </c>
      <c r="F416">
        <v>34.950000000000003</v>
      </c>
      <c r="J416" t="s">
        <v>2601</v>
      </c>
    </row>
    <row r="417" spans="1:10" ht="15" customHeight="1" x14ac:dyDescent="0.2">
      <c r="A417" s="420">
        <v>45923</v>
      </c>
      <c r="B417" t="s">
        <v>2547</v>
      </c>
      <c r="C417" t="s">
        <v>2798</v>
      </c>
      <c r="D417" t="s">
        <v>2830</v>
      </c>
      <c r="E417" t="s">
        <v>1381</v>
      </c>
      <c r="G417">
        <v>34.950000000000003</v>
      </c>
      <c r="I417">
        <v>34.950000000000003</v>
      </c>
      <c r="J417" t="s">
        <v>2601</v>
      </c>
    </row>
    <row r="418" spans="1:10" ht="15" customHeight="1" x14ac:dyDescent="0.2">
      <c r="A418" s="420">
        <v>45924</v>
      </c>
      <c r="B418" t="s">
        <v>2333</v>
      </c>
      <c r="C418" t="s">
        <v>2798</v>
      </c>
      <c r="D418" t="s">
        <v>2831</v>
      </c>
      <c r="E418" t="s">
        <v>1312</v>
      </c>
      <c r="F418">
        <v>34.950000000000003</v>
      </c>
      <c r="J418" t="s">
        <v>2601</v>
      </c>
    </row>
    <row r="419" spans="1:10" ht="15" customHeight="1" x14ac:dyDescent="0.2">
      <c r="A419" s="420">
        <v>45929</v>
      </c>
      <c r="B419" t="s">
        <v>2532</v>
      </c>
      <c r="C419" t="s">
        <v>2798</v>
      </c>
      <c r="D419" t="s">
        <v>2539</v>
      </c>
      <c r="E419" t="s">
        <v>2540</v>
      </c>
      <c r="G419">
        <v>1568</v>
      </c>
      <c r="I419">
        <v>1568</v>
      </c>
      <c r="J419" t="s">
        <v>2715</v>
      </c>
    </row>
    <row r="420" spans="1:10" ht="15" customHeight="1" x14ac:dyDescent="0.2">
      <c r="A420" s="420">
        <v>45931</v>
      </c>
      <c r="B420" t="s">
        <v>2333</v>
      </c>
      <c r="C420" t="s">
        <v>2798</v>
      </c>
      <c r="D420" t="s">
        <v>2832</v>
      </c>
      <c r="E420" t="s">
        <v>2833</v>
      </c>
      <c r="F420">
        <v>89</v>
      </c>
      <c r="I420">
        <v>1479</v>
      </c>
      <c r="J420" t="s">
        <v>2715</v>
      </c>
    </row>
    <row r="421" spans="1:10" ht="15" customHeight="1" x14ac:dyDescent="0.2">
      <c r="A421" s="420">
        <v>45931</v>
      </c>
      <c r="B421" t="s">
        <v>2333</v>
      </c>
      <c r="C421" t="s">
        <v>2798</v>
      </c>
      <c r="D421" t="s">
        <v>2834</v>
      </c>
      <c r="E421" t="s">
        <v>2833</v>
      </c>
      <c r="F421">
        <v>1479</v>
      </c>
      <c r="J421" t="s">
        <v>2715</v>
      </c>
    </row>
    <row r="422" spans="1:10" ht="15" customHeight="1" x14ac:dyDescent="0.2">
      <c r="A422" s="420">
        <v>45937</v>
      </c>
      <c r="B422" t="s">
        <v>2532</v>
      </c>
      <c r="C422" t="s">
        <v>2798</v>
      </c>
      <c r="D422" t="s">
        <v>2835</v>
      </c>
      <c r="E422" t="s">
        <v>1405</v>
      </c>
      <c r="G422">
        <v>0.99</v>
      </c>
      <c r="I422">
        <v>0.99</v>
      </c>
      <c r="J422" t="s">
        <v>2710</v>
      </c>
    </row>
    <row r="423" spans="1:10" ht="15" customHeight="1" x14ac:dyDescent="0.2">
      <c r="A423" s="420">
        <v>45938</v>
      </c>
      <c r="B423" t="s">
        <v>2333</v>
      </c>
      <c r="C423" t="s">
        <v>2798</v>
      </c>
      <c r="D423" t="s">
        <v>2836</v>
      </c>
      <c r="E423" t="s">
        <v>1312</v>
      </c>
      <c r="F423">
        <v>0.99</v>
      </c>
      <c r="J423" t="s">
        <v>2710</v>
      </c>
    </row>
    <row r="424" spans="1:10" ht="15" customHeight="1" x14ac:dyDescent="0.2">
      <c r="A424" s="420">
        <v>45940</v>
      </c>
      <c r="B424" t="s">
        <v>2532</v>
      </c>
      <c r="C424" t="s">
        <v>2798</v>
      </c>
      <c r="D424" t="s">
        <v>2837</v>
      </c>
      <c r="E424" t="s">
        <v>1407</v>
      </c>
      <c r="G424">
        <v>99</v>
      </c>
      <c r="I424">
        <v>99</v>
      </c>
      <c r="J424" t="s">
        <v>2739</v>
      </c>
    </row>
    <row r="425" spans="1:10" ht="15" customHeight="1" x14ac:dyDescent="0.2">
      <c r="A425" s="420">
        <v>45943</v>
      </c>
      <c r="B425" t="s">
        <v>2333</v>
      </c>
      <c r="C425" t="s">
        <v>2798</v>
      </c>
      <c r="D425" t="s">
        <v>2838</v>
      </c>
      <c r="E425" t="s">
        <v>1296</v>
      </c>
      <c r="F425">
        <v>99</v>
      </c>
      <c r="J425" t="s">
        <v>2739</v>
      </c>
    </row>
    <row r="426" spans="1:10" ht="15" customHeight="1" x14ac:dyDescent="0.2">
      <c r="A426" s="420">
        <v>45953</v>
      </c>
      <c r="B426" t="s">
        <v>2532</v>
      </c>
      <c r="C426" t="s">
        <v>2798</v>
      </c>
      <c r="D426" t="s">
        <v>2839</v>
      </c>
      <c r="E426" t="s">
        <v>1411</v>
      </c>
      <c r="G426">
        <v>34.950000000000003</v>
      </c>
      <c r="I426">
        <v>34.950000000000003</v>
      </c>
      <c r="J426" t="s">
        <v>2710</v>
      </c>
    </row>
    <row r="427" spans="1:10" ht="15" customHeight="1" x14ac:dyDescent="0.2">
      <c r="A427" s="420">
        <v>45954</v>
      </c>
      <c r="B427" t="s">
        <v>2333</v>
      </c>
      <c r="C427" t="s">
        <v>2798</v>
      </c>
      <c r="D427" t="s">
        <v>2840</v>
      </c>
      <c r="E427" t="s">
        <v>2829</v>
      </c>
      <c r="F427">
        <v>34.950000000000003</v>
      </c>
      <c r="J427" t="s">
        <v>2710</v>
      </c>
    </row>
    <row r="428" spans="1:10" ht="15" customHeight="1" x14ac:dyDescent="0.2">
      <c r="A428" s="420">
        <v>45971</v>
      </c>
      <c r="B428" t="s">
        <v>2333</v>
      </c>
      <c r="C428" t="s">
        <v>2798</v>
      </c>
      <c r="D428" t="s">
        <v>2841</v>
      </c>
      <c r="E428" t="s">
        <v>2829</v>
      </c>
      <c r="F428">
        <v>0.99</v>
      </c>
      <c r="H428">
        <v>0.99</v>
      </c>
      <c r="J428" t="s">
        <v>2725</v>
      </c>
    </row>
    <row r="429" spans="1:10" ht="15" customHeight="1" x14ac:dyDescent="0.2">
      <c r="A429" s="420">
        <v>45971</v>
      </c>
      <c r="B429" t="s">
        <v>2547</v>
      </c>
      <c r="C429" t="s">
        <v>2798</v>
      </c>
      <c r="D429" t="s">
        <v>2842</v>
      </c>
      <c r="E429" t="s">
        <v>1418</v>
      </c>
      <c r="G429">
        <v>0.99</v>
      </c>
      <c r="J429" t="s">
        <v>2725</v>
      </c>
    </row>
    <row r="430" spans="1:10" ht="15" customHeight="1" x14ac:dyDescent="0.2">
      <c r="A430" s="420">
        <v>45972</v>
      </c>
      <c r="B430" t="s">
        <v>2532</v>
      </c>
      <c r="C430" t="s">
        <v>2798</v>
      </c>
      <c r="D430" t="s">
        <v>2843</v>
      </c>
      <c r="E430" t="s">
        <v>1419</v>
      </c>
      <c r="G430">
        <v>0.99</v>
      </c>
      <c r="I430">
        <v>0.99</v>
      </c>
      <c r="J430" t="s">
        <v>2719</v>
      </c>
    </row>
    <row r="431" spans="1:10" ht="15" customHeight="1" x14ac:dyDescent="0.2">
      <c r="A431" s="420">
        <v>45984</v>
      </c>
      <c r="B431" t="s">
        <v>2532</v>
      </c>
      <c r="C431" t="s">
        <v>2798</v>
      </c>
      <c r="D431" t="s">
        <v>2844</v>
      </c>
      <c r="E431" t="s">
        <v>1424</v>
      </c>
      <c r="G431">
        <v>34.950000000000003</v>
      </c>
      <c r="I431">
        <v>35.94</v>
      </c>
      <c r="J431" t="s">
        <v>2727</v>
      </c>
    </row>
    <row r="432" spans="1:10" ht="15" customHeight="1" x14ac:dyDescent="0.2">
      <c r="A432" s="420">
        <v>45985</v>
      </c>
      <c r="B432" t="s">
        <v>2333</v>
      </c>
      <c r="C432" t="s">
        <v>2798</v>
      </c>
      <c r="D432" t="s">
        <v>2845</v>
      </c>
      <c r="E432" t="s">
        <v>2829</v>
      </c>
      <c r="F432">
        <v>34.950000000000003</v>
      </c>
      <c r="I432">
        <v>0.99</v>
      </c>
      <c r="J432" t="s">
        <v>2727</v>
      </c>
    </row>
    <row r="433" spans="1:10" ht="15" customHeight="1" x14ac:dyDescent="0.2">
      <c r="A433" s="420">
        <v>45999</v>
      </c>
      <c r="B433" t="s">
        <v>2333</v>
      </c>
      <c r="C433" t="s">
        <v>2798</v>
      </c>
      <c r="D433" t="s">
        <v>2846</v>
      </c>
      <c r="E433" t="s">
        <v>2829</v>
      </c>
      <c r="F433">
        <v>0.99</v>
      </c>
      <c r="J433" t="s">
        <v>2719</v>
      </c>
    </row>
    <row r="434" spans="1:10" ht="15" customHeight="1" x14ac:dyDescent="0.2">
      <c r="A434" s="420">
        <v>45999</v>
      </c>
      <c r="B434" t="s">
        <v>2532</v>
      </c>
      <c r="C434" t="s">
        <v>2798</v>
      </c>
      <c r="D434" t="s">
        <v>2847</v>
      </c>
      <c r="E434" t="s">
        <v>1427</v>
      </c>
      <c r="G434">
        <v>0.99</v>
      </c>
      <c r="I434">
        <v>0.99</v>
      </c>
      <c r="J434" t="s">
        <v>2511</v>
      </c>
    </row>
    <row r="435" spans="1:10" ht="15" customHeight="1" x14ac:dyDescent="0.2">
      <c r="A435" s="420">
        <v>46014</v>
      </c>
      <c r="B435" t="s">
        <v>2532</v>
      </c>
      <c r="C435" t="s">
        <v>2798</v>
      </c>
      <c r="D435" t="s">
        <v>2848</v>
      </c>
      <c r="E435" t="s">
        <v>1381</v>
      </c>
      <c r="G435">
        <v>34.950000000000003</v>
      </c>
      <c r="I435">
        <v>35.94</v>
      </c>
      <c r="J435" t="s">
        <v>2729</v>
      </c>
    </row>
    <row r="436" spans="1:10" ht="15" customHeight="1" x14ac:dyDescent="0.2">
      <c r="A436" s="420">
        <v>46015</v>
      </c>
      <c r="B436" t="s">
        <v>2333</v>
      </c>
      <c r="C436" t="s">
        <v>2798</v>
      </c>
      <c r="D436" t="s">
        <v>2849</v>
      </c>
      <c r="E436" t="s">
        <v>2829</v>
      </c>
      <c r="F436">
        <v>34.950000000000003</v>
      </c>
      <c r="I436">
        <v>0.99</v>
      </c>
      <c r="J436" t="s">
        <v>2729</v>
      </c>
    </row>
    <row r="437" spans="1:10" ht="15" customHeight="1" x14ac:dyDescent="0.2">
      <c r="A437" t="s">
        <v>2798</v>
      </c>
      <c r="E437" t="s">
        <v>349</v>
      </c>
      <c r="F437">
        <v>2095.31</v>
      </c>
      <c r="G437">
        <v>2096.3000000000002</v>
      </c>
      <c r="I437">
        <v>0.99</v>
      </c>
    </row>
    <row r="439" spans="1:10" ht="15" customHeight="1" x14ac:dyDescent="0.2">
      <c r="A439" t="s">
        <v>2850</v>
      </c>
      <c r="B439" t="s">
        <v>2851</v>
      </c>
      <c r="F439" t="s">
        <v>2430</v>
      </c>
      <c r="G439" t="s">
        <v>2431</v>
      </c>
      <c r="H439" t="s">
        <v>2432</v>
      </c>
      <c r="I439" t="s">
        <v>2433</v>
      </c>
      <c r="J439" t="s">
        <v>2434</v>
      </c>
    </row>
    <row r="440" spans="1:10" ht="15" customHeight="1" x14ac:dyDescent="0.2">
      <c r="A440" s="420">
        <v>45900</v>
      </c>
      <c r="B440" t="s">
        <v>2532</v>
      </c>
      <c r="C440" t="s">
        <v>2850</v>
      </c>
      <c r="D440" t="s">
        <v>2852</v>
      </c>
      <c r="E440" t="s">
        <v>1682</v>
      </c>
      <c r="G440">
        <v>33.43</v>
      </c>
      <c r="I440">
        <v>33.43</v>
      </c>
      <c r="J440" t="s">
        <v>2511</v>
      </c>
    </row>
    <row r="441" spans="1:10" ht="15" customHeight="1" x14ac:dyDescent="0.2">
      <c r="A441" s="420">
        <v>45904</v>
      </c>
      <c r="B441" t="s">
        <v>2333</v>
      </c>
      <c r="C441" t="s">
        <v>2850</v>
      </c>
      <c r="D441" t="s">
        <v>2853</v>
      </c>
      <c r="E441" t="s">
        <v>2854</v>
      </c>
      <c r="F441">
        <v>33.43</v>
      </c>
      <c r="J441" t="s">
        <v>2511</v>
      </c>
    </row>
    <row r="442" spans="1:10" ht="15" customHeight="1" x14ac:dyDescent="0.2">
      <c r="A442" t="s">
        <v>2850</v>
      </c>
      <c r="E442" t="s">
        <v>349</v>
      </c>
      <c r="F442">
        <v>33.43</v>
      </c>
      <c r="G442">
        <v>33.43</v>
      </c>
    </row>
    <row r="444" spans="1:10" ht="15" customHeight="1" x14ac:dyDescent="0.2">
      <c r="A444" t="s">
        <v>2855</v>
      </c>
      <c r="B444" t="s">
        <v>2856</v>
      </c>
      <c r="F444" t="s">
        <v>2430</v>
      </c>
      <c r="G444" t="s">
        <v>2431</v>
      </c>
      <c r="H444" t="s">
        <v>2432</v>
      </c>
      <c r="I444" t="s">
        <v>2433</v>
      </c>
      <c r="J444" t="s">
        <v>2434</v>
      </c>
    </row>
    <row r="445" spans="1:10" ht="15" customHeight="1" x14ac:dyDescent="0.2">
      <c r="A445" s="420">
        <v>45658</v>
      </c>
      <c r="B445" t="s">
        <v>2547</v>
      </c>
      <c r="C445" t="s">
        <v>2855</v>
      </c>
      <c r="D445" t="s">
        <v>2857</v>
      </c>
      <c r="E445" t="s">
        <v>2858</v>
      </c>
      <c r="G445">
        <v>26.99</v>
      </c>
      <c r="I445">
        <v>26.99</v>
      </c>
      <c r="J445" t="s">
        <v>2511</v>
      </c>
    </row>
    <row r="446" spans="1:10" ht="15" customHeight="1" x14ac:dyDescent="0.2">
      <c r="A446" s="420">
        <v>45708</v>
      </c>
      <c r="B446" t="s">
        <v>2333</v>
      </c>
      <c r="C446" t="s">
        <v>2855</v>
      </c>
      <c r="D446" t="s">
        <v>2859</v>
      </c>
      <c r="E446" t="s">
        <v>2860</v>
      </c>
      <c r="F446">
        <v>26.99</v>
      </c>
      <c r="J446" t="s">
        <v>2511</v>
      </c>
    </row>
    <row r="447" spans="1:10" ht="15" customHeight="1" x14ac:dyDescent="0.2">
      <c r="A447" t="s">
        <v>2855</v>
      </c>
      <c r="E447" t="s">
        <v>349</v>
      </c>
      <c r="F447">
        <v>26.99</v>
      </c>
      <c r="G447">
        <v>26.99</v>
      </c>
    </row>
    <row r="449" spans="1:10" ht="15" customHeight="1" x14ac:dyDescent="0.2">
      <c r="A449" t="s">
        <v>2861</v>
      </c>
      <c r="B449" t="s">
        <v>2862</v>
      </c>
      <c r="F449" t="s">
        <v>2430</v>
      </c>
      <c r="G449" t="s">
        <v>2431</v>
      </c>
      <c r="H449" t="s">
        <v>2432</v>
      </c>
      <c r="I449" t="s">
        <v>2433</v>
      </c>
      <c r="J449" t="s">
        <v>2434</v>
      </c>
    </row>
    <row r="450" spans="1:10" ht="15" customHeight="1" x14ac:dyDescent="0.2">
      <c r="A450" s="420">
        <v>45728</v>
      </c>
      <c r="B450" t="s">
        <v>2547</v>
      </c>
      <c r="C450" t="s">
        <v>2861</v>
      </c>
      <c r="D450" t="s">
        <v>2863</v>
      </c>
      <c r="E450" t="s">
        <v>1793</v>
      </c>
      <c r="G450">
        <v>3.44</v>
      </c>
      <c r="I450">
        <v>3.44</v>
      </c>
      <c r="J450" t="s">
        <v>2511</v>
      </c>
    </row>
    <row r="451" spans="1:10" ht="15" customHeight="1" x14ac:dyDescent="0.2">
      <c r="A451" s="420">
        <v>45747</v>
      </c>
      <c r="B451" t="s">
        <v>2333</v>
      </c>
      <c r="C451" t="s">
        <v>2861</v>
      </c>
      <c r="D451" t="s">
        <v>2864</v>
      </c>
      <c r="E451" t="s">
        <v>2865</v>
      </c>
      <c r="F451">
        <v>3.44</v>
      </c>
      <c r="J451" t="s">
        <v>2511</v>
      </c>
    </row>
    <row r="452" spans="1:10" ht="15" customHeight="1" x14ac:dyDescent="0.2">
      <c r="A452" t="s">
        <v>2861</v>
      </c>
      <c r="E452" t="s">
        <v>349</v>
      </c>
      <c r="F452">
        <v>3.44</v>
      </c>
      <c r="G452">
        <v>3.44</v>
      </c>
    </row>
    <row r="454" spans="1:10" ht="15" customHeight="1" x14ac:dyDescent="0.2">
      <c r="A454" t="s">
        <v>2866</v>
      </c>
      <c r="B454" t="s">
        <v>2867</v>
      </c>
      <c r="F454" t="s">
        <v>2430</v>
      </c>
      <c r="G454" t="s">
        <v>2431</v>
      </c>
      <c r="H454" t="s">
        <v>2432</v>
      </c>
      <c r="I454" t="s">
        <v>2433</v>
      </c>
      <c r="J454" t="s">
        <v>2434</v>
      </c>
    </row>
    <row r="455" spans="1:10" ht="15" customHeight="1" x14ac:dyDescent="0.2">
      <c r="A455" s="420">
        <v>45913</v>
      </c>
      <c r="B455" t="s">
        <v>2532</v>
      </c>
      <c r="C455" t="s">
        <v>2866</v>
      </c>
      <c r="D455" t="s">
        <v>2868</v>
      </c>
      <c r="E455" t="s">
        <v>1935</v>
      </c>
      <c r="G455">
        <v>128.19999999999999</v>
      </c>
      <c r="I455">
        <v>128.19999999999999</v>
      </c>
      <c r="J455" t="s">
        <v>2511</v>
      </c>
    </row>
    <row r="456" spans="1:10" ht="15" customHeight="1" x14ac:dyDescent="0.2">
      <c r="A456" s="420">
        <v>45915</v>
      </c>
      <c r="B456" t="s">
        <v>2333</v>
      </c>
      <c r="C456" t="s">
        <v>2866</v>
      </c>
      <c r="D456" t="s">
        <v>2869</v>
      </c>
      <c r="E456" t="s">
        <v>2870</v>
      </c>
      <c r="F456">
        <v>128.19999999999999</v>
      </c>
      <c r="J456" t="s">
        <v>2511</v>
      </c>
    </row>
    <row r="457" spans="1:10" ht="15" customHeight="1" x14ac:dyDescent="0.2">
      <c r="A457" t="s">
        <v>2866</v>
      </c>
      <c r="E457" t="s">
        <v>349</v>
      </c>
      <c r="F457">
        <v>128.19999999999999</v>
      </c>
      <c r="G457">
        <v>128.19999999999999</v>
      </c>
    </row>
    <row r="459" spans="1:10" ht="15" customHeight="1" x14ac:dyDescent="0.2">
      <c r="A459" t="s">
        <v>2871</v>
      </c>
      <c r="B459" t="s">
        <v>2872</v>
      </c>
      <c r="F459" t="s">
        <v>2430</v>
      </c>
      <c r="G459" t="s">
        <v>2431</v>
      </c>
      <c r="H459" t="s">
        <v>2432</v>
      </c>
      <c r="I459" t="s">
        <v>2433</v>
      </c>
      <c r="J459" t="s">
        <v>2434</v>
      </c>
    </row>
    <row r="460" spans="1:10" ht="15" customHeight="1" x14ac:dyDescent="0.2">
      <c r="A460" s="420">
        <v>45663</v>
      </c>
      <c r="B460" t="s">
        <v>2532</v>
      </c>
      <c r="C460" t="s">
        <v>2871</v>
      </c>
      <c r="D460" t="s">
        <v>2873</v>
      </c>
      <c r="E460" t="s">
        <v>1440</v>
      </c>
      <c r="G460">
        <v>1112.0899999999999</v>
      </c>
      <c r="I460">
        <v>1112.0899999999999</v>
      </c>
      <c r="J460" t="s">
        <v>2511</v>
      </c>
    </row>
    <row r="461" spans="1:10" ht="15" customHeight="1" x14ac:dyDescent="0.2">
      <c r="A461" s="420">
        <v>45666</v>
      </c>
      <c r="B461" t="s">
        <v>2333</v>
      </c>
      <c r="C461" t="s">
        <v>2871</v>
      </c>
      <c r="D461" t="s">
        <v>2874</v>
      </c>
      <c r="E461" t="s">
        <v>2875</v>
      </c>
      <c r="F461">
        <v>1112.0899999999999</v>
      </c>
      <c r="J461" t="s">
        <v>2511</v>
      </c>
    </row>
    <row r="462" spans="1:10" ht="15" customHeight="1" x14ac:dyDescent="0.2">
      <c r="A462" s="420">
        <v>45682</v>
      </c>
      <c r="B462" t="s">
        <v>2532</v>
      </c>
      <c r="C462" t="s">
        <v>2871</v>
      </c>
      <c r="D462" t="s">
        <v>2876</v>
      </c>
      <c r="E462" t="s">
        <v>1447</v>
      </c>
      <c r="G462">
        <v>418.8</v>
      </c>
      <c r="I462">
        <v>418.8</v>
      </c>
      <c r="J462" t="s">
        <v>2509</v>
      </c>
    </row>
    <row r="463" spans="1:10" ht="15" customHeight="1" x14ac:dyDescent="0.2">
      <c r="A463" s="420">
        <v>45685</v>
      </c>
      <c r="B463" t="s">
        <v>2333</v>
      </c>
      <c r="C463" t="s">
        <v>2871</v>
      </c>
      <c r="D463" t="s">
        <v>2877</v>
      </c>
      <c r="E463" t="s">
        <v>2878</v>
      </c>
      <c r="F463">
        <v>418.8</v>
      </c>
      <c r="J463" t="s">
        <v>2509</v>
      </c>
    </row>
    <row r="464" spans="1:10" ht="15" customHeight="1" x14ac:dyDescent="0.2">
      <c r="A464" s="420">
        <v>45693</v>
      </c>
      <c r="B464" t="s">
        <v>2532</v>
      </c>
      <c r="C464" t="s">
        <v>2871</v>
      </c>
      <c r="D464" t="s">
        <v>2879</v>
      </c>
      <c r="E464" t="s">
        <v>1450</v>
      </c>
      <c r="G464">
        <v>1808.24</v>
      </c>
      <c r="I464">
        <v>1808.24</v>
      </c>
      <c r="J464" t="s">
        <v>2585</v>
      </c>
    </row>
    <row r="465" spans="1:10" ht="15" customHeight="1" x14ac:dyDescent="0.2">
      <c r="A465" s="420">
        <v>45695</v>
      </c>
      <c r="B465" t="s">
        <v>2333</v>
      </c>
      <c r="C465" t="s">
        <v>2871</v>
      </c>
      <c r="D465" t="s">
        <v>2880</v>
      </c>
      <c r="E465" t="s">
        <v>2881</v>
      </c>
      <c r="F465">
        <v>1808.24</v>
      </c>
      <c r="J465" t="s">
        <v>2585</v>
      </c>
    </row>
    <row r="466" spans="1:10" ht="15" customHeight="1" x14ac:dyDescent="0.2">
      <c r="A466" s="420">
        <v>45713</v>
      </c>
      <c r="B466" t="s">
        <v>2532</v>
      </c>
      <c r="C466" t="s">
        <v>2871</v>
      </c>
      <c r="D466" t="s">
        <v>2882</v>
      </c>
      <c r="E466" t="s">
        <v>1465</v>
      </c>
      <c r="G466">
        <v>418.8</v>
      </c>
      <c r="I466">
        <v>418.8</v>
      </c>
      <c r="J466" t="s">
        <v>2513</v>
      </c>
    </row>
    <row r="467" spans="1:10" ht="15" customHeight="1" x14ac:dyDescent="0.2">
      <c r="A467" s="420">
        <v>45715</v>
      </c>
      <c r="B467" t="s">
        <v>2333</v>
      </c>
      <c r="C467" t="s">
        <v>2871</v>
      </c>
      <c r="D467" t="s">
        <v>2883</v>
      </c>
      <c r="E467" t="s">
        <v>2884</v>
      </c>
      <c r="F467">
        <v>418.8</v>
      </c>
      <c r="J467" t="s">
        <v>2513</v>
      </c>
    </row>
    <row r="468" spans="1:10" ht="15" customHeight="1" x14ac:dyDescent="0.2">
      <c r="A468" s="420">
        <v>45721</v>
      </c>
      <c r="B468" t="s">
        <v>2532</v>
      </c>
      <c r="C468" t="s">
        <v>2871</v>
      </c>
      <c r="D468" t="s">
        <v>2885</v>
      </c>
      <c r="E468" t="s">
        <v>1473</v>
      </c>
      <c r="G468">
        <v>2685.38</v>
      </c>
      <c r="I468">
        <v>2685.38</v>
      </c>
      <c r="J468" t="s">
        <v>2587</v>
      </c>
    </row>
    <row r="469" spans="1:10" ht="15" customHeight="1" x14ac:dyDescent="0.2">
      <c r="A469" s="420">
        <v>45726</v>
      </c>
      <c r="B469" t="s">
        <v>2333</v>
      </c>
      <c r="C469" t="s">
        <v>2871</v>
      </c>
      <c r="D469" t="s">
        <v>2886</v>
      </c>
      <c r="E469" t="s">
        <v>2887</v>
      </c>
      <c r="F469">
        <v>2685.38</v>
      </c>
      <c r="J469" t="s">
        <v>2587</v>
      </c>
    </row>
    <row r="470" spans="1:10" ht="15" customHeight="1" x14ac:dyDescent="0.2">
      <c r="A470" s="420">
        <v>45741</v>
      </c>
      <c r="B470" t="s">
        <v>2532</v>
      </c>
      <c r="C470" t="s">
        <v>2871</v>
      </c>
      <c r="D470" t="s">
        <v>2888</v>
      </c>
      <c r="E470" t="s">
        <v>1479</v>
      </c>
      <c r="G470">
        <v>418.8</v>
      </c>
      <c r="I470">
        <v>418.8</v>
      </c>
      <c r="J470" t="s">
        <v>2586</v>
      </c>
    </row>
    <row r="471" spans="1:10" ht="15" customHeight="1" x14ac:dyDescent="0.2">
      <c r="A471" s="420">
        <v>45743</v>
      </c>
      <c r="B471" t="s">
        <v>2333</v>
      </c>
      <c r="C471" t="s">
        <v>2871</v>
      </c>
      <c r="D471" t="s">
        <v>2889</v>
      </c>
      <c r="E471" t="s">
        <v>2890</v>
      </c>
      <c r="F471">
        <v>418.8</v>
      </c>
      <c r="J471" t="s">
        <v>2586</v>
      </c>
    </row>
    <row r="472" spans="1:10" ht="15" customHeight="1" x14ac:dyDescent="0.2">
      <c r="A472" s="420">
        <v>45752</v>
      </c>
      <c r="B472" t="s">
        <v>2532</v>
      </c>
      <c r="C472" t="s">
        <v>2871</v>
      </c>
      <c r="D472" t="s">
        <v>2891</v>
      </c>
      <c r="E472" t="s">
        <v>1482</v>
      </c>
      <c r="G472">
        <v>2592.08</v>
      </c>
      <c r="I472">
        <v>2592.08</v>
      </c>
      <c r="J472" t="s">
        <v>2603</v>
      </c>
    </row>
    <row r="473" spans="1:10" ht="15" customHeight="1" x14ac:dyDescent="0.2">
      <c r="A473" s="420">
        <v>45756</v>
      </c>
      <c r="B473" t="s">
        <v>2333</v>
      </c>
      <c r="C473" t="s">
        <v>2871</v>
      </c>
      <c r="D473" t="s">
        <v>2892</v>
      </c>
      <c r="E473" t="s">
        <v>2893</v>
      </c>
      <c r="F473">
        <v>2592.08</v>
      </c>
      <c r="J473" t="s">
        <v>2603</v>
      </c>
    </row>
    <row r="474" spans="1:10" ht="15" customHeight="1" x14ac:dyDescent="0.2">
      <c r="A474" s="420">
        <v>45772</v>
      </c>
      <c r="B474" t="s">
        <v>2532</v>
      </c>
      <c r="C474" t="s">
        <v>2871</v>
      </c>
      <c r="D474" t="s">
        <v>2894</v>
      </c>
      <c r="E474" t="s">
        <v>1486</v>
      </c>
      <c r="G474">
        <v>418.8</v>
      </c>
      <c r="I474">
        <v>418.8</v>
      </c>
      <c r="J474" t="s">
        <v>2601</v>
      </c>
    </row>
    <row r="475" spans="1:10" ht="15" customHeight="1" x14ac:dyDescent="0.2">
      <c r="A475" s="420">
        <v>45776</v>
      </c>
      <c r="B475" t="s">
        <v>2333</v>
      </c>
      <c r="C475" t="s">
        <v>2871</v>
      </c>
      <c r="D475" t="s">
        <v>2895</v>
      </c>
      <c r="E475" t="s">
        <v>2896</v>
      </c>
      <c r="F475">
        <v>418.8</v>
      </c>
      <c r="J475" t="s">
        <v>2601</v>
      </c>
    </row>
    <row r="476" spans="1:10" ht="15" customHeight="1" x14ac:dyDescent="0.2">
      <c r="A476" s="420">
        <v>45782</v>
      </c>
      <c r="B476" t="s">
        <v>2532</v>
      </c>
      <c r="C476" t="s">
        <v>2871</v>
      </c>
      <c r="D476" t="s">
        <v>2897</v>
      </c>
      <c r="E476" t="s">
        <v>1490</v>
      </c>
      <c r="G476">
        <v>1976.28</v>
      </c>
      <c r="I476">
        <v>1976.28</v>
      </c>
      <c r="J476" t="s">
        <v>2600</v>
      </c>
    </row>
    <row r="477" spans="1:10" ht="15" customHeight="1" x14ac:dyDescent="0.2">
      <c r="A477" s="420">
        <v>45784</v>
      </c>
      <c r="B477" t="s">
        <v>2333</v>
      </c>
      <c r="C477" t="s">
        <v>2871</v>
      </c>
      <c r="D477" t="s">
        <v>2898</v>
      </c>
      <c r="E477" t="s">
        <v>2899</v>
      </c>
      <c r="F477">
        <v>1976.28</v>
      </c>
      <c r="J477" t="s">
        <v>2600</v>
      </c>
    </row>
    <row r="478" spans="1:10" ht="15" customHeight="1" x14ac:dyDescent="0.2">
      <c r="A478" s="420">
        <v>45802</v>
      </c>
      <c r="B478" t="s">
        <v>2532</v>
      </c>
      <c r="C478" t="s">
        <v>2871</v>
      </c>
      <c r="D478" t="s">
        <v>2900</v>
      </c>
      <c r="E478" t="s">
        <v>1500</v>
      </c>
      <c r="G478">
        <v>418.8</v>
      </c>
      <c r="I478">
        <v>418.8</v>
      </c>
      <c r="J478" t="s">
        <v>2604</v>
      </c>
    </row>
    <row r="479" spans="1:10" ht="15" customHeight="1" x14ac:dyDescent="0.2">
      <c r="A479" s="420">
        <v>45805</v>
      </c>
      <c r="B479" t="s">
        <v>2333</v>
      </c>
      <c r="C479" t="s">
        <v>2871</v>
      </c>
      <c r="D479" t="s">
        <v>2901</v>
      </c>
      <c r="E479" t="s">
        <v>2902</v>
      </c>
      <c r="F479">
        <v>418.8</v>
      </c>
      <c r="J479" t="s">
        <v>2604</v>
      </c>
    </row>
    <row r="480" spans="1:10" ht="15" customHeight="1" x14ac:dyDescent="0.2">
      <c r="A480" s="420">
        <v>45813</v>
      </c>
      <c r="B480" t="s">
        <v>2532</v>
      </c>
      <c r="C480" t="s">
        <v>2871</v>
      </c>
      <c r="D480" t="s">
        <v>2903</v>
      </c>
      <c r="E480" t="s">
        <v>1506</v>
      </c>
      <c r="G480">
        <v>2530.1</v>
      </c>
      <c r="I480">
        <v>2530.1</v>
      </c>
      <c r="J480" t="s">
        <v>2599</v>
      </c>
    </row>
    <row r="481" spans="1:10" ht="15" customHeight="1" x14ac:dyDescent="0.2">
      <c r="A481" s="420">
        <v>45814</v>
      </c>
      <c r="B481" t="s">
        <v>2333</v>
      </c>
      <c r="C481" t="s">
        <v>2871</v>
      </c>
      <c r="D481" t="s">
        <v>2904</v>
      </c>
      <c r="E481" t="s">
        <v>2905</v>
      </c>
      <c r="F481">
        <v>2530.1</v>
      </c>
      <c r="J481" t="s">
        <v>2599</v>
      </c>
    </row>
    <row r="482" spans="1:10" ht="15" customHeight="1" x14ac:dyDescent="0.2">
      <c r="A482" s="420">
        <v>45833</v>
      </c>
      <c r="B482" t="s">
        <v>2532</v>
      </c>
      <c r="C482" t="s">
        <v>2871</v>
      </c>
      <c r="D482" t="s">
        <v>2906</v>
      </c>
      <c r="E482" t="s">
        <v>1512</v>
      </c>
      <c r="G482">
        <v>418.8</v>
      </c>
      <c r="I482">
        <v>418.8</v>
      </c>
      <c r="J482" t="s">
        <v>2602</v>
      </c>
    </row>
    <row r="483" spans="1:10" ht="15" customHeight="1" x14ac:dyDescent="0.2">
      <c r="A483" s="420">
        <v>45835</v>
      </c>
      <c r="B483" t="s">
        <v>2333</v>
      </c>
      <c r="C483" t="s">
        <v>2871</v>
      </c>
      <c r="D483" t="s">
        <v>2907</v>
      </c>
      <c r="E483" t="s">
        <v>2908</v>
      </c>
      <c r="F483">
        <v>418.8</v>
      </c>
      <c r="J483" t="s">
        <v>2602</v>
      </c>
    </row>
    <row r="484" spans="1:10" ht="15" customHeight="1" x14ac:dyDescent="0.2">
      <c r="A484" s="420">
        <v>45843</v>
      </c>
      <c r="B484" t="s">
        <v>2532</v>
      </c>
      <c r="C484" t="s">
        <v>2871</v>
      </c>
      <c r="D484" t="s">
        <v>2909</v>
      </c>
      <c r="E484" t="s">
        <v>1534</v>
      </c>
      <c r="G484">
        <v>2091.71</v>
      </c>
      <c r="I484">
        <v>2091.71</v>
      </c>
      <c r="J484" t="s">
        <v>2605</v>
      </c>
    </row>
    <row r="485" spans="1:10" ht="15" customHeight="1" x14ac:dyDescent="0.2">
      <c r="A485" s="420">
        <v>45846</v>
      </c>
      <c r="B485" t="s">
        <v>2333</v>
      </c>
      <c r="C485" t="s">
        <v>2871</v>
      </c>
      <c r="D485" t="s">
        <v>2910</v>
      </c>
      <c r="E485" t="s">
        <v>2911</v>
      </c>
      <c r="F485">
        <v>2091.71</v>
      </c>
      <c r="J485" t="s">
        <v>2605</v>
      </c>
    </row>
    <row r="486" spans="1:10" ht="15" customHeight="1" x14ac:dyDescent="0.2">
      <c r="A486" s="420">
        <v>45862</v>
      </c>
      <c r="B486" t="s">
        <v>2532</v>
      </c>
      <c r="C486" t="s">
        <v>2871</v>
      </c>
      <c r="D486" t="s">
        <v>2912</v>
      </c>
      <c r="E486" t="s">
        <v>1543</v>
      </c>
      <c r="G486">
        <v>418.8</v>
      </c>
      <c r="I486">
        <v>418.8</v>
      </c>
      <c r="J486" t="s">
        <v>2715</v>
      </c>
    </row>
    <row r="487" spans="1:10" ht="15" customHeight="1" x14ac:dyDescent="0.2">
      <c r="A487" s="420">
        <v>45866</v>
      </c>
      <c r="B487" t="s">
        <v>2333</v>
      </c>
      <c r="C487" t="s">
        <v>2871</v>
      </c>
      <c r="D487" t="s">
        <v>2913</v>
      </c>
      <c r="E487" t="s">
        <v>2914</v>
      </c>
      <c r="F487">
        <v>418.8</v>
      </c>
      <c r="J487" t="s">
        <v>2710</v>
      </c>
    </row>
    <row r="488" spans="1:10" ht="15" customHeight="1" x14ac:dyDescent="0.2">
      <c r="A488" s="420">
        <v>45874</v>
      </c>
      <c r="B488" t="s">
        <v>2532</v>
      </c>
      <c r="C488" t="s">
        <v>2871</v>
      </c>
      <c r="D488" t="s">
        <v>2915</v>
      </c>
      <c r="E488" t="s">
        <v>1548</v>
      </c>
      <c r="G488">
        <v>4048.36</v>
      </c>
      <c r="I488">
        <v>4048.36</v>
      </c>
      <c r="J488" t="s">
        <v>2739</v>
      </c>
    </row>
    <row r="489" spans="1:10" ht="15" customHeight="1" x14ac:dyDescent="0.2">
      <c r="A489" s="420">
        <v>45876</v>
      </c>
      <c r="B489" t="s">
        <v>2333</v>
      </c>
      <c r="C489" t="s">
        <v>2871</v>
      </c>
      <c r="D489" t="s">
        <v>2916</v>
      </c>
      <c r="E489" t="s">
        <v>2917</v>
      </c>
      <c r="F489">
        <v>4048.36</v>
      </c>
      <c r="J489" t="s">
        <v>2739</v>
      </c>
    </row>
    <row r="490" spans="1:10" ht="15" customHeight="1" x14ac:dyDescent="0.2">
      <c r="A490" s="420">
        <v>45894</v>
      </c>
      <c r="B490" t="s">
        <v>2532</v>
      </c>
      <c r="C490" t="s">
        <v>2871</v>
      </c>
      <c r="D490" t="s">
        <v>2918</v>
      </c>
      <c r="E490" t="s">
        <v>1553</v>
      </c>
      <c r="G490">
        <v>418.8</v>
      </c>
      <c r="I490">
        <v>418.8</v>
      </c>
      <c r="J490" t="s">
        <v>2710</v>
      </c>
    </row>
    <row r="491" spans="1:10" ht="15" customHeight="1" x14ac:dyDescent="0.2">
      <c r="A491" s="420">
        <v>45896</v>
      </c>
      <c r="B491" t="s">
        <v>2333</v>
      </c>
      <c r="C491" t="s">
        <v>2871</v>
      </c>
      <c r="D491" t="s">
        <v>2919</v>
      </c>
      <c r="E491" t="s">
        <v>2920</v>
      </c>
      <c r="F491">
        <v>418.8</v>
      </c>
      <c r="J491" t="s">
        <v>2715</v>
      </c>
    </row>
    <row r="492" spans="1:10" ht="15" customHeight="1" x14ac:dyDescent="0.2">
      <c r="A492" s="420">
        <v>45904</v>
      </c>
      <c r="B492" t="s">
        <v>2532</v>
      </c>
      <c r="C492" t="s">
        <v>2871</v>
      </c>
      <c r="D492" t="s">
        <v>2921</v>
      </c>
      <c r="E492" t="s">
        <v>1564</v>
      </c>
      <c r="G492">
        <v>3036.49</v>
      </c>
      <c r="I492">
        <v>3036.49</v>
      </c>
      <c r="J492" t="s">
        <v>2727</v>
      </c>
    </row>
    <row r="493" spans="1:10" ht="15" customHeight="1" x14ac:dyDescent="0.2">
      <c r="A493" s="420">
        <v>45909</v>
      </c>
      <c r="B493" t="s">
        <v>2333</v>
      </c>
      <c r="C493" t="s">
        <v>2871</v>
      </c>
      <c r="D493" t="s">
        <v>2922</v>
      </c>
      <c r="E493" t="s">
        <v>2923</v>
      </c>
      <c r="F493">
        <v>3036.49</v>
      </c>
      <c r="J493" t="s">
        <v>2727</v>
      </c>
    </row>
    <row r="494" spans="1:10" ht="15" customHeight="1" x14ac:dyDescent="0.2">
      <c r="A494" s="420">
        <v>45925</v>
      </c>
      <c r="B494" t="s">
        <v>2532</v>
      </c>
      <c r="C494" t="s">
        <v>2871</v>
      </c>
      <c r="D494" t="s">
        <v>2924</v>
      </c>
      <c r="E494" t="s">
        <v>1573</v>
      </c>
      <c r="G494">
        <v>418.8</v>
      </c>
      <c r="I494">
        <v>418.8</v>
      </c>
      <c r="J494" t="s">
        <v>2719</v>
      </c>
    </row>
    <row r="495" spans="1:10" ht="15" customHeight="1" x14ac:dyDescent="0.2">
      <c r="A495" s="420">
        <v>45929</v>
      </c>
      <c r="B495" t="s">
        <v>2333</v>
      </c>
      <c r="C495" t="s">
        <v>2871</v>
      </c>
      <c r="D495" t="s">
        <v>2925</v>
      </c>
      <c r="E495" t="s">
        <v>2926</v>
      </c>
      <c r="F495">
        <v>418.8</v>
      </c>
      <c r="J495" t="s">
        <v>2719</v>
      </c>
    </row>
    <row r="496" spans="1:10" ht="15" customHeight="1" x14ac:dyDescent="0.2">
      <c r="A496" s="420">
        <v>45935</v>
      </c>
      <c r="B496" t="s">
        <v>2532</v>
      </c>
      <c r="C496" t="s">
        <v>2871</v>
      </c>
      <c r="D496" t="s">
        <v>2927</v>
      </c>
      <c r="E496" t="s">
        <v>1579</v>
      </c>
      <c r="G496">
        <v>3892.96</v>
      </c>
      <c r="I496">
        <v>3892.96</v>
      </c>
      <c r="J496" t="s">
        <v>2725</v>
      </c>
    </row>
    <row r="497" spans="1:10" ht="15" customHeight="1" x14ac:dyDescent="0.2">
      <c r="A497" s="420">
        <v>45938</v>
      </c>
      <c r="B497" t="s">
        <v>2333</v>
      </c>
      <c r="C497" t="s">
        <v>2871</v>
      </c>
      <c r="D497" t="s">
        <v>2928</v>
      </c>
      <c r="E497" t="s">
        <v>2929</v>
      </c>
      <c r="F497">
        <v>3892.96</v>
      </c>
      <c r="J497" t="s">
        <v>2725</v>
      </c>
    </row>
    <row r="498" spans="1:10" ht="15" customHeight="1" x14ac:dyDescent="0.2">
      <c r="A498" s="420">
        <v>45957</v>
      </c>
      <c r="B498" t="s">
        <v>2532</v>
      </c>
      <c r="C498" t="s">
        <v>2871</v>
      </c>
      <c r="D498" t="s">
        <v>2930</v>
      </c>
      <c r="E498" t="s">
        <v>1583</v>
      </c>
      <c r="G498">
        <v>418.8</v>
      </c>
      <c r="I498">
        <v>418.8</v>
      </c>
      <c r="J498" t="s">
        <v>2743</v>
      </c>
    </row>
    <row r="499" spans="1:10" ht="15" customHeight="1" x14ac:dyDescent="0.2">
      <c r="A499" s="420">
        <v>45959</v>
      </c>
      <c r="B499" t="s">
        <v>2333</v>
      </c>
      <c r="C499" t="s">
        <v>2871</v>
      </c>
      <c r="D499" t="s">
        <v>2931</v>
      </c>
      <c r="E499" t="s">
        <v>2932</v>
      </c>
      <c r="F499">
        <v>418.8</v>
      </c>
      <c r="J499" t="s">
        <v>2743</v>
      </c>
    </row>
    <row r="500" spans="1:10" ht="15" customHeight="1" x14ac:dyDescent="0.2">
      <c r="A500" s="420">
        <v>45967</v>
      </c>
      <c r="B500" t="s">
        <v>2532</v>
      </c>
      <c r="C500" t="s">
        <v>2871</v>
      </c>
      <c r="D500" t="s">
        <v>2933</v>
      </c>
      <c r="E500" t="s">
        <v>1593</v>
      </c>
      <c r="G500">
        <v>2306.5</v>
      </c>
      <c r="I500">
        <v>2306.5</v>
      </c>
      <c r="J500" t="s">
        <v>2729</v>
      </c>
    </row>
    <row r="501" spans="1:10" ht="15" customHeight="1" x14ac:dyDescent="0.2">
      <c r="A501" s="420">
        <v>45971</v>
      </c>
      <c r="B501" t="s">
        <v>2333</v>
      </c>
      <c r="C501" t="s">
        <v>2871</v>
      </c>
      <c r="D501" t="s">
        <v>2934</v>
      </c>
      <c r="E501" t="s">
        <v>2935</v>
      </c>
      <c r="F501">
        <v>2306.5</v>
      </c>
      <c r="J501" t="s">
        <v>2729</v>
      </c>
    </row>
    <row r="502" spans="1:10" ht="15" customHeight="1" x14ac:dyDescent="0.2">
      <c r="A502" s="420">
        <v>45986</v>
      </c>
      <c r="B502" t="s">
        <v>2532</v>
      </c>
      <c r="C502" t="s">
        <v>2871</v>
      </c>
      <c r="D502" t="s">
        <v>2936</v>
      </c>
      <c r="E502" t="s">
        <v>1598</v>
      </c>
      <c r="G502">
        <v>418.8</v>
      </c>
      <c r="I502">
        <v>418.8</v>
      </c>
      <c r="J502" t="s">
        <v>2937</v>
      </c>
    </row>
    <row r="503" spans="1:10" ht="15" customHeight="1" x14ac:dyDescent="0.2">
      <c r="A503" s="420">
        <v>45988</v>
      </c>
      <c r="B503" t="s">
        <v>2333</v>
      </c>
      <c r="C503" t="s">
        <v>2871</v>
      </c>
      <c r="D503" t="s">
        <v>2938</v>
      </c>
      <c r="E503" t="s">
        <v>2939</v>
      </c>
      <c r="F503">
        <v>418.8</v>
      </c>
      <c r="J503" t="s">
        <v>2937</v>
      </c>
    </row>
    <row r="504" spans="1:10" ht="15" customHeight="1" x14ac:dyDescent="0.2">
      <c r="A504" s="420">
        <v>45996</v>
      </c>
      <c r="B504" t="s">
        <v>2532</v>
      </c>
      <c r="C504" t="s">
        <v>2871</v>
      </c>
      <c r="D504" t="s">
        <v>2940</v>
      </c>
      <c r="E504" t="s">
        <v>1607</v>
      </c>
      <c r="G504">
        <v>1640.33</v>
      </c>
      <c r="I504">
        <v>1640.33</v>
      </c>
      <c r="J504" t="s">
        <v>2941</v>
      </c>
    </row>
    <row r="505" spans="1:10" ht="15" customHeight="1" x14ac:dyDescent="0.2">
      <c r="A505" s="420">
        <v>46000</v>
      </c>
      <c r="B505" t="s">
        <v>2333</v>
      </c>
      <c r="C505" t="s">
        <v>2871</v>
      </c>
      <c r="D505" t="s">
        <v>2942</v>
      </c>
      <c r="E505" t="s">
        <v>2943</v>
      </c>
      <c r="F505">
        <v>1640.33</v>
      </c>
      <c r="J505" t="s">
        <v>2941</v>
      </c>
    </row>
    <row r="506" spans="1:10" ht="15" customHeight="1" x14ac:dyDescent="0.2">
      <c r="A506" s="420">
        <v>46016</v>
      </c>
      <c r="B506" t="s">
        <v>2532</v>
      </c>
      <c r="C506" t="s">
        <v>2871</v>
      </c>
      <c r="D506" t="s">
        <v>2944</v>
      </c>
      <c r="E506" t="s">
        <v>1598</v>
      </c>
      <c r="G506">
        <v>418.8</v>
      </c>
      <c r="I506">
        <v>418.8</v>
      </c>
      <c r="J506" t="s">
        <v>2376</v>
      </c>
    </row>
    <row r="507" spans="1:10" ht="15" customHeight="1" x14ac:dyDescent="0.2">
      <c r="A507" s="420">
        <v>46021</v>
      </c>
      <c r="B507" t="s">
        <v>2333</v>
      </c>
      <c r="C507" t="s">
        <v>2871</v>
      </c>
      <c r="D507" t="s">
        <v>2945</v>
      </c>
      <c r="E507" t="s">
        <v>2946</v>
      </c>
      <c r="F507">
        <v>418.8</v>
      </c>
      <c r="J507" t="s">
        <v>2376</v>
      </c>
    </row>
    <row r="508" spans="1:10" ht="15" customHeight="1" x14ac:dyDescent="0.2">
      <c r="A508" t="s">
        <v>2871</v>
      </c>
      <c r="E508" t="s">
        <v>349</v>
      </c>
      <c r="F508">
        <v>34746.120000000003</v>
      </c>
      <c r="G508">
        <v>34746.120000000003</v>
      </c>
    </row>
    <row r="510" spans="1:10" ht="15" customHeight="1" x14ac:dyDescent="0.2">
      <c r="A510" t="s">
        <v>2947</v>
      </c>
      <c r="B510" t="s">
        <v>2948</v>
      </c>
      <c r="F510" t="s">
        <v>2430</v>
      </c>
      <c r="G510" t="s">
        <v>2431</v>
      </c>
      <c r="H510" t="s">
        <v>2432</v>
      </c>
      <c r="I510" t="s">
        <v>2433</v>
      </c>
      <c r="J510" t="s">
        <v>2434</v>
      </c>
    </row>
    <row r="511" spans="1:10" ht="15" customHeight="1" x14ac:dyDescent="0.2">
      <c r="A511" s="420">
        <v>45770</v>
      </c>
      <c r="B511" t="s">
        <v>2532</v>
      </c>
      <c r="C511" t="s">
        <v>2947</v>
      </c>
      <c r="D511" t="s">
        <v>2949</v>
      </c>
      <c r="E511" t="s">
        <v>478</v>
      </c>
      <c r="G511">
        <v>404.49</v>
      </c>
      <c r="I511">
        <v>404.49</v>
      </c>
      <c r="J511" t="s">
        <v>2511</v>
      </c>
    </row>
    <row r="512" spans="1:10" ht="15" customHeight="1" x14ac:dyDescent="0.2">
      <c r="A512" s="420">
        <v>45771</v>
      </c>
      <c r="B512" t="s">
        <v>2333</v>
      </c>
      <c r="C512" t="s">
        <v>2947</v>
      </c>
      <c r="D512" t="s">
        <v>2950</v>
      </c>
      <c r="E512" t="s">
        <v>2951</v>
      </c>
      <c r="F512">
        <v>404.49</v>
      </c>
      <c r="J512" t="s">
        <v>2511</v>
      </c>
    </row>
    <row r="513" spans="1:10" ht="15" customHeight="1" x14ac:dyDescent="0.2">
      <c r="A513" t="s">
        <v>2947</v>
      </c>
      <c r="E513" t="s">
        <v>349</v>
      </c>
      <c r="F513">
        <v>404.49</v>
      </c>
      <c r="G513">
        <v>404.49</v>
      </c>
    </row>
    <row r="515" spans="1:10" ht="15" customHeight="1" x14ac:dyDescent="0.2">
      <c r="A515" t="s">
        <v>2952</v>
      </c>
      <c r="B515" t="s">
        <v>2953</v>
      </c>
      <c r="F515" t="s">
        <v>2430</v>
      </c>
      <c r="G515" t="s">
        <v>2431</v>
      </c>
      <c r="H515" t="s">
        <v>2432</v>
      </c>
      <c r="I515" t="s">
        <v>2433</v>
      </c>
      <c r="J515" t="s">
        <v>2434</v>
      </c>
    </row>
    <row r="516" spans="1:10" ht="15" customHeight="1" x14ac:dyDescent="0.2">
      <c r="A516" s="420">
        <v>45909</v>
      </c>
      <c r="B516" t="s">
        <v>2333</v>
      </c>
      <c r="C516" t="s">
        <v>2952</v>
      </c>
      <c r="D516" t="s">
        <v>2954</v>
      </c>
      <c r="E516" t="s">
        <v>2955</v>
      </c>
      <c r="F516">
        <v>95</v>
      </c>
      <c r="H516">
        <v>95</v>
      </c>
      <c r="J516" t="s">
        <v>2511</v>
      </c>
    </row>
    <row r="517" spans="1:10" ht="15" customHeight="1" x14ac:dyDescent="0.2">
      <c r="A517" s="420">
        <v>45909</v>
      </c>
      <c r="B517" t="s">
        <v>2547</v>
      </c>
      <c r="C517" t="s">
        <v>2952</v>
      </c>
      <c r="D517" t="s">
        <v>2956</v>
      </c>
      <c r="E517" t="s">
        <v>1932</v>
      </c>
      <c r="G517">
        <v>95</v>
      </c>
      <c r="J517" t="s">
        <v>2511</v>
      </c>
    </row>
    <row r="518" spans="1:10" ht="15" customHeight="1" x14ac:dyDescent="0.2">
      <c r="A518" t="s">
        <v>2952</v>
      </c>
      <c r="E518" t="s">
        <v>349</v>
      </c>
      <c r="F518">
        <v>95</v>
      </c>
      <c r="G518">
        <v>95</v>
      </c>
    </row>
    <row r="520" spans="1:10" ht="15" customHeight="1" x14ac:dyDescent="0.2">
      <c r="A520" t="s">
        <v>2957</v>
      </c>
      <c r="B520" t="s">
        <v>2958</v>
      </c>
      <c r="F520" t="s">
        <v>2430</v>
      </c>
      <c r="G520" t="s">
        <v>2431</v>
      </c>
      <c r="H520" t="s">
        <v>2432</v>
      </c>
      <c r="I520" t="s">
        <v>2433</v>
      </c>
      <c r="J520" t="s">
        <v>2434</v>
      </c>
    </row>
    <row r="521" spans="1:10" ht="15" customHeight="1" x14ac:dyDescent="0.2">
      <c r="A521" s="420">
        <v>45808</v>
      </c>
      <c r="B521" t="s">
        <v>2532</v>
      </c>
      <c r="C521" t="s">
        <v>2957</v>
      </c>
      <c r="D521" t="s">
        <v>2959</v>
      </c>
      <c r="E521" t="s">
        <v>1502</v>
      </c>
      <c r="G521">
        <v>849.98</v>
      </c>
      <c r="I521">
        <v>849.98</v>
      </c>
      <c r="J521" t="s">
        <v>2511</v>
      </c>
    </row>
    <row r="522" spans="1:10" ht="15" customHeight="1" x14ac:dyDescent="0.2">
      <c r="A522" s="420">
        <v>45839</v>
      </c>
      <c r="B522" t="s">
        <v>2333</v>
      </c>
      <c r="C522" t="s">
        <v>2957</v>
      </c>
      <c r="D522" t="s">
        <v>2960</v>
      </c>
      <c r="E522" t="s">
        <v>2961</v>
      </c>
      <c r="F522">
        <v>849.98</v>
      </c>
      <c r="J522" t="s">
        <v>2511</v>
      </c>
    </row>
    <row r="523" spans="1:10" ht="15" customHeight="1" x14ac:dyDescent="0.2">
      <c r="A523" t="s">
        <v>2957</v>
      </c>
      <c r="E523" t="s">
        <v>349</v>
      </c>
      <c r="F523">
        <v>849.98</v>
      </c>
      <c r="G523">
        <v>849.98</v>
      </c>
    </row>
    <row r="525" spans="1:10" ht="15" customHeight="1" x14ac:dyDescent="0.2">
      <c r="A525" t="s">
        <v>2962</v>
      </c>
      <c r="B525" t="s">
        <v>2277</v>
      </c>
      <c r="F525" t="s">
        <v>2430</v>
      </c>
      <c r="G525" t="s">
        <v>2431</v>
      </c>
      <c r="H525" t="s">
        <v>2432</v>
      </c>
      <c r="I525" t="s">
        <v>2433</v>
      </c>
      <c r="J525" t="s">
        <v>2434</v>
      </c>
    </row>
    <row r="526" spans="1:10" ht="15" customHeight="1" x14ac:dyDescent="0.2">
      <c r="A526" s="420">
        <v>45658</v>
      </c>
      <c r="B526" t="s">
        <v>2435</v>
      </c>
      <c r="C526" t="s">
        <v>2962</v>
      </c>
      <c r="D526" t="s">
        <v>2436</v>
      </c>
      <c r="E526" t="s">
        <v>2963</v>
      </c>
      <c r="G526">
        <v>1752</v>
      </c>
      <c r="I526">
        <v>1752</v>
      </c>
      <c r="J526" t="s">
        <v>2511</v>
      </c>
    </row>
    <row r="527" spans="1:10" ht="15" customHeight="1" x14ac:dyDescent="0.2">
      <c r="A527" s="420">
        <v>45659</v>
      </c>
      <c r="B527" t="s">
        <v>2333</v>
      </c>
      <c r="C527" t="s">
        <v>2962</v>
      </c>
      <c r="D527" t="s">
        <v>2964</v>
      </c>
      <c r="E527" t="s">
        <v>2965</v>
      </c>
      <c r="F527">
        <v>1752</v>
      </c>
      <c r="J527" t="s">
        <v>2511</v>
      </c>
    </row>
    <row r="528" spans="1:10" ht="15" customHeight="1" x14ac:dyDescent="0.2">
      <c r="A528" s="420">
        <v>45688</v>
      </c>
      <c r="B528" t="s">
        <v>2532</v>
      </c>
      <c r="C528" t="s">
        <v>2962</v>
      </c>
      <c r="D528" t="s">
        <v>2966</v>
      </c>
      <c r="E528" t="s">
        <v>1448</v>
      </c>
      <c r="G528">
        <v>1752</v>
      </c>
      <c r="I528">
        <v>1752</v>
      </c>
      <c r="J528" t="s">
        <v>2509</v>
      </c>
    </row>
    <row r="529" spans="1:10" ht="15" customHeight="1" x14ac:dyDescent="0.2">
      <c r="A529" s="420">
        <v>45691</v>
      </c>
      <c r="B529" t="s">
        <v>2333</v>
      </c>
      <c r="C529" t="s">
        <v>2962</v>
      </c>
      <c r="D529" t="s">
        <v>2967</v>
      </c>
      <c r="E529" t="s">
        <v>2968</v>
      </c>
      <c r="F529">
        <v>1752</v>
      </c>
      <c r="J529" t="s">
        <v>2509</v>
      </c>
    </row>
    <row r="530" spans="1:10" ht="15" customHeight="1" x14ac:dyDescent="0.2">
      <c r="A530" s="420">
        <v>45712</v>
      </c>
      <c r="B530" t="s">
        <v>2532</v>
      </c>
      <c r="C530" t="s">
        <v>2962</v>
      </c>
      <c r="D530" t="s">
        <v>2969</v>
      </c>
      <c r="E530" t="s">
        <v>1464</v>
      </c>
      <c r="G530">
        <v>593.28</v>
      </c>
      <c r="I530">
        <v>593.28</v>
      </c>
      <c r="J530" t="s">
        <v>2513</v>
      </c>
    </row>
    <row r="531" spans="1:10" ht="15" customHeight="1" x14ac:dyDescent="0.2">
      <c r="A531" s="420">
        <v>45713</v>
      </c>
      <c r="B531" t="s">
        <v>2333</v>
      </c>
      <c r="C531" t="s">
        <v>2962</v>
      </c>
      <c r="D531" t="s">
        <v>2970</v>
      </c>
      <c r="E531" t="s">
        <v>2971</v>
      </c>
      <c r="F531">
        <v>593.28</v>
      </c>
      <c r="J531" t="s">
        <v>2513</v>
      </c>
    </row>
    <row r="532" spans="1:10" ht="15" customHeight="1" x14ac:dyDescent="0.2">
      <c r="A532" s="420">
        <v>45716</v>
      </c>
      <c r="B532" t="s">
        <v>2532</v>
      </c>
      <c r="C532" t="s">
        <v>2962</v>
      </c>
      <c r="D532" t="s">
        <v>2972</v>
      </c>
      <c r="E532" t="s">
        <v>1466</v>
      </c>
      <c r="G532">
        <v>1752</v>
      </c>
      <c r="I532">
        <v>1752</v>
      </c>
      <c r="J532" t="s">
        <v>2585</v>
      </c>
    </row>
    <row r="533" spans="1:10" ht="15" customHeight="1" x14ac:dyDescent="0.2">
      <c r="A533" s="420">
        <v>45719</v>
      </c>
      <c r="B533" t="s">
        <v>2333</v>
      </c>
      <c r="C533" t="s">
        <v>2962</v>
      </c>
      <c r="D533" t="s">
        <v>2973</v>
      </c>
      <c r="E533" t="s">
        <v>2974</v>
      </c>
      <c r="F533">
        <v>1752</v>
      </c>
      <c r="J533" t="s">
        <v>2585</v>
      </c>
    </row>
    <row r="534" spans="1:10" ht="15" customHeight="1" x14ac:dyDescent="0.2">
      <c r="A534" s="420">
        <v>45747</v>
      </c>
      <c r="B534" t="s">
        <v>2532</v>
      </c>
      <c r="C534" t="s">
        <v>2962</v>
      </c>
      <c r="D534" t="s">
        <v>2975</v>
      </c>
      <c r="E534" t="s">
        <v>1480</v>
      </c>
      <c r="G534">
        <v>1752</v>
      </c>
      <c r="I534">
        <v>1752</v>
      </c>
      <c r="J534" t="s">
        <v>2586</v>
      </c>
    </row>
    <row r="535" spans="1:10" ht="15" customHeight="1" x14ac:dyDescent="0.2">
      <c r="A535" s="420">
        <v>45748</v>
      </c>
      <c r="B535" t="s">
        <v>2333</v>
      </c>
      <c r="C535" t="s">
        <v>2962</v>
      </c>
      <c r="D535" t="s">
        <v>2976</v>
      </c>
      <c r="E535" t="s">
        <v>2977</v>
      </c>
      <c r="F535">
        <v>1752</v>
      </c>
      <c r="J535" t="s">
        <v>2586</v>
      </c>
    </row>
    <row r="536" spans="1:10" ht="15" customHeight="1" x14ac:dyDescent="0.2">
      <c r="A536" s="420">
        <v>45777</v>
      </c>
      <c r="B536" t="s">
        <v>2532</v>
      </c>
      <c r="C536" t="s">
        <v>2962</v>
      </c>
      <c r="D536" t="s">
        <v>2978</v>
      </c>
      <c r="E536" t="s">
        <v>1487</v>
      </c>
      <c r="G536">
        <v>1752</v>
      </c>
      <c r="I536">
        <v>1752</v>
      </c>
      <c r="J536" t="s">
        <v>2603</v>
      </c>
    </row>
    <row r="537" spans="1:10" ht="15" customHeight="1" x14ac:dyDescent="0.2">
      <c r="A537" s="420">
        <v>45779</v>
      </c>
      <c r="B537" t="s">
        <v>2333</v>
      </c>
      <c r="C537" t="s">
        <v>2962</v>
      </c>
      <c r="D537" t="s">
        <v>2979</v>
      </c>
      <c r="E537" t="s">
        <v>2980</v>
      </c>
      <c r="F537">
        <v>1752</v>
      </c>
      <c r="J537" t="s">
        <v>2587</v>
      </c>
    </row>
    <row r="538" spans="1:10" ht="15" customHeight="1" x14ac:dyDescent="0.2">
      <c r="A538" s="420">
        <v>45808</v>
      </c>
      <c r="B538" t="s">
        <v>2532</v>
      </c>
      <c r="C538" t="s">
        <v>2962</v>
      </c>
      <c r="D538" t="s">
        <v>2981</v>
      </c>
      <c r="E538" t="s">
        <v>1501</v>
      </c>
      <c r="G538">
        <v>1752</v>
      </c>
      <c r="I538">
        <v>1752</v>
      </c>
      <c r="J538" t="s">
        <v>2587</v>
      </c>
    </row>
    <row r="539" spans="1:10" ht="15" customHeight="1" x14ac:dyDescent="0.2">
      <c r="A539" s="420">
        <v>45811</v>
      </c>
      <c r="B539" t="s">
        <v>2333</v>
      </c>
      <c r="C539" t="s">
        <v>2962</v>
      </c>
      <c r="D539" t="s">
        <v>2982</v>
      </c>
      <c r="E539" t="s">
        <v>2983</v>
      </c>
      <c r="F539">
        <v>1752</v>
      </c>
      <c r="J539" t="s">
        <v>2603</v>
      </c>
    </row>
    <row r="540" spans="1:10" ht="15" customHeight="1" x14ac:dyDescent="0.2">
      <c r="A540" s="420">
        <v>45839</v>
      </c>
      <c r="B540" t="s">
        <v>2547</v>
      </c>
      <c r="C540" t="s">
        <v>2962</v>
      </c>
      <c r="D540" t="s">
        <v>2984</v>
      </c>
      <c r="E540" t="s">
        <v>1520</v>
      </c>
      <c r="G540">
        <v>1752</v>
      </c>
      <c r="I540">
        <v>1752</v>
      </c>
      <c r="J540" t="s">
        <v>2602</v>
      </c>
    </row>
    <row r="541" spans="1:10" ht="15" customHeight="1" x14ac:dyDescent="0.2">
      <c r="A541" s="420">
        <v>45840</v>
      </c>
      <c r="B541" t="s">
        <v>2333</v>
      </c>
      <c r="C541" t="s">
        <v>2962</v>
      </c>
      <c r="D541" t="s">
        <v>2985</v>
      </c>
      <c r="E541" t="s">
        <v>2986</v>
      </c>
      <c r="F541">
        <v>1752</v>
      </c>
      <c r="J541" t="s">
        <v>2602</v>
      </c>
    </row>
    <row r="542" spans="1:10" ht="15" customHeight="1" x14ac:dyDescent="0.2">
      <c r="A542" s="420">
        <v>45869</v>
      </c>
      <c r="B542" t="s">
        <v>2532</v>
      </c>
      <c r="C542" t="s">
        <v>2962</v>
      </c>
      <c r="D542" t="s">
        <v>2987</v>
      </c>
      <c r="E542" t="s">
        <v>1545</v>
      </c>
      <c r="G542">
        <v>1752</v>
      </c>
      <c r="I542">
        <v>1752</v>
      </c>
      <c r="J542" t="s">
        <v>2602</v>
      </c>
    </row>
    <row r="543" spans="1:10" ht="15" customHeight="1" x14ac:dyDescent="0.2">
      <c r="A543" s="420">
        <v>45873</v>
      </c>
      <c r="B543" t="s">
        <v>2333</v>
      </c>
      <c r="C543" t="s">
        <v>2962</v>
      </c>
      <c r="D543" t="s">
        <v>2988</v>
      </c>
      <c r="E543" t="s">
        <v>2989</v>
      </c>
      <c r="F543">
        <v>1752</v>
      </c>
      <c r="J543" t="s">
        <v>2602</v>
      </c>
    </row>
    <row r="544" spans="1:10" ht="15" customHeight="1" x14ac:dyDescent="0.2">
      <c r="A544" s="420">
        <v>45900</v>
      </c>
      <c r="B544" t="s">
        <v>2532</v>
      </c>
      <c r="C544" t="s">
        <v>2962</v>
      </c>
      <c r="D544" t="s">
        <v>2990</v>
      </c>
      <c r="E544" t="s">
        <v>1557</v>
      </c>
      <c r="G544">
        <v>2220</v>
      </c>
      <c r="I544">
        <v>2220</v>
      </c>
      <c r="J544" t="s">
        <v>2600</v>
      </c>
    </row>
    <row r="545" spans="1:10" ht="15" customHeight="1" x14ac:dyDescent="0.2">
      <c r="A545" s="420">
        <v>45901</v>
      </c>
      <c r="B545" t="s">
        <v>2532</v>
      </c>
      <c r="C545" t="s">
        <v>2962</v>
      </c>
      <c r="D545" t="s">
        <v>2991</v>
      </c>
      <c r="E545" t="s">
        <v>1558</v>
      </c>
      <c r="G545">
        <v>2766.24</v>
      </c>
      <c r="I545">
        <v>4986.24</v>
      </c>
      <c r="J545" t="s">
        <v>2604</v>
      </c>
    </row>
    <row r="546" spans="1:10" ht="15" customHeight="1" x14ac:dyDescent="0.2">
      <c r="A546" s="420">
        <v>45902</v>
      </c>
      <c r="B546" t="s">
        <v>2333</v>
      </c>
      <c r="C546" t="s">
        <v>2962</v>
      </c>
      <c r="D546" t="s">
        <v>2992</v>
      </c>
      <c r="E546" t="s">
        <v>2993</v>
      </c>
      <c r="F546">
        <v>2220</v>
      </c>
      <c r="I546">
        <v>2766.24</v>
      </c>
      <c r="J546" t="s">
        <v>2599</v>
      </c>
    </row>
    <row r="547" spans="1:10" ht="15" customHeight="1" x14ac:dyDescent="0.2">
      <c r="A547" s="420">
        <v>45905</v>
      </c>
      <c r="B547" t="s">
        <v>2333</v>
      </c>
      <c r="C547" t="s">
        <v>2962</v>
      </c>
      <c r="D547" t="s">
        <v>2994</v>
      </c>
      <c r="E547" t="s">
        <v>2995</v>
      </c>
      <c r="F547">
        <v>2766.24</v>
      </c>
      <c r="J547" t="s">
        <v>2604</v>
      </c>
    </row>
    <row r="548" spans="1:10" ht="15" customHeight="1" x14ac:dyDescent="0.2">
      <c r="A548" s="420">
        <v>45930</v>
      </c>
      <c r="B548" t="s">
        <v>2532</v>
      </c>
      <c r="C548" t="s">
        <v>2962</v>
      </c>
      <c r="D548" t="s">
        <v>2996</v>
      </c>
      <c r="E548" t="s">
        <v>1575</v>
      </c>
      <c r="G548">
        <v>2220</v>
      </c>
      <c r="I548">
        <v>2220</v>
      </c>
      <c r="J548" t="s">
        <v>2599</v>
      </c>
    </row>
    <row r="549" spans="1:10" ht="15" customHeight="1" x14ac:dyDescent="0.2">
      <c r="A549" s="420">
        <v>45932</v>
      </c>
      <c r="B549" t="s">
        <v>2333</v>
      </c>
      <c r="C549" t="s">
        <v>2962</v>
      </c>
      <c r="D549" t="s">
        <v>2997</v>
      </c>
      <c r="E549" t="s">
        <v>2998</v>
      </c>
      <c r="F549">
        <v>2220</v>
      </c>
      <c r="J549" t="s">
        <v>2600</v>
      </c>
    </row>
    <row r="550" spans="1:10" ht="15" customHeight="1" x14ac:dyDescent="0.2">
      <c r="A550" s="420">
        <v>45961</v>
      </c>
      <c r="B550" t="s">
        <v>2532</v>
      </c>
      <c r="C550" t="s">
        <v>2962</v>
      </c>
      <c r="D550" t="s">
        <v>2999</v>
      </c>
      <c r="E550" t="s">
        <v>1588</v>
      </c>
      <c r="G550">
        <v>2220</v>
      </c>
      <c r="I550">
        <v>2220</v>
      </c>
      <c r="J550" t="s">
        <v>2601</v>
      </c>
    </row>
    <row r="551" spans="1:10" ht="15" customHeight="1" x14ac:dyDescent="0.2">
      <c r="A551" s="420">
        <v>45965</v>
      </c>
      <c r="B551" t="s">
        <v>2333</v>
      </c>
      <c r="C551" t="s">
        <v>2962</v>
      </c>
      <c r="D551" t="s">
        <v>3000</v>
      </c>
      <c r="E551" t="s">
        <v>3001</v>
      </c>
      <c r="F551">
        <v>2220</v>
      </c>
      <c r="J551" t="s">
        <v>2601</v>
      </c>
    </row>
    <row r="552" spans="1:10" ht="15" customHeight="1" x14ac:dyDescent="0.2">
      <c r="A552" s="420">
        <v>45991</v>
      </c>
      <c r="B552" t="s">
        <v>2532</v>
      </c>
      <c r="C552" t="s">
        <v>2962</v>
      </c>
      <c r="D552" t="s">
        <v>3002</v>
      </c>
      <c r="E552" t="s">
        <v>1600</v>
      </c>
      <c r="G552">
        <v>2220</v>
      </c>
      <c r="I552">
        <v>2220</v>
      </c>
      <c r="J552" t="s">
        <v>2605</v>
      </c>
    </row>
    <row r="553" spans="1:10" ht="15" customHeight="1" x14ac:dyDescent="0.2">
      <c r="A553" s="420">
        <v>45993</v>
      </c>
      <c r="B553" t="s">
        <v>2333</v>
      </c>
      <c r="C553" t="s">
        <v>2962</v>
      </c>
      <c r="D553" t="s">
        <v>3003</v>
      </c>
      <c r="E553" t="s">
        <v>3004</v>
      </c>
      <c r="F553">
        <v>2220</v>
      </c>
      <c r="J553" t="s">
        <v>2605</v>
      </c>
    </row>
    <row r="554" spans="1:10" ht="15" customHeight="1" x14ac:dyDescent="0.2">
      <c r="A554" s="420">
        <v>46022</v>
      </c>
      <c r="B554" t="s">
        <v>2532</v>
      </c>
      <c r="C554" t="s">
        <v>2962</v>
      </c>
      <c r="D554" t="s">
        <v>3005</v>
      </c>
      <c r="E554" t="s">
        <v>1615</v>
      </c>
      <c r="G554">
        <v>2220</v>
      </c>
      <c r="I554">
        <v>2220</v>
      </c>
      <c r="J554" t="s">
        <v>2511</v>
      </c>
    </row>
    <row r="555" spans="1:10" ht="15" customHeight="1" x14ac:dyDescent="0.2">
      <c r="A555" t="s">
        <v>2962</v>
      </c>
      <c r="E555" t="s">
        <v>349</v>
      </c>
      <c r="F555">
        <v>26255.52</v>
      </c>
      <c r="G555">
        <v>28475.52</v>
      </c>
      <c r="I555">
        <v>2220</v>
      </c>
    </row>
    <row r="557" spans="1:10" ht="15" customHeight="1" x14ac:dyDescent="0.2">
      <c r="A557" t="s">
        <v>3006</v>
      </c>
      <c r="B557" t="s">
        <v>3007</v>
      </c>
      <c r="F557" t="s">
        <v>2430</v>
      </c>
      <c r="G557" t="s">
        <v>2431</v>
      </c>
      <c r="H557" t="s">
        <v>2432</v>
      </c>
      <c r="I557" t="s">
        <v>2433</v>
      </c>
      <c r="J557" t="s">
        <v>2434</v>
      </c>
    </row>
    <row r="558" spans="1:10" ht="15" customHeight="1" x14ac:dyDescent="0.2">
      <c r="A558" s="420">
        <v>45996</v>
      </c>
      <c r="B558" t="s">
        <v>2532</v>
      </c>
      <c r="C558" t="s">
        <v>3006</v>
      </c>
      <c r="D558" t="s">
        <v>3008</v>
      </c>
      <c r="E558" t="s">
        <v>1426</v>
      </c>
      <c r="G558">
        <v>429.68</v>
      </c>
      <c r="I558">
        <v>429.68</v>
      </c>
      <c r="J558" t="s">
        <v>2511</v>
      </c>
    </row>
    <row r="559" spans="1:10" ht="15" customHeight="1" x14ac:dyDescent="0.2">
      <c r="A559" s="420">
        <v>46000</v>
      </c>
      <c r="B559" t="s">
        <v>2333</v>
      </c>
      <c r="C559" t="s">
        <v>3006</v>
      </c>
      <c r="D559" t="s">
        <v>3009</v>
      </c>
      <c r="E559" t="s">
        <v>3010</v>
      </c>
      <c r="F559">
        <v>429.68</v>
      </c>
      <c r="J559" t="s">
        <v>2511</v>
      </c>
    </row>
    <row r="560" spans="1:10" ht="15" customHeight="1" x14ac:dyDescent="0.2">
      <c r="A560" t="s">
        <v>3006</v>
      </c>
      <c r="E560" t="s">
        <v>349</v>
      </c>
      <c r="F560">
        <v>429.68</v>
      </c>
      <c r="G560">
        <v>429.68</v>
      </c>
    </row>
    <row r="562" spans="1:10" ht="15" customHeight="1" x14ac:dyDescent="0.2">
      <c r="A562" t="s">
        <v>3011</v>
      </c>
      <c r="B562" t="s">
        <v>3012</v>
      </c>
      <c r="F562" t="s">
        <v>2430</v>
      </c>
      <c r="G562" t="s">
        <v>2431</v>
      </c>
      <c r="H562" t="s">
        <v>2432</v>
      </c>
      <c r="I562" t="s">
        <v>2433</v>
      </c>
      <c r="J562" t="s">
        <v>2434</v>
      </c>
    </row>
    <row r="563" spans="1:10" ht="15" customHeight="1" x14ac:dyDescent="0.2">
      <c r="A563" s="420">
        <v>45658</v>
      </c>
      <c r="B563" t="s">
        <v>2435</v>
      </c>
      <c r="C563" t="s">
        <v>3011</v>
      </c>
      <c r="D563" t="s">
        <v>2436</v>
      </c>
      <c r="E563" t="s">
        <v>3013</v>
      </c>
      <c r="G563">
        <v>355.18</v>
      </c>
      <c r="I563">
        <v>355.18</v>
      </c>
      <c r="J563" t="s">
        <v>2511</v>
      </c>
    </row>
    <row r="564" spans="1:10" ht="15" customHeight="1" x14ac:dyDescent="0.2">
      <c r="A564" s="420">
        <v>45670</v>
      </c>
      <c r="B564" t="s">
        <v>2333</v>
      </c>
      <c r="C564" t="s">
        <v>3011</v>
      </c>
      <c r="D564" t="s">
        <v>3014</v>
      </c>
      <c r="E564" t="s">
        <v>3015</v>
      </c>
      <c r="F564">
        <v>355.18</v>
      </c>
      <c r="J564" t="s">
        <v>2511</v>
      </c>
    </row>
    <row r="565" spans="1:10" ht="15" customHeight="1" x14ac:dyDescent="0.2">
      <c r="A565" t="s">
        <v>3011</v>
      </c>
      <c r="E565" t="s">
        <v>349</v>
      </c>
      <c r="F565">
        <v>355.18</v>
      </c>
      <c r="G565">
        <v>355.18</v>
      </c>
    </row>
    <row r="567" spans="1:10" ht="15" customHeight="1" x14ac:dyDescent="0.2">
      <c r="A567" t="s">
        <v>3016</v>
      </c>
      <c r="B567" t="s">
        <v>3017</v>
      </c>
      <c r="F567" t="s">
        <v>2430</v>
      </c>
      <c r="G567" t="s">
        <v>2431</v>
      </c>
      <c r="H567" t="s">
        <v>2432</v>
      </c>
      <c r="I567" t="s">
        <v>2433</v>
      </c>
      <c r="J567" t="s">
        <v>2434</v>
      </c>
    </row>
    <row r="568" spans="1:10" ht="15" customHeight="1" x14ac:dyDescent="0.2">
      <c r="A568" s="420">
        <v>45729</v>
      </c>
      <c r="B568" t="s">
        <v>2532</v>
      </c>
      <c r="C568" t="s">
        <v>3016</v>
      </c>
      <c r="D568" t="s">
        <v>3018</v>
      </c>
      <c r="E568" t="s">
        <v>1248</v>
      </c>
      <c r="G568">
        <v>356.8</v>
      </c>
      <c r="I568">
        <v>356.8</v>
      </c>
      <c r="J568" t="s">
        <v>2511</v>
      </c>
    </row>
    <row r="569" spans="1:10" ht="15" customHeight="1" x14ac:dyDescent="0.2">
      <c r="A569" s="420">
        <v>45761</v>
      </c>
      <c r="B569" t="s">
        <v>2333</v>
      </c>
      <c r="C569" t="s">
        <v>3016</v>
      </c>
      <c r="D569" t="s">
        <v>3019</v>
      </c>
      <c r="E569" t="s">
        <v>3020</v>
      </c>
      <c r="F569">
        <v>356.8</v>
      </c>
      <c r="J569" t="s">
        <v>2511</v>
      </c>
    </row>
    <row r="570" spans="1:10" ht="15" customHeight="1" x14ac:dyDescent="0.2">
      <c r="A570" s="420">
        <v>45820</v>
      </c>
      <c r="B570" t="s">
        <v>2532</v>
      </c>
      <c r="C570" t="s">
        <v>3016</v>
      </c>
      <c r="D570" t="s">
        <v>3021</v>
      </c>
      <c r="E570" t="s">
        <v>3022</v>
      </c>
      <c r="G570">
        <v>356.8</v>
      </c>
      <c r="I570">
        <v>356.8</v>
      </c>
      <c r="J570" t="s">
        <v>2509</v>
      </c>
    </row>
    <row r="571" spans="1:10" ht="15" customHeight="1" x14ac:dyDescent="0.2">
      <c r="A571" s="420">
        <v>45852</v>
      </c>
      <c r="B571" t="s">
        <v>2333</v>
      </c>
      <c r="C571" t="s">
        <v>3016</v>
      </c>
      <c r="D571" t="s">
        <v>3023</v>
      </c>
      <c r="E571" t="s">
        <v>3024</v>
      </c>
      <c r="F571">
        <v>356.8</v>
      </c>
      <c r="J571" t="s">
        <v>2509</v>
      </c>
    </row>
    <row r="572" spans="1:10" ht="15" customHeight="1" x14ac:dyDescent="0.2">
      <c r="A572" s="420">
        <v>45912</v>
      </c>
      <c r="B572" t="s">
        <v>2532</v>
      </c>
      <c r="C572" t="s">
        <v>3016</v>
      </c>
      <c r="D572" t="s">
        <v>3025</v>
      </c>
      <c r="E572" t="s">
        <v>761</v>
      </c>
      <c r="G572">
        <v>366.42</v>
      </c>
      <c r="I572">
        <v>366.42</v>
      </c>
      <c r="J572" t="s">
        <v>2513</v>
      </c>
    </row>
    <row r="573" spans="1:10" ht="15" customHeight="1" x14ac:dyDescent="0.2">
      <c r="A573" s="420">
        <v>45943</v>
      </c>
      <c r="B573" t="s">
        <v>2333</v>
      </c>
      <c r="C573" t="s">
        <v>3016</v>
      </c>
      <c r="D573" t="s">
        <v>3026</v>
      </c>
      <c r="E573" t="s">
        <v>3027</v>
      </c>
      <c r="F573">
        <v>366.42</v>
      </c>
      <c r="J573" t="s">
        <v>2513</v>
      </c>
    </row>
    <row r="574" spans="1:10" ht="15" customHeight="1" x14ac:dyDescent="0.2">
      <c r="A574" t="s">
        <v>3016</v>
      </c>
      <c r="E574" t="s">
        <v>349</v>
      </c>
      <c r="F574">
        <v>1080.02</v>
      </c>
      <c r="G574">
        <v>1080.02</v>
      </c>
    </row>
    <row r="576" spans="1:10" ht="15" customHeight="1" x14ac:dyDescent="0.2">
      <c r="A576" t="s">
        <v>3028</v>
      </c>
      <c r="B576" t="s">
        <v>3029</v>
      </c>
      <c r="F576" t="s">
        <v>2430</v>
      </c>
      <c r="G576" t="s">
        <v>2431</v>
      </c>
      <c r="H576" t="s">
        <v>2432</v>
      </c>
      <c r="I576" t="s">
        <v>2433</v>
      </c>
      <c r="J576" t="s">
        <v>2434</v>
      </c>
    </row>
    <row r="577" spans="1:10" ht="15" customHeight="1" x14ac:dyDescent="0.2">
      <c r="A577" s="420">
        <v>45805</v>
      </c>
      <c r="B577" t="s">
        <v>2532</v>
      </c>
      <c r="C577" t="s">
        <v>3028</v>
      </c>
      <c r="D577" t="s">
        <v>3030</v>
      </c>
      <c r="E577" t="s">
        <v>494</v>
      </c>
      <c r="G577">
        <v>95</v>
      </c>
      <c r="I577">
        <v>95</v>
      </c>
      <c r="J577" t="s">
        <v>2511</v>
      </c>
    </row>
    <row r="578" spans="1:10" ht="15" customHeight="1" x14ac:dyDescent="0.2">
      <c r="A578" s="420">
        <v>45807</v>
      </c>
      <c r="B578" t="s">
        <v>2333</v>
      </c>
      <c r="C578" t="s">
        <v>3028</v>
      </c>
      <c r="D578" t="s">
        <v>3031</v>
      </c>
      <c r="E578" t="s">
        <v>3032</v>
      </c>
      <c r="F578">
        <v>95</v>
      </c>
      <c r="J578" t="s">
        <v>2511</v>
      </c>
    </row>
    <row r="579" spans="1:10" ht="15" customHeight="1" x14ac:dyDescent="0.2">
      <c r="A579" t="s">
        <v>3028</v>
      </c>
      <c r="E579" t="s">
        <v>349</v>
      </c>
      <c r="F579">
        <v>95</v>
      </c>
      <c r="G579">
        <v>95</v>
      </c>
    </row>
    <row r="581" spans="1:10" ht="15" customHeight="1" x14ac:dyDescent="0.2">
      <c r="A581" t="s">
        <v>3033</v>
      </c>
      <c r="B581" t="s">
        <v>3034</v>
      </c>
      <c r="F581" t="s">
        <v>2430</v>
      </c>
      <c r="G581" t="s">
        <v>2431</v>
      </c>
      <c r="H581" t="s">
        <v>2432</v>
      </c>
      <c r="I581" t="s">
        <v>2433</v>
      </c>
      <c r="J581" t="s">
        <v>2434</v>
      </c>
    </row>
    <row r="582" spans="1:10" ht="15" customHeight="1" x14ac:dyDescent="0.2">
      <c r="A582" s="420">
        <v>46012</v>
      </c>
      <c r="B582" t="s">
        <v>2532</v>
      </c>
      <c r="C582" t="s">
        <v>3033</v>
      </c>
      <c r="D582" t="s">
        <v>3035</v>
      </c>
      <c r="E582" t="s">
        <v>2003</v>
      </c>
      <c r="G582">
        <v>116.09</v>
      </c>
      <c r="I582">
        <v>116.09</v>
      </c>
      <c r="J582" t="s">
        <v>2511</v>
      </c>
    </row>
    <row r="583" spans="1:10" ht="15" customHeight="1" x14ac:dyDescent="0.2">
      <c r="A583" s="420">
        <v>46014</v>
      </c>
      <c r="B583" t="s">
        <v>2532</v>
      </c>
      <c r="C583" t="s">
        <v>3033</v>
      </c>
      <c r="D583" t="s">
        <v>3036</v>
      </c>
      <c r="E583" t="s">
        <v>2006</v>
      </c>
      <c r="G583">
        <v>89.66</v>
      </c>
      <c r="I583">
        <v>205.75</v>
      </c>
      <c r="J583" t="s">
        <v>2511</v>
      </c>
    </row>
    <row r="584" spans="1:10" ht="15" customHeight="1" x14ac:dyDescent="0.2">
      <c r="A584" s="420">
        <v>46015</v>
      </c>
      <c r="B584" t="s">
        <v>2333</v>
      </c>
      <c r="C584" t="s">
        <v>3033</v>
      </c>
      <c r="D584" t="s">
        <v>3037</v>
      </c>
      <c r="E584" t="s">
        <v>3038</v>
      </c>
      <c r="F584">
        <v>205.75</v>
      </c>
      <c r="J584" t="s">
        <v>2511</v>
      </c>
    </row>
    <row r="585" spans="1:10" ht="15" customHeight="1" x14ac:dyDescent="0.2">
      <c r="A585" t="s">
        <v>3033</v>
      </c>
      <c r="E585" t="s">
        <v>349</v>
      </c>
      <c r="F585">
        <v>205.75</v>
      </c>
      <c r="G585">
        <v>205.75</v>
      </c>
    </row>
    <row r="587" spans="1:10" ht="15" customHeight="1" x14ac:dyDescent="0.2">
      <c r="A587" t="s">
        <v>3039</v>
      </c>
      <c r="B587" t="s">
        <v>3040</v>
      </c>
      <c r="F587" t="s">
        <v>2430</v>
      </c>
      <c r="G587" t="s">
        <v>2431</v>
      </c>
      <c r="H587" t="s">
        <v>2432</v>
      </c>
      <c r="I587" t="s">
        <v>2433</v>
      </c>
      <c r="J587" t="s">
        <v>2434</v>
      </c>
    </row>
    <row r="588" spans="1:10" ht="15" customHeight="1" x14ac:dyDescent="0.2">
      <c r="A588" s="420">
        <v>45674</v>
      </c>
      <c r="B588" t="s">
        <v>2333</v>
      </c>
      <c r="C588" t="s">
        <v>3039</v>
      </c>
      <c r="D588" t="s">
        <v>3041</v>
      </c>
      <c r="E588" t="s">
        <v>3042</v>
      </c>
      <c r="F588">
        <v>1749</v>
      </c>
      <c r="H588">
        <v>1749</v>
      </c>
      <c r="J588" t="s">
        <v>2511</v>
      </c>
    </row>
    <row r="589" spans="1:10" ht="15" customHeight="1" x14ac:dyDescent="0.2">
      <c r="A589" s="420">
        <v>45675</v>
      </c>
      <c r="B589" t="s">
        <v>2532</v>
      </c>
      <c r="C589" t="s">
        <v>3039</v>
      </c>
      <c r="D589" t="s">
        <v>2533</v>
      </c>
      <c r="E589" t="s">
        <v>2534</v>
      </c>
      <c r="G589">
        <v>1749</v>
      </c>
      <c r="J589" t="s">
        <v>2511</v>
      </c>
    </row>
    <row r="590" spans="1:10" ht="15" customHeight="1" x14ac:dyDescent="0.2">
      <c r="A590" t="s">
        <v>3039</v>
      </c>
      <c r="E590" t="s">
        <v>349</v>
      </c>
      <c r="F590">
        <v>1749</v>
      </c>
      <c r="G590">
        <v>1749</v>
      </c>
    </row>
    <row r="592" spans="1:10" ht="15" customHeight="1" x14ac:dyDescent="0.2">
      <c r="A592" t="s">
        <v>3043</v>
      </c>
      <c r="B592" t="s">
        <v>3044</v>
      </c>
      <c r="F592" t="s">
        <v>2430</v>
      </c>
      <c r="G592" t="s">
        <v>2431</v>
      </c>
      <c r="H592" t="s">
        <v>2432</v>
      </c>
      <c r="I592" t="s">
        <v>2433</v>
      </c>
      <c r="J592" t="s">
        <v>2434</v>
      </c>
    </row>
    <row r="593" spans="1:10" ht="15" customHeight="1" x14ac:dyDescent="0.2">
      <c r="A593" s="420">
        <v>45948</v>
      </c>
      <c r="B593" t="s">
        <v>2532</v>
      </c>
      <c r="C593" t="s">
        <v>3043</v>
      </c>
      <c r="D593" t="s">
        <v>3045</v>
      </c>
      <c r="E593" t="s">
        <v>558</v>
      </c>
      <c r="G593">
        <v>28.48</v>
      </c>
      <c r="I593">
        <v>28.48</v>
      </c>
      <c r="J593" t="s">
        <v>2511</v>
      </c>
    </row>
    <row r="594" spans="1:10" ht="15" customHeight="1" x14ac:dyDescent="0.2">
      <c r="A594" s="420">
        <v>45950</v>
      </c>
      <c r="B594" t="s">
        <v>2333</v>
      </c>
      <c r="C594" t="s">
        <v>3043</v>
      </c>
      <c r="D594" t="s">
        <v>3046</v>
      </c>
      <c r="E594" t="s">
        <v>3047</v>
      </c>
      <c r="F594">
        <v>28.48</v>
      </c>
      <c r="J594" t="s">
        <v>2511</v>
      </c>
    </row>
    <row r="595" spans="1:10" ht="15" customHeight="1" x14ac:dyDescent="0.2">
      <c r="A595" t="s">
        <v>3043</v>
      </c>
      <c r="E595" t="s">
        <v>349</v>
      </c>
      <c r="F595">
        <v>28.48</v>
      </c>
      <c r="G595">
        <v>28.48</v>
      </c>
    </row>
    <row r="597" spans="1:10" ht="15" customHeight="1" x14ac:dyDescent="0.2">
      <c r="A597" t="s">
        <v>3048</v>
      </c>
      <c r="B597" t="s">
        <v>3049</v>
      </c>
      <c r="F597" t="s">
        <v>2430</v>
      </c>
      <c r="G597" t="s">
        <v>2431</v>
      </c>
      <c r="H597" t="s">
        <v>2432</v>
      </c>
      <c r="I597" t="s">
        <v>2433</v>
      </c>
      <c r="J597" t="s">
        <v>2434</v>
      </c>
    </row>
    <row r="598" spans="1:10" ht="15" customHeight="1" x14ac:dyDescent="0.2">
      <c r="A598" s="420">
        <v>45667</v>
      </c>
      <c r="B598" t="s">
        <v>2532</v>
      </c>
      <c r="C598" t="s">
        <v>3048</v>
      </c>
      <c r="D598" t="s">
        <v>3050</v>
      </c>
      <c r="E598" t="s">
        <v>448</v>
      </c>
      <c r="G598">
        <v>601.54999999999995</v>
      </c>
      <c r="I598">
        <v>601.54999999999995</v>
      </c>
      <c r="J598" t="s">
        <v>2511</v>
      </c>
    </row>
    <row r="599" spans="1:10" ht="15" customHeight="1" x14ac:dyDescent="0.2">
      <c r="A599" s="420">
        <v>45670</v>
      </c>
      <c r="B599" t="s">
        <v>2333</v>
      </c>
      <c r="C599" t="s">
        <v>3048</v>
      </c>
      <c r="D599" t="s">
        <v>3051</v>
      </c>
      <c r="E599" t="s">
        <v>3052</v>
      </c>
      <c r="F599">
        <v>601.54999999999995</v>
      </c>
      <c r="J599" t="s">
        <v>2511</v>
      </c>
    </row>
    <row r="600" spans="1:10" ht="15" customHeight="1" x14ac:dyDescent="0.2">
      <c r="A600" s="420">
        <v>45757</v>
      </c>
      <c r="B600" t="s">
        <v>2532</v>
      </c>
      <c r="C600" t="s">
        <v>3048</v>
      </c>
      <c r="D600" t="s">
        <v>3053</v>
      </c>
      <c r="E600" t="s">
        <v>472</v>
      </c>
      <c r="G600">
        <v>63.7</v>
      </c>
      <c r="I600">
        <v>63.7</v>
      </c>
      <c r="J600" t="s">
        <v>2509</v>
      </c>
    </row>
    <row r="601" spans="1:10" ht="15" customHeight="1" x14ac:dyDescent="0.2">
      <c r="A601" s="420">
        <v>45758</v>
      </c>
      <c r="B601" t="s">
        <v>2333</v>
      </c>
      <c r="C601" t="s">
        <v>3048</v>
      </c>
      <c r="D601" t="s">
        <v>3054</v>
      </c>
      <c r="E601" t="s">
        <v>3052</v>
      </c>
      <c r="F601">
        <v>63.7</v>
      </c>
      <c r="J601" t="s">
        <v>2509</v>
      </c>
    </row>
    <row r="602" spans="1:10" ht="15" customHeight="1" x14ac:dyDescent="0.2">
      <c r="A602" s="420">
        <v>45948</v>
      </c>
      <c r="B602" t="s">
        <v>2532</v>
      </c>
      <c r="C602" t="s">
        <v>3048</v>
      </c>
      <c r="D602" t="s">
        <v>3055</v>
      </c>
      <c r="E602" t="s">
        <v>559</v>
      </c>
      <c r="G602">
        <v>91.8</v>
      </c>
      <c r="I602">
        <v>91.8</v>
      </c>
      <c r="J602" t="s">
        <v>2513</v>
      </c>
    </row>
    <row r="603" spans="1:10" ht="15" customHeight="1" x14ac:dyDescent="0.2">
      <c r="A603" s="420">
        <v>45948</v>
      </c>
      <c r="B603" t="s">
        <v>2532</v>
      </c>
      <c r="C603" t="s">
        <v>3048</v>
      </c>
      <c r="D603" t="s">
        <v>3056</v>
      </c>
      <c r="E603" t="s">
        <v>560</v>
      </c>
      <c r="G603">
        <v>197.65</v>
      </c>
      <c r="I603">
        <v>289.45</v>
      </c>
      <c r="J603" t="s">
        <v>2586</v>
      </c>
    </row>
    <row r="604" spans="1:10" ht="15" customHeight="1" x14ac:dyDescent="0.2">
      <c r="A604" s="420">
        <v>45950</v>
      </c>
      <c r="B604" t="s">
        <v>2333</v>
      </c>
      <c r="C604" t="s">
        <v>3048</v>
      </c>
      <c r="D604" t="s">
        <v>3057</v>
      </c>
      <c r="E604" t="s">
        <v>3052</v>
      </c>
      <c r="F604">
        <v>91.8</v>
      </c>
      <c r="I604">
        <v>197.65</v>
      </c>
      <c r="J604" t="s">
        <v>2513</v>
      </c>
    </row>
    <row r="605" spans="1:10" ht="15" customHeight="1" x14ac:dyDescent="0.2">
      <c r="A605" s="420">
        <v>45950</v>
      </c>
      <c r="B605" t="s">
        <v>2333</v>
      </c>
      <c r="C605" t="s">
        <v>3048</v>
      </c>
      <c r="D605" t="s">
        <v>3058</v>
      </c>
      <c r="E605" t="s">
        <v>3052</v>
      </c>
      <c r="F605">
        <v>197.65</v>
      </c>
      <c r="J605" t="s">
        <v>2586</v>
      </c>
    </row>
    <row r="606" spans="1:10" ht="15" customHeight="1" x14ac:dyDescent="0.2">
      <c r="A606" s="420">
        <v>45955</v>
      </c>
      <c r="B606" t="s">
        <v>2532</v>
      </c>
      <c r="C606" t="s">
        <v>3048</v>
      </c>
      <c r="D606" t="s">
        <v>3059</v>
      </c>
      <c r="E606" t="s">
        <v>3060</v>
      </c>
      <c r="G606">
        <v>119.7</v>
      </c>
      <c r="I606">
        <v>119.7</v>
      </c>
      <c r="J606" t="s">
        <v>2587</v>
      </c>
    </row>
    <row r="607" spans="1:10" ht="15" customHeight="1" x14ac:dyDescent="0.2">
      <c r="A607" s="420">
        <v>45957</v>
      </c>
      <c r="B607" t="s">
        <v>2333</v>
      </c>
      <c r="C607" t="s">
        <v>3048</v>
      </c>
      <c r="D607" t="s">
        <v>3061</v>
      </c>
      <c r="E607" t="s">
        <v>3052</v>
      </c>
      <c r="F607">
        <v>119.7</v>
      </c>
      <c r="J607" t="s">
        <v>2587</v>
      </c>
    </row>
    <row r="608" spans="1:10" ht="15" customHeight="1" x14ac:dyDescent="0.2">
      <c r="A608" s="420">
        <v>45977</v>
      </c>
      <c r="B608" t="s">
        <v>2532</v>
      </c>
      <c r="C608" t="s">
        <v>3048</v>
      </c>
      <c r="D608" t="s">
        <v>3062</v>
      </c>
      <c r="E608" t="s">
        <v>567</v>
      </c>
      <c r="G608">
        <v>85</v>
      </c>
      <c r="I608">
        <v>85</v>
      </c>
      <c r="J608" t="s">
        <v>2585</v>
      </c>
    </row>
    <row r="609" spans="1:10" ht="15" customHeight="1" x14ac:dyDescent="0.2">
      <c r="A609" s="420">
        <v>45977</v>
      </c>
      <c r="B609" t="s">
        <v>2532</v>
      </c>
      <c r="C609" t="s">
        <v>3048</v>
      </c>
      <c r="D609" t="s">
        <v>3063</v>
      </c>
      <c r="E609" t="s">
        <v>568</v>
      </c>
      <c r="G609">
        <v>91.99</v>
      </c>
      <c r="I609">
        <v>176.99</v>
      </c>
      <c r="J609" t="s">
        <v>2603</v>
      </c>
    </row>
    <row r="610" spans="1:10" ht="15" customHeight="1" x14ac:dyDescent="0.2">
      <c r="A610" s="420">
        <v>45978</v>
      </c>
      <c r="B610" t="s">
        <v>2333</v>
      </c>
      <c r="C610" t="s">
        <v>3048</v>
      </c>
      <c r="D610" t="s">
        <v>3064</v>
      </c>
      <c r="E610" t="s">
        <v>3052</v>
      </c>
      <c r="F610">
        <v>91.99</v>
      </c>
      <c r="I610">
        <v>85</v>
      </c>
      <c r="J610" t="s">
        <v>2603</v>
      </c>
    </row>
    <row r="611" spans="1:10" ht="15" customHeight="1" x14ac:dyDescent="0.2">
      <c r="A611" s="420">
        <v>45978</v>
      </c>
      <c r="B611" t="s">
        <v>2333</v>
      </c>
      <c r="C611" t="s">
        <v>3048</v>
      </c>
      <c r="D611" t="s">
        <v>3065</v>
      </c>
      <c r="E611" t="s">
        <v>3052</v>
      </c>
      <c r="F611">
        <v>85</v>
      </c>
      <c r="J611" t="s">
        <v>2585</v>
      </c>
    </row>
    <row r="612" spans="1:10" ht="15" customHeight="1" x14ac:dyDescent="0.2">
      <c r="A612" t="s">
        <v>3048</v>
      </c>
      <c r="E612" t="s">
        <v>349</v>
      </c>
      <c r="F612">
        <v>1251.3900000000001</v>
      </c>
      <c r="G612">
        <v>1251.3900000000001</v>
      </c>
    </row>
    <row r="614" spans="1:10" ht="15" customHeight="1" x14ac:dyDescent="0.2">
      <c r="A614" t="s">
        <v>3066</v>
      </c>
      <c r="B614" t="s">
        <v>3067</v>
      </c>
      <c r="F614" t="s">
        <v>2430</v>
      </c>
      <c r="G614" t="s">
        <v>2431</v>
      </c>
      <c r="H614" t="s">
        <v>2432</v>
      </c>
      <c r="I614" t="s">
        <v>2433</v>
      </c>
      <c r="J614" t="s">
        <v>2434</v>
      </c>
    </row>
    <row r="615" spans="1:10" ht="15" customHeight="1" x14ac:dyDescent="0.2">
      <c r="A615" s="420">
        <v>45961</v>
      </c>
      <c r="B615" t="s">
        <v>2532</v>
      </c>
      <c r="C615" t="s">
        <v>3066</v>
      </c>
      <c r="D615" t="s">
        <v>3068</v>
      </c>
      <c r="E615" t="s">
        <v>3069</v>
      </c>
      <c r="G615">
        <v>218.54</v>
      </c>
      <c r="I615">
        <v>218.54</v>
      </c>
      <c r="J615" t="s">
        <v>2511</v>
      </c>
    </row>
    <row r="616" spans="1:10" ht="15" customHeight="1" x14ac:dyDescent="0.2">
      <c r="A616" s="420">
        <v>45964</v>
      </c>
      <c r="B616" t="s">
        <v>2333</v>
      </c>
      <c r="C616" t="s">
        <v>3066</v>
      </c>
      <c r="D616" t="s">
        <v>3070</v>
      </c>
      <c r="E616" t="s">
        <v>3071</v>
      </c>
      <c r="F616">
        <v>218.54</v>
      </c>
      <c r="J616" t="s">
        <v>2511</v>
      </c>
    </row>
    <row r="617" spans="1:10" ht="15" customHeight="1" x14ac:dyDescent="0.2">
      <c r="A617" t="s">
        <v>3066</v>
      </c>
      <c r="E617" t="s">
        <v>349</v>
      </c>
      <c r="F617">
        <v>218.54</v>
      </c>
      <c r="G617">
        <v>218.54</v>
      </c>
    </row>
    <row r="619" spans="1:10" ht="15" customHeight="1" x14ac:dyDescent="0.2">
      <c r="A619" t="s">
        <v>3072</v>
      </c>
      <c r="B619" t="s">
        <v>3073</v>
      </c>
      <c r="F619" t="s">
        <v>2430</v>
      </c>
      <c r="G619" t="s">
        <v>2431</v>
      </c>
      <c r="H619" t="s">
        <v>2432</v>
      </c>
      <c r="I619" t="s">
        <v>2433</v>
      </c>
      <c r="J619" t="s">
        <v>2434</v>
      </c>
    </row>
    <row r="620" spans="1:10" ht="15" customHeight="1" x14ac:dyDescent="0.2">
      <c r="A620" s="420">
        <v>45979</v>
      </c>
      <c r="B620" t="s">
        <v>2333</v>
      </c>
      <c r="C620" t="s">
        <v>3072</v>
      </c>
      <c r="D620" t="s">
        <v>3074</v>
      </c>
      <c r="E620" t="s">
        <v>3075</v>
      </c>
      <c r="F620">
        <v>780</v>
      </c>
      <c r="H620">
        <v>780</v>
      </c>
      <c r="J620" t="s">
        <v>2511</v>
      </c>
    </row>
    <row r="621" spans="1:10" ht="15" customHeight="1" x14ac:dyDescent="0.2">
      <c r="A621" s="420">
        <v>45982</v>
      </c>
      <c r="B621" t="s">
        <v>2532</v>
      </c>
      <c r="C621" t="s">
        <v>3072</v>
      </c>
      <c r="D621" t="s">
        <v>3076</v>
      </c>
      <c r="E621" t="s">
        <v>867</v>
      </c>
      <c r="G621">
        <v>780</v>
      </c>
      <c r="J621" t="s">
        <v>2511</v>
      </c>
    </row>
    <row r="622" spans="1:10" ht="15" customHeight="1" x14ac:dyDescent="0.2">
      <c r="A622" t="s">
        <v>3072</v>
      </c>
      <c r="E622" t="s">
        <v>349</v>
      </c>
      <c r="F622">
        <v>780</v>
      </c>
      <c r="G622">
        <v>780</v>
      </c>
    </row>
    <row r="624" spans="1:10" ht="15" customHeight="1" x14ac:dyDescent="0.2">
      <c r="A624" t="s">
        <v>3077</v>
      </c>
      <c r="B624" t="s">
        <v>3078</v>
      </c>
      <c r="F624" t="s">
        <v>2430</v>
      </c>
      <c r="G624" t="s">
        <v>2431</v>
      </c>
      <c r="H624" t="s">
        <v>2432</v>
      </c>
      <c r="I624" t="s">
        <v>2433</v>
      </c>
      <c r="J624" t="s">
        <v>2434</v>
      </c>
    </row>
    <row r="625" spans="1:10" ht="15" customHeight="1" x14ac:dyDescent="0.2">
      <c r="A625" s="420">
        <v>45667</v>
      </c>
      <c r="B625" t="s">
        <v>2532</v>
      </c>
      <c r="C625" t="s">
        <v>3077</v>
      </c>
      <c r="D625" t="s">
        <v>3079</v>
      </c>
      <c r="E625" t="s">
        <v>1298</v>
      </c>
      <c r="G625">
        <v>11.99</v>
      </c>
      <c r="I625">
        <v>11.99</v>
      </c>
      <c r="J625" t="s">
        <v>2511</v>
      </c>
    </row>
    <row r="626" spans="1:10" ht="15" customHeight="1" x14ac:dyDescent="0.2">
      <c r="A626" s="420">
        <v>45670</v>
      </c>
      <c r="B626" t="s">
        <v>2333</v>
      </c>
      <c r="C626" t="s">
        <v>3077</v>
      </c>
      <c r="D626" t="s">
        <v>3080</v>
      </c>
      <c r="E626" t="s">
        <v>3081</v>
      </c>
      <c r="F626">
        <v>11.99</v>
      </c>
      <c r="J626" t="s">
        <v>2511</v>
      </c>
    </row>
    <row r="627" spans="1:10" ht="15" customHeight="1" x14ac:dyDescent="0.2">
      <c r="A627" s="420">
        <v>45698</v>
      </c>
      <c r="B627" t="s">
        <v>2532</v>
      </c>
      <c r="C627" t="s">
        <v>3077</v>
      </c>
      <c r="D627" t="s">
        <v>3082</v>
      </c>
      <c r="E627" t="s">
        <v>1313</v>
      </c>
      <c r="G627">
        <v>11.99</v>
      </c>
      <c r="I627">
        <v>11.99</v>
      </c>
      <c r="J627" t="s">
        <v>2513</v>
      </c>
    </row>
    <row r="628" spans="1:10" ht="15" customHeight="1" x14ac:dyDescent="0.2">
      <c r="A628" s="420">
        <v>45699</v>
      </c>
      <c r="B628" t="s">
        <v>2333</v>
      </c>
      <c r="C628" t="s">
        <v>3077</v>
      </c>
      <c r="D628" t="s">
        <v>3083</v>
      </c>
      <c r="E628" t="s">
        <v>3084</v>
      </c>
      <c r="F628">
        <v>11.99</v>
      </c>
      <c r="J628" t="s">
        <v>2509</v>
      </c>
    </row>
    <row r="629" spans="1:10" ht="15" customHeight="1" x14ac:dyDescent="0.2">
      <c r="A629" s="420">
        <v>45726</v>
      </c>
      <c r="B629" t="s">
        <v>2532</v>
      </c>
      <c r="C629" t="s">
        <v>3077</v>
      </c>
      <c r="D629" t="s">
        <v>3085</v>
      </c>
      <c r="E629" t="s">
        <v>1330</v>
      </c>
      <c r="G629">
        <v>11.99</v>
      </c>
      <c r="I629">
        <v>11.99</v>
      </c>
      <c r="J629" t="s">
        <v>2509</v>
      </c>
    </row>
    <row r="630" spans="1:10" ht="15" customHeight="1" x14ac:dyDescent="0.2">
      <c r="A630" s="420">
        <v>45727</v>
      </c>
      <c r="B630" t="s">
        <v>2333</v>
      </c>
      <c r="C630" t="s">
        <v>3077</v>
      </c>
      <c r="D630" t="s">
        <v>3086</v>
      </c>
      <c r="E630" t="s">
        <v>3087</v>
      </c>
      <c r="F630">
        <v>11.99</v>
      </c>
      <c r="J630" t="s">
        <v>2513</v>
      </c>
    </row>
    <row r="631" spans="1:10" ht="15" customHeight="1" x14ac:dyDescent="0.2">
      <c r="A631" s="420">
        <v>45757</v>
      </c>
      <c r="B631" t="s">
        <v>2532</v>
      </c>
      <c r="C631" t="s">
        <v>3077</v>
      </c>
      <c r="D631" t="s">
        <v>3088</v>
      </c>
      <c r="E631" t="s">
        <v>1345</v>
      </c>
      <c r="G631">
        <v>11.99</v>
      </c>
      <c r="I631">
        <v>11.99</v>
      </c>
      <c r="J631" t="s">
        <v>2585</v>
      </c>
    </row>
    <row r="632" spans="1:10" ht="15" customHeight="1" x14ac:dyDescent="0.2">
      <c r="A632" s="420">
        <v>45758</v>
      </c>
      <c r="B632" t="s">
        <v>2333</v>
      </c>
      <c r="C632" t="s">
        <v>3077</v>
      </c>
      <c r="D632" t="s">
        <v>3089</v>
      </c>
      <c r="E632" t="s">
        <v>3090</v>
      </c>
      <c r="F632">
        <v>11.99</v>
      </c>
      <c r="J632" t="s">
        <v>2585</v>
      </c>
    </row>
    <row r="633" spans="1:10" ht="15" customHeight="1" x14ac:dyDescent="0.2">
      <c r="A633" s="420">
        <v>45787</v>
      </c>
      <c r="B633" t="s">
        <v>2532</v>
      </c>
      <c r="C633" t="s">
        <v>3077</v>
      </c>
      <c r="D633" t="s">
        <v>3091</v>
      </c>
      <c r="E633" t="s">
        <v>1355</v>
      </c>
      <c r="G633">
        <v>11.99</v>
      </c>
      <c r="I633">
        <v>11.99</v>
      </c>
      <c r="J633" t="s">
        <v>2587</v>
      </c>
    </row>
    <row r="634" spans="1:10" ht="15" customHeight="1" x14ac:dyDescent="0.2">
      <c r="A634" s="420">
        <v>45789</v>
      </c>
      <c r="B634" t="s">
        <v>2333</v>
      </c>
      <c r="C634" t="s">
        <v>3077</v>
      </c>
      <c r="D634" t="s">
        <v>3092</v>
      </c>
      <c r="E634" t="s">
        <v>3093</v>
      </c>
      <c r="F634">
        <v>11.99</v>
      </c>
      <c r="J634" t="s">
        <v>2586</v>
      </c>
    </row>
    <row r="635" spans="1:10" ht="15" customHeight="1" x14ac:dyDescent="0.2">
      <c r="A635" s="420">
        <v>45818</v>
      </c>
      <c r="B635" t="s">
        <v>2532</v>
      </c>
      <c r="C635" t="s">
        <v>3077</v>
      </c>
      <c r="D635" t="s">
        <v>3094</v>
      </c>
      <c r="E635" t="s">
        <v>1369</v>
      </c>
      <c r="G635">
        <v>11.99</v>
      </c>
      <c r="I635">
        <v>11.99</v>
      </c>
      <c r="J635" t="s">
        <v>2586</v>
      </c>
    </row>
    <row r="636" spans="1:10" ht="15" customHeight="1" x14ac:dyDescent="0.2">
      <c r="A636" s="420">
        <v>45819</v>
      </c>
      <c r="B636" t="s">
        <v>2333</v>
      </c>
      <c r="C636" t="s">
        <v>3077</v>
      </c>
      <c r="D636" t="s">
        <v>3095</v>
      </c>
      <c r="E636" t="s">
        <v>3096</v>
      </c>
      <c r="F636">
        <v>11.99</v>
      </c>
      <c r="J636" t="s">
        <v>2587</v>
      </c>
    </row>
    <row r="637" spans="1:10" ht="15" customHeight="1" x14ac:dyDescent="0.2">
      <c r="A637" s="420">
        <v>45848</v>
      </c>
      <c r="B637" t="s">
        <v>2532</v>
      </c>
      <c r="C637" t="s">
        <v>3077</v>
      </c>
      <c r="D637" t="s">
        <v>3097</v>
      </c>
      <c r="E637" t="s">
        <v>1382</v>
      </c>
      <c r="G637">
        <v>11.99</v>
      </c>
      <c r="I637">
        <v>11.99</v>
      </c>
      <c r="J637" t="s">
        <v>2603</v>
      </c>
    </row>
    <row r="638" spans="1:10" ht="15" customHeight="1" x14ac:dyDescent="0.2">
      <c r="A638" s="420">
        <v>45849</v>
      </c>
      <c r="B638" t="s">
        <v>2333</v>
      </c>
      <c r="C638" t="s">
        <v>3077</v>
      </c>
      <c r="D638" t="s">
        <v>3098</v>
      </c>
      <c r="E638" t="s">
        <v>3099</v>
      </c>
      <c r="F638">
        <v>11.99</v>
      </c>
      <c r="J638" t="s">
        <v>2603</v>
      </c>
    </row>
    <row r="639" spans="1:10" ht="15" customHeight="1" x14ac:dyDescent="0.2">
      <c r="A639" s="420">
        <v>45879</v>
      </c>
      <c r="B639" t="s">
        <v>2532</v>
      </c>
      <c r="C639" t="s">
        <v>3077</v>
      </c>
      <c r="D639" t="s">
        <v>3100</v>
      </c>
      <c r="E639" t="s">
        <v>1391</v>
      </c>
      <c r="G639">
        <v>11.99</v>
      </c>
      <c r="I639">
        <v>11.99</v>
      </c>
      <c r="J639" t="s">
        <v>2604</v>
      </c>
    </row>
    <row r="640" spans="1:10" ht="15" customHeight="1" x14ac:dyDescent="0.2">
      <c r="A640" s="420">
        <v>45880</v>
      </c>
      <c r="B640" t="s">
        <v>2333</v>
      </c>
      <c r="C640" t="s">
        <v>3077</v>
      </c>
      <c r="D640" t="s">
        <v>3101</v>
      </c>
      <c r="E640" t="s">
        <v>3102</v>
      </c>
      <c r="F640">
        <v>11.99</v>
      </c>
      <c r="J640" t="s">
        <v>2604</v>
      </c>
    </row>
    <row r="641" spans="1:10" ht="15" customHeight="1" x14ac:dyDescent="0.2">
      <c r="A641" s="420">
        <v>45910</v>
      </c>
      <c r="B641" t="s">
        <v>2532</v>
      </c>
      <c r="C641" t="s">
        <v>3077</v>
      </c>
      <c r="D641" t="s">
        <v>3103</v>
      </c>
      <c r="E641" t="s">
        <v>1397</v>
      </c>
      <c r="G641">
        <v>11.99</v>
      </c>
      <c r="I641">
        <v>11.99</v>
      </c>
      <c r="J641" t="s">
        <v>2600</v>
      </c>
    </row>
    <row r="642" spans="1:10" ht="15" customHeight="1" x14ac:dyDescent="0.2">
      <c r="A642" s="420">
        <v>45911</v>
      </c>
      <c r="B642" t="s">
        <v>2333</v>
      </c>
      <c r="C642" t="s">
        <v>3077</v>
      </c>
      <c r="D642" t="s">
        <v>3104</v>
      </c>
      <c r="E642" t="s">
        <v>3105</v>
      </c>
      <c r="F642">
        <v>11.99</v>
      </c>
      <c r="J642" t="s">
        <v>2599</v>
      </c>
    </row>
    <row r="643" spans="1:10" ht="15" customHeight="1" x14ac:dyDescent="0.2">
      <c r="A643" s="420">
        <v>45940</v>
      </c>
      <c r="B643" t="s">
        <v>2532</v>
      </c>
      <c r="C643" t="s">
        <v>3077</v>
      </c>
      <c r="D643" t="s">
        <v>3106</v>
      </c>
      <c r="E643" t="s">
        <v>1406</v>
      </c>
      <c r="G643">
        <v>11.99</v>
      </c>
      <c r="I643">
        <v>11.99</v>
      </c>
      <c r="J643" t="s">
        <v>2599</v>
      </c>
    </row>
    <row r="644" spans="1:10" ht="15" customHeight="1" x14ac:dyDescent="0.2">
      <c r="A644" s="420">
        <v>45943</v>
      </c>
      <c r="B644" t="s">
        <v>2333</v>
      </c>
      <c r="C644" t="s">
        <v>3077</v>
      </c>
      <c r="D644" t="s">
        <v>3107</v>
      </c>
      <c r="E644" t="s">
        <v>3108</v>
      </c>
      <c r="F644">
        <v>11.99</v>
      </c>
      <c r="J644" t="s">
        <v>2600</v>
      </c>
    </row>
    <row r="645" spans="1:10" ht="15" customHeight="1" x14ac:dyDescent="0.2">
      <c r="A645" s="420">
        <v>45971</v>
      </c>
      <c r="B645" t="s">
        <v>2532</v>
      </c>
      <c r="C645" t="s">
        <v>3077</v>
      </c>
      <c r="D645" t="s">
        <v>3109</v>
      </c>
      <c r="E645" t="s">
        <v>1417</v>
      </c>
      <c r="G645">
        <v>11.99</v>
      </c>
      <c r="I645">
        <v>11.99</v>
      </c>
      <c r="J645" t="s">
        <v>2601</v>
      </c>
    </row>
    <row r="646" spans="1:10" ht="15" customHeight="1" x14ac:dyDescent="0.2">
      <c r="A646" s="420">
        <v>45973</v>
      </c>
      <c r="B646" t="s">
        <v>2333</v>
      </c>
      <c r="C646" t="s">
        <v>3077</v>
      </c>
      <c r="D646" t="s">
        <v>3110</v>
      </c>
      <c r="E646" t="s">
        <v>3111</v>
      </c>
      <c r="F646">
        <v>11.99</v>
      </c>
      <c r="J646" t="s">
        <v>2601</v>
      </c>
    </row>
    <row r="647" spans="1:10" ht="15" customHeight="1" x14ac:dyDescent="0.2">
      <c r="A647" s="420">
        <v>46001</v>
      </c>
      <c r="B647" t="s">
        <v>2532</v>
      </c>
      <c r="C647" t="s">
        <v>3077</v>
      </c>
      <c r="D647" t="s">
        <v>3112</v>
      </c>
      <c r="E647" t="s">
        <v>1429</v>
      </c>
      <c r="G647">
        <v>11.99</v>
      </c>
      <c r="I647">
        <v>11.99</v>
      </c>
      <c r="J647" t="s">
        <v>2602</v>
      </c>
    </row>
    <row r="648" spans="1:10" ht="15" customHeight="1" x14ac:dyDescent="0.2">
      <c r="A648" s="420">
        <v>46002</v>
      </c>
      <c r="B648" t="s">
        <v>2333</v>
      </c>
      <c r="C648" t="s">
        <v>3077</v>
      </c>
      <c r="D648" t="s">
        <v>3113</v>
      </c>
      <c r="E648" t="s">
        <v>3114</v>
      </c>
      <c r="F648">
        <v>11.99</v>
      </c>
      <c r="J648" t="s">
        <v>2602</v>
      </c>
    </row>
    <row r="649" spans="1:10" ht="15" customHeight="1" x14ac:dyDescent="0.2">
      <c r="A649" t="s">
        <v>3077</v>
      </c>
      <c r="E649" t="s">
        <v>349</v>
      </c>
      <c r="F649">
        <v>143.88</v>
      </c>
      <c r="G649">
        <v>143.88</v>
      </c>
    </row>
    <row r="651" spans="1:10" ht="15" customHeight="1" x14ac:dyDescent="0.2">
      <c r="A651" t="s">
        <v>3115</v>
      </c>
      <c r="B651" t="s">
        <v>3116</v>
      </c>
      <c r="F651" t="s">
        <v>2430</v>
      </c>
      <c r="G651" t="s">
        <v>2431</v>
      </c>
      <c r="H651" t="s">
        <v>2432</v>
      </c>
      <c r="I651" t="s">
        <v>2433</v>
      </c>
      <c r="J651" t="s">
        <v>2434</v>
      </c>
    </row>
    <row r="652" spans="1:10" ht="15" customHeight="1" x14ac:dyDescent="0.2">
      <c r="A652" s="420">
        <v>45759</v>
      </c>
      <c r="B652" t="s">
        <v>2532</v>
      </c>
      <c r="C652" t="s">
        <v>3115</v>
      </c>
      <c r="D652" t="s">
        <v>3117</v>
      </c>
      <c r="E652" t="s">
        <v>3118</v>
      </c>
      <c r="G652">
        <v>244.3</v>
      </c>
      <c r="I652">
        <v>244.3</v>
      </c>
      <c r="J652" t="s">
        <v>2511</v>
      </c>
    </row>
    <row r="653" spans="1:10" ht="15" customHeight="1" x14ac:dyDescent="0.2">
      <c r="A653" s="420">
        <v>45761</v>
      </c>
      <c r="B653" t="s">
        <v>2333</v>
      </c>
      <c r="C653" t="s">
        <v>3115</v>
      </c>
      <c r="D653" t="s">
        <v>3119</v>
      </c>
      <c r="E653" t="s">
        <v>3120</v>
      </c>
      <c r="F653">
        <v>244.3</v>
      </c>
      <c r="J653" t="s">
        <v>2511</v>
      </c>
    </row>
    <row r="654" spans="1:10" ht="15" customHeight="1" x14ac:dyDescent="0.2">
      <c r="A654" s="420">
        <v>45776</v>
      </c>
      <c r="B654" t="s">
        <v>2532</v>
      </c>
      <c r="C654" t="s">
        <v>3115</v>
      </c>
      <c r="D654" t="s">
        <v>3121</v>
      </c>
      <c r="E654" t="s">
        <v>3122</v>
      </c>
      <c r="G654">
        <v>205.02</v>
      </c>
      <c r="I654">
        <v>205.02</v>
      </c>
      <c r="J654" t="s">
        <v>2509</v>
      </c>
    </row>
    <row r="655" spans="1:10" ht="15" customHeight="1" x14ac:dyDescent="0.2">
      <c r="A655" s="420">
        <v>45777</v>
      </c>
      <c r="B655" t="s">
        <v>2333</v>
      </c>
      <c r="C655" t="s">
        <v>3115</v>
      </c>
      <c r="D655" t="s">
        <v>3123</v>
      </c>
      <c r="E655" t="s">
        <v>3120</v>
      </c>
      <c r="F655">
        <v>205.02</v>
      </c>
      <c r="J655" t="s">
        <v>2509</v>
      </c>
    </row>
    <row r="656" spans="1:10" ht="15" customHeight="1" x14ac:dyDescent="0.2">
      <c r="A656" t="s">
        <v>3115</v>
      </c>
      <c r="E656" t="s">
        <v>349</v>
      </c>
      <c r="F656">
        <v>449.32</v>
      </c>
      <c r="G656">
        <v>449.32</v>
      </c>
    </row>
    <row r="658" spans="1:10" ht="15" customHeight="1" x14ac:dyDescent="0.2">
      <c r="A658" t="s">
        <v>3124</v>
      </c>
      <c r="B658" t="s">
        <v>3125</v>
      </c>
      <c r="F658" t="s">
        <v>2430</v>
      </c>
      <c r="G658" t="s">
        <v>2431</v>
      </c>
      <c r="H658" t="s">
        <v>2432</v>
      </c>
      <c r="I658" t="s">
        <v>2433</v>
      </c>
      <c r="J658" t="s">
        <v>2434</v>
      </c>
    </row>
    <row r="659" spans="1:10" ht="15" customHeight="1" x14ac:dyDescent="0.2">
      <c r="A659" s="420">
        <v>45807</v>
      </c>
      <c r="B659" t="s">
        <v>2532</v>
      </c>
      <c r="C659" t="s">
        <v>3124</v>
      </c>
      <c r="D659" t="s">
        <v>3126</v>
      </c>
      <c r="E659" t="s">
        <v>1363</v>
      </c>
      <c r="G659">
        <v>86</v>
      </c>
      <c r="I659">
        <v>86</v>
      </c>
      <c r="J659" t="s">
        <v>2511</v>
      </c>
    </row>
    <row r="660" spans="1:10" ht="15" customHeight="1" x14ac:dyDescent="0.2">
      <c r="A660" s="420">
        <v>45812</v>
      </c>
      <c r="B660" t="s">
        <v>2333</v>
      </c>
      <c r="C660" t="s">
        <v>3124</v>
      </c>
      <c r="D660" t="s">
        <v>3127</v>
      </c>
      <c r="E660" t="s">
        <v>3128</v>
      </c>
      <c r="F660">
        <v>86</v>
      </c>
      <c r="J660" t="s">
        <v>2511</v>
      </c>
    </row>
    <row r="661" spans="1:10" ht="15" customHeight="1" x14ac:dyDescent="0.2">
      <c r="A661" t="s">
        <v>3124</v>
      </c>
      <c r="E661" t="s">
        <v>349</v>
      </c>
      <c r="F661">
        <v>86</v>
      </c>
      <c r="G661">
        <v>86</v>
      </c>
    </row>
    <row r="663" spans="1:10" ht="15" customHeight="1" x14ac:dyDescent="0.2">
      <c r="A663" t="s">
        <v>3129</v>
      </c>
      <c r="B663" t="s">
        <v>3130</v>
      </c>
      <c r="F663" t="s">
        <v>2430</v>
      </c>
      <c r="G663" t="s">
        <v>2431</v>
      </c>
      <c r="H663" t="s">
        <v>2432</v>
      </c>
      <c r="I663" t="s">
        <v>2433</v>
      </c>
      <c r="J663" t="s">
        <v>2434</v>
      </c>
    </row>
    <row r="664" spans="1:10" ht="15" customHeight="1" x14ac:dyDescent="0.2">
      <c r="A664" s="420">
        <v>45716</v>
      </c>
      <c r="B664" t="s">
        <v>2547</v>
      </c>
      <c r="C664" t="s">
        <v>3129</v>
      </c>
      <c r="D664" t="s">
        <v>3131</v>
      </c>
      <c r="E664" t="s">
        <v>1469</v>
      </c>
      <c r="G664">
        <v>547.55999999999995</v>
      </c>
      <c r="I664">
        <v>547.55999999999995</v>
      </c>
      <c r="J664" t="s">
        <v>2511</v>
      </c>
    </row>
    <row r="665" spans="1:10" ht="15" customHeight="1" x14ac:dyDescent="0.2">
      <c r="A665" s="420">
        <v>45723</v>
      </c>
      <c r="B665" t="s">
        <v>2333</v>
      </c>
      <c r="C665" t="s">
        <v>3129</v>
      </c>
      <c r="D665" t="s">
        <v>3132</v>
      </c>
      <c r="E665" t="s">
        <v>3133</v>
      </c>
      <c r="F665">
        <v>547.55999999999995</v>
      </c>
      <c r="J665" t="s">
        <v>2511</v>
      </c>
    </row>
    <row r="666" spans="1:10" ht="15" customHeight="1" x14ac:dyDescent="0.2">
      <c r="A666" s="420">
        <v>45811</v>
      </c>
      <c r="B666" t="s">
        <v>2532</v>
      </c>
      <c r="C666" t="s">
        <v>3129</v>
      </c>
      <c r="D666" t="s">
        <v>3134</v>
      </c>
      <c r="E666" t="s">
        <v>1505</v>
      </c>
      <c r="G666">
        <v>924.07</v>
      </c>
      <c r="I666">
        <v>924.07</v>
      </c>
      <c r="J666" t="s">
        <v>2509</v>
      </c>
    </row>
    <row r="667" spans="1:10" ht="15" customHeight="1" x14ac:dyDescent="0.2">
      <c r="A667" s="420">
        <v>45820</v>
      </c>
      <c r="B667" t="s">
        <v>2333</v>
      </c>
      <c r="C667" t="s">
        <v>3129</v>
      </c>
      <c r="D667" t="s">
        <v>3135</v>
      </c>
      <c r="E667" t="s">
        <v>3136</v>
      </c>
      <c r="F667">
        <v>924.07</v>
      </c>
      <c r="J667" t="s">
        <v>2509</v>
      </c>
    </row>
    <row r="668" spans="1:10" ht="15" customHeight="1" x14ac:dyDescent="0.2">
      <c r="A668" s="420">
        <v>45839</v>
      </c>
      <c r="B668" t="s">
        <v>2532</v>
      </c>
      <c r="C668" t="s">
        <v>3129</v>
      </c>
      <c r="D668" t="s">
        <v>3137</v>
      </c>
      <c r="E668" t="s">
        <v>1525</v>
      </c>
      <c r="G668">
        <v>2544.5300000000002</v>
      </c>
      <c r="I668">
        <v>2544.5300000000002</v>
      </c>
      <c r="J668" t="s">
        <v>2513</v>
      </c>
    </row>
    <row r="669" spans="1:10" ht="15" customHeight="1" x14ac:dyDescent="0.2">
      <c r="A669" s="420">
        <v>45920</v>
      </c>
      <c r="B669" t="s">
        <v>2333</v>
      </c>
      <c r="C669" t="s">
        <v>3129</v>
      </c>
      <c r="D669" t="s">
        <v>3138</v>
      </c>
      <c r="E669" t="s">
        <v>3139</v>
      </c>
      <c r="F669">
        <v>2544.5300000000002</v>
      </c>
      <c r="J669" t="s">
        <v>2513</v>
      </c>
    </row>
    <row r="670" spans="1:10" ht="15" customHeight="1" x14ac:dyDescent="0.2">
      <c r="A670" t="s">
        <v>3129</v>
      </c>
      <c r="E670" t="s">
        <v>349</v>
      </c>
      <c r="F670">
        <v>4016.16</v>
      </c>
      <c r="G670">
        <v>4016.16</v>
      </c>
    </row>
    <row r="672" spans="1:10" ht="15" customHeight="1" x14ac:dyDescent="0.2">
      <c r="A672" t="s">
        <v>3140</v>
      </c>
      <c r="B672" t="s">
        <v>3141</v>
      </c>
      <c r="F672" t="s">
        <v>2430</v>
      </c>
      <c r="G672" t="s">
        <v>2431</v>
      </c>
      <c r="H672" t="s">
        <v>2432</v>
      </c>
      <c r="I672" t="s">
        <v>2433</v>
      </c>
      <c r="J672" t="s">
        <v>2434</v>
      </c>
    </row>
    <row r="673" spans="1:10" ht="15" customHeight="1" x14ac:dyDescent="0.2">
      <c r="A673" s="420">
        <v>45663</v>
      </c>
      <c r="B673" t="s">
        <v>2532</v>
      </c>
      <c r="C673" t="s">
        <v>3140</v>
      </c>
      <c r="D673" t="s">
        <v>3142</v>
      </c>
      <c r="E673" t="s">
        <v>434</v>
      </c>
      <c r="G673">
        <v>16.96</v>
      </c>
      <c r="I673">
        <v>16.96</v>
      </c>
      <c r="J673" t="s">
        <v>2511</v>
      </c>
    </row>
    <row r="674" spans="1:10" ht="15" customHeight="1" x14ac:dyDescent="0.2">
      <c r="A674" s="420">
        <v>45664</v>
      </c>
      <c r="B674" t="s">
        <v>2333</v>
      </c>
      <c r="C674" t="s">
        <v>3140</v>
      </c>
      <c r="D674" t="s">
        <v>3143</v>
      </c>
      <c r="E674" t="s">
        <v>3144</v>
      </c>
      <c r="F674">
        <v>16.96</v>
      </c>
      <c r="J674" t="s">
        <v>2511</v>
      </c>
    </row>
    <row r="675" spans="1:10" ht="15" customHeight="1" x14ac:dyDescent="0.2">
      <c r="A675" s="420">
        <v>45779</v>
      </c>
      <c r="B675" t="s">
        <v>2532</v>
      </c>
      <c r="C675" t="s">
        <v>3140</v>
      </c>
      <c r="D675" t="s">
        <v>3145</v>
      </c>
      <c r="E675" t="s">
        <v>486</v>
      </c>
      <c r="G675">
        <v>25.58</v>
      </c>
      <c r="I675">
        <v>25.58</v>
      </c>
      <c r="J675" t="s">
        <v>2513</v>
      </c>
    </row>
    <row r="676" spans="1:10" ht="15" customHeight="1" x14ac:dyDescent="0.2">
      <c r="A676" s="420">
        <v>45782</v>
      </c>
      <c r="B676" t="s">
        <v>2333</v>
      </c>
      <c r="C676" t="s">
        <v>3140</v>
      </c>
      <c r="D676" t="s">
        <v>3146</v>
      </c>
      <c r="E676" t="s">
        <v>3144</v>
      </c>
      <c r="F676">
        <v>25.58</v>
      </c>
      <c r="J676" t="s">
        <v>2513</v>
      </c>
    </row>
    <row r="677" spans="1:10" ht="15" customHeight="1" x14ac:dyDescent="0.2">
      <c r="A677" s="420">
        <v>45810</v>
      </c>
      <c r="B677" t="s">
        <v>2532</v>
      </c>
      <c r="C677" t="s">
        <v>3140</v>
      </c>
      <c r="D677" t="s">
        <v>3147</v>
      </c>
      <c r="E677" t="s">
        <v>501</v>
      </c>
      <c r="G677">
        <v>56.31</v>
      </c>
      <c r="I677">
        <v>56.31</v>
      </c>
      <c r="J677" t="s">
        <v>2509</v>
      </c>
    </row>
    <row r="678" spans="1:10" ht="15" customHeight="1" x14ac:dyDescent="0.2">
      <c r="A678" s="420">
        <v>45811</v>
      </c>
      <c r="B678" t="s">
        <v>2333</v>
      </c>
      <c r="C678" t="s">
        <v>3140</v>
      </c>
      <c r="D678" t="s">
        <v>3148</v>
      </c>
      <c r="E678" t="s">
        <v>3144</v>
      </c>
      <c r="F678">
        <v>56.31</v>
      </c>
      <c r="J678" t="s">
        <v>2509</v>
      </c>
    </row>
    <row r="679" spans="1:10" ht="15" customHeight="1" x14ac:dyDescent="0.2">
      <c r="A679" s="420">
        <v>45840</v>
      </c>
      <c r="B679" t="s">
        <v>2532</v>
      </c>
      <c r="C679" t="s">
        <v>3140</v>
      </c>
      <c r="D679" t="s">
        <v>3149</v>
      </c>
      <c r="E679" t="s">
        <v>518</v>
      </c>
      <c r="G679">
        <v>25.24</v>
      </c>
      <c r="I679">
        <v>25.24</v>
      </c>
      <c r="J679" t="s">
        <v>2585</v>
      </c>
    </row>
    <row r="680" spans="1:10" ht="15" customHeight="1" x14ac:dyDescent="0.2">
      <c r="A680" s="420">
        <v>45841</v>
      </c>
      <c r="B680" t="s">
        <v>2333</v>
      </c>
      <c r="C680" t="s">
        <v>3140</v>
      </c>
      <c r="D680" t="s">
        <v>3150</v>
      </c>
      <c r="E680" t="s">
        <v>3144</v>
      </c>
      <c r="F680">
        <v>25.24</v>
      </c>
      <c r="J680" t="s">
        <v>2585</v>
      </c>
    </row>
    <row r="681" spans="1:10" ht="15" customHeight="1" x14ac:dyDescent="0.2">
      <c r="A681" s="420">
        <v>45871</v>
      </c>
      <c r="B681" t="s">
        <v>2532</v>
      </c>
      <c r="C681" t="s">
        <v>3140</v>
      </c>
      <c r="D681" t="s">
        <v>3151</v>
      </c>
      <c r="E681" t="s">
        <v>532</v>
      </c>
      <c r="G681">
        <v>65.12</v>
      </c>
      <c r="I681">
        <v>65.12</v>
      </c>
      <c r="J681" t="s">
        <v>2603</v>
      </c>
    </row>
    <row r="682" spans="1:10" ht="15" customHeight="1" x14ac:dyDescent="0.2">
      <c r="A682" s="420">
        <v>45873</v>
      </c>
      <c r="B682" t="s">
        <v>2333</v>
      </c>
      <c r="C682" t="s">
        <v>3140</v>
      </c>
      <c r="D682" t="s">
        <v>3152</v>
      </c>
      <c r="E682" t="s">
        <v>3144</v>
      </c>
      <c r="F682">
        <v>65.12</v>
      </c>
      <c r="J682" t="s">
        <v>2603</v>
      </c>
    </row>
    <row r="683" spans="1:10" ht="15" customHeight="1" x14ac:dyDescent="0.2">
      <c r="A683" s="420">
        <v>45902</v>
      </c>
      <c r="B683" t="s">
        <v>2532</v>
      </c>
      <c r="C683" t="s">
        <v>3140</v>
      </c>
      <c r="D683" t="s">
        <v>3153</v>
      </c>
      <c r="E683" t="s">
        <v>541</v>
      </c>
      <c r="G683">
        <v>80.55</v>
      </c>
      <c r="I683">
        <v>80.55</v>
      </c>
      <c r="J683" t="s">
        <v>2586</v>
      </c>
    </row>
    <row r="684" spans="1:10" ht="15" customHeight="1" x14ac:dyDescent="0.2">
      <c r="A684" s="420">
        <v>45903</v>
      </c>
      <c r="B684" t="s">
        <v>2333</v>
      </c>
      <c r="C684" t="s">
        <v>3140</v>
      </c>
      <c r="D684" t="s">
        <v>3154</v>
      </c>
      <c r="E684" t="s">
        <v>3144</v>
      </c>
      <c r="F684">
        <v>80.55</v>
      </c>
      <c r="J684" t="s">
        <v>2586</v>
      </c>
    </row>
    <row r="685" spans="1:10" ht="15" customHeight="1" x14ac:dyDescent="0.2">
      <c r="A685" s="420">
        <v>45932</v>
      </c>
      <c r="B685" t="s">
        <v>2532</v>
      </c>
      <c r="C685" t="s">
        <v>3140</v>
      </c>
      <c r="D685" t="s">
        <v>3155</v>
      </c>
      <c r="E685" t="s">
        <v>552</v>
      </c>
      <c r="G685">
        <v>35.6</v>
      </c>
      <c r="I685">
        <v>35.6</v>
      </c>
      <c r="J685" t="s">
        <v>2587</v>
      </c>
    </row>
    <row r="686" spans="1:10" ht="15" customHeight="1" x14ac:dyDescent="0.2">
      <c r="A686" s="420">
        <v>45933</v>
      </c>
      <c r="B686" t="s">
        <v>2333</v>
      </c>
      <c r="C686" t="s">
        <v>3140</v>
      </c>
      <c r="D686" t="s">
        <v>3156</v>
      </c>
      <c r="E686" t="s">
        <v>3144</v>
      </c>
      <c r="F686">
        <v>35.6</v>
      </c>
      <c r="J686" t="s">
        <v>2587</v>
      </c>
    </row>
    <row r="687" spans="1:10" ht="15" customHeight="1" x14ac:dyDescent="0.2">
      <c r="A687" t="s">
        <v>3140</v>
      </c>
      <c r="E687" t="s">
        <v>349</v>
      </c>
      <c r="F687">
        <v>305.36</v>
      </c>
      <c r="G687">
        <v>305.36</v>
      </c>
    </row>
    <row r="689" spans="1:10" ht="15" customHeight="1" x14ac:dyDescent="0.2">
      <c r="A689" t="s">
        <v>3157</v>
      </c>
      <c r="B689" t="s">
        <v>1377</v>
      </c>
      <c r="F689" t="s">
        <v>2430</v>
      </c>
      <c r="G689" t="s">
        <v>2431</v>
      </c>
      <c r="H689" t="s">
        <v>2432</v>
      </c>
      <c r="I689" t="s">
        <v>2433</v>
      </c>
      <c r="J689" t="s">
        <v>2434</v>
      </c>
    </row>
    <row r="690" spans="1:10" ht="15" customHeight="1" x14ac:dyDescent="0.2">
      <c r="A690" s="420">
        <v>45736</v>
      </c>
      <c r="B690" t="s">
        <v>2532</v>
      </c>
      <c r="C690" t="s">
        <v>3157</v>
      </c>
      <c r="D690" t="s">
        <v>3158</v>
      </c>
      <c r="E690" t="s">
        <v>1332</v>
      </c>
      <c r="G690">
        <v>120</v>
      </c>
      <c r="I690">
        <v>120</v>
      </c>
      <c r="J690" t="s">
        <v>2511</v>
      </c>
    </row>
    <row r="691" spans="1:10" ht="15" customHeight="1" x14ac:dyDescent="0.2">
      <c r="A691" s="420">
        <v>45744</v>
      </c>
      <c r="B691" t="s">
        <v>2333</v>
      </c>
      <c r="C691" t="s">
        <v>3157</v>
      </c>
      <c r="D691" t="s">
        <v>3159</v>
      </c>
      <c r="E691" t="s">
        <v>3160</v>
      </c>
      <c r="F691">
        <v>120</v>
      </c>
      <c r="J691" t="s">
        <v>2511</v>
      </c>
    </row>
    <row r="692" spans="1:10" ht="15" customHeight="1" x14ac:dyDescent="0.2">
      <c r="A692" s="420">
        <v>45758</v>
      </c>
      <c r="B692" t="s">
        <v>2532</v>
      </c>
      <c r="C692" t="s">
        <v>3157</v>
      </c>
      <c r="D692" t="s">
        <v>3161</v>
      </c>
      <c r="E692" t="s">
        <v>1346</v>
      </c>
      <c r="G692">
        <v>60</v>
      </c>
      <c r="I692">
        <v>60</v>
      </c>
      <c r="J692" t="s">
        <v>2509</v>
      </c>
    </row>
    <row r="693" spans="1:10" ht="15" customHeight="1" x14ac:dyDescent="0.2">
      <c r="A693" s="420">
        <v>45792</v>
      </c>
      <c r="B693" t="s">
        <v>2333</v>
      </c>
      <c r="C693" t="s">
        <v>3157</v>
      </c>
      <c r="D693" t="s">
        <v>3162</v>
      </c>
      <c r="E693" t="s">
        <v>3163</v>
      </c>
      <c r="F693">
        <v>120</v>
      </c>
      <c r="H693">
        <v>60</v>
      </c>
      <c r="J693" t="s">
        <v>2509</v>
      </c>
    </row>
    <row r="694" spans="1:10" ht="15" customHeight="1" x14ac:dyDescent="0.2">
      <c r="A694" s="420">
        <v>45792</v>
      </c>
      <c r="B694" t="s">
        <v>2532</v>
      </c>
      <c r="C694" t="s">
        <v>3157</v>
      </c>
      <c r="D694" t="s">
        <v>3161</v>
      </c>
      <c r="E694" t="s">
        <v>1357</v>
      </c>
      <c r="G694">
        <v>60</v>
      </c>
      <c r="J694" t="s">
        <v>2509</v>
      </c>
    </row>
    <row r="695" spans="1:10" ht="15" customHeight="1" x14ac:dyDescent="0.2">
      <c r="A695" s="420">
        <v>45839</v>
      </c>
      <c r="B695" t="s">
        <v>2547</v>
      </c>
      <c r="C695" t="s">
        <v>3157</v>
      </c>
      <c r="D695" t="s">
        <v>3164</v>
      </c>
      <c r="E695" t="s">
        <v>1377</v>
      </c>
      <c r="G695">
        <v>60</v>
      </c>
      <c r="I695">
        <v>60</v>
      </c>
      <c r="J695" t="s">
        <v>2585</v>
      </c>
    </row>
    <row r="696" spans="1:10" ht="15" customHeight="1" x14ac:dyDescent="0.2">
      <c r="A696" s="420">
        <v>45868</v>
      </c>
      <c r="B696" t="s">
        <v>2333</v>
      </c>
      <c r="C696" t="s">
        <v>3157</v>
      </c>
      <c r="D696" t="s">
        <v>3165</v>
      </c>
      <c r="E696" t="s">
        <v>3166</v>
      </c>
      <c r="F696">
        <v>60</v>
      </c>
      <c r="J696" t="s">
        <v>2513</v>
      </c>
    </row>
    <row r="697" spans="1:10" ht="15" customHeight="1" x14ac:dyDescent="0.2">
      <c r="A697" s="420">
        <v>45868</v>
      </c>
      <c r="B697" t="s">
        <v>2333</v>
      </c>
      <c r="C697" t="s">
        <v>3157</v>
      </c>
      <c r="D697" t="s">
        <v>3167</v>
      </c>
      <c r="E697" t="s">
        <v>3168</v>
      </c>
      <c r="F697">
        <v>60</v>
      </c>
      <c r="H697">
        <v>60</v>
      </c>
      <c r="J697" t="s">
        <v>2585</v>
      </c>
    </row>
    <row r="698" spans="1:10" ht="15" customHeight="1" x14ac:dyDescent="0.2">
      <c r="A698" s="420">
        <v>45868</v>
      </c>
      <c r="B698" t="s">
        <v>2532</v>
      </c>
      <c r="C698" t="s">
        <v>3157</v>
      </c>
      <c r="D698" t="s">
        <v>3169</v>
      </c>
      <c r="E698" t="s">
        <v>1386</v>
      </c>
      <c r="G698">
        <v>60</v>
      </c>
      <c r="J698" t="s">
        <v>2513</v>
      </c>
    </row>
    <row r="699" spans="1:10" ht="15" customHeight="1" x14ac:dyDescent="0.2">
      <c r="A699" s="420">
        <v>45895</v>
      </c>
      <c r="B699" t="s">
        <v>2532</v>
      </c>
      <c r="C699" t="s">
        <v>3157</v>
      </c>
      <c r="D699" t="s">
        <v>3170</v>
      </c>
      <c r="E699" t="s">
        <v>1394</v>
      </c>
      <c r="G699">
        <v>60</v>
      </c>
      <c r="I699">
        <v>60</v>
      </c>
      <c r="J699" t="s">
        <v>2587</v>
      </c>
    </row>
    <row r="700" spans="1:10" ht="15" customHeight="1" x14ac:dyDescent="0.2">
      <c r="A700" s="420">
        <v>45901</v>
      </c>
      <c r="B700" t="s">
        <v>2333</v>
      </c>
      <c r="C700" t="s">
        <v>3157</v>
      </c>
      <c r="D700" t="s">
        <v>3171</v>
      </c>
      <c r="E700" t="s">
        <v>3172</v>
      </c>
      <c r="F700">
        <v>60</v>
      </c>
      <c r="J700" t="s">
        <v>2586</v>
      </c>
    </row>
    <row r="701" spans="1:10" ht="15" customHeight="1" x14ac:dyDescent="0.2">
      <c r="A701" s="420">
        <v>45925</v>
      </c>
      <c r="B701" t="s">
        <v>2532</v>
      </c>
      <c r="C701" t="s">
        <v>3157</v>
      </c>
      <c r="D701" t="s">
        <v>3173</v>
      </c>
      <c r="E701" t="s">
        <v>1400</v>
      </c>
      <c r="G701">
        <v>60</v>
      </c>
      <c r="I701">
        <v>60</v>
      </c>
      <c r="J701" t="s">
        <v>2586</v>
      </c>
    </row>
    <row r="702" spans="1:10" ht="15" customHeight="1" x14ac:dyDescent="0.2">
      <c r="A702" s="420">
        <v>45953</v>
      </c>
      <c r="B702" t="s">
        <v>2333</v>
      </c>
      <c r="C702" t="s">
        <v>3157</v>
      </c>
      <c r="D702" t="s">
        <v>3174</v>
      </c>
      <c r="E702" t="s">
        <v>3175</v>
      </c>
      <c r="F702">
        <v>60</v>
      </c>
      <c r="J702" t="s">
        <v>2587</v>
      </c>
    </row>
    <row r="703" spans="1:10" ht="15" customHeight="1" x14ac:dyDescent="0.2">
      <c r="A703" s="420">
        <v>45957</v>
      </c>
      <c r="B703" t="s">
        <v>2532</v>
      </c>
      <c r="C703" t="s">
        <v>3157</v>
      </c>
      <c r="D703" t="s">
        <v>3176</v>
      </c>
      <c r="E703" t="s">
        <v>1413</v>
      </c>
      <c r="G703">
        <v>60</v>
      </c>
      <c r="I703">
        <v>60</v>
      </c>
      <c r="J703" t="s">
        <v>2603</v>
      </c>
    </row>
    <row r="704" spans="1:10" ht="15" customHeight="1" x14ac:dyDescent="0.2">
      <c r="A704" s="420">
        <v>45981</v>
      </c>
      <c r="B704" t="s">
        <v>2333</v>
      </c>
      <c r="C704" t="s">
        <v>3157</v>
      </c>
      <c r="D704" t="s">
        <v>3177</v>
      </c>
      <c r="E704" t="s">
        <v>3178</v>
      </c>
      <c r="F704">
        <v>60</v>
      </c>
      <c r="J704" t="s">
        <v>2603</v>
      </c>
    </row>
    <row r="705" spans="1:10" ht="15" customHeight="1" x14ac:dyDescent="0.2">
      <c r="A705" s="420">
        <v>45981</v>
      </c>
      <c r="B705" t="s">
        <v>2532</v>
      </c>
      <c r="C705" t="s">
        <v>3157</v>
      </c>
      <c r="D705" t="s">
        <v>3179</v>
      </c>
      <c r="E705" t="s">
        <v>1422</v>
      </c>
      <c r="G705">
        <v>60</v>
      </c>
      <c r="I705">
        <v>60</v>
      </c>
      <c r="J705" t="s">
        <v>2511</v>
      </c>
    </row>
    <row r="706" spans="1:10" ht="15" customHeight="1" x14ac:dyDescent="0.2">
      <c r="A706" t="s">
        <v>3157</v>
      </c>
      <c r="E706" t="s">
        <v>349</v>
      </c>
      <c r="F706">
        <v>540</v>
      </c>
      <c r="G706">
        <v>600</v>
      </c>
      <c r="I706">
        <v>60</v>
      </c>
    </row>
    <row r="708" spans="1:10" ht="15" customHeight="1" x14ac:dyDescent="0.2">
      <c r="A708" t="s">
        <v>3180</v>
      </c>
      <c r="B708" t="s">
        <v>3181</v>
      </c>
      <c r="F708" t="s">
        <v>2430</v>
      </c>
      <c r="G708" t="s">
        <v>2431</v>
      </c>
      <c r="H708" t="s">
        <v>2432</v>
      </c>
      <c r="I708" t="s">
        <v>2433</v>
      </c>
      <c r="J708" t="s">
        <v>2434</v>
      </c>
    </row>
    <row r="709" spans="1:10" ht="15" customHeight="1" x14ac:dyDescent="0.2">
      <c r="A709" s="420">
        <v>45736</v>
      </c>
      <c r="B709" t="s">
        <v>2532</v>
      </c>
      <c r="C709" t="s">
        <v>3180</v>
      </c>
      <c r="D709" t="s">
        <v>3182</v>
      </c>
      <c r="E709" t="s">
        <v>1803</v>
      </c>
      <c r="G709">
        <v>8.0399999999999991</v>
      </c>
      <c r="I709">
        <v>8.0399999999999991</v>
      </c>
      <c r="J709" t="s">
        <v>2511</v>
      </c>
    </row>
    <row r="710" spans="1:10" ht="15" customHeight="1" x14ac:dyDescent="0.2">
      <c r="A710" s="420">
        <v>45737</v>
      </c>
      <c r="B710" t="s">
        <v>2333</v>
      </c>
      <c r="C710" t="s">
        <v>3180</v>
      </c>
      <c r="D710" t="s">
        <v>3183</v>
      </c>
      <c r="E710" t="s">
        <v>3184</v>
      </c>
      <c r="F710">
        <v>8.0399999999999991</v>
      </c>
      <c r="J710" t="s">
        <v>2511</v>
      </c>
    </row>
    <row r="711" spans="1:10" ht="15" customHeight="1" x14ac:dyDescent="0.2">
      <c r="A711" t="s">
        <v>3180</v>
      </c>
      <c r="E711" t="s">
        <v>349</v>
      </c>
      <c r="F711">
        <v>8.0399999999999991</v>
      </c>
      <c r="G711">
        <v>8.0399999999999991</v>
      </c>
    </row>
    <row r="713" spans="1:10" ht="15" customHeight="1" x14ac:dyDescent="0.2">
      <c r="A713" t="s">
        <v>3185</v>
      </c>
      <c r="B713" t="s">
        <v>3186</v>
      </c>
      <c r="F713" t="s">
        <v>2430</v>
      </c>
      <c r="G713" t="s">
        <v>2431</v>
      </c>
      <c r="H713" t="s">
        <v>2432</v>
      </c>
      <c r="I713" t="s">
        <v>2433</v>
      </c>
      <c r="J713" t="s">
        <v>2434</v>
      </c>
    </row>
    <row r="714" spans="1:10" ht="15" customHeight="1" x14ac:dyDescent="0.2">
      <c r="A714" s="420">
        <v>45911</v>
      </c>
      <c r="B714" t="s">
        <v>2547</v>
      </c>
      <c r="C714" t="s">
        <v>3185</v>
      </c>
      <c r="D714" t="s">
        <v>3187</v>
      </c>
      <c r="E714" t="s">
        <v>1566</v>
      </c>
      <c r="G714">
        <v>1772</v>
      </c>
      <c r="I714">
        <v>1772</v>
      </c>
      <c r="J714" t="s">
        <v>2511</v>
      </c>
    </row>
    <row r="715" spans="1:10" ht="15" customHeight="1" x14ac:dyDescent="0.2">
      <c r="A715" s="420">
        <v>45943</v>
      </c>
      <c r="B715" t="s">
        <v>2333</v>
      </c>
      <c r="C715" t="s">
        <v>3185</v>
      </c>
      <c r="D715" t="s">
        <v>3188</v>
      </c>
      <c r="E715" t="s">
        <v>3189</v>
      </c>
      <c r="F715">
        <v>1772</v>
      </c>
      <c r="J715" t="s">
        <v>2511</v>
      </c>
    </row>
    <row r="716" spans="1:10" ht="15" customHeight="1" x14ac:dyDescent="0.2">
      <c r="A716" s="420">
        <v>45965</v>
      </c>
      <c r="B716" t="s">
        <v>2532</v>
      </c>
      <c r="C716" t="s">
        <v>3185</v>
      </c>
      <c r="D716" t="s">
        <v>3190</v>
      </c>
      <c r="E716" t="s">
        <v>1967</v>
      </c>
      <c r="G716">
        <v>86.87</v>
      </c>
      <c r="I716">
        <v>86.87</v>
      </c>
      <c r="J716" t="s">
        <v>2509</v>
      </c>
    </row>
    <row r="717" spans="1:10" ht="15" customHeight="1" x14ac:dyDescent="0.2">
      <c r="A717" s="420">
        <v>46009</v>
      </c>
      <c r="B717" t="s">
        <v>2333</v>
      </c>
      <c r="C717" t="s">
        <v>3185</v>
      </c>
      <c r="D717" t="s">
        <v>3191</v>
      </c>
      <c r="E717" t="s">
        <v>3192</v>
      </c>
      <c r="F717">
        <v>86.87</v>
      </c>
      <c r="J717" t="s">
        <v>2509</v>
      </c>
    </row>
    <row r="718" spans="1:10" ht="15" customHeight="1" x14ac:dyDescent="0.2">
      <c r="A718" t="s">
        <v>3185</v>
      </c>
      <c r="E718" t="s">
        <v>349</v>
      </c>
      <c r="F718">
        <v>1858.87</v>
      </c>
      <c r="G718">
        <v>1858.87</v>
      </c>
    </row>
    <row r="720" spans="1:10" ht="15" customHeight="1" x14ac:dyDescent="0.2">
      <c r="A720" t="s">
        <v>3193</v>
      </c>
      <c r="B720" t="s">
        <v>737</v>
      </c>
      <c r="F720" t="s">
        <v>2430</v>
      </c>
      <c r="G720" t="s">
        <v>2431</v>
      </c>
      <c r="H720" t="s">
        <v>2432</v>
      </c>
      <c r="I720" t="s">
        <v>2433</v>
      </c>
      <c r="J720" t="s">
        <v>2434</v>
      </c>
    </row>
    <row r="721" spans="1:10" ht="15" customHeight="1" x14ac:dyDescent="0.2">
      <c r="A721" s="420">
        <v>45658</v>
      </c>
      <c r="B721" t="s">
        <v>2435</v>
      </c>
      <c r="C721" t="s">
        <v>3193</v>
      </c>
      <c r="D721" t="s">
        <v>2436</v>
      </c>
      <c r="E721" t="s">
        <v>3194</v>
      </c>
      <c r="G721">
        <v>9304.9500000000007</v>
      </c>
      <c r="I721">
        <v>9304.9500000000007</v>
      </c>
      <c r="J721" t="s">
        <v>2511</v>
      </c>
    </row>
    <row r="722" spans="1:10" ht="15" customHeight="1" x14ac:dyDescent="0.2">
      <c r="A722" s="420">
        <v>45658</v>
      </c>
      <c r="B722" t="s">
        <v>2435</v>
      </c>
      <c r="C722" t="s">
        <v>3193</v>
      </c>
      <c r="D722" t="s">
        <v>2436</v>
      </c>
      <c r="E722" t="s">
        <v>3195</v>
      </c>
      <c r="G722">
        <v>9431.9500000000007</v>
      </c>
      <c r="I722">
        <v>18736.900000000001</v>
      </c>
      <c r="J722" t="s">
        <v>2509</v>
      </c>
    </row>
    <row r="723" spans="1:10" ht="15" customHeight="1" x14ac:dyDescent="0.2">
      <c r="A723" s="420">
        <v>45658</v>
      </c>
      <c r="B723" t="s">
        <v>2435</v>
      </c>
      <c r="C723" t="s">
        <v>3193</v>
      </c>
      <c r="D723" t="s">
        <v>2436</v>
      </c>
      <c r="E723" t="s">
        <v>3196</v>
      </c>
      <c r="G723">
        <v>8784.25</v>
      </c>
      <c r="I723">
        <v>27521.15</v>
      </c>
      <c r="J723" t="s">
        <v>2513</v>
      </c>
    </row>
    <row r="724" spans="1:10" ht="15" customHeight="1" x14ac:dyDescent="0.2">
      <c r="A724" s="420">
        <v>45658</v>
      </c>
      <c r="B724" t="s">
        <v>2435</v>
      </c>
      <c r="C724" t="s">
        <v>3193</v>
      </c>
      <c r="D724" t="s">
        <v>2436</v>
      </c>
      <c r="E724" t="s">
        <v>3197</v>
      </c>
      <c r="G724">
        <v>8784.25</v>
      </c>
      <c r="I724">
        <v>36305.4</v>
      </c>
      <c r="J724" t="s">
        <v>2743</v>
      </c>
    </row>
    <row r="725" spans="1:10" ht="15" customHeight="1" x14ac:dyDescent="0.2">
      <c r="A725" s="420">
        <v>45658</v>
      </c>
      <c r="B725" t="s">
        <v>2435</v>
      </c>
      <c r="C725" t="s">
        <v>3193</v>
      </c>
      <c r="D725" t="s">
        <v>2436</v>
      </c>
      <c r="E725" t="s">
        <v>3198</v>
      </c>
      <c r="G725">
        <v>8803.2999999999993</v>
      </c>
      <c r="I725">
        <v>45108.7</v>
      </c>
      <c r="J725" t="s">
        <v>2587</v>
      </c>
    </row>
    <row r="726" spans="1:10" ht="15" customHeight="1" x14ac:dyDescent="0.2">
      <c r="A726" s="420">
        <v>45658</v>
      </c>
      <c r="B726" t="s">
        <v>2435</v>
      </c>
      <c r="C726" t="s">
        <v>3193</v>
      </c>
      <c r="D726" t="s">
        <v>2436</v>
      </c>
      <c r="E726" t="s">
        <v>3199</v>
      </c>
      <c r="G726">
        <v>9635.15</v>
      </c>
      <c r="I726">
        <v>54743.85</v>
      </c>
      <c r="J726" t="s">
        <v>2719</v>
      </c>
    </row>
    <row r="727" spans="1:10" ht="15" customHeight="1" x14ac:dyDescent="0.2">
      <c r="A727" s="420">
        <v>45658</v>
      </c>
      <c r="B727" t="s">
        <v>2435</v>
      </c>
      <c r="C727" t="s">
        <v>3193</v>
      </c>
      <c r="D727" t="s">
        <v>2436</v>
      </c>
      <c r="E727" t="s">
        <v>3200</v>
      </c>
      <c r="G727">
        <v>10066.950000000001</v>
      </c>
      <c r="I727">
        <v>64810.8</v>
      </c>
      <c r="J727" t="s">
        <v>2585</v>
      </c>
    </row>
    <row r="728" spans="1:10" ht="15" customHeight="1" x14ac:dyDescent="0.2">
      <c r="A728" s="420">
        <v>45658</v>
      </c>
      <c r="B728" t="s">
        <v>2435</v>
      </c>
      <c r="C728" t="s">
        <v>3193</v>
      </c>
      <c r="D728" t="s">
        <v>2436</v>
      </c>
      <c r="E728" t="s">
        <v>3201</v>
      </c>
      <c r="G728">
        <v>9165.25</v>
      </c>
      <c r="I728">
        <v>73976.05</v>
      </c>
      <c r="J728" t="s">
        <v>2739</v>
      </c>
    </row>
    <row r="729" spans="1:10" ht="15" customHeight="1" x14ac:dyDescent="0.2">
      <c r="A729" s="420">
        <v>45658</v>
      </c>
      <c r="B729" t="s">
        <v>2435</v>
      </c>
      <c r="C729" t="s">
        <v>3193</v>
      </c>
      <c r="D729" t="s">
        <v>2436</v>
      </c>
      <c r="E729" t="s">
        <v>3202</v>
      </c>
      <c r="G729">
        <v>8784.25</v>
      </c>
      <c r="I729">
        <v>82760.3</v>
      </c>
      <c r="J729" t="s">
        <v>2710</v>
      </c>
    </row>
    <row r="730" spans="1:10" ht="15" customHeight="1" x14ac:dyDescent="0.2">
      <c r="A730" s="420">
        <v>45660</v>
      </c>
      <c r="B730" t="s">
        <v>2439</v>
      </c>
      <c r="C730" t="s">
        <v>3193</v>
      </c>
      <c r="D730" t="s">
        <v>3203</v>
      </c>
      <c r="E730" t="s">
        <v>3204</v>
      </c>
      <c r="F730">
        <v>8784.25</v>
      </c>
      <c r="I730">
        <v>73976.05</v>
      </c>
      <c r="J730" t="s">
        <v>2513</v>
      </c>
    </row>
    <row r="731" spans="1:10" ht="15" customHeight="1" x14ac:dyDescent="0.2">
      <c r="A731" s="420">
        <v>45666</v>
      </c>
      <c r="B731" t="s">
        <v>2547</v>
      </c>
      <c r="C731" t="s">
        <v>3193</v>
      </c>
      <c r="D731" t="s">
        <v>3205</v>
      </c>
      <c r="E731" t="s">
        <v>3206</v>
      </c>
      <c r="G731">
        <v>10524.15</v>
      </c>
      <c r="I731">
        <v>84500.2</v>
      </c>
      <c r="J731" t="s">
        <v>2937</v>
      </c>
    </row>
    <row r="732" spans="1:10" ht="15" customHeight="1" x14ac:dyDescent="0.2">
      <c r="A732" s="420">
        <v>45667</v>
      </c>
      <c r="B732" t="s">
        <v>2547</v>
      </c>
      <c r="C732" t="s">
        <v>3193</v>
      </c>
      <c r="D732" t="s">
        <v>3207</v>
      </c>
      <c r="E732" t="s">
        <v>3208</v>
      </c>
      <c r="F732">
        <v>10066.950000000001</v>
      </c>
      <c r="I732">
        <v>74433.25</v>
      </c>
      <c r="J732" t="s">
        <v>2585</v>
      </c>
    </row>
    <row r="733" spans="1:10" ht="15" customHeight="1" x14ac:dyDescent="0.2">
      <c r="A733" s="420">
        <v>45667</v>
      </c>
      <c r="B733" t="s">
        <v>2547</v>
      </c>
      <c r="C733" t="s">
        <v>3193</v>
      </c>
      <c r="D733" t="s">
        <v>3209</v>
      </c>
      <c r="E733" t="s">
        <v>3210</v>
      </c>
      <c r="G733">
        <v>10628.94</v>
      </c>
      <c r="I733">
        <v>85062.19</v>
      </c>
      <c r="J733" t="s">
        <v>2376</v>
      </c>
    </row>
    <row r="734" spans="1:10" ht="15" customHeight="1" x14ac:dyDescent="0.2">
      <c r="A734" s="420">
        <v>45671</v>
      </c>
      <c r="B734" t="s">
        <v>2439</v>
      </c>
      <c r="C734" t="s">
        <v>3193</v>
      </c>
      <c r="D734" t="s">
        <v>3211</v>
      </c>
      <c r="E734" t="s">
        <v>3212</v>
      </c>
      <c r="F734">
        <v>9431.9500000000007</v>
      </c>
      <c r="I734">
        <v>75630.240000000005</v>
      </c>
      <c r="J734" t="s">
        <v>2509</v>
      </c>
    </row>
    <row r="735" spans="1:10" ht="15" customHeight="1" x14ac:dyDescent="0.2">
      <c r="A735" s="420">
        <v>45677</v>
      </c>
      <c r="B735" t="s">
        <v>2439</v>
      </c>
      <c r="C735" t="s">
        <v>3193</v>
      </c>
      <c r="D735" t="s">
        <v>3213</v>
      </c>
      <c r="E735" t="s">
        <v>3214</v>
      </c>
      <c r="F735">
        <v>9304.9500000000007</v>
      </c>
      <c r="I735">
        <v>66325.289999999994</v>
      </c>
      <c r="J735" t="s">
        <v>2511</v>
      </c>
    </row>
    <row r="736" spans="1:10" ht="15" customHeight="1" x14ac:dyDescent="0.2">
      <c r="A736" s="420">
        <v>45692</v>
      </c>
      <c r="B736" t="s">
        <v>2547</v>
      </c>
      <c r="C736" t="s">
        <v>3193</v>
      </c>
      <c r="D736" t="s">
        <v>3215</v>
      </c>
      <c r="E736" t="s">
        <v>3216</v>
      </c>
      <c r="G736">
        <v>9236.64</v>
      </c>
      <c r="I736">
        <v>75561.929999999993</v>
      </c>
      <c r="J736" t="s">
        <v>2731</v>
      </c>
    </row>
    <row r="737" spans="1:10" ht="15" customHeight="1" x14ac:dyDescent="0.2">
      <c r="A737" s="420">
        <v>45695</v>
      </c>
      <c r="B737" t="s">
        <v>2333</v>
      </c>
      <c r="C737" t="s">
        <v>3193</v>
      </c>
      <c r="D737" t="s">
        <v>3217</v>
      </c>
      <c r="E737" t="s">
        <v>3218</v>
      </c>
      <c r="F737">
        <v>53.36</v>
      </c>
      <c r="I737">
        <v>75508.570000000007</v>
      </c>
      <c r="J737" t="s">
        <v>2600</v>
      </c>
    </row>
    <row r="738" spans="1:10" ht="15" customHeight="1" x14ac:dyDescent="0.2">
      <c r="A738" s="420">
        <v>45695</v>
      </c>
      <c r="B738" t="s">
        <v>2333</v>
      </c>
      <c r="C738" t="s">
        <v>3193</v>
      </c>
      <c r="D738" t="s">
        <v>3219</v>
      </c>
      <c r="E738" t="s">
        <v>3220</v>
      </c>
      <c r="F738">
        <v>53.36</v>
      </c>
      <c r="I738">
        <v>75455.210000000006</v>
      </c>
      <c r="J738" t="s">
        <v>2601</v>
      </c>
    </row>
    <row r="739" spans="1:10" ht="15" customHeight="1" x14ac:dyDescent="0.2">
      <c r="A739" s="420">
        <v>45698</v>
      </c>
      <c r="B739" t="s">
        <v>2333</v>
      </c>
      <c r="C739" t="s">
        <v>3193</v>
      </c>
      <c r="D739" t="s">
        <v>3221</v>
      </c>
      <c r="E739" t="s">
        <v>3222</v>
      </c>
      <c r="F739">
        <v>53.36</v>
      </c>
      <c r="I739">
        <v>75401.850000000006</v>
      </c>
      <c r="J739" t="s">
        <v>2599</v>
      </c>
    </row>
    <row r="740" spans="1:10" ht="15" customHeight="1" x14ac:dyDescent="0.2">
      <c r="A740" s="420">
        <v>45698</v>
      </c>
      <c r="B740" t="s">
        <v>2547</v>
      </c>
      <c r="C740" t="s">
        <v>3193</v>
      </c>
      <c r="D740" t="s">
        <v>3223</v>
      </c>
      <c r="E740" t="s">
        <v>674</v>
      </c>
      <c r="G740">
        <v>53.36</v>
      </c>
      <c r="I740">
        <v>75455.210000000006</v>
      </c>
      <c r="J740" t="s">
        <v>2599</v>
      </c>
    </row>
    <row r="741" spans="1:10" ht="15" customHeight="1" x14ac:dyDescent="0.2">
      <c r="A741" s="420">
        <v>45699</v>
      </c>
      <c r="B741" t="s">
        <v>2547</v>
      </c>
      <c r="C741" t="s">
        <v>3193</v>
      </c>
      <c r="D741" t="s">
        <v>3224</v>
      </c>
      <c r="E741" t="s">
        <v>674</v>
      </c>
      <c r="G741">
        <v>53.36</v>
      </c>
      <c r="I741">
        <v>75508.570000000007</v>
      </c>
      <c r="J741" t="s">
        <v>2600</v>
      </c>
    </row>
    <row r="742" spans="1:10" ht="15" customHeight="1" x14ac:dyDescent="0.2">
      <c r="A742" s="420">
        <v>45700</v>
      </c>
      <c r="B742" t="s">
        <v>2333</v>
      </c>
      <c r="C742" t="s">
        <v>3193</v>
      </c>
      <c r="D742" t="s">
        <v>3225</v>
      </c>
      <c r="E742" t="s">
        <v>3226</v>
      </c>
      <c r="F742">
        <v>53.36</v>
      </c>
      <c r="I742">
        <v>75455.210000000006</v>
      </c>
      <c r="J742" t="s">
        <v>2602</v>
      </c>
    </row>
    <row r="743" spans="1:10" ht="15" customHeight="1" x14ac:dyDescent="0.2">
      <c r="A743" s="420">
        <v>45705</v>
      </c>
      <c r="B743" t="s">
        <v>2547</v>
      </c>
      <c r="C743" t="s">
        <v>3193</v>
      </c>
      <c r="D743" t="s">
        <v>3227</v>
      </c>
      <c r="E743" t="s">
        <v>674</v>
      </c>
      <c r="G743">
        <v>53.36</v>
      </c>
      <c r="I743">
        <v>75508.570000000007</v>
      </c>
      <c r="J743" t="s">
        <v>2601</v>
      </c>
    </row>
    <row r="744" spans="1:10" ht="15" customHeight="1" x14ac:dyDescent="0.2">
      <c r="A744" s="420">
        <v>45719</v>
      </c>
      <c r="B744" t="s">
        <v>2439</v>
      </c>
      <c r="C744" t="s">
        <v>3193</v>
      </c>
      <c r="D744" t="s">
        <v>3228</v>
      </c>
      <c r="E744" t="s">
        <v>3229</v>
      </c>
      <c r="F744">
        <v>8803.2999999999993</v>
      </c>
      <c r="I744">
        <v>66705.27</v>
      </c>
      <c r="J744" t="s">
        <v>2587</v>
      </c>
    </row>
    <row r="745" spans="1:10" ht="15" customHeight="1" x14ac:dyDescent="0.2">
      <c r="A745" s="420">
        <v>45721</v>
      </c>
      <c r="B745" t="s">
        <v>2333</v>
      </c>
      <c r="C745" t="s">
        <v>3193</v>
      </c>
      <c r="D745" t="s">
        <v>3230</v>
      </c>
      <c r="E745" t="s">
        <v>3231</v>
      </c>
      <c r="F745">
        <v>53.36</v>
      </c>
      <c r="I745">
        <v>66651.91</v>
      </c>
      <c r="J745" t="s">
        <v>2727</v>
      </c>
    </row>
    <row r="746" spans="1:10" ht="15" customHeight="1" x14ac:dyDescent="0.2">
      <c r="A746" s="420">
        <v>45726</v>
      </c>
      <c r="B746" t="s">
        <v>2547</v>
      </c>
      <c r="C746" t="s">
        <v>3193</v>
      </c>
      <c r="D746" t="s">
        <v>3232</v>
      </c>
      <c r="E746" t="s">
        <v>684</v>
      </c>
      <c r="G746">
        <v>53.36</v>
      </c>
      <c r="I746">
        <v>66705.27</v>
      </c>
      <c r="J746" t="s">
        <v>2602</v>
      </c>
    </row>
    <row r="747" spans="1:10" ht="15" customHeight="1" x14ac:dyDescent="0.2">
      <c r="A747" s="420">
        <v>45727</v>
      </c>
      <c r="B747" t="s">
        <v>2532</v>
      </c>
      <c r="C747" t="s">
        <v>3193</v>
      </c>
      <c r="D747" t="s">
        <v>3233</v>
      </c>
      <c r="E747" t="s">
        <v>686</v>
      </c>
      <c r="G747">
        <v>53.36</v>
      </c>
      <c r="I747">
        <v>66758.63</v>
      </c>
      <c r="J747" t="s">
        <v>2603</v>
      </c>
    </row>
    <row r="748" spans="1:10" ht="15" customHeight="1" x14ac:dyDescent="0.2">
      <c r="A748" s="420">
        <v>45727</v>
      </c>
      <c r="B748" t="s">
        <v>2547</v>
      </c>
      <c r="C748" t="s">
        <v>3193</v>
      </c>
      <c r="D748" t="s">
        <v>3234</v>
      </c>
      <c r="E748" t="s">
        <v>687</v>
      </c>
      <c r="G748">
        <v>53.36</v>
      </c>
      <c r="I748">
        <v>66811.990000000005</v>
      </c>
      <c r="J748" t="s">
        <v>2727</v>
      </c>
    </row>
    <row r="749" spans="1:10" ht="15" customHeight="1" x14ac:dyDescent="0.2">
      <c r="A749" s="420">
        <v>45729</v>
      </c>
      <c r="B749" t="s">
        <v>2333</v>
      </c>
      <c r="C749" t="s">
        <v>3193</v>
      </c>
      <c r="D749" t="s">
        <v>3235</v>
      </c>
      <c r="E749" t="s">
        <v>3236</v>
      </c>
      <c r="F749">
        <v>53.36</v>
      </c>
      <c r="I749">
        <v>66758.63</v>
      </c>
      <c r="J749" t="s">
        <v>2603</v>
      </c>
    </row>
    <row r="750" spans="1:10" ht="15" customHeight="1" x14ac:dyDescent="0.2">
      <c r="A750" s="420">
        <v>45729</v>
      </c>
      <c r="B750" t="s">
        <v>2547</v>
      </c>
      <c r="C750" t="s">
        <v>3193</v>
      </c>
      <c r="D750" t="s">
        <v>3237</v>
      </c>
      <c r="E750" t="s">
        <v>689</v>
      </c>
      <c r="G750">
        <v>53.36</v>
      </c>
      <c r="I750">
        <v>66811.990000000005</v>
      </c>
      <c r="J750" t="s">
        <v>2604</v>
      </c>
    </row>
    <row r="751" spans="1:10" ht="15" customHeight="1" x14ac:dyDescent="0.2">
      <c r="A751" s="420">
        <v>45729</v>
      </c>
      <c r="B751" t="s">
        <v>2547</v>
      </c>
      <c r="C751" t="s">
        <v>3193</v>
      </c>
      <c r="D751" t="s">
        <v>3238</v>
      </c>
      <c r="E751" t="s">
        <v>3239</v>
      </c>
      <c r="G751">
        <v>9511.7999999999993</v>
      </c>
      <c r="I751">
        <v>76323.789999999994</v>
      </c>
      <c r="J751" t="s">
        <v>2941</v>
      </c>
    </row>
    <row r="752" spans="1:10" ht="15" customHeight="1" x14ac:dyDescent="0.2">
      <c r="A752" s="420">
        <v>45733</v>
      </c>
      <c r="B752" t="s">
        <v>2439</v>
      </c>
      <c r="C752" t="s">
        <v>3193</v>
      </c>
      <c r="D752" t="s">
        <v>3240</v>
      </c>
      <c r="E752" t="s">
        <v>3241</v>
      </c>
      <c r="F752">
        <v>8784.25</v>
      </c>
      <c r="I752">
        <v>67539.539999999994</v>
      </c>
      <c r="J752" t="s">
        <v>2743</v>
      </c>
    </row>
    <row r="753" spans="1:10" ht="15" customHeight="1" x14ac:dyDescent="0.2">
      <c r="A753" s="420">
        <v>45740</v>
      </c>
      <c r="B753" t="s">
        <v>2333</v>
      </c>
      <c r="C753" t="s">
        <v>3193</v>
      </c>
      <c r="D753" t="s">
        <v>3242</v>
      </c>
      <c r="E753" t="s">
        <v>3243</v>
      </c>
      <c r="F753">
        <v>53.36</v>
      </c>
      <c r="I753">
        <v>67486.179999999993</v>
      </c>
      <c r="J753" t="s">
        <v>2604</v>
      </c>
    </row>
    <row r="754" spans="1:10" ht="15" customHeight="1" x14ac:dyDescent="0.2">
      <c r="A754" s="420">
        <v>45754</v>
      </c>
      <c r="B754" t="s">
        <v>2547</v>
      </c>
      <c r="C754" t="s">
        <v>3193</v>
      </c>
      <c r="D754" t="s">
        <v>3244</v>
      </c>
      <c r="E754" t="s">
        <v>3245</v>
      </c>
      <c r="G754">
        <v>7670.3</v>
      </c>
      <c r="I754">
        <v>75156.479999999996</v>
      </c>
      <c r="J754" t="s">
        <v>3246</v>
      </c>
    </row>
    <row r="755" spans="1:10" ht="15" customHeight="1" x14ac:dyDescent="0.2">
      <c r="A755" s="420">
        <v>45755</v>
      </c>
      <c r="B755" t="s">
        <v>2547</v>
      </c>
      <c r="C755" t="s">
        <v>3193</v>
      </c>
      <c r="D755" t="s">
        <v>3247</v>
      </c>
      <c r="E755" t="s">
        <v>697</v>
      </c>
      <c r="G755">
        <v>53.36</v>
      </c>
      <c r="I755">
        <v>75209.84</v>
      </c>
      <c r="J755" t="s">
        <v>2729</v>
      </c>
    </row>
    <row r="756" spans="1:10" ht="15" customHeight="1" x14ac:dyDescent="0.2">
      <c r="A756" s="420">
        <v>45769</v>
      </c>
      <c r="B756" t="s">
        <v>2333</v>
      </c>
      <c r="C756" t="s">
        <v>3193</v>
      </c>
      <c r="D756" t="s">
        <v>3248</v>
      </c>
      <c r="E756" t="s">
        <v>3249</v>
      </c>
      <c r="F756">
        <v>53.36</v>
      </c>
      <c r="I756">
        <v>75156.479999999996</v>
      </c>
      <c r="J756" t="s">
        <v>2715</v>
      </c>
    </row>
    <row r="757" spans="1:10" ht="15" customHeight="1" x14ac:dyDescent="0.2">
      <c r="A757" s="420">
        <v>45770</v>
      </c>
      <c r="B757" t="s">
        <v>2333</v>
      </c>
      <c r="C757" t="s">
        <v>3193</v>
      </c>
      <c r="D757" t="s">
        <v>3250</v>
      </c>
      <c r="E757" t="s">
        <v>3251</v>
      </c>
      <c r="F757">
        <v>53.36</v>
      </c>
      <c r="I757">
        <v>75103.12</v>
      </c>
      <c r="J757" t="s">
        <v>2715</v>
      </c>
    </row>
    <row r="758" spans="1:10" ht="15" customHeight="1" x14ac:dyDescent="0.2">
      <c r="A758" s="420">
        <v>45771</v>
      </c>
      <c r="B758" t="s">
        <v>2547</v>
      </c>
      <c r="C758" t="s">
        <v>3193</v>
      </c>
      <c r="D758" t="s">
        <v>3252</v>
      </c>
      <c r="E758" t="s">
        <v>703</v>
      </c>
      <c r="G758">
        <v>53.36</v>
      </c>
      <c r="I758">
        <v>75156.479999999996</v>
      </c>
      <c r="J758" t="s">
        <v>2715</v>
      </c>
    </row>
    <row r="759" spans="1:10" ht="15" customHeight="1" x14ac:dyDescent="0.2">
      <c r="A759" s="420">
        <v>45771</v>
      </c>
      <c r="B759" t="s">
        <v>2547</v>
      </c>
      <c r="C759" t="s">
        <v>3193</v>
      </c>
      <c r="D759" t="s">
        <v>3253</v>
      </c>
      <c r="E759" t="s">
        <v>704</v>
      </c>
      <c r="G759">
        <v>53.36</v>
      </c>
      <c r="I759">
        <v>75209.84</v>
      </c>
      <c r="J759" t="s">
        <v>2715</v>
      </c>
    </row>
    <row r="760" spans="1:10" ht="15" customHeight="1" x14ac:dyDescent="0.2">
      <c r="A760" s="420">
        <v>45777</v>
      </c>
      <c r="B760" t="s">
        <v>2439</v>
      </c>
      <c r="C760" t="s">
        <v>3193</v>
      </c>
      <c r="D760" t="s">
        <v>3254</v>
      </c>
      <c r="E760" t="s">
        <v>3255</v>
      </c>
      <c r="F760">
        <v>8784.25</v>
      </c>
      <c r="I760">
        <v>66425.59</v>
      </c>
      <c r="J760" t="s">
        <v>2710</v>
      </c>
    </row>
    <row r="761" spans="1:10" ht="15" customHeight="1" x14ac:dyDescent="0.2">
      <c r="A761" s="420">
        <v>45782</v>
      </c>
      <c r="B761" t="s">
        <v>2547</v>
      </c>
      <c r="C761" t="s">
        <v>3193</v>
      </c>
      <c r="D761" t="s">
        <v>3256</v>
      </c>
      <c r="E761" t="s">
        <v>3257</v>
      </c>
      <c r="G761">
        <v>8813.2999999999993</v>
      </c>
      <c r="I761">
        <v>75238.89</v>
      </c>
      <c r="J761" t="s">
        <v>3258</v>
      </c>
    </row>
    <row r="762" spans="1:10" ht="15" customHeight="1" x14ac:dyDescent="0.2">
      <c r="A762" s="420">
        <v>45791</v>
      </c>
      <c r="B762" t="s">
        <v>2333</v>
      </c>
      <c r="C762" t="s">
        <v>3193</v>
      </c>
      <c r="D762" t="s">
        <v>3259</v>
      </c>
      <c r="E762" t="s">
        <v>3260</v>
      </c>
      <c r="F762">
        <v>53.36</v>
      </c>
      <c r="I762">
        <v>75185.53</v>
      </c>
      <c r="J762" t="s">
        <v>2715</v>
      </c>
    </row>
    <row r="763" spans="1:10" ht="15" customHeight="1" x14ac:dyDescent="0.2">
      <c r="A763" s="420">
        <v>45796</v>
      </c>
      <c r="B763" t="s">
        <v>2439</v>
      </c>
      <c r="C763" t="s">
        <v>3193</v>
      </c>
      <c r="D763" t="s">
        <v>3261</v>
      </c>
      <c r="E763" t="s">
        <v>3262</v>
      </c>
      <c r="F763">
        <v>9635.15</v>
      </c>
      <c r="I763">
        <v>65550.38</v>
      </c>
      <c r="J763" t="s">
        <v>2719</v>
      </c>
    </row>
    <row r="764" spans="1:10" ht="15" customHeight="1" x14ac:dyDescent="0.2">
      <c r="A764" s="420">
        <v>45797</v>
      </c>
      <c r="B764" t="s">
        <v>2547</v>
      </c>
      <c r="C764" t="s">
        <v>3193</v>
      </c>
      <c r="D764" t="s">
        <v>3263</v>
      </c>
      <c r="E764" t="s">
        <v>718</v>
      </c>
      <c r="G764">
        <v>53.36</v>
      </c>
      <c r="I764">
        <v>65603.740000000005</v>
      </c>
      <c r="J764" t="s">
        <v>2715</v>
      </c>
    </row>
    <row r="765" spans="1:10" ht="15" customHeight="1" x14ac:dyDescent="0.2">
      <c r="A765" s="420">
        <v>45811</v>
      </c>
      <c r="B765" t="s">
        <v>2547</v>
      </c>
      <c r="C765" t="s">
        <v>3193</v>
      </c>
      <c r="D765" t="s">
        <v>3264</v>
      </c>
      <c r="E765" t="s">
        <v>3265</v>
      </c>
      <c r="G765">
        <v>10045.200000000001</v>
      </c>
      <c r="I765">
        <v>75648.94</v>
      </c>
      <c r="J765" t="s">
        <v>2511</v>
      </c>
    </row>
    <row r="766" spans="1:10" ht="15" customHeight="1" x14ac:dyDescent="0.2">
      <c r="A766" s="420">
        <v>45811</v>
      </c>
      <c r="B766" t="s">
        <v>2547</v>
      </c>
      <c r="C766" t="s">
        <v>3193</v>
      </c>
      <c r="D766" t="s">
        <v>3266</v>
      </c>
      <c r="E766" t="s">
        <v>3267</v>
      </c>
      <c r="G766">
        <v>8267.2000000000007</v>
      </c>
      <c r="I766">
        <v>83916.14</v>
      </c>
      <c r="J766" t="s">
        <v>3268</v>
      </c>
    </row>
    <row r="767" spans="1:10" ht="15" customHeight="1" x14ac:dyDescent="0.2">
      <c r="A767" s="420">
        <v>45821</v>
      </c>
      <c r="B767" t="s">
        <v>2333</v>
      </c>
      <c r="C767" t="s">
        <v>3193</v>
      </c>
      <c r="D767" t="s">
        <v>3269</v>
      </c>
      <c r="E767" t="s">
        <v>3270</v>
      </c>
      <c r="F767">
        <v>53.36</v>
      </c>
      <c r="I767">
        <v>83862.78</v>
      </c>
      <c r="J767" t="s">
        <v>2725</v>
      </c>
    </row>
    <row r="768" spans="1:10" ht="15" customHeight="1" x14ac:dyDescent="0.2">
      <c r="A768" s="420">
        <v>45825</v>
      </c>
      <c r="B768" t="s">
        <v>2547</v>
      </c>
      <c r="C768" t="s">
        <v>3193</v>
      </c>
      <c r="D768" t="s">
        <v>3271</v>
      </c>
      <c r="E768" t="s">
        <v>728</v>
      </c>
      <c r="G768">
        <v>53.36</v>
      </c>
      <c r="I768">
        <v>83916.14</v>
      </c>
      <c r="J768" t="s">
        <v>2725</v>
      </c>
    </row>
    <row r="769" spans="1:10" ht="15" customHeight="1" x14ac:dyDescent="0.2">
      <c r="A769" s="420">
        <v>45839</v>
      </c>
      <c r="B769" t="s">
        <v>2439</v>
      </c>
      <c r="C769" t="s">
        <v>3193</v>
      </c>
      <c r="D769" t="s">
        <v>3272</v>
      </c>
      <c r="E769" t="s">
        <v>3273</v>
      </c>
      <c r="F769">
        <v>9165.25</v>
      </c>
      <c r="I769">
        <v>74750.89</v>
      </c>
      <c r="J769" t="s">
        <v>2739</v>
      </c>
    </row>
    <row r="770" spans="1:10" ht="15" customHeight="1" x14ac:dyDescent="0.2">
      <c r="A770" s="420">
        <v>45839</v>
      </c>
      <c r="B770" t="s">
        <v>2439</v>
      </c>
      <c r="C770" t="s">
        <v>3193</v>
      </c>
      <c r="D770" t="s">
        <v>3274</v>
      </c>
      <c r="E770" t="s">
        <v>3275</v>
      </c>
      <c r="F770">
        <v>9236.64</v>
      </c>
      <c r="I770">
        <v>65514.25</v>
      </c>
      <c r="J770" t="s">
        <v>2731</v>
      </c>
    </row>
    <row r="771" spans="1:10" ht="15" customHeight="1" x14ac:dyDescent="0.2">
      <c r="A771" s="420">
        <v>45839</v>
      </c>
      <c r="B771" t="s">
        <v>2547</v>
      </c>
      <c r="C771" t="s">
        <v>3193</v>
      </c>
      <c r="D771" t="s">
        <v>3276</v>
      </c>
      <c r="E771" t="s">
        <v>3277</v>
      </c>
      <c r="G771">
        <v>7962.4</v>
      </c>
      <c r="I771">
        <v>73476.649999999994</v>
      </c>
      <c r="J771" t="s">
        <v>3278</v>
      </c>
    </row>
    <row r="772" spans="1:10" ht="15" customHeight="1" x14ac:dyDescent="0.2">
      <c r="A772" s="420">
        <v>45840</v>
      </c>
      <c r="B772" t="s">
        <v>2547</v>
      </c>
      <c r="C772" t="s">
        <v>3193</v>
      </c>
      <c r="D772" t="s">
        <v>3279</v>
      </c>
      <c r="E772" t="s">
        <v>3280</v>
      </c>
      <c r="G772">
        <v>10400.799999999999</v>
      </c>
      <c r="I772">
        <v>83877.45</v>
      </c>
      <c r="J772" t="s">
        <v>2509</v>
      </c>
    </row>
    <row r="773" spans="1:10" ht="15" customHeight="1" x14ac:dyDescent="0.2">
      <c r="A773" s="420">
        <v>45845</v>
      </c>
      <c r="B773" t="s">
        <v>2333</v>
      </c>
      <c r="C773" t="s">
        <v>3193</v>
      </c>
      <c r="D773" t="s">
        <v>3281</v>
      </c>
      <c r="E773" t="s">
        <v>3282</v>
      </c>
      <c r="F773">
        <v>53.36</v>
      </c>
      <c r="I773">
        <v>83824.09</v>
      </c>
      <c r="J773" t="s">
        <v>2729</v>
      </c>
    </row>
    <row r="774" spans="1:10" ht="15" customHeight="1" x14ac:dyDescent="0.2">
      <c r="A774" s="420">
        <v>45847</v>
      </c>
      <c r="B774" t="s">
        <v>2333</v>
      </c>
      <c r="C774" t="s">
        <v>3193</v>
      </c>
      <c r="D774" t="s">
        <v>3283</v>
      </c>
      <c r="E774" t="s">
        <v>3284</v>
      </c>
      <c r="F774">
        <v>53.36</v>
      </c>
      <c r="I774">
        <v>83770.73</v>
      </c>
      <c r="J774" t="s">
        <v>3285</v>
      </c>
    </row>
    <row r="775" spans="1:10" ht="15" customHeight="1" x14ac:dyDescent="0.2">
      <c r="A775" s="420">
        <v>45847</v>
      </c>
      <c r="B775" t="s">
        <v>2547</v>
      </c>
      <c r="C775" t="s">
        <v>3193</v>
      </c>
      <c r="D775" t="s">
        <v>3286</v>
      </c>
      <c r="E775" t="s">
        <v>737</v>
      </c>
      <c r="G775">
        <v>53.36</v>
      </c>
      <c r="I775">
        <v>83824.09</v>
      </c>
      <c r="J775" t="s">
        <v>3285</v>
      </c>
    </row>
    <row r="776" spans="1:10" ht="15" customHeight="1" x14ac:dyDescent="0.2">
      <c r="A776" s="420">
        <v>45848</v>
      </c>
      <c r="B776" t="s">
        <v>2547</v>
      </c>
      <c r="C776" t="s">
        <v>3193</v>
      </c>
      <c r="D776" t="s">
        <v>3287</v>
      </c>
      <c r="E776" t="s">
        <v>737</v>
      </c>
      <c r="G776">
        <v>53.36</v>
      </c>
      <c r="I776">
        <v>83877.45</v>
      </c>
      <c r="J776" t="s">
        <v>2547</v>
      </c>
    </row>
    <row r="777" spans="1:10" ht="15" customHeight="1" x14ac:dyDescent="0.2">
      <c r="A777" s="420">
        <v>45854</v>
      </c>
      <c r="B777" t="s">
        <v>2333</v>
      </c>
      <c r="C777" t="s">
        <v>3193</v>
      </c>
      <c r="D777" t="s">
        <v>3288</v>
      </c>
      <c r="E777" t="s">
        <v>3289</v>
      </c>
      <c r="F777">
        <v>53.36</v>
      </c>
      <c r="I777">
        <v>83824.09</v>
      </c>
      <c r="J777" t="s">
        <v>2547</v>
      </c>
    </row>
    <row r="778" spans="1:10" ht="15" customHeight="1" x14ac:dyDescent="0.2">
      <c r="A778" s="420">
        <v>45854</v>
      </c>
      <c r="B778" t="s">
        <v>2333</v>
      </c>
      <c r="C778" t="s">
        <v>3193</v>
      </c>
      <c r="D778" t="s">
        <v>3290</v>
      </c>
      <c r="E778" t="s">
        <v>3291</v>
      </c>
      <c r="F778">
        <v>53.36</v>
      </c>
      <c r="I778">
        <v>83770.73</v>
      </c>
      <c r="J778" t="s">
        <v>3292</v>
      </c>
    </row>
    <row r="779" spans="1:10" ht="15" customHeight="1" x14ac:dyDescent="0.2">
      <c r="A779" s="420">
        <v>45854</v>
      </c>
      <c r="B779" t="s">
        <v>2547</v>
      </c>
      <c r="C779" t="s">
        <v>3193</v>
      </c>
      <c r="D779" t="s">
        <v>3293</v>
      </c>
      <c r="E779" t="s">
        <v>3294</v>
      </c>
      <c r="G779">
        <v>10426.200000000001</v>
      </c>
      <c r="I779">
        <v>94196.93</v>
      </c>
    </row>
    <row r="780" spans="1:10" ht="15" customHeight="1" x14ac:dyDescent="0.2">
      <c r="A780" s="420">
        <v>45856</v>
      </c>
      <c r="B780" t="s">
        <v>2547</v>
      </c>
      <c r="C780" t="s">
        <v>3193</v>
      </c>
      <c r="D780" t="s">
        <v>3295</v>
      </c>
      <c r="E780" t="s">
        <v>737</v>
      </c>
      <c r="G780">
        <v>53.36</v>
      </c>
      <c r="I780">
        <v>94250.29</v>
      </c>
      <c r="J780" t="s">
        <v>3292</v>
      </c>
    </row>
    <row r="781" spans="1:10" ht="15" customHeight="1" x14ac:dyDescent="0.2">
      <c r="A781" s="420">
        <v>45860</v>
      </c>
      <c r="B781" t="s">
        <v>2333</v>
      </c>
      <c r="C781" t="s">
        <v>3193</v>
      </c>
      <c r="D781" t="s">
        <v>3296</v>
      </c>
      <c r="E781" t="s">
        <v>3297</v>
      </c>
      <c r="F781">
        <v>53.36</v>
      </c>
      <c r="I781">
        <v>94196.93</v>
      </c>
      <c r="J781" t="s">
        <v>3298</v>
      </c>
    </row>
    <row r="782" spans="1:10" ht="15" customHeight="1" x14ac:dyDescent="0.2">
      <c r="A782" s="420">
        <v>45860</v>
      </c>
      <c r="B782" t="s">
        <v>2547</v>
      </c>
      <c r="C782" t="s">
        <v>3193</v>
      </c>
      <c r="D782" t="s">
        <v>3299</v>
      </c>
      <c r="E782" t="s">
        <v>3300</v>
      </c>
      <c r="G782">
        <v>9124.4500000000007</v>
      </c>
      <c r="I782">
        <v>103321.38</v>
      </c>
    </row>
    <row r="783" spans="1:10" ht="15" customHeight="1" x14ac:dyDescent="0.2">
      <c r="A783" s="420">
        <v>45862</v>
      </c>
      <c r="B783" t="s">
        <v>2333</v>
      </c>
      <c r="C783" t="s">
        <v>3193</v>
      </c>
      <c r="D783" t="s">
        <v>3301</v>
      </c>
      <c r="E783" t="s">
        <v>3302</v>
      </c>
      <c r="F783">
        <v>53.36</v>
      </c>
      <c r="I783">
        <v>103268.02</v>
      </c>
      <c r="J783" t="s">
        <v>3303</v>
      </c>
    </row>
    <row r="784" spans="1:10" ht="15" customHeight="1" x14ac:dyDescent="0.2">
      <c r="A784" s="420">
        <v>45862</v>
      </c>
      <c r="B784" t="s">
        <v>2547</v>
      </c>
      <c r="C784" t="s">
        <v>3193</v>
      </c>
      <c r="D784" t="s">
        <v>3304</v>
      </c>
      <c r="E784" t="s">
        <v>737</v>
      </c>
      <c r="G784">
        <v>53.36</v>
      </c>
      <c r="I784">
        <v>103321.38</v>
      </c>
      <c r="J784" t="s">
        <v>3303</v>
      </c>
    </row>
    <row r="785" spans="1:10" ht="15" customHeight="1" x14ac:dyDescent="0.2">
      <c r="A785" s="420">
        <v>45863</v>
      </c>
      <c r="B785" t="s">
        <v>2547</v>
      </c>
      <c r="C785" t="s">
        <v>3193</v>
      </c>
      <c r="D785" t="s">
        <v>3305</v>
      </c>
      <c r="E785" t="s">
        <v>737</v>
      </c>
      <c r="G785">
        <v>53.36</v>
      </c>
      <c r="I785">
        <v>103374.74</v>
      </c>
      <c r="J785" t="s">
        <v>3298</v>
      </c>
    </row>
    <row r="786" spans="1:10" ht="15" customHeight="1" x14ac:dyDescent="0.2">
      <c r="A786" s="420">
        <v>45867</v>
      </c>
      <c r="B786" t="s">
        <v>2547</v>
      </c>
      <c r="C786" t="s">
        <v>3193</v>
      </c>
      <c r="D786" t="s">
        <v>3306</v>
      </c>
      <c r="E786" t="s">
        <v>3307</v>
      </c>
      <c r="G786">
        <v>10699.25</v>
      </c>
      <c r="I786">
        <v>114073.99</v>
      </c>
      <c r="J786" t="s">
        <v>2586</v>
      </c>
    </row>
    <row r="787" spans="1:10" ht="15" customHeight="1" x14ac:dyDescent="0.2">
      <c r="A787" s="420">
        <v>45869</v>
      </c>
      <c r="B787" t="s">
        <v>2439</v>
      </c>
      <c r="C787" t="s">
        <v>3193</v>
      </c>
      <c r="D787" t="s">
        <v>3308</v>
      </c>
      <c r="E787" t="s">
        <v>3309</v>
      </c>
      <c r="F787">
        <v>9511.7999999999993</v>
      </c>
      <c r="I787">
        <v>104562.19</v>
      </c>
      <c r="J787" t="s">
        <v>2941</v>
      </c>
    </row>
    <row r="788" spans="1:10" ht="15" customHeight="1" x14ac:dyDescent="0.2">
      <c r="A788" s="420">
        <v>45880</v>
      </c>
      <c r="B788" t="s">
        <v>2333</v>
      </c>
      <c r="C788" t="s">
        <v>3193</v>
      </c>
      <c r="D788" t="s">
        <v>3310</v>
      </c>
      <c r="E788" t="s">
        <v>3311</v>
      </c>
      <c r="F788">
        <v>53.36</v>
      </c>
      <c r="I788">
        <v>104508.83</v>
      </c>
      <c r="J788" t="s">
        <v>3312</v>
      </c>
    </row>
    <row r="789" spans="1:10" ht="15" customHeight="1" x14ac:dyDescent="0.2">
      <c r="A789" s="420">
        <v>45900</v>
      </c>
      <c r="B789" t="s">
        <v>2439</v>
      </c>
      <c r="C789" t="s">
        <v>3193</v>
      </c>
      <c r="D789" t="s">
        <v>3313</v>
      </c>
      <c r="E789" t="s">
        <v>3314</v>
      </c>
      <c r="F789">
        <v>10524.15</v>
      </c>
      <c r="I789">
        <v>93984.68</v>
      </c>
      <c r="J789" t="s">
        <v>2937</v>
      </c>
    </row>
    <row r="790" spans="1:10" ht="15" customHeight="1" x14ac:dyDescent="0.2">
      <c r="A790" s="420">
        <v>45900</v>
      </c>
      <c r="B790" t="s">
        <v>2439</v>
      </c>
      <c r="C790" t="s">
        <v>3193</v>
      </c>
      <c r="D790" t="s">
        <v>3315</v>
      </c>
      <c r="E790" t="s">
        <v>3316</v>
      </c>
      <c r="F790">
        <v>10628.93</v>
      </c>
      <c r="I790">
        <v>83355.75</v>
      </c>
      <c r="J790" t="s">
        <v>2376</v>
      </c>
    </row>
    <row r="791" spans="1:10" ht="15" customHeight="1" x14ac:dyDescent="0.2">
      <c r="A791" s="420">
        <v>45900</v>
      </c>
      <c r="B791" t="s">
        <v>2517</v>
      </c>
      <c r="C791" t="s">
        <v>3193</v>
      </c>
      <c r="D791" t="s">
        <v>3317</v>
      </c>
      <c r="E791" t="s">
        <v>3318</v>
      </c>
      <c r="F791">
        <v>0.01</v>
      </c>
      <c r="I791">
        <v>83355.740000000005</v>
      </c>
      <c r="J791" t="s">
        <v>2376</v>
      </c>
    </row>
    <row r="792" spans="1:10" ht="15" customHeight="1" x14ac:dyDescent="0.2">
      <c r="A792" s="420">
        <v>45901</v>
      </c>
      <c r="B792" t="s">
        <v>2547</v>
      </c>
      <c r="C792" t="s">
        <v>3193</v>
      </c>
      <c r="D792" t="s">
        <v>3319</v>
      </c>
      <c r="E792" t="s">
        <v>3320</v>
      </c>
      <c r="G792">
        <v>10394.450000000001</v>
      </c>
      <c r="I792">
        <v>93750.19</v>
      </c>
      <c r="J792" t="s">
        <v>2513</v>
      </c>
    </row>
    <row r="793" spans="1:10" ht="15" customHeight="1" x14ac:dyDescent="0.2">
      <c r="A793" s="420">
        <v>45911</v>
      </c>
      <c r="B793" t="s">
        <v>2547</v>
      </c>
      <c r="C793" t="s">
        <v>3193</v>
      </c>
      <c r="D793" t="s">
        <v>3321</v>
      </c>
      <c r="E793" t="s">
        <v>737</v>
      </c>
      <c r="G793">
        <v>53.36</v>
      </c>
      <c r="I793">
        <v>93803.55</v>
      </c>
      <c r="J793" t="s">
        <v>3312</v>
      </c>
    </row>
    <row r="794" spans="1:10" ht="15" customHeight="1" x14ac:dyDescent="0.2">
      <c r="A794" s="420">
        <v>45933</v>
      </c>
      <c r="B794" t="s">
        <v>2547</v>
      </c>
      <c r="C794" t="s">
        <v>3193</v>
      </c>
      <c r="D794" t="s">
        <v>3322</v>
      </c>
      <c r="E794" t="s">
        <v>3323</v>
      </c>
      <c r="G794">
        <v>9448.2999999999993</v>
      </c>
      <c r="I794">
        <v>103251.85</v>
      </c>
      <c r="J794" t="s">
        <v>2585</v>
      </c>
    </row>
    <row r="795" spans="1:10" ht="15" customHeight="1" x14ac:dyDescent="0.2">
      <c r="A795" s="420">
        <v>45936</v>
      </c>
      <c r="B795" t="s">
        <v>2547</v>
      </c>
      <c r="C795" t="s">
        <v>3193</v>
      </c>
      <c r="D795" t="s">
        <v>3324</v>
      </c>
      <c r="E795" t="s">
        <v>766</v>
      </c>
      <c r="G795">
        <v>53.36</v>
      </c>
      <c r="I795">
        <v>103305.21</v>
      </c>
      <c r="J795" t="s">
        <v>3325</v>
      </c>
    </row>
    <row r="796" spans="1:10" ht="15" customHeight="1" x14ac:dyDescent="0.2">
      <c r="A796" s="420">
        <v>45943</v>
      </c>
      <c r="B796" t="s">
        <v>2547</v>
      </c>
      <c r="C796" t="s">
        <v>3193</v>
      </c>
      <c r="D796" t="s">
        <v>3326</v>
      </c>
      <c r="E796" t="s">
        <v>3327</v>
      </c>
      <c r="G796">
        <v>10045.200000000001</v>
      </c>
      <c r="I796">
        <v>113350.41</v>
      </c>
    </row>
    <row r="797" spans="1:10" ht="15" customHeight="1" x14ac:dyDescent="0.2">
      <c r="A797" s="420">
        <v>45945</v>
      </c>
      <c r="B797" t="s">
        <v>2547</v>
      </c>
      <c r="C797" t="s">
        <v>3193</v>
      </c>
      <c r="D797" t="s">
        <v>3328</v>
      </c>
      <c r="E797" t="s">
        <v>771</v>
      </c>
      <c r="G797">
        <v>53.36</v>
      </c>
      <c r="I797">
        <v>113403.77</v>
      </c>
      <c r="J797" t="s">
        <v>3329</v>
      </c>
    </row>
    <row r="798" spans="1:10" ht="15" customHeight="1" x14ac:dyDescent="0.2">
      <c r="A798" s="420">
        <v>45945</v>
      </c>
      <c r="B798" t="s">
        <v>2547</v>
      </c>
      <c r="C798" t="s">
        <v>3193</v>
      </c>
      <c r="D798" t="s">
        <v>3330</v>
      </c>
      <c r="E798" t="s">
        <v>772</v>
      </c>
      <c r="G798">
        <v>53.36</v>
      </c>
      <c r="I798">
        <v>113457.13</v>
      </c>
      <c r="J798" t="s">
        <v>3331</v>
      </c>
    </row>
    <row r="799" spans="1:10" ht="15" customHeight="1" x14ac:dyDescent="0.2">
      <c r="A799" s="420">
        <v>45945</v>
      </c>
      <c r="B799" t="s">
        <v>2547</v>
      </c>
      <c r="C799" t="s">
        <v>3193</v>
      </c>
      <c r="D799" t="s">
        <v>3332</v>
      </c>
      <c r="E799" t="s">
        <v>773</v>
      </c>
      <c r="G799">
        <v>53.36</v>
      </c>
      <c r="I799">
        <v>113510.49</v>
      </c>
      <c r="J799" t="s">
        <v>3333</v>
      </c>
    </row>
    <row r="800" spans="1:10" ht="15" customHeight="1" x14ac:dyDescent="0.2">
      <c r="A800" s="420">
        <v>45945</v>
      </c>
      <c r="B800" t="s">
        <v>2547</v>
      </c>
      <c r="C800" t="s">
        <v>3193</v>
      </c>
      <c r="D800" t="s">
        <v>3334</v>
      </c>
      <c r="E800" t="s">
        <v>774</v>
      </c>
      <c r="G800">
        <v>53.36</v>
      </c>
      <c r="I800">
        <v>113563.85</v>
      </c>
      <c r="J800" t="s">
        <v>3335</v>
      </c>
    </row>
    <row r="801" spans="1:10" ht="15" customHeight="1" x14ac:dyDescent="0.2">
      <c r="A801" s="420">
        <v>45945</v>
      </c>
      <c r="B801" t="s">
        <v>2547</v>
      </c>
      <c r="C801" t="s">
        <v>3193</v>
      </c>
      <c r="D801" t="s">
        <v>3336</v>
      </c>
      <c r="E801" t="s">
        <v>775</v>
      </c>
      <c r="G801">
        <v>53.36</v>
      </c>
      <c r="I801">
        <v>113617.21</v>
      </c>
      <c r="J801" t="s">
        <v>2435</v>
      </c>
    </row>
    <row r="802" spans="1:10" ht="15" customHeight="1" x14ac:dyDescent="0.2">
      <c r="A802" s="420">
        <v>45945</v>
      </c>
      <c r="B802" t="s">
        <v>2547</v>
      </c>
      <c r="C802" t="s">
        <v>3193</v>
      </c>
      <c r="D802" t="s">
        <v>3337</v>
      </c>
      <c r="E802" t="s">
        <v>3338</v>
      </c>
      <c r="G802">
        <v>8432.2999999999993</v>
      </c>
      <c r="I802">
        <v>122049.51</v>
      </c>
    </row>
    <row r="803" spans="1:10" ht="15" customHeight="1" x14ac:dyDescent="0.2">
      <c r="A803" s="420">
        <v>45945</v>
      </c>
      <c r="B803" t="s">
        <v>2547</v>
      </c>
      <c r="C803" t="s">
        <v>3193</v>
      </c>
      <c r="D803" t="s">
        <v>3339</v>
      </c>
      <c r="E803" t="s">
        <v>776</v>
      </c>
      <c r="G803">
        <v>53.36</v>
      </c>
      <c r="I803">
        <v>122102.87</v>
      </c>
      <c r="J803" t="s">
        <v>3340</v>
      </c>
    </row>
    <row r="804" spans="1:10" ht="15" customHeight="1" x14ac:dyDescent="0.2">
      <c r="A804" s="420">
        <v>45945</v>
      </c>
      <c r="B804" t="s">
        <v>2547</v>
      </c>
      <c r="C804" t="s">
        <v>3193</v>
      </c>
      <c r="D804" t="s">
        <v>3341</v>
      </c>
      <c r="E804" t="s">
        <v>777</v>
      </c>
      <c r="G804">
        <v>53.36</v>
      </c>
      <c r="I804">
        <v>122156.23</v>
      </c>
      <c r="J804" t="s">
        <v>3342</v>
      </c>
    </row>
    <row r="805" spans="1:10" ht="15" customHeight="1" x14ac:dyDescent="0.2">
      <c r="A805" s="420">
        <v>45945</v>
      </c>
      <c r="B805" t="s">
        <v>2532</v>
      </c>
      <c r="C805" t="s">
        <v>3193</v>
      </c>
      <c r="D805" t="s">
        <v>3343</v>
      </c>
      <c r="E805" t="s">
        <v>778</v>
      </c>
      <c r="G805">
        <v>53.36</v>
      </c>
      <c r="I805">
        <v>122209.59</v>
      </c>
      <c r="J805" t="s">
        <v>3344</v>
      </c>
    </row>
    <row r="806" spans="1:10" ht="15" customHeight="1" x14ac:dyDescent="0.2">
      <c r="A806" s="420">
        <v>45952</v>
      </c>
      <c r="B806" t="s">
        <v>2547</v>
      </c>
      <c r="C806" t="s">
        <v>3193</v>
      </c>
      <c r="D806" t="s">
        <v>3345</v>
      </c>
      <c r="E806" t="s">
        <v>3346</v>
      </c>
      <c r="G806">
        <v>11505.7</v>
      </c>
      <c r="I806">
        <v>133715.29</v>
      </c>
    </row>
    <row r="807" spans="1:10" ht="15" customHeight="1" x14ac:dyDescent="0.2">
      <c r="A807" s="420">
        <v>45964</v>
      </c>
      <c r="B807" t="s">
        <v>2439</v>
      </c>
      <c r="C807" t="s">
        <v>3193</v>
      </c>
      <c r="D807" t="s">
        <v>3347</v>
      </c>
      <c r="E807" t="s">
        <v>3348</v>
      </c>
      <c r="F807">
        <v>7670.3</v>
      </c>
      <c r="I807">
        <v>126044.99</v>
      </c>
      <c r="J807" t="s">
        <v>3246</v>
      </c>
    </row>
    <row r="808" spans="1:10" ht="15" customHeight="1" x14ac:dyDescent="0.2">
      <c r="A808" s="420">
        <v>45964</v>
      </c>
      <c r="B808" t="s">
        <v>2439</v>
      </c>
      <c r="C808" t="s">
        <v>3193</v>
      </c>
      <c r="D808" t="s">
        <v>3349</v>
      </c>
      <c r="E808" t="s">
        <v>3350</v>
      </c>
      <c r="F808">
        <v>7962.4</v>
      </c>
      <c r="I808">
        <v>118082.59</v>
      </c>
      <c r="J808" t="s">
        <v>3278</v>
      </c>
    </row>
    <row r="809" spans="1:10" ht="15" customHeight="1" x14ac:dyDescent="0.2">
      <c r="A809" s="420">
        <v>45973</v>
      </c>
      <c r="B809" t="s">
        <v>2547</v>
      </c>
      <c r="C809" t="s">
        <v>3193</v>
      </c>
      <c r="D809" t="s">
        <v>3351</v>
      </c>
      <c r="E809" t="s">
        <v>3352</v>
      </c>
      <c r="G809">
        <v>9924.5499999999993</v>
      </c>
      <c r="I809">
        <v>128007.14</v>
      </c>
    </row>
    <row r="810" spans="1:10" ht="15" customHeight="1" x14ac:dyDescent="0.2">
      <c r="A810" s="420">
        <v>45974</v>
      </c>
      <c r="B810" t="s">
        <v>2547</v>
      </c>
      <c r="C810" t="s">
        <v>3193</v>
      </c>
      <c r="D810" t="s">
        <v>3353</v>
      </c>
      <c r="E810" t="s">
        <v>3354</v>
      </c>
      <c r="G810">
        <v>10013.450000000001</v>
      </c>
      <c r="I810">
        <v>138020.59</v>
      </c>
    </row>
    <row r="811" spans="1:10" ht="15" customHeight="1" x14ac:dyDescent="0.2">
      <c r="A811" s="420">
        <v>45988</v>
      </c>
      <c r="B811" t="s">
        <v>2547</v>
      </c>
      <c r="C811" t="s">
        <v>3193</v>
      </c>
      <c r="D811" t="s">
        <v>3355</v>
      </c>
      <c r="E811" t="s">
        <v>3356</v>
      </c>
      <c r="G811">
        <v>11047.8</v>
      </c>
      <c r="I811">
        <v>149068.39000000001</v>
      </c>
    </row>
    <row r="812" spans="1:10" ht="15" customHeight="1" x14ac:dyDescent="0.2">
      <c r="A812" s="420">
        <v>45991</v>
      </c>
      <c r="B812" t="s">
        <v>2439</v>
      </c>
      <c r="C812" t="s">
        <v>3193</v>
      </c>
      <c r="D812" t="s">
        <v>3357</v>
      </c>
      <c r="E812" t="s">
        <v>3358</v>
      </c>
      <c r="F812">
        <v>8813.2999999999993</v>
      </c>
      <c r="I812">
        <v>140255.09</v>
      </c>
      <c r="J812" t="s">
        <v>3258</v>
      </c>
    </row>
    <row r="813" spans="1:10" ht="15" customHeight="1" x14ac:dyDescent="0.2">
      <c r="A813" s="420">
        <v>46003</v>
      </c>
      <c r="B813" t="s">
        <v>2333</v>
      </c>
      <c r="C813" t="s">
        <v>3193</v>
      </c>
      <c r="D813" t="s">
        <v>3359</v>
      </c>
      <c r="E813" t="s">
        <v>3360</v>
      </c>
      <c r="F813">
        <v>53.36</v>
      </c>
      <c r="I813">
        <v>140201.73000000001</v>
      </c>
      <c r="J813" t="s">
        <v>3344</v>
      </c>
    </row>
    <row r="814" spans="1:10" ht="15" customHeight="1" x14ac:dyDescent="0.2">
      <c r="A814" s="420">
        <v>46003</v>
      </c>
      <c r="B814" t="s">
        <v>2333</v>
      </c>
      <c r="C814" t="s">
        <v>3193</v>
      </c>
      <c r="D814" t="s">
        <v>3359</v>
      </c>
      <c r="E814" t="s">
        <v>3360</v>
      </c>
      <c r="F814">
        <v>53.36</v>
      </c>
      <c r="I814">
        <v>140148.37</v>
      </c>
      <c r="J814" t="s">
        <v>3325</v>
      </c>
    </row>
    <row r="815" spans="1:10" ht="15" customHeight="1" x14ac:dyDescent="0.2">
      <c r="A815" s="420">
        <v>46003</v>
      </c>
      <c r="B815" t="s">
        <v>2333</v>
      </c>
      <c r="C815" t="s">
        <v>3193</v>
      </c>
      <c r="D815" t="s">
        <v>3359</v>
      </c>
      <c r="E815" t="s">
        <v>3360</v>
      </c>
      <c r="F815">
        <v>53.36</v>
      </c>
      <c r="I815">
        <v>140095.01</v>
      </c>
      <c r="J815" t="s">
        <v>3329</v>
      </c>
    </row>
    <row r="816" spans="1:10" ht="15" customHeight="1" x14ac:dyDescent="0.2">
      <c r="A816" s="420">
        <v>46003</v>
      </c>
      <c r="B816" t="s">
        <v>2333</v>
      </c>
      <c r="C816" t="s">
        <v>3193</v>
      </c>
      <c r="D816" t="s">
        <v>3359</v>
      </c>
      <c r="E816" t="s">
        <v>3360</v>
      </c>
      <c r="F816">
        <v>53.36</v>
      </c>
      <c r="I816">
        <v>140041.65</v>
      </c>
      <c r="J816" t="s">
        <v>3331</v>
      </c>
    </row>
    <row r="817" spans="1:10" ht="15" customHeight="1" x14ac:dyDescent="0.2">
      <c r="A817" s="420">
        <v>46003</v>
      </c>
      <c r="B817" t="s">
        <v>2333</v>
      </c>
      <c r="C817" t="s">
        <v>3193</v>
      </c>
      <c r="D817" t="s">
        <v>3359</v>
      </c>
      <c r="E817" t="s">
        <v>3360</v>
      </c>
      <c r="F817">
        <v>53.36</v>
      </c>
      <c r="I817">
        <v>139988.29</v>
      </c>
      <c r="J817" t="s">
        <v>3333</v>
      </c>
    </row>
    <row r="818" spans="1:10" ht="15" customHeight="1" x14ac:dyDescent="0.2">
      <c r="A818" s="420">
        <v>46003</v>
      </c>
      <c r="B818" t="s">
        <v>2333</v>
      </c>
      <c r="C818" t="s">
        <v>3193</v>
      </c>
      <c r="D818" t="s">
        <v>3359</v>
      </c>
      <c r="E818" t="s">
        <v>3360</v>
      </c>
      <c r="F818">
        <v>53.36</v>
      </c>
      <c r="I818">
        <v>139934.93</v>
      </c>
      <c r="J818" t="s">
        <v>3335</v>
      </c>
    </row>
    <row r="819" spans="1:10" ht="15" customHeight="1" x14ac:dyDescent="0.2">
      <c r="A819" s="420">
        <v>46003</v>
      </c>
      <c r="B819" t="s">
        <v>2333</v>
      </c>
      <c r="C819" t="s">
        <v>3193</v>
      </c>
      <c r="D819" t="s">
        <v>3359</v>
      </c>
      <c r="E819" t="s">
        <v>3360</v>
      </c>
      <c r="F819">
        <v>53.36</v>
      </c>
      <c r="I819">
        <v>139881.57</v>
      </c>
      <c r="J819" t="s">
        <v>2435</v>
      </c>
    </row>
    <row r="820" spans="1:10" ht="15" customHeight="1" x14ac:dyDescent="0.2">
      <c r="A820" s="420">
        <v>46003</v>
      </c>
      <c r="B820" t="s">
        <v>2333</v>
      </c>
      <c r="C820" t="s">
        <v>3193</v>
      </c>
      <c r="D820" t="s">
        <v>3359</v>
      </c>
      <c r="E820" t="s">
        <v>3360</v>
      </c>
      <c r="F820">
        <v>53.36</v>
      </c>
      <c r="I820">
        <v>139828.21</v>
      </c>
      <c r="J820" t="s">
        <v>3340</v>
      </c>
    </row>
    <row r="821" spans="1:10" ht="15" customHeight="1" x14ac:dyDescent="0.2">
      <c r="A821" s="420">
        <v>46003</v>
      </c>
      <c r="B821" t="s">
        <v>2333</v>
      </c>
      <c r="C821" t="s">
        <v>3193</v>
      </c>
      <c r="D821" t="s">
        <v>3359</v>
      </c>
      <c r="E821" t="s">
        <v>3360</v>
      </c>
      <c r="F821">
        <v>53.36</v>
      </c>
      <c r="I821">
        <v>139774.85</v>
      </c>
      <c r="J821" t="s">
        <v>3342</v>
      </c>
    </row>
    <row r="822" spans="1:10" ht="15" customHeight="1" x14ac:dyDescent="0.2">
      <c r="A822" s="420">
        <v>46022</v>
      </c>
      <c r="B822" t="s">
        <v>2439</v>
      </c>
      <c r="C822" t="s">
        <v>3193</v>
      </c>
      <c r="D822" t="s">
        <v>3361</v>
      </c>
      <c r="E822" t="s">
        <v>3362</v>
      </c>
      <c r="F822">
        <v>8267.2000000000007</v>
      </c>
      <c r="I822">
        <v>131507.65</v>
      </c>
      <c r="J822" t="s">
        <v>3268</v>
      </c>
    </row>
    <row r="823" spans="1:10" ht="15" customHeight="1" x14ac:dyDescent="0.2">
      <c r="A823" t="s">
        <v>3193</v>
      </c>
      <c r="E823" t="s">
        <v>349</v>
      </c>
      <c r="F823">
        <v>156815.75</v>
      </c>
      <c r="G823">
        <v>288323.40000000002</v>
      </c>
      <c r="I823">
        <v>131507.65</v>
      </c>
    </row>
    <row r="825" spans="1:10" ht="15" customHeight="1" x14ac:dyDescent="0.2">
      <c r="A825" t="s">
        <v>3363</v>
      </c>
      <c r="B825" t="s">
        <v>3364</v>
      </c>
      <c r="F825" t="s">
        <v>2430</v>
      </c>
      <c r="G825" t="s">
        <v>2431</v>
      </c>
      <c r="H825" t="s">
        <v>2432</v>
      </c>
      <c r="I825" t="s">
        <v>2433</v>
      </c>
      <c r="J825" t="s">
        <v>2434</v>
      </c>
    </row>
    <row r="826" spans="1:10" ht="15" customHeight="1" x14ac:dyDescent="0.2">
      <c r="A826" s="420">
        <v>45761</v>
      </c>
      <c r="B826" t="s">
        <v>2532</v>
      </c>
      <c r="C826" t="s">
        <v>3363</v>
      </c>
      <c r="D826" t="s">
        <v>3365</v>
      </c>
      <c r="E826" t="s">
        <v>1822</v>
      </c>
      <c r="G826">
        <v>39.5</v>
      </c>
      <c r="I826">
        <v>39.5</v>
      </c>
      <c r="J826" t="s">
        <v>2511</v>
      </c>
    </row>
    <row r="827" spans="1:10" ht="15" customHeight="1" x14ac:dyDescent="0.2">
      <c r="A827" s="420">
        <v>45762</v>
      </c>
      <c r="B827" t="s">
        <v>2333</v>
      </c>
      <c r="C827" t="s">
        <v>3363</v>
      </c>
      <c r="D827" t="s">
        <v>3366</v>
      </c>
      <c r="E827" t="s">
        <v>3367</v>
      </c>
      <c r="F827">
        <v>39.5</v>
      </c>
      <c r="J827" t="s">
        <v>2511</v>
      </c>
    </row>
    <row r="828" spans="1:10" ht="15" customHeight="1" x14ac:dyDescent="0.2">
      <c r="A828" s="420">
        <v>45764</v>
      </c>
      <c r="B828" t="s">
        <v>2532</v>
      </c>
      <c r="C828" t="s">
        <v>3363</v>
      </c>
      <c r="D828" t="s">
        <v>3368</v>
      </c>
      <c r="E828" t="s">
        <v>1827</v>
      </c>
      <c r="G828">
        <v>51.6</v>
      </c>
      <c r="I828">
        <v>51.6</v>
      </c>
      <c r="J828" t="s">
        <v>2511</v>
      </c>
    </row>
    <row r="829" spans="1:10" ht="15" customHeight="1" x14ac:dyDescent="0.2">
      <c r="A829" s="420">
        <v>45765</v>
      </c>
      <c r="B829" t="s">
        <v>2333</v>
      </c>
      <c r="C829" t="s">
        <v>3363</v>
      </c>
      <c r="D829" t="s">
        <v>3369</v>
      </c>
      <c r="E829" t="s">
        <v>3367</v>
      </c>
      <c r="F829">
        <v>51.6</v>
      </c>
      <c r="J829" t="s">
        <v>2511</v>
      </c>
    </row>
    <row r="830" spans="1:10" ht="15" customHeight="1" x14ac:dyDescent="0.2">
      <c r="A830" s="420">
        <v>45765</v>
      </c>
      <c r="B830" t="s">
        <v>2532</v>
      </c>
      <c r="C830" t="s">
        <v>3363</v>
      </c>
      <c r="D830" t="s">
        <v>3370</v>
      </c>
      <c r="E830" t="s">
        <v>1830</v>
      </c>
      <c r="G830">
        <v>133.19999999999999</v>
      </c>
      <c r="I830">
        <v>133.19999999999999</v>
      </c>
      <c r="J830" t="s">
        <v>2511</v>
      </c>
    </row>
    <row r="831" spans="1:10" ht="15" customHeight="1" x14ac:dyDescent="0.2">
      <c r="A831" s="420">
        <v>45769</v>
      </c>
      <c r="B831" t="s">
        <v>2333</v>
      </c>
      <c r="C831" t="s">
        <v>3363</v>
      </c>
      <c r="D831" t="s">
        <v>3371</v>
      </c>
      <c r="E831" t="s">
        <v>3367</v>
      </c>
      <c r="F831">
        <v>133.19999999999999</v>
      </c>
      <c r="J831" t="s">
        <v>2511</v>
      </c>
    </row>
    <row r="832" spans="1:10" ht="15" customHeight="1" x14ac:dyDescent="0.2">
      <c r="A832" s="420">
        <v>45772</v>
      </c>
      <c r="B832" t="s">
        <v>2532</v>
      </c>
      <c r="C832" t="s">
        <v>3363</v>
      </c>
      <c r="D832" t="s">
        <v>3372</v>
      </c>
      <c r="E832" t="s">
        <v>3373</v>
      </c>
      <c r="G832">
        <v>30.05</v>
      </c>
      <c r="I832">
        <v>30.05</v>
      </c>
      <c r="J832" t="s">
        <v>2511</v>
      </c>
    </row>
    <row r="833" spans="1:10" ht="15" customHeight="1" x14ac:dyDescent="0.2">
      <c r="A833" s="420">
        <v>45775</v>
      </c>
      <c r="B833" t="s">
        <v>2333</v>
      </c>
      <c r="C833" t="s">
        <v>3363</v>
      </c>
      <c r="D833" t="s">
        <v>3374</v>
      </c>
      <c r="E833" t="s">
        <v>3367</v>
      </c>
      <c r="F833">
        <v>30.05</v>
      </c>
      <c r="J833" t="s">
        <v>2511</v>
      </c>
    </row>
    <row r="834" spans="1:10" ht="15" customHeight="1" x14ac:dyDescent="0.2">
      <c r="A834" s="420">
        <v>45782</v>
      </c>
      <c r="B834" t="s">
        <v>2532</v>
      </c>
      <c r="C834" t="s">
        <v>3363</v>
      </c>
      <c r="D834" t="s">
        <v>3375</v>
      </c>
      <c r="E834" t="s">
        <v>1843</v>
      </c>
      <c r="G834">
        <v>48.9</v>
      </c>
      <c r="I834">
        <v>48.9</v>
      </c>
      <c r="J834" t="s">
        <v>2513</v>
      </c>
    </row>
    <row r="835" spans="1:10" ht="15" customHeight="1" x14ac:dyDescent="0.2">
      <c r="A835" s="420">
        <v>45783</v>
      </c>
      <c r="B835" t="s">
        <v>2333</v>
      </c>
      <c r="C835" t="s">
        <v>3363</v>
      </c>
      <c r="D835" t="s">
        <v>3376</v>
      </c>
      <c r="E835" t="s">
        <v>3367</v>
      </c>
      <c r="F835">
        <v>48.9</v>
      </c>
      <c r="J835" t="s">
        <v>2513</v>
      </c>
    </row>
    <row r="836" spans="1:10" ht="15" customHeight="1" x14ac:dyDescent="0.2">
      <c r="A836" s="420">
        <v>45798</v>
      </c>
      <c r="B836" t="s">
        <v>2532</v>
      </c>
      <c r="C836" t="s">
        <v>3363</v>
      </c>
      <c r="D836" t="s">
        <v>3377</v>
      </c>
      <c r="E836" t="s">
        <v>1854</v>
      </c>
      <c r="G836">
        <v>30.6</v>
      </c>
      <c r="I836">
        <v>30.6</v>
      </c>
      <c r="J836" t="s">
        <v>2509</v>
      </c>
    </row>
    <row r="837" spans="1:10" ht="15" customHeight="1" x14ac:dyDescent="0.2">
      <c r="A837" s="420">
        <v>45799</v>
      </c>
      <c r="B837" t="s">
        <v>2333</v>
      </c>
      <c r="C837" t="s">
        <v>3363</v>
      </c>
      <c r="D837" t="s">
        <v>3378</v>
      </c>
      <c r="E837" t="s">
        <v>3367</v>
      </c>
      <c r="F837">
        <v>30.6</v>
      </c>
      <c r="J837" t="s">
        <v>2509</v>
      </c>
    </row>
    <row r="838" spans="1:10" ht="15" customHeight="1" x14ac:dyDescent="0.2">
      <c r="A838" t="s">
        <v>3363</v>
      </c>
      <c r="E838" t="s">
        <v>349</v>
      </c>
      <c r="F838">
        <v>333.85</v>
      </c>
      <c r="G838">
        <v>333.85</v>
      </c>
    </row>
    <row r="840" spans="1:10" ht="15" customHeight="1" x14ac:dyDescent="0.2">
      <c r="A840" t="s">
        <v>3379</v>
      </c>
      <c r="B840" t="s">
        <v>3380</v>
      </c>
      <c r="F840" t="s">
        <v>2430</v>
      </c>
      <c r="G840" t="s">
        <v>2431</v>
      </c>
      <c r="H840" t="s">
        <v>2432</v>
      </c>
      <c r="I840" t="s">
        <v>2433</v>
      </c>
      <c r="J840" t="s">
        <v>2434</v>
      </c>
    </row>
    <row r="841" spans="1:10" ht="15" customHeight="1" x14ac:dyDescent="0.2">
      <c r="A841" s="420">
        <v>45751</v>
      </c>
      <c r="B841" t="s">
        <v>2532</v>
      </c>
      <c r="C841" t="s">
        <v>3379</v>
      </c>
      <c r="D841" t="s">
        <v>3381</v>
      </c>
      <c r="E841" t="s">
        <v>1817</v>
      </c>
      <c r="G841">
        <v>21.8</v>
      </c>
      <c r="I841">
        <v>21.8</v>
      </c>
      <c r="J841" t="s">
        <v>2511</v>
      </c>
    </row>
    <row r="842" spans="1:10" ht="15" customHeight="1" x14ac:dyDescent="0.2">
      <c r="A842" s="420">
        <v>45754</v>
      </c>
      <c r="B842" t="s">
        <v>2333</v>
      </c>
      <c r="C842" t="s">
        <v>3379</v>
      </c>
      <c r="D842" t="s">
        <v>3382</v>
      </c>
      <c r="E842" t="s">
        <v>3383</v>
      </c>
      <c r="F842">
        <v>21.8</v>
      </c>
      <c r="J842" t="s">
        <v>2511</v>
      </c>
    </row>
    <row r="843" spans="1:10" ht="15" customHeight="1" x14ac:dyDescent="0.2">
      <c r="A843" t="s">
        <v>3379</v>
      </c>
      <c r="E843" t="s">
        <v>349</v>
      </c>
      <c r="F843">
        <v>21.8</v>
      </c>
      <c r="G843">
        <v>21.8</v>
      </c>
    </row>
    <row r="845" spans="1:10" ht="15" customHeight="1" x14ac:dyDescent="0.2">
      <c r="A845" t="s">
        <v>3384</v>
      </c>
      <c r="B845" t="s">
        <v>3385</v>
      </c>
      <c r="F845" t="s">
        <v>2430</v>
      </c>
      <c r="G845" t="s">
        <v>2431</v>
      </c>
      <c r="H845" t="s">
        <v>2432</v>
      </c>
      <c r="I845" t="s">
        <v>2433</v>
      </c>
      <c r="J845" t="s">
        <v>2434</v>
      </c>
    </row>
    <row r="846" spans="1:10" ht="15" customHeight="1" x14ac:dyDescent="0.2">
      <c r="A846" s="420">
        <v>45741</v>
      </c>
      <c r="B846" t="s">
        <v>2532</v>
      </c>
      <c r="C846" t="s">
        <v>3384</v>
      </c>
      <c r="D846" t="s">
        <v>3386</v>
      </c>
      <c r="E846" t="s">
        <v>1337</v>
      </c>
      <c r="G846">
        <v>236.48</v>
      </c>
      <c r="I846">
        <v>236.48</v>
      </c>
      <c r="J846" t="s">
        <v>2511</v>
      </c>
    </row>
    <row r="847" spans="1:10" ht="15" customHeight="1" x14ac:dyDescent="0.2">
      <c r="A847" s="420">
        <v>45755</v>
      </c>
      <c r="B847" t="s">
        <v>2333</v>
      </c>
      <c r="C847" t="s">
        <v>3384</v>
      </c>
      <c r="D847" t="s">
        <v>3387</v>
      </c>
      <c r="E847" t="s">
        <v>3388</v>
      </c>
      <c r="F847">
        <v>236.48</v>
      </c>
      <c r="J847" t="s">
        <v>2511</v>
      </c>
    </row>
    <row r="848" spans="1:10" ht="15" customHeight="1" x14ac:dyDescent="0.2">
      <c r="A848" t="s">
        <v>3384</v>
      </c>
      <c r="E848" t="s">
        <v>349</v>
      </c>
      <c r="F848">
        <v>236.48</v>
      </c>
      <c r="G848">
        <v>236.48</v>
      </c>
    </row>
    <row r="850" spans="1:10" ht="15" customHeight="1" x14ac:dyDescent="0.2">
      <c r="A850" t="s">
        <v>3389</v>
      </c>
      <c r="B850" t="s">
        <v>3390</v>
      </c>
      <c r="F850" t="s">
        <v>2430</v>
      </c>
      <c r="G850" t="s">
        <v>2431</v>
      </c>
      <c r="H850" t="s">
        <v>2432</v>
      </c>
      <c r="I850" t="s">
        <v>2433</v>
      </c>
      <c r="J850" t="s">
        <v>2434</v>
      </c>
    </row>
    <row r="851" spans="1:10" ht="15" customHeight="1" x14ac:dyDescent="0.2">
      <c r="A851" s="420">
        <v>45901</v>
      </c>
      <c r="B851" t="s">
        <v>2333</v>
      </c>
      <c r="C851" t="s">
        <v>3389</v>
      </c>
      <c r="D851" t="s">
        <v>3391</v>
      </c>
      <c r="E851" t="s">
        <v>3392</v>
      </c>
      <c r="F851">
        <v>22.6</v>
      </c>
      <c r="H851">
        <v>22.6</v>
      </c>
    </row>
    <row r="852" spans="1:10" ht="15" customHeight="1" x14ac:dyDescent="0.2">
      <c r="A852" s="420">
        <v>45901</v>
      </c>
      <c r="B852" t="s">
        <v>2547</v>
      </c>
      <c r="C852" t="s">
        <v>3389</v>
      </c>
      <c r="D852" t="s">
        <v>3393</v>
      </c>
      <c r="E852" t="s">
        <v>752</v>
      </c>
      <c r="G852">
        <v>270.98</v>
      </c>
      <c r="I852">
        <v>248.38</v>
      </c>
    </row>
    <row r="853" spans="1:10" ht="15" customHeight="1" x14ac:dyDescent="0.2">
      <c r="A853" s="420">
        <v>45931</v>
      </c>
      <c r="B853" t="s">
        <v>2333</v>
      </c>
      <c r="C853" t="s">
        <v>3389</v>
      </c>
      <c r="D853" t="s">
        <v>3394</v>
      </c>
      <c r="E853" t="s">
        <v>3395</v>
      </c>
      <c r="F853">
        <v>22.58</v>
      </c>
      <c r="I853">
        <v>225.8</v>
      </c>
    </row>
    <row r="854" spans="1:10" ht="15" customHeight="1" x14ac:dyDescent="0.2">
      <c r="A854" s="420">
        <v>45964</v>
      </c>
      <c r="B854" t="s">
        <v>2333</v>
      </c>
      <c r="C854" t="s">
        <v>3389</v>
      </c>
      <c r="D854" t="s">
        <v>3396</v>
      </c>
      <c r="E854" t="s">
        <v>3397</v>
      </c>
      <c r="F854">
        <v>22.58</v>
      </c>
      <c r="I854">
        <v>203.22</v>
      </c>
    </row>
    <row r="855" spans="1:10" ht="15" customHeight="1" x14ac:dyDescent="0.2">
      <c r="A855" s="420">
        <v>45992</v>
      </c>
      <c r="B855" t="s">
        <v>2333</v>
      </c>
      <c r="C855" t="s">
        <v>3389</v>
      </c>
      <c r="D855" t="s">
        <v>3398</v>
      </c>
      <c r="E855" t="s">
        <v>3399</v>
      </c>
      <c r="F855">
        <v>22.58</v>
      </c>
      <c r="I855">
        <v>180.64</v>
      </c>
    </row>
    <row r="856" spans="1:10" ht="15" customHeight="1" x14ac:dyDescent="0.2">
      <c r="A856" t="s">
        <v>3389</v>
      </c>
      <c r="E856" t="s">
        <v>349</v>
      </c>
      <c r="F856">
        <v>90.34</v>
      </c>
      <c r="G856">
        <v>270.98</v>
      </c>
      <c r="I856">
        <v>180.64</v>
      </c>
    </row>
    <row r="858" spans="1:10" ht="15" customHeight="1" x14ac:dyDescent="0.2">
      <c r="A858" t="s">
        <v>3400</v>
      </c>
      <c r="B858" t="s">
        <v>1017</v>
      </c>
      <c r="F858" t="s">
        <v>2430</v>
      </c>
      <c r="G858" t="s">
        <v>2431</v>
      </c>
      <c r="H858" t="s">
        <v>2432</v>
      </c>
      <c r="I858" t="s">
        <v>2433</v>
      </c>
      <c r="J858" t="s">
        <v>2434</v>
      </c>
    </row>
    <row r="859" spans="1:10" ht="15" customHeight="1" x14ac:dyDescent="0.2">
      <c r="A859" s="420">
        <v>45688</v>
      </c>
      <c r="B859" t="s">
        <v>2547</v>
      </c>
      <c r="C859" t="s">
        <v>3400</v>
      </c>
      <c r="D859" t="s">
        <v>3401</v>
      </c>
      <c r="E859" t="s">
        <v>948</v>
      </c>
      <c r="G859">
        <v>7080</v>
      </c>
      <c r="I859">
        <v>7080</v>
      </c>
      <c r="J859" t="s">
        <v>2511</v>
      </c>
    </row>
    <row r="860" spans="1:10" ht="15" customHeight="1" x14ac:dyDescent="0.2">
      <c r="A860" s="420">
        <v>45691</v>
      </c>
      <c r="B860" t="s">
        <v>2333</v>
      </c>
      <c r="C860" t="s">
        <v>3400</v>
      </c>
      <c r="D860" t="s">
        <v>3402</v>
      </c>
      <c r="E860" t="s">
        <v>3403</v>
      </c>
      <c r="F860">
        <v>7080</v>
      </c>
      <c r="J860" t="s">
        <v>2511</v>
      </c>
    </row>
    <row r="861" spans="1:10" ht="15" customHeight="1" x14ac:dyDescent="0.2">
      <c r="A861" s="420">
        <v>45716</v>
      </c>
      <c r="B861" t="s">
        <v>2532</v>
      </c>
      <c r="C861" t="s">
        <v>3400</v>
      </c>
      <c r="D861" t="s">
        <v>3404</v>
      </c>
      <c r="E861" t="s">
        <v>958</v>
      </c>
      <c r="G861">
        <v>7080</v>
      </c>
      <c r="I861">
        <v>7080</v>
      </c>
      <c r="J861" t="s">
        <v>2509</v>
      </c>
    </row>
    <row r="862" spans="1:10" ht="15" customHeight="1" x14ac:dyDescent="0.2">
      <c r="A862" s="420">
        <v>45719</v>
      </c>
      <c r="B862" t="s">
        <v>2333</v>
      </c>
      <c r="C862" t="s">
        <v>3400</v>
      </c>
      <c r="D862" t="s">
        <v>3405</v>
      </c>
      <c r="E862" t="s">
        <v>3403</v>
      </c>
      <c r="F862">
        <v>7080</v>
      </c>
      <c r="J862" t="s">
        <v>2509</v>
      </c>
    </row>
    <row r="863" spans="1:10" ht="15" customHeight="1" x14ac:dyDescent="0.2">
      <c r="A863" s="420">
        <v>45747</v>
      </c>
      <c r="B863" t="s">
        <v>2532</v>
      </c>
      <c r="C863" t="s">
        <v>3400</v>
      </c>
      <c r="D863" t="s">
        <v>3406</v>
      </c>
      <c r="E863" t="s">
        <v>963</v>
      </c>
      <c r="G863">
        <v>7080</v>
      </c>
      <c r="I863">
        <v>7080</v>
      </c>
      <c r="J863" t="s">
        <v>2509</v>
      </c>
    </row>
    <row r="864" spans="1:10" ht="15" customHeight="1" x14ac:dyDescent="0.2">
      <c r="A864" s="420">
        <v>45748</v>
      </c>
      <c r="B864" t="s">
        <v>2333</v>
      </c>
      <c r="C864" t="s">
        <v>3400</v>
      </c>
      <c r="D864" t="s">
        <v>3407</v>
      </c>
      <c r="E864" t="s">
        <v>3403</v>
      </c>
      <c r="F864">
        <v>7080</v>
      </c>
      <c r="J864" t="s">
        <v>2509</v>
      </c>
    </row>
    <row r="865" spans="1:10" ht="15" customHeight="1" x14ac:dyDescent="0.2">
      <c r="A865" s="420">
        <v>45777</v>
      </c>
      <c r="B865" t="s">
        <v>2532</v>
      </c>
      <c r="C865" t="s">
        <v>3400</v>
      </c>
      <c r="D865" t="s">
        <v>3408</v>
      </c>
      <c r="E865" t="s">
        <v>965</v>
      </c>
      <c r="G865">
        <v>7080</v>
      </c>
      <c r="I865">
        <v>7080</v>
      </c>
      <c r="J865" t="s">
        <v>2513</v>
      </c>
    </row>
    <row r="866" spans="1:10" ht="15" customHeight="1" x14ac:dyDescent="0.2">
      <c r="A866" s="420">
        <v>45779</v>
      </c>
      <c r="B866" t="s">
        <v>2333</v>
      </c>
      <c r="C866" t="s">
        <v>3400</v>
      </c>
      <c r="D866" t="s">
        <v>3409</v>
      </c>
      <c r="E866" t="s">
        <v>3403</v>
      </c>
      <c r="F866">
        <v>7080</v>
      </c>
      <c r="J866" t="s">
        <v>2585</v>
      </c>
    </row>
    <row r="867" spans="1:10" ht="15" customHeight="1" x14ac:dyDescent="0.2">
      <c r="A867" s="420">
        <v>45808</v>
      </c>
      <c r="B867" t="s">
        <v>2532</v>
      </c>
      <c r="C867" t="s">
        <v>3400</v>
      </c>
      <c r="D867" t="s">
        <v>3410</v>
      </c>
      <c r="E867" t="s">
        <v>973</v>
      </c>
      <c r="G867">
        <v>7080</v>
      </c>
      <c r="I867">
        <v>7080</v>
      </c>
      <c r="J867" t="s">
        <v>2585</v>
      </c>
    </row>
    <row r="868" spans="1:10" ht="15" customHeight="1" x14ac:dyDescent="0.2">
      <c r="A868" s="420">
        <v>45810</v>
      </c>
      <c r="B868" t="s">
        <v>2333</v>
      </c>
      <c r="C868" t="s">
        <v>3400</v>
      </c>
      <c r="D868" t="s">
        <v>3411</v>
      </c>
      <c r="E868" t="s">
        <v>3403</v>
      </c>
      <c r="F868">
        <v>7080</v>
      </c>
      <c r="J868" t="s">
        <v>2513</v>
      </c>
    </row>
    <row r="869" spans="1:10" ht="15" customHeight="1" x14ac:dyDescent="0.2">
      <c r="A869" s="420">
        <v>45838</v>
      </c>
      <c r="B869" t="s">
        <v>2532</v>
      </c>
      <c r="C869" t="s">
        <v>3400</v>
      </c>
      <c r="D869" t="s">
        <v>3412</v>
      </c>
      <c r="E869" t="s">
        <v>982</v>
      </c>
      <c r="G869">
        <v>7080</v>
      </c>
      <c r="I869">
        <v>7080</v>
      </c>
      <c r="J869" t="s">
        <v>2586</v>
      </c>
    </row>
    <row r="870" spans="1:10" ht="15" customHeight="1" x14ac:dyDescent="0.2">
      <c r="A870" s="420">
        <v>45839</v>
      </c>
      <c r="B870" t="s">
        <v>2333</v>
      </c>
      <c r="C870" t="s">
        <v>3400</v>
      </c>
      <c r="D870" t="s">
        <v>3413</v>
      </c>
      <c r="E870" t="s">
        <v>3403</v>
      </c>
      <c r="F870">
        <v>7080</v>
      </c>
      <c r="J870" t="s">
        <v>2586</v>
      </c>
    </row>
    <row r="871" spans="1:10" ht="15" customHeight="1" x14ac:dyDescent="0.2">
      <c r="A871" s="420">
        <v>45869</v>
      </c>
      <c r="B871" t="s">
        <v>2532</v>
      </c>
      <c r="C871" t="s">
        <v>3400</v>
      </c>
      <c r="D871" t="s">
        <v>3414</v>
      </c>
      <c r="E871" t="s">
        <v>997</v>
      </c>
      <c r="G871">
        <v>7080</v>
      </c>
      <c r="I871">
        <v>7080</v>
      </c>
      <c r="J871" t="s">
        <v>2587</v>
      </c>
    </row>
    <row r="872" spans="1:10" ht="15" customHeight="1" x14ac:dyDescent="0.2">
      <c r="A872" s="420">
        <v>45870</v>
      </c>
      <c r="B872" t="s">
        <v>2333</v>
      </c>
      <c r="C872" t="s">
        <v>3400</v>
      </c>
      <c r="D872" t="s">
        <v>3415</v>
      </c>
      <c r="E872" t="s">
        <v>3403</v>
      </c>
      <c r="F872">
        <v>7080</v>
      </c>
      <c r="J872" t="s">
        <v>2587</v>
      </c>
    </row>
    <row r="873" spans="1:10" ht="15" customHeight="1" x14ac:dyDescent="0.2">
      <c r="A873" s="420">
        <v>45900</v>
      </c>
      <c r="B873" t="s">
        <v>2532</v>
      </c>
      <c r="C873" t="s">
        <v>3400</v>
      </c>
      <c r="D873" t="s">
        <v>3416</v>
      </c>
      <c r="E873" t="s">
        <v>1008</v>
      </c>
      <c r="G873">
        <v>7080</v>
      </c>
      <c r="I873">
        <v>7080</v>
      </c>
      <c r="J873" t="s">
        <v>2603</v>
      </c>
    </row>
    <row r="874" spans="1:10" ht="15" customHeight="1" x14ac:dyDescent="0.2">
      <c r="A874" s="420">
        <v>45901</v>
      </c>
      <c r="B874" t="s">
        <v>2333</v>
      </c>
      <c r="C874" t="s">
        <v>3400</v>
      </c>
      <c r="D874" t="s">
        <v>3417</v>
      </c>
      <c r="E874" t="s">
        <v>3403</v>
      </c>
      <c r="F874">
        <v>7080</v>
      </c>
      <c r="J874" t="s">
        <v>2603</v>
      </c>
    </row>
    <row r="875" spans="1:10" ht="15" customHeight="1" x14ac:dyDescent="0.2">
      <c r="A875" s="420">
        <v>45930</v>
      </c>
      <c r="B875" t="s">
        <v>2547</v>
      </c>
      <c r="C875" t="s">
        <v>3400</v>
      </c>
      <c r="D875" t="s">
        <v>3418</v>
      </c>
      <c r="E875" t="s">
        <v>1017</v>
      </c>
      <c r="G875">
        <v>7080</v>
      </c>
      <c r="I875">
        <v>7080</v>
      </c>
      <c r="J875" t="s">
        <v>2604</v>
      </c>
    </row>
    <row r="876" spans="1:10" ht="15" customHeight="1" x14ac:dyDescent="0.2">
      <c r="A876" s="420">
        <v>45931</v>
      </c>
      <c r="B876" t="s">
        <v>2333</v>
      </c>
      <c r="C876" t="s">
        <v>3400</v>
      </c>
      <c r="D876" t="s">
        <v>3419</v>
      </c>
      <c r="E876" t="s">
        <v>3403</v>
      </c>
      <c r="F876">
        <v>7080</v>
      </c>
      <c r="J876" t="s">
        <v>2604</v>
      </c>
    </row>
    <row r="877" spans="1:10" ht="15" customHeight="1" x14ac:dyDescent="0.2">
      <c r="A877" s="420">
        <v>45961</v>
      </c>
      <c r="B877" t="s">
        <v>2532</v>
      </c>
      <c r="C877" t="s">
        <v>3400</v>
      </c>
      <c r="D877" t="s">
        <v>3420</v>
      </c>
      <c r="E877" t="s">
        <v>1026</v>
      </c>
      <c r="G877">
        <v>7080</v>
      </c>
      <c r="I877">
        <v>7080</v>
      </c>
      <c r="J877" t="s">
        <v>2599</v>
      </c>
    </row>
    <row r="878" spans="1:10" ht="15" customHeight="1" x14ac:dyDescent="0.2">
      <c r="A878" s="420">
        <v>45964</v>
      </c>
      <c r="B878" t="s">
        <v>2333</v>
      </c>
      <c r="C878" t="s">
        <v>3400</v>
      </c>
      <c r="D878" t="s">
        <v>3421</v>
      </c>
      <c r="E878" t="s">
        <v>3403</v>
      </c>
      <c r="F878">
        <v>7080</v>
      </c>
      <c r="J878" t="s">
        <v>2599</v>
      </c>
    </row>
    <row r="879" spans="1:10" ht="15" customHeight="1" x14ac:dyDescent="0.2">
      <c r="A879" s="420">
        <v>45991</v>
      </c>
      <c r="B879" t="s">
        <v>2532</v>
      </c>
      <c r="C879" t="s">
        <v>3400</v>
      </c>
      <c r="D879" t="s">
        <v>3422</v>
      </c>
      <c r="E879" t="s">
        <v>1038</v>
      </c>
      <c r="G879">
        <v>7080</v>
      </c>
      <c r="I879">
        <v>7080</v>
      </c>
      <c r="J879" t="s">
        <v>2600</v>
      </c>
    </row>
    <row r="880" spans="1:10" ht="15" customHeight="1" x14ac:dyDescent="0.2">
      <c r="A880" s="420">
        <v>45992</v>
      </c>
      <c r="B880" t="s">
        <v>2333</v>
      </c>
      <c r="C880" t="s">
        <v>3400</v>
      </c>
      <c r="D880" t="s">
        <v>3423</v>
      </c>
      <c r="E880" t="s">
        <v>3403</v>
      </c>
      <c r="F880">
        <v>7080</v>
      </c>
      <c r="J880" t="s">
        <v>2600</v>
      </c>
    </row>
    <row r="881" spans="1:10" ht="15" customHeight="1" x14ac:dyDescent="0.2">
      <c r="A881" s="420">
        <v>46022</v>
      </c>
      <c r="B881" t="s">
        <v>2532</v>
      </c>
      <c r="C881" t="s">
        <v>3400</v>
      </c>
      <c r="D881" t="s">
        <v>3424</v>
      </c>
      <c r="E881" t="s">
        <v>1047</v>
      </c>
      <c r="G881">
        <v>7080</v>
      </c>
      <c r="I881">
        <v>7080</v>
      </c>
      <c r="J881" t="s">
        <v>2511</v>
      </c>
    </row>
    <row r="882" spans="1:10" ht="15" customHeight="1" x14ac:dyDescent="0.2">
      <c r="A882" t="s">
        <v>3400</v>
      </c>
      <c r="E882" t="s">
        <v>349</v>
      </c>
      <c r="F882">
        <v>77880</v>
      </c>
      <c r="G882">
        <v>84960</v>
      </c>
      <c r="I882">
        <v>7080</v>
      </c>
    </row>
    <row r="884" spans="1:10" ht="15" customHeight="1" x14ac:dyDescent="0.2">
      <c r="A884" t="s">
        <v>3425</v>
      </c>
      <c r="B884" t="s">
        <v>3426</v>
      </c>
      <c r="F884" t="s">
        <v>2430</v>
      </c>
      <c r="G884" t="s">
        <v>2431</v>
      </c>
      <c r="H884" t="s">
        <v>2432</v>
      </c>
      <c r="I884" t="s">
        <v>2433</v>
      </c>
      <c r="J884" t="s">
        <v>2434</v>
      </c>
    </row>
    <row r="885" spans="1:10" ht="15" customHeight="1" x14ac:dyDescent="0.2">
      <c r="A885" s="420">
        <v>45876</v>
      </c>
      <c r="B885" t="s">
        <v>2532</v>
      </c>
      <c r="C885" t="s">
        <v>3425</v>
      </c>
      <c r="D885" t="s">
        <v>3427</v>
      </c>
      <c r="E885" t="s">
        <v>1549</v>
      </c>
      <c r="G885">
        <v>1199</v>
      </c>
      <c r="I885">
        <v>1199</v>
      </c>
      <c r="J885" t="s">
        <v>2511</v>
      </c>
    </row>
    <row r="886" spans="1:10" ht="15" customHeight="1" x14ac:dyDescent="0.2">
      <c r="A886" s="420">
        <v>45877</v>
      </c>
      <c r="B886" t="s">
        <v>2333</v>
      </c>
      <c r="C886" t="s">
        <v>3425</v>
      </c>
      <c r="D886" t="s">
        <v>3428</v>
      </c>
      <c r="E886" t="s">
        <v>3429</v>
      </c>
      <c r="F886">
        <v>1199</v>
      </c>
      <c r="J886" t="s">
        <v>2511</v>
      </c>
    </row>
    <row r="887" spans="1:10" ht="15" customHeight="1" x14ac:dyDescent="0.2">
      <c r="A887" t="s">
        <v>3425</v>
      </c>
      <c r="E887" t="s">
        <v>349</v>
      </c>
      <c r="F887">
        <v>1199</v>
      </c>
      <c r="G887">
        <v>1199</v>
      </c>
    </row>
    <row r="889" spans="1:10" ht="15" customHeight="1" x14ac:dyDescent="0.2">
      <c r="A889" t="s">
        <v>3430</v>
      </c>
      <c r="B889" t="s">
        <v>529</v>
      </c>
      <c r="F889" t="s">
        <v>2430</v>
      </c>
      <c r="G889" t="s">
        <v>2431</v>
      </c>
      <c r="H889" t="s">
        <v>2432</v>
      </c>
      <c r="I889" t="s">
        <v>2433</v>
      </c>
      <c r="J889" t="s">
        <v>2434</v>
      </c>
    </row>
    <row r="890" spans="1:10" ht="15" customHeight="1" x14ac:dyDescent="0.2">
      <c r="A890" s="420">
        <v>45777</v>
      </c>
      <c r="B890" t="s">
        <v>2532</v>
      </c>
      <c r="C890" t="s">
        <v>3430</v>
      </c>
      <c r="D890" t="s">
        <v>3431</v>
      </c>
      <c r="E890" t="s">
        <v>481</v>
      </c>
      <c r="G890">
        <v>132.86000000000001</v>
      </c>
      <c r="I890">
        <v>132.86000000000001</v>
      </c>
      <c r="J890" t="s">
        <v>2511</v>
      </c>
    </row>
    <row r="891" spans="1:10" ht="15" customHeight="1" x14ac:dyDescent="0.2">
      <c r="A891" s="420">
        <v>45786</v>
      </c>
      <c r="B891" t="s">
        <v>2333</v>
      </c>
      <c r="C891" t="s">
        <v>3430</v>
      </c>
      <c r="D891" t="s">
        <v>3432</v>
      </c>
      <c r="E891" t="s">
        <v>3433</v>
      </c>
      <c r="F891">
        <v>132.86000000000001</v>
      </c>
      <c r="J891" t="s">
        <v>2511</v>
      </c>
    </row>
    <row r="892" spans="1:10" ht="15" customHeight="1" x14ac:dyDescent="0.2">
      <c r="A892" s="420">
        <v>45808</v>
      </c>
      <c r="B892" t="s">
        <v>2532</v>
      </c>
      <c r="C892" t="s">
        <v>3430</v>
      </c>
      <c r="D892" t="s">
        <v>3434</v>
      </c>
      <c r="E892" t="s">
        <v>498</v>
      </c>
      <c r="G892">
        <v>84.72</v>
      </c>
      <c r="I892">
        <v>84.72</v>
      </c>
      <c r="J892" t="s">
        <v>2509</v>
      </c>
    </row>
    <row r="893" spans="1:10" ht="15" customHeight="1" x14ac:dyDescent="0.2">
      <c r="A893" s="420">
        <v>45818</v>
      </c>
      <c r="B893" t="s">
        <v>2333</v>
      </c>
      <c r="C893" t="s">
        <v>3430</v>
      </c>
      <c r="D893" t="s">
        <v>3435</v>
      </c>
      <c r="E893" t="s">
        <v>3433</v>
      </c>
      <c r="F893">
        <v>84.72</v>
      </c>
      <c r="J893" t="s">
        <v>2509</v>
      </c>
    </row>
    <row r="894" spans="1:10" ht="15" customHeight="1" x14ac:dyDescent="0.2">
      <c r="A894" s="420">
        <v>45838</v>
      </c>
      <c r="B894" t="s">
        <v>2532</v>
      </c>
      <c r="C894" t="s">
        <v>3430</v>
      </c>
      <c r="D894" t="s">
        <v>3436</v>
      </c>
      <c r="E894" t="s">
        <v>511</v>
      </c>
      <c r="G894">
        <v>18.010000000000002</v>
      </c>
      <c r="I894">
        <v>18.010000000000002</v>
      </c>
      <c r="J894" t="s">
        <v>2513</v>
      </c>
    </row>
    <row r="895" spans="1:10" ht="15" customHeight="1" x14ac:dyDescent="0.2">
      <c r="A895" s="420">
        <v>45847</v>
      </c>
      <c r="B895" t="s">
        <v>2333</v>
      </c>
      <c r="C895" t="s">
        <v>3430</v>
      </c>
      <c r="D895" t="s">
        <v>3437</v>
      </c>
      <c r="E895" t="s">
        <v>3433</v>
      </c>
      <c r="F895">
        <v>18.010000000000002</v>
      </c>
      <c r="J895" t="s">
        <v>2513</v>
      </c>
    </row>
    <row r="896" spans="1:10" ht="15" customHeight="1" x14ac:dyDescent="0.2">
      <c r="A896" s="420">
        <v>45869</v>
      </c>
      <c r="B896" t="s">
        <v>2547</v>
      </c>
      <c r="C896" t="s">
        <v>3430</v>
      </c>
      <c r="D896" t="s">
        <v>3438</v>
      </c>
      <c r="E896" t="s">
        <v>529</v>
      </c>
      <c r="G896">
        <v>40.450000000000003</v>
      </c>
      <c r="I896">
        <v>40.450000000000003</v>
      </c>
      <c r="J896" t="s">
        <v>2585</v>
      </c>
    </row>
    <row r="897" spans="1:10" ht="15" customHeight="1" x14ac:dyDescent="0.2">
      <c r="A897" s="420">
        <v>45881</v>
      </c>
      <c r="B897" t="s">
        <v>2333</v>
      </c>
      <c r="C897" t="s">
        <v>3430</v>
      </c>
      <c r="D897" t="s">
        <v>3439</v>
      </c>
      <c r="E897" t="s">
        <v>3433</v>
      </c>
      <c r="F897">
        <v>40.450000000000003</v>
      </c>
      <c r="J897" t="s">
        <v>2585</v>
      </c>
    </row>
    <row r="898" spans="1:10" ht="15" customHeight="1" x14ac:dyDescent="0.2">
      <c r="A898" s="420">
        <v>45900</v>
      </c>
      <c r="B898" t="s">
        <v>2532</v>
      </c>
      <c r="C898" t="s">
        <v>3430</v>
      </c>
      <c r="D898" t="s">
        <v>3440</v>
      </c>
      <c r="E898" t="s">
        <v>537</v>
      </c>
      <c r="G898">
        <v>49.12</v>
      </c>
      <c r="I898">
        <v>49.12</v>
      </c>
      <c r="J898" t="s">
        <v>2587</v>
      </c>
    </row>
    <row r="899" spans="1:10" ht="15" customHeight="1" x14ac:dyDescent="0.2">
      <c r="A899" s="420">
        <v>45909</v>
      </c>
      <c r="B899" t="s">
        <v>2333</v>
      </c>
      <c r="C899" t="s">
        <v>3430</v>
      </c>
      <c r="D899" t="s">
        <v>3441</v>
      </c>
      <c r="E899" t="s">
        <v>3442</v>
      </c>
      <c r="F899">
        <v>49.12</v>
      </c>
      <c r="J899" t="s">
        <v>2587</v>
      </c>
    </row>
    <row r="900" spans="1:10" ht="15" customHeight="1" x14ac:dyDescent="0.2">
      <c r="A900" s="420">
        <v>45930</v>
      </c>
      <c r="B900" t="s">
        <v>2532</v>
      </c>
      <c r="C900" t="s">
        <v>3430</v>
      </c>
      <c r="D900" t="s">
        <v>3443</v>
      </c>
      <c r="E900" t="s">
        <v>550</v>
      </c>
      <c r="G900">
        <v>53.37</v>
      </c>
      <c r="I900">
        <v>53.37</v>
      </c>
      <c r="J900" t="s">
        <v>2586</v>
      </c>
    </row>
    <row r="901" spans="1:10" ht="15" customHeight="1" x14ac:dyDescent="0.2">
      <c r="A901" s="420">
        <v>45938</v>
      </c>
      <c r="B901" t="s">
        <v>2333</v>
      </c>
      <c r="C901" t="s">
        <v>3430</v>
      </c>
      <c r="D901" t="s">
        <v>3444</v>
      </c>
      <c r="E901" t="s">
        <v>3433</v>
      </c>
      <c r="F901">
        <v>53.37</v>
      </c>
      <c r="J901" t="s">
        <v>2586</v>
      </c>
    </row>
    <row r="902" spans="1:10" ht="15" customHeight="1" x14ac:dyDescent="0.2">
      <c r="A902" s="420">
        <v>45961</v>
      </c>
      <c r="B902" t="s">
        <v>2532</v>
      </c>
      <c r="C902" t="s">
        <v>3430</v>
      </c>
      <c r="D902" t="s">
        <v>3445</v>
      </c>
      <c r="E902" t="s">
        <v>564</v>
      </c>
      <c r="G902">
        <v>73.739999999999995</v>
      </c>
      <c r="I902">
        <v>73.739999999999995</v>
      </c>
      <c r="J902" t="s">
        <v>2603</v>
      </c>
    </row>
    <row r="903" spans="1:10" ht="15" customHeight="1" x14ac:dyDescent="0.2">
      <c r="A903" s="420">
        <v>45967</v>
      </c>
      <c r="B903" t="s">
        <v>2333</v>
      </c>
      <c r="C903" t="s">
        <v>3430</v>
      </c>
      <c r="D903" t="s">
        <v>3446</v>
      </c>
      <c r="E903" t="s">
        <v>3433</v>
      </c>
      <c r="F903">
        <v>73.739999999999995</v>
      </c>
      <c r="J903" t="s">
        <v>2603</v>
      </c>
    </row>
    <row r="904" spans="1:10" ht="15" customHeight="1" x14ac:dyDescent="0.2">
      <c r="A904" s="420">
        <v>45991</v>
      </c>
      <c r="B904" t="s">
        <v>2532</v>
      </c>
      <c r="C904" t="s">
        <v>3430</v>
      </c>
      <c r="D904" t="s">
        <v>3447</v>
      </c>
      <c r="E904" t="s">
        <v>572</v>
      </c>
      <c r="G904">
        <v>50.75</v>
      </c>
      <c r="I904">
        <v>50.75</v>
      </c>
      <c r="J904" t="s">
        <v>2604</v>
      </c>
    </row>
    <row r="905" spans="1:10" ht="15" customHeight="1" x14ac:dyDescent="0.2">
      <c r="A905" s="420">
        <v>45996</v>
      </c>
      <c r="B905" t="s">
        <v>2333</v>
      </c>
      <c r="C905" t="s">
        <v>3430</v>
      </c>
      <c r="D905" t="s">
        <v>3448</v>
      </c>
      <c r="E905" t="s">
        <v>3442</v>
      </c>
      <c r="F905">
        <v>50.75</v>
      </c>
      <c r="J905" t="s">
        <v>2604</v>
      </c>
    </row>
    <row r="906" spans="1:10" ht="15" customHeight="1" x14ac:dyDescent="0.2">
      <c r="A906" s="420">
        <v>46022</v>
      </c>
      <c r="B906" t="s">
        <v>2547</v>
      </c>
      <c r="C906" t="s">
        <v>3430</v>
      </c>
      <c r="D906" t="s">
        <v>3449</v>
      </c>
      <c r="E906" t="s">
        <v>529</v>
      </c>
      <c r="G906">
        <v>111.88</v>
      </c>
      <c r="I906">
        <v>111.88</v>
      </c>
      <c r="J906" t="s">
        <v>2511</v>
      </c>
    </row>
    <row r="907" spans="1:10" ht="15" customHeight="1" x14ac:dyDescent="0.2">
      <c r="A907" t="s">
        <v>3430</v>
      </c>
      <c r="E907" t="s">
        <v>349</v>
      </c>
      <c r="F907">
        <v>503.02</v>
      </c>
      <c r="G907">
        <v>614.9</v>
      </c>
      <c r="I907">
        <v>111.88</v>
      </c>
    </row>
    <row r="909" spans="1:10" ht="15" customHeight="1" x14ac:dyDescent="0.2">
      <c r="A909" t="s">
        <v>3450</v>
      </c>
      <c r="B909" t="s">
        <v>1797</v>
      </c>
      <c r="F909" t="s">
        <v>2430</v>
      </c>
      <c r="G909" t="s">
        <v>2431</v>
      </c>
      <c r="H909" t="s">
        <v>2432</v>
      </c>
      <c r="I909" t="s">
        <v>2433</v>
      </c>
      <c r="J909" t="s">
        <v>2434</v>
      </c>
    </row>
    <row r="910" spans="1:10" ht="15" customHeight="1" x14ac:dyDescent="0.2">
      <c r="A910" s="420">
        <v>45658</v>
      </c>
      <c r="B910" t="s">
        <v>2435</v>
      </c>
      <c r="C910" t="s">
        <v>3450</v>
      </c>
      <c r="D910" t="s">
        <v>2436</v>
      </c>
      <c r="E910" t="s">
        <v>3451</v>
      </c>
      <c r="G910">
        <v>95.85</v>
      </c>
      <c r="I910">
        <v>95.85</v>
      </c>
      <c r="J910" t="s">
        <v>2511</v>
      </c>
    </row>
    <row r="911" spans="1:10" ht="15" customHeight="1" x14ac:dyDescent="0.2">
      <c r="A911" s="420">
        <v>45667</v>
      </c>
      <c r="B911" t="s">
        <v>2333</v>
      </c>
      <c r="C911" t="s">
        <v>3450</v>
      </c>
      <c r="D911" t="s">
        <v>3452</v>
      </c>
      <c r="E911" t="s">
        <v>3453</v>
      </c>
      <c r="F911">
        <v>95.85</v>
      </c>
      <c r="J911" t="s">
        <v>2511</v>
      </c>
    </row>
    <row r="912" spans="1:10" ht="15" customHeight="1" x14ac:dyDescent="0.2">
      <c r="A912" s="420">
        <v>45672</v>
      </c>
      <c r="B912" t="s">
        <v>2532</v>
      </c>
      <c r="C912" t="s">
        <v>3450</v>
      </c>
      <c r="D912" t="s">
        <v>3454</v>
      </c>
      <c r="E912" t="s">
        <v>3455</v>
      </c>
      <c r="G912">
        <v>355.33</v>
      </c>
      <c r="I912">
        <v>355.33</v>
      </c>
      <c r="J912" t="s">
        <v>2509</v>
      </c>
    </row>
    <row r="913" spans="1:10" ht="15" customHeight="1" x14ac:dyDescent="0.2">
      <c r="A913" s="420">
        <v>45684</v>
      </c>
      <c r="B913" t="s">
        <v>2333</v>
      </c>
      <c r="C913" t="s">
        <v>3450</v>
      </c>
      <c r="D913" t="s">
        <v>3456</v>
      </c>
      <c r="E913" t="s">
        <v>3457</v>
      </c>
      <c r="F913">
        <v>357.33</v>
      </c>
      <c r="H913">
        <v>2</v>
      </c>
      <c r="J913" t="s">
        <v>2509</v>
      </c>
    </row>
    <row r="914" spans="1:10" ht="15" customHeight="1" x14ac:dyDescent="0.2">
      <c r="A914" s="420">
        <v>45684</v>
      </c>
      <c r="B914" t="s">
        <v>2517</v>
      </c>
      <c r="C914" t="s">
        <v>3450</v>
      </c>
      <c r="D914" t="s">
        <v>3458</v>
      </c>
      <c r="E914" t="s">
        <v>820</v>
      </c>
      <c r="G914">
        <v>2</v>
      </c>
      <c r="J914" t="s">
        <v>2509</v>
      </c>
    </row>
    <row r="915" spans="1:10" ht="15" customHeight="1" x14ac:dyDescent="0.2">
      <c r="A915" s="420">
        <v>45688</v>
      </c>
      <c r="B915" t="s">
        <v>2547</v>
      </c>
      <c r="C915" t="s">
        <v>3450</v>
      </c>
      <c r="D915" t="s">
        <v>3459</v>
      </c>
      <c r="E915" t="s">
        <v>1746</v>
      </c>
      <c r="G915">
        <v>155.46</v>
      </c>
      <c r="I915">
        <v>155.46</v>
      </c>
      <c r="J915" t="s">
        <v>2513</v>
      </c>
    </row>
    <row r="916" spans="1:10" ht="15" customHeight="1" x14ac:dyDescent="0.2">
      <c r="A916" s="420">
        <v>45699</v>
      </c>
      <c r="B916" t="s">
        <v>2333</v>
      </c>
      <c r="C916" t="s">
        <v>3450</v>
      </c>
      <c r="D916" t="s">
        <v>3460</v>
      </c>
      <c r="E916" t="s">
        <v>3461</v>
      </c>
      <c r="F916">
        <v>155.46</v>
      </c>
      <c r="J916" t="s">
        <v>2513</v>
      </c>
    </row>
    <row r="917" spans="1:10" ht="15" customHeight="1" x14ac:dyDescent="0.2">
      <c r="A917" s="420">
        <v>45703</v>
      </c>
      <c r="B917" t="s">
        <v>2532</v>
      </c>
      <c r="C917" t="s">
        <v>3450</v>
      </c>
      <c r="D917" t="s">
        <v>3462</v>
      </c>
      <c r="E917" t="s">
        <v>3463</v>
      </c>
      <c r="G917">
        <v>99.58</v>
      </c>
      <c r="I917">
        <v>99.58</v>
      </c>
      <c r="J917" t="s">
        <v>2585</v>
      </c>
    </row>
    <row r="918" spans="1:10" ht="15" customHeight="1" x14ac:dyDescent="0.2">
      <c r="A918" s="420">
        <v>45713</v>
      </c>
      <c r="B918" t="s">
        <v>2333</v>
      </c>
      <c r="C918" t="s">
        <v>3450</v>
      </c>
      <c r="D918" t="s">
        <v>3464</v>
      </c>
      <c r="E918" t="s">
        <v>3465</v>
      </c>
      <c r="F918">
        <v>101.58</v>
      </c>
      <c r="H918">
        <v>2</v>
      </c>
      <c r="J918" t="s">
        <v>2585</v>
      </c>
    </row>
    <row r="919" spans="1:10" ht="15" customHeight="1" x14ac:dyDescent="0.2">
      <c r="A919" s="420">
        <v>45713</v>
      </c>
      <c r="B919" t="s">
        <v>2517</v>
      </c>
      <c r="C919" t="s">
        <v>3450</v>
      </c>
      <c r="D919" t="s">
        <v>3466</v>
      </c>
      <c r="E919" t="s">
        <v>820</v>
      </c>
      <c r="G919">
        <v>2</v>
      </c>
      <c r="J919" t="s">
        <v>2585</v>
      </c>
    </row>
    <row r="920" spans="1:10" ht="15" customHeight="1" x14ac:dyDescent="0.2">
      <c r="A920" s="420">
        <v>45731</v>
      </c>
      <c r="B920" t="s">
        <v>2547</v>
      </c>
      <c r="C920" t="s">
        <v>3450</v>
      </c>
      <c r="D920" t="s">
        <v>3467</v>
      </c>
      <c r="E920" t="s">
        <v>1797</v>
      </c>
      <c r="G920">
        <v>51.26</v>
      </c>
      <c r="I920">
        <v>51.26</v>
      </c>
      <c r="J920" t="s">
        <v>2586</v>
      </c>
    </row>
    <row r="921" spans="1:10" ht="15" customHeight="1" x14ac:dyDescent="0.2">
      <c r="A921" s="420">
        <v>45741</v>
      </c>
      <c r="B921" t="s">
        <v>2333</v>
      </c>
      <c r="C921" t="s">
        <v>3450</v>
      </c>
      <c r="D921" t="s">
        <v>3468</v>
      </c>
      <c r="E921" t="s">
        <v>3469</v>
      </c>
      <c r="F921">
        <v>53.26</v>
      </c>
      <c r="H921">
        <v>2</v>
      </c>
      <c r="J921" t="s">
        <v>2586</v>
      </c>
    </row>
    <row r="922" spans="1:10" ht="15" customHeight="1" x14ac:dyDescent="0.2">
      <c r="A922" s="420">
        <v>45741</v>
      </c>
      <c r="B922" t="s">
        <v>2517</v>
      </c>
      <c r="C922" t="s">
        <v>3450</v>
      </c>
      <c r="D922" t="s">
        <v>3470</v>
      </c>
      <c r="E922" t="s">
        <v>820</v>
      </c>
      <c r="G922">
        <v>2</v>
      </c>
      <c r="J922" t="s">
        <v>2586</v>
      </c>
    </row>
    <row r="923" spans="1:10" ht="15" customHeight="1" x14ac:dyDescent="0.2">
      <c r="A923" s="420">
        <v>45747</v>
      </c>
      <c r="B923" t="s">
        <v>2547</v>
      </c>
      <c r="C923" t="s">
        <v>3450</v>
      </c>
      <c r="D923" t="s">
        <v>3471</v>
      </c>
      <c r="E923" t="s">
        <v>1797</v>
      </c>
      <c r="G923">
        <v>136.19</v>
      </c>
      <c r="I923">
        <v>136.19</v>
      </c>
      <c r="J923" t="s">
        <v>2587</v>
      </c>
    </row>
    <row r="924" spans="1:10" ht="15" customHeight="1" x14ac:dyDescent="0.2">
      <c r="A924" s="420">
        <v>45757</v>
      </c>
      <c r="B924" t="s">
        <v>2333</v>
      </c>
      <c r="C924" t="s">
        <v>3450</v>
      </c>
      <c r="D924" t="s">
        <v>3472</v>
      </c>
      <c r="E924" t="s">
        <v>3473</v>
      </c>
      <c r="F924">
        <v>136.19</v>
      </c>
      <c r="J924" t="s">
        <v>2587</v>
      </c>
    </row>
    <row r="925" spans="1:10" ht="15" customHeight="1" x14ac:dyDescent="0.2">
      <c r="A925" s="420">
        <v>45762</v>
      </c>
      <c r="B925" t="s">
        <v>2532</v>
      </c>
      <c r="C925" t="s">
        <v>3450</v>
      </c>
      <c r="D925" t="s">
        <v>3474</v>
      </c>
      <c r="E925" t="s">
        <v>1825</v>
      </c>
      <c r="G925">
        <v>45.86</v>
      </c>
      <c r="I925">
        <v>45.86</v>
      </c>
      <c r="J925" t="s">
        <v>2603</v>
      </c>
    </row>
    <row r="926" spans="1:10" ht="15" customHeight="1" x14ac:dyDescent="0.2">
      <c r="A926" s="420">
        <v>45772</v>
      </c>
      <c r="B926" t="s">
        <v>2333</v>
      </c>
      <c r="C926" t="s">
        <v>3450</v>
      </c>
      <c r="D926" t="s">
        <v>3475</v>
      </c>
      <c r="E926" t="s">
        <v>3476</v>
      </c>
      <c r="F926">
        <v>47.86</v>
      </c>
      <c r="H926">
        <v>2</v>
      </c>
      <c r="J926" t="s">
        <v>2603</v>
      </c>
    </row>
    <row r="927" spans="1:10" ht="15" customHeight="1" x14ac:dyDescent="0.2">
      <c r="A927" s="420">
        <v>45772</v>
      </c>
      <c r="B927" t="s">
        <v>2517</v>
      </c>
      <c r="C927" t="s">
        <v>3450</v>
      </c>
      <c r="D927" t="s">
        <v>3477</v>
      </c>
      <c r="E927" t="s">
        <v>820</v>
      </c>
      <c r="G927">
        <v>2</v>
      </c>
      <c r="J927" t="s">
        <v>2603</v>
      </c>
    </row>
    <row r="928" spans="1:10" ht="15" customHeight="1" x14ac:dyDescent="0.2">
      <c r="A928" s="420">
        <v>45777</v>
      </c>
      <c r="B928" t="s">
        <v>2532</v>
      </c>
      <c r="C928" t="s">
        <v>3450</v>
      </c>
      <c r="D928" t="s">
        <v>3478</v>
      </c>
      <c r="E928" t="s">
        <v>3479</v>
      </c>
      <c r="G928">
        <v>41.46</v>
      </c>
      <c r="I928">
        <v>41.46</v>
      </c>
      <c r="J928" t="s">
        <v>2599</v>
      </c>
    </row>
    <row r="929" spans="1:10" ht="15" customHeight="1" x14ac:dyDescent="0.2">
      <c r="A929" s="420">
        <v>45789</v>
      </c>
      <c r="B929" t="s">
        <v>2333</v>
      </c>
      <c r="C929" t="s">
        <v>3450</v>
      </c>
      <c r="D929" t="s">
        <v>3480</v>
      </c>
      <c r="E929" t="s">
        <v>3481</v>
      </c>
      <c r="F929">
        <v>41.46</v>
      </c>
      <c r="J929" t="s">
        <v>2599</v>
      </c>
    </row>
    <row r="930" spans="1:10" ht="15" customHeight="1" x14ac:dyDescent="0.2">
      <c r="A930" s="420">
        <v>45792</v>
      </c>
      <c r="B930" t="s">
        <v>2532</v>
      </c>
      <c r="C930" t="s">
        <v>3450</v>
      </c>
      <c r="D930" t="s">
        <v>3482</v>
      </c>
      <c r="E930" t="s">
        <v>1846</v>
      </c>
      <c r="G930">
        <v>109.41</v>
      </c>
      <c r="I930">
        <v>109.41</v>
      </c>
      <c r="J930" t="s">
        <v>2600</v>
      </c>
    </row>
    <row r="931" spans="1:10" ht="15" customHeight="1" x14ac:dyDescent="0.2">
      <c r="A931" s="420">
        <v>45803</v>
      </c>
      <c r="B931" t="s">
        <v>2333</v>
      </c>
      <c r="C931" t="s">
        <v>3450</v>
      </c>
      <c r="D931" t="s">
        <v>3483</v>
      </c>
      <c r="E931" t="s">
        <v>3484</v>
      </c>
      <c r="F931">
        <v>112.41</v>
      </c>
      <c r="H931">
        <v>3</v>
      </c>
      <c r="J931" t="s">
        <v>2600</v>
      </c>
    </row>
    <row r="932" spans="1:10" ht="15" customHeight="1" x14ac:dyDescent="0.2">
      <c r="A932" s="420">
        <v>45803</v>
      </c>
      <c r="B932" t="s">
        <v>2517</v>
      </c>
      <c r="C932" t="s">
        <v>3450</v>
      </c>
      <c r="D932" t="s">
        <v>3485</v>
      </c>
      <c r="E932" t="s">
        <v>820</v>
      </c>
      <c r="G932">
        <v>3</v>
      </c>
      <c r="J932" t="s">
        <v>2600</v>
      </c>
    </row>
    <row r="933" spans="1:10" ht="15" customHeight="1" x14ac:dyDescent="0.2">
      <c r="A933" s="420">
        <v>45808</v>
      </c>
      <c r="B933" t="s">
        <v>2532</v>
      </c>
      <c r="C933" t="s">
        <v>3450</v>
      </c>
      <c r="D933" t="s">
        <v>3486</v>
      </c>
      <c r="E933" t="s">
        <v>3487</v>
      </c>
      <c r="G933">
        <v>120.79</v>
      </c>
      <c r="I933">
        <v>120.79</v>
      </c>
      <c r="J933" t="s">
        <v>2604</v>
      </c>
    </row>
    <row r="934" spans="1:10" ht="15" customHeight="1" x14ac:dyDescent="0.2">
      <c r="A934" s="420">
        <v>45818</v>
      </c>
      <c r="B934" t="s">
        <v>2333</v>
      </c>
      <c r="C934" t="s">
        <v>3450</v>
      </c>
      <c r="D934" t="s">
        <v>3488</v>
      </c>
      <c r="E934" t="s">
        <v>3489</v>
      </c>
      <c r="F934">
        <v>120.79</v>
      </c>
      <c r="J934" t="s">
        <v>2604</v>
      </c>
    </row>
    <row r="935" spans="1:10" ht="15" customHeight="1" x14ac:dyDescent="0.2">
      <c r="A935" s="420">
        <v>45823</v>
      </c>
      <c r="B935" t="s">
        <v>2532</v>
      </c>
      <c r="C935" t="s">
        <v>3450</v>
      </c>
      <c r="D935" t="s">
        <v>3490</v>
      </c>
      <c r="E935" t="s">
        <v>1881</v>
      </c>
      <c r="G935">
        <v>115.89</v>
      </c>
      <c r="I935">
        <v>115.89</v>
      </c>
      <c r="J935" t="s">
        <v>2601</v>
      </c>
    </row>
    <row r="936" spans="1:10" ht="15" customHeight="1" x14ac:dyDescent="0.2">
      <c r="A936" s="420">
        <v>45834</v>
      </c>
      <c r="B936" t="s">
        <v>2333</v>
      </c>
      <c r="C936" t="s">
        <v>3450</v>
      </c>
      <c r="D936" t="s">
        <v>3491</v>
      </c>
      <c r="E936" t="s">
        <v>3492</v>
      </c>
      <c r="F936">
        <v>117.89</v>
      </c>
      <c r="H936">
        <v>2</v>
      </c>
      <c r="J936" t="s">
        <v>2601</v>
      </c>
    </row>
    <row r="937" spans="1:10" ht="15" customHeight="1" x14ac:dyDescent="0.2">
      <c r="A937" s="420">
        <v>45834</v>
      </c>
      <c r="B937" t="s">
        <v>2517</v>
      </c>
      <c r="C937" t="s">
        <v>3450</v>
      </c>
      <c r="D937" t="s">
        <v>3493</v>
      </c>
      <c r="E937" t="s">
        <v>820</v>
      </c>
      <c r="G937">
        <v>2</v>
      </c>
      <c r="J937" t="s">
        <v>2601</v>
      </c>
    </row>
    <row r="938" spans="1:10" ht="15" customHeight="1" x14ac:dyDescent="0.2">
      <c r="A938" s="420">
        <v>45838</v>
      </c>
      <c r="B938" t="s">
        <v>2532</v>
      </c>
      <c r="C938" t="s">
        <v>3450</v>
      </c>
      <c r="D938" t="s">
        <v>3494</v>
      </c>
      <c r="E938" t="s">
        <v>1885</v>
      </c>
      <c r="G938">
        <v>112.67</v>
      </c>
      <c r="I938">
        <v>112.67</v>
      </c>
      <c r="J938" t="s">
        <v>2602</v>
      </c>
    </row>
    <row r="939" spans="1:10" ht="15" customHeight="1" x14ac:dyDescent="0.2">
      <c r="A939" s="420">
        <v>45848</v>
      </c>
      <c r="B939" t="s">
        <v>2333</v>
      </c>
      <c r="C939" t="s">
        <v>3450</v>
      </c>
      <c r="D939" t="s">
        <v>3495</v>
      </c>
      <c r="E939" t="s">
        <v>3496</v>
      </c>
      <c r="F939">
        <v>112.67</v>
      </c>
      <c r="J939" t="s">
        <v>2602</v>
      </c>
    </row>
    <row r="940" spans="1:10" ht="15" customHeight="1" x14ac:dyDescent="0.2">
      <c r="A940" s="420">
        <v>45853</v>
      </c>
      <c r="B940" t="s">
        <v>2532</v>
      </c>
      <c r="C940" t="s">
        <v>3450</v>
      </c>
      <c r="D940" t="s">
        <v>3497</v>
      </c>
      <c r="E940" t="s">
        <v>3498</v>
      </c>
      <c r="G940">
        <v>53.53</v>
      </c>
      <c r="I940">
        <v>53.53</v>
      </c>
      <c r="J940" t="s">
        <v>2715</v>
      </c>
    </row>
    <row r="941" spans="1:10" ht="15" customHeight="1" x14ac:dyDescent="0.2">
      <c r="A941" s="420">
        <v>45863</v>
      </c>
      <c r="B941" t="s">
        <v>2333</v>
      </c>
      <c r="C941" t="s">
        <v>3450</v>
      </c>
      <c r="D941" t="s">
        <v>3499</v>
      </c>
      <c r="E941" t="s">
        <v>3500</v>
      </c>
      <c r="F941">
        <v>55.53</v>
      </c>
      <c r="H941">
        <v>2</v>
      </c>
      <c r="J941" t="s">
        <v>2715</v>
      </c>
    </row>
    <row r="942" spans="1:10" ht="15" customHeight="1" x14ac:dyDescent="0.2">
      <c r="A942" s="420">
        <v>45863</v>
      </c>
      <c r="B942" t="s">
        <v>2517</v>
      </c>
      <c r="C942" t="s">
        <v>3450</v>
      </c>
      <c r="D942" t="s">
        <v>3501</v>
      </c>
      <c r="E942" t="s">
        <v>820</v>
      </c>
      <c r="G942">
        <v>2</v>
      </c>
      <c r="J942" t="s">
        <v>2715</v>
      </c>
    </row>
    <row r="943" spans="1:10" ht="15" customHeight="1" x14ac:dyDescent="0.2">
      <c r="A943" s="420">
        <v>45869</v>
      </c>
      <c r="B943" t="s">
        <v>2532</v>
      </c>
      <c r="C943" t="s">
        <v>3450</v>
      </c>
      <c r="D943" t="s">
        <v>3502</v>
      </c>
      <c r="E943" t="s">
        <v>1910</v>
      </c>
      <c r="G943">
        <v>114.4</v>
      </c>
      <c r="I943">
        <v>114.4</v>
      </c>
      <c r="J943" t="s">
        <v>2605</v>
      </c>
    </row>
    <row r="944" spans="1:10" ht="15" customHeight="1" x14ac:dyDescent="0.2">
      <c r="A944" s="420">
        <v>45880</v>
      </c>
      <c r="B944" t="s">
        <v>2333</v>
      </c>
      <c r="C944" t="s">
        <v>3450</v>
      </c>
      <c r="D944" t="s">
        <v>3503</v>
      </c>
      <c r="E944" t="s">
        <v>3504</v>
      </c>
      <c r="F944">
        <v>114.4</v>
      </c>
      <c r="J944" t="s">
        <v>2605</v>
      </c>
    </row>
    <row r="945" spans="1:10" ht="15" customHeight="1" x14ac:dyDescent="0.2">
      <c r="A945" s="420">
        <v>45884</v>
      </c>
      <c r="B945" t="s">
        <v>2532</v>
      </c>
      <c r="C945" t="s">
        <v>3450</v>
      </c>
      <c r="D945" t="s">
        <v>3505</v>
      </c>
      <c r="E945" t="s">
        <v>1916</v>
      </c>
      <c r="G945">
        <v>216.13</v>
      </c>
      <c r="I945">
        <v>216.13</v>
      </c>
      <c r="J945" t="s">
        <v>2710</v>
      </c>
    </row>
    <row r="946" spans="1:10" ht="15" customHeight="1" x14ac:dyDescent="0.2">
      <c r="A946" s="420">
        <v>45895</v>
      </c>
      <c r="B946" t="s">
        <v>2333</v>
      </c>
      <c r="C946" t="s">
        <v>3450</v>
      </c>
      <c r="D946" t="s">
        <v>3506</v>
      </c>
      <c r="E946" t="s">
        <v>3507</v>
      </c>
      <c r="F946">
        <v>218.13</v>
      </c>
      <c r="H946">
        <v>2</v>
      </c>
      <c r="J946" t="s">
        <v>2710</v>
      </c>
    </row>
    <row r="947" spans="1:10" ht="15" customHeight="1" x14ac:dyDescent="0.2">
      <c r="A947" s="420">
        <v>45895</v>
      </c>
      <c r="B947" t="s">
        <v>2517</v>
      </c>
      <c r="C947" t="s">
        <v>3450</v>
      </c>
      <c r="D947" t="s">
        <v>3508</v>
      </c>
      <c r="E947" t="s">
        <v>820</v>
      </c>
      <c r="G947">
        <v>2</v>
      </c>
      <c r="J947" t="s">
        <v>2710</v>
      </c>
    </row>
    <row r="948" spans="1:10" ht="15" customHeight="1" x14ac:dyDescent="0.2">
      <c r="A948" s="420">
        <v>45900</v>
      </c>
      <c r="B948" t="s">
        <v>2532</v>
      </c>
      <c r="C948" t="s">
        <v>3450</v>
      </c>
      <c r="D948" t="s">
        <v>3509</v>
      </c>
      <c r="E948" t="s">
        <v>1923</v>
      </c>
      <c r="G948">
        <v>120.32</v>
      </c>
      <c r="I948">
        <v>120.32</v>
      </c>
      <c r="J948" t="s">
        <v>2719</v>
      </c>
    </row>
    <row r="949" spans="1:10" ht="15" customHeight="1" x14ac:dyDescent="0.2">
      <c r="A949" s="420">
        <v>45910</v>
      </c>
      <c r="B949" t="s">
        <v>2333</v>
      </c>
      <c r="C949" t="s">
        <v>3450</v>
      </c>
      <c r="D949" t="s">
        <v>3510</v>
      </c>
      <c r="E949" t="s">
        <v>3511</v>
      </c>
      <c r="F949">
        <v>120.32</v>
      </c>
      <c r="J949" t="s">
        <v>2719</v>
      </c>
    </row>
    <row r="950" spans="1:10" ht="15" customHeight="1" x14ac:dyDescent="0.2">
      <c r="A950" s="420">
        <v>45915</v>
      </c>
      <c r="B950" t="s">
        <v>2532</v>
      </c>
      <c r="C950" t="s">
        <v>3450</v>
      </c>
      <c r="D950" t="s">
        <v>3512</v>
      </c>
      <c r="E950" t="s">
        <v>1937</v>
      </c>
      <c r="G950">
        <v>177.49</v>
      </c>
      <c r="I950">
        <v>177.49</v>
      </c>
      <c r="J950" t="s">
        <v>2725</v>
      </c>
    </row>
    <row r="951" spans="1:10" ht="15" customHeight="1" x14ac:dyDescent="0.2">
      <c r="A951" s="420">
        <v>45925</v>
      </c>
      <c r="B951" t="s">
        <v>2333</v>
      </c>
      <c r="C951" t="s">
        <v>3450</v>
      </c>
      <c r="D951" t="s">
        <v>3513</v>
      </c>
      <c r="E951" t="s">
        <v>3514</v>
      </c>
      <c r="F951">
        <v>179.49</v>
      </c>
      <c r="H951">
        <v>2</v>
      </c>
      <c r="J951" t="s">
        <v>2725</v>
      </c>
    </row>
    <row r="952" spans="1:10" ht="15" customHeight="1" x14ac:dyDescent="0.2">
      <c r="A952" s="420">
        <v>45925</v>
      </c>
      <c r="B952" t="s">
        <v>2517</v>
      </c>
      <c r="C952" t="s">
        <v>3450</v>
      </c>
      <c r="D952" t="s">
        <v>3515</v>
      </c>
      <c r="E952" t="s">
        <v>820</v>
      </c>
      <c r="G952">
        <v>2</v>
      </c>
      <c r="J952" t="s">
        <v>2725</v>
      </c>
    </row>
    <row r="953" spans="1:10" ht="15" customHeight="1" x14ac:dyDescent="0.2">
      <c r="A953" s="420">
        <v>45930</v>
      </c>
      <c r="B953" t="s">
        <v>2532</v>
      </c>
      <c r="C953" t="s">
        <v>3450</v>
      </c>
      <c r="D953" t="s">
        <v>3516</v>
      </c>
      <c r="E953" t="s">
        <v>1940</v>
      </c>
      <c r="G953">
        <v>120.87</v>
      </c>
      <c r="I953">
        <v>120.87</v>
      </c>
      <c r="J953" t="s">
        <v>2727</v>
      </c>
    </row>
    <row r="954" spans="1:10" ht="15" customHeight="1" x14ac:dyDescent="0.2">
      <c r="A954" s="420">
        <v>45940</v>
      </c>
      <c r="B954" t="s">
        <v>2333</v>
      </c>
      <c r="C954" t="s">
        <v>3450</v>
      </c>
      <c r="D954" t="s">
        <v>3517</v>
      </c>
      <c r="E954" t="s">
        <v>3518</v>
      </c>
      <c r="F954">
        <v>120.87</v>
      </c>
      <c r="J954" t="s">
        <v>2727</v>
      </c>
    </row>
    <row r="955" spans="1:10" ht="15" customHeight="1" x14ac:dyDescent="0.2">
      <c r="A955" s="420">
        <v>45945</v>
      </c>
      <c r="B955" t="s">
        <v>2532</v>
      </c>
      <c r="C955" t="s">
        <v>3450</v>
      </c>
      <c r="D955" t="s">
        <v>3519</v>
      </c>
      <c r="E955" t="s">
        <v>1955</v>
      </c>
      <c r="G955">
        <v>165.3</v>
      </c>
      <c r="I955">
        <v>165.3</v>
      </c>
      <c r="J955" t="s">
        <v>2941</v>
      </c>
    </row>
    <row r="956" spans="1:10" ht="15" customHeight="1" x14ac:dyDescent="0.2">
      <c r="A956" s="420">
        <v>45957</v>
      </c>
      <c r="B956" t="s">
        <v>2333</v>
      </c>
      <c r="C956" t="s">
        <v>3450</v>
      </c>
      <c r="D956" t="s">
        <v>3520</v>
      </c>
      <c r="E956" t="s">
        <v>3521</v>
      </c>
      <c r="F956">
        <v>167.3</v>
      </c>
      <c r="H956">
        <v>2</v>
      </c>
      <c r="J956" t="s">
        <v>2941</v>
      </c>
    </row>
    <row r="957" spans="1:10" ht="15" customHeight="1" x14ac:dyDescent="0.2">
      <c r="A957" s="420">
        <v>45957</v>
      </c>
      <c r="B957" t="s">
        <v>2517</v>
      </c>
      <c r="C957" t="s">
        <v>3450</v>
      </c>
      <c r="D957" t="s">
        <v>3522</v>
      </c>
      <c r="E957" t="s">
        <v>820</v>
      </c>
      <c r="G957">
        <v>2</v>
      </c>
      <c r="J957" t="s">
        <v>2941</v>
      </c>
    </row>
    <row r="958" spans="1:10" ht="15" customHeight="1" x14ac:dyDescent="0.2">
      <c r="A958" s="420">
        <v>45961</v>
      </c>
      <c r="B958" t="s">
        <v>2532</v>
      </c>
      <c r="C958" t="s">
        <v>3450</v>
      </c>
      <c r="D958" t="s">
        <v>3523</v>
      </c>
      <c r="E958" t="s">
        <v>1963</v>
      </c>
      <c r="G958">
        <v>168.04</v>
      </c>
      <c r="I958">
        <v>168.04</v>
      </c>
      <c r="J958" t="s">
        <v>2729</v>
      </c>
    </row>
    <row r="959" spans="1:10" ht="15" customHeight="1" x14ac:dyDescent="0.2">
      <c r="A959" s="420">
        <v>45972</v>
      </c>
      <c r="B959" t="s">
        <v>2333</v>
      </c>
      <c r="C959" t="s">
        <v>3450</v>
      </c>
      <c r="D959" t="s">
        <v>3524</v>
      </c>
      <c r="E959" t="s">
        <v>3525</v>
      </c>
      <c r="F959">
        <v>168.04</v>
      </c>
      <c r="J959" t="s">
        <v>2729</v>
      </c>
    </row>
    <row r="960" spans="1:10" ht="15" customHeight="1" x14ac:dyDescent="0.2">
      <c r="A960" s="420">
        <v>45976</v>
      </c>
      <c r="B960" t="s">
        <v>2532</v>
      </c>
      <c r="C960" t="s">
        <v>3450</v>
      </c>
      <c r="D960" t="s">
        <v>3526</v>
      </c>
      <c r="E960" t="s">
        <v>1974</v>
      </c>
      <c r="G960">
        <v>90.08</v>
      </c>
      <c r="I960">
        <v>90.08</v>
      </c>
      <c r="J960" t="s">
        <v>2731</v>
      </c>
    </row>
    <row r="961" spans="1:10" ht="15" customHeight="1" x14ac:dyDescent="0.2">
      <c r="A961" s="420">
        <v>45986</v>
      </c>
      <c r="B961" t="s">
        <v>2333</v>
      </c>
      <c r="C961" t="s">
        <v>3450</v>
      </c>
      <c r="D961" t="s">
        <v>3527</v>
      </c>
      <c r="E961" t="s">
        <v>3528</v>
      </c>
      <c r="F961">
        <v>92.08</v>
      </c>
      <c r="H961">
        <v>2</v>
      </c>
      <c r="J961" t="s">
        <v>2731</v>
      </c>
    </row>
    <row r="962" spans="1:10" ht="15" customHeight="1" x14ac:dyDescent="0.2">
      <c r="A962" s="420">
        <v>45986</v>
      </c>
      <c r="B962" t="s">
        <v>2517</v>
      </c>
      <c r="C962" t="s">
        <v>3450</v>
      </c>
      <c r="D962" t="s">
        <v>3529</v>
      </c>
      <c r="E962" t="s">
        <v>820</v>
      </c>
      <c r="G962">
        <v>2</v>
      </c>
      <c r="J962" t="s">
        <v>2731</v>
      </c>
    </row>
    <row r="963" spans="1:10" ht="15" customHeight="1" x14ac:dyDescent="0.2">
      <c r="A963" s="420">
        <v>45991</v>
      </c>
      <c r="B963" t="s">
        <v>2532</v>
      </c>
      <c r="C963" t="s">
        <v>3450</v>
      </c>
      <c r="D963" t="s">
        <v>3530</v>
      </c>
      <c r="E963" t="s">
        <v>1983</v>
      </c>
      <c r="G963">
        <v>165.4</v>
      </c>
      <c r="I963">
        <v>165.4</v>
      </c>
      <c r="J963" t="s">
        <v>2739</v>
      </c>
    </row>
    <row r="964" spans="1:10" ht="15" customHeight="1" x14ac:dyDescent="0.2">
      <c r="A964" s="420">
        <v>46001</v>
      </c>
      <c r="B964" t="s">
        <v>2333</v>
      </c>
      <c r="C964" t="s">
        <v>3450</v>
      </c>
      <c r="D964" t="s">
        <v>3531</v>
      </c>
      <c r="E964" t="s">
        <v>3532</v>
      </c>
      <c r="F964">
        <v>165.4</v>
      </c>
      <c r="J964" t="s">
        <v>2739</v>
      </c>
    </row>
    <row r="965" spans="1:10" ht="15" customHeight="1" x14ac:dyDescent="0.2">
      <c r="A965" s="420">
        <v>46006</v>
      </c>
      <c r="B965" t="s">
        <v>2547</v>
      </c>
      <c r="C965" t="s">
        <v>3450</v>
      </c>
      <c r="D965" t="s">
        <v>3533</v>
      </c>
      <c r="E965" t="s">
        <v>1797</v>
      </c>
      <c r="G965">
        <v>186.49</v>
      </c>
      <c r="I965">
        <v>186.49</v>
      </c>
      <c r="J965" t="s">
        <v>2743</v>
      </c>
    </row>
    <row r="966" spans="1:10" ht="15" customHeight="1" x14ac:dyDescent="0.2">
      <c r="A966" s="420">
        <v>46020</v>
      </c>
      <c r="B966" t="s">
        <v>2333</v>
      </c>
      <c r="C966" t="s">
        <v>3450</v>
      </c>
      <c r="D966" t="s">
        <v>3534</v>
      </c>
      <c r="E966" t="s">
        <v>3535</v>
      </c>
      <c r="F966">
        <v>188.49</v>
      </c>
      <c r="H966">
        <v>2</v>
      </c>
      <c r="J966" t="s">
        <v>2743</v>
      </c>
    </row>
    <row r="967" spans="1:10" ht="15" customHeight="1" x14ac:dyDescent="0.2">
      <c r="A967" s="420">
        <v>46020</v>
      </c>
      <c r="B967" t="s">
        <v>2517</v>
      </c>
      <c r="C967" t="s">
        <v>3450</v>
      </c>
      <c r="D967" t="s">
        <v>3536</v>
      </c>
      <c r="E967" t="s">
        <v>820</v>
      </c>
      <c r="G967">
        <v>2</v>
      </c>
      <c r="J967" t="s">
        <v>2743</v>
      </c>
    </row>
    <row r="968" spans="1:10" ht="15" customHeight="1" x14ac:dyDescent="0.2">
      <c r="A968" s="420">
        <v>46022</v>
      </c>
      <c r="B968" t="s">
        <v>2547</v>
      </c>
      <c r="C968" t="s">
        <v>3450</v>
      </c>
      <c r="D968" t="s">
        <v>3537</v>
      </c>
      <c r="E968" t="s">
        <v>1797</v>
      </c>
      <c r="G968">
        <v>109.22</v>
      </c>
      <c r="I968">
        <v>109.22</v>
      </c>
      <c r="J968" t="s">
        <v>2511</v>
      </c>
    </row>
    <row r="969" spans="1:10" ht="15" customHeight="1" x14ac:dyDescent="0.2">
      <c r="A969" t="s">
        <v>3450</v>
      </c>
      <c r="E969" t="s">
        <v>349</v>
      </c>
      <c r="F969">
        <v>3042.8</v>
      </c>
      <c r="G969">
        <v>3152.02</v>
      </c>
      <c r="I969">
        <v>109.22</v>
      </c>
    </row>
    <row r="971" spans="1:10" ht="15" customHeight="1" x14ac:dyDescent="0.2">
      <c r="A971" t="s">
        <v>3538</v>
      </c>
      <c r="B971" t="s">
        <v>3539</v>
      </c>
      <c r="F971" t="s">
        <v>2430</v>
      </c>
      <c r="G971" t="s">
        <v>2431</v>
      </c>
      <c r="H971" t="s">
        <v>2432</v>
      </c>
      <c r="I971" t="s">
        <v>2433</v>
      </c>
      <c r="J971" t="s">
        <v>2434</v>
      </c>
    </row>
    <row r="972" spans="1:10" ht="15" customHeight="1" x14ac:dyDescent="0.2">
      <c r="A972" s="420">
        <v>45800</v>
      </c>
      <c r="B972" t="s">
        <v>2532</v>
      </c>
      <c r="C972" t="s">
        <v>3538</v>
      </c>
      <c r="D972" t="s">
        <v>3540</v>
      </c>
      <c r="E972" t="s">
        <v>492</v>
      </c>
      <c r="G972">
        <v>1098</v>
      </c>
      <c r="I972">
        <v>1098</v>
      </c>
      <c r="J972" t="s">
        <v>2511</v>
      </c>
    </row>
    <row r="973" spans="1:10" ht="15" customHeight="1" x14ac:dyDescent="0.2">
      <c r="A973" s="420">
        <v>45803</v>
      </c>
      <c r="B973" t="s">
        <v>2333</v>
      </c>
      <c r="C973" t="s">
        <v>3538</v>
      </c>
      <c r="D973" t="s">
        <v>3541</v>
      </c>
      <c r="E973" t="s">
        <v>3542</v>
      </c>
      <c r="F973">
        <v>1098</v>
      </c>
      <c r="J973" t="s">
        <v>2511</v>
      </c>
    </row>
    <row r="974" spans="1:10" ht="15" customHeight="1" x14ac:dyDescent="0.2">
      <c r="A974" t="s">
        <v>3538</v>
      </c>
      <c r="E974" t="s">
        <v>349</v>
      </c>
      <c r="F974">
        <v>1098</v>
      </c>
      <c r="G974">
        <v>1098</v>
      </c>
    </row>
    <row r="976" spans="1:10" ht="15" customHeight="1" x14ac:dyDescent="0.2">
      <c r="A976" t="s">
        <v>3543</v>
      </c>
      <c r="B976" t="s">
        <v>3544</v>
      </c>
      <c r="F976" t="s">
        <v>2430</v>
      </c>
      <c r="G976" t="s">
        <v>2431</v>
      </c>
      <c r="H976" t="s">
        <v>2432</v>
      </c>
      <c r="I976" t="s">
        <v>2433</v>
      </c>
      <c r="J976" t="s">
        <v>2434</v>
      </c>
    </row>
    <row r="977" spans="1:10" ht="15" customHeight="1" x14ac:dyDescent="0.2">
      <c r="A977" s="420">
        <v>45712</v>
      </c>
      <c r="B977" t="s">
        <v>2547</v>
      </c>
      <c r="C977" t="s">
        <v>3543</v>
      </c>
      <c r="D977" t="s">
        <v>3545</v>
      </c>
      <c r="E977" t="s">
        <v>3546</v>
      </c>
      <c r="G977">
        <v>30</v>
      </c>
      <c r="I977">
        <v>30</v>
      </c>
      <c r="J977" t="s">
        <v>2511</v>
      </c>
    </row>
    <row r="978" spans="1:10" ht="15" customHeight="1" x14ac:dyDescent="0.2">
      <c r="A978" s="420">
        <v>45713</v>
      </c>
      <c r="B978" t="s">
        <v>2333</v>
      </c>
      <c r="C978" t="s">
        <v>3543</v>
      </c>
      <c r="D978" t="s">
        <v>3547</v>
      </c>
      <c r="E978" t="s">
        <v>3548</v>
      </c>
      <c r="F978">
        <v>30</v>
      </c>
      <c r="J978" t="s">
        <v>2511</v>
      </c>
    </row>
    <row r="979" spans="1:10" ht="15" customHeight="1" x14ac:dyDescent="0.2">
      <c r="A979" s="420">
        <v>45776</v>
      </c>
      <c r="B979" t="s">
        <v>2532</v>
      </c>
      <c r="C979" t="s">
        <v>3543</v>
      </c>
      <c r="D979" t="s">
        <v>3549</v>
      </c>
      <c r="E979" t="s">
        <v>1349</v>
      </c>
      <c r="G979">
        <v>16</v>
      </c>
      <c r="I979">
        <v>16</v>
      </c>
      <c r="J979" t="s">
        <v>2509</v>
      </c>
    </row>
    <row r="980" spans="1:10" ht="15" customHeight="1" x14ac:dyDescent="0.2">
      <c r="A980" s="420">
        <v>45777</v>
      </c>
      <c r="B980" t="s">
        <v>2333</v>
      </c>
      <c r="C980" t="s">
        <v>3543</v>
      </c>
      <c r="D980" t="s">
        <v>3550</v>
      </c>
      <c r="E980" t="s">
        <v>3551</v>
      </c>
      <c r="F980">
        <v>16</v>
      </c>
      <c r="J980" t="s">
        <v>2509</v>
      </c>
    </row>
    <row r="981" spans="1:10" ht="15" customHeight="1" x14ac:dyDescent="0.2">
      <c r="A981" s="420">
        <v>45868</v>
      </c>
      <c r="B981" t="s">
        <v>2532</v>
      </c>
      <c r="C981" t="s">
        <v>3543</v>
      </c>
      <c r="D981" t="s">
        <v>3552</v>
      </c>
      <c r="E981" t="s">
        <v>1387</v>
      </c>
      <c r="G981">
        <v>17</v>
      </c>
      <c r="I981">
        <v>17</v>
      </c>
      <c r="J981" t="s">
        <v>2513</v>
      </c>
    </row>
    <row r="982" spans="1:10" ht="15" customHeight="1" x14ac:dyDescent="0.2">
      <c r="A982" s="420">
        <v>45869</v>
      </c>
      <c r="B982" t="s">
        <v>2333</v>
      </c>
      <c r="C982" t="s">
        <v>3543</v>
      </c>
      <c r="D982" t="s">
        <v>3553</v>
      </c>
      <c r="E982" t="s">
        <v>3551</v>
      </c>
      <c r="F982">
        <v>17</v>
      </c>
      <c r="J982" t="s">
        <v>2513</v>
      </c>
    </row>
    <row r="983" spans="1:10" ht="15" customHeight="1" x14ac:dyDescent="0.2">
      <c r="A983" s="420">
        <v>45943</v>
      </c>
      <c r="B983" t="s">
        <v>2532</v>
      </c>
      <c r="C983" t="s">
        <v>3543</v>
      </c>
      <c r="D983" t="s">
        <v>3554</v>
      </c>
      <c r="E983" t="s">
        <v>1408</v>
      </c>
      <c r="G983">
        <v>12</v>
      </c>
      <c r="I983">
        <v>12</v>
      </c>
      <c r="J983" t="s">
        <v>2585</v>
      </c>
    </row>
    <row r="984" spans="1:10" ht="15" customHeight="1" x14ac:dyDescent="0.2">
      <c r="A984" s="420">
        <v>45943</v>
      </c>
      <c r="B984" t="s">
        <v>2532</v>
      </c>
      <c r="C984" t="s">
        <v>3543</v>
      </c>
      <c r="D984" t="s">
        <v>3555</v>
      </c>
      <c r="E984" t="s">
        <v>1409</v>
      </c>
      <c r="G984">
        <v>12</v>
      </c>
      <c r="I984">
        <v>24</v>
      </c>
      <c r="J984" t="s">
        <v>2586</v>
      </c>
    </row>
    <row r="985" spans="1:10" ht="15" customHeight="1" x14ac:dyDescent="0.2">
      <c r="A985" s="420">
        <v>45944</v>
      </c>
      <c r="B985" t="s">
        <v>2333</v>
      </c>
      <c r="C985" t="s">
        <v>3543</v>
      </c>
      <c r="D985" t="s">
        <v>3556</v>
      </c>
      <c r="E985" t="s">
        <v>3551</v>
      </c>
      <c r="F985">
        <v>12</v>
      </c>
      <c r="I985">
        <v>12</v>
      </c>
      <c r="J985" t="s">
        <v>2585</v>
      </c>
    </row>
    <row r="986" spans="1:10" ht="15" customHeight="1" x14ac:dyDescent="0.2">
      <c r="A986" s="420">
        <v>45944</v>
      </c>
      <c r="B986" t="s">
        <v>2333</v>
      </c>
      <c r="C986" t="s">
        <v>3543</v>
      </c>
      <c r="D986" t="s">
        <v>3557</v>
      </c>
      <c r="E986" t="s">
        <v>3551</v>
      </c>
      <c r="F986">
        <v>12</v>
      </c>
      <c r="J986" t="s">
        <v>2586</v>
      </c>
    </row>
    <row r="987" spans="1:10" ht="15" customHeight="1" x14ac:dyDescent="0.2">
      <c r="A987" s="420">
        <v>45980</v>
      </c>
      <c r="B987" t="s">
        <v>2532</v>
      </c>
      <c r="C987" t="s">
        <v>3543</v>
      </c>
      <c r="D987" t="s">
        <v>3558</v>
      </c>
      <c r="E987" t="s">
        <v>1421</v>
      </c>
      <c r="G987">
        <v>16</v>
      </c>
      <c r="I987">
        <v>16</v>
      </c>
      <c r="J987" t="s">
        <v>2587</v>
      </c>
    </row>
    <row r="988" spans="1:10" ht="15" customHeight="1" x14ac:dyDescent="0.2">
      <c r="A988" s="420">
        <v>45981</v>
      </c>
      <c r="B988" t="s">
        <v>2333</v>
      </c>
      <c r="C988" t="s">
        <v>3543</v>
      </c>
      <c r="D988" t="s">
        <v>3559</v>
      </c>
      <c r="E988" t="s">
        <v>3551</v>
      </c>
      <c r="F988">
        <v>16</v>
      </c>
      <c r="J988" t="s">
        <v>2587</v>
      </c>
    </row>
    <row r="989" spans="1:10" ht="15" customHeight="1" x14ac:dyDescent="0.2">
      <c r="A989" t="s">
        <v>3543</v>
      </c>
      <c r="E989" t="s">
        <v>349</v>
      </c>
      <c r="F989">
        <v>103</v>
      </c>
      <c r="G989">
        <v>103</v>
      </c>
    </row>
    <row r="991" spans="1:10" ht="15" customHeight="1" x14ac:dyDescent="0.2">
      <c r="A991" t="s">
        <v>3560</v>
      </c>
      <c r="B991" t="s">
        <v>3561</v>
      </c>
      <c r="F991" t="s">
        <v>2430</v>
      </c>
      <c r="G991" t="s">
        <v>2431</v>
      </c>
      <c r="H991" t="s">
        <v>2432</v>
      </c>
      <c r="I991" t="s">
        <v>2433</v>
      </c>
      <c r="J991" t="s">
        <v>2434</v>
      </c>
    </row>
    <row r="992" spans="1:10" ht="15" customHeight="1" x14ac:dyDescent="0.2">
      <c r="A992" s="420">
        <v>45720</v>
      </c>
      <c r="B992" t="s">
        <v>2333</v>
      </c>
      <c r="C992" t="s">
        <v>3560</v>
      </c>
      <c r="D992" t="s">
        <v>3562</v>
      </c>
      <c r="E992" t="s">
        <v>3563</v>
      </c>
      <c r="F992">
        <v>367.2</v>
      </c>
      <c r="H992">
        <v>367.2</v>
      </c>
      <c r="J992" t="s">
        <v>2511</v>
      </c>
    </row>
    <row r="993" spans="1:10" ht="15" customHeight="1" x14ac:dyDescent="0.2">
      <c r="A993" s="420">
        <v>45725</v>
      </c>
      <c r="B993" t="s">
        <v>2547</v>
      </c>
      <c r="C993" t="s">
        <v>3560</v>
      </c>
      <c r="D993" t="s">
        <v>3564</v>
      </c>
      <c r="E993" t="s">
        <v>1790</v>
      </c>
      <c r="G993">
        <v>367.2</v>
      </c>
      <c r="J993" t="s">
        <v>2511</v>
      </c>
    </row>
    <row r="994" spans="1:10" ht="15" customHeight="1" x14ac:dyDescent="0.2">
      <c r="A994" s="420">
        <v>45960</v>
      </c>
      <c r="B994" t="s">
        <v>2333</v>
      </c>
      <c r="C994" t="s">
        <v>3560</v>
      </c>
      <c r="D994" t="s">
        <v>3565</v>
      </c>
      <c r="E994" t="s">
        <v>3566</v>
      </c>
      <c r="F994">
        <v>374.83</v>
      </c>
      <c r="H994">
        <v>374.83</v>
      </c>
      <c r="J994" t="s">
        <v>2509</v>
      </c>
    </row>
    <row r="995" spans="1:10" ht="15" customHeight="1" x14ac:dyDescent="0.2">
      <c r="A995" s="420">
        <v>45992</v>
      </c>
      <c r="B995" t="s">
        <v>2547</v>
      </c>
      <c r="C995" t="s">
        <v>3560</v>
      </c>
      <c r="D995" t="s">
        <v>3567</v>
      </c>
      <c r="E995" t="s">
        <v>1984</v>
      </c>
      <c r="G995">
        <v>374.83</v>
      </c>
      <c r="J995" t="s">
        <v>2509</v>
      </c>
    </row>
    <row r="996" spans="1:10" ht="15" customHeight="1" x14ac:dyDescent="0.2">
      <c r="A996" t="s">
        <v>3560</v>
      </c>
      <c r="E996" t="s">
        <v>349</v>
      </c>
      <c r="F996">
        <v>742.03</v>
      </c>
      <c r="G996">
        <v>742.03</v>
      </c>
    </row>
    <row r="998" spans="1:10" ht="15" customHeight="1" x14ac:dyDescent="0.2">
      <c r="A998" t="s">
        <v>3568</v>
      </c>
      <c r="B998" t="s">
        <v>3569</v>
      </c>
      <c r="F998" t="s">
        <v>2430</v>
      </c>
      <c r="G998" t="s">
        <v>2431</v>
      </c>
      <c r="H998" t="s">
        <v>2432</v>
      </c>
      <c r="I998" t="s">
        <v>2433</v>
      </c>
      <c r="J998" t="s">
        <v>2434</v>
      </c>
    </row>
    <row r="999" spans="1:10" ht="15" customHeight="1" x14ac:dyDescent="0.2">
      <c r="A999" s="420">
        <v>45715</v>
      </c>
      <c r="B999" t="s">
        <v>2333</v>
      </c>
      <c r="C999" t="s">
        <v>3568</v>
      </c>
      <c r="D999" t="s">
        <v>3570</v>
      </c>
      <c r="E999" t="s">
        <v>3571</v>
      </c>
      <c r="F999">
        <v>117</v>
      </c>
      <c r="H999">
        <v>117</v>
      </c>
      <c r="J999" t="s">
        <v>2511</v>
      </c>
    </row>
    <row r="1000" spans="1:10" ht="15" customHeight="1" x14ac:dyDescent="0.2">
      <c r="A1000" s="420">
        <v>45720</v>
      </c>
      <c r="B1000" t="s">
        <v>2532</v>
      </c>
      <c r="C1000" t="s">
        <v>3568</v>
      </c>
      <c r="D1000" t="s">
        <v>3572</v>
      </c>
      <c r="E1000" t="s">
        <v>1326</v>
      </c>
      <c r="G1000">
        <v>117</v>
      </c>
      <c r="J1000" t="s">
        <v>2511</v>
      </c>
    </row>
    <row r="1001" spans="1:10" ht="15" customHeight="1" x14ac:dyDescent="0.2">
      <c r="A1001" t="s">
        <v>3568</v>
      </c>
      <c r="E1001" t="s">
        <v>349</v>
      </c>
      <c r="F1001">
        <v>117</v>
      </c>
      <c r="G1001">
        <v>117</v>
      </c>
    </row>
    <row r="1003" spans="1:10" ht="15" customHeight="1" x14ac:dyDescent="0.2">
      <c r="A1003" t="s">
        <v>3573</v>
      </c>
      <c r="B1003" t="s">
        <v>3574</v>
      </c>
      <c r="F1003" t="s">
        <v>2430</v>
      </c>
      <c r="G1003" t="s">
        <v>2431</v>
      </c>
      <c r="H1003" t="s">
        <v>2432</v>
      </c>
      <c r="I1003" t="s">
        <v>2433</v>
      </c>
      <c r="J1003" t="s">
        <v>2434</v>
      </c>
    </row>
    <row r="1004" spans="1:10" ht="15" customHeight="1" x14ac:dyDescent="0.2">
      <c r="A1004" s="420">
        <v>45824</v>
      </c>
      <c r="B1004" t="s">
        <v>2333</v>
      </c>
      <c r="C1004" t="s">
        <v>3573</v>
      </c>
      <c r="D1004" t="s">
        <v>3575</v>
      </c>
      <c r="E1004" t="s">
        <v>3576</v>
      </c>
      <c r="F1004">
        <v>168.73</v>
      </c>
      <c r="H1004">
        <v>168.73</v>
      </c>
      <c r="J1004" t="s">
        <v>2511</v>
      </c>
    </row>
    <row r="1005" spans="1:10" ht="15" customHeight="1" x14ac:dyDescent="0.2">
      <c r="A1005" s="420">
        <v>45824</v>
      </c>
      <c r="B1005" t="s">
        <v>2532</v>
      </c>
      <c r="C1005" t="s">
        <v>3573</v>
      </c>
      <c r="D1005" t="s">
        <v>3577</v>
      </c>
      <c r="E1005" t="s">
        <v>1371</v>
      </c>
      <c r="G1005">
        <v>168.73</v>
      </c>
      <c r="J1005" t="s">
        <v>2511</v>
      </c>
    </row>
    <row r="1006" spans="1:10" ht="15" customHeight="1" x14ac:dyDescent="0.2">
      <c r="A1006" t="s">
        <v>3573</v>
      </c>
      <c r="E1006" t="s">
        <v>349</v>
      </c>
      <c r="F1006">
        <v>168.73</v>
      </c>
      <c r="G1006">
        <v>168.73</v>
      </c>
    </row>
    <row r="1008" spans="1:10" ht="15" customHeight="1" x14ac:dyDescent="0.2">
      <c r="A1008" t="s">
        <v>3578</v>
      </c>
      <c r="B1008" t="s">
        <v>3579</v>
      </c>
      <c r="F1008" t="s">
        <v>2430</v>
      </c>
      <c r="G1008" t="s">
        <v>2431</v>
      </c>
      <c r="H1008" t="s">
        <v>2432</v>
      </c>
      <c r="I1008" t="s">
        <v>2433</v>
      </c>
      <c r="J1008" t="s">
        <v>2434</v>
      </c>
    </row>
    <row r="1009" spans="1:10" ht="15" customHeight="1" x14ac:dyDescent="0.2">
      <c r="A1009" s="420">
        <v>45746</v>
      </c>
      <c r="B1009" t="s">
        <v>2532</v>
      </c>
      <c r="C1009" t="s">
        <v>3578</v>
      </c>
      <c r="D1009" t="s">
        <v>3580</v>
      </c>
      <c r="E1009" t="s">
        <v>1810</v>
      </c>
      <c r="G1009">
        <v>49.25</v>
      </c>
      <c r="I1009">
        <v>49.25</v>
      </c>
      <c r="J1009" t="s">
        <v>2511</v>
      </c>
    </row>
    <row r="1010" spans="1:10" ht="15" customHeight="1" x14ac:dyDescent="0.2">
      <c r="A1010" s="420">
        <v>45747</v>
      </c>
      <c r="B1010" t="s">
        <v>2333</v>
      </c>
      <c r="C1010" t="s">
        <v>3578</v>
      </c>
      <c r="D1010" t="s">
        <v>3581</v>
      </c>
      <c r="E1010" t="s">
        <v>3582</v>
      </c>
      <c r="F1010">
        <v>49.25</v>
      </c>
      <c r="J1010" t="s">
        <v>2511</v>
      </c>
    </row>
    <row r="1011" spans="1:10" ht="15" customHeight="1" x14ac:dyDescent="0.2">
      <c r="A1011" t="s">
        <v>3578</v>
      </c>
      <c r="E1011" t="s">
        <v>349</v>
      </c>
      <c r="F1011">
        <v>49.25</v>
      </c>
      <c r="G1011">
        <v>49.25</v>
      </c>
    </row>
    <row r="1013" spans="1:10" ht="15" customHeight="1" x14ac:dyDescent="0.2">
      <c r="A1013" t="s">
        <v>3583</v>
      </c>
      <c r="B1013" t="s">
        <v>3584</v>
      </c>
      <c r="F1013" t="s">
        <v>2430</v>
      </c>
      <c r="G1013" t="s">
        <v>2431</v>
      </c>
      <c r="H1013" t="s">
        <v>2432</v>
      </c>
      <c r="I1013" t="s">
        <v>2433</v>
      </c>
      <c r="J1013" t="s">
        <v>2434</v>
      </c>
    </row>
    <row r="1014" spans="1:10" ht="15" customHeight="1" x14ac:dyDescent="0.2">
      <c r="A1014" s="420">
        <v>45971</v>
      </c>
      <c r="B1014" t="s">
        <v>2532</v>
      </c>
      <c r="C1014" t="s">
        <v>3583</v>
      </c>
      <c r="D1014" t="s">
        <v>3585</v>
      </c>
      <c r="E1014" t="s">
        <v>1594</v>
      </c>
      <c r="G1014">
        <v>1140</v>
      </c>
      <c r="I1014">
        <v>1140</v>
      </c>
      <c r="J1014" t="s">
        <v>2511</v>
      </c>
    </row>
    <row r="1015" spans="1:10" ht="15" customHeight="1" x14ac:dyDescent="0.2">
      <c r="A1015" s="420">
        <v>45992</v>
      </c>
      <c r="B1015" t="s">
        <v>2333</v>
      </c>
      <c r="C1015" t="s">
        <v>3583</v>
      </c>
      <c r="D1015" t="s">
        <v>3586</v>
      </c>
      <c r="E1015" t="s">
        <v>3587</v>
      </c>
      <c r="F1015">
        <v>1140</v>
      </c>
      <c r="J1015" t="s">
        <v>2511</v>
      </c>
    </row>
    <row r="1016" spans="1:10" ht="15" customHeight="1" x14ac:dyDescent="0.2">
      <c r="A1016" t="s">
        <v>3583</v>
      </c>
      <c r="E1016" t="s">
        <v>349</v>
      </c>
      <c r="F1016">
        <v>1140</v>
      </c>
      <c r="G1016">
        <v>1140</v>
      </c>
    </row>
    <row r="1018" spans="1:10" ht="15" customHeight="1" x14ac:dyDescent="0.2">
      <c r="A1018" t="s">
        <v>3588</v>
      </c>
      <c r="B1018" t="s">
        <v>3589</v>
      </c>
      <c r="F1018" t="s">
        <v>2430</v>
      </c>
      <c r="G1018" t="s">
        <v>2431</v>
      </c>
      <c r="H1018" t="s">
        <v>2432</v>
      </c>
      <c r="I1018" t="s">
        <v>2433</v>
      </c>
      <c r="J1018" t="s">
        <v>2434</v>
      </c>
    </row>
    <row r="1019" spans="1:10" ht="15" customHeight="1" x14ac:dyDescent="0.2">
      <c r="A1019" s="420">
        <v>45810</v>
      </c>
      <c r="B1019" t="s">
        <v>2333</v>
      </c>
      <c r="C1019" t="s">
        <v>3588</v>
      </c>
      <c r="D1019" t="s">
        <v>3590</v>
      </c>
      <c r="E1019" t="s">
        <v>3591</v>
      </c>
      <c r="F1019">
        <v>426.27</v>
      </c>
      <c r="H1019">
        <v>426.27</v>
      </c>
      <c r="J1019" t="s">
        <v>2511</v>
      </c>
    </row>
    <row r="1020" spans="1:10" ht="15" customHeight="1" x14ac:dyDescent="0.2">
      <c r="A1020" s="420">
        <v>45810</v>
      </c>
      <c r="B1020" t="s">
        <v>2547</v>
      </c>
      <c r="C1020" t="s">
        <v>3588</v>
      </c>
      <c r="D1020" t="s">
        <v>3592</v>
      </c>
      <c r="E1020" t="s">
        <v>3593</v>
      </c>
      <c r="G1020">
        <v>426.27</v>
      </c>
      <c r="J1020" t="s">
        <v>2511</v>
      </c>
    </row>
    <row r="1021" spans="1:10" ht="15" customHeight="1" x14ac:dyDescent="0.2">
      <c r="A1021" t="s">
        <v>3588</v>
      </c>
      <c r="E1021" t="s">
        <v>349</v>
      </c>
      <c r="F1021">
        <v>426.27</v>
      </c>
      <c r="G1021">
        <v>426.27</v>
      </c>
    </row>
    <row r="1023" spans="1:10" ht="15" customHeight="1" x14ac:dyDescent="0.2">
      <c r="A1023" t="s">
        <v>3594</v>
      </c>
      <c r="B1023" t="s">
        <v>1753</v>
      </c>
      <c r="F1023" t="s">
        <v>2430</v>
      </c>
      <c r="G1023" t="s">
        <v>2431</v>
      </c>
      <c r="H1023" t="s">
        <v>2432</v>
      </c>
      <c r="I1023" t="s">
        <v>2433</v>
      </c>
      <c r="J1023" t="s">
        <v>2434</v>
      </c>
    </row>
    <row r="1024" spans="1:10" ht="15" customHeight="1" x14ac:dyDescent="0.2">
      <c r="A1024" s="420">
        <v>45674</v>
      </c>
      <c r="B1024" t="s">
        <v>2547</v>
      </c>
      <c r="C1024" t="s">
        <v>3594</v>
      </c>
      <c r="D1024" t="s">
        <v>3595</v>
      </c>
      <c r="E1024" t="s">
        <v>1753</v>
      </c>
      <c r="G1024">
        <v>39.9</v>
      </c>
      <c r="I1024">
        <v>39.9</v>
      </c>
      <c r="J1024" t="s">
        <v>2511</v>
      </c>
    </row>
    <row r="1025" spans="1:10" ht="15" customHeight="1" x14ac:dyDescent="0.2">
      <c r="A1025" s="420">
        <v>45730</v>
      </c>
      <c r="B1025" t="s">
        <v>2333</v>
      </c>
      <c r="C1025" t="s">
        <v>3594</v>
      </c>
      <c r="D1025" t="s">
        <v>3596</v>
      </c>
      <c r="E1025" t="s">
        <v>3597</v>
      </c>
      <c r="F1025">
        <v>39.9</v>
      </c>
      <c r="J1025" t="s">
        <v>2511</v>
      </c>
    </row>
    <row r="1026" spans="1:10" ht="15" customHeight="1" x14ac:dyDescent="0.2">
      <c r="A1026" t="s">
        <v>3594</v>
      </c>
      <c r="E1026" t="s">
        <v>349</v>
      </c>
      <c r="F1026">
        <v>39.9</v>
      </c>
      <c r="G1026">
        <v>39.9</v>
      </c>
    </row>
    <row r="1028" spans="1:10" ht="15" customHeight="1" x14ac:dyDescent="0.2">
      <c r="A1028" t="s">
        <v>3598</v>
      </c>
      <c r="B1028" t="s">
        <v>3599</v>
      </c>
      <c r="F1028" t="s">
        <v>2430</v>
      </c>
      <c r="G1028" t="s">
        <v>2431</v>
      </c>
      <c r="H1028" t="s">
        <v>2432</v>
      </c>
      <c r="I1028" t="s">
        <v>2433</v>
      </c>
      <c r="J1028" t="s">
        <v>2434</v>
      </c>
    </row>
    <row r="1029" spans="1:10" ht="15" customHeight="1" x14ac:dyDescent="0.2">
      <c r="A1029" s="420">
        <v>46010</v>
      </c>
      <c r="B1029" t="s">
        <v>2532</v>
      </c>
      <c r="C1029" t="s">
        <v>3598</v>
      </c>
      <c r="D1029" t="s">
        <v>3036</v>
      </c>
      <c r="E1029" t="s">
        <v>2001</v>
      </c>
      <c r="G1029">
        <v>62.83</v>
      </c>
      <c r="I1029">
        <v>62.83</v>
      </c>
      <c r="J1029" t="s">
        <v>2511</v>
      </c>
    </row>
    <row r="1030" spans="1:10" ht="15" customHeight="1" x14ac:dyDescent="0.2">
      <c r="A1030" s="420">
        <v>46013</v>
      </c>
      <c r="B1030" t="s">
        <v>2333</v>
      </c>
      <c r="C1030" t="s">
        <v>3598</v>
      </c>
      <c r="D1030" t="s">
        <v>3600</v>
      </c>
      <c r="E1030" t="s">
        <v>3601</v>
      </c>
      <c r="F1030">
        <v>62.83</v>
      </c>
      <c r="J1030" t="s">
        <v>2511</v>
      </c>
    </row>
    <row r="1031" spans="1:10" ht="15" customHeight="1" x14ac:dyDescent="0.2">
      <c r="A1031" t="s">
        <v>3598</v>
      </c>
      <c r="E1031" t="s">
        <v>349</v>
      </c>
      <c r="F1031">
        <v>62.83</v>
      </c>
      <c r="G1031">
        <v>62.83</v>
      </c>
    </row>
    <row r="1033" spans="1:10" ht="15" customHeight="1" x14ac:dyDescent="0.2">
      <c r="A1033" t="s">
        <v>3602</v>
      </c>
      <c r="B1033" t="s">
        <v>1815</v>
      </c>
      <c r="F1033" t="s">
        <v>2430</v>
      </c>
      <c r="G1033" t="s">
        <v>2431</v>
      </c>
      <c r="H1033" t="s">
        <v>2432</v>
      </c>
      <c r="I1033" t="s">
        <v>2433</v>
      </c>
      <c r="J1033" t="s">
        <v>2434</v>
      </c>
    </row>
    <row r="1034" spans="1:10" ht="15" customHeight="1" x14ac:dyDescent="0.2">
      <c r="A1034" s="420">
        <v>45750</v>
      </c>
      <c r="B1034" t="s">
        <v>2547</v>
      </c>
      <c r="C1034" t="s">
        <v>3602</v>
      </c>
      <c r="D1034" t="s">
        <v>3603</v>
      </c>
      <c r="E1034" t="s">
        <v>1815</v>
      </c>
      <c r="G1034">
        <v>120.11</v>
      </c>
      <c r="I1034">
        <v>120.11</v>
      </c>
      <c r="J1034" t="s">
        <v>2511</v>
      </c>
    </row>
    <row r="1035" spans="1:10" ht="15" customHeight="1" x14ac:dyDescent="0.2">
      <c r="A1035" s="420">
        <v>45751</v>
      </c>
      <c r="B1035" t="s">
        <v>2333</v>
      </c>
      <c r="C1035" t="s">
        <v>3602</v>
      </c>
      <c r="D1035" t="s">
        <v>3604</v>
      </c>
      <c r="E1035" t="s">
        <v>3605</v>
      </c>
      <c r="F1035">
        <v>120.11</v>
      </c>
      <c r="J1035" t="s">
        <v>2511</v>
      </c>
    </row>
    <row r="1036" spans="1:10" ht="15" customHeight="1" x14ac:dyDescent="0.2">
      <c r="A1036" t="s">
        <v>3602</v>
      </c>
      <c r="E1036" t="s">
        <v>349</v>
      </c>
      <c r="F1036">
        <v>120.11</v>
      </c>
      <c r="G1036">
        <v>120.11</v>
      </c>
    </row>
    <row r="1038" spans="1:10" ht="15" customHeight="1" x14ac:dyDescent="0.2">
      <c r="A1038" t="s">
        <v>3606</v>
      </c>
      <c r="B1038" t="s">
        <v>3607</v>
      </c>
      <c r="F1038" t="s">
        <v>2430</v>
      </c>
      <c r="G1038" t="s">
        <v>2431</v>
      </c>
      <c r="H1038" t="s">
        <v>2432</v>
      </c>
      <c r="I1038" t="s">
        <v>2433</v>
      </c>
      <c r="J1038" t="s">
        <v>2434</v>
      </c>
    </row>
    <row r="1039" spans="1:10" ht="15" customHeight="1" x14ac:dyDescent="0.2">
      <c r="A1039" s="420">
        <v>45755</v>
      </c>
      <c r="B1039" t="s">
        <v>2532</v>
      </c>
      <c r="C1039" t="s">
        <v>3606</v>
      </c>
      <c r="D1039" t="s">
        <v>3608</v>
      </c>
      <c r="E1039" t="s">
        <v>3609</v>
      </c>
      <c r="G1039">
        <v>801.59</v>
      </c>
      <c r="I1039">
        <v>801.59</v>
      </c>
      <c r="J1039" t="s">
        <v>2511</v>
      </c>
    </row>
    <row r="1040" spans="1:10" ht="15" customHeight="1" x14ac:dyDescent="0.2">
      <c r="A1040" s="420">
        <v>45756</v>
      </c>
      <c r="B1040" t="s">
        <v>2333</v>
      </c>
      <c r="C1040" t="s">
        <v>3606</v>
      </c>
      <c r="D1040" t="s">
        <v>3610</v>
      </c>
      <c r="E1040" t="s">
        <v>3611</v>
      </c>
      <c r="F1040">
        <v>801.59</v>
      </c>
      <c r="J1040" t="s">
        <v>2511</v>
      </c>
    </row>
    <row r="1041" spans="1:10" ht="15" customHeight="1" x14ac:dyDescent="0.2">
      <c r="A1041" t="s">
        <v>3606</v>
      </c>
      <c r="E1041" t="s">
        <v>349</v>
      </c>
      <c r="F1041">
        <v>801.59</v>
      </c>
      <c r="G1041">
        <v>801.59</v>
      </c>
    </row>
    <row r="1043" spans="1:10" ht="15" customHeight="1" x14ac:dyDescent="0.2">
      <c r="A1043" t="s">
        <v>3612</v>
      </c>
      <c r="B1043" t="s">
        <v>3613</v>
      </c>
      <c r="F1043" t="s">
        <v>2430</v>
      </c>
      <c r="G1043" t="s">
        <v>2431</v>
      </c>
      <c r="H1043" t="s">
        <v>2432</v>
      </c>
      <c r="I1043" t="s">
        <v>2433</v>
      </c>
      <c r="J1043" t="s">
        <v>2434</v>
      </c>
    </row>
    <row r="1044" spans="1:10" ht="15" customHeight="1" x14ac:dyDescent="0.2">
      <c r="A1044" s="420">
        <v>45723</v>
      </c>
      <c r="B1044" t="s">
        <v>2532</v>
      </c>
      <c r="C1044" t="s">
        <v>3612</v>
      </c>
      <c r="D1044" t="s">
        <v>3614</v>
      </c>
      <c r="E1044" t="s">
        <v>3615</v>
      </c>
      <c r="G1044">
        <v>44.62</v>
      </c>
      <c r="I1044">
        <v>44.62</v>
      </c>
      <c r="J1044" t="s">
        <v>2511</v>
      </c>
    </row>
    <row r="1045" spans="1:10" ht="15" customHeight="1" x14ac:dyDescent="0.2">
      <c r="A1045" s="420">
        <v>45726</v>
      </c>
      <c r="B1045" t="s">
        <v>2333</v>
      </c>
      <c r="C1045" t="s">
        <v>3612</v>
      </c>
      <c r="D1045" t="s">
        <v>3616</v>
      </c>
      <c r="E1045" t="s">
        <v>3617</v>
      </c>
      <c r="F1045">
        <v>44.62</v>
      </c>
      <c r="J1045" t="s">
        <v>2511</v>
      </c>
    </row>
    <row r="1046" spans="1:10" ht="15" customHeight="1" x14ac:dyDescent="0.2">
      <c r="A1046" t="s">
        <v>3612</v>
      </c>
      <c r="E1046" t="s">
        <v>349</v>
      </c>
      <c r="F1046">
        <v>44.62</v>
      </c>
      <c r="G1046">
        <v>44.62</v>
      </c>
    </row>
    <row r="1048" spans="1:10" ht="15" customHeight="1" x14ac:dyDescent="0.2">
      <c r="A1048" t="s">
        <v>3618</v>
      </c>
      <c r="B1048" t="s">
        <v>3619</v>
      </c>
      <c r="F1048" t="s">
        <v>2430</v>
      </c>
      <c r="G1048" t="s">
        <v>2431</v>
      </c>
      <c r="H1048" t="s">
        <v>2432</v>
      </c>
      <c r="I1048" t="s">
        <v>2433</v>
      </c>
      <c r="J1048" t="s">
        <v>2434</v>
      </c>
    </row>
    <row r="1049" spans="1:10" ht="15" customHeight="1" x14ac:dyDescent="0.2">
      <c r="A1049" s="420">
        <v>45771</v>
      </c>
      <c r="B1049" t="s">
        <v>2532</v>
      </c>
      <c r="C1049" t="s">
        <v>3618</v>
      </c>
      <c r="D1049" t="s">
        <v>3620</v>
      </c>
      <c r="E1049" t="s">
        <v>1833</v>
      </c>
      <c r="G1049">
        <v>104</v>
      </c>
      <c r="I1049">
        <v>104</v>
      </c>
      <c r="J1049" t="s">
        <v>2511</v>
      </c>
    </row>
    <row r="1050" spans="1:10" ht="15" customHeight="1" x14ac:dyDescent="0.2">
      <c r="A1050" s="420">
        <v>45772</v>
      </c>
      <c r="B1050" t="s">
        <v>2333</v>
      </c>
      <c r="C1050" t="s">
        <v>3618</v>
      </c>
      <c r="D1050" t="s">
        <v>3621</v>
      </c>
      <c r="E1050" t="s">
        <v>3622</v>
      </c>
      <c r="F1050">
        <v>104</v>
      </c>
      <c r="J1050" t="s">
        <v>2511</v>
      </c>
    </row>
    <row r="1051" spans="1:10" ht="15" customHeight="1" x14ac:dyDescent="0.2">
      <c r="A1051" t="s">
        <v>3618</v>
      </c>
      <c r="E1051" t="s">
        <v>349</v>
      </c>
      <c r="F1051">
        <v>104</v>
      </c>
      <c r="G1051">
        <v>104</v>
      </c>
    </row>
    <row r="1053" spans="1:10" ht="15" customHeight="1" x14ac:dyDescent="0.2">
      <c r="A1053" t="s">
        <v>3623</v>
      </c>
      <c r="B1053" t="s">
        <v>3624</v>
      </c>
      <c r="F1053" t="s">
        <v>2430</v>
      </c>
      <c r="G1053" t="s">
        <v>2431</v>
      </c>
      <c r="H1053" t="s">
        <v>2432</v>
      </c>
      <c r="I1053" t="s">
        <v>2433</v>
      </c>
      <c r="J1053" t="s">
        <v>2434</v>
      </c>
    </row>
    <row r="1054" spans="1:10" ht="15" customHeight="1" x14ac:dyDescent="0.2">
      <c r="A1054" s="420">
        <v>45667</v>
      </c>
      <c r="B1054" t="s">
        <v>2333</v>
      </c>
      <c r="C1054" t="s">
        <v>3623</v>
      </c>
      <c r="D1054" t="s">
        <v>3625</v>
      </c>
      <c r="E1054" t="s">
        <v>3626</v>
      </c>
      <c r="F1054">
        <v>6000</v>
      </c>
      <c r="H1054">
        <v>6000</v>
      </c>
      <c r="J1054" t="s">
        <v>2511</v>
      </c>
    </row>
    <row r="1055" spans="1:10" ht="15" customHeight="1" x14ac:dyDescent="0.2">
      <c r="A1055" s="420">
        <v>45667</v>
      </c>
      <c r="B1055" t="s">
        <v>2547</v>
      </c>
      <c r="C1055" t="s">
        <v>3623</v>
      </c>
      <c r="D1055" t="s">
        <v>3627</v>
      </c>
      <c r="E1055" t="s">
        <v>3628</v>
      </c>
      <c r="G1055">
        <v>6000</v>
      </c>
      <c r="J1055" t="s">
        <v>2511</v>
      </c>
    </row>
    <row r="1056" spans="1:10" ht="15" customHeight="1" x14ac:dyDescent="0.2">
      <c r="A1056" s="420">
        <v>45693</v>
      </c>
      <c r="B1056" t="s">
        <v>2333</v>
      </c>
      <c r="C1056" t="s">
        <v>3623</v>
      </c>
      <c r="D1056" t="s">
        <v>3629</v>
      </c>
      <c r="E1056" t="s">
        <v>3630</v>
      </c>
      <c r="F1056">
        <v>6000</v>
      </c>
      <c r="H1056">
        <v>6000</v>
      </c>
      <c r="J1056" t="s">
        <v>2513</v>
      </c>
    </row>
    <row r="1057" spans="1:10" ht="15" customHeight="1" x14ac:dyDescent="0.2">
      <c r="A1057" s="420">
        <v>45693</v>
      </c>
      <c r="B1057" t="s">
        <v>2547</v>
      </c>
      <c r="C1057" t="s">
        <v>3623</v>
      </c>
      <c r="D1057" t="s">
        <v>3631</v>
      </c>
      <c r="E1057" t="s">
        <v>3632</v>
      </c>
      <c r="G1057">
        <v>6000</v>
      </c>
      <c r="J1057" t="s">
        <v>2513</v>
      </c>
    </row>
    <row r="1058" spans="1:10" ht="15" customHeight="1" x14ac:dyDescent="0.2">
      <c r="A1058" s="420">
        <v>45706</v>
      </c>
      <c r="B1058" t="s">
        <v>2547</v>
      </c>
      <c r="C1058" t="s">
        <v>3623</v>
      </c>
      <c r="D1058" t="s">
        <v>3633</v>
      </c>
      <c r="E1058" t="s">
        <v>3634</v>
      </c>
      <c r="G1058">
        <v>6000</v>
      </c>
      <c r="I1058">
        <v>6000</v>
      </c>
      <c r="J1058" t="s">
        <v>2509</v>
      </c>
    </row>
    <row r="1059" spans="1:10" ht="15" customHeight="1" x14ac:dyDescent="0.2">
      <c r="A1059" s="420">
        <v>45707</v>
      </c>
      <c r="B1059" t="s">
        <v>2333</v>
      </c>
      <c r="C1059" t="s">
        <v>3623</v>
      </c>
      <c r="D1059" t="s">
        <v>3635</v>
      </c>
      <c r="E1059" t="s">
        <v>3636</v>
      </c>
      <c r="F1059">
        <v>6000</v>
      </c>
      <c r="J1059" t="s">
        <v>2509</v>
      </c>
    </row>
    <row r="1060" spans="1:10" ht="15" customHeight="1" x14ac:dyDescent="0.2">
      <c r="A1060" s="420">
        <v>45728</v>
      </c>
      <c r="B1060" t="s">
        <v>2532</v>
      </c>
      <c r="C1060" t="s">
        <v>3623</v>
      </c>
      <c r="D1060" t="s">
        <v>3637</v>
      </c>
      <c r="E1060" t="s">
        <v>3638</v>
      </c>
      <c r="G1060">
        <v>6000</v>
      </c>
      <c r="I1060">
        <v>6000</v>
      </c>
      <c r="J1060" t="s">
        <v>2585</v>
      </c>
    </row>
    <row r="1061" spans="1:10" ht="15" customHeight="1" x14ac:dyDescent="0.2">
      <c r="A1061" s="420">
        <v>45728</v>
      </c>
      <c r="B1061" t="s">
        <v>2547</v>
      </c>
      <c r="C1061" t="s">
        <v>3623</v>
      </c>
      <c r="D1061" t="s">
        <v>3639</v>
      </c>
      <c r="E1061" t="s">
        <v>3640</v>
      </c>
      <c r="G1061">
        <v>6000</v>
      </c>
      <c r="I1061">
        <v>12000</v>
      </c>
      <c r="J1061" t="s">
        <v>2585</v>
      </c>
    </row>
    <row r="1062" spans="1:10" ht="15" customHeight="1" x14ac:dyDescent="0.2">
      <c r="A1062" s="420">
        <v>45728</v>
      </c>
      <c r="B1062" t="s">
        <v>2547</v>
      </c>
      <c r="C1062" t="s">
        <v>3623</v>
      </c>
      <c r="D1062" t="s">
        <v>3641</v>
      </c>
      <c r="E1062" t="s">
        <v>3642</v>
      </c>
      <c r="G1062">
        <v>6000</v>
      </c>
      <c r="I1062">
        <v>18000</v>
      </c>
      <c r="J1062" t="s">
        <v>2585</v>
      </c>
    </row>
    <row r="1063" spans="1:10" ht="15" customHeight="1" x14ac:dyDescent="0.2">
      <c r="A1063" s="420">
        <v>45728</v>
      </c>
      <c r="B1063" t="s">
        <v>2547</v>
      </c>
      <c r="C1063" t="s">
        <v>3623</v>
      </c>
      <c r="D1063" t="s">
        <v>3643</v>
      </c>
      <c r="E1063" t="s">
        <v>3644</v>
      </c>
      <c r="G1063">
        <v>6000</v>
      </c>
      <c r="I1063">
        <v>24000</v>
      </c>
      <c r="J1063" t="s">
        <v>2585</v>
      </c>
    </row>
    <row r="1064" spans="1:10" ht="15" customHeight="1" x14ac:dyDescent="0.2">
      <c r="A1064" s="420">
        <v>45730</v>
      </c>
      <c r="B1064" t="s">
        <v>2333</v>
      </c>
      <c r="C1064" t="s">
        <v>3623</v>
      </c>
      <c r="D1064" t="s">
        <v>3645</v>
      </c>
      <c r="E1064" t="s">
        <v>3646</v>
      </c>
      <c r="F1064">
        <v>6000</v>
      </c>
      <c r="I1064">
        <v>18000</v>
      </c>
      <c r="J1064" t="s">
        <v>2585</v>
      </c>
    </row>
    <row r="1065" spans="1:10" ht="15" customHeight="1" x14ac:dyDescent="0.2">
      <c r="A1065" s="420">
        <v>45730</v>
      </c>
      <c r="B1065" t="s">
        <v>2333</v>
      </c>
      <c r="C1065" t="s">
        <v>3623</v>
      </c>
      <c r="D1065" t="s">
        <v>3647</v>
      </c>
      <c r="E1065" t="s">
        <v>3648</v>
      </c>
      <c r="F1065">
        <v>6000</v>
      </c>
      <c r="I1065">
        <v>12000</v>
      </c>
      <c r="J1065" t="s">
        <v>2585</v>
      </c>
    </row>
    <row r="1066" spans="1:10" ht="15" customHeight="1" x14ac:dyDescent="0.2">
      <c r="A1066" s="420">
        <v>45730</v>
      </c>
      <c r="B1066" t="s">
        <v>2333</v>
      </c>
      <c r="C1066" t="s">
        <v>3623</v>
      </c>
      <c r="D1066" t="s">
        <v>3649</v>
      </c>
      <c r="E1066" t="s">
        <v>3650</v>
      </c>
      <c r="F1066">
        <v>6000</v>
      </c>
      <c r="I1066">
        <v>6000</v>
      </c>
      <c r="J1066" t="s">
        <v>2585</v>
      </c>
    </row>
    <row r="1067" spans="1:10" ht="15" customHeight="1" x14ac:dyDescent="0.2">
      <c r="A1067" s="420">
        <v>45730</v>
      </c>
      <c r="B1067" t="s">
        <v>2333</v>
      </c>
      <c r="C1067" t="s">
        <v>3623</v>
      </c>
      <c r="D1067" t="s">
        <v>3651</v>
      </c>
      <c r="E1067" t="s">
        <v>3652</v>
      </c>
      <c r="F1067">
        <v>6000</v>
      </c>
      <c r="J1067" t="s">
        <v>2585</v>
      </c>
    </row>
    <row r="1068" spans="1:10" ht="15" customHeight="1" x14ac:dyDescent="0.2">
      <c r="A1068" s="420">
        <v>45741</v>
      </c>
      <c r="B1068" t="s">
        <v>2333</v>
      </c>
      <c r="C1068" t="s">
        <v>3623</v>
      </c>
      <c r="D1068" t="s">
        <v>3653</v>
      </c>
      <c r="E1068" t="s">
        <v>3654</v>
      </c>
      <c r="F1068">
        <v>6000</v>
      </c>
      <c r="H1068">
        <v>6000</v>
      </c>
      <c r="J1068" t="s">
        <v>2585</v>
      </c>
    </row>
    <row r="1069" spans="1:10" ht="15" customHeight="1" x14ac:dyDescent="0.2">
      <c r="A1069" s="420">
        <v>45741</v>
      </c>
      <c r="B1069" t="s">
        <v>2547</v>
      </c>
      <c r="C1069" t="s">
        <v>3623</v>
      </c>
      <c r="D1069" t="s">
        <v>3655</v>
      </c>
      <c r="E1069" t="s">
        <v>3656</v>
      </c>
      <c r="G1069">
        <v>6000</v>
      </c>
      <c r="J1069" t="s">
        <v>2585</v>
      </c>
    </row>
    <row r="1070" spans="1:10" ht="15" customHeight="1" x14ac:dyDescent="0.2">
      <c r="A1070" s="420">
        <v>45762</v>
      </c>
      <c r="B1070" t="s">
        <v>2532</v>
      </c>
      <c r="C1070" t="s">
        <v>3623</v>
      </c>
      <c r="D1070" t="s">
        <v>3657</v>
      </c>
      <c r="E1070" t="s">
        <v>3658</v>
      </c>
      <c r="G1070">
        <v>6000</v>
      </c>
      <c r="I1070">
        <v>6000</v>
      </c>
      <c r="J1070" t="s">
        <v>2586</v>
      </c>
    </row>
    <row r="1071" spans="1:10" ht="15" customHeight="1" x14ac:dyDescent="0.2">
      <c r="A1071" s="420">
        <v>45763</v>
      </c>
      <c r="B1071" t="s">
        <v>2333</v>
      </c>
      <c r="C1071" t="s">
        <v>3623</v>
      </c>
      <c r="D1071" t="s">
        <v>3659</v>
      </c>
      <c r="E1071" t="s">
        <v>3660</v>
      </c>
      <c r="F1071">
        <v>6000</v>
      </c>
      <c r="J1071" t="s">
        <v>2586</v>
      </c>
    </row>
    <row r="1072" spans="1:10" ht="15" customHeight="1" x14ac:dyDescent="0.2">
      <c r="A1072" s="420">
        <v>45826</v>
      </c>
      <c r="B1072" t="s">
        <v>2333</v>
      </c>
      <c r="C1072" t="s">
        <v>3623</v>
      </c>
      <c r="D1072" t="s">
        <v>3661</v>
      </c>
      <c r="E1072" t="s">
        <v>3662</v>
      </c>
      <c r="F1072">
        <v>6000</v>
      </c>
      <c r="H1072">
        <v>6000</v>
      </c>
      <c r="J1072" t="s">
        <v>2587</v>
      </c>
    </row>
    <row r="1073" spans="1:10" ht="15" customHeight="1" x14ac:dyDescent="0.2">
      <c r="A1073" s="420">
        <v>45826</v>
      </c>
      <c r="B1073" t="s">
        <v>2333</v>
      </c>
      <c r="C1073" t="s">
        <v>3623</v>
      </c>
      <c r="D1073" t="s">
        <v>3663</v>
      </c>
      <c r="E1073" t="s">
        <v>3664</v>
      </c>
      <c r="F1073">
        <v>6000</v>
      </c>
      <c r="H1073">
        <v>12000</v>
      </c>
      <c r="J1073" t="s">
        <v>2587</v>
      </c>
    </row>
    <row r="1074" spans="1:10" ht="15" customHeight="1" x14ac:dyDescent="0.2">
      <c r="A1074" s="420">
        <v>45826</v>
      </c>
      <c r="B1074" t="s">
        <v>2532</v>
      </c>
      <c r="C1074" t="s">
        <v>3623</v>
      </c>
      <c r="D1074" t="s">
        <v>3665</v>
      </c>
      <c r="E1074" t="s">
        <v>3666</v>
      </c>
      <c r="G1074">
        <v>12000</v>
      </c>
      <c r="J1074" t="s">
        <v>2587</v>
      </c>
    </row>
    <row r="1075" spans="1:10" ht="15" customHeight="1" x14ac:dyDescent="0.2">
      <c r="A1075" s="420">
        <v>45915</v>
      </c>
      <c r="B1075" t="s">
        <v>2333</v>
      </c>
      <c r="C1075" t="s">
        <v>3623</v>
      </c>
      <c r="D1075" t="s">
        <v>3667</v>
      </c>
      <c r="E1075" t="s">
        <v>3668</v>
      </c>
      <c r="F1075">
        <v>6000</v>
      </c>
      <c r="H1075">
        <v>6000</v>
      </c>
      <c r="J1075" t="s">
        <v>2603</v>
      </c>
    </row>
    <row r="1076" spans="1:10" ht="15" customHeight="1" x14ac:dyDescent="0.2">
      <c r="A1076" s="420">
        <v>45915</v>
      </c>
      <c r="B1076" t="s">
        <v>2333</v>
      </c>
      <c r="C1076" t="s">
        <v>3623</v>
      </c>
      <c r="D1076" t="s">
        <v>3669</v>
      </c>
      <c r="E1076" t="s">
        <v>3670</v>
      </c>
      <c r="F1076">
        <v>6000</v>
      </c>
      <c r="H1076">
        <v>12000</v>
      </c>
      <c r="J1076" t="s">
        <v>2603</v>
      </c>
    </row>
    <row r="1077" spans="1:10" ht="15" customHeight="1" x14ac:dyDescent="0.2">
      <c r="A1077" s="420">
        <v>45915</v>
      </c>
      <c r="B1077" t="s">
        <v>2333</v>
      </c>
      <c r="C1077" t="s">
        <v>3623</v>
      </c>
      <c r="D1077" t="s">
        <v>3671</v>
      </c>
      <c r="E1077" t="s">
        <v>3672</v>
      </c>
      <c r="F1077">
        <v>6000</v>
      </c>
      <c r="H1077">
        <v>18000</v>
      </c>
      <c r="J1077" t="s">
        <v>2603</v>
      </c>
    </row>
    <row r="1078" spans="1:10" ht="15" customHeight="1" x14ac:dyDescent="0.2">
      <c r="A1078" s="420">
        <v>45915</v>
      </c>
      <c r="B1078" t="s">
        <v>2532</v>
      </c>
      <c r="C1078" t="s">
        <v>3623</v>
      </c>
      <c r="D1078" t="s">
        <v>3673</v>
      </c>
      <c r="E1078" t="s">
        <v>3674</v>
      </c>
      <c r="G1078">
        <v>18000</v>
      </c>
      <c r="J1078" t="s">
        <v>2603</v>
      </c>
    </row>
    <row r="1079" spans="1:10" ht="15" customHeight="1" x14ac:dyDescent="0.2">
      <c r="A1079" s="420">
        <v>45933</v>
      </c>
      <c r="B1079" t="s">
        <v>2532</v>
      </c>
      <c r="C1079" t="s">
        <v>3623</v>
      </c>
      <c r="D1079" t="s">
        <v>3675</v>
      </c>
      <c r="E1079" t="s">
        <v>3676</v>
      </c>
      <c r="G1079">
        <v>24000</v>
      </c>
      <c r="I1079">
        <v>24000</v>
      </c>
      <c r="J1079" t="s">
        <v>2604</v>
      </c>
    </row>
    <row r="1080" spans="1:10" ht="15" customHeight="1" x14ac:dyDescent="0.2">
      <c r="A1080" s="420">
        <v>45937</v>
      </c>
      <c r="B1080" t="s">
        <v>2333</v>
      </c>
      <c r="C1080" t="s">
        <v>3623</v>
      </c>
      <c r="D1080" t="s">
        <v>3677</v>
      </c>
      <c r="E1080" t="s">
        <v>3678</v>
      </c>
      <c r="F1080">
        <v>24000</v>
      </c>
      <c r="J1080" t="s">
        <v>2604</v>
      </c>
    </row>
    <row r="1081" spans="1:10" ht="15" customHeight="1" x14ac:dyDescent="0.2">
      <c r="A1081" s="420">
        <v>45952</v>
      </c>
      <c r="B1081" t="s">
        <v>2333</v>
      </c>
      <c r="C1081" t="s">
        <v>3623</v>
      </c>
      <c r="D1081" t="s">
        <v>3679</v>
      </c>
      <c r="E1081" t="s">
        <v>3680</v>
      </c>
      <c r="F1081">
        <v>6000</v>
      </c>
      <c r="H1081">
        <v>6000</v>
      </c>
      <c r="J1081" t="s">
        <v>2599</v>
      </c>
    </row>
    <row r="1082" spans="1:10" ht="15" customHeight="1" x14ac:dyDescent="0.2">
      <c r="A1082" s="420">
        <v>45952</v>
      </c>
      <c r="B1082" t="s">
        <v>2333</v>
      </c>
      <c r="C1082" t="s">
        <v>3623</v>
      </c>
      <c r="D1082" t="s">
        <v>3681</v>
      </c>
      <c r="E1082" t="s">
        <v>3682</v>
      </c>
      <c r="F1082">
        <v>6000</v>
      </c>
      <c r="H1082">
        <v>12000</v>
      </c>
      <c r="J1082" t="s">
        <v>2599</v>
      </c>
    </row>
    <row r="1083" spans="1:10" ht="15" customHeight="1" x14ac:dyDescent="0.2">
      <c r="A1083" s="420">
        <v>45952</v>
      </c>
      <c r="B1083" t="s">
        <v>2532</v>
      </c>
      <c r="C1083" t="s">
        <v>3623</v>
      </c>
      <c r="D1083" t="s">
        <v>3683</v>
      </c>
      <c r="E1083" t="s">
        <v>3684</v>
      </c>
      <c r="G1083">
        <v>12000</v>
      </c>
      <c r="J1083" t="s">
        <v>2599</v>
      </c>
    </row>
    <row r="1084" spans="1:10" ht="15" customHeight="1" x14ac:dyDescent="0.2">
      <c r="A1084" s="420">
        <v>45989</v>
      </c>
      <c r="B1084" t="s">
        <v>2333</v>
      </c>
      <c r="C1084" t="s">
        <v>3623</v>
      </c>
      <c r="D1084" t="s">
        <v>3685</v>
      </c>
      <c r="E1084" t="s">
        <v>3686</v>
      </c>
      <c r="F1084">
        <v>6000</v>
      </c>
      <c r="H1084">
        <v>6000</v>
      </c>
      <c r="J1084" t="s">
        <v>2600</v>
      </c>
    </row>
    <row r="1085" spans="1:10" ht="15" customHeight="1" x14ac:dyDescent="0.2">
      <c r="A1085" s="420">
        <v>45989</v>
      </c>
      <c r="B1085" t="s">
        <v>2532</v>
      </c>
      <c r="C1085" t="s">
        <v>3623</v>
      </c>
      <c r="D1085" t="s">
        <v>3687</v>
      </c>
      <c r="E1085" t="s">
        <v>3688</v>
      </c>
      <c r="G1085">
        <v>6000</v>
      </c>
      <c r="J1085" t="s">
        <v>2600</v>
      </c>
    </row>
    <row r="1086" spans="1:10" ht="15" customHeight="1" x14ac:dyDescent="0.2">
      <c r="A1086" t="s">
        <v>3623</v>
      </c>
      <c r="E1086" t="s">
        <v>349</v>
      </c>
      <c r="F1086">
        <v>126000</v>
      </c>
      <c r="G1086">
        <v>126000</v>
      </c>
    </row>
    <row r="1088" spans="1:10" ht="15" customHeight="1" x14ac:dyDescent="0.2">
      <c r="A1088" t="s">
        <v>3689</v>
      </c>
      <c r="B1088" t="s">
        <v>3690</v>
      </c>
      <c r="F1088" t="s">
        <v>2430</v>
      </c>
      <c r="G1088" t="s">
        <v>2431</v>
      </c>
      <c r="H1088" t="s">
        <v>2432</v>
      </c>
      <c r="I1088" t="s">
        <v>2433</v>
      </c>
      <c r="J1088" t="s">
        <v>2434</v>
      </c>
    </row>
    <row r="1089" spans="1:10" ht="15" customHeight="1" x14ac:dyDescent="0.2">
      <c r="A1089" s="420">
        <v>45663</v>
      </c>
      <c r="B1089" t="s">
        <v>2547</v>
      </c>
      <c r="C1089" t="s">
        <v>3689</v>
      </c>
      <c r="D1089" t="s">
        <v>3595</v>
      </c>
      <c r="E1089" t="s">
        <v>1737</v>
      </c>
      <c r="G1089">
        <v>40.9</v>
      </c>
      <c r="I1089">
        <v>40.9</v>
      </c>
      <c r="J1089" t="s">
        <v>2511</v>
      </c>
    </row>
    <row r="1090" spans="1:10" ht="15" customHeight="1" x14ac:dyDescent="0.2">
      <c r="A1090" s="420">
        <v>45730</v>
      </c>
      <c r="B1090" t="s">
        <v>2333</v>
      </c>
      <c r="C1090" t="s">
        <v>3689</v>
      </c>
      <c r="D1090" t="s">
        <v>3596</v>
      </c>
      <c r="E1090" t="s">
        <v>3597</v>
      </c>
      <c r="F1090">
        <v>40.9</v>
      </c>
      <c r="J1090" t="s">
        <v>2511</v>
      </c>
    </row>
    <row r="1091" spans="1:10" ht="15" customHeight="1" x14ac:dyDescent="0.2">
      <c r="A1091" t="s">
        <v>3689</v>
      </c>
      <c r="E1091" t="s">
        <v>349</v>
      </c>
      <c r="F1091">
        <v>40.9</v>
      </c>
      <c r="G1091">
        <v>40.9</v>
      </c>
    </row>
    <row r="1093" spans="1:10" ht="15" customHeight="1" x14ac:dyDescent="0.2">
      <c r="A1093" t="s">
        <v>3691</v>
      </c>
      <c r="B1093" t="s">
        <v>3692</v>
      </c>
      <c r="F1093" t="s">
        <v>2430</v>
      </c>
      <c r="G1093" t="s">
        <v>2431</v>
      </c>
      <c r="H1093" t="s">
        <v>2432</v>
      </c>
      <c r="I1093" t="s">
        <v>2433</v>
      </c>
      <c r="J1093" t="s">
        <v>2434</v>
      </c>
    </row>
    <row r="1094" spans="1:10" ht="15" customHeight="1" x14ac:dyDescent="0.2">
      <c r="A1094" s="420">
        <v>45659</v>
      </c>
      <c r="B1094" t="s">
        <v>2532</v>
      </c>
      <c r="C1094" t="s">
        <v>3691</v>
      </c>
      <c r="D1094" t="s">
        <v>3693</v>
      </c>
      <c r="E1094" t="s">
        <v>3694</v>
      </c>
      <c r="G1094">
        <v>950.38</v>
      </c>
      <c r="I1094">
        <v>950.38</v>
      </c>
      <c r="J1094" t="s">
        <v>2511</v>
      </c>
    </row>
    <row r="1095" spans="1:10" ht="15" customHeight="1" x14ac:dyDescent="0.2">
      <c r="A1095" s="420">
        <v>45660</v>
      </c>
      <c r="B1095" t="s">
        <v>2333</v>
      </c>
      <c r="C1095" t="s">
        <v>3691</v>
      </c>
      <c r="D1095" t="s">
        <v>3695</v>
      </c>
      <c r="E1095" t="s">
        <v>3696</v>
      </c>
      <c r="F1095">
        <v>950.38</v>
      </c>
      <c r="J1095" t="s">
        <v>2511</v>
      </c>
    </row>
    <row r="1096" spans="1:10" ht="15" customHeight="1" x14ac:dyDescent="0.2">
      <c r="A1096" s="420">
        <v>45727</v>
      </c>
      <c r="B1096" t="s">
        <v>2532</v>
      </c>
      <c r="C1096" t="s">
        <v>3691</v>
      </c>
      <c r="D1096" t="s">
        <v>3697</v>
      </c>
      <c r="E1096" t="s">
        <v>1791</v>
      </c>
      <c r="G1096">
        <v>1667.1</v>
      </c>
      <c r="I1096">
        <v>1667.1</v>
      </c>
      <c r="J1096" t="s">
        <v>2509</v>
      </c>
    </row>
    <row r="1097" spans="1:10" ht="15" customHeight="1" x14ac:dyDescent="0.2">
      <c r="A1097" s="420">
        <v>45728</v>
      </c>
      <c r="B1097" t="s">
        <v>2333</v>
      </c>
      <c r="C1097" t="s">
        <v>3691</v>
      </c>
      <c r="D1097" t="s">
        <v>3698</v>
      </c>
      <c r="E1097" t="s">
        <v>3699</v>
      </c>
      <c r="F1097">
        <v>1667.1</v>
      </c>
      <c r="J1097" t="s">
        <v>2509</v>
      </c>
    </row>
    <row r="1098" spans="1:10" ht="15" customHeight="1" x14ac:dyDescent="0.2">
      <c r="A1098" s="420">
        <v>45729</v>
      </c>
      <c r="B1098" t="s">
        <v>2532</v>
      </c>
      <c r="C1098" t="s">
        <v>3691</v>
      </c>
      <c r="D1098" t="s">
        <v>3700</v>
      </c>
      <c r="E1098" t="s">
        <v>1794</v>
      </c>
      <c r="G1098">
        <v>594.53</v>
      </c>
      <c r="I1098">
        <v>594.53</v>
      </c>
      <c r="J1098" t="s">
        <v>2509</v>
      </c>
    </row>
    <row r="1099" spans="1:10" ht="15" customHeight="1" x14ac:dyDescent="0.2">
      <c r="A1099" s="420">
        <v>45730</v>
      </c>
      <c r="B1099" t="s">
        <v>2333</v>
      </c>
      <c r="C1099" t="s">
        <v>3691</v>
      </c>
      <c r="D1099" t="s">
        <v>3701</v>
      </c>
      <c r="E1099" t="s">
        <v>3702</v>
      </c>
      <c r="F1099">
        <v>594.53</v>
      </c>
      <c r="J1099" t="s">
        <v>2509</v>
      </c>
    </row>
    <row r="1100" spans="1:10" ht="15" customHeight="1" x14ac:dyDescent="0.2">
      <c r="A1100" s="420">
        <v>45801</v>
      </c>
      <c r="B1100" t="s">
        <v>2532</v>
      </c>
      <c r="C1100" t="s">
        <v>3691</v>
      </c>
      <c r="D1100" t="s">
        <v>3703</v>
      </c>
      <c r="E1100" t="s">
        <v>1859</v>
      </c>
      <c r="G1100">
        <v>187.06</v>
      </c>
      <c r="I1100">
        <v>187.06</v>
      </c>
      <c r="J1100" t="s">
        <v>2513</v>
      </c>
    </row>
    <row r="1101" spans="1:10" ht="15" customHeight="1" x14ac:dyDescent="0.2">
      <c r="A1101" s="420">
        <v>45803</v>
      </c>
      <c r="B1101" t="s">
        <v>2333</v>
      </c>
      <c r="C1101" t="s">
        <v>3691</v>
      </c>
      <c r="D1101" t="s">
        <v>3704</v>
      </c>
      <c r="E1101" t="s">
        <v>3705</v>
      </c>
      <c r="F1101">
        <v>187.06</v>
      </c>
      <c r="J1101" t="s">
        <v>2513</v>
      </c>
    </row>
    <row r="1102" spans="1:10" ht="15" customHeight="1" x14ac:dyDescent="0.2">
      <c r="A1102" s="420">
        <v>45848</v>
      </c>
      <c r="B1102" t="s">
        <v>2333</v>
      </c>
      <c r="C1102" t="s">
        <v>3691</v>
      </c>
      <c r="D1102" t="s">
        <v>3706</v>
      </c>
      <c r="E1102" t="s">
        <v>3707</v>
      </c>
      <c r="F1102">
        <v>126.5</v>
      </c>
      <c r="H1102">
        <v>126.5</v>
      </c>
      <c r="J1102" t="s">
        <v>2599</v>
      </c>
    </row>
    <row r="1103" spans="1:10" ht="15" customHeight="1" x14ac:dyDescent="0.2">
      <c r="A1103" s="420">
        <v>45861</v>
      </c>
      <c r="B1103" t="s">
        <v>2532</v>
      </c>
      <c r="C1103" t="s">
        <v>3691</v>
      </c>
      <c r="D1103" t="s">
        <v>3708</v>
      </c>
      <c r="E1103" t="s">
        <v>1905</v>
      </c>
      <c r="G1103">
        <v>1788</v>
      </c>
      <c r="I1103">
        <v>1661.5</v>
      </c>
      <c r="J1103" t="s">
        <v>2585</v>
      </c>
    </row>
    <row r="1104" spans="1:10" ht="15" customHeight="1" x14ac:dyDescent="0.2">
      <c r="A1104" s="420">
        <v>45882</v>
      </c>
      <c r="B1104" t="s">
        <v>2333</v>
      </c>
      <c r="C1104" t="s">
        <v>3691</v>
      </c>
      <c r="D1104" t="s">
        <v>3709</v>
      </c>
      <c r="E1104" t="s">
        <v>3710</v>
      </c>
      <c r="F1104">
        <v>1788</v>
      </c>
      <c r="H1104">
        <v>126.5</v>
      </c>
      <c r="J1104" t="s">
        <v>2585</v>
      </c>
    </row>
    <row r="1105" spans="1:10" ht="15" customHeight="1" x14ac:dyDescent="0.2">
      <c r="A1105" s="420">
        <v>45899</v>
      </c>
      <c r="B1105" t="s">
        <v>2547</v>
      </c>
      <c r="C1105" t="s">
        <v>3691</v>
      </c>
      <c r="D1105" t="s">
        <v>3711</v>
      </c>
      <c r="E1105" t="s">
        <v>1922</v>
      </c>
      <c r="G1105">
        <v>129.36000000000001</v>
      </c>
      <c r="I1105">
        <v>2.86</v>
      </c>
      <c r="J1105" t="s">
        <v>2599</v>
      </c>
    </row>
    <row r="1106" spans="1:10" ht="15" customHeight="1" x14ac:dyDescent="0.2">
      <c r="A1106" s="420">
        <v>45899</v>
      </c>
      <c r="B1106" t="s">
        <v>2517</v>
      </c>
      <c r="C1106" t="s">
        <v>3691</v>
      </c>
      <c r="D1106" t="s">
        <v>3712</v>
      </c>
      <c r="E1106" t="s">
        <v>925</v>
      </c>
      <c r="F1106">
        <v>2.86</v>
      </c>
      <c r="J1106" t="s">
        <v>2599</v>
      </c>
    </row>
    <row r="1107" spans="1:10" ht="15" customHeight="1" x14ac:dyDescent="0.2">
      <c r="A1107" s="420">
        <v>45964</v>
      </c>
      <c r="B1107" t="s">
        <v>2333</v>
      </c>
      <c r="C1107" t="s">
        <v>3691</v>
      </c>
      <c r="D1107" t="s">
        <v>3713</v>
      </c>
      <c r="E1107" t="s">
        <v>3714</v>
      </c>
      <c r="F1107">
        <v>950.56</v>
      </c>
      <c r="H1107">
        <v>950.56</v>
      </c>
      <c r="J1107" t="s">
        <v>2600</v>
      </c>
    </row>
    <row r="1108" spans="1:10" ht="15" customHeight="1" x14ac:dyDescent="0.2">
      <c r="A1108" s="420">
        <v>45968</v>
      </c>
      <c r="B1108" t="s">
        <v>2532</v>
      </c>
      <c r="C1108" t="s">
        <v>3691</v>
      </c>
      <c r="D1108" t="s">
        <v>3715</v>
      </c>
      <c r="E1108" t="s">
        <v>1969</v>
      </c>
      <c r="G1108">
        <v>129.66</v>
      </c>
      <c r="H1108">
        <v>820.9</v>
      </c>
      <c r="J1108" t="s">
        <v>2586</v>
      </c>
    </row>
    <row r="1109" spans="1:10" ht="15" customHeight="1" x14ac:dyDescent="0.2">
      <c r="A1109" s="420">
        <v>45971</v>
      </c>
      <c r="B1109" t="s">
        <v>2333</v>
      </c>
      <c r="C1109" t="s">
        <v>3691</v>
      </c>
      <c r="D1109" t="s">
        <v>3716</v>
      </c>
      <c r="E1109" t="s">
        <v>3717</v>
      </c>
      <c r="F1109">
        <v>129.66</v>
      </c>
      <c r="H1109">
        <v>950.56</v>
      </c>
      <c r="J1109" t="s">
        <v>2586</v>
      </c>
    </row>
    <row r="1110" spans="1:10" ht="15" customHeight="1" x14ac:dyDescent="0.2">
      <c r="A1110" s="420">
        <v>45972</v>
      </c>
      <c r="B1110" t="s">
        <v>2532</v>
      </c>
      <c r="C1110" t="s">
        <v>3691</v>
      </c>
      <c r="D1110" t="s">
        <v>3718</v>
      </c>
      <c r="E1110" t="s">
        <v>1971</v>
      </c>
      <c r="G1110">
        <v>949.99</v>
      </c>
      <c r="H1110">
        <v>0.56999999999999995</v>
      </c>
      <c r="J1110" t="s">
        <v>2600</v>
      </c>
    </row>
    <row r="1111" spans="1:10" ht="15" customHeight="1" x14ac:dyDescent="0.2">
      <c r="A1111" s="420">
        <v>45972</v>
      </c>
      <c r="B1111" t="s">
        <v>2517</v>
      </c>
      <c r="C1111" t="s">
        <v>3691</v>
      </c>
      <c r="D1111" t="s">
        <v>3719</v>
      </c>
      <c r="E1111" t="s">
        <v>925</v>
      </c>
      <c r="G1111">
        <v>0.56999999999999995</v>
      </c>
      <c r="J1111" t="s">
        <v>2600</v>
      </c>
    </row>
    <row r="1112" spans="1:10" ht="15" customHeight="1" x14ac:dyDescent="0.2">
      <c r="A1112" s="420">
        <v>45995</v>
      </c>
      <c r="B1112" t="s">
        <v>2532</v>
      </c>
      <c r="C1112" t="s">
        <v>3691</v>
      </c>
      <c r="D1112" t="s">
        <v>3720</v>
      </c>
      <c r="E1112" t="s">
        <v>1988</v>
      </c>
      <c r="G1112">
        <v>30</v>
      </c>
      <c r="I1112">
        <v>30</v>
      </c>
      <c r="J1112" t="s">
        <v>2587</v>
      </c>
    </row>
    <row r="1113" spans="1:10" ht="15" customHeight="1" x14ac:dyDescent="0.2">
      <c r="A1113" s="420">
        <v>45995</v>
      </c>
      <c r="B1113" t="s">
        <v>2532</v>
      </c>
      <c r="C1113" t="s">
        <v>3691</v>
      </c>
      <c r="D1113" t="s">
        <v>3721</v>
      </c>
      <c r="E1113" t="s">
        <v>1989</v>
      </c>
      <c r="G1113">
        <v>275.05</v>
      </c>
      <c r="I1113">
        <v>305.05</v>
      </c>
      <c r="J1113" t="s">
        <v>2603</v>
      </c>
    </row>
    <row r="1114" spans="1:10" ht="15" customHeight="1" x14ac:dyDescent="0.2">
      <c r="A1114" s="420">
        <v>45996</v>
      </c>
      <c r="B1114" t="s">
        <v>2333</v>
      </c>
      <c r="C1114" t="s">
        <v>3691</v>
      </c>
      <c r="D1114" t="s">
        <v>3722</v>
      </c>
      <c r="E1114" t="s">
        <v>3723</v>
      </c>
      <c r="F1114">
        <v>275.05</v>
      </c>
      <c r="I1114">
        <v>30</v>
      </c>
      <c r="J1114" t="s">
        <v>2603</v>
      </c>
    </row>
    <row r="1115" spans="1:10" ht="15" customHeight="1" x14ac:dyDescent="0.2">
      <c r="A1115" s="420">
        <v>46013</v>
      </c>
      <c r="B1115" t="s">
        <v>2333</v>
      </c>
      <c r="C1115" t="s">
        <v>3691</v>
      </c>
      <c r="D1115" t="s">
        <v>3724</v>
      </c>
      <c r="E1115" t="s">
        <v>816</v>
      </c>
      <c r="F1115">
        <v>30</v>
      </c>
      <c r="J1115" t="s">
        <v>2587</v>
      </c>
    </row>
    <row r="1116" spans="1:10" ht="15" customHeight="1" x14ac:dyDescent="0.2">
      <c r="A1116" s="420">
        <v>46018</v>
      </c>
      <c r="B1116" t="s">
        <v>2532</v>
      </c>
      <c r="C1116" t="s">
        <v>3691</v>
      </c>
      <c r="D1116" t="s">
        <v>3725</v>
      </c>
      <c r="E1116" t="s">
        <v>3726</v>
      </c>
      <c r="G1116">
        <v>287.89999999999998</v>
      </c>
      <c r="I1116">
        <v>287.89999999999998</v>
      </c>
      <c r="J1116" t="s">
        <v>2601</v>
      </c>
    </row>
    <row r="1117" spans="1:10" ht="15" customHeight="1" x14ac:dyDescent="0.2">
      <c r="A1117" s="420">
        <v>46020</v>
      </c>
      <c r="B1117" t="s">
        <v>2333</v>
      </c>
      <c r="C1117" t="s">
        <v>3691</v>
      </c>
      <c r="D1117" t="s">
        <v>3727</v>
      </c>
      <c r="E1117" t="s">
        <v>3728</v>
      </c>
      <c r="F1117">
        <v>47.9</v>
      </c>
      <c r="I1117">
        <v>240</v>
      </c>
      <c r="J1117" t="s">
        <v>2601</v>
      </c>
    </row>
    <row r="1118" spans="1:10" ht="15" customHeight="1" x14ac:dyDescent="0.2">
      <c r="A1118" s="420">
        <v>46020</v>
      </c>
      <c r="B1118" t="s">
        <v>2517</v>
      </c>
      <c r="C1118" t="s">
        <v>3691</v>
      </c>
      <c r="D1118" t="s">
        <v>3729</v>
      </c>
      <c r="E1118" t="s">
        <v>3730</v>
      </c>
      <c r="F1118">
        <v>240</v>
      </c>
      <c r="J1118" t="s">
        <v>2601</v>
      </c>
    </row>
    <row r="1119" spans="1:10" ht="15" customHeight="1" x14ac:dyDescent="0.2">
      <c r="A1119" t="s">
        <v>3691</v>
      </c>
      <c r="E1119" t="s">
        <v>349</v>
      </c>
      <c r="F1119">
        <v>6989.6</v>
      </c>
      <c r="G1119">
        <v>6989.6</v>
      </c>
    </row>
    <row r="1121" spans="1:10" ht="15" customHeight="1" x14ac:dyDescent="0.2">
      <c r="A1121" t="s">
        <v>3731</v>
      </c>
      <c r="B1121" t="s">
        <v>3732</v>
      </c>
      <c r="F1121" t="s">
        <v>2430</v>
      </c>
      <c r="G1121" t="s">
        <v>2431</v>
      </c>
      <c r="H1121" t="s">
        <v>2432</v>
      </c>
      <c r="I1121" t="s">
        <v>2433</v>
      </c>
      <c r="J1121" t="s">
        <v>2434</v>
      </c>
    </row>
    <row r="1122" spans="1:10" ht="15" customHeight="1" x14ac:dyDescent="0.2">
      <c r="A1122" s="420">
        <v>45870</v>
      </c>
      <c r="B1122" t="s">
        <v>2532</v>
      </c>
      <c r="C1122" t="s">
        <v>3731</v>
      </c>
      <c r="D1122" t="s">
        <v>3733</v>
      </c>
      <c r="E1122" t="s">
        <v>1388</v>
      </c>
      <c r="G1122">
        <v>48</v>
      </c>
      <c r="I1122">
        <v>48</v>
      </c>
      <c r="J1122" t="s">
        <v>2511</v>
      </c>
    </row>
    <row r="1123" spans="1:10" ht="15" customHeight="1" x14ac:dyDescent="0.2">
      <c r="A1123" s="420">
        <v>45873</v>
      </c>
      <c r="B1123" t="s">
        <v>2333</v>
      </c>
      <c r="C1123" t="s">
        <v>3731</v>
      </c>
      <c r="D1123" t="s">
        <v>3734</v>
      </c>
      <c r="E1123" t="s">
        <v>3735</v>
      </c>
      <c r="F1123">
        <v>48</v>
      </c>
      <c r="J1123" t="s">
        <v>2511</v>
      </c>
    </row>
    <row r="1124" spans="1:10" ht="15" customHeight="1" x14ac:dyDescent="0.2">
      <c r="A1124" t="s">
        <v>3731</v>
      </c>
      <c r="E1124" t="s">
        <v>349</v>
      </c>
      <c r="F1124">
        <v>48</v>
      </c>
      <c r="G1124">
        <v>48</v>
      </c>
    </row>
    <row r="1126" spans="1:10" ht="15" customHeight="1" x14ac:dyDescent="0.2">
      <c r="A1126" t="s">
        <v>3736</v>
      </c>
      <c r="B1126" t="s">
        <v>3737</v>
      </c>
      <c r="F1126" t="s">
        <v>2430</v>
      </c>
      <c r="G1126" t="s">
        <v>2431</v>
      </c>
      <c r="H1126" t="s">
        <v>2432</v>
      </c>
      <c r="I1126" t="s">
        <v>2433</v>
      </c>
      <c r="J1126" t="s">
        <v>2434</v>
      </c>
    </row>
    <row r="1127" spans="1:10" ht="15" customHeight="1" x14ac:dyDescent="0.2">
      <c r="A1127" s="420">
        <v>45690</v>
      </c>
      <c r="B1127" t="s">
        <v>2547</v>
      </c>
      <c r="C1127" t="s">
        <v>3736</v>
      </c>
      <c r="D1127" t="s">
        <v>3738</v>
      </c>
      <c r="E1127" t="s">
        <v>3739</v>
      </c>
      <c r="G1127">
        <v>20</v>
      </c>
      <c r="I1127">
        <v>20</v>
      </c>
      <c r="J1127" t="s">
        <v>2511</v>
      </c>
    </row>
    <row r="1128" spans="1:10" ht="15" customHeight="1" x14ac:dyDescent="0.2">
      <c r="A1128" s="420">
        <v>45691</v>
      </c>
      <c r="B1128" t="s">
        <v>2333</v>
      </c>
      <c r="C1128" t="s">
        <v>3736</v>
      </c>
      <c r="D1128" t="s">
        <v>3740</v>
      </c>
      <c r="E1128" t="s">
        <v>3741</v>
      </c>
      <c r="F1128">
        <v>20</v>
      </c>
      <c r="J1128" t="s">
        <v>2511</v>
      </c>
    </row>
    <row r="1129" spans="1:10" ht="15" customHeight="1" x14ac:dyDescent="0.2">
      <c r="A1129" t="s">
        <v>3736</v>
      </c>
      <c r="E1129" t="s">
        <v>349</v>
      </c>
      <c r="F1129">
        <v>20</v>
      </c>
      <c r="G1129">
        <v>20</v>
      </c>
    </row>
    <row r="1131" spans="1:10" ht="15" customHeight="1" x14ac:dyDescent="0.2">
      <c r="A1131" t="s">
        <v>3742</v>
      </c>
      <c r="B1131" t="s">
        <v>3743</v>
      </c>
      <c r="F1131" t="s">
        <v>2430</v>
      </c>
      <c r="G1131" t="s">
        <v>2431</v>
      </c>
      <c r="H1131" t="s">
        <v>2432</v>
      </c>
      <c r="I1131" t="s">
        <v>2433</v>
      </c>
      <c r="J1131" t="s">
        <v>2434</v>
      </c>
    </row>
    <row r="1132" spans="1:10" ht="15" customHeight="1" x14ac:dyDescent="0.2">
      <c r="A1132" s="420">
        <v>45729</v>
      </c>
      <c r="B1132" t="s">
        <v>2547</v>
      </c>
      <c r="C1132" t="s">
        <v>3742</v>
      </c>
      <c r="D1132" t="s">
        <v>3595</v>
      </c>
      <c r="E1132" t="s">
        <v>465</v>
      </c>
      <c r="G1132">
        <v>41.5</v>
      </c>
      <c r="I1132">
        <v>41.5</v>
      </c>
      <c r="J1132" t="s">
        <v>2511</v>
      </c>
    </row>
    <row r="1133" spans="1:10" ht="15" customHeight="1" x14ac:dyDescent="0.2">
      <c r="A1133" s="420">
        <v>45730</v>
      </c>
      <c r="B1133" t="s">
        <v>2333</v>
      </c>
      <c r="C1133" t="s">
        <v>3742</v>
      </c>
      <c r="D1133" t="s">
        <v>3596</v>
      </c>
      <c r="E1133" t="s">
        <v>3597</v>
      </c>
      <c r="F1133">
        <v>41.5</v>
      </c>
      <c r="J1133" t="s">
        <v>2511</v>
      </c>
    </row>
    <row r="1134" spans="1:10" ht="15" customHeight="1" x14ac:dyDescent="0.2">
      <c r="A1134" t="s">
        <v>3742</v>
      </c>
      <c r="E1134" t="s">
        <v>349</v>
      </c>
      <c r="F1134">
        <v>41.5</v>
      </c>
      <c r="G1134">
        <v>41.5</v>
      </c>
    </row>
    <row r="1136" spans="1:10" ht="15" customHeight="1" x14ac:dyDescent="0.2">
      <c r="A1136" t="s">
        <v>3744</v>
      </c>
      <c r="B1136" t="s">
        <v>3745</v>
      </c>
      <c r="F1136" t="s">
        <v>2430</v>
      </c>
      <c r="G1136" t="s">
        <v>2431</v>
      </c>
      <c r="H1136" t="s">
        <v>2432</v>
      </c>
      <c r="I1136" t="s">
        <v>2433</v>
      </c>
      <c r="J1136" t="s">
        <v>2434</v>
      </c>
    </row>
    <row r="1137" spans="1:10" ht="15" customHeight="1" x14ac:dyDescent="0.2">
      <c r="A1137" s="420">
        <v>45905</v>
      </c>
      <c r="B1137" t="s">
        <v>2532</v>
      </c>
      <c r="C1137" t="s">
        <v>3744</v>
      </c>
      <c r="D1137" t="s">
        <v>3746</v>
      </c>
      <c r="E1137" t="s">
        <v>1928</v>
      </c>
      <c r="G1137">
        <v>45.5</v>
      </c>
      <c r="I1137">
        <v>45.5</v>
      </c>
      <c r="J1137" t="s">
        <v>2511</v>
      </c>
    </row>
    <row r="1138" spans="1:10" ht="15" customHeight="1" x14ac:dyDescent="0.2">
      <c r="A1138" s="420">
        <v>45936</v>
      </c>
      <c r="B1138" t="s">
        <v>2333</v>
      </c>
      <c r="C1138" t="s">
        <v>3744</v>
      </c>
      <c r="D1138" t="s">
        <v>2615</v>
      </c>
      <c r="E1138" t="s">
        <v>3747</v>
      </c>
      <c r="F1138">
        <v>45.5</v>
      </c>
      <c r="J1138" t="s">
        <v>2511</v>
      </c>
    </row>
    <row r="1139" spans="1:10" ht="15" customHeight="1" x14ac:dyDescent="0.2">
      <c r="A1139" t="s">
        <v>3744</v>
      </c>
      <c r="E1139" t="s">
        <v>349</v>
      </c>
      <c r="F1139">
        <v>45.5</v>
      </c>
      <c r="G1139">
        <v>45.5</v>
      </c>
    </row>
    <row r="1141" spans="1:10" ht="15" customHeight="1" x14ac:dyDescent="0.2">
      <c r="A1141" t="s">
        <v>3748</v>
      </c>
      <c r="B1141" t="s">
        <v>3749</v>
      </c>
      <c r="F1141" t="s">
        <v>2430</v>
      </c>
      <c r="G1141" t="s">
        <v>2431</v>
      </c>
      <c r="H1141" t="s">
        <v>2432</v>
      </c>
      <c r="I1141" t="s">
        <v>2433</v>
      </c>
      <c r="J1141" t="s">
        <v>2434</v>
      </c>
    </row>
    <row r="1142" spans="1:10" ht="15" customHeight="1" x14ac:dyDescent="0.2">
      <c r="A1142" s="420">
        <v>45985</v>
      </c>
      <c r="B1142" t="s">
        <v>2532</v>
      </c>
      <c r="C1142" t="s">
        <v>3748</v>
      </c>
      <c r="D1142" t="s">
        <v>3750</v>
      </c>
      <c r="E1142" t="s">
        <v>3751</v>
      </c>
      <c r="G1142">
        <v>280</v>
      </c>
      <c r="I1142">
        <v>280</v>
      </c>
      <c r="J1142" t="s">
        <v>2509</v>
      </c>
    </row>
    <row r="1143" spans="1:10" ht="15" customHeight="1" x14ac:dyDescent="0.2">
      <c r="A1143" s="420">
        <v>45986</v>
      </c>
      <c r="B1143" t="s">
        <v>2333</v>
      </c>
      <c r="C1143" t="s">
        <v>3748</v>
      </c>
      <c r="D1143" t="s">
        <v>3752</v>
      </c>
      <c r="E1143" t="s">
        <v>3753</v>
      </c>
      <c r="F1143">
        <v>280</v>
      </c>
      <c r="J1143" t="s">
        <v>2509</v>
      </c>
    </row>
    <row r="1144" spans="1:10" ht="15" customHeight="1" x14ac:dyDescent="0.2">
      <c r="A1144" s="420">
        <v>46013</v>
      </c>
      <c r="B1144" t="s">
        <v>2547</v>
      </c>
      <c r="C1144" t="s">
        <v>3748</v>
      </c>
      <c r="D1144" t="s">
        <v>3754</v>
      </c>
      <c r="E1144" t="s">
        <v>3755</v>
      </c>
      <c r="G1144">
        <v>80</v>
      </c>
      <c r="I1144">
        <v>80</v>
      </c>
      <c r="J1144" t="s">
        <v>2511</v>
      </c>
    </row>
    <row r="1145" spans="1:10" ht="15" customHeight="1" x14ac:dyDescent="0.2">
      <c r="A1145" s="420">
        <v>46014</v>
      </c>
      <c r="B1145" t="s">
        <v>2333</v>
      </c>
      <c r="C1145" t="s">
        <v>3748</v>
      </c>
      <c r="D1145" t="s">
        <v>3756</v>
      </c>
      <c r="E1145" t="s">
        <v>3757</v>
      </c>
      <c r="F1145">
        <v>80</v>
      </c>
      <c r="J1145" t="s">
        <v>2511</v>
      </c>
    </row>
    <row r="1146" spans="1:10" ht="15" customHeight="1" x14ac:dyDescent="0.2">
      <c r="A1146" t="s">
        <v>3748</v>
      </c>
      <c r="E1146" t="s">
        <v>349</v>
      </c>
      <c r="F1146">
        <v>360</v>
      </c>
      <c r="G1146">
        <v>360</v>
      </c>
    </row>
    <row r="1148" spans="1:10" ht="15" customHeight="1" x14ac:dyDescent="0.2">
      <c r="A1148" t="s">
        <v>3758</v>
      </c>
      <c r="B1148" t="s">
        <v>3759</v>
      </c>
      <c r="F1148" t="s">
        <v>2430</v>
      </c>
      <c r="G1148" t="s">
        <v>2431</v>
      </c>
      <c r="H1148" t="s">
        <v>2432</v>
      </c>
      <c r="I1148" t="s">
        <v>2433</v>
      </c>
      <c r="J1148" t="s">
        <v>2434</v>
      </c>
    </row>
    <row r="1149" spans="1:10" ht="15" customHeight="1" x14ac:dyDescent="0.2">
      <c r="A1149" s="420">
        <v>45798</v>
      </c>
      <c r="B1149" t="s">
        <v>2532</v>
      </c>
      <c r="C1149" t="s">
        <v>3758</v>
      </c>
      <c r="D1149" t="s">
        <v>3760</v>
      </c>
      <c r="E1149" t="s">
        <v>3761</v>
      </c>
      <c r="G1149">
        <v>172.92</v>
      </c>
      <c r="I1149">
        <v>172.92</v>
      </c>
      <c r="J1149" t="s">
        <v>2511</v>
      </c>
    </row>
    <row r="1150" spans="1:10" ht="15" customHeight="1" x14ac:dyDescent="0.2">
      <c r="A1150" s="420">
        <v>45820</v>
      </c>
      <c r="B1150" t="s">
        <v>2333</v>
      </c>
      <c r="C1150" t="s">
        <v>3758</v>
      </c>
      <c r="D1150" t="s">
        <v>3762</v>
      </c>
      <c r="E1150" t="s">
        <v>3763</v>
      </c>
      <c r="F1150">
        <v>172.92</v>
      </c>
      <c r="J1150" t="s">
        <v>2511</v>
      </c>
    </row>
    <row r="1151" spans="1:10" ht="15" customHeight="1" x14ac:dyDescent="0.2">
      <c r="A1151" t="s">
        <v>3758</v>
      </c>
      <c r="E1151" t="s">
        <v>349</v>
      </c>
      <c r="F1151">
        <v>172.92</v>
      </c>
      <c r="G1151">
        <v>172.92</v>
      </c>
    </row>
    <row r="1153" spans="1:10" ht="15" customHeight="1" x14ac:dyDescent="0.2">
      <c r="A1153" t="s">
        <v>3764</v>
      </c>
      <c r="B1153" t="s">
        <v>3765</v>
      </c>
      <c r="F1153" t="s">
        <v>2430</v>
      </c>
      <c r="G1153" t="s">
        <v>2431</v>
      </c>
      <c r="H1153" t="s">
        <v>2432</v>
      </c>
      <c r="I1153" t="s">
        <v>2433</v>
      </c>
      <c r="J1153" t="s">
        <v>2434</v>
      </c>
    </row>
    <row r="1154" spans="1:10" ht="15" customHeight="1" x14ac:dyDescent="0.2">
      <c r="A1154" s="420">
        <v>45919</v>
      </c>
      <c r="B1154" t="s">
        <v>2532</v>
      </c>
      <c r="C1154" t="s">
        <v>3764</v>
      </c>
      <c r="D1154" t="s">
        <v>3766</v>
      </c>
      <c r="E1154" t="s">
        <v>3767</v>
      </c>
      <c r="G1154">
        <v>900</v>
      </c>
      <c r="I1154">
        <v>900</v>
      </c>
      <c r="J1154" t="s">
        <v>2511</v>
      </c>
    </row>
    <row r="1155" spans="1:10" ht="15" customHeight="1" x14ac:dyDescent="0.2">
      <c r="A1155" s="420">
        <v>45938</v>
      </c>
      <c r="B1155" t="s">
        <v>2333</v>
      </c>
      <c r="C1155" t="s">
        <v>3764</v>
      </c>
      <c r="D1155" t="s">
        <v>3768</v>
      </c>
      <c r="E1155" t="s">
        <v>3769</v>
      </c>
      <c r="F1155">
        <v>900</v>
      </c>
      <c r="J1155" t="s">
        <v>2511</v>
      </c>
    </row>
    <row r="1156" spans="1:10" ht="15" customHeight="1" x14ac:dyDescent="0.2">
      <c r="A1156" t="s">
        <v>3764</v>
      </c>
      <c r="E1156" t="s">
        <v>349</v>
      </c>
      <c r="F1156">
        <v>900</v>
      </c>
      <c r="G1156">
        <v>900</v>
      </c>
    </row>
    <row r="1158" spans="1:10" ht="15" customHeight="1" x14ac:dyDescent="0.2">
      <c r="A1158" t="s">
        <v>3770</v>
      </c>
      <c r="B1158" t="s">
        <v>1645</v>
      </c>
      <c r="F1158" t="s">
        <v>2430</v>
      </c>
      <c r="G1158" t="s">
        <v>2431</v>
      </c>
      <c r="H1158" t="s">
        <v>2432</v>
      </c>
      <c r="I1158" t="s">
        <v>2433</v>
      </c>
      <c r="J1158" t="s">
        <v>2434</v>
      </c>
    </row>
    <row r="1159" spans="1:10" ht="15" customHeight="1" x14ac:dyDescent="0.2">
      <c r="A1159" s="420">
        <v>45667</v>
      </c>
      <c r="B1159" t="s">
        <v>2532</v>
      </c>
      <c r="C1159" t="s">
        <v>3770</v>
      </c>
      <c r="D1159" t="s">
        <v>3771</v>
      </c>
      <c r="E1159" t="s">
        <v>1628</v>
      </c>
      <c r="G1159">
        <v>40.15</v>
      </c>
      <c r="I1159">
        <v>40.15</v>
      </c>
      <c r="J1159" t="s">
        <v>2511</v>
      </c>
    </row>
    <row r="1160" spans="1:10" ht="15" customHeight="1" x14ac:dyDescent="0.2">
      <c r="A1160" s="420">
        <v>45670</v>
      </c>
      <c r="B1160" t="s">
        <v>2333</v>
      </c>
      <c r="C1160" t="s">
        <v>3770</v>
      </c>
      <c r="D1160" t="s">
        <v>3772</v>
      </c>
      <c r="E1160" t="s">
        <v>3773</v>
      </c>
      <c r="F1160">
        <v>40.15</v>
      </c>
      <c r="J1160" t="s">
        <v>2511</v>
      </c>
    </row>
    <row r="1161" spans="1:10" ht="15" customHeight="1" x14ac:dyDescent="0.2">
      <c r="A1161" s="420">
        <v>45684</v>
      </c>
      <c r="B1161" t="s">
        <v>2532</v>
      </c>
      <c r="C1161" t="s">
        <v>3770</v>
      </c>
      <c r="D1161" t="s">
        <v>3774</v>
      </c>
      <c r="E1161" t="s">
        <v>1631</v>
      </c>
      <c r="G1161">
        <v>20.9</v>
      </c>
      <c r="I1161">
        <v>20.9</v>
      </c>
      <c r="J1161" t="s">
        <v>2511</v>
      </c>
    </row>
    <row r="1162" spans="1:10" ht="15" customHeight="1" x14ac:dyDescent="0.2">
      <c r="A1162" s="420">
        <v>45685</v>
      </c>
      <c r="B1162" t="s">
        <v>2333</v>
      </c>
      <c r="C1162" t="s">
        <v>3770</v>
      </c>
      <c r="D1162" t="s">
        <v>3775</v>
      </c>
      <c r="E1162" t="s">
        <v>3776</v>
      </c>
      <c r="F1162">
        <v>20.9</v>
      </c>
      <c r="J1162" t="s">
        <v>2511</v>
      </c>
    </row>
    <row r="1163" spans="1:10" ht="15" customHeight="1" x14ac:dyDescent="0.2">
      <c r="A1163" s="420">
        <v>45685</v>
      </c>
      <c r="B1163" t="s">
        <v>2532</v>
      </c>
      <c r="C1163" t="s">
        <v>3770</v>
      </c>
      <c r="D1163" t="s">
        <v>3777</v>
      </c>
      <c r="E1163" t="s">
        <v>1633</v>
      </c>
      <c r="G1163">
        <v>20.9</v>
      </c>
      <c r="I1163">
        <v>20.9</v>
      </c>
      <c r="J1163" t="s">
        <v>2511</v>
      </c>
    </row>
    <row r="1164" spans="1:10" ht="15" customHeight="1" x14ac:dyDescent="0.2">
      <c r="A1164" s="420">
        <v>45686</v>
      </c>
      <c r="B1164" t="s">
        <v>2333</v>
      </c>
      <c r="C1164" t="s">
        <v>3770</v>
      </c>
      <c r="D1164" t="s">
        <v>3778</v>
      </c>
      <c r="E1164" t="s">
        <v>3773</v>
      </c>
      <c r="F1164">
        <v>20.9</v>
      </c>
      <c r="J1164" t="s">
        <v>2511</v>
      </c>
    </row>
    <row r="1165" spans="1:10" ht="15" customHeight="1" x14ac:dyDescent="0.2">
      <c r="A1165" s="420">
        <v>45694</v>
      </c>
      <c r="B1165" t="s">
        <v>2532</v>
      </c>
      <c r="C1165" t="s">
        <v>3770</v>
      </c>
      <c r="D1165" t="s">
        <v>3779</v>
      </c>
      <c r="E1165" t="s">
        <v>1637</v>
      </c>
      <c r="G1165">
        <v>20.9</v>
      </c>
      <c r="I1165">
        <v>20.9</v>
      </c>
      <c r="J1165" t="s">
        <v>2511</v>
      </c>
    </row>
    <row r="1166" spans="1:10" ht="15" customHeight="1" x14ac:dyDescent="0.2">
      <c r="A1166" s="420">
        <v>45695</v>
      </c>
      <c r="B1166" t="s">
        <v>2333</v>
      </c>
      <c r="C1166" t="s">
        <v>3770</v>
      </c>
      <c r="D1166" t="s">
        <v>3780</v>
      </c>
      <c r="E1166" t="s">
        <v>3776</v>
      </c>
      <c r="F1166">
        <v>20.9</v>
      </c>
      <c r="J1166" t="s">
        <v>2511</v>
      </c>
    </row>
    <row r="1167" spans="1:10" ht="15" customHeight="1" x14ac:dyDescent="0.2">
      <c r="A1167" s="420">
        <v>45705</v>
      </c>
      <c r="B1167" t="s">
        <v>2532</v>
      </c>
      <c r="C1167" t="s">
        <v>3770</v>
      </c>
      <c r="D1167" t="s">
        <v>3781</v>
      </c>
      <c r="E1167" t="s">
        <v>1640</v>
      </c>
      <c r="G1167">
        <v>20.9</v>
      </c>
      <c r="I1167">
        <v>20.9</v>
      </c>
      <c r="J1167" t="s">
        <v>2511</v>
      </c>
    </row>
    <row r="1168" spans="1:10" ht="15" customHeight="1" x14ac:dyDescent="0.2">
      <c r="A1168" s="420">
        <v>45706</v>
      </c>
      <c r="B1168" t="s">
        <v>2333</v>
      </c>
      <c r="C1168" t="s">
        <v>3770</v>
      </c>
      <c r="D1168" t="s">
        <v>3782</v>
      </c>
      <c r="E1168" t="s">
        <v>3773</v>
      </c>
      <c r="F1168">
        <v>20.9</v>
      </c>
      <c r="J1168" t="s">
        <v>2511</v>
      </c>
    </row>
    <row r="1169" spans="1:10" ht="15" customHeight="1" x14ac:dyDescent="0.2">
      <c r="A1169" s="420">
        <v>45722</v>
      </c>
      <c r="B1169" t="s">
        <v>2532</v>
      </c>
      <c r="C1169" t="s">
        <v>3770</v>
      </c>
      <c r="D1169" t="s">
        <v>3783</v>
      </c>
      <c r="E1169" t="s">
        <v>1644</v>
      </c>
      <c r="G1169">
        <v>35.520000000000003</v>
      </c>
      <c r="I1169">
        <v>35.520000000000003</v>
      </c>
      <c r="J1169" t="s">
        <v>2511</v>
      </c>
    </row>
    <row r="1170" spans="1:10" ht="15" customHeight="1" x14ac:dyDescent="0.2">
      <c r="A1170" s="420">
        <v>45722</v>
      </c>
      <c r="B1170" t="s">
        <v>2547</v>
      </c>
      <c r="C1170" t="s">
        <v>3770</v>
      </c>
      <c r="D1170" t="s">
        <v>3784</v>
      </c>
      <c r="E1170" t="s">
        <v>1645</v>
      </c>
      <c r="G1170">
        <v>20.9</v>
      </c>
      <c r="I1170">
        <v>56.42</v>
      </c>
      <c r="J1170" t="s">
        <v>2509</v>
      </c>
    </row>
    <row r="1171" spans="1:10" ht="15" customHeight="1" x14ac:dyDescent="0.2">
      <c r="A1171" s="420">
        <v>45723</v>
      </c>
      <c r="B1171" t="s">
        <v>2333</v>
      </c>
      <c r="C1171" t="s">
        <v>3770</v>
      </c>
      <c r="D1171" t="s">
        <v>3785</v>
      </c>
      <c r="E1171" t="s">
        <v>3773</v>
      </c>
      <c r="F1171">
        <v>35.520000000000003</v>
      </c>
      <c r="I1171">
        <v>20.9</v>
      </c>
      <c r="J1171" t="s">
        <v>2511</v>
      </c>
    </row>
    <row r="1172" spans="1:10" ht="15" customHeight="1" x14ac:dyDescent="0.2">
      <c r="A1172" s="420">
        <v>45737</v>
      </c>
      <c r="B1172" t="s">
        <v>2547</v>
      </c>
      <c r="C1172" t="s">
        <v>3770</v>
      </c>
      <c r="D1172" t="s">
        <v>3784</v>
      </c>
      <c r="E1172" t="s">
        <v>1645</v>
      </c>
      <c r="G1172">
        <v>20.9</v>
      </c>
      <c r="I1172">
        <v>41.8</v>
      </c>
      <c r="J1172" t="s">
        <v>2509</v>
      </c>
    </row>
    <row r="1173" spans="1:10" ht="15" customHeight="1" x14ac:dyDescent="0.2">
      <c r="A1173" s="420">
        <v>45737</v>
      </c>
      <c r="B1173" t="s">
        <v>2547</v>
      </c>
      <c r="C1173" t="s">
        <v>3770</v>
      </c>
      <c r="D1173" t="s">
        <v>3784</v>
      </c>
      <c r="E1173" t="s">
        <v>1645</v>
      </c>
      <c r="G1173">
        <v>20.9</v>
      </c>
      <c r="I1173">
        <v>62.7</v>
      </c>
      <c r="J1173" t="s">
        <v>2509</v>
      </c>
    </row>
    <row r="1174" spans="1:10" ht="15" customHeight="1" x14ac:dyDescent="0.2">
      <c r="A1174" s="420">
        <v>45743</v>
      </c>
      <c r="B1174" t="s">
        <v>2547</v>
      </c>
      <c r="C1174" t="s">
        <v>3770</v>
      </c>
      <c r="D1174" t="s">
        <v>3786</v>
      </c>
      <c r="E1174" t="s">
        <v>1645</v>
      </c>
      <c r="G1174">
        <v>20.9</v>
      </c>
      <c r="I1174">
        <v>83.6</v>
      </c>
      <c r="J1174" t="s">
        <v>2509</v>
      </c>
    </row>
    <row r="1175" spans="1:10" ht="15" customHeight="1" x14ac:dyDescent="0.2">
      <c r="A1175" s="420">
        <v>45747</v>
      </c>
      <c r="B1175" t="s">
        <v>2333</v>
      </c>
      <c r="C1175" t="s">
        <v>3770</v>
      </c>
      <c r="D1175" t="s">
        <v>3787</v>
      </c>
      <c r="E1175" t="s">
        <v>3788</v>
      </c>
      <c r="F1175">
        <v>62.7</v>
      </c>
      <c r="I1175">
        <v>20.9</v>
      </c>
      <c r="J1175" t="s">
        <v>2509</v>
      </c>
    </row>
    <row r="1176" spans="1:10" ht="15" customHeight="1" x14ac:dyDescent="0.2">
      <c r="A1176" s="420">
        <v>45751</v>
      </c>
      <c r="B1176" t="s">
        <v>2532</v>
      </c>
      <c r="C1176" t="s">
        <v>3770</v>
      </c>
      <c r="D1176" t="s">
        <v>3789</v>
      </c>
      <c r="E1176" t="s">
        <v>1651</v>
      </c>
      <c r="G1176">
        <v>20.9</v>
      </c>
      <c r="I1176">
        <v>41.8</v>
      </c>
      <c r="J1176" t="s">
        <v>2605</v>
      </c>
    </row>
    <row r="1177" spans="1:10" ht="15" customHeight="1" x14ac:dyDescent="0.2">
      <c r="A1177" s="420">
        <v>45754</v>
      </c>
      <c r="B1177" t="s">
        <v>2333</v>
      </c>
      <c r="C1177" t="s">
        <v>3770</v>
      </c>
      <c r="D1177" t="s">
        <v>3790</v>
      </c>
      <c r="E1177" t="s">
        <v>3791</v>
      </c>
      <c r="F1177">
        <v>20.9</v>
      </c>
      <c r="I1177">
        <v>20.9</v>
      </c>
      <c r="J1177" t="s">
        <v>2509</v>
      </c>
    </row>
    <row r="1178" spans="1:10" ht="15" customHeight="1" x14ac:dyDescent="0.2">
      <c r="A1178" s="420">
        <v>45754</v>
      </c>
      <c r="B1178" t="s">
        <v>2532</v>
      </c>
      <c r="C1178" t="s">
        <v>3770</v>
      </c>
      <c r="D1178" t="s">
        <v>3792</v>
      </c>
      <c r="E1178" t="s">
        <v>1652</v>
      </c>
      <c r="G1178">
        <v>21.42</v>
      </c>
      <c r="I1178">
        <v>42.32</v>
      </c>
      <c r="J1178" t="s">
        <v>2605</v>
      </c>
    </row>
    <row r="1179" spans="1:10" ht="15" customHeight="1" x14ac:dyDescent="0.2">
      <c r="A1179" s="420">
        <v>45761</v>
      </c>
      <c r="B1179" t="s">
        <v>2532</v>
      </c>
      <c r="C1179" t="s">
        <v>3770</v>
      </c>
      <c r="D1179" t="s">
        <v>3793</v>
      </c>
      <c r="E1179" t="s">
        <v>1654</v>
      </c>
      <c r="G1179">
        <v>20.9</v>
      </c>
      <c r="I1179">
        <v>63.22</v>
      </c>
      <c r="J1179" t="s">
        <v>2513</v>
      </c>
    </row>
    <row r="1180" spans="1:10" ht="15" customHeight="1" x14ac:dyDescent="0.2">
      <c r="A1180" s="420">
        <v>45762</v>
      </c>
      <c r="B1180" t="s">
        <v>2333</v>
      </c>
      <c r="C1180" t="s">
        <v>3770</v>
      </c>
      <c r="D1180" t="s">
        <v>3794</v>
      </c>
      <c r="E1180" t="s">
        <v>3773</v>
      </c>
      <c r="F1180">
        <v>20.9</v>
      </c>
      <c r="I1180">
        <v>42.32</v>
      </c>
      <c r="J1180" t="s">
        <v>2513</v>
      </c>
    </row>
    <row r="1181" spans="1:10" ht="15" customHeight="1" x14ac:dyDescent="0.2">
      <c r="A1181" s="420">
        <v>45769</v>
      </c>
      <c r="B1181" t="s">
        <v>2532</v>
      </c>
      <c r="C1181" t="s">
        <v>3770</v>
      </c>
      <c r="D1181" t="s">
        <v>3795</v>
      </c>
      <c r="E1181" t="s">
        <v>1657</v>
      </c>
      <c r="G1181">
        <v>41.8</v>
      </c>
      <c r="I1181">
        <v>84.12</v>
      </c>
      <c r="J1181" t="s">
        <v>2604</v>
      </c>
    </row>
    <row r="1182" spans="1:10" ht="15" customHeight="1" x14ac:dyDescent="0.2">
      <c r="A1182" s="420">
        <v>45789</v>
      </c>
      <c r="B1182" t="s">
        <v>2333</v>
      </c>
      <c r="C1182" t="s">
        <v>3770</v>
      </c>
      <c r="D1182" t="s">
        <v>3796</v>
      </c>
      <c r="E1182" t="s">
        <v>3797</v>
      </c>
      <c r="F1182">
        <v>62.7</v>
      </c>
      <c r="I1182">
        <v>21.42</v>
      </c>
      <c r="J1182" t="s">
        <v>2605</v>
      </c>
    </row>
    <row r="1183" spans="1:10" ht="15" customHeight="1" x14ac:dyDescent="0.2">
      <c r="A1183" s="420">
        <v>45809</v>
      </c>
      <c r="B1183" t="s">
        <v>2532</v>
      </c>
      <c r="C1183" t="s">
        <v>3770</v>
      </c>
      <c r="D1183" t="s">
        <v>3798</v>
      </c>
      <c r="E1183" t="s">
        <v>1660</v>
      </c>
      <c r="G1183">
        <v>83.6</v>
      </c>
      <c r="I1183">
        <v>105.02</v>
      </c>
      <c r="J1183" t="s">
        <v>2585</v>
      </c>
    </row>
    <row r="1184" spans="1:10" ht="15" customHeight="1" x14ac:dyDescent="0.2">
      <c r="A1184" s="420">
        <v>45826</v>
      </c>
      <c r="B1184" t="s">
        <v>2333</v>
      </c>
      <c r="C1184" t="s">
        <v>3770</v>
      </c>
      <c r="D1184" t="s">
        <v>3799</v>
      </c>
      <c r="E1184" t="s">
        <v>3800</v>
      </c>
      <c r="F1184">
        <v>83.6</v>
      </c>
      <c r="I1184">
        <v>21.42</v>
      </c>
      <c r="J1184" t="s">
        <v>2585</v>
      </c>
    </row>
    <row r="1185" spans="1:10" ht="15" customHeight="1" x14ac:dyDescent="0.2">
      <c r="A1185" s="420">
        <v>45839</v>
      </c>
      <c r="B1185" t="s">
        <v>2532</v>
      </c>
      <c r="C1185" t="s">
        <v>3770</v>
      </c>
      <c r="D1185" t="s">
        <v>3801</v>
      </c>
      <c r="E1185" t="s">
        <v>1666</v>
      </c>
      <c r="G1185">
        <v>73.150000000000006</v>
      </c>
      <c r="I1185">
        <v>94.57</v>
      </c>
      <c r="J1185" t="s">
        <v>2586</v>
      </c>
    </row>
    <row r="1186" spans="1:10" ht="27.75" customHeight="1" x14ac:dyDescent="0.2">
      <c r="A1186" s="420">
        <v>45839</v>
      </c>
      <c r="B1186" t="s">
        <v>2532</v>
      </c>
      <c r="C1186" t="s">
        <v>3770</v>
      </c>
      <c r="D1186" s="421" t="s">
        <v>3802</v>
      </c>
      <c r="E1186" s="421" t="s">
        <v>1667</v>
      </c>
      <c r="F1186">
        <v>10.45</v>
      </c>
      <c r="I1186">
        <v>84.12</v>
      </c>
      <c r="J1186" t="s">
        <v>2587</v>
      </c>
    </row>
    <row r="1187" spans="1:10" ht="15" customHeight="1" x14ac:dyDescent="0.2">
      <c r="A1187" s="420">
        <v>45839</v>
      </c>
      <c r="B1187" t="s">
        <v>2517</v>
      </c>
      <c r="C1187" t="s">
        <v>3770</v>
      </c>
      <c r="D1187" t="s">
        <v>3803</v>
      </c>
      <c r="E1187" t="s">
        <v>1891</v>
      </c>
      <c r="F1187">
        <v>41.8</v>
      </c>
      <c r="I1187">
        <v>42.32</v>
      </c>
      <c r="J1187" t="s">
        <v>2604</v>
      </c>
    </row>
    <row r="1188" spans="1:10" ht="15" customHeight="1" x14ac:dyDescent="0.2">
      <c r="A1188" s="420">
        <v>45839</v>
      </c>
      <c r="B1188" t="s">
        <v>2517</v>
      </c>
      <c r="C1188" t="s">
        <v>3770</v>
      </c>
      <c r="D1188" t="s">
        <v>3804</v>
      </c>
      <c r="E1188" t="s">
        <v>1668</v>
      </c>
      <c r="G1188">
        <v>62.7</v>
      </c>
      <c r="I1188">
        <v>105.02</v>
      </c>
      <c r="J1188" t="s">
        <v>2605</v>
      </c>
    </row>
    <row r="1189" spans="1:10" ht="15" customHeight="1" x14ac:dyDescent="0.2">
      <c r="A1189" s="420">
        <v>45839</v>
      </c>
      <c r="B1189" t="s">
        <v>2517</v>
      </c>
      <c r="C1189" t="s">
        <v>3770</v>
      </c>
      <c r="D1189" t="s">
        <v>3805</v>
      </c>
      <c r="E1189" t="s">
        <v>3806</v>
      </c>
      <c r="F1189">
        <v>21.42</v>
      </c>
      <c r="I1189">
        <v>83.6</v>
      </c>
      <c r="J1189" t="s">
        <v>2605</v>
      </c>
    </row>
    <row r="1190" spans="1:10" ht="15" customHeight="1" x14ac:dyDescent="0.2">
      <c r="A1190" s="420">
        <v>45839</v>
      </c>
      <c r="B1190" t="s">
        <v>2517</v>
      </c>
      <c r="C1190" t="s">
        <v>3770</v>
      </c>
      <c r="D1190" t="s">
        <v>3807</v>
      </c>
      <c r="E1190" t="s">
        <v>3808</v>
      </c>
      <c r="F1190">
        <v>20.9</v>
      </c>
      <c r="I1190">
        <v>62.7</v>
      </c>
      <c r="J1190" t="s">
        <v>2605</v>
      </c>
    </row>
    <row r="1191" spans="1:10" ht="15" customHeight="1" x14ac:dyDescent="0.2">
      <c r="A1191" s="420">
        <v>45853</v>
      </c>
      <c r="B1191" t="s">
        <v>2333</v>
      </c>
      <c r="C1191" t="s">
        <v>3770</v>
      </c>
      <c r="D1191" t="s">
        <v>3809</v>
      </c>
      <c r="E1191" t="s">
        <v>3810</v>
      </c>
      <c r="F1191">
        <v>73.150000000000006</v>
      </c>
      <c r="H1191">
        <v>10.45</v>
      </c>
      <c r="J1191" t="s">
        <v>2586</v>
      </c>
    </row>
    <row r="1192" spans="1:10" ht="15" customHeight="1" x14ac:dyDescent="0.2">
      <c r="A1192" s="420">
        <v>45853</v>
      </c>
      <c r="B1192" t="s">
        <v>2333</v>
      </c>
      <c r="C1192" t="s">
        <v>3770</v>
      </c>
      <c r="D1192" t="s">
        <v>3811</v>
      </c>
      <c r="E1192" t="s">
        <v>3812</v>
      </c>
      <c r="G1192">
        <v>10.45</v>
      </c>
      <c r="J1192" t="s">
        <v>2587</v>
      </c>
    </row>
    <row r="1193" spans="1:10" ht="15" customHeight="1" x14ac:dyDescent="0.2">
      <c r="A1193" s="420">
        <v>45870</v>
      </c>
      <c r="B1193" t="s">
        <v>2532</v>
      </c>
      <c r="C1193" t="s">
        <v>3770</v>
      </c>
      <c r="D1193" t="s">
        <v>3813</v>
      </c>
      <c r="E1193" t="s">
        <v>1673</v>
      </c>
      <c r="G1193">
        <v>70.36</v>
      </c>
      <c r="I1193">
        <v>70.36</v>
      </c>
      <c r="J1193" t="s">
        <v>2599</v>
      </c>
    </row>
    <row r="1194" spans="1:10" ht="15" customHeight="1" x14ac:dyDescent="0.2">
      <c r="A1194" s="420">
        <v>45882</v>
      </c>
      <c r="B1194" t="s">
        <v>2333</v>
      </c>
      <c r="C1194" t="s">
        <v>3770</v>
      </c>
      <c r="D1194" t="s">
        <v>3814</v>
      </c>
      <c r="E1194" t="s">
        <v>3815</v>
      </c>
      <c r="F1194">
        <v>70.36</v>
      </c>
      <c r="J1194" t="s">
        <v>2599</v>
      </c>
    </row>
    <row r="1195" spans="1:10" ht="15" customHeight="1" x14ac:dyDescent="0.2">
      <c r="A1195" s="420">
        <v>45901</v>
      </c>
      <c r="B1195" t="s">
        <v>2532</v>
      </c>
      <c r="C1195" t="s">
        <v>3770</v>
      </c>
      <c r="D1195" t="s">
        <v>3816</v>
      </c>
      <c r="E1195" t="s">
        <v>1683</v>
      </c>
      <c r="G1195">
        <v>135.85</v>
      </c>
      <c r="I1195">
        <v>135.85</v>
      </c>
      <c r="J1195" t="s">
        <v>2599</v>
      </c>
    </row>
    <row r="1196" spans="1:10" ht="15" customHeight="1" x14ac:dyDescent="0.2">
      <c r="A1196" s="420">
        <v>45912</v>
      </c>
      <c r="B1196" t="s">
        <v>2333</v>
      </c>
      <c r="C1196" t="s">
        <v>3770</v>
      </c>
      <c r="D1196" t="s">
        <v>3817</v>
      </c>
      <c r="E1196" t="s">
        <v>3818</v>
      </c>
      <c r="F1196">
        <v>135.85</v>
      </c>
      <c r="J1196" t="s">
        <v>2599</v>
      </c>
    </row>
    <row r="1197" spans="1:10" ht="15" customHeight="1" x14ac:dyDescent="0.2">
      <c r="A1197" s="420">
        <v>45931</v>
      </c>
      <c r="B1197" t="s">
        <v>2532</v>
      </c>
      <c r="C1197" t="s">
        <v>3770</v>
      </c>
      <c r="D1197" t="s">
        <v>3819</v>
      </c>
      <c r="E1197" t="s">
        <v>3820</v>
      </c>
      <c r="G1197">
        <v>68.400000000000006</v>
      </c>
      <c r="I1197">
        <v>68.400000000000006</v>
      </c>
      <c r="J1197" t="s">
        <v>2603</v>
      </c>
    </row>
    <row r="1198" spans="1:10" ht="15" customHeight="1" x14ac:dyDescent="0.2">
      <c r="A1198" s="420">
        <v>45939</v>
      </c>
      <c r="B1198" t="s">
        <v>2532</v>
      </c>
      <c r="C1198" t="s">
        <v>3770</v>
      </c>
      <c r="D1198" t="s">
        <v>3821</v>
      </c>
      <c r="E1198" t="s">
        <v>1694</v>
      </c>
      <c r="G1198">
        <v>20.9</v>
      </c>
      <c r="I1198">
        <v>89.3</v>
      </c>
      <c r="J1198" t="s">
        <v>2601</v>
      </c>
    </row>
    <row r="1199" spans="1:10" ht="15" customHeight="1" x14ac:dyDescent="0.2">
      <c r="A1199" s="420">
        <v>45944</v>
      </c>
      <c r="B1199" t="s">
        <v>2333</v>
      </c>
      <c r="C1199" t="s">
        <v>3770</v>
      </c>
      <c r="D1199" t="s">
        <v>3822</v>
      </c>
      <c r="E1199" t="s">
        <v>3823</v>
      </c>
      <c r="F1199">
        <v>68.400000000000006</v>
      </c>
      <c r="I1199">
        <v>20.9</v>
      </c>
      <c r="J1199" t="s">
        <v>2603</v>
      </c>
    </row>
    <row r="1200" spans="1:10" ht="15" customHeight="1" x14ac:dyDescent="0.2">
      <c r="A1200" s="420">
        <v>45962</v>
      </c>
      <c r="B1200" t="s">
        <v>2532</v>
      </c>
      <c r="C1200" t="s">
        <v>3770</v>
      </c>
      <c r="D1200" t="s">
        <v>3824</v>
      </c>
      <c r="E1200" t="s">
        <v>1705</v>
      </c>
      <c r="G1200">
        <v>84.12</v>
      </c>
      <c r="I1200">
        <v>105.02</v>
      </c>
      <c r="J1200" t="s">
        <v>2602</v>
      </c>
    </row>
    <row r="1201" spans="1:10" ht="15" customHeight="1" x14ac:dyDescent="0.2">
      <c r="A1201" s="420">
        <v>45966</v>
      </c>
      <c r="B1201" t="s">
        <v>2333</v>
      </c>
      <c r="C1201" t="s">
        <v>3770</v>
      </c>
      <c r="D1201" t="s">
        <v>3825</v>
      </c>
      <c r="E1201" t="s">
        <v>3826</v>
      </c>
      <c r="F1201">
        <v>20.9</v>
      </c>
      <c r="I1201">
        <v>84.12</v>
      </c>
      <c r="J1201" t="s">
        <v>2601</v>
      </c>
    </row>
    <row r="1202" spans="1:10" ht="15" customHeight="1" x14ac:dyDescent="0.2">
      <c r="A1202" s="420">
        <v>45974</v>
      </c>
      <c r="B1202" t="s">
        <v>2333</v>
      </c>
      <c r="C1202" t="s">
        <v>3770</v>
      </c>
      <c r="D1202" t="s">
        <v>3827</v>
      </c>
      <c r="E1202" t="s">
        <v>3828</v>
      </c>
      <c r="F1202">
        <v>84.12</v>
      </c>
      <c r="J1202" t="s">
        <v>2602</v>
      </c>
    </row>
    <row r="1203" spans="1:10" ht="15" customHeight="1" x14ac:dyDescent="0.2">
      <c r="A1203" s="420">
        <v>45992</v>
      </c>
      <c r="B1203" t="s">
        <v>2532</v>
      </c>
      <c r="C1203" t="s">
        <v>3770</v>
      </c>
      <c r="D1203" t="s">
        <v>3829</v>
      </c>
      <c r="E1203" t="s">
        <v>1715</v>
      </c>
      <c r="G1203">
        <v>101.71</v>
      </c>
      <c r="I1203">
        <v>101.71</v>
      </c>
      <c r="J1203" t="s">
        <v>2600</v>
      </c>
    </row>
    <row r="1204" spans="1:10" ht="15" customHeight="1" x14ac:dyDescent="0.2">
      <c r="A1204" s="420">
        <v>46002</v>
      </c>
      <c r="B1204" t="s">
        <v>2333</v>
      </c>
      <c r="C1204" t="s">
        <v>3770</v>
      </c>
      <c r="D1204" t="s">
        <v>3830</v>
      </c>
      <c r="E1204" t="s">
        <v>3831</v>
      </c>
      <c r="F1204">
        <v>101.71</v>
      </c>
      <c r="J1204" t="s">
        <v>2600</v>
      </c>
    </row>
    <row r="1205" spans="1:10" ht="15" customHeight="1" x14ac:dyDescent="0.2">
      <c r="A1205" t="s">
        <v>3770</v>
      </c>
      <c r="E1205" t="s">
        <v>349</v>
      </c>
      <c r="F1205">
        <v>1059.1300000000001</v>
      </c>
      <c r="G1205">
        <v>1059.1300000000001</v>
      </c>
    </row>
    <row r="1207" spans="1:10" ht="15" customHeight="1" x14ac:dyDescent="0.2">
      <c r="A1207" t="s">
        <v>3832</v>
      </c>
      <c r="B1207" t="s">
        <v>3833</v>
      </c>
      <c r="F1207" t="s">
        <v>2430</v>
      </c>
      <c r="G1207" t="s">
        <v>2431</v>
      </c>
      <c r="H1207" t="s">
        <v>2432</v>
      </c>
      <c r="I1207" t="s">
        <v>2433</v>
      </c>
      <c r="J1207" t="s">
        <v>2434</v>
      </c>
    </row>
    <row r="1208" spans="1:10" ht="15" customHeight="1" x14ac:dyDescent="0.2">
      <c r="A1208" s="420">
        <v>45888</v>
      </c>
      <c r="B1208" t="s">
        <v>2532</v>
      </c>
      <c r="C1208" t="s">
        <v>3832</v>
      </c>
      <c r="D1208" t="s">
        <v>3834</v>
      </c>
      <c r="E1208" t="s">
        <v>1550</v>
      </c>
      <c r="G1208">
        <v>50</v>
      </c>
      <c r="I1208">
        <v>50</v>
      </c>
      <c r="J1208" t="s">
        <v>2511</v>
      </c>
    </row>
    <row r="1209" spans="1:10" ht="15" customHeight="1" x14ac:dyDescent="0.2">
      <c r="A1209" s="420">
        <v>45889</v>
      </c>
      <c r="B1209" t="s">
        <v>2333</v>
      </c>
      <c r="C1209" t="s">
        <v>3832</v>
      </c>
      <c r="D1209" t="s">
        <v>3835</v>
      </c>
      <c r="E1209" t="s">
        <v>3836</v>
      </c>
      <c r="F1209">
        <v>50</v>
      </c>
      <c r="J1209" t="s">
        <v>2511</v>
      </c>
    </row>
    <row r="1210" spans="1:10" ht="15" customHeight="1" x14ac:dyDescent="0.2">
      <c r="A1210" t="s">
        <v>3832</v>
      </c>
      <c r="E1210" t="s">
        <v>349</v>
      </c>
      <c r="F1210">
        <v>50</v>
      </c>
      <c r="G1210">
        <v>50</v>
      </c>
    </row>
    <row r="1212" spans="1:10" ht="15" customHeight="1" x14ac:dyDescent="0.2">
      <c r="A1212" t="s">
        <v>3837</v>
      </c>
      <c r="B1212" t="s">
        <v>1551</v>
      </c>
      <c r="F1212" t="s">
        <v>2430</v>
      </c>
      <c r="G1212" t="s">
        <v>2431</v>
      </c>
      <c r="H1212" t="s">
        <v>2432</v>
      </c>
      <c r="I1212" t="s">
        <v>2433</v>
      </c>
      <c r="J1212" t="s">
        <v>2434</v>
      </c>
    </row>
    <row r="1213" spans="1:10" ht="15" customHeight="1" x14ac:dyDescent="0.2">
      <c r="A1213" s="420">
        <v>45658</v>
      </c>
      <c r="B1213" t="s">
        <v>2435</v>
      </c>
      <c r="C1213" t="s">
        <v>3837</v>
      </c>
      <c r="D1213" t="s">
        <v>2436</v>
      </c>
      <c r="E1213" t="s">
        <v>3838</v>
      </c>
      <c r="G1213">
        <v>332.4</v>
      </c>
      <c r="I1213">
        <v>332.4</v>
      </c>
      <c r="J1213" t="s">
        <v>2509</v>
      </c>
    </row>
    <row r="1214" spans="1:10" ht="15" customHeight="1" x14ac:dyDescent="0.2">
      <c r="A1214" s="420">
        <v>45677</v>
      </c>
      <c r="B1214" t="s">
        <v>2532</v>
      </c>
      <c r="C1214" t="s">
        <v>3837</v>
      </c>
      <c r="D1214" t="s">
        <v>3839</v>
      </c>
      <c r="E1214" t="s">
        <v>1445</v>
      </c>
      <c r="G1214">
        <v>749.62</v>
      </c>
      <c r="I1214">
        <v>1082.02</v>
      </c>
      <c r="J1214" t="s">
        <v>2511</v>
      </c>
    </row>
    <row r="1215" spans="1:10" ht="15" customHeight="1" x14ac:dyDescent="0.2">
      <c r="A1215" s="420">
        <v>45687</v>
      </c>
      <c r="B1215" t="s">
        <v>2333</v>
      </c>
      <c r="C1215" t="s">
        <v>3837</v>
      </c>
      <c r="D1215" t="s">
        <v>3840</v>
      </c>
      <c r="E1215" t="s">
        <v>3841</v>
      </c>
      <c r="F1215">
        <v>332.4</v>
      </c>
      <c r="I1215">
        <v>749.62</v>
      </c>
      <c r="J1215" t="s">
        <v>2509</v>
      </c>
    </row>
    <row r="1216" spans="1:10" ht="15" customHeight="1" x14ac:dyDescent="0.2">
      <c r="A1216" s="420">
        <v>45707</v>
      </c>
      <c r="B1216" t="s">
        <v>2333</v>
      </c>
      <c r="C1216" t="s">
        <v>3837</v>
      </c>
      <c r="D1216" t="s">
        <v>3842</v>
      </c>
      <c r="E1216" t="s">
        <v>3843</v>
      </c>
      <c r="F1216">
        <v>749.62</v>
      </c>
      <c r="J1216" t="s">
        <v>2511</v>
      </c>
    </row>
    <row r="1217" spans="1:10" ht="15" customHeight="1" x14ac:dyDescent="0.2">
      <c r="A1217" s="420">
        <v>45708</v>
      </c>
      <c r="B1217" t="s">
        <v>2532</v>
      </c>
      <c r="C1217" t="s">
        <v>3837</v>
      </c>
      <c r="D1217" t="s">
        <v>3844</v>
      </c>
      <c r="E1217" t="s">
        <v>1460</v>
      </c>
      <c r="G1217">
        <v>749.62</v>
      </c>
      <c r="I1217">
        <v>749.62</v>
      </c>
      <c r="J1217" t="s">
        <v>2513</v>
      </c>
    </row>
    <row r="1218" spans="1:10" ht="15" customHeight="1" x14ac:dyDescent="0.2">
      <c r="A1218" s="420">
        <v>45736</v>
      </c>
      <c r="B1218" t="s">
        <v>2532</v>
      </c>
      <c r="C1218" t="s">
        <v>3837</v>
      </c>
      <c r="D1218" t="s">
        <v>3845</v>
      </c>
      <c r="E1218" t="s">
        <v>1478</v>
      </c>
      <c r="G1218">
        <v>749.62</v>
      </c>
      <c r="I1218">
        <v>1499.24</v>
      </c>
      <c r="J1218" t="s">
        <v>2585</v>
      </c>
    </row>
    <row r="1219" spans="1:10" ht="15" customHeight="1" x14ac:dyDescent="0.2">
      <c r="A1219" s="420">
        <v>45742</v>
      </c>
      <c r="B1219" t="s">
        <v>2333</v>
      </c>
      <c r="C1219" t="s">
        <v>3837</v>
      </c>
      <c r="D1219" t="s">
        <v>3846</v>
      </c>
      <c r="E1219" t="s">
        <v>3847</v>
      </c>
      <c r="F1219">
        <v>749.62</v>
      </c>
      <c r="I1219">
        <v>749.62</v>
      </c>
      <c r="J1219" t="s">
        <v>2513</v>
      </c>
    </row>
    <row r="1220" spans="1:10" ht="15" customHeight="1" x14ac:dyDescent="0.2">
      <c r="A1220" s="420">
        <v>45768</v>
      </c>
      <c r="B1220" t="s">
        <v>2532</v>
      </c>
      <c r="C1220" t="s">
        <v>3837</v>
      </c>
      <c r="D1220" t="s">
        <v>3848</v>
      </c>
      <c r="E1220" t="s">
        <v>1485</v>
      </c>
      <c r="G1220">
        <v>749.62</v>
      </c>
      <c r="I1220">
        <v>1499.24</v>
      </c>
      <c r="J1220" t="s">
        <v>2586</v>
      </c>
    </row>
    <row r="1221" spans="1:10" ht="15" customHeight="1" x14ac:dyDescent="0.2">
      <c r="A1221" s="420">
        <v>45769</v>
      </c>
      <c r="B1221" t="s">
        <v>2333</v>
      </c>
      <c r="C1221" t="s">
        <v>3837</v>
      </c>
      <c r="D1221" t="s">
        <v>3849</v>
      </c>
      <c r="E1221" t="s">
        <v>3850</v>
      </c>
      <c r="F1221">
        <v>749.62</v>
      </c>
      <c r="I1221">
        <v>749.62</v>
      </c>
      <c r="J1221" t="s">
        <v>2585</v>
      </c>
    </row>
    <row r="1222" spans="1:10" ht="15" customHeight="1" x14ac:dyDescent="0.2">
      <c r="A1222" s="420">
        <v>45797</v>
      </c>
      <c r="B1222" t="s">
        <v>2532</v>
      </c>
      <c r="C1222" t="s">
        <v>3837</v>
      </c>
      <c r="D1222" t="s">
        <v>3851</v>
      </c>
      <c r="E1222" t="s">
        <v>1496</v>
      </c>
      <c r="G1222">
        <v>749.62</v>
      </c>
      <c r="I1222">
        <v>1499.24</v>
      </c>
      <c r="J1222" t="s">
        <v>2587</v>
      </c>
    </row>
    <row r="1223" spans="1:10" ht="15" customHeight="1" x14ac:dyDescent="0.2">
      <c r="A1223" s="420">
        <v>45800</v>
      </c>
      <c r="B1223" t="s">
        <v>2333</v>
      </c>
      <c r="C1223" t="s">
        <v>3837</v>
      </c>
      <c r="D1223" t="s">
        <v>3852</v>
      </c>
      <c r="E1223" t="s">
        <v>3853</v>
      </c>
      <c r="F1223">
        <v>749.62</v>
      </c>
      <c r="I1223">
        <v>749.62</v>
      </c>
      <c r="J1223" t="s">
        <v>2586</v>
      </c>
    </row>
    <row r="1224" spans="1:10" ht="15" customHeight="1" x14ac:dyDescent="0.2">
      <c r="A1224" s="420">
        <v>45827</v>
      </c>
      <c r="B1224" t="s">
        <v>2333</v>
      </c>
      <c r="C1224" t="s">
        <v>3837</v>
      </c>
      <c r="D1224" t="s">
        <v>3854</v>
      </c>
      <c r="E1224" t="s">
        <v>3855</v>
      </c>
      <c r="F1224">
        <v>749.62</v>
      </c>
      <c r="J1224" t="s">
        <v>2587</v>
      </c>
    </row>
    <row r="1225" spans="1:10" ht="15" customHeight="1" x14ac:dyDescent="0.2">
      <c r="A1225" s="420">
        <v>45828</v>
      </c>
      <c r="B1225" t="s">
        <v>2532</v>
      </c>
      <c r="C1225" t="s">
        <v>3837</v>
      </c>
      <c r="D1225" t="s">
        <v>3856</v>
      </c>
      <c r="E1225" t="s">
        <v>1510</v>
      </c>
      <c r="G1225">
        <v>749.62</v>
      </c>
      <c r="I1225">
        <v>749.62</v>
      </c>
      <c r="J1225" t="s">
        <v>2603</v>
      </c>
    </row>
    <row r="1226" spans="1:10" ht="15" customHeight="1" x14ac:dyDescent="0.2">
      <c r="A1226" s="420">
        <v>45859</v>
      </c>
      <c r="B1226" t="s">
        <v>2333</v>
      </c>
      <c r="C1226" t="s">
        <v>3837</v>
      </c>
      <c r="D1226" t="s">
        <v>3857</v>
      </c>
      <c r="E1226" t="s">
        <v>3858</v>
      </c>
      <c r="F1226">
        <v>749.62</v>
      </c>
      <c r="J1226" t="s">
        <v>2603</v>
      </c>
    </row>
    <row r="1227" spans="1:10" ht="15" customHeight="1" x14ac:dyDescent="0.2">
      <c r="A1227" s="420">
        <v>45859</v>
      </c>
      <c r="B1227" t="s">
        <v>2532</v>
      </c>
      <c r="C1227" t="s">
        <v>3837</v>
      </c>
      <c r="D1227" t="s">
        <v>3859</v>
      </c>
      <c r="E1227" t="s">
        <v>1540</v>
      </c>
      <c r="G1227">
        <v>749.62</v>
      </c>
      <c r="I1227">
        <v>749.62</v>
      </c>
      <c r="J1227" t="s">
        <v>2604</v>
      </c>
    </row>
    <row r="1228" spans="1:10" ht="15" customHeight="1" x14ac:dyDescent="0.2">
      <c r="A1228" s="420">
        <v>45889</v>
      </c>
      <c r="B1228" t="s">
        <v>2333</v>
      </c>
      <c r="C1228" t="s">
        <v>3837</v>
      </c>
      <c r="D1228" t="s">
        <v>3860</v>
      </c>
      <c r="E1228" t="s">
        <v>3861</v>
      </c>
      <c r="F1228">
        <v>749.62</v>
      </c>
      <c r="J1228" t="s">
        <v>2604</v>
      </c>
    </row>
    <row r="1229" spans="1:10" ht="15" customHeight="1" x14ac:dyDescent="0.2">
      <c r="A1229" s="420">
        <v>45889</v>
      </c>
      <c r="B1229" t="s">
        <v>2547</v>
      </c>
      <c r="C1229" t="s">
        <v>3837</v>
      </c>
      <c r="D1229" t="s">
        <v>3862</v>
      </c>
      <c r="E1229" t="s">
        <v>1551</v>
      </c>
      <c r="G1229">
        <v>749.62</v>
      </c>
      <c r="I1229">
        <v>749.62</v>
      </c>
      <c r="J1229" t="s">
        <v>2599</v>
      </c>
    </row>
    <row r="1230" spans="1:10" ht="15" customHeight="1" x14ac:dyDescent="0.2">
      <c r="A1230" s="420">
        <v>45919</v>
      </c>
      <c r="B1230" t="s">
        <v>2333</v>
      </c>
      <c r="C1230" t="s">
        <v>3837</v>
      </c>
      <c r="D1230" t="s">
        <v>3863</v>
      </c>
      <c r="E1230" t="s">
        <v>3864</v>
      </c>
      <c r="F1230">
        <v>749.62</v>
      </c>
      <c r="J1230" t="s">
        <v>2599</v>
      </c>
    </row>
    <row r="1231" spans="1:10" ht="15" customHeight="1" x14ac:dyDescent="0.2">
      <c r="A1231" s="420">
        <v>45922</v>
      </c>
      <c r="B1231" t="s">
        <v>2532</v>
      </c>
      <c r="C1231" t="s">
        <v>3837</v>
      </c>
      <c r="D1231" t="s">
        <v>3865</v>
      </c>
      <c r="E1231" t="s">
        <v>1572</v>
      </c>
      <c r="G1231">
        <v>749.62</v>
      </c>
      <c r="I1231">
        <v>749.62</v>
      </c>
      <c r="J1231" t="s">
        <v>2600</v>
      </c>
    </row>
    <row r="1232" spans="1:10" ht="15" customHeight="1" x14ac:dyDescent="0.2">
      <c r="A1232" s="420">
        <v>45932</v>
      </c>
      <c r="B1232" t="s">
        <v>3866</v>
      </c>
      <c r="C1232" t="s">
        <v>3837</v>
      </c>
      <c r="D1232" t="s">
        <v>3867</v>
      </c>
      <c r="E1232" t="s">
        <v>3868</v>
      </c>
      <c r="F1232">
        <v>1306.8</v>
      </c>
      <c r="H1232">
        <v>557.17999999999995</v>
      </c>
      <c r="J1232" t="s">
        <v>2605</v>
      </c>
    </row>
    <row r="1233" spans="1:10" ht="15" customHeight="1" x14ac:dyDescent="0.2">
      <c r="A1233" s="420">
        <v>45950</v>
      </c>
      <c r="B1233" t="s">
        <v>2532</v>
      </c>
      <c r="C1233" t="s">
        <v>3837</v>
      </c>
      <c r="D1233" t="s">
        <v>3869</v>
      </c>
      <c r="E1233" t="s">
        <v>1580</v>
      </c>
      <c r="G1233">
        <v>749.62</v>
      </c>
      <c r="I1233">
        <v>192.44</v>
      </c>
      <c r="J1233" t="s">
        <v>2601</v>
      </c>
    </row>
    <row r="1234" spans="1:10" ht="15" customHeight="1" x14ac:dyDescent="0.2">
      <c r="A1234" s="420">
        <v>45952</v>
      </c>
      <c r="B1234" t="s">
        <v>2333</v>
      </c>
      <c r="C1234" t="s">
        <v>3837</v>
      </c>
      <c r="D1234" t="s">
        <v>3870</v>
      </c>
      <c r="E1234" t="s">
        <v>3871</v>
      </c>
      <c r="F1234">
        <v>749.62</v>
      </c>
      <c r="H1234">
        <v>557.17999999999995</v>
      </c>
      <c r="J1234" t="s">
        <v>2600</v>
      </c>
    </row>
    <row r="1235" spans="1:10" ht="15" customHeight="1" x14ac:dyDescent="0.2">
      <c r="A1235" s="420">
        <v>45961</v>
      </c>
      <c r="B1235" t="s">
        <v>2532</v>
      </c>
      <c r="C1235" t="s">
        <v>3837</v>
      </c>
      <c r="D1235" t="s">
        <v>3872</v>
      </c>
      <c r="E1235" t="s">
        <v>1589</v>
      </c>
      <c r="G1235">
        <v>1306.8</v>
      </c>
      <c r="I1235">
        <v>749.62</v>
      </c>
      <c r="J1235" t="s">
        <v>2605</v>
      </c>
    </row>
    <row r="1236" spans="1:10" ht="15" customHeight="1" x14ac:dyDescent="0.2">
      <c r="A1236" s="420">
        <v>45981</v>
      </c>
      <c r="B1236" t="s">
        <v>2532</v>
      </c>
      <c r="C1236" t="s">
        <v>3837</v>
      </c>
      <c r="D1236" t="s">
        <v>3873</v>
      </c>
      <c r="E1236" t="s">
        <v>1596</v>
      </c>
      <c r="G1236">
        <v>1695.83</v>
      </c>
      <c r="I1236">
        <v>2445.4499999999998</v>
      </c>
      <c r="J1236" t="s">
        <v>2602</v>
      </c>
    </row>
    <row r="1237" spans="1:10" ht="15" customHeight="1" x14ac:dyDescent="0.2">
      <c r="A1237" s="420">
        <v>45986</v>
      </c>
      <c r="B1237" t="s">
        <v>2333</v>
      </c>
      <c r="C1237" t="s">
        <v>3837</v>
      </c>
      <c r="D1237" t="s">
        <v>3874</v>
      </c>
      <c r="E1237" t="s">
        <v>3875</v>
      </c>
      <c r="F1237">
        <v>749.62</v>
      </c>
      <c r="I1237">
        <v>1695.83</v>
      </c>
      <c r="J1237" t="s">
        <v>2601</v>
      </c>
    </row>
    <row r="1238" spans="1:10" ht="15" customHeight="1" x14ac:dyDescent="0.2">
      <c r="A1238" s="420">
        <v>45991</v>
      </c>
      <c r="B1238" t="s">
        <v>2532</v>
      </c>
      <c r="C1238" t="s">
        <v>3837</v>
      </c>
      <c r="D1238" t="s">
        <v>3876</v>
      </c>
      <c r="E1238" t="s">
        <v>1601</v>
      </c>
      <c r="G1238">
        <v>1348.85</v>
      </c>
      <c r="I1238">
        <v>3044.68</v>
      </c>
      <c r="J1238" t="s">
        <v>2710</v>
      </c>
    </row>
    <row r="1239" spans="1:10" ht="15" customHeight="1" x14ac:dyDescent="0.2">
      <c r="A1239" s="420">
        <v>46006</v>
      </c>
      <c r="B1239" t="s">
        <v>3866</v>
      </c>
      <c r="C1239" t="s">
        <v>3837</v>
      </c>
      <c r="D1239" t="s">
        <v>3877</v>
      </c>
      <c r="E1239" t="s">
        <v>3878</v>
      </c>
      <c r="F1239">
        <v>1348.85</v>
      </c>
      <c r="I1239">
        <v>1695.83</v>
      </c>
      <c r="J1239" t="s">
        <v>2710</v>
      </c>
    </row>
    <row r="1240" spans="1:10" ht="15" customHeight="1" x14ac:dyDescent="0.2">
      <c r="A1240" s="420">
        <v>46013</v>
      </c>
      <c r="B1240" t="s">
        <v>2532</v>
      </c>
      <c r="C1240" t="s">
        <v>3837</v>
      </c>
      <c r="D1240" t="s">
        <v>3879</v>
      </c>
      <c r="E1240" t="s">
        <v>1611</v>
      </c>
      <c r="G1240">
        <v>1695.83</v>
      </c>
      <c r="I1240">
        <v>3391.66</v>
      </c>
      <c r="J1240" t="s">
        <v>2511</v>
      </c>
    </row>
    <row r="1241" spans="1:10" ht="15" customHeight="1" x14ac:dyDescent="0.2">
      <c r="A1241" s="420">
        <v>46021</v>
      </c>
      <c r="B1241" t="s">
        <v>2333</v>
      </c>
      <c r="C1241" t="s">
        <v>3837</v>
      </c>
      <c r="D1241" t="s">
        <v>3880</v>
      </c>
      <c r="E1241" t="s">
        <v>3881</v>
      </c>
      <c r="F1241">
        <v>1695.83</v>
      </c>
      <c r="I1241">
        <v>1695.83</v>
      </c>
      <c r="J1241" t="s">
        <v>2602</v>
      </c>
    </row>
    <row r="1242" spans="1:10" ht="15" customHeight="1" x14ac:dyDescent="0.2">
      <c r="A1242" s="420">
        <v>46022</v>
      </c>
      <c r="B1242" t="s">
        <v>2532</v>
      </c>
      <c r="C1242" t="s">
        <v>3837</v>
      </c>
      <c r="D1242" t="s">
        <v>3882</v>
      </c>
      <c r="E1242" t="s">
        <v>1614</v>
      </c>
      <c r="G1242">
        <v>1348.85</v>
      </c>
      <c r="I1242">
        <v>3044.68</v>
      </c>
      <c r="J1242" t="s">
        <v>2509</v>
      </c>
    </row>
    <row r="1243" spans="1:10" ht="15" customHeight="1" x14ac:dyDescent="0.2">
      <c r="A1243" t="s">
        <v>3837</v>
      </c>
      <c r="E1243" t="s">
        <v>349</v>
      </c>
      <c r="F1243">
        <v>12180.08</v>
      </c>
      <c r="G1243">
        <v>15224.76</v>
      </c>
      <c r="I1243">
        <v>3044.68</v>
      </c>
    </row>
    <row r="1245" spans="1:10" ht="15" customHeight="1" x14ac:dyDescent="0.2">
      <c r="A1245" t="s">
        <v>3883</v>
      </c>
      <c r="B1245" t="s">
        <v>3884</v>
      </c>
      <c r="F1245" t="s">
        <v>2430</v>
      </c>
      <c r="G1245" t="s">
        <v>2431</v>
      </c>
      <c r="H1245" t="s">
        <v>2432</v>
      </c>
      <c r="I1245" t="s">
        <v>2433</v>
      </c>
      <c r="J1245" t="s">
        <v>2434</v>
      </c>
    </row>
    <row r="1246" spans="1:10" ht="15" customHeight="1" x14ac:dyDescent="0.2">
      <c r="A1246" s="420">
        <v>45794</v>
      </c>
      <c r="B1246" t="s">
        <v>2439</v>
      </c>
      <c r="C1246" t="s">
        <v>3883</v>
      </c>
      <c r="D1246" t="s">
        <v>3885</v>
      </c>
      <c r="E1246" t="s">
        <v>3886</v>
      </c>
      <c r="F1246">
        <v>13</v>
      </c>
      <c r="H1246">
        <v>13</v>
      </c>
      <c r="J1246" t="s">
        <v>2511</v>
      </c>
    </row>
    <row r="1247" spans="1:10" ht="15" customHeight="1" x14ac:dyDescent="0.2">
      <c r="A1247" s="420">
        <v>45796</v>
      </c>
      <c r="B1247" t="s">
        <v>2333</v>
      </c>
      <c r="C1247" t="s">
        <v>3883</v>
      </c>
      <c r="D1247" t="s">
        <v>3887</v>
      </c>
      <c r="E1247" t="s">
        <v>3888</v>
      </c>
      <c r="F1247">
        <v>240.2</v>
      </c>
      <c r="H1247">
        <v>253.2</v>
      </c>
      <c r="J1247" t="s">
        <v>2511</v>
      </c>
    </row>
    <row r="1248" spans="1:10" ht="15" customHeight="1" x14ac:dyDescent="0.2">
      <c r="A1248" s="420">
        <v>45826</v>
      </c>
      <c r="B1248" t="s">
        <v>2532</v>
      </c>
      <c r="C1248" t="s">
        <v>3883</v>
      </c>
      <c r="D1248" t="s">
        <v>3889</v>
      </c>
      <c r="E1248" t="s">
        <v>1883</v>
      </c>
      <c r="G1248">
        <v>253.2</v>
      </c>
      <c r="J1248" t="s">
        <v>2511</v>
      </c>
    </row>
    <row r="1249" spans="1:10" ht="15" customHeight="1" x14ac:dyDescent="0.2">
      <c r="A1249" t="s">
        <v>3883</v>
      </c>
      <c r="E1249" t="s">
        <v>349</v>
      </c>
      <c r="F1249">
        <v>253.2</v>
      </c>
      <c r="G1249">
        <v>253.2</v>
      </c>
    </row>
    <row r="1251" spans="1:10" ht="15" customHeight="1" x14ac:dyDescent="0.2">
      <c r="A1251" t="s">
        <v>3890</v>
      </c>
      <c r="B1251" t="s">
        <v>3891</v>
      </c>
      <c r="F1251" t="s">
        <v>2430</v>
      </c>
      <c r="G1251" t="s">
        <v>2431</v>
      </c>
      <c r="H1251" t="s">
        <v>2432</v>
      </c>
      <c r="I1251" t="s">
        <v>2433</v>
      </c>
      <c r="J1251" t="s">
        <v>2434</v>
      </c>
    </row>
    <row r="1252" spans="1:10" ht="15" customHeight="1" x14ac:dyDescent="0.2">
      <c r="A1252" s="420">
        <v>45717</v>
      </c>
      <c r="B1252" t="s">
        <v>2547</v>
      </c>
      <c r="C1252" t="s">
        <v>3890</v>
      </c>
      <c r="D1252" t="s">
        <v>3892</v>
      </c>
      <c r="E1252" t="s">
        <v>1786</v>
      </c>
      <c r="G1252">
        <v>35</v>
      </c>
      <c r="I1252">
        <v>35</v>
      </c>
      <c r="J1252" t="s">
        <v>2511</v>
      </c>
    </row>
    <row r="1253" spans="1:10" ht="15" customHeight="1" x14ac:dyDescent="0.2">
      <c r="A1253" s="420">
        <v>45719</v>
      </c>
      <c r="B1253" t="s">
        <v>2333</v>
      </c>
      <c r="C1253" t="s">
        <v>3890</v>
      </c>
      <c r="D1253" t="s">
        <v>3893</v>
      </c>
      <c r="E1253" t="s">
        <v>3894</v>
      </c>
      <c r="F1253">
        <v>35</v>
      </c>
      <c r="J1253" t="s">
        <v>2511</v>
      </c>
    </row>
    <row r="1254" spans="1:10" ht="15" customHeight="1" x14ac:dyDescent="0.2">
      <c r="A1254" s="420">
        <v>45779</v>
      </c>
      <c r="B1254" t="s">
        <v>2547</v>
      </c>
      <c r="C1254" t="s">
        <v>3890</v>
      </c>
      <c r="D1254" t="s">
        <v>3895</v>
      </c>
      <c r="E1254" t="s">
        <v>1842</v>
      </c>
      <c r="G1254">
        <v>189.65</v>
      </c>
      <c r="I1254">
        <v>189.65</v>
      </c>
      <c r="J1254" t="s">
        <v>2509</v>
      </c>
    </row>
    <row r="1255" spans="1:10" ht="15" customHeight="1" x14ac:dyDescent="0.2">
      <c r="A1255" s="420">
        <v>45782</v>
      </c>
      <c r="B1255" t="s">
        <v>2333</v>
      </c>
      <c r="C1255" t="s">
        <v>3890</v>
      </c>
      <c r="D1255" t="s">
        <v>3896</v>
      </c>
      <c r="E1255" t="s">
        <v>3897</v>
      </c>
      <c r="F1255">
        <v>189.65</v>
      </c>
      <c r="J1255" t="s">
        <v>2509</v>
      </c>
    </row>
    <row r="1256" spans="1:10" ht="15" customHeight="1" x14ac:dyDescent="0.2">
      <c r="A1256" s="420">
        <v>45883</v>
      </c>
      <c r="B1256" t="s">
        <v>2532</v>
      </c>
      <c r="C1256" t="s">
        <v>3890</v>
      </c>
      <c r="D1256" t="s">
        <v>3898</v>
      </c>
      <c r="E1256" t="s">
        <v>3899</v>
      </c>
      <c r="G1256">
        <v>420.25</v>
      </c>
      <c r="I1256">
        <v>420.25</v>
      </c>
      <c r="J1256" t="s">
        <v>2585</v>
      </c>
    </row>
    <row r="1257" spans="1:10" ht="15" customHeight="1" x14ac:dyDescent="0.2">
      <c r="A1257" s="420">
        <v>45887</v>
      </c>
      <c r="B1257" t="s">
        <v>2333</v>
      </c>
      <c r="C1257" t="s">
        <v>3890</v>
      </c>
      <c r="D1257" t="s">
        <v>3900</v>
      </c>
      <c r="E1257" t="s">
        <v>3894</v>
      </c>
      <c r="F1257">
        <v>420.25</v>
      </c>
      <c r="J1257" t="s">
        <v>2585</v>
      </c>
    </row>
    <row r="1258" spans="1:10" ht="15" customHeight="1" x14ac:dyDescent="0.2">
      <c r="A1258" s="420">
        <v>45905</v>
      </c>
      <c r="B1258" t="s">
        <v>2532</v>
      </c>
      <c r="C1258" t="s">
        <v>3890</v>
      </c>
      <c r="D1258" t="s">
        <v>3901</v>
      </c>
      <c r="E1258" t="s">
        <v>1929</v>
      </c>
      <c r="G1258">
        <v>40.299999999999997</v>
      </c>
      <c r="I1258">
        <v>40.299999999999997</v>
      </c>
      <c r="J1258" t="s">
        <v>2513</v>
      </c>
    </row>
    <row r="1259" spans="1:10" ht="15" customHeight="1" x14ac:dyDescent="0.2">
      <c r="A1259" s="420">
        <v>45910</v>
      </c>
      <c r="B1259" t="s">
        <v>2532</v>
      </c>
      <c r="C1259" t="s">
        <v>3890</v>
      </c>
      <c r="D1259" t="s">
        <v>3902</v>
      </c>
      <c r="E1259" t="s">
        <v>1933</v>
      </c>
      <c r="G1259">
        <v>27.26</v>
      </c>
      <c r="I1259">
        <v>67.56</v>
      </c>
      <c r="J1259" t="s">
        <v>2586</v>
      </c>
    </row>
    <row r="1260" spans="1:10" ht="15" customHeight="1" x14ac:dyDescent="0.2">
      <c r="A1260" s="420">
        <v>45936</v>
      </c>
      <c r="B1260" t="s">
        <v>2333</v>
      </c>
      <c r="C1260" t="s">
        <v>3890</v>
      </c>
      <c r="D1260" t="s">
        <v>3903</v>
      </c>
      <c r="E1260" t="s">
        <v>3904</v>
      </c>
      <c r="F1260">
        <v>27.26</v>
      </c>
      <c r="I1260">
        <v>40.299999999999997</v>
      </c>
      <c r="J1260" t="s">
        <v>2586</v>
      </c>
    </row>
    <row r="1261" spans="1:10" ht="15" customHeight="1" x14ac:dyDescent="0.2">
      <c r="A1261" s="420">
        <v>45936</v>
      </c>
      <c r="B1261" t="s">
        <v>2333</v>
      </c>
      <c r="C1261" t="s">
        <v>3890</v>
      </c>
      <c r="D1261" t="s">
        <v>2615</v>
      </c>
      <c r="E1261" t="s">
        <v>3905</v>
      </c>
      <c r="F1261">
        <v>40.299999999999997</v>
      </c>
      <c r="J1261" t="s">
        <v>2513</v>
      </c>
    </row>
    <row r="1262" spans="1:10" ht="15" customHeight="1" x14ac:dyDescent="0.2">
      <c r="A1262" t="s">
        <v>3890</v>
      </c>
      <c r="E1262" t="s">
        <v>349</v>
      </c>
      <c r="F1262">
        <v>712.46</v>
      </c>
      <c r="G1262">
        <v>712.46</v>
      </c>
    </row>
    <row r="1264" spans="1:10" ht="15" customHeight="1" x14ac:dyDescent="0.2">
      <c r="A1264" t="s">
        <v>3906</v>
      </c>
      <c r="B1264" t="s">
        <v>3907</v>
      </c>
      <c r="F1264" t="s">
        <v>2430</v>
      </c>
      <c r="G1264" t="s">
        <v>2431</v>
      </c>
      <c r="H1264" t="s">
        <v>2432</v>
      </c>
      <c r="I1264" t="s">
        <v>2433</v>
      </c>
      <c r="J1264" t="s">
        <v>2434</v>
      </c>
    </row>
    <row r="1265" spans="1:10" ht="15" customHeight="1" x14ac:dyDescent="0.2">
      <c r="A1265" s="420">
        <v>45711</v>
      </c>
      <c r="B1265" t="s">
        <v>2547</v>
      </c>
      <c r="C1265" t="s">
        <v>3906</v>
      </c>
      <c r="D1265" t="s">
        <v>3908</v>
      </c>
      <c r="E1265" t="s">
        <v>1319</v>
      </c>
      <c r="G1265">
        <v>1057</v>
      </c>
      <c r="I1265">
        <v>1057</v>
      </c>
      <c r="J1265" t="s">
        <v>2509</v>
      </c>
    </row>
    <row r="1266" spans="1:10" ht="15" customHeight="1" x14ac:dyDescent="0.2">
      <c r="A1266" s="420">
        <v>45734</v>
      </c>
      <c r="B1266" t="s">
        <v>2532</v>
      </c>
      <c r="C1266" t="s">
        <v>3906</v>
      </c>
      <c r="D1266" t="s">
        <v>3909</v>
      </c>
      <c r="E1266" t="s">
        <v>1331</v>
      </c>
      <c r="G1266">
        <v>535.19000000000005</v>
      </c>
      <c r="I1266">
        <v>1592.19</v>
      </c>
      <c r="J1266" t="s">
        <v>2511</v>
      </c>
    </row>
    <row r="1267" spans="1:10" ht="15" customHeight="1" x14ac:dyDescent="0.2">
      <c r="A1267" s="420">
        <v>45769</v>
      </c>
      <c r="B1267" t="s">
        <v>2333</v>
      </c>
      <c r="C1267" t="s">
        <v>3906</v>
      </c>
      <c r="D1267" t="s">
        <v>3910</v>
      </c>
      <c r="E1267" t="s">
        <v>3911</v>
      </c>
      <c r="F1267">
        <v>535.19000000000005</v>
      </c>
      <c r="I1267">
        <v>1057</v>
      </c>
      <c r="J1267" t="s">
        <v>2511</v>
      </c>
    </row>
    <row r="1268" spans="1:10" ht="15" customHeight="1" x14ac:dyDescent="0.2">
      <c r="A1268" s="420">
        <v>45777</v>
      </c>
      <c r="B1268" t="s">
        <v>2333</v>
      </c>
      <c r="C1268" t="s">
        <v>3906</v>
      </c>
      <c r="D1268" t="s">
        <v>3912</v>
      </c>
      <c r="E1268" t="s">
        <v>3913</v>
      </c>
      <c r="F1268">
        <v>1057</v>
      </c>
      <c r="J1268" t="s">
        <v>2509</v>
      </c>
    </row>
    <row r="1269" spans="1:10" ht="15" customHeight="1" x14ac:dyDescent="0.2">
      <c r="A1269" t="s">
        <v>3906</v>
      </c>
      <c r="E1269" t="s">
        <v>349</v>
      </c>
      <c r="F1269">
        <v>1592.19</v>
      </c>
      <c r="G1269">
        <v>1592.19</v>
      </c>
    </row>
    <row r="1271" spans="1:10" ht="15" customHeight="1" x14ac:dyDescent="0.2">
      <c r="A1271" t="s">
        <v>3914</v>
      </c>
      <c r="B1271" t="s">
        <v>3915</v>
      </c>
      <c r="F1271" t="s">
        <v>2430</v>
      </c>
      <c r="G1271" t="s">
        <v>2431</v>
      </c>
      <c r="H1271" t="s">
        <v>2432</v>
      </c>
      <c r="I1271" t="s">
        <v>2433</v>
      </c>
      <c r="J1271" t="s">
        <v>2434</v>
      </c>
    </row>
    <row r="1272" spans="1:10" ht="15" customHeight="1" x14ac:dyDescent="0.2">
      <c r="A1272" s="420">
        <v>45979</v>
      </c>
      <c r="B1272" t="s">
        <v>2333</v>
      </c>
      <c r="C1272" t="s">
        <v>3914</v>
      </c>
      <c r="D1272" t="s">
        <v>3916</v>
      </c>
      <c r="E1272" t="s">
        <v>3917</v>
      </c>
      <c r="F1272">
        <v>262.5</v>
      </c>
      <c r="H1272">
        <v>262.5</v>
      </c>
      <c r="J1272" t="s">
        <v>2511</v>
      </c>
    </row>
    <row r="1273" spans="1:10" ht="15" customHeight="1" x14ac:dyDescent="0.2">
      <c r="A1273" s="420">
        <v>45979</v>
      </c>
      <c r="B1273" t="s">
        <v>2532</v>
      </c>
      <c r="C1273" t="s">
        <v>3914</v>
      </c>
      <c r="D1273" t="s">
        <v>3918</v>
      </c>
      <c r="E1273" t="s">
        <v>1975</v>
      </c>
      <c r="G1273">
        <v>525</v>
      </c>
      <c r="I1273">
        <v>262.5</v>
      </c>
      <c r="J1273" t="s">
        <v>2511</v>
      </c>
    </row>
    <row r="1274" spans="1:10" ht="15" customHeight="1" x14ac:dyDescent="0.2">
      <c r="A1274" s="420">
        <v>46014</v>
      </c>
      <c r="B1274" t="s">
        <v>2333</v>
      </c>
      <c r="C1274" t="s">
        <v>3914</v>
      </c>
      <c r="D1274" t="s">
        <v>3919</v>
      </c>
      <c r="E1274" t="s">
        <v>3920</v>
      </c>
      <c r="F1274">
        <v>262.5</v>
      </c>
      <c r="J1274" t="s">
        <v>2511</v>
      </c>
    </row>
    <row r="1275" spans="1:10" ht="15" customHeight="1" x14ac:dyDescent="0.2">
      <c r="A1275" t="s">
        <v>3914</v>
      </c>
      <c r="E1275" t="s">
        <v>349</v>
      </c>
      <c r="F1275">
        <v>525</v>
      </c>
      <c r="G1275">
        <v>525</v>
      </c>
    </row>
    <row r="1277" spans="1:10" ht="15" customHeight="1" x14ac:dyDescent="0.2">
      <c r="A1277" t="s">
        <v>3921</v>
      </c>
      <c r="B1277" t="s">
        <v>3922</v>
      </c>
      <c r="F1277" t="s">
        <v>2430</v>
      </c>
      <c r="G1277" t="s">
        <v>2431</v>
      </c>
      <c r="H1277" t="s">
        <v>2432</v>
      </c>
      <c r="I1277" t="s">
        <v>2433</v>
      </c>
      <c r="J1277" t="s">
        <v>2434</v>
      </c>
    </row>
    <row r="1278" spans="1:10" ht="15" customHeight="1" x14ac:dyDescent="0.2">
      <c r="A1278" s="420">
        <v>45730</v>
      </c>
      <c r="B1278" t="s">
        <v>2333</v>
      </c>
      <c r="C1278" t="s">
        <v>3921</v>
      </c>
      <c r="D1278" t="s">
        <v>3923</v>
      </c>
      <c r="E1278" t="s">
        <v>3924</v>
      </c>
      <c r="F1278">
        <v>1277.6400000000001</v>
      </c>
      <c r="H1278">
        <v>1277.6400000000001</v>
      </c>
      <c r="J1278" t="s">
        <v>2511</v>
      </c>
    </row>
    <row r="1279" spans="1:10" ht="15" customHeight="1" x14ac:dyDescent="0.2">
      <c r="A1279" s="420">
        <v>45730</v>
      </c>
      <c r="B1279" t="s">
        <v>2532</v>
      </c>
      <c r="C1279" t="s">
        <v>3921</v>
      </c>
      <c r="D1279" t="s">
        <v>3925</v>
      </c>
      <c r="E1279" t="s">
        <v>1477</v>
      </c>
      <c r="G1279">
        <v>1277.6400000000001</v>
      </c>
      <c r="J1279" t="s">
        <v>2511</v>
      </c>
    </row>
    <row r="1280" spans="1:10" ht="15" customHeight="1" x14ac:dyDescent="0.2">
      <c r="A1280" t="s">
        <v>3921</v>
      </c>
      <c r="E1280" t="s">
        <v>349</v>
      </c>
      <c r="F1280">
        <v>1277.6400000000001</v>
      </c>
      <c r="G1280">
        <v>1277.6400000000001</v>
      </c>
    </row>
    <row r="1282" spans="1:10" ht="15" customHeight="1" x14ac:dyDescent="0.2">
      <c r="A1282" t="s">
        <v>3926</v>
      </c>
      <c r="B1282" t="s">
        <v>3927</v>
      </c>
      <c r="F1282" t="s">
        <v>2430</v>
      </c>
      <c r="G1282" t="s">
        <v>2431</v>
      </c>
      <c r="H1282" t="s">
        <v>2432</v>
      </c>
      <c r="I1282" t="s">
        <v>2433</v>
      </c>
      <c r="J1282" t="s">
        <v>2434</v>
      </c>
    </row>
    <row r="1283" spans="1:10" ht="15" customHeight="1" x14ac:dyDescent="0.2">
      <c r="A1283" s="420">
        <v>45887</v>
      </c>
      <c r="B1283" t="s">
        <v>2532</v>
      </c>
      <c r="C1283" t="s">
        <v>3926</v>
      </c>
      <c r="D1283" t="s">
        <v>3928</v>
      </c>
      <c r="E1283" t="s">
        <v>3929</v>
      </c>
      <c r="G1283">
        <v>56</v>
      </c>
      <c r="I1283">
        <v>56</v>
      </c>
      <c r="J1283" t="s">
        <v>2511</v>
      </c>
    </row>
    <row r="1284" spans="1:10" ht="15" customHeight="1" x14ac:dyDescent="0.2">
      <c r="A1284" s="420">
        <v>45888</v>
      </c>
      <c r="B1284" t="s">
        <v>2333</v>
      </c>
      <c r="C1284" t="s">
        <v>3926</v>
      </c>
      <c r="D1284" t="s">
        <v>3930</v>
      </c>
      <c r="E1284" t="s">
        <v>3931</v>
      </c>
      <c r="F1284">
        <v>56</v>
      </c>
      <c r="J1284" t="s">
        <v>2511</v>
      </c>
    </row>
    <row r="1285" spans="1:10" ht="15" customHeight="1" x14ac:dyDescent="0.2">
      <c r="A1285" t="s">
        <v>3926</v>
      </c>
      <c r="E1285" t="s">
        <v>349</v>
      </c>
      <c r="F1285">
        <v>56</v>
      </c>
      <c r="G1285">
        <v>56</v>
      </c>
    </row>
    <row r="1287" spans="1:10" ht="15" customHeight="1" x14ac:dyDescent="0.2">
      <c r="A1287" t="s">
        <v>3932</v>
      </c>
      <c r="B1287" t="s">
        <v>3933</v>
      </c>
      <c r="F1287" t="s">
        <v>2430</v>
      </c>
      <c r="G1287" t="s">
        <v>2431</v>
      </c>
      <c r="H1287" t="s">
        <v>2432</v>
      </c>
      <c r="I1287" t="s">
        <v>2433</v>
      </c>
      <c r="J1287" t="s">
        <v>2434</v>
      </c>
    </row>
    <row r="1288" spans="1:10" ht="15" customHeight="1" x14ac:dyDescent="0.2">
      <c r="A1288" s="420">
        <v>45658</v>
      </c>
      <c r="B1288" t="s">
        <v>2435</v>
      </c>
      <c r="C1288" t="s">
        <v>3932</v>
      </c>
      <c r="D1288" t="s">
        <v>2436</v>
      </c>
      <c r="E1288" t="s">
        <v>3934</v>
      </c>
      <c r="G1288">
        <v>39.15</v>
      </c>
      <c r="I1288">
        <v>39.15</v>
      </c>
      <c r="J1288" t="s">
        <v>2511</v>
      </c>
    </row>
    <row r="1289" spans="1:10" ht="15" customHeight="1" x14ac:dyDescent="0.2">
      <c r="A1289" s="420">
        <v>45685</v>
      </c>
      <c r="B1289" t="s">
        <v>2333</v>
      </c>
      <c r="C1289" t="s">
        <v>3932</v>
      </c>
      <c r="D1289" t="s">
        <v>3935</v>
      </c>
      <c r="E1289" t="s">
        <v>3936</v>
      </c>
      <c r="F1289">
        <v>39.15</v>
      </c>
      <c r="J1289" t="s">
        <v>2511</v>
      </c>
    </row>
    <row r="1290" spans="1:10" ht="15" customHeight="1" x14ac:dyDescent="0.2">
      <c r="A1290" t="s">
        <v>3932</v>
      </c>
      <c r="E1290" t="s">
        <v>349</v>
      </c>
      <c r="F1290">
        <v>39.15</v>
      </c>
      <c r="G1290">
        <v>39.15</v>
      </c>
    </row>
    <row r="1292" spans="1:10" ht="15" customHeight="1" x14ac:dyDescent="0.2">
      <c r="A1292" t="s">
        <v>3937</v>
      </c>
      <c r="B1292" t="s">
        <v>3938</v>
      </c>
      <c r="F1292" t="s">
        <v>2430</v>
      </c>
      <c r="G1292" t="s">
        <v>2431</v>
      </c>
      <c r="H1292" t="s">
        <v>2432</v>
      </c>
      <c r="I1292" t="s">
        <v>2433</v>
      </c>
      <c r="J1292" t="s">
        <v>2434</v>
      </c>
    </row>
    <row r="1293" spans="1:10" ht="15" customHeight="1" x14ac:dyDescent="0.2">
      <c r="A1293" s="420">
        <v>45828</v>
      </c>
      <c r="B1293" t="s">
        <v>2532</v>
      </c>
      <c r="C1293" t="s">
        <v>3937</v>
      </c>
      <c r="D1293" t="s">
        <v>3939</v>
      </c>
      <c r="E1293" t="s">
        <v>509</v>
      </c>
      <c r="G1293">
        <v>46.38</v>
      </c>
      <c r="I1293">
        <v>46.38</v>
      </c>
      <c r="J1293" t="s">
        <v>2511</v>
      </c>
    </row>
    <row r="1294" spans="1:10" ht="15" customHeight="1" x14ac:dyDescent="0.2">
      <c r="A1294" s="420">
        <v>45866</v>
      </c>
      <c r="B1294" t="s">
        <v>2333</v>
      </c>
      <c r="C1294" t="s">
        <v>3937</v>
      </c>
      <c r="D1294" t="s">
        <v>3940</v>
      </c>
      <c r="E1294" t="s">
        <v>3941</v>
      </c>
      <c r="F1294">
        <v>46.38</v>
      </c>
      <c r="J1294" t="s">
        <v>2511</v>
      </c>
    </row>
    <row r="1295" spans="1:10" ht="15" customHeight="1" x14ac:dyDescent="0.2">
      <c r="A1295" s="420">
        <v>46009</v>
      </c>
      <c r="B1295" t="s">
        <v>2532</v>
      </c>
      <c r="C1295" t="s">
        <v>3937</v>
      </c>
      <c r="D1295" t="s">
        <v>3942</v>
      </c>
      <c r="E1295" t="s">
        <v>577</v>
      </c>
      <c r="G1295">
        <v>46.79</v>
      </c>
      <c r="I1295">
        <v>46.79</v>
      </c>
      <c r="J1295" t="s">
        <v>2511</v>
      </c>
    </row>
    <row r="1296" spans="1:10" ht="15" customHeight="1" x14ac:dyDescent="0.2">
      <c r="A1296" t="s">
        <v>3937</v>
      </c>
      <c r="E1296" t="s">
        <v>349</v>
      </c>
      <c r="F1296">
        <v>46.38</v>
      </c>
      <c r="G1296">
        <v>93.17</v>
      </c>
      <c r="I1296">
        <v>46.79</v>
      </c>
    </row>
    <row r="1298" spans="1:10" ht="15" customHeight="1" x14ac:dyDescent="0.2">
      <c r="A1298" t="s">
        <v>3943</v>
      </c>
      <c r="B1298" t="s">
        <v>3944</v>
      </c>
      <c r="F1298" t="s">
        <v>2430</v>
      </c>
      <c r="G1298" t="s">
        <v>2431</v>
      </c>
      <c r="H1298" t="s">
        <v>2432</v>
      </c>
      <c r="I1298" t="s">
        <v>2433</v>
      </c>
      <c r="J1298" t="s">
        <v>2434</v>
      </c>
    </row>
    <row r="1299" spans="1:10" ht="15" customHeight="1" x14ac:dyDescent="0.2">
      <c r="A1299" s="420">
        <v>45793</v>
      </c>
      <c r="B1299" t="s">
        <v>2547</v>
      </c>
      <c r="C1299" t="s">
        <v>3943</v>
      </c>
      <c r="D1299" t="s">
        <v>3945</v>
      </c>
      <c r="E1299" t="s">
        <v>1493</v>
      </c>
      <c r="G1299">
        <v>59</v>
      </c>
      <c r="I1299">
        <v>59</v>
      </c>
      <c r="J1299" t="s">
        <v>2511</v>
      </c>
    </row>
    <row r="1300" spans="1:10" ht="15" customHeight="1" x14ac:dyDescent="0.2">
      <c r="A1300" s="420">
        <v>45796</v>
      </c>
      <c r="B1300" t="s">
        <v>2333</v>
      </c>
      <c r="C1300" t="s">
        <v>3943</v>
      </c>
      <c r="D1300" t="s">
        <v>3946</v>
      </c>
      <c r="E1300" t="s">
        <v>3947</v>
      </c>
      <c r="F1300">
        <v>59</v>
      </c>
      <c r="J1300" t="s">
        <v>2511</v>
      </c>
    </row>
    <row r="1301" spans="1:10" ht="15" customHeight="1" x14ac:dyDescent="0.2">
      <c r="A1301" t="s">
        <v>3943</v>
      </c>
      <c r="E1301" t="s">
        <v>349</v>
      </c>
      <c r="F1301">
        <v>59</v>
      </c>
      <c r="G1301">
        <v>59</v>
      </c>
    </row>
    <row r="1303" spans="1:10" ht="15" customHeight="1" x14ac:dyDescent="0.2">
      <c r="A1303" t="s">
        <v>3948</v>
      </c>
      <c r="B1303" t="s">
        <v>3949</v>
      </c>
      <c r="F1303" t="s">
        <v>2430</v>
      </c>
      <c r="G1303" t="s">
        <v>2431</v>
      </c>
      <c r="H1303" t="s">
        <v>2432</v>
      </c>
      <c r="I1303" t="s">
        <v>2433</v>
      </c>
      <c r="J1303" t="s">
        <v>2434</v>
      </c>
    </row>
    <row r="1304" spans="1:10" ht="15" customHeight="1" x14ac:dyDescent="0.2">
      <c r="A1304" s="420">
        <v>45770</v>
      </c>
      <c r="B1304" t="s">
        <v>2547</v>
      </c>
      <c r="C1304" t="s">
        <v>3948</v>
      </c>
      <c r="D1304" t="s">
        <v>3950</v>
      </c>
      <c r="E1304" t="s">
        <v>479</v>
      </c>
      <c r="G1304">
        <v>330</v>
      </c>
      <c r="I1304">
        <v>330</v>
      </c>
      <c r="J1304" t="s">
        <v>2509</v>
      </c>
    </row>
    <row r="1305" spans="1:10" ht="15" customHeight="1" x14ac:dyDescent="0.2">
      <c r="A1305" s="420">
        <v>45771</v>
      </c>
      <c r="B1305" t="s">
        <v>2333</v>
      </c>
      <c r="C1305" t="s">
        <v>3948</v>
      </c>
      <c r="D1305" t="s">
        <v>3951</v>
      </c>
      <c r="E1305" t="s">
        <v>3952</v>
      </c>
      <c r="F1305">
        <v>330</v>
      </c>
      <c r="J1305" t="s">
        <v>2509</v>
      </c>
    </row>
    <row r="1306" spans="1:10" ht="15" customHeight="1" x14ac:dyDescent="0.2">
      <c r="A1306" s="420">
        <v>45785</v>
      </c>
      <c r="B1306" t="s">
        <v>2532</v>
      </c>
      <c r="C1306" t="s">
        <v>3948</v>
      </c>
      <c r="D1306" t="s">
        <v>3953</v>
      </c>
      <c r="E1306" t="s">
        <v>3954</v>
      </c>
      <c r="G1306">
        <v>248.4</v>
      </c>
      <c r="I1306">
        <v>248.4</v>
      </c>
      <c r="J1306" t="s">
        <v>2511</v>
      </c>
    </row>
    <row r="1307" spans="1:10" ht="15" customHeight="1" x14ac:dyDescent="0.2">
      <c r="A1307" s="420">
        <v>45786</v>
      </c>
      <c r="B1307" t="s">
        <v>2333</v>
      </c>
      <c r="C1307" t="s">
        <v>3948</v>
      </c>
      <c r="D1307" t="s">
        <v>3955</v>
      </c>
      <c r="E1307" t="s">
        <v>3956</v>
      </c>
      <c r="F1307">
        <v>248.4</v>
      </c>
      <c r="J1307" t="s">
        <v>2511</v>
      </c>
    </row>
    <row r="1308" spans="1:10" ht="15" customHeight="1" x14ac:dyDescent="0.2">
      <c r="A1308" s="420">
        <v>45850</v>
      </c>
      <c r="B1308" t="s">
        <v>2532</v>
      </c>
      <c r="C1308" t="s">
        <v>3948</v>
      </c>
      <c r="D1308" t="s">
        <v>3957</v>
      </c>
      <c r="E1308" t="s">
        <v>3958</v>
      </c>
      <c r="G1308">
        <v>107.7</v>
      </c>
      <c r="I1308">
        <v>107.7</v>
      </c>
      <c r="J1308" t="s">
        <v>2513</v>
      </c>
    </row>
    <row r="1309" spans="1:10" ht="15" customHeight="1" x14ac:dyDescent="0.2">
      <c r="A1309" s="420">
        <v>45853</v>
      </c>
      <c r="B1309" t="s">
        <v>2333</v>
      </c>
      <c r="C1309" t="s">
        <v>3948</v>
      </c>
      <c r="D1309" t="s">
        <v>3959</v>
      </c>
      <c r="E1309" t="s">
        <v>3960</v>
      </c>
      <c r="F1309">
        <v>107.7</v>
      </c>
      <c r="J1309" t="s">
        <v>2513</v>
      </c>
    </row>
    <row r="1310" spans="1:10" ht="15" customHeight="1" x14ac:dyDescent="0.2">
      <c r="A1310" s="420">
        <v>45858</v>
      </c>
      <c r="B1310" t="s">
        <v>2532</v>
      </c>
      <c r="C1310" t="s">
        <v>3948</v>
      </c>
      <c r="D1310" t="s">
        <v>3961</v>
      </c>
      <c r="E1310" t="s">
        <v>527</v>
      </c>
      <c r="G1310">
        <v>328.67</v>
      </c>
      <c r="I1310">
        <v>328.67</v>
      </c>
      <c r="J1310" t="s">
        <v>2585</v>
      </c>
    </row>
    <row r="1311" spans="1:10" ht="15" customHeight="1" x14ac:dyDescent="0.2">
      <c r="A1311" s="420">
        <v>45859</v>
      </c>
      <c r="B1311" t="s">
        <v>2333</v>
      </c>
      <c r="C1311" t="s">
        <v>3948</v>
      </c>
      <c r="D1311" t="s">
        <v>3962</v>
      </c>
      <c r="E1311" t="s">
        <v>3963</v>
      </c>
      <c r="F1311">
        <v>328.67</v>
      </c>
      <c r="J1311" t="s">
        <v>2585</v>
      </c>
    </row>
    <row r="1312" spans="1:10" ht="15" customHeight="1" x14ac:dyDescent="0.2">
      <c r="A1312" t="s">
        <v>3948</v>
      </c>
      <c r="E1312" t="s">
        <v>349</v>
      </c>
      <c r="F1312">
        <v>1014.77</v>
      </c>
      <c r="G1312">
        <v>1014.77</v>
      </c>
    </row>
    <row r="1314" spans="1:10" ht="15" customHeight="1" x14ac:dyDescent="0.2">
      <c r="A1314" t="s">
        <v>3964</v>
      </c>
      <c r="B1314" t="s">
        <v>3965</v>
      </c>
      <c r="F1314" t="s">
        <v>2430</v>
      </c>
      <c r="G1314" t="s">
        <v>2431</v>
      </c>
      <c r="H1314" t="s">
        <v>2432</v>
      </c>
      <c r="I1314" t="s">
        <v>2433</v>
      </c>
      <c r="J1314" t="s">
        <v>2434</v>
      </c>
    </row>
    <row r="1315" spans="1:10" ht="15" customHeight="1" x14ac:dyDescent="0.2">
      <c r="A1315" s="420">
        <v>45814</v>
      </c>
      <c r="B1315" t="s">
        <v>2532</v>
      </c>
      <c r="C1315" t="s">
        <v>3964</v>
      </c>
      <c r="D1315" t="s">
        <v>3966</v>
      </c>
      <c r="E1315" t="s">
        <v>1875</v>
      </c>
      <c r="G1315">
        <v>472</v>
      </c>
      <c r="I1315">
        <v>472</v>
      </c>
      <c r="J1315" t="s">
        <v>2511</v>
      </c>
    </row>
    <row r="1316" spans="1:10" ht="15" customHeight="1" x14ac:dyDescent="0.2">
      <c r="A1316" s="420">
        <v>45818</v>
      </c>
      <c r="B1316" t="s">
        <v>2333</v>
      </c>
      <c r="C1316" t="s">
        <v>3964</v>
      </c>
      <c r="D1316" t="s">
        <v>3967</v>
      </c>
      <c r="E1316" t="s">
        <v>3920</v>
      </c>
      <c r="F1316">
        <v>472</v>
      </c>
      <c r="J1316" t="s">
        <v>2511</v>
      </c>
    </row>
    <row r="1317" spans="1:10" ht="15" customHeight="1" x14ac:dyDescent="0.2">
      <c r="A1317" s="420">
        <v>46013</v>
      </c>
      <c r="B1317" t="s">
        <v>2532</v>
      </c>
      <c r="C1317" t="s">
        <v>3964</v>
      </c>
      <c r="D1317" t="s">
        <v>3968</v>
      </c>
      <c r="E1317" t="s">
        <v>2004</v>
      </c>
      <c r="G1317">
        <v>262.5</v>
      </c>
      <c r="I1317">
        <v>262.5</v>
      </c>
      <c r="J1317" t="s">
        <v>2509</v>
      </c>
    </row>
    <row r="1318" spans="1:10" ht="15" customHeight="1" x14ac:dyDescent="0.2">
      <c r="A1318" s="420">
        <v>46013</v>
      </c>
      <c r="B1318" t="s">
        <v>2517</v>
      </c>
      <c r="C1318" t="s">
        <v>3964</v>
      </c>
      <c r="D1318" t="s">
        <v>3969</v>
      </c>
      <c r="E1318" t="s">
        <v>2005</v>
      </c>
      <c r="F1318">
        <v>262.5</v>
      </c>
      <c r="J1318" t="s">
        <v>2509</v>
      </c>
    </row>
    <row r="1319" spans="1:10" ht="15" customHeight="1" x14ac:dyDescent="0.2">
      <c r="A1319" t="s">
        <v>3964</v>
      </c>
      <c r="E1319" t="s">
        <v>349</v>
      </c>
      <c r="F1319">
        <v>734.5</v>
      </c>
      <c r="G1319">
        <v>734.5</v>
      </c>
    </row>
    <row r="1321" spans="1:10" ht="15" customHeight="1" x14ac:dyDescent="0.2">
      <c r="A1321" t="s">
        <v>3970</v>
      </c>
      <c r="B1321" t="s">
        <v>3971</v>
      </c>
      <c r="F1321" t="s">
        <v>2430</v>
      </c>
      <c r="G1321" t="s">
        <v>2431</v>
      </c>
      <c r="H1321" t="s">
        <v>2432</v>
      </c>
      <c r="I1321" t="s">
        <v>2433</v>
      </c>
      <c r="J1321" t="s">
        <v>2434</v>
      </c>
    </row>
    <row r="1322" spans="1:10" ht="15" customHeight="1" x14ac:dyDescent="0.2">
      <c r="A1322" s="420">
        <v>45822</v>
      </c>
      <c r="B1322" t="s">
        <v>2532</v>
      </c>
      <c r="C1322" t="s">
        <v>3970</v>
      </c>
      <c r="D1322" t="s">
        <v>3972</v>
      </c>
      <c r="E1322" t="s">
        <v>1879</v>
      </c>
      <c r="G1322">
        <v>120</v>
      </c>
      <c r="I1322">
        <v>120</v>
      </c>
      <c r="J1322" t="s">
        <v>2511</v>
      </c>
    </row>
    <row r="1323" spans="1:10" ht="15" customHeight="1" x14ac:dyDescent="0.2">
      <c r="A1323" s="420">
        <v>45824</v>
      </c>
      <c r="B1323" t="s">
        <v>2333</v>
      </c>
      <c r="C1323" t="s">
        <v>3970</v>
      </c>
      <c r="D1323" t="s">
        <v>3973</v>
      </c>
      <c r="E1323" t="s">
        <v>3974</v>
      </c>
      <c r="F1323">
        <v>120</v>
      </c>
      <c r="J1323" t="s">
        <v>2511</v>
      </c>
    </row>
    <row r="1324" spans="1:10" ht="15" customHeight="1" x14ac:dyDescent="0.2">
      <c r="A1324" t="s">
        <v>3970</v>
      </c>
      <c r="E1324" t="s">
        <v>349</v>
      </c>
      <c r="F1324">
        <v>120</v>
      </c>
      <c r="G1324">
        <v>120</v>
      </c>
    </row>
    <row r="1326" spans="1:10" ht="15" customHeight="1" x14ac:dyDescent="0.2">
      <c r="A1326" t="s">
        <v>3975</v>
      </c>
      <c r="B1326" t="s">
        <v>3976</v>
      </c>
      <c r="F1326" t="s">
        <v>2430</v>
      </c>
      <c r="G1326" t="s">
        <v>2431</v>
      </c>
      <c r="H1326" t="s">
        <v>2432</v>
      </c>
      <c r="I1326" t="s">
        <v>2433</v>
      </c>
      <c r="J1326" t="s">
        <v>2434</v>
      </c>
    </row>
    <row r="1327" spans="1:10" ht="15" customHeight="1" x14ac:dyDescent="0.2">
      <c r="A1327" s="420">
        <v>45673</v>
      </c>
      <c r="B1327" t="s">
        <v>2532</v>
      </c>
      <c r="C1327" t="s">
        <v>3975</v>
      </c>
      <c r="D1327" t="s">
        <v>3977</v>
      </c>
      <c r="E1327" t="s">
        <v>1300</v>
      </c>
      <c r="G1327">
        <v>39.04</v>
      </c>
      <c r="I1327">
        <v>39.04</v>
      </c>
      <c r="J1327" t="s">
        <v>2511</v>
      </c>
    </row>
    <row r="1328" spans="1:10" ht="15" customHeight="1" x14ac:dyDescent="0.2">
      <c r="A1328" s="420">
        <v>45674</v>
      </c>
      <c r="B1328" t="s">
        <v>2333</v>
      </c>
      <c r="C1328" t="s">
        <v>3975</v>
      </c>
      <c r="D1328" t="s">
        <v>3978</v>
      </c>
      <c r="E1328" t="s">
        <v>3979</v>
      </c>
      <c r="F1328">
        <v>39.04</v>
      </c>
      <c r="J1328" t="s">
        <v>2511</v>
      </c>
    </row>
    <row r="1329" spans="1:10" ht="15" customHeight="1" x14ac:dyDescent="0.2">
      <c r="A1329" s="420">
        <v>45704</v>
      </c>
      <c r="B1329" t="s">
        <v>2532</v>
      </c>
      <c r="C1329" t="s">
        <v>3975</v>
      </c>
      <c r="D1329" t="s">
        <v>3980</v>
      </c>
      <c r="E1329" t="s">
        <v>1317</v>
      </c>
      <c r="G1329">
        <v>39.04</v>
      </c>
      <c r="I1329">
        <v>39.04</v>
      </c>
      <c r="J1329" t="s">
        <v>2509</v>
      </c>
    </row>
    <row r="1330" spans="1:10" ht="15" customHeight="1" x14ac:dyDescent="0.2">
      <c r="A1330" s="420">
        <v>45705</v>
      </c>
      <c r="B1330" t="s">
        <v>2333</v>
      </c>
      <c r="C1330" t="s">
        <v>3975</v>
      </c>
      <c r="D1330" t="s">
        <v>3981</v>
      </c>
      <c r="E1330" t="s">
        <v>3982</v>
      </c>
      <c r="F1330">
        <v>39.04</v>
      </c>
      <c r="J1330" t="s">
        <v>2509</v>
      </c>
    </row>
    <row r="1331" spans="1:10" ht="15" customHeight="1" x14ac:dyDescent="0.2">
      <c r="A1331" t="s">
        <v>3975</v>
      </c>
      <c r="E1331" t="s">
        <v>349</v>
      </c>
      <c r="F1331">
        <v>78.08</v>
      </c>
      <c r="G1331">
        <v>78.08</v>
      </c>
    </row>
    <row r="1333" spans="1:10" ht="15" customHeight="1" x14ac:dyDescent="0.2">
      <c r="A1333" t="s">
        <v>3983</v>
      </c>
      <c r="B1333" t="s">
        <v>3984</v>
      </c>
      <c r="F1333" t="s">
        <v>2430</v>
      </c>
      <c r="G1333" t="s">
        <v>2431</v>
      </c>
      <c r="H1333" t="s">
        <v>2432</v>
      </c>
      <c r="I1333" t="s">
        <v>2433</v>
      </c>
      <c r="J1333" t="s">
        <v>2434</v>
      </c>
    </row>
    <row r="1334" spans="1:10" ht="15" customHeight="1" x14ac:dyDescent="0.2">
      <c r="A1334" s="420">
        <v>45663</v>
      </c>
      <c r="B1334" t="s">
        <v>2333</v>
      </c>
      <c r="C1334" t="s">
        <v>3983</v>
      </c>
      <c r="D1334" t="s">
        <v>3985</v>
      </c>
      <c r="E1334" t="s">
        <v>3986</v>
      </c>
      <c r="F1334">
        <v>393.82</v>
      </c>
      <c r="H1334">
        <v>393.82</v>
      </c>
      <c r="J1334" t="s">
        <v>2511</v>
      </c>
    </row>
    <row r="1335" spans="1:10" ht="15" customHeight="1" x14ac:dyDescent="0.2">
      <c r="A1335" s="420">
        <v>45663</v>
      </c>
      <c r="B1335" t="s">
        <v>3987</v>
      </c>
      <c r="C1335" t="s">
        <v>3983</v>
      </c>
      <c r="D1335" t="s">
        <v>3988</v>
      </c>
      <c r="E1335" t="s">
        <v>3989</v>
      </c>
      <c r="G1335">
        <v>393.82</v>
      </c>
      <c r="J1335" t="s">
        <v>2511</v>
      </c>
    </row>
    <row r="1336" spans="1:10" ht="15" customHeight="1" x14ac:dyDescent="0.2">
      <c r="A1336" s="420">
        <v>45665</v>
      </c>
      <c r="B1336" t="s">
        <v>2333</v>
      </c>
      <c r="C1336" t="s">
        <v>3983</v>
      </c>
      <c r="D1336" t="s">
        <v>3990</v>
      </c>
      <c r="E1336" t="s">
        <v>3991</v>
      </c>
      <c r="F1336">
        <v>792.46</v>
      </c>
      <c r="H1336">
        <v>792.46</v>
      </c>
    </row>
    <row r="1337" spans="1:10" ht="15" customHeight="1" x14ac:dyDescent="0.2">
      <c r="A1337" s="420">
        <v>45665</v>
      </c>
      <c r="B1337" t="s">
        <v>3987</v>
      </c>
      <c r="C1337" t="s">
        <v>3983</v>
      </c>
      <c r="D1337" t="s">
        <v>3992</v>
      </c>
      <c r="E1337" t="s">
        <v>3993</v>
      </c>
      <c r="G1337">
        <v>792.46</v>
      </c>
    </row>
    <row r="1338" spans="1:10" ht="15" customHeight="1" x14ac:dyDescent="0.2">
      <c r="A1338" s="420">
        <v>45692</v>
      </c>
      <c r="B1338" t="s">
        <v>2532</v>
      </c>
      <c r="C1338" t="s">
        <v>3983</v>
      </c>
      <c r="D1338" t="s">
        <v>3994</v>
      </c>
      <c r="E1338" t="s">
        <v>1636</v>
      </c>
      <c r="G1338">
        <v>49.2</v>
      </c>
      <c r="I1338">
        <v>49.2</v>
      </c>
      <c r="J1338" t="s">
        <v>2585</v>
      </c>
    </row>
    <row r="1339" spans="1:10" ht="15" customHeight="1" x14ac:dyDescent="0.2">
      <c r="A1339" s="420">
        <v>45694</v>
      </c>
      <c r="B1339" t="s">
        <v>2333</v>
      </c>
      <c r="C1339" t="s">
        <v>3983</v>
      </c>
      <c r="D1339" t="s">
        <v>3995</v>
      </c>
      <c r="E1339" t="s">
        <v>3996</v>
      </c>
      <c r="F1339">
        <v>393.82</v>
      </c>
      <c r="H1339">
        <v>344.62</v>
      </c>
      <c r="J1339" t="s">
        <v>2511</v>
      </c>
    </row>
    <row r="1340" spans="1:10" ht="15" customHeight="1" x14ac:dyDescent="0.2">
      <c r="A1340" s="420">
        <v>45694</v>
      </c>
      <c r="B1340" t="s">
        <v>3987</v>
      </c>
      <c r="C1340" t="s">
        <v>3983</v>
      </c>
      <c r="D1340" t="s">
        <v>3988</v>
      </c>
      <c r="E1340" t="s">
        <v>3997</v>
      </c>
      <c r="G1340">
        <v>393.82</v>
      </c>
      <c r="I1340">
        <v>49.2</v>
      </c>
      <c r="J1340" t="s">
        <v>2511</v>
      </c>
    </row>
    <row r="1341" spans="1:10" ht="15" customHeight="1" x14ac:dyDescent="0.2">
      <c r="A1341" s="420">
        <v>45696</v>
      </c>
      <c r="B1341" t="s">
        <v>3987</v>
      </c>
      <c r="C1341" t="s">
        <v>3983</v>
      </c>
      <c r="D1341" t="s">
        <v>3992</v>
      </c>
      <c r="E1341" t="s">
        <v>3998</v>
      </c>
      <c r="G1341">
        <v>792.46</v>
      </c>
      <c r="I1341">
        <v>841.66</v>
      </c>
    </row>
    <row r="1342" spans="1:10" ht="15" customHeight="1" x14ac:dyDescent="0.2">
      <c r="A1342" s="420">
        <v>45698</v>
      </c>
      <c r="B1342" t="s">
        <v>2333</v>
      </c>
      <c r="C1342" t="s">
        <v>3983</v>
      </c>
      <c r="D1342" t="s">
        <v>3999</v>
      </c>
      <c r="E1342" t="s">
        <v>4000</v>
      </c>
      <c r="F1342">
        <v>792.46</v>
      </c>
      <c r="I1342">
        <v>49.2</v>
      </c>
    </row>
    <row r="1343" spans="1:10" ht="15" customHeight="1" x14ac:dyDescent="0.2">
      <c r="A1343" s="420">
        <v>45698</v>
      </c>
      <c r="B1343" t="s">
        <v>2333</v>
      </c>
      <c r="C1343" t="s">
        <v>3983</v>
      </c>
      <c r="D1343" t="s">
        <v>4001</v>
      </c>
      <c r="E1343" t="s">
        <v>4002</v>
      </c>
      <c r="F1343">
        <v>49.2</v>
      </c>
      <c r="J1343" t="s">
        <v>2585</v>
      </c>
    </row>
    <row r="1344" spans="1:10" ht="15" customHeight="1" x14ac:dyDescent="0.2">
      <c r="A1344" s="420">
        <v>45722</v>
      </c>
      <c r="B1344" t="s">
        <v>3987</v>
      </c>
      <c r="C1344" t="s">
        <v>3983</v>
      </c>
      <c r="D1344" t="s">
        <v>3988</v>
      </c>
      <c r="E1344" t="s">
        <v>4003</v>
      </c>
      <c r="G1344">
        <v>393.82</v>
      </c>
      <c r="I1344">
        <v>393.82</v>
      </c>
      <c r="J1344" t="s">
        <v>2513</v>
      </c>
    </row>
    <row r="1345" spans="1:10" ht="15" customHeight="1" x14ac:dyDescent="0.2">
      <c r="A1345" s="420">
        <v>45722</v>
      </c>
      <c r="B1345" t="s">
        <v>2333</v>
      </c>
      <c r="C1345" t="s">
        <v>3983</v>
      </c>
      <c r="D1345" t="s">
        <v>4004</v>
      </c>
      <c r="E1345" t="s">
        <v>4005</v>
      </c>
      <c r="F1345">
        <v>393.82</v>
      </c>
      <c r="J1345" t="s">
        <v>2513</v>
      </c>
    </row>
    <row r="1346" spans="1:10" ht="15" customHeight="1" x14ac:dyDescent="0.2">
      <c r="A1346" s="420">
        <v>45724</v>
      </c>
      <c r="B1346" t="s">
        <v>3987</v>
      </c>
      <c r="C1346" t="s">
        <v>3983</v>
      </c>
      <c r="D1346" t="s">
        <v>3992</v>
      </c>
      <c r="E1346" t="s">
        <v>4006</v>
      </c>
      <c r="G1346">
        <v>792.46</v>
      </c>
      <c r="I1346">
        <v>792.46</v>
      </c>
    </row>
    <row r="1347" spans="1:10" ht="15" customHeight="1" x14ac:dyDescent="0.2">
      <c r="A1347" s="420">
        <v>45726</v>
      </c>
      <c r="B1347" t="s">
        <v>2333</v>
      </c>
      <c r="C1347" t="s">
        <v>3983</v>
      </c>
      <c r="D1347" t="s">
        <v>4007</v>
      </c>
      <c r="E1347" t="s">
        <v>4008</v>
      </c>
      <c r="F1347">
        <v>792.46</v>
      </c>
    </row>
    <row r="1348" spans="1:10" ht="15" customHeight="1" x14ac:dyDescent="0.2">
      <c r="A1348" s="420">
        <v>45753</v>
      </c>
      <c r="B1348" t="s">
        <v>3987</v>
      </c>
      <c r="C1348" t="s">
        <v>3983</v>
      </c>
      <c r="D1348" t="s">
        <v>3988</v>
      </c>
      <c r="E1348" t="s">
        <v>4009</v>
      </c>
      <c r="G1348">
        <v>393.82</v>
      </c>
      <c r="I1348">
        <v>393.82</v>
      </c>
      <c r="J1348" t="s">
        <v>2599</v>
      </c>
    </row>
    <row r="1349" spans="1:10" ht="15" customHeight="1" x14ac:dyDescent="0.2">
      <c r="A1349" s="420">
        <v>45754</v>
      </c>
      <c r="B1349" t="s">
        <v>2333</v>
      </c>
      <c r="C1349" t="s">
        <v>3983</v>
      </c>
      <c r="D1349" t="s">
        <v>4010</v>
      </c>
      <c r="E1349" t="s">
        <v>4011</v>
      </c>
      <c r="F1349">
        <v>393.82</v>
      </c>
      <c r="J1349" t="s">
        <v>2599</v>
      </c>
    </row>
    <row r="1350" spans="1:10" ht="15" customHeight="1" x14ac:dyDescent="0.2">
      <c r="A1350" s="420">
        <v>45755</v>
      </c>
      <c r="B1350" t="s">
        <v>2333</v>
      </c>
      <c r="C1350" t="s">
        <v>3983</v>
      </c>
      <c r="D1350" t="s">
        <v>4012</v>
      </c>
      <c r="E1350" t="s">
        <v>4013</v>
      </c>
      <c r="F1350">
        <v>792.46</v>
      </c>
      <c r="H1350">
        <v>792.46</v>
      </c>
      <c r="J1350" t="s">
        <v>2605</v>
      </c>
    </row>
    <row r="1351" spans="1:10" ht="15" customHeight="1" x14ac:dyDescent="0.2">
      <c r="A1351" s="420">
        <v>45770</v>
      </c>
      <c r="B1351" t="s">
        <v>2333</v>
      </c>
      <c r="C1351" t="s">
        <v>3983</v>
      </c>
      <c r="D1351" t="s">
        <v>4014</v>
      </c>
      <c r="E1351" t="s">
        <v>4015</v>
      </c>
      <c r="G1351">
        <v>792.46</v>
      </c>
      <c r="J1351" t="s">
        <v>2605</v>
      </c>
    </row>
    <row r="1352" spans="1:10" ht="15" customHeight="1" x14ac:dyDescent="0.2">
      <c r="A1352" s="420">
        <v>45783</v>
      </c>
      <c r="B1352" t="s">
        <v>3987</v>
      </c>
      <c r="C1352" t="s">
        <v>3983</v>
      </c>
      <c r="D1352" t="s">
        <v>3988</v>
      </c>
      <c r="E1352" t="s">
        <v>4016</v>
      </c>
      <c r="G1352">
        <v>393.82</v>
      </c>
      <c r="I1352">
        <v>393.82</v>
      </c>
      <c r="J1352" t="s">
        <v>2604</v>
      </c>
    </row>
    <row r="1353" spans="1:10" ht="15" customHeight="1" x14ac:dyDescent="0.2">
      <c r="A1353" s="420">
        <v>45783</v>
      </c>
      <c r="B1353" t="s">
        <v>2333</v>
      </c>
      <c r="C1353" t="s">
        <v>3983</v>
      </c>
      <c r="D1353" t="s">
        <v>4017</v>
      </c>
      <c r="E1353" t="s">
        <v>4018</v>
      </c>
      <c r="F1353">
        <v>393.82</v>
      </c>
      <c r="J1353" t="s">
        <v>2604</v>
      </c>
    </row>
    <row r="1354" spans="1:10" ht="15" customHeight="1" x14ac:dyDescent="0.2">
      <c r="A1354" s="420">
        <v>45814</v>
      </c>
      <c r="B1354" t="s">
        <v>3987</v>
      </c>
      <c r="C1354" t="s">
        <v>3983</v>
      </c>
      <c r="D1354" t="s">
        <v>3988</v>
      </c>
      <c r="E1354" t="s">
        <v>4019</v>
      </c>
      <c r="G1354">
        <v>393.82</v>
      </c>
      <c r="I1354">
        <v>393.82</v>
      </c>
      <c r="J1354" t="s">
        <v>2600</v>
      </c>
    </row>
    <row r="1355" spans="1:10" ht="15" customHeight="1" x14ac:dyDescent="0.2">
      <c r="A1355" s="420">
        <v>45814</v>
      </c>
      <c r="B1355" t="s">
        <v>2333</v>
      </c>
      <c r="C1355" t="s">
        <v>3983</v>
      </c>
      <c r="D1355" t="s">
        <v>4020</v>
      </c>
      <c r="E1355" t="s">
        <v>4021</v>
      </c>
      <c r="F1355">
        <v>393.82</v>
      </c>
      <c r="J1355" t="s">
        <v>2600</v>
      </c>
    </row>
    <row r="1356" spans="1:10" ht="15" customHeight="1" x14ac:dyDescent="0.2">
      <c r="A1356" s="420">
        <v>45844</v>
      </c>
      <c r="B1356" t="s">
        <v>3987</v>
      </c>
      <c r="C1356" t="s">
        <v>3983</v>
      </c>
      <c r="D1356" t="s">
        <v>3988</v>
      </c>
      <c r="E1356" t="s">
        <v>4022</v>
      </c>
      <c r="G1356">
        <v>393.82</v>
      </c>
      <c r="I1356">
        <v>393.82</v>
      </c>
      <c r="J1356" t="s">
        <v>2601</v>
      </c>
    </row>
    <row r="1357" spans="1:10" ht="15" customHeight="1" x14ac:dyDescent="0.2">
      <c r="A1357" s="420">
        <v>45845</v>
      </c>
      <c r="B1357" t="s">
        <v>2333</v>
      </c>
      <c r="C1357" t="s">
        <v>3983</v>
      </c>
      <c r="D1357" t="s">
        <v>4023</v>
      </c>
      <c r="E1357" t="s">
        <v>4024</v>
      </c>
      <c r="F1357">
        <v>393.82</v>
      </c>
      <c r="J1357" t="s">
        <v>2601</v>
      </c>
    </row>
    <row r="1358" spans="1:10" ht="15" customHeight="1" x14ac:dyDescent="0.2">
      <c r="A1358" s="420">
        <v>45875</v>
      </c>
      <c r="B1358" t="s">
        <v>3987</v>
      </c>
      <c r="C1358" t="s">
        <v>3983</v>
      </c>
      <c r="D1358" t="s">
        <v>3988</v>
      </c>
      <c r="E1358" t="s">
        <v>4025</v>
      </c>
      <c r="G1358">
        <v>393.82</v>
      </c>
      <c r="I1358">
        <v>393.82</v>
      </c>
      <c r="J1358" t="s">
        <v>2602</v>
      </c>
    </row>
    <row r="1359" spans="1:10" ht="15" customHeight="1" x14ac:dyDescent="0.2">
      <c r="A1359" s="420">
        <v>45875</v>
      </c>
      <c r="B1359" t="s">
        <v>2333</v>
      </c>
      <c r="C1359" t="s">
        <v>3983</v>
      </c>
      <c r="D1359" t="s">
        <v>4026</v>
      </c>
      <c r="E1359" t="s">
        <v>4027</v>
      </c>
      <c r="F1359">
        <v>393.82</v>
      </c>
      <c r="J1359" t="s">
        <v>2602</v>
      </c>
    </row>
    <row r="1360" spans="1:10" ht="15" customHeight="1" x14ac:dyDescent="0.2">
      <c r="A1360" s="420">
        <v>45906</v>
      </c>
      <c r="B1360" t="s">
        <v>3987</v>
      </c>
      <c r="C1360" t="s">
        <v>3983</v>
      </c>
      <c r="D1360" t="s">
        <v>3988</v>
      </c>
      <c r="E1360" t="s">
        <v>4028</v>
      </c>
      <c r="G1360">
        <v>393.82</v>
      </c>
      <c r="I1360">
        <v>393.82</v>
      </c>
      <c r="J1360" t="s">
        <v>2710</v>
      </c>
    </row>
    <row r="1361" spans="1:10" ht="15" customHeight="1" x14ac:dyDescent="0.2">
      <c r="A1361" s="420">
        <v>45908</v>
      </c>
      <c r="B1361" t="s">
        <v>2333</v>
      </c>
      <c r="C1361" t="s">
        <v>3983</v>
      </c>
      <c r="D1361" t="s">
        <v>4029</v>
      </c>
      <c r="E1361" t="s">
        <v>4030</v>
      </c>
      <c r="F1361">
        <v>393.82</v>
      </c>
      <c r="J1361" t="s">
        <v>2710</v>
      </c>
    </row>
    <row r="1362" spans="1:10" ht="15" customHeight="1" x14ac:dyDescent="0.2">
      <c r="A1362" s="420">
        <v>45936</v>
      </c>
      <c r="B1362" t="s">
        <v>3987</v>
      </c>
      <c r="C1362" t="s">
        <v>3983</v>
      </c>
      <c r="D1362" t="s">
        <v>3988</v>
      </c>
      <c r="E1362" t="s">
        <v>4031</v>
      </c>
      <c r="G1362">
        <v>393.82</v>
      </c>
      <c r="I1362">
        <v>393.82</v>
      </c>
      <c r="J1362" t="s">
        <v>2715</v>
      </c>
    </row>
    <row r="1363" spans="1:10" ht="15" customHeight="1" x14ac:dyDescent="0.2">
      <c r="A1363" s="420">
        <v>45936</v>
      </c>
      <c r="B1363" t="s">
        <v>2333</v>
      </c>
      <c r="C1363" t="s">
        <v>3983</v>
      </c>
      <c r="D1363" t="s">
        <v>4032</v>
      </c>
      <c r="E1363" t="s">
        <v>4033</v>
      </c>
      <c r="F1363">
        <v>393.82</v>
      </c>
      <c r="J1363" t="s">
        <v>2715</v>
      </c>
    </row>
    <row r="1364" spans="1:10" ht="15" customHeight="1" x14ac:dyDescent="0.2">
      <c r="A1364" s="420">
        <v>45967</v>
      </c>
      <c r="B1364" t="s">
        <v>3987</v>
      </c>
      <c r="C1364" t="s">
        <v>3983</v>
      </c>
      <c r="D1364" t="s">
        <v>3988</v>
      </c>
      <c r="E1364" t="s">
        <v>4034</v>
      </c>
      <c r="G1364">
        <v>393.82</v>
      </c>
      <c r="I1364">
        <v>393.82</v>
      </c>
      <c r="J1364" t="s">
        <v>2719</v>
      </c>
    </row>
    <row r="1365" spans="1:10" ht="15" customHeight="1" x14ac:dyDescent="0.2">
      <c r="A1365" s="420">
        <v>45967</v>
      </c>
      <c r="B1365" t="s">
        <v>2333</v>
      </c>
      <c r="C1365" t="s">
        <v>3983</v>
      </c>
      <c r="D1365" t="s">
        <v>4035</v>
      </c>
      <c r="E1365" t="s">
        <v>4036</v>
      </c>
      <c r="F1365">
        <v>393.82</v>
      </c>
      <c r="J1365" t="s">
        <v>2719</v>
      </c>
    </row>
    <row r="1366" spans="1:10" ht="15" customHeight="1" x14ac:dyDescent="0.2">
      <c r="A1366" s="420">
        <v>45997</v>
      </c>
      <c r="B1366" t="s">
        <v>3987</v>
      </c>
      <c r="C1366" t="s">
        <v>3983</v>
      </c>
      <c r="D1366" t="s">
        <v>3988</v>
      </c>
      <c r="E1366" t="s">
        <v>4037</v>
      </c>
      <c r="G1366">
        <v>393.82</v>
      </c>
      <c r="I1366">
        <v>393.82</v>
      </c>
      <c r="J1366" t="s">
        <v>2727</v>
      </c>
    </row>
    <row r="1367" spans="1:10" ht="15" customHeight="1" x14ac:dyDescent="0.2">
      <c r="A1367" s="420">
        <v>45999</v>
      </c>
      <c r="B1367" t="s">
        <v>2333</v>
      </c>
      <c r="C1367" t="s">
        <v>3983</v>
      </c>
      <c r="D1367" t="s">
        <v>4038</v>
      </c>
      <c r="E1367" t="s">
        <v>4039</v>
      </c>
      <c r="F1367">
        <v>393.82</v>
      </c>
      <c r="J1367" t="s">
        <v>2727</v>
      </c>
    </row>
    <row r="1368" spans="1:10" ht="15" customHeight="1" x14ac:dyDescent="0.2">
      <c r="A1368" t="s">
        <v>3983</v>
      </c>
      <c r="E1368" t="s">
        <v>349</v>
      </c>
      <c r="F1368">
        <v>7944.88</v>
      </c>
      <c r="G1368">
        <v>7944.88</v>
      </c>
    </row>
    <row r="1370" spans="1:10" ht="15" customHeight="1" x14ac:dyDescent="0.2">
      <c r="A1370" t="s">
        <v>4040</v>
      </c>
      <c r="B1370" t="s">
        <v>4041</v>
      </c>
      <c r="F1370" t="s">
        <v>2430</v>
      </c>
      <c r="G1370" t="s">
        <v>2431</v>
      </c>
      <c r="H1370" t="s">
        <v>2432</v>
      </c>
      <c r="I1370" t="s">
        <v>2433</v>
      </c>
      <c r="J1370" t="s">
        <v>2434</v>
      </c>
    </row>
    <row r="1371" spans="1:10" ht="15" customHeight="1" x14ac:dyDescent="0.2">
      <c r="A1371" s="420">
        <v>45658</v>
      </c>
      <c r="B1371" t="s">
        <v>2532</v>
      </c>
      <c r="C1371" t="s">
        <v>4040</v>
      </c>
      <c r="D1371" t="s">
        <v>4042</v>
      </c>
      <c r="E1371" t="s">
        <v>4043</v>
      </c>
      <c r="G1371">
        <v>1418</v>
      </c>
      <c r="I1371">
        <v>1418</v>
      </c>
      <c r="J1371" t="s">
        <v>2511</v>
      </c>
    </row>
    <row r="1372" spans="1:10" ht="15" customHeight="1" x14ac:dyDescent="0.2">
      <c r="A1372" s="420">
        <v>45663</v>
      </c>
      <c r="B1372" t="s">
        <v>2333</v>
      </c>
      <c r="C1372" t="s">
        <v>4040</v>
      </c>
      <c r="D1372" t="s">
        <v>4044</v>
      </c>
      <c r="E1372" t="s">
        <v>4045</v>
      </c>
      <c r="F1372">
        <v>1418</v>
      </c>
      <c r="J1372" t="s">
        <v>2511</v>
      </c>
    </row>
    <row r="1373" spans="1:10" ht="15" customHeight="1" x14ac:dyDescent="0.2">
      <c r="A1373" s="420">
        <v>45689</v>
      </c>
      <c r="B1373" t="s">
        <v>2532</v>
      </c>
      <c r="C1373" t="s">
        <v>4040</v>
      </c>
      <c r="D1373" t="s">
        <v>4046</v>
      </c>
      <c r="E1373" t="s">
        <v>1207</v>
      </c>
      <c r="G1373">
        <v>1418</v>
      </c>
      <c r="I1373">
        <v>1418</v>
      </c>
      <c r="J1373" t="s">
        <v>2509</v>
      </c>
    </row>
    <row r="1374" spans="1:10" ht="15" customHeight="1" x14ac:dyDescent="0.2">
      <c r="A1374" s="420">
        <v>45693</v>
      </c>
      <c r="B1374" t="s">
        <v>2333</v>
      </c>
      <c r="C1374" t="s">
        <v>4040</v>
      </c>
      <c r="D1374" t="s">
        <v>4047</v>
      </c>
      <c r="E1374" t="s">
        <v>4045</v>
      </c>
      <c r="F1374">
        <v>1418</v>
      </c>
      <c r="J1374" t="s">
        <v>2509</v>
      </c>
    </row>
    <row r="1375" spans="1:10" ht="15" customHeight="1" x14ac:dyDescent="0.2">
      <c r="A1375" s="420">
        <v>45717</v>
      </c>
      <c r="B1375" t="s">
        <v>2532</v>
      </c>
      <c r="C1375" t="s">
        <v>4040</v>
      </c>
      <c r="D1375" t="s">
        <v>4048</v>
      </c>
      <c r="E1375" t="s">
        <v>1208</v>
      </c>
      <c r="G1375">
        <v>1418</v>
      </c>
      <c r="I1375">
        <v>1418</v>
      </c>
      <c r="J1375" t="s">
        <v>2513</v>
      </c>
    </row>
    <row r="1376" spans="1:10" ht="15" customHeight="1" x14ac:dyDescent="0.2">
      <c r="A1376" s="420">
        <v>45721</v>
      </c>
      <c r="B1376" t="s">
        <v>2333</v>
      </c>
      <c r="C1376" t="s">
        <v>4040</v>
      </c>
      <c r="D1376" t="s">
        <v>4049</v>
      </c>
      <c r="E1376" t="s">
        <v>4045</v>
      </c>
      <c r="F1376">
        <v>1418</v>
      </c>
      <c r="J1376" t="s">
        <v>2513</v>
      </c>
    </row>
    <row r="1377" spans="1:10" ht="15" customHeight="1" x14ac:dyDescent="0.2">
      <c r="A1377" s="420">
        <v>45748</v>
      </c>
      <c r="B1377" t="s">
        <v>2532</v>
      </c>
      <c r="C1377" t="s">
        <v>4040</v>
      </c>
      <c r="D1377" t="s">
        <v>4050</v>
      </c>
      <c r="E1377" t="s">
        <v>1211</v>
      </c>
      <c r="G1377">
        <v>1418</v>
      </c>
      <c r="I1377">
        <v>1418</v>
      </c>
      <c r="J1377" t="s">
        <v>2585</v>
      </c>
    </row>
    <row r="1378" spans="1:10" ht="15" customHeight="1" x14ac:dyDescent="0.2">
      <c r="A1378" s="420">
        <v>45754</v>
      </c>
      <c r="B1378" t="s">
        <v>2333</v>
      </c>
      <c r="C1378" t="s">
        <v>4040</v>
      </c>
      <c r="D1378" t="s">
        <v>4051</v>
      </c>
      <c r="E1378" t="s">
        <v>4045</v>
      </c>
      <c r="F1378">
        <v>1418</v>
      </c>
      <c r="J1378" t="s">
        <v>2585</v>
      </c>
    </row>
    <row r="1379" spans="1:10" ht="15" customHeight="1" x14ac:dyDescent="0.2">
      <c r="A1379" s="420">
        <v>45778</v>
      </c>
      <c r="B1379" t="s">
        <v>2532</v>
      </c>
      <c r="C1379" t="s">
        <v>4040</v>
      </c>
      <c r="D1379" t="s">
        <v>4052</v>
      </c>
      <c r="E1379" t="s">
        <v>1214</v>
      </c>
      <c r="G1379">
        <v>1418</v>
      </c>
      <c r="I1379">
        <v>1418</v>
      </c>
      <c r="J1379" t="s">
        <v>2586</v>
      </c>
    </row>
    <row r="1380" spans="1:10" ht="15" customHeight="1" x14ac:dyDescent="0.2">
      <c r="A1380" s="420">
        <v>45782</v>
      </c>
      <c r="B1380" t="s">
        <v>2333</v>
      </c>
      <c r="C1380" t="s">
        <v>4040</v>
      </c>
      <c r="D1380" t="s">
        <v>4053</v>
      </c>
      <c r="E1380" t="s">
        <v>4045</v>
      </c>
      <c r="F1380">
        <v>1418</v>
      </c>
      <c r="J1380" t="s">
        <v>2586</v>
      </c>
    </row>
    <row r="1381" spans="1:10" ht="15" customHeight="1" x14ac:dyDescent="0.2">
      <c r="A1381" s="420">
        <v>45809</v>
      </c>
      <c r="B1381" t="s">
        <v>2532</v>
      </c>
      <c r="C1381" t="s">
        <v>4040</v>
      </c>
      <c r="D1381" t="s">
        <v>4054</v>
      </c>
      <c r="E1381" t="s">
        <v>1215</v>
      </c>
      <c r="G1381">
        <v>1418</v>
      </c>
      <c r="I1381">
        <v>1418</v>
      </c>
      <c r="J1381" t="s">
        <v>2587</v>
      </c>
    </row>
    <row r="1382" spans="1:10" ht="15" customHeight="1" x14ac:dyDescent="0.2">
      <c r="A1382" s="420">
        <v>45813</v>
      </c>
      <c r="B1382" t="s">
        <v>2333</v>
      </c>
      <c r="C1382" t="s">
        <v>4040</v>
      </c>
      <c r="D1382" t="s">
        <v>4055</v>
      </c>
      <c r="E1382" t="s">
        <v>4045</v>
      </c>
      <c r="F1382">
        <v>1418</v>
      </c>
      <c r="J1382" t="s">
        <v>2587</v>
      </c>
    </row>
    <row r="1383" spans="1:10" ht="15" customHeight="1" x14ac:dyDescent="0.2">
      <c r="A1383" s="420">
        <v>45839</v>
      </c>
      <c r="B1383" t="s">
        <v>2532</v>
      </c>
      <c r="C1383" t="s">
        <v>4040</v>
      </c>
      <c r="D1383" t="s">
        <v>4056</v>
      </c>
      <c r="E1383" t="s">
        <v>1216</v>
      </c>
      <c r="G1383">
        <v>1526</v>
      </c>
      <c r="I1383">
        <v>1526</v>
      </c>
      <c r="J1383" t="s">
        <v>2603</v>
      </c>
    </row>
    <row r="1384" spans="1:10" ht="15" customHeight="1" x14ac:dyDescent="0.2">
      <c r="A1384" s="420">
        <v>45841</v>
      </c>
      <c r="B1384" t="s">
        <v>2333</v>
      </c>
      <c r="C1384" t="s">
        <v>4040</v>
      </c>
      <c r="D1384" t="s">
        <v>4057</v>
      </c>
      <c r="E1384" t="s">
        <v>4058</v>
      </c>
      <c r="F1384">
        <v>1526</v>
      </c>
      <c r="J1384" t="s">
        <v>2603</v>
      </c>
    </row>
    <row r="1385" spans="1:10" ht="15" customHeight="1" x14ac:dyDescent="0.2">
      <c r="A1385" s="420">
        <v>45870</v>
      </c>
      <c r="B1385" t="s">
        <v>2532</v>
      </c>
      <c r="C1385" t="s">
        <v>4040</v>
      </c>
      <c r="D1385" t="s">
        <v>4059</v>
      </c>
      <c r="E1385" t="s">
        <v>1217</v>
      </c>
      <c r="G1385">
        <v>1526</v>
      </c>
      <c r="I1385">
        <v>1526</v>
      </c>
      <c r="J1385" t="s">
        <v>2604</v>
      </c>
    </row>
    <row r="1386" spans="1:10" ht="15" customHeight="1" x14ac:dyDescent="0.2">
      <c r="A1386" s="420">
        <v>45873</v>
      </c>
      <c r="B1386" t="s">
        <v>2333</v>
      </c>
      <c r="C1386" t="s">
        <v>4040</v>
      </c>
      <c r="D1386" t="s">
        <v>4060</v>
      </c>
      <c r="E1386" t="s">
        <v>4058</v>
      </c>
      <c r="F1386">
        <v>1526</v>
      </c>
      <c r="J1386" t="s">
        <v>2604</v>
      </c>
    </row>
    <row r="1387" spans="1:10" ht="15" customHeight="1" x14ac:dyDescent="0.2">
      <c r="A1387" s="420">
        <v>45901</v>
      </c>
      <c r="B1387" t="s">
        <v>2532</v>
      </c>
      <c r="C1387" t="s">
        <v>4040</v>
      </c>
      <c r="D1387" t="s">
        <v>4061</v>
      </c>
      <c r="E1387" t="s">
        <v>1218</v>
      </c>
      <c r="G1387">
        <v>1526</v>
      </c>
      <c r="I1387">
        <v>1526</v>
      </c>
      <c r="J1387" t="s">
        <v>2599</v>
      </c>
    </row>
    <row r="1388" spans="1:10" ht="15" customHeight="1" x14ac:dyDescent="0.2">
      <c r="A1388" s="420">
        <v>45903</v>
      </c>
      <c r="B1388" t="s">
        <v>2333</v>
      </c>
      <c r="C1388" t="s">
        <v>4040</v>
      </c>
      <c r="D1388" t="s">
        <v>4062</v>
      </c>
      <c r="E1388" t="s">
        <v>4058</v>
      </c>
      <c r="F1388">
        <v>1526</v>
      </c>
      <c r="J1388" t="s">
        <v>2599</v>
      </c>
    </row>
    <row r="1389" spans="1:10" ht="15" customHeight="1" x14ac:dyDescent="0.2">
      <c r="A1389" s="420">
        <v>45931</v>
      </c>
      <c r="B1389" t="s">
        <v>2532</v>
      </c>
      <c r="C1389" t="s">
        <v>4040</v>
      </c>
      <c r="D1389" t="s">
        <v>4063</v>
      </c>
      <c r="E1389" t="s">
        <v>1218</v>
      </c>
      <c r="G1389">
        <v>1526</v>
      </c>
      <c r="I1389">
        <v>1526</v>
      </c>
      <c r="J1389" t="s">
        <v>2602</v>
      </c>
    </row>
    <row r="1390" spans="1:10" ht="15" customHeight="1" x14ac:dyDescent="0.2">
      <c r="A1390" s="420">
        <v>45933</v>
      </c>
      <c r="B1390" t="s">
        <v>2333</v>
      </c>
      <c r="C1390" t="s">
        <v>4040</v>
      </c>
      <c r="D1390" t="s">
        <v>4064</v>
      </c>
      <c r="E1390" t="s">
        <v>4058</v>
      </c>
      <c r="F1390">
        <v>1526</v>
      </c>
      <c r="J1390" t="s">
        <v>2602</v>
      </c>
    </row>
    <row r="1391" spans="1:10" ht="15" customHeight="1" x14ac:dyDescent="0.2">
      <c r="A1391" s="420">
        <v>45962</v>
      </c>
      <c r="B1391" t="s">
        <v>2532</v>
      </c>
      <c r="C1391" t="s">
        <v>4040</v>
      </c>
      <c r="D1391" t="s">
        <v>4065</v>
      </c>
      <c r="E1391" t="s">
        <v>1221</v>
      </c>
      <c r="G1391">
        <v>1526</v>
      </c>
      <c r="I1391">
        <v>1526</v>
      </c>
      <c r="J1391" t="s">
        <v>2600</v>
      </c>
    </row>
    <row r="1392" spans="1:10" ht="15" customHeight="1" x14ac:dyDescent="0.2">
      <c r="A1392" s="420">
        <v>45964</v>
      </c>
      <c r="B1392" t="s">
        <v>2333</v>
      </c>
      <c r="C1392" t="s">
        <v>4040</v>
      </c>
      <c r="D1392" t="s">
        <v>4066</v>
      </c>
      <c r="E1392" t="s">
        <v>4058</v>
      </c>
      <c r="F1392">
        <v>1526</v>
      </c>
      <c r="J1392" t="s">
        <v>2600</v>
      </c>
    </row>
    <row r="1393" spans="1:10" ht="15" customHeight="1" x14ac:dyDescent="0.2">
      <c r="A1393" s="420">
        <v>45992</v>
      </c>
      <c r="B1393" t="s">
        <v>2532</v>
      </c>
      <c r="C1393" t="s">
        <v>4040</v>
      </c>
      <c r="D1393" t="s">
        <v>4067</v>
      </c>
      <c r="E1393" t="s">
        <v>1222</v>
      </c>
      <c r="G1393">
        <v>1526</v>
      </c>
      <c r="I1393">
        <v>1526</v>
      </c>
      <c r="J1393" t="s">
        <v>2601</v>
      </c>
    </row>
    <row r="1394" spans="1:10" ht="15" customHeight="1" x14ac:dyDescent="0.2">
      <c r="A1394" s="420">
        <v>45994</v>
      </c>
      <c r="B1394" t="s">
        <v>2333</v>
      </c>
      <c r="C1394" t="s">
        <v>4040</v>
      </c>
      <c r="D1394" t="s">
        <v>4068</v>
      </c>
      <c r="E1394" t="s">
        <v>4058</v>
      </c>
      <c r="F1394">
        <v>1526</v>
      </c>
      <c r="J1394" t="s">
        <v>2601</v>
      </c>
    </row>
    <row r="1395" spans="1:10" ht="15" customHeight="1" x14ac:dyDescent="0.2">
      <c r="A1395" t="s">
        <v>4040</v>
      </c>
      <c r="E1395" t="s">
        <v>349</v>
      </c>
      <c r="F1395">
        <v>17664</v>
      </c>
      <c r="G1395">
        <v>17664</v>
      </c>
    </row>
    <row r="1397" spans="1:10" ht="15" customHeight="1" x14ac:dyDescent="0.2">
      <c r="A1397" t="s">
        <v>4069</v>
      </c>
      <c r="B1397" t="s">
        <v>4070</v>
      </c>
      <c r="F1397" t="s">
        <v>2430</v>
      </c>
      <c r="G1397" t="s">
        <v>2431</v>
      </c>
      <c r="H1397" t="s">
        <v>2432</v>
      </c>
      <c r="I1397" t="s">
        <v>2433</v>
      </c>
      <c r="J1397" t="s">
        <v>2434</v>
      </c>
    </row>
    <row r="1398" spans="1:10" ht="15" customHeight="1" x14ac:dyDescent="0.2">
      <c r="A1398" s="420">
        <v>45658</v>
      </c>
      <c r="B1398" t="s">
        <v>2547</v>
      </c>
      <c r="C1398" t="s">
        <v>4069</v>
      </c>
      <c r="D1398" t="s">
        <v>4071</v>
      </c>
      <c r="E1398" t="s">
        <v>1199</v>
      </c>
      <c r="G1398">
        <v>322</v>
      </c>
      <c r="I1398">
        <v>322</v>
      </c>
      <c r="J1398" t="s">
        <v>2511</v>
      </c>
    </row>
    <row r="1399" spans="1:10" ht="15" customHeight="1" x14ac:dyDescent="0.2">
      <c r="A1399" s="420">
        <v>45663</v>
      </c>
      <c r="B1399" t="s">
        <v>2333</v>
      </c>
      <c r="C1399" t="s">
        <v>4069</v>
      </c>
      <c r="D1399" t="s">
        <v>4072</v>
      </c>
      <c r="E1399" t="s">
        <v>4073</v>
      </c>
      <c r="F1399">
        <v>322</v>
      </c>
      <c r="J1399" t="s">
        <v>2511</v>
      </c>
    </row>
    <row r="1400" spans="1:10" ht="15" customHeight="1" x14ac:dyDescent="0.2">
      <c r="A1400" s="420">
        <v>45689</v>
      </c>
      <c r="B1400" t="s">
        <v>2547</v>
      </c>
      <c r="C1400" t="s">
        <v>4069</v>
      </c>
      <c r="D1400" t="s">
        <v>4074</v>
      </c>
      <c r="E1400" t="s">
        <v>1199</v>
      </c>
      <c r="G1400">
        <v>322</v>
      </c>
      <c r="I1400">
        <v>322</v>
      </c>
      <c r="J1400" t="s">
        <v>2509</v>
      </c>
    </row>
    <row r="1401" spans="1:10" ht="15" customHeight="1" x14ac:dyDescent="0.2">
      <c r="A1401" s="420">
        <v>45692</v>
      </c>
      <c r="B1401" t="s">
        <v>2333</v>
      </c>
      <c r="C1401" t="s">
        <v>4069</v>
      </c>
      <c r="D1401" t="s">
        <v>4075</v>
      </c>
      <c r="E1401" t="s">
        <v>4073</v>
      </c>
      <c r="F1401">
        <v>322</v>
      </c>
      <c r="J1401" t="s">
        <v>2509</v>
      </c>
    </row>
    <row r="1402" spans="1:10" ht="15" customHeight="1" x14ac:dyDescent="0.2">
      <c r="A1402" s="420">
        <v>45717</v>
      </c>
      <c r="B1402" t="s">
        <v>2547</v>
      </c>
      <c r="C1402" t="s">
        <v>4069</v>
      </c>
      <c r="D1402" t="s">
        <v>4076</v>
      </c>
      <c r="E1402" t="s">
        <v>1199</v>
      </c>
      <c r="G1402">
        <v>322</v>
      </c>
      <c r="I1402">
        <v>322</v>
      </c>
      <c r="J1402" t="s">
        <v>2513</v>
      </c>
    </row>
    <row r="1403" spans="1:10" ht="15" customHeight="1" x14ac:dyDescent="0.2">
      <c r="A1403" s="420">
        <v>45721</v>
      </c>
      <c r="B1403" t="s">
        <v>2333</v>
      </c>
      <c r="C1403" t="s">
        <v>4069</v>
      </c>
      <c r="D1403" t="s">
        <v>4077</v>
      </c>
      <c r="E1403" t="s">
        <v>4078</v>
      </c>
      <c r="F1403">
        <v>322</v>
      </c>
      <c r="J1403" t="s">
        <v>2513</v>
      </c>
    </row>
    <row r="1404" spans="1:10" ht="15" customHeight="1" x14ac:dyDescent="0.2">
      <c r="A1404" s="420">
        <v>45748</v>
      </c>
      <c r="B1404" t="s">
        <v>2547</v>
      </c>
      <c r="C1404" t="s">
        <v>4069</v>
      </c>
      <c r="D1404" t="s">
        <v>4079</v>
      </c>
      <c r="E1404" t="s">
        <v>1199</v>
      </c>
      <c r="G1404">
        <v>322</v>
      </c>
      <c r="I1404">
        <v>322</v>
      </c>
      <c r="J1404" t="s">
        <v>2513</v>
      </c>
    </row>
    <row r="1405" spans="1:10" ht="15" customHeight="1" x14ac:dyDescent="0.2">
      <c r="A1405" s="420">
        <v>45754</v>
      </c>
      <c r="B1405" t="s">
        <v>2333</v>
      </c>
      <c r="C1405" t="s">
        <v>4069</v>
      </c>
      <c r="D1405" t="s">
        <v>4080</v>
      </c>
      <c r="E1405" t="s">
        <v>4078</v>
      </c>
      <c r="F1405">
        <v>322</v>
      </c>
      <c r="J1405" t="s">
        <v>2513</v>
      </c>
    </row>
    <row r="1406" spans="1:10" ht="15" customHeight="1" x14ac:dyDescent="0.2">
      <c r="A1406" s="420">
        <v>45778</v>
      </c>
      <c r="B1406" t="s">
        <v>2547</v>
      </c>
      <c r="C1406" t="s">
        <v>4069</v>
      </c>
      <c r="D1406" t="s">
        <v>4081</v>
      </c>
      <c r="E1406" t="s">
        <v>1199</v>
      </c>
      <c r="G1406">
        <v>322</v>
      </c>
      <c r="I1406">
        <v>322</v>
      </c>
      <c r="J1406" t="s">
        <v>2585</v>
      </c>
    </row>
    <row r="1407" spans="1:10" ht="15" customHeight="1" x14ac:dyDescent="0.2">
      <c r="A1407" s="420">
        <v>45782</v>
      </c>
      <c r="B1407" t="s">
        <v>2333</v>
      </c>
      <c r="C1407" t="s">
        <v>4069</v>
      </c>
      <c r="D1407" t="s">
        <v>4082</v>
      </c>
      <c r="E1407" t="s">
        <v>4078</v>
      </c>
      <c r="F1407">
        <v>322</v>
      </c>
      <c r="J1407" t="s">
        <v>2585</v>
      </c>
    </row>
    <row r="1408" spans="1:10" ht="15" customHeight="1" x14ac:dyDescent="0.2">
      <c r="A1408" s="420">
        <v>45809</v>
      </c>
      <c r="B1408" t="s">
        <v>2547</v>
      </c>
      <c r="C1408" t="s">
        <v>4069</v>
      </c>
      <c r="D1408" t="s">
        <v>4083</v>
      </c>
      <c r="E1408" t="s">
        <v>1199</v>
      </c>
      <c r="G1408">
        <v>322</v>
      </c>
      <c r="I1408">
        <v>322</v>
      </c>
      <c r="J1408" t="s">
        <v>2585</v>
      </c>
    </row>
    <row r="1409" spans="1:10" ht="15" customHeight="1" x14ac:dyDescent="0.2">
      <c r="A1409" s="420">
        <v>45813</v>
      </c>
      <c r="B1409" t="s">
        <v>2333</v>
      </c>
      <c r="C1409" t="s">
        <v>4069</v>
      </c>
      <c r="D1409" t="s">
        <v>4084</v>
      </c>
      <c r="E1409" t="s">
        <v>4078</v>
      </c>
      <c r="F1409">
        <v>322</v>
      </c>
      <c r="J1409" t="s">
        <v>2585</v>
      </c>
    </row>
    <row r="1410" spans="1:10" ht="15" customHeight="1" x14ac:dyDescent="0.2">
      <c r="A1410" s="420">
        <v>45839</v>
      </c>
      <c r="B1410" t="s">
        <v>2547</v>
      </c>
      <c r="C1410" t="s">
        <v>4069</v>
      </c>
      <c r="D1410" t="s">
        <v>4085</v>
      </c>
      <c r="E1410" t="s">
        <v>1199</v>
      </c>
      <c r="G1410">
        <v>322</v>
      </c>
      <c r="I1410">
        <v>322</v>
      </c>
      <c r="J1410" t="s">
        <v>2603</v>
      </c>
    </row>
    <row r="1411" spans="1:10" ht="15" customHeight="1" x14ac:dyDescent="0.2">
      <c r="A1411" s="420">
        <v>45845</v>
      </c>
      <c r="B1411" t="s">
        <v>2333</v>
      </c>
      <c r="C1411" t="s">
        <v>4069</v>
      </c>
      <c r="D1411" t="s">
        <v>4086</v>
      </c>
      <c r="E1411" t="s">
        <v>4078</v>
      </c>
      <c r="F1411">
        <v>322</v>
      </c>
      <c r="J1411" t="s">
        <v>2603</v>
      </c>
    </row>
    <row r="1412" spans="1:10" ht="15" customHeight="1" x14ac:dyDescent="0.2">
      <c r="A1412" s="420">
        <v>45870</v>
      </c>
      <c r="B1412" t="s">
        <v>2547</v>
      </c>
      <c r="C1412" t="s">
        <v>4069</v>
      </c>
      <c r="D1412" t="s">
        <v>4087</v>
      </c>
      <c r="E1412" t="s">
        <v>1199</v>
      </c>
      <c r="G1412">
        <v>322</v>
      </c>
      <c r="I1412">
        <v>322</v>
      </c>
      <c r="J1412" t="s">
        <v>2604</v>
      </c>
    </row>
    <row r="1413" spans="1:10" ht="15" customHeight="1" x14ac:dyDescent="0.2">
      <c r="A1413" s="420">
        <v>45874</v>
      </c>
      <c r="B1413" t="s">
        <v>2333</v>
      </c>
      <c r="C1413" t="s">
        <v>4069</v>
      </c>
      <c r="D1413" t="s">
        <v>4088</v>
      </c>
      <c r="E1413" t="s">
        <v>4078</v>
      </c>
      <c r="F1413">
        <v>322</v>
      </c>
      <c r="J1413" t="s">
        <v>2604</v>
      </c>
    </row>
    <row r="1414" spans="1:10" ht="15" customHeight="1" x14ac:dyDescent="0.2">
      <c r="A1414" s="420">
        <v>45901</v>
      </c>
      <c r="B1414" t="s">
        <v>2547</v>
      </c>
      <c r="C1414" t="s">
        <v>4069</v>
      </c>
      <c r="D1414" t="s">
        <v>4089</v>
      </c>
      <c r="E1414" t="s">
        <v>1199</v>
      </c>
      <c r="G1414">
        <v>322</v>
      </c>
      <c r="I1414">
        <v>322</v>
      </c>
      <c r="J1414" t="s">
        <v>2586</v>
      </c>
    </row>
    <row r="1415" spans="1:10" ht="15" customHeight="1" x14ac:dyDescent="0.2">
      <c r="A1415" s="420">
        <v>45905</v>
      </c>
      <c r="B1415" t="s">
        <v>2333</v>
      </c>
      <c r="C1415" t="s">
        <v>4069</v>
      </c>
      <c r="D1415" t="s">
        <v>4090</v>
      </c>
      <c r="E1415" t="s">
        <v>4078</v>
      </c>
      <c r="F1415">
        <v>322</v>
      </c>
      <c r="J1415" t="s">
        <v>2586</v>
      </c>
    </row>
    <row r="1416" spans="1:10" ht="15" customHeight="1" x14ac:dyDescent="0.2">
      <c r="A1416" s="420">
        <v>45931</v>
      </c>
      <c r="B1416" t="s">
        <v>2547</v>
      </c>
      <c r="C1416" t="s">
        <v>4069</v>
      </c>
      <c r="D1416" t="s">
        <v>4091</v>
      </c>
      <c r="E1416" t="s">
        <v>1199</v>
      </c>
      <c r="G1416">
        <v>322</v>
      </c>
      <c r="I1416">
        <v>322</v>
      </c>
      <c r="J1416" t="s">
        <v>2587</v>
      </c>
    </row>
    <row r="1417" spans="1:10" ht="15" customHeight="1" x14ac:dyDescent="0.2">
      <c r="A1417" s="420">
        <v>45936</v>
      </c>
      <c r="B1417" t="s">
        <v>2333</v>
      </c>
      <c r="C1417" t="s">
        <v>4069</v>
      </c>
      <c r="D1417" t="s">
        <v>4092</v>
      </c>
      <c r="E1417" t="s">
        <v>4078</v>
      </c>
      <c r="F1417">
        <v>322</v>
      </c>
      <c r="J1417" t="s">
        <v>2587</v>
      </c>
    </row>
    <row r="1418" spans="1:10" ht="15" customHeight="1" x14ac:dyDescent="0.2">
      <c r="A1418" s="420">
        <v>45962</v>
      </c>
      <c r="B1418" t="s">
        <v>2547</v>
      </c>
      <c r="C1418" t="s">
        <v>4069</v>
      </c>
      <c r="D1418" t="s">
        <v>4093</v>
      </c>
      <c r="E1418" t="s">
        <v>1199</v>
      </c>
      <c r="G1418">
        <v>322</v>
      </c>
      <c r="I1418">
        <v>322</v>
      </c>
      <c r="J1418" t="s">
        <v>2599</v>
      </c>
    </row>
    <row r="1419" spans="1:10" ht="15" customHeight="1" x14ac:dyDescent="0.2">
      <c r="A1419" s="420">
        <v>45966</v>
      </c>
      <c r="B1419" t="s">
        <v>2333</v>
      </c>
      <c r="C1419" t="s">
        <v>4069</v>
      </c>
      <c r="D1419" t="s">
        <v>4094</v>
      </c>
      <c r="E1419" t="s">
        <v>4078</v>
      </c>
      <c r="F1419">
        <v>322</v>
      </c>
      <c r="J1419" t="s">
        <v>2599</v>
      </c>
    </row>
    <row r="1420" spans="1:10" ht="15" customHeight="1" x14ac:dyDescent="0.2">
      <c r="A1420" s="420">
        <v>45992</v>
      </c>
      <c r="B1420" t="s">
        <v>2547</v>
      </c>
      <c r="C1420" t="s">
        <v>4069</v>
      </c>
      <c r="D1420" t="s">
        <v>4095</v>
      </c>
      <c r="E1420" t="s">
        <v>1199</v>
      </c>
      <c r="G1420">
        <v>322</v>
      </c>
      <c r="I1420">
        <v>322</v>
      </c>
      <c r="J1420" t="s">
        <v>2600</v>
      </c>
    </row>
    <row r="1421" spans="1:10" ht="15" customHeight="1" x14ac:dyDescent="0.2">
      <c r="A1421" s="420">
        <v>45996</v>
      </c>
      <c r="B1421" t="s">
        <v>2333</v>
      </c>
      <c r="C1421" t="s">
        <v>4069</v>
      </c>
      <c r="D1421" t="s">
        <v>4096</v>
      </c>
      <c r="E1421" t="s">
        <v>4078</v>
      </c>
      <c r="F1421">
        <v>322</v>
      </c>
      <c r="J1421" t="s">
        <v>2600</v>
      </c>
    </row>
    <row r="1422" spans="1:10" ht="15" customHeight="1" x14ac:dyDescent="0.2">
      <c r="A1422" t="s">
        <v>4069</v>
      </c>
      <c r="E1422" t="s">
        <v>349</v>
      </c>
      <c r="F1422">
        <v>3864</v>
      </c>
      <c r="G1422">
        <v>3864</v>
      </c>
    </row>
    <row r="1424" spans="1:10" ht="15" customHeight="1" x14ac:dyDescent="0.2">
      <c r="A1424" t="s">
        <v>4097</v>
      </c>
      <c r="B1424" t="s">
        <v>4098</v>
      </c>
      <c r="F1424" t="s">
        <v>2430</v>
      </c>
      <c r="G1424" t="s">
        <v>2431</v>
      </c>
      <c r="H1424" t="s">
        <v>2432</v>
      </c>
      <c r="I1424" t="s">
        <v>2433</v>
      </c>
      <c r="J1424" t="s">
        <v>2434</v>
      </c>
    </row>
    <row r="1425" spans="1:10" ht="15" customHeight="1" x14ac:dyDescent="0.2">
      <c r="A1425" s="420">
        <v>45811</v>
      </c>
      <c r="B1425" t="s">
        <v>2532</v>
      </c>
      <c r="C1425" t="s">
        <v>4097</v>
      </c>
      <c r="D1425" t="s">
        <v>4099</v>
      </c>
      <c r="E1425" t="s">
        <v>4100</v>
      </c>
      <c r="G1425">
        <v>281.37</v>
      </c>
      <c r="I1425">
        <v>281.37</v>
      </c>
      <c r="J1425" t="s">
        <v>2511</v>
      </c>
    </row>
    <row r="1426" spans="1:10" ht="15" customHeight="1" x14ac:dyDescent="0.2">
      <c r="A1426" s="420">
        <v>45813</v>
      </c>
      <c r="B1426" t="s">
        <v>2333</v>
      </c>
      <c r="C1426" t="s">
        <v>4097</v>
      </c>
      <c r="D1426" t="s">
        <v>4101</v>
      </c>
      <c r="E1426" t="s">
        <v>4102</v>
      </c>
      <c r="F1426">
        <v>281.37</v>
      </c>
      <c r="J1426" t="s">
        <v>2511</v>
      </c>
    </row>
    <row r="1427" spans="1:10" ht="15" customHeight="1" x14ac:dyDescent="0.2">
      <c r="A1427" s="420">
        <v>45999</v>
      </c>
      <c r="B1427" t="s">
        <v>2532</v>
      </c>
      <c r="C1427" t="s">
        <v>4097</v>
      </c>
      <c r="D1427" t="s">
        <v>4103</v>
      </c>
      <c r="E1427" t="s">
        <v>574</v>
      </c>
      <c r="G1427">
        <v>472.02</v>
      </c>
      <c r="I1427">
        <v>472.02</v>
      </c>
      <c r="J1427" t="s">
        <v>2509</v>
      </c>
    </row>
    <row r="1428" spans="1:10" ht="15" customHeight="1" x14ac:dyDescent="0.2">
      <c r="A1428" s="420">
        <v>46001</v>
      </c>
      <c r="B1428" t="s">
        <v>2333</v>
      </c>
      <c r="C1428" t="s">
        <v>4097</v>
      </c>
      <c r="D1428" t="s">
        <v>4104</v>
      </c>
      <c r="E1428" t="s">
        <v>4102</v>
      </c>
      <c r="F1428">
        <v>472.02</v>
      </c>
      <c r="J1428" t="s">
        <v>2509</v>
      </c>
    </row>
    <row r="1429" spans="1:10" ht="15" customHeight="1" x14ac:dyDescent="0.2">
      <c r="A1429" t="s">
        <v>4097</v>
      </c>
      <c r="E1429" t="s">
        <v>349</v>
      </c>
      <c r="F1429">
        <v>753.39</v>
      </c>
      <c r="G1429">
        <v>753.39</v>
      </c>
    </row>
    <row r="1431" spans="1:10" ht="15" customHeight="1" x14ac:dyDescent="0.2">
      <c r="A1431" t="s">
        <v>4105</v>
      </c>
      <c r="B1431" t="s">
        <v>4106</v>
      </c>
      <c r="F1431" t="s">
        <v>2430</v>
      </c>
      <c r="G1431" t="s">
        <v>2431</v>
      </c>
      <c r="H1431" t="s">
        <v>2432</v>
      </c>
      <c r="I1431" t="s">
        <v>2433</v>
      </c>
      <c r="J1431" t="s">
        <v>2434</v>
      </c>
    </row>
    <row r="1432" spans="1:10" ht="15" customHeight="1" x14ac:dyDescent="0.2">
      <c r="A1432" s="420">
        <v>45671</v>
      </c>
      <c r="B1432" t="s">
        <v>2547</v>
      </c>
      <c r="C1432" t="s">
        <v>4105</v>
      </c>
      <c r="D1432" t="s">
        <v>4107</v>
      </c>
      <c r="E1432" t="s">
        <v>1444</v>
      </c>
      <c r="G1432">
        <v>100</v>
      </c>
      <c r="I1432">
        <v>100</v>
      </c>
      <c r="J1432" t="s">
        <v>2511</v>
      </c>
    </row>
    <row r="1433" spans="1:10" ht="15" customHeight="1" x14ac:dyDescent="0.2">
      <c r="A1433" s="420">
        <v>45672</v>
      </c>
      <c r="B1433" t="s">
        <v>2333</v>
      </c>
      <c r="C1433" t="s">
        <v>4105</v>
      </c>
      <c r="D1433" t="s">
        <v>4108</v>
      </c>
      <c r="E1433" t="s">
        <v>4109</v>
      </c>
      <c r="F1433">
        <v>100</v>
      </c>
      <c r="J1433" t="s">
        <v>2511</v>
      </c>
    </row>
    <row r="1434" spans="1:10" ht="15" customHeight="1" x14ac:dyDescent="0.2">
      <c r="A1434" t="s">
        <v>4105</v>
      </c>
      <c r="E1434" t="s">
        <v>349</v>
      </c>
      <c r="F1434">
        <v>100</v>
      </c>
      <c r="G1434">
        <v>100</v>
      </c>
    </row>
    <row r="1436" spans="1:10" ht="15" customHeight="1" x14ac:dyDescent="0.2">
      <c r="A1436" t="s">
        <v>4110</v>
      </c>
      <c r="B1436" t="s">
        <v>4111</v>
      </c>
      <c r="F1436" t="s">
        <v>2430</v>
      </c>
      <c r="G1436" t="s">
        <v>2431</v>
      </c>
      <c r="H1436" t="s">
        <v>2432</v>
      </c>
      <c r="I1436" t="s">
        <v>2433</v>
      </c>
      <c r="J1436" t="s">
        <v>2434</v>
      </c>
    </row>
    <row r="1437" spans="1:10" ht="15" customHeight="1" x14ac:dyDescent="0.2">
      <c r="A1437" s="420">
        <v>45667</v>
      </c>
      <c r="B1437" t="s">
        <v>2532</v>
      </c>
      <c r="C1437" t="s">
        <v>4110</v>
      </c>
      <c r="D1437" t="s">
        <v>4112</v>
      </c>
      <c r="E1437" t="s">
        <v>1743</v>
      </c>
      <c r="G1437">
        <v>86</v>
      </c>
      <c r="I1437">
        <v>86</v>
      </c>
      <c r="J1437" t="s">
        <v>2511</v>
      </c>
    </row>
    <row r="1438" spans="1:10" ht="15" customHeight="1" x14ac:dyDescent="0.2">
      <c r="A1438" s="420">
        <v>45670</v>
      </c>
      <c r="B1438" t="s">
        <v>2333</v>
      </c>
      <c r="C1438" t="s">
        <v>4110</v>
      </c>
      <c r="D1438" t="s">
        <v>4113</v>
      </c>
      <c r="E1438" t="s">
        <v>4114</v>
      </c>
      <c r="F1438">
        <v>86</v>
      </c>
      <c r="J1438" t="s">
        <v>2511</v>
      </c>
    </row>
    <row r="1439" spans="1:10" ht="15" customHeight="1" x14ac:dyDescent="0.2">
      <c r="A1439" t="s">
        <v>4110</v>
      </c>
      <c r="E1439" t="s">
        <v>349</v>
      </c>
      <c r="F1439">
        <v>86</v>
      </c>
      <c r="G1439">
        <v>86</v>
      </c>
    </row>
    <row r="1441" spans="1:10" ht="15" customHeight="1" x14ac:dyDescent="0.2">
      <c r="A1441" t="s">
        <v>4115</v>
      </c>
      <c r="B1441" t="s">
        <v>4116</v>
      </c>
      <c r="F1441" t="s">
        <v>2430</v>
      </c>
      <c r="G1441" t="s">
        <v>2431</v>
      </c>
      <c r="H1441" t="s">
        <v>2432</v>
      </c>
      <c r="I1441" t="s">
        <v>2433</v>
      </c>
      <c r="J1441" t="s">
        <v>2434</v>
      </c>
    </row>
    <row r="1442" spans="1:10" ht="15" customHeight="1" x14ac:dyDescent="0.2">
      <c r="A1442" s="420">
        <v>45663</v>
      </c>
      <c r="B1442" t="s">
        <v>2532</v>
      </c>
      <c r="C1442" t="s">
        <v>4115</v>
      </c>
      <c r="D1442" t="s">
        <v>4117</v>
      </c>
      <c r="E1442" t="s">
        <v>1074</v>
      </c>
      <c r="G1442">
        <v>129.6</v>
      </c>
      <c r="I1442">
        <v>129.6</v>
      </c>
      <c r="J1442" t="s">
        <v>2511</v>
      </c>
    </row>
    <row r="1443" spans="1:10" ht="15" customHeight="1" x14ac:dyDescent="0.2">
      <c r="A1443" s="420">
        <v>45744</v>
      </c>
      <c r="B1443" t="s">
        <v>2333</v>
      </c>
      <c r="C1443" t="s">
        <v>4115</v>
      </c>
      <c r="D1443" t="s">
        <v>4118</v>
      </c>
      <c r="E1443" t="s">
        <v>4119</v>
      </c>
      <c r="F1443">
        <v>129.6</v>
      </c>
      <c r="J1443" t="s">
        <v>2511</v>
      </c>
    </row>
    <row r="1444" spans="1:10" ht="15" customHeight="1" x14ac:dyDescent="0.2">
      <c r="A1444" t="s">
        <v>4115</v>
      </c>
      <c r="E1444" t="s">
        <v>349</v>
      </c>
      <c r="F1444">
        <v>129.6</v>
      </c>
      <c r="G1444">
        <v>129.6</v>
      </c>
    </row>
    <row r="1446" spans="1:10" ht="15" customHeight="1" x14ac:dyDescent="0.2">
      <c r="A1446" t="s">
        <v>4120</v>
      </c>
      <c r="B1446" t="s">
        <v>2276</v>
      </c>
      <c r="F1446" t="s">
        <v>2430</v>
      </c>
      <c r="G1446" t="s">
        <v>2431</v>
      </c>
      <c r="H1446" t="s">
        <v>2432</v>
      </c>
      <c r="I1446" t="s">
        <v>2433</v>
      </c>
      <c r="J1446" t="s">
        <v>2434</v>
      </c>
    </row>
    <row r="1447" spans="1:10" ht="15" customHeight="1" x14ac:dyDescent="0.2">
      <c r="A1447" s="420">
        <v>45838</v>
      </c>
      <c r="B1447" t="s">
        <v>2532</v>
      </c>
      <c r="C1447" t="s">
        <v>4120</v>
      </c>
      <c r="D1447" t="s">
        <v>4121</v>
      </c>
      <c r="E1447" t="s">
        <v>1514</v>
      </c>
      <c r="G1447">
        <v>13.99</v>
      </c>
      <c r="I1447">
        <v>13.99</v>
      </c>
      <c r="J1447" t="s">
        <v>2511</v>
      </c>
    </row>
    <row r="1448" spans="1:10" ht="15" customHeight="1" x14ac:dyDescent="0.2">
      <c r="A1448" s="420">
        <v>45839</v>
      </c>
      <c r="B1448" t="s">
        <v>2333</v>
      </c>
      <c r="C1448" t="s">
        <v>4120</v>
      </c>
      <c r="D1448" t="s">
        <v>4122</v>
      </c>
      <c r="E1448" t="s">
        <v>4123</v>
      </c>
      <c r="F1448">
        <v>13.99</v>
      </c>
      <c r="J1448" t="s">
        <v>2585</v>
      </c>
    </row>
    <row r="1449" spans="1:10" ht="15" customHeight="1" x14ac:dyDescent="0.2">
      <c r="A1449" s="420">
        <v>45839</v>
      </c>
      <c r="B1449" t="s">
        <v>2532</v>
      </c>
      <c r="C1449" t="s">
        <v>4120</v>
      </c>
      <c r="D1449" t="s">
        <v>4124</v>
      </c>
      <c r="E1449" t="s">
        <v>1514</v>
      </c>
      <c r="G1449">
        <v>13.99</v>
      </c>
      <c r="I1449">
        <v>13.99</v>
      </c>
      <c r="J1449" t="s">
        <v>2585</v>
      </c>
    </row>
    <row r="1450" spans="1:10" ht="15" customHeight="1" x14ac:dyDescent="0.2">
      <c r="A1450" s="420">
        <v>45843</v>
      </c>
      <c r="B1450" t="s">
        <v>2532</v>
      </c>
      <c r="C1450" t="s">
        <v>4120</v>
      </c>
      <c r="D1450" t="s">
        <v>4125</v>
      </c>
      <c r="E1450" t="s">
        <v>1532</v>
      </c>
      <c r="G1450">
        <v>19.8</v>
      </c>
      <c r="I1450">
        <v>33.79</v>
      </c>
      <c r="J1450" t="s">
        <v>2509</v>
      </c>
    </row>
    <row r="1451" spans="1:10" ht="15" customHeight="1" x14ac:dyDescent="0.2">
      <c r="A1451" s="420">
        <v>45843</v>
      </c>
      <c r="B1451" t="s">
        <v>2547</v>
      </c>
      <c r="C1451" t="s">
        <v>4120</v>
      </c>
      <c r="D1451" t="s">
        <v>4126</v>
      </c>
      <c r="E1451" t="s">
        <v>1533</v>
      </c>
      <c r="G1451">
        <v>1.19</v>
      </c>
      <c r="I1451">
        <v>34.979999999999997</v>
      </c>
      <c r="J1451" t="s">
        <v>2509</v>
      </c>
    </row>
    <row r="1452" spans="1:10" ht="15" customHeight="1" x14ac:dyDescent="0.2">
      <c r="A1452" s="420">
        <v>45845</v>
      </c>
      <c r="B1452" t="s">
        <v>2333</v>
      </c>
      <c r="C1452" t="s">
        <v>4120</v>
      </c>
      <c r="D1452" t="s">
        <v>4127</v>
      </c>
      <c r="E1452" t="s">
        <v>4128</v>
      </c>
      <c r="F1452">
        <v>1.19</v>
      </c>
      <c r="I1452">
        <v>33.79</v>
      </c>
      <c r="J1452" t="s">
        <v>2509</v>
      </c>
    </row>
    <row r="1453" spans="1:10" ht="15" customHeight="1" x14ac:dyDescent="0.2">
      <c r="A1453" s="420">
        <v>45845</v>
      </c>
      <c r="B1453" t="s">
        <v>2333</v>
      </c>
      <c r="C1453" t="s">
        <v>4120</v>
      </c>
      <c r="D1453" t="s">
        <v>4129</v>
      </c>
      <c r="E1453" t="s">
        <v>4130</v>
      </c>
      <c r="F1453">
        <v>19.8</v>
      </c>
      <c r="I1453">
        <v>13.99</v>
      </c>
      <c r="J1453" t="s">
        <v>2509</v>
      </c>
    </row>
    <row r="1454" spans="1:10" ht="15" customHeight="1" x14ac:dyDescent="0.2">
      <c r="A1454" s="420">
        <v>45869</v>
      </c>
      <c r="B1454" t="s">
        <v>2333</v>
      </c>
      <c r="C1454" t="s">
        <v>4120</v>
      </c>
      <c r="D1454" t="s">
        <v>4131</v>
      </c>
      <c r="E1454" t="s">
        <v>4123</v>
      </c>
      <c r="F1454">
        <v>13.99</v>
      </c>
      <c r="J1454" t="s">
        <v>2511</v>
      </c>
    </row>
    <row r="1455" spans="1:10" ht="15" customHeight="1" x14ac:dyDescent="0.2">
      <c r="A1455" s="420">
        <v>45899</v>
      </c>
      <c r="B1455" t="s">
        <v>2532</v>
      </c>
      <c r="C1455" t="s">
        <v>4120</v>
      </c>
      <c r="D1455" t="s">
        <v>4132</v>
      </c>
      <c r="E1455" t="s">
        <v>1555</v>
      </c>
      <c r="G1455">
        <v>13.99</v>
      </c>
      <c r="I1455">
        <v>13.99</v>
      </c>
      <c r="J1455" t="s">
        <v>2513</v>
      </c>
    </row>
    <row r="1456" spans="1:10" ht="15" customHeight="1" x14ac:dyDescent="0.2">
      <c r="A1456" s="420">
        <v>45901</v>
      </c>
      <c r="B1456" t="s">
        <v>2333</v>
      </c>
      <c r="C1456" t="s">
        <v>4120</v>
      </c>
      <c r="D1456" t="s">
        <v>4133</v>
      </c>
      <c r="E1456" t="s">
        <v>4134</v>
      </c>
      <c r="F1456">
        <v>13.99</v>
      </c>
      <c r="J1456" t="s">
        <v>2513</v>
      </c>
    </row>
    <row r="1457" spans="1:10" ht="15" customHeight="1" x14ac:dyDescent="0.2">
      <c r="A1457" s="420">
        <v>45930</v>
      </c>
      <c r="B1457" t="s">
        <v>2333</v>
      </c>
      <c r="C1457" t="s">
        <v>4120</v>
      </c>
      <c r="D1457" t="s">
        <v>4135</v>
      </c>
      <c r="E1457" t="s">
        <v>4134</v>
      </c>
      <c r="F1457">
        <v>13.99</v>
      </c>
      <c r="H1457">
        <v>13.99</v>
      </c>
      <c r="J1457" t="s">
        <v>2513</v>
      </c>
    </row>
    <row r="1458" spans="1:10" ht="15" customHeight="1" x14ac:dyDescent="0.2">
      <c r="A1458" s="420">
        <v>45930</v>
      </c>
      <c r="B1458" t="s">
        <v>2532</v>
      </c>
      <c r="C1458" t="s">
        <v>4120</v>
      </c>
      <c r="D1458" t="s">
        <v>4136</v>
      </c>
      <c r="E1458" t="s">
        <v>1576</v>
      </c>
      <c r="G1458">
        <v>13.99</v>
      </c>
      <c r="J1458" t="s">
        <v>2513</v>
      </c>
    </row>
    <row r="1459" spans="1:10" ht="15" customHeight="1" x14ac:dyDescent="0.2">
      <c r="A1459" s="420">
        <v>45960</v>
      </c>
      <c r="B1459" t="s">
        <v>2333</v>
      </c>
      <c r="C1459" t="s">
        <v>4120</v>
      </c>
      <c r="D1459" t="s">
        <v>4137</v>
      </c>
      <c r="E1459" t="s">
        <v>4134</v>
      </c>
      <c r="F1459">
        <v>13.99</v>
      </c>
      <c r="H1459">
        <v>13.99</v>
      </c>
      <c r="J1459" t="s">
        <v>2586</v>
      </c>
    </row>
    <row r="1460" spans="1:10" ht="15" customHeight="1" x14ac:dyDescent="0.2">
      <c r="A1460" s="420">
        <v>45960</v>
      </c>
      <c r="B1460" t="s">
        <v>2532</v>
      </c>
      <c r="C1460" t="s">
        <v>4120</v>
      </c>
      <c r="D1460" t="s">
        <v>4138</v>
      </c>
      <c r="E1460" t="s">
        <v>1586</v>
      </c>
      <c r="G1460">
        <v>13.99</v>
      </c>
      <c r="J1460" t="s">
        <v>2586</v>
      </c>
    </row>
    <row r="1461" spans="1:10" ht="15" customHeight="1" x14ac:dyDescent="0.2">
      <c r="A1461" t="s">
        <v>4120</v>
      </c>
      <c r="E1461" t="s">
        <v>349</v>
      </c>
      <c r="F1461">
        <v>90.94</v>
      </c>
      <c r="G1461">
        <v>90.94</v>
      </c>
    </row>
    <row r="1463" spans="1:10" ht="15" customHeight="1" x14ac:dyDescent="0.2">
      <c r="A1463" t="s">
        <v>4139</v>
      </c>
      <c r="B1463" t="s">
        <v>2275</v>
      </c>
      <c r="F1463" t="s">
        <v>2430</v>
      </c>
      <c r="G1463" t="s">
        <v>2431</v>
      </c>
      <c r="H1463" t="s">
        <v>2432</v>
      </c>
      <c r="I1463" t="s">
        <v>2433</v>
      </c>
      <c r="J1463" t="s">
        <v>2434</v>
      </c>
    </row>
    <row r="1464" spans="1:10" ht="15" customHeight="1" x14ac:dyDescent="0.2">
      <c r="A1464" s="420">
        <v>45662</v>
      </c>
      <c r="B1464" t="s">
        <v>2532</v>
      </c>
      <c r="C1464" t="s">
        <v>4139</v>
      </c>
      <c r="D1464" t="s">
        <v>4140</v>
      </c>
      <c r="E1464" t="s">
        <v>1295</v>
      </c>
      <c r="G1464">
        <v>16.8</v>
      </c>
      <c r="I1464">
        <v>16.8</v>
      </c>
      <c r="J1464" t="s">
        <v>2511</v>
      </c>
    </row>
    <row r="1465" spans="1:10" ht="15" customHeight="1" x14ac:dyDescent="0.2">
      <c r="A1465" s="420">
        <v>45663</v>
      </c>
      <c r="B1465" t="s">
        <v>2333</v>
      </c>
      <c r="C1465" t="s">
        <v>4139</v>
      </c>
      <c r="D1465" t="s">
        <v>4141</v>
      </c>
      <c r="E1465" t="s">
        <v>4142</v>
      </c>
      <c r="F1465">
        <v>16.8</v>
      </c>
      <c r="J1465" t="s">
        <v>2511</v>
      </c>
    </row>
    <row r="1466" spans="1:10" ht="15" customHeight="1" x14ac:dyDescent="0.2">
      <c r="A1466" s="420">
        <v>45693</v>
      </c>
      <c r="B1466" t="s">
        <v>2333</v>
      </c>
      <c r="C1466" t="s">
        <v>4139</v>
      </c>
      <c r="D1466" t="s">
        <v>4143</v>
      </c>
      <c r="E1466" t="s">
        <v>4144</v>
      </c>
      <c r="F1466">
        <v>16.8</v>
      </c>
      <c r="H1466">
        <v>16.8</v>
      </c>
      <c r="J1466" t="s">
        <v>2509</v>
      </c>
    </row>
    <row r="1467" spans="1:10" ht="15" customHeight="1" x14ac:dyDescent="0.2">
      <c r="A1467" s="420">
        <v>45693</v>
      </c>
      <c r="B1467" t="s">
        <v>2532</v>
      </c>
      <c r="C1467" t="s">
        <v>4139</v>
      </c>
      <c r="D1467" t="s">
        <v>4145</v>
      </c>
      <c r="E1467" t="s">
        <v>1310</v>
      </c>
      <c r="G1467">
        <v>16.8</v>
      </c>
      <c r="J1467" t="s">
        <v>2509</v>
      </c>
    </row>
    <row r="1468" spans="1:10" ht="15" customHeight="1" x14ac:dyDescent="0.2">
      <c r="A1468" s="420">
        <v>45752</v>
      </c>
      <c r="B1468" t="s">
        <v>2532</v>
      </c>
      <c r="C1468" t="s">
        <v>4139</v>
      </c>
      <c r="D1468" t="s">
        <v>4146</v>
      </c>
      <c r="E1468" t="s">
        <v>1342</v>
      </c>
      <c r="G1468">
        <v>16.8</v>
      </c>
      <c r="I1468">
        <v>16.8</v>
      </c>
      <c r="J1468" t="s">
        <v>2513</v>
      </c>
    </row>
    <row r="1469" spans="1:10" ht="15" customHeight="1" x14ac:dyDescent="0.2">
      <c r="A1469" s="420">
        <v>45754</v>
      </c>
      <c r="B1469" t="s">
        <v>2333</v>
      </c>
      <c r="C1469" t="s">
        <v>4139</v>
      </c>
      <c r="D1469" t="s">
        <v>4147</v>
      </c>
      <c r="E1469" t="s">
        <v>4148</v>
      </c>
      <c r="F1469">
        <v>16.8</v>
      </c>
      <c r="J1469" t="s">
        <v>2513</v>
      </c>
    </row>
    <row r="1470" spans="1:10" ht="15" customHeight="1" x14ac:dyDescent="0.2">
      <c r="A1470" s="420">
        <v>45782</v>
      </c>
      <c r="B1470" t="s">
        <v>2532</v>
      </c>
      <c r="C1470" t="s">
        <v>4139</v>
      </c>
      <c r="D1470" t="s">
        <v>4149</v>
      </c>
      <c r="E1470" t="s">
        <v>4150</v>
      </c>
      <c r="G1470">
        <v>16.8</v>
      </c>
      <c r="I1470">
        <v>16.8</v>
      </c>
      <c r="J1470" t="s">
        <v>2585</v>
      </c>
    </row>
    <row r="1471" spans="1:10" ht="15" customHeight="1" x14ac:dyDescent="0.2">
      <c r="A1471" s="420">
        <v>45783</v>
      </c>
      <c r="B1471" t="s">
        <v>2333</v>
      </c>
      <c r="C1471" t="s">
        <v>4139</v>
      </c>
      <c r="D1471" t="s">
        <v>4151</v>
      </c>
      <c r="E1471" t="s">
        <v>4152</v>
      </c>
      <c r="F1471">
        <v>16.8</v>
      </c>
      <c r="J1471" t="s">
        <v>2585</v>
      </c>
    </row>
    <row r="1472" spans="1:10" ht="15" customHeight="1" x14ac:dyDescent="0.2">
      <c r="A1472" s="420">
        <v>45808</v>
      </c>
      <c r="B1472" t="s">
        <v>2547</v>
      </c>
      <c r="C1472" t="s">
        <v>4139</v>
      </c>
      <c r="D1472" t="s">
        <v>4153</v>
      </c>
      <c r="E1472" t="s">
        <v>1366</v>
      </c>
      <c r="G1472">
        <v>16.8</v>
      </c>
      <c r="I1472">
        <v>16.8</v>
      </c>
      <c r="J1472" t="s">
        <v>2586</v>
      </c>
    </row>
    <row r="1473" spans="1:10" ht="15" customHeight="1" x14ac:dyDescent="0.2">
      <c r="A1473" s="420">
        <v>45813</v>
      </c>
      <c r="B1473" t="s">
        <v>2333</v>
      </c>
      <c r="C1473" t="s">
        <v>4139</v>
      </c>
      <c r="D1473" t="s">
        <v>4154</v>
      </c>
      <c r="E1473" t="s">
        <v>4155</v>
      </c>
      <c r="F1473">
        <v>16.8</v>
      </c>
      <c r="J1473" t="s">
        <v>2586</v>
      </c>
    </row>
    <row r="1474" spans="1:10" ht="15" customHeight="1" x14ac:dyDescent="0.2">
      <c r="A1474" s="420">
        <v>45905</v>
      </c>
      <c r="B1474" t="s">
        <v>2333</v>
      </c>
      <c r="C1474" t="s">
        <v>4139</v>
      </c>
      <c r="D1474" t="s">
        <v>4156</v>
      </c>
      <c r="E1474" t="s">
        <v>4157</v>
      </c>
      <c r="F1474">
        <v>18.46</v>
      </c>
      <c r="H1474">
        <v>18.46</v>
      </c>
      <c r="J1474" t="s">
        <v>2603</v>
      </c>
    </row>
    <row r="1475" spans="1:10" ht="15" customHeight="1" x14ac:dyDescent="0.2">
      <c r="A1475" s="420">
        <v>45905</v>
      </c>
      <c r="B1475" t="s">
        <v>2532</v>
      </c>
      <c r="C1475" t="s">
        <v>4139</v>
      </c>
      <c r="D1475" t="s">
        <v>4158</v>
      </c>
      <c r="E1475" t="s">
        <v>1396</v>
      </c>
      <c r="G1475">
        <v>18.46</v>
      </c>
      <c r="J1475" t="s">
        <v>2603</v>
      </c>
    </row>
    <row r="1476" spans="1:10" ht="15" customHeight="1" x14ac:dyDescent="0.2">
      <c r="A1476" s="420">
        <v>45928</v>
      </c>
      <c r="B1476" t="s">
        <v>2532</v>
      </c>
      <c r="C1476" t="s">
        <v>4139</v>
      </c>
      <c r="D1476" t="s">
        <v>4159</v>
      </c>
      <c r="E1476" t="s">
        <v>1402</v>
      </c>
      <c r="G1476">
        <v>842.4</v>
      </c>
      <c r="I1476">
        <v>842.4</v>
      </c>
      <c r="J1476" t="s">
        <v>2587</v>
      </c>
    </row>
    <row r="1477" spans="1:10" ht="15" customHeight="1" x14ac:dyDescent="0.2">
      <c r="A1477" s="420">
        <v>45929</v>
      </c>
      <c r="B1477" t="s">
        <v>2333</v>
      </c>
      <c r="C1477" t="s">
        <v>4139</v>
      </c>
      <c r="D1477" t="s">
        <v>4160</v>
      </c>
      <c r="E1477" t="s">
        <v>4161</v>
      </c>
      <c r="F1477">
        <v>842.4</v>
      </c>
      <c r="J1477" t="s">
        <v>2587</v>
      </c>
    </row>
    <row r="1478" spans="1:10" ht="15" customHeight="1" x14ac:dyDescent="0.2">
      <c r="A1478" t="s">
        <v>4139</v>
      </c>
      <c r="E1478" t="s">
        <v>349</v>
      </c>
      <c r="F1478">
        <v>944.86</v>
      </c>
      <c r="G1478">
        <v>944.86</v>
      </c>
    </row>
    <row r="1480" spans="1:10" ht="15" customHeight="1" x14ac:dyDescent="0.2">
      <c r="A1480" t="s">
        <v>4162</v>
      </c>
      <c r="B1480" t="s">
        <v>1327</v>
      </c>
      <c r="F1480" t="s">
        <v>2430</v>
      </c>
      <c r="G1480" t="s">
        <v>2431</v>
      </c>
      <c r="H1480" t="s">
        <v>2432</v>
      </c>
      <c r="I1480" t="s">
        <v>2433</v>
      </c>
      <c r="J1480" t="s">
        <v>2434</v>
      </c>
    </row>
    <row r="1481" spans="1:10" ht="15" customHeight="1" x14ac:dyDescent="0.2">
      <c r="A1481" s="420">
        <v>45721</v>
      </c>
      <c r="B1481" t="s">
        <v>2547</v>
      </c>
      <c r="C1481" t="s">
        <v>4162</v>
      </c>
      <c r="D1481" t="s">
        <v>4163</v>
      </c>
      <c r="E1481" t="s">
        <v>1327</v>
      </c>
      <c r="G1481">
        <v>16.8</v>
      </c>
      <c r="I1481">
        <v>16.8</v>
      </c>
      <c r="J1481" t="s">
        <v>2511</v>
      </c>
    </row>
    <row r="1482" spans="1:10" ht="15" customHeight="1" x14ac:dyDescent="0.2">
      <c r="A1482" s="420">
        <v>45722</v>
      </c>
      <c r="B1482" t="s">
        <v>2333</v>
      </c>
      <c r="C1482" t="s">
        <v>4162</v>
      </c>
      <c r="D1482" t="s">
        <v>4164</v>
      </c>
      <c r="E1482" t="s">
        <v>4165</v>
      </c>
      <c r="F1482">
        <v>16.8</v>
      </c>
      <c r="J1482" t="s">
        <v>2511</v>
      </c>
    </row>
    <row r="1483" spans="1:10" ht="15" customHeight="1" x14ac:dyDescent="0.2">
      <c r="A1483" t="s">
        <v>4162</v>
      </c>
      <c r="E1483" t="s">
        <v>349</v>
      </c>
      <c r="F1483">
        <v>16.8</v>
      </c>
      <c r="G1483">
        <v>16.8</v>
      </c>
    </row>
    <row r="1485" spans="1:10" ht="15" customHeight="1" x14ac:dyDescent="0.2">
      <c r="A1485" t="s">
        <v>4166</v>
      </c>
      <c r="B1485" t="s">
        <v>1111</v>
      </c>
      <c r="F1485" t="s">
        <v>2430</v>
      </c>
      <c r="G1485" t="s">
        <v>2431</v>
      </c>
      <c r="H1485" t="s">
        <v>2432</v>
      </c>
      <c r="I1485" t="s">
        <v>2433</v>
      </c>
      <c r="J1485" t="s">
        <v>2434</v>
      </c>
    </row>
    <row r="1486" spans="1:10" ht="15" customHeight="1" x14ac:dyDescent="0.2">
      <c r="A1486" s="420">
        <v>45658</v>
      </c>
      <c r="B1486" t="s">
        <v>2435</v>
      </c>
      <c r="C1486" t="s">
        <v>4166</v>
      </c>
      <c r="D1486" t="s">
        <v>2436</v>
      </c>
      <c r="E1486" t="s">
        <v>4167</v>
      </c>
      <c r="G1486">
        <v>2052</v>
      </c>
      <c r="I1486">
        <v>2052</v>
      </c>
      <c r="J1486" t="s">
        <v>2513</v>
      </c>
    </row>
    <row r="1487" spans="1:10" ht="15" customHeight="1" x14ac:dyDescent="0.2">
      <c r="A1487" s="420">
        <v>45658</v>
      </c>
      <c r="B1487" t="s">
        <v>2435</v>
      </c>
      <c r="C1487" t="s">
        <v>4166</v>
      </c>
      <c r="D1487" t="s">
        <v>2436</v>
      </c>
      <c r="E1487" t="s">
        <v>4168</v>
      </c>
      <c r="F1487">
        <v>12600</v>
      </c>
      <c r="H1487">
        <v>10548</v>
      </c>
      <c r="J1487" t="s">
        <v>2511</v>
      </c>
    </row>
    <row r="1488" spans="1:10" ht="15" customHeight="1" x14ac:dyDescent="0.2">
      <c r="A1488" s="420">
        <v>45658</v>
      </c>
      <c r="B1488" t="s">
        <v>2435</v>
      </c>
      <c r="C1488" t="s">
        <v>4166</v>
      </c>
      <c r="D1488" t="s">
        <v>2436</v>
      </c>
      <c r="E1488" t="s">
        <v>4169</v>
      </c>
      <c r="G1488">
        <v>200</v>
      </c>
      <c r="H1488">
        <v>10348</v>
      </c>
      <c r="J1488" t="s">
        <v>2511</v>
      </c>
    </row>
    <row r="1489" spans="1:10" ht="15" customHeight="1" x14ac:dyDescent="0.2">
      <c r="A1489" s="420">
        <v>45658</v>
      </c>
      <c r="B1489" t="s">
        <v>2435</v>
      </c>
      <c r="C1489" t="s">
        <v>4166</v>
      </c>
      <c r="D1489" t="s">
        <v>2436</v>
      </c>
      <c r="E1489" t="s">
        <v>4170</v>
      </c>
      <c r="G1489">
        <v>396.29</v>
      </c>
      <c r="H1489">
        <v>9951.7099999999991</v>
      </c>
      <c r="J1489" t="s">
        <v>2511</v>
      </c>
    </row>
    <row r="1490" spans="1:10" ht="15" customHeight="1" x14ac:dyDescent="0.2">
      <c r="A1490" s="420">
        <v>45658</v>
      </c>
      <c r="B1490" t="s">
        <v>2435</v>
      </c>
      <c r="C1490" t="s">
        <v>4166</v>
      </c>
      <c r="D1490" t="s">
        <v>2436</v>
      </c>
      <c r="E1490" t="s">
        <v>4171</v>
      </c>
      <c r="G1490">
        <v>161.82</v>
      </c>
      <c r="H1490">
        <v>9789.89</v>
      </c>
      <c r="J1490" t="s">
        <v>2511</v>
      </c>
    </row>
    <row r="1491" spans="1:10" ht="15" customHeight="1" x14ac:dyDescent="0.2">
      <c r="A1491" s="420">
        <v>45658</v>
      </c>
      <c r="B1491" t="s">
        <v>2435</v>
      </c>
      <c r="C1491" t="s">
        <v>4166</v>
      </c>
      <c r="D1491" t="s">
        <v>2436</v>
      </c>
      <c r="E1491" t="s">
        <v>4172</v>
      </c>
      <c r="G1491">
        <v>102</v>
      </c>
      <c r="H1491">
        <v>9687.89</v>
      </c>
      <c r="J1491" t="s">
        <v>2509</v>
      </c>
    </row>
    <row r="1492" spans="1:10" ht="15" customHeight="1" x14ac:dyDescent="0.2">
      <c r="A1492" s="420">
        <v>45658</v>
      </c>
      <c r="B1492" t="s">
        <v>2435</v>
      </c>
      <c r="C1492" t="s">
        <v>4166</v>
      </c>
      <c r="D1492" t="s">
        <v>2436</v>
      </c>
      <c r="E1492" t="s">
        <v>4173</v>
      </c>
      <c r="G1492">
        <v>102</v>
      </c>
      <c r="H1492">
        <v>9585.89</v>
      </c>
      <c r="J1492" t="s">
        <v>2509</v>
      </c>
    </row>
    <row r="1493" spans="1:10" ht="15" customHeight="1" x14ac:dyDescent="0.2">
      <c r="A1493" s="420">
        <v>45658</v>
      </c>
      <c r="B1493" t="s">
        <v>2435</v>
      </c>
      <c r="C1493" t="s">
        <v>4166</v>
      </c>
      <c r="D1493" t="s">
        <v>2436</v>
      </c>
      <c r="E1493" t="s">
        <v>4174</v>
      </c>
      <c r="G1493">
        <v>54</v>
      </c>
      <c r="H1493">
        <v>9531.89</v>
      </c>
      <c r="J1493" t="s">
        <v>2509</v>
      </c>
    </row>
    <row r="1494" spans="1:10" ht="15" customHeight="1" x14ac:dyDescent="0.2">
      <c r="A1494" s="420">
        <v>45658</v>
      </c>
      <c r="B1494" t="s">
        <v>2435</v>
      </c>
      <c r="C1494" t="s">
        <v>4166</v>
      </c>
      <c r="D1494" t="s">
        <v>2436</v>
      </c>
      <c r="E1494" t="s">
        <v>4175</v>
      </c>
      <c r="G1494">
        <v>102</v>
      </c>
      <c r="H1494">
        <v>9429.89</v>
      </c>
      <c r="J1494" t="s">
        <v>2509</v>
      </c>
    </row>
    <row r="1495" spans="1:10" ht="15" customHeight="1" x14ac:dyDescent="0.2">
      <c r="A1495" s="420">
        <v>45658</v>
      </c>
      <c r="B1495" t="s">
        <v>2435</v>
      </c>
      <c r="C1495" t="s">
        <v>4166</v>
      </c>
      <c r="D1495" t="s">
        <v>2436</v>
      </c>
      <c r="E1495" t="s">
        <v>4176</v>
      </c>
      <c r="G1495">
        <v>102</v>
      </c>
      <c r="H1495">
        <v>9327.89</v>
      </c>
      <c r="J1495" t="s">
        <v>2509</v>
      </c>
    </row>
    <row r="1496" spans="1:10" ht="15" customHeight="1" x14ac:dyDescent="0.2">
      <c r="A1496" s="420">
        <v>45658</v>
      </c>
      <c r="B1496" t="s">
        <v>2435</v>
      </c>
      <c r="C1496" t="s">
        <v>4166</v>
      </c>
      <c r="D1496" t="s">
        <v>2436</v>
      </c>
      <c r="E1496" t="s">
        <v>4177</v>
      </c>
      <c r="G1496">
        <v>102</v>
      </c>
      <c r="H1496">
        <v>9225.89</v>
      </c>
      <c r="J1496" t="s">
        <v>2509</v>
      </c>
    </row>
    <row r="1497" spans="1:10" ht="15" customHeight="1" x14ac:dyDescent="0.2">
      <c r="A1497" s="420">
        <v>45658</v>
      </c>
      <c r="B1497" t="s">
        <v>2435</v>
      </c>
      <c r="C1497" t="s">
        <v>4166</v>
      </c>
      <c r="D1497" t="s">
        <v>2436</v>
      </c>
      <c r="E1497" t="s">
        <v>4178</v>
      </c>
      <c r="G1497">
        <v>54</v>
      </c>
      <c r="H1497">
        <v>9171.89</v>
      </c>
      <c r="J1497" t="s">
        <v>2509</v>
      </c>
    </row>
    <row r="1498" spans="1:10" ht="15" customHeight="1" x14ac:dyDescent="0.2">
      <c r="A1498" s="420">
        <v>45658</v>
      </c>
      <c r="B1498" t="s">
        <v>2435</v>
      </c>
      <c r="C1498" t="s">
        <v>4166</v>
      </c>
      <c r="D1498" t="s">
        <v>2436</v>
      </c>
      <c r="E1498" t="s">
        <v>4179</v>
      </c>
      <c r="G1498">
        <v>54</v>
      </c>
      <c r="H1498">
        <v>9117.89</v>
      </c>
      <c r="J1498" t="s">
        <v>2509</v>
      </c>
    </row>
    <row r="1499" spans="1:10" ht="15" customHeight="1" x14ac:dyDescent="0.2">
      <c r="A1499" s="420">
        <v>45658</v>
      </c>
      <c r="B1499" t="s">
        <v>2547</v>
      </c>
      <c r="C1499" t="s">
        <v>4166</v>
      </c>
      <c r="D1499" t="s">
        <v>4180</v>
      </c>
      <c r="E1499" t="s">
        <v>1063</v>
      </c>
      <c r="G1499">
        <v>54</v>
      </c>
      <c r="H1499">
        <v>9063.89</v>
      </c>
      <c r="J1499" t="s">
        <v>2586</v>
      </c>
    </row>
    <row r="1500" spans="1:10" ht="15" customHeight="1" x14ac:dyDescent="0.2">
      <c r="A1500" s="420">
        <v>45658</v>
      </c>
      <c r="B1500" t="s">
        <v>2547</v>
      </c>
      <c r="C1500" t="s">
        <v>4166</v>
      </c>
      <c r="D1500" t="s">
        <v>4181</v>
      </c>
      <c r="E1500" t="s">
        <v>1064</v>
      </c>
      <c r="G1500">
        <v>102</v>
      </c>
      <c r="H1500">
        <v>8961.89</v>
      </c>
      <c r="J1500" t="s">
        <v>2586</v>
      </c>
    </row>
    <row r="1501" spans="1:10" ht="15" customHeight="1" x14ac:dyDescent="0.2">
      <c r="A1501" s="420">
        <v>45658</v>
      </c>
      <c r="B1501" t="s">
        <v>2547</v>
      </c>
      <c r="C1501" t="s">
        <v>4166</v>
      </c>
      <c r="D1501" t="s">
        <v>4182</v>
      </c>
      <c r="E1501" t="s">
        <v>1065</v>
      </c>
      <c r="G1501">
        <v>102</v>
      </c>
      <c r="H1501">
        <v>8859.89</v>
      </c>
      <c r="J1501" t="s">
        <v>2586</v>
      </c>
    </row>
    <row r="1502" spans="1:10" ht="15" customHeight="1" x14ac:dyDescent="0.2">
      <c r="A1502" s="420">
        <v>45660</v>
      </c>
      <c r="B1502" t="s">
        <v>2532</v>
      </c>
      <c r="C1502" t="s">
        <v>4166</v>
      </c>
      <c r="D1502" t="s">
        <v>4183</v>
      </c>
      <c r="E1502" t="s">
        <v>4184</v>
      </c>
      <c r="G1502">
        <v>1728</v>
      </c>
      <c r="H1502">
        <v>7131.89</v>
      </c>
      <c r="J1502" t="s">
        <v>2513</v>
      </c>
    </row>
    <row r="1503" spans="1:10" ht="15" customHeight="1" x14ac:dyDescent="0.2">
      <c r="A1503" s="420">
        <v>45687</v>
      </c>
      <c r="B1503" t="s">
        <v>2333</v>
      </c>
      <c r="C1503" t="s">
        <v>4166</v>
      </c>
      <c r="D1503" t="s">
        <v>4185</v>
      </c>
      <c r="E1503" t="s">
        <v>4186</v>
      </c>
      <c r="F1503">
        <v>672</v>
      </c>
      <c r="H1503">
        <v>7803.89</v>
      </c>
      <c r="J1503" t="s">
        <v>2509</v>
      </c>
    </row>
    <row r="1504" spans="1:10" ht="15" customHeight="1" x14ac:dyDescent="0.2">
      <c r="A1504" s="420">
        <v>45688</v>
      </c>
      <c r="B1504" t="s">
        <v>2532</v>
      </c>
      <c r="C1504" t="s">
        <v>4166</v>
      </c>
      <c r="D1504" t="s">
        <v>4187</v>
      </c>
      <c r="E1504" t="s">
        <v>1075</v>
      </c>
      <c r="G1504">
        <v>300</v>
      </c>
      <c r="H1504">
        <v>7503.89</v>
      </c>
      <c r="J1504" t="s">
        <v>2587</v>
      </c>
    </row>
    <row r="1505" spans="1:10" ht="15" customHeight="1" x14ac:dyDescent="0.2">
      <c r="A1505" s="420">
        <v>45688</v>
      </c>
      <c r="B1505" t="s">
        <v>2532</v>
      </c>
      <c r="C1505" t="s">
        <v>4166</v>
      </c>
      <c r="D1505" t="s">
        <v>4188</v>
      </c>
      <c r="E1505" t="s">
        <v>1076</v>
      </c>
      <c r="G1505">
        <v>804.32</v>
      </c>
      <c r="H1505">
        <v>6699.57</v>
      </c>
      <c r="J1505" t="s">
        <v>2587</v>
      </c>
    </row>
    <row r="1506" spans="1:10" ht="15" customHeight="1" x14ac:dyDescent="0.2">
      <c r="A1506" s="420">
        <v>45688</v>
      </c>
      <c r="B1506" t="s">
        <v>2532</v>
      </c>
      <c r="C1506" t="s">
        <v>4166</v>
      </c>
      <c r="D1506" t="s">
        <v>4189</v>
      </c>
      <c r="E1506" t="s">
        <v>1077</v>
      </c>
      <c r="G1506">
        <v>480</v>
      </c>
      <c r="H1506">
        <v>6219.57</v>
      </c>
      <c r="J1506" t="s">
        <v>2587</v>
      </c>
    </row>
    <row r="1507" spans="1:10" ht="15" customHeight="1" x14ac:dyDescent="0.2">
      <c r="A1507" s="420">
        <v>45688</v>
      </c>
      <c r="B1507" t="s">
        <v>2532</v>
      </c>
      <c r="C1507" t="s">
        <v>4166</v>
      </c>
      <c r="D1507" t="s">
        <v>4190</v>
      </c>
      <c r="E1507" t="s">
        <v>1078</v>
      </c>
      <c r="G1507">
        <v>300</v>
      </c>
      <c r="H1507">
        <v>5919.57</v>
      </c>
      <c r="J1507" t="s">
        <v>2587</v>
      </c>
    </row>
    <row r="1508" spans="1:10" ht="15" customHeight="1" x14ac:dyDescent="0.2">
      <c r="A1508" s="420">
        <v>45691</v>
      </c>
      <c r="B1508" t="s">
        <v>2333</v>
      </c>
      <c r="C1508" t="s">
        <v>4166</v>
      </c>
      <c r="D1508" t="s">
        <v>4191</v>
      </c>
      <c r="E1508" t="s">
        <v>4192</v>
      </c>
      <c r="G1508">
        <v>11841.89</v>
      </c>
      <c r="I1508">
        <v>5922.32</v>
      </c>
      <c r="J1508" t="s">
        <v>2511</v>
      </c>
    </row>
    <row r="1509" spans="1:10" ht="15" customHeight="1" x14ac:dyDescent="0.2">
      <c r="A1509" s="420">
        <v>45695</v>
      </c>
      <c r="B1509" t="s">
        <v>2532</v>
      </c>
      <c r="C1509" t="s">
        <v>4166</v>
      </c>
      <c r="D1509" t="s">
        <v>4193</v>
      </c>
      <c r="E1509" t="s">
        <v>1454</v>
      </c>
      <c r="G1509">
        <v>50</v>
      </c>
      <c r="I1509">
        <v>5972.32</v>
      </c>
      <c r="J1509" t="s">
        <v>2585</v>
      </c>
    </row>
    <row r="1510" spans="1:10" ht="15" customHeight="1" x14ac:dyDescent="0.2">
      <c r="A1510" s="420">
        <v>45715</v>
      </c>
      <c r="B1510" t="s">
        <v>2333</v>
      </c>
      <c r="C1510" t="s">
        <v>4166</v>
      </c>
      <c r="D1510" t="s">
        <v>4194</v>
      </c>
      <c r="E1510" t="s">
        <v>4195</v>
      </c>
      <c r="F1510">
        <v>3780</v>
      </c>
      <c r="I1510">
        <v>2192.3200000000002</v>
      </c>
      <c r="J1510" t="s">
        <v>2513</v>
      </c>
    </row>
    <row r="1511" spans="1:10" ht="15" customHeight="1" x14ac:dyDescent="0.2">
      <c r="A1511" s="420">
        <v>45715</v>
      </c>
      <c r="B1511" t="s">
        <v>2333</v>
      </c>
      <c r="C1511" t="s">
        <v>4166</v>
      </c>
      <c r="D1511" t="s">
        <v>4196</v>
      </c>
      <c r="E1511" t="s">
        <v>4197</v>
      </c>
      <c r="F1511">
        <v>258</v>
      </c>
      <c r="I1511">
        <v>1934.32</v>
      </c>
      <c r="J1511" t="s">
        <v>2586</v>
      </c>
    </row>
    <row r="1512" spans="1:10" ht="15" customHeight="1" x14ac:dyDescent="0.2">
      <c r="A1512" s="420">
        <v>45716</v>
      </c>
      <c r="B1512" t="s">
        <v>2532</v>
      </c>
      <c r="C1512" t="s">
        <v>4166</v>
      </c>
      <c r="D1512" t="s">
        <v>4198</v>
      </c>
      <c r="E1512" t="s">
        <v>1470</v>
      </c>
      <c r="G1512">
        <v>50</v>
      </c>
      <c r="I1512">
        <v>1984.32</v>
      </c>
      <c r="J1512" t="s">
        <v>2603</v>
      </c>
    </row>
    <row r="1513" spans="1:10" ht="15" customHeight="1" x14ac:dyDescent="0.2">
      <c r="A1513" s="420">
        <v>45716</v>
      </c>
      <c r="B1513" t="s">
        <v>2532</v>
      </c>
      <c r="C1513" t="s">
        <v>4166</v>
      </c>
      <c r="D1513" t="s">
        <v>4199</v>
      </c>
      <c r="E1513" t="s">
        <v>1080</v>
      </c>
      <c r="G1513">
        <v>54</v>
      </c>
      <c r="I1513">
        <v>2038.32</v>
      </c>
      <c r="J1513" t="s">
        <v>2599</v>
      </c>
    </row>
    <row r="1514" spans="1:10" ht="15" customHeight="1" x14ac:dyDescent="0.2">
      <c r="A1514" s="420">
        <v>45716</v>
      </c>
      <c r="B1514" t="s">
        <v>2532</v>
      </c>
      <c r="C1514" t="s">
        <v>4166</v>
      </c>
      <c r="D1514" t="s">
        <v>4200</v>
      </c>
      <c r="E1514" t="s">
        <v>1081</v>
      </c>
      <c r="G1514">
        <v>72</v>
      </c>
      <c r="I1514">
        <v>2110.3200000000002</v>
      </c>
      <c r="J1514" t="s">
        <v>2599</v>
      </c>
    </row>
    <row r="1515" spans="1:10" ht="15" customHeight="1" x14ac:dyDescent="0.2">
      <c r="A1515" s="420">
        <v>45716</v>
      </c>
      <c r="B1515" t="s">
        <v>2532</v>
      </c>
      <c r="C1515" t="s">
        <v>4166</v>
      </c>
      <c r="D1515" t="s">
        <v>4201</v>
      </c>
      <c r="E1515" t="s">
        <v>1082</v>
      </c>
      <c r="G1515">
        <v>804.32</v>
      </c>
      <c r="I1515">
        <v>2914.64</v>
      </c>
      <c r="J1515" t="s">
        <v>2599</v>
      </c>
    </row>
    <row r="1516" spans="1:10" ht="15" customHeight="1" x14ac:dyDescent="0.2">
      <c r="A1516" s="420">
        <v>45716</v>
      </c>
      <c r="B1516" t="s">
        <v>2532</v>
      </c>
      <c r="C1516" t="s">
        <v>4166</v>
      </c>
      <c r="D1516" t="s">
        <v>4202</v>
      </c>
      <c r="E1516" t="s">
        <v>1083</v>
      </c>
      <c r="G1516">
        <v>300</v>
      </c>
      <c r="I1516">
        <v>3214.64</v>
      </c>
      <c r="J1516" t="s">
        <v>2599</v>
      </c>
    </row>
    <row r="1517" spans="1:10" ht="15" customHeight="1" x14ac:dyDescent="0.2">
      <c r="A1517" s="420">
        <v>45716</v>
      </c>
      <c r="B1517" t="s">
        <v>2532</v>
      </c>
      <c r="C1517" t="s">
        <v>4166</v>
      </c>
      <c r="D1517" t="s">
        <v>4203</v>
      </c>
      <c r="E1517" t="s">
        <v>1084</v>
      </c>
      <c r="G1517">
        <v>264.16000000000003</v>
      </c>
      <c r="I1517">
        <v>3478.8</v>
      </c>
      <c r="J1517" t="s">
        <v>2599</v>
      </c>
    </row>
    <row r="1518" spans="1:10" ht="15" customHeight="1" x14ac:dyDescent="0.2">
      <c r="A1518" s="420">
        <v>45744</v>
      </c>
      <c r="B1518" t="s">
        <v>2333</v>
      </c>
      <c r="C1518" t="s">
        <v>4166</v>
      </c>
      <c r="D1518" t="s">
        <v>4204</v>
      </c>
      <c r="E1518" t="s">
        <v>4205</v>
      </c>
      <c r="F1518">
        <v>50</v>
      </c>
      <c r="I1518">
        <v>3428.8</v>
      </c>
      <c r="J1518" t="s">
        <v>2585</v>
      </c>
    </row>
    <row r="1519" spans="1:10" ht="15" customHeight="1" x14ac:dyDescent="0.2">
      <c r="A1519" s="420">
        <v>45744</v>
      </c>
      <c r="B1519" t="s">
        <v>2333</v>
      </c>
      <c r="C1519" t="s">
        <v>4166</v>
      </c>
      <c r="D1519" t="s">
        <v>4206</v>
      </c>
      <c r="E1519" t="s">
        <v>4207</v>
      </c>
      <c r="F1519">
        <v>1884.32</v>
      </c>
      <c r="I1519">
        <v>1544.48</v>
      </c>
      <c r="J1519" t="s">
        <v>2587</v>
      </c>
    </row>
    <row r="1520" spans="1:10" ht="15" customHeight="1" x14ac:dyDescent="0.2">
      <c r="A1520" s="420">
        <v>45747</v>
      </c>
      <c r="B1520" t="s">
        <v>2532</v>
      </c>
      <c r="C1520" t="s">
        <v>4166</v>
      </c>
      <c r="D1520" t="s">
        <v>4208</v>
      </c>
      <c r="E1520" t="s">
        <v>469</v>
      </c>
      <c r="G1520">
        <v>384.01</v>
      </c>
      <c r="I1520">
        <v>1928.49</v>
      </c>
      <c r="J1520" t="s">
        <v>2604</v>
      </c>
    </row>
    <row r="1521" spans="1:10" ht="15" customHeight="1" x14ac:dyDescent="0.2">
      <c r="A1521" s="420">
        <v>45747</v>
      </c>
      <c r="B1521" t="s">
        <v>2532</v>
      </c>
      <c r="C1521" t="s">
        <v>4166</v>
      </c>
      <c r="D1521" t="s">
        <v>4209</v>
      </c>
      <c r="E1521" t="s">
        <v>1091</v>
      </c>
      <c r="G1521">
        <v>127.2</v>
      </c>
      <c r="I1521">
        <v>2055.69</v>
      </c>
      <c r="J1521" t="s">
        <v>2600</v>
      </c>
    </row>
    <row r="1522" spans="1:10" ht="15" customHeight="1" x14ac:dyDescent="0.2">
      <c r="A1522" s="420">
        <v>45747</v>
      </c>
      <c r="B1522" t="s">
        <v>2532</v>
      </c>
      <c r="C1522" t="s">
        <v>4166</v>
      </c>
      <c r="D1522" t="s">
        <v>4210</v>
      </c>
      <c r="E1522" t="s">
        <v>1092</v>
      </c>
      <c r="G1522">
        <v>804.32</v>
      </c>
      <c r="I1522">
        <v>2860.01</v>
      </c>
      <c r="J1522" t="s">
        <v>2600</v>
      </c>
    </row>
    <row r="1523" spans="1:10" ht="15" customHeight="1" x14ac:dyDescent="0.2">
      <c r="A1523" s="420">
        <v>45776</v>
      </c>
      <c r="B1523" t="s">
        <v>2333</v>
      </c>
      <c r="C1523" t="s">
        <v>4166</v>
      </c>
      <c r="D1523" t="s">
        <v>4211</v>
      </c>
      <c r="E1523" t="s">
        <v>4212</v>
      </c>
      <c r="F1523">
        <v>50</v>
      </c>
      <c r="I1523">
        <v>2810.01</v>
      </c>
      <c r="J1523" t="s">
        <v>2603</v>
      </c>
    </row>
    <row r="1524" spans="1:10" ht="15" customHeight="1" x14ac:dyDescent="0.2">
      <c r="A1524" s="420">
        <v>45776</v>
      </c>
      <c r="B1524" t="s">
        <v>2333</v>
      </c>
      <c r="C1524" t="s">
        <v>4166</v>
      </c>
      <c r="D1524" t="s">
        <v>4213</v>
      </c>
      <c r="E1524" t="s">
        <v>4214</v>
      </c>
      <c r="F1524">
        <v>1494.48</v>
      </c>
      <c r="I1524">
        <v>1315.53</v>
      </c>
      <c r="J1524" t="s">
        <v>2599</v>
      </c>
    </row>
    <row r="1525" spans="1:10" ht="15" customHeight="1" x14ac:dyDescent="0.2">
      <c r="A1525" s="420">
        <v>45777</v>
      </c>
      <c r="B1525" t="s">
        <v>2532</v>
      </c>
      <c r="C1525" t="s">
        <v>4166</v>
      </c>
      <c r="D1525" t="s">
        <v>4215</v>
      </c>
      <c r="E1525" t="s">
        <v>1100</v>
      </c>
      <c r="G1525">
        <v>804.32</v>
      </c>
      <c r="I1525">
        <v>2119.85</v>
      </c>
      <c r="J1525" t="s">
        <v>2601</v>
      </c>
    </row>
    <row r="1526" spans="1:10" ht="15" customHeight="1" x14ac:dyDescent="0.2">
      <c r="A1526" s="420">
        <v>45777</v>
      </c>
      <c r="B1526" t="s">
        <v>2532</v>
      </c>
      <c r="C1526" t="s">
        <v>4166</v>
      </c>
      <c r="D1526" t="s">
        <v>4216</v>
      </c>
      <c r="E1526" t="s">
        <v>1101</v>
      </c>
      <c r="G1526">
        <v>264.16000000000003</v>
      </c>
      <c r="I1526">
        <v>2384.0100000000002</v>
      </c>
      <c r="J1526" t="s">
        <v>2601</v>
      </c>
    </row>
    <row r="1527" spans="1:10" ht="15" customHeight="1" x14ac:dyDescent="0.2">
      <c r="A1527" s="420">
        <v>45777</v>
      </c>
      <c r="B1527" t="s">
        <v>2532</v>
      </c>
      <c r="C1527" t="s">
        <v>4166</v>
      </c>
      <c r="D1527" t="s">
        <v>4217</v>
      </c>
      <c r="E1527" t="s">
        <v>1102</v>
      </c>
      <c r="G1527">
        <v>804.32</v>
      </c>
      <c r="I1527">
        <v>3188.33</v>
      </c>
      <c r="J1527" t="s">
        <v>2601</v>
      </c>
    </row>
    <row r="1528" spans="1:10" ht="15" customHeight="1" x14ac:dyDescent="0.2">
      <c r="A1528" s="420">
        <v>45777</v>
      </c>
      <c r="B1528" t="s">
        <v>2532</v>
      </c>
      <c r="C1528" t="s">
        <v>4166</v>
      </c>
      <c r="D1528" t="s">
        <v>4218</v>
      </c>
      <c r="E1528" t="s">
        <v>482</v>
      </c>
      <c r="G1528">
        <v>67.37</v>
      </c>
      <c r="I1528">
        <v>3255.7</v>
      </c>
      <c r="J1528" t="s">
        <v>2602</v>
      </c>
    </row>
    <row r="1529" spans="1:10" ht="15" customHeight="1" x14ac:dyDescent="0.2">
      <c r="A1529" s="420">
        <v>45804</v>
      </c>
      <c r="B1529" t="s">
        <v>2333</v>
      </c>
      <c r="C1529" t="s">
        <v>4166</v>
      </c>
      <c r="D1529" t="s">
        <v>4219</v>
      </c>
      <c r="E1529" t="s">
        <v>4220</v>
      </c>
      <c r="F1529">
        <v>384.01</v>
      </c>
      <c r="I1529">
        <v>2871.69</v>
      </c>
      <c r="J1529" t="s">
        <v>2604</v>
      </c>
    </row>
    <row r="1530" spans="1:10" ht="15" customHeight="1" x14ac:dyDescent="0.2">
      <c r="A1530" s="420">
        <v>45804</v>
      </c>
      <c r="B1530" t="s">
        <v>2333</v>
      </c>
      <c r="C1530" t="s">
        <v>4166</v>
      </c>
      <c r="D1530" t="s">
        <v>4221</v>
      </c>
      <c r="E1530" t="s">
        <v>4222</v>
      </c>
      <c r="F1530">
        <v>931.52</v>
      </c>
      <c r="I1530">
        <v>1940.17</v>
      </c>
      <c r="J1530" t="s">
        <v>2600</v>
      </c>
    </row>
    <row r="1531" spans="1:10" ht="15" customHeight="1" x14ac:dyDescent="0.2">
      <c r="A1531" s="420">
        <v>45835</v>
      </c>
      <c r="B1531" t="s">
        <v>2333</v>
      </c>
      <c r="C1531" t="s">
        <v>4166</v>
      </c>
      <c r="D1531" t="s">
        <v>4223</v>
      </c>
      <c r="E1531" t="s">
        <v>4224</v>
      </c>
      <c r="F1531">
        <v>804.32</v>
      </c>
      <c r="I1531">
        <v>1135.8499999999999</v>
      </c>
      <c r="J1531" t="s">
        <v>2601</v>
      </c>
    </row>
    <row r="1532" spans="1:10" ht="15" customHeight="1" x14ac:dyDescent="0.2">
      <c r="A1532" s="420">
        <v>45835</v>
      </c>
      <c r="B1532" t="s">
        <v>2333</v>
      </c>
      <c r="C1532" t="s">
        <v>4166</v>
      </c>
      <c r="D1532" t="s">
        <v>4223</v>
      </c>
      <c r="E1532" t="s">
        <v>4224</v>
      </c>
      <c r="F1532">
        <v>804.32</v>
      </c>
      <c r="I1532">
        <v>331.53</v>
      </c>
      <c r="J1532" t="s">
        <v>2601</v>
      </c>
    </row>
    <row r="1533" spans="1:10" ht="15" customHeight="1" x14ac:dyDescent="0.2">
      <c r="A1533" s="420">
        <v>45835</v>
      </c>
      <c r="B1533" t="s">
        <v>2333</v>
      </c>
      <c r="C1533" t="s">
        <v>4166</v>
      </c>
      <c r="D1533" t="s">
        <v>4223</v>
      </c>
      <c r="E1533" t="s">
        <v>4224</v>
      </c>
      <c r="F1533">
        <v>264.16000000000003</v>
      </c>
      <c r="I1533">
        <v>67.37</v>
      </c>
      <c r="J1533" t="s">
        <v>2601</v>
      </c>
    </row>
    <row r="1534" spans="1:10" ht="15" customHeight="1" x14ac:dyDescent="0.2">
      <c r="A1534" s="420">
        <v>45835</v>
      </c>
      <c r="B1534" t="s">
        <v>2333</v>
      </c>
      <c r="C1534" t="s">
        <v>4166</v>
      </c>
      <c r="D1534" t="s">
        <v>4225</v>
      </c>
      <c r="E1534" t="s">
        <v>4226</v>
      </c>
      <c r="F1534">
        <v>67.37</v>
      </c>
      <c r="J1534" t="s">
        <v>2602</v>
      </c>
    </row>
    <row r="1535" spans="1:10" ht="15" customHeight="1" x14ac:dyDescent="0.2">
      <c r="A1535" s="420">
        <v>45838</v>
      </c>
      <c r="B1535" t="s">
        <v>2547</v>
      </c>
      <c r="C1535" t="s">
        <v>4166</v>
      </c>
      <c r="D1535" t="s">
        <v>4227</v>
      </c>
      <c r="E1535" t="s">
        <v>4228</v>
      </c>
      <c r="G1535">
        <v>2964</v>
      </c>
      <c r="I1535">
        <v>2964</v>
      </c>
      <c r="J1535" t="s">
        <v>2710</v>
      </c>
    </row>
    <row r="1536" spans="1:10" ht="15" customHeight="1" x14ac:dyDescent="0.2">
      <c r="A1536" s="420">
        <v>45839</v>
      </c>
      <c r="B1536" t="s">
        <v>2532</v>
      </c>
      <c r="C1536" t="s">
        <v>4166</v>
      </c>
      <c r="D1536" t="s">
        <v>4229</v>
      </c>
      <c r="E1536" t="s">
        <v>1111</v>
      </c>
      <c r="G1536">
        <v>804.32</v>
      </c>
      <c r="I1536">
        <v>3768.32</v>
      </c>
      <c r="J1536" t="s">
        <v>2605</v>
      </c>
    </row>
    <row r="1537" spans="1:10" ht="15" customHeight="1" x14ac:dyDescent="0.2">
      <c r="A1537" s="420">
        <v>45839</v>
      </c>
      <c r="B1537" t="s">
        <v>2547</v>
      </c>
      <c r="C1537" t="s">
        <v>4166</v>
      </c>
      <c r="D1537" t="s">
        <v>4230</v>
      </c>
      <c r="E1537" t="s">
        <v>1111</v>
      </c>
      <c r="G1537">
        <v>54</v>
      </c>
      <c r="I1537">
        <v>3822.32</v>
      </c>
      <c r="J1537" t="s">
        <v>2605</v>
      </c>
    </row>
    <row r="1538" spans="1:10" ht="15" customHeight="1" x14ac:dyDescent="0.2">
      <c r="A1538" s="420">
        <v>45839</v>
      </c>
      <c r="B1538" t="s">
        <v>2547</v>
      </c>
      <c r="C1538" t="s">
        <v>4166</v>
      </c>
      <c r="D1538" t="s">
        <v>4231</v>
      </c>
      <c r="E1538" t="s">
        <v>1111</v>
      </c>
      <c r="G1538">
        <v>72</v>
      </c>
      <c r="I1538">
        <v>3894.32</v>
      </c>
      <c r="J1538" t="s">
        <v>2605</v>
      </c>
    </row>
    <row r="1539" spans="1:10" ht="15" customHeight="1" x14ac:dyDescent="0.2">
      <c r="A1539" s="420">
        <v>45839</v>
      </c>
      <c r="B1539" t="s">
        <v>2547</v>
      </c>
      <c r="C1539" t="s">
        <v>4166</v>
      </c>
      <c r="D1539" t="s">
        <v>4232</v>
      </c>
      <c r="E1539" t="s">
        <v>1111</v>
      </c>
      <c r="G1539">
        <v>804.32</v>
      </c>
      <c r="I1539">
        <v>4698.6400000000003</v>
      </c>
      <c r="J1539" t="s">
        <v>2605</v>
      </c>
    </row>
    <row r="1540" spans="1:10" ht="15" customHeight="1" x14ac:dyDescent="0.2">
      <c r="A1540" s="420">
        <v>45839</v>
      </c>
      <c r="B1540" t="s">
        <v>2547</v>
      </c>
      <c r="C1540" t="s">
        <v>4166</v>
      </c>
      <c r="D1540" t="s">
        <v>4233</v>
      </c>
      <c r="E1540" t="s">
        <v>1111</v>
      </c>
      <c r="G1540">
        <v>804.32</v>
      </c>
      <c r="I1540">
        <v>5502.96</v>
      </c>
      <c r="J1540" t="s">
        <v>2605</v>
      </c>
    </row>
    <row r="1541" spans="1:10" ht="15" customHeight="1" x14ac:dyDescent="0.2">
      <c r="A1541" s="420">
        <v>45839</v>
      </c>
      <c r="B1541" t="s">
        <v>2547</v>
      </c>
      <c r="C1541" t="s">
        <v>4166</v>
      </c>
      <c r="D1541" t="s">
        <v>4234</v>
      </c>
      <c r="E1541" t="s">
        <v>1111</v>
      </c>
      <c r="G1541">
        <v>804.32</v>
      </c>
      <c r="I1541">
        <v>6307.28</v>
      </c>
      <c r="J1541" t="s">
        <v>2605</v>
      </c>
    </row>
    <row r="1542" spans="1:10" ht="15" customHeight="1" x14ac:dyDescent="0.2">
      <c r="A1542" s="420">
        <v>45839</v>
      </c>
      <c r="B1542" t="s">
        <v>2547</v>
      </c>
      <c r="C1542" t="s">
        <v>4166</v>
      </c>
      <c r="D1542" t="s">
        <v>4235</v>
      </c>
      <c r="E1542" t="s">
        <v>1111</v>
      </c>
      <c r="G1542">
        <v>804.32</v>
      </c>
      <c r="I1542">
        <v>7111.6</v>
      </c>
      <c r="J1542" t="s">
        <v>2605</v>
      </c>
    </row>
    <row r="1543" spans="1:10" ht="15" customHeight="1" x14ac:dyDescent="0.2">
      <c r="A1543" s="420">
        <v>45839</v>
      </c>
      <c r="B1543" t="s">
        <v>2547</v>
      </c>
      <c r="C1543" t="s">
        <v>4166</v>
      </c>
      <c r="D1543" t="s">
        <v>4236</v>
      </c>
      <c r="E1543" t="s">
        <v>1111</v>
      </c>
      <c r="G1543">
        <v>804.32</v>
      </c>
      <c r="I1543">
        <v>7915.92</v>
      </c>
      <c r="J1543" t="s">
        <v>2605</v>
      </c>
    </row>
    <row r="1544" spans="1:10" ht="15" customHeight="1" x14ac:dyDescent="0.2">
      <c r="A1544" s="420">
        <v>45839</v>
      </c>
      <c r="B1544" t="s">
        <v>2547</v>
      </c>
      <c r="C1544" t="s">
        <v>4166</v>
      </c>
      <c r="D1544" t="s">
        <v>4237</v>
      </c>
      <c r="E1544" t="s">
        <v>1111</v>
      </c>
      <c r="G1544">
        <v>804.32</v>
      </c>
      <c r="I1544">
        <v>8720.24</v>
      </c>
      <c r="J1544" t="s">
        <v>2605</v>
      </c>
    </row>
    <row r="1545" spans="1:10" ht="15" customHeight="1" x14ac:dyDescent="0.2">
      <c r="A1545" s="420">
        <v>45839</v>
      </c>
      <c r="B1545" t="s">
        <v>2547</v>
      </c>
      <c r="C1545" t="s">
        <v>4166</v>
      </c>
      <c r="D1545" t="s">
        <v>4238</v>
      </c>
      <c r="E1545" t="s">
        <v>1112</v>
      </c>
      <c r="G1545">
        <v>127.2</v>
      </c>
      <c r="I1545">
        <v>8847.44</v>
      </c>
      <c r="J1545" t="s">
        <v>2937</v>
      </c>
    </row>
    <row r="1546" spans="1:10" ht="15" customHeight="1" x14ac:dyDescent="0.2">
      <c r="A1546" s="420">
        <v>45839</v>
      </c>
      <c r="B1546" t="s">
        <v>2547</v>
      </c>
      <c r="C1546" t="s">
        <v>4166</v>
      </c>
      <c r="D1546" t="s">
        <v>4239</v>
      </c>
      <c r="E1546" t="s">
        <v>1113</v>
      </c>
      <c r="G1546">
        <v>300</v>
      </c>
      <c r="I1546">
        <v>9147.44</v>
      </c>
      <c r="J1546" t="s">
        <v>2719</v>
      </c>
    </row>
    <row r="1547" spans="1:10" ht="15" customHeight="1" x14ac:dyDescent="0.2">
      <c r="A1547" s="420">
        <v>45839</v>
      </c>
      <c r="B1547" t="s">
        <v>2547</v>
      </c>
      <c r="C1547" t="s">
        <v>4166</v>
      </c>
      <c r="D1547" t="s">
        <v>4240</v>
      </c>
      <c r="E1547" t="s">
        <v>1114</v>
      </c>
      <c r="G1547">
        <v>804.32</v>
      </c>
      <c r="I1547">
        <v>9951.76</v>
      </c>
      <c r="J1547" t="s">
        <v>2719</v>
      </c>
    </row>
    <row r="1548" spans="1:10" ht="15" customHeight="1" x14ac:dyDescent="0.2">
      <c r="A1548" s="420">
        <v>45839</v>
      </c>
      <c r="B1548" t="s">
        <v>2547</v>
      </c>
      <c r="C1548" t="s">
        <v>4166</v>
      </c>
      <c r="D1548" t="s">
        <v>4241</v>
      </c>
      <c r="E1548" t="s">
        <v>1115</v>
      </c>
      <c r="G1548">
        <v>127.2</v>
      </c>
      <c r="I1548">
        <v>10078.959999999999</v>
      </c>
      <c r="J1548" t="s">
        <v>2937</v>
      </c>
    </row>
    <row r="1549" spans="1:10" ht="15" customHeight="1" x14ac:dyDescent="0.2">
      <c r="A1549" s="420">
        <v>45839</v>
      </c>
      <c r="B1549" t="s">
        <v>2547</v>
      </c>
      <c r="C1549" t="s">
        <v>4166</v>
      </c>
      <c r="D1549" t="s">
        <v>4242</v>
      </c>
      <c r="E1549" t="s">
        <v>1116</v>
      </c>
      <c r="G1549">
        <v>804.32</v>
      </c>
      <c r="I1549">
        <v>10883.28</v>
      </c>
      <c r="J1549" t="s">
        <v>2719</v>
      </c>
    </row>
    <row r="1550" spans="1:10" ht="15" customHeight="1" x14ac:dyDescent="0.2">
      <c r="A1550" s="420">
        <v>45839</v>
      </c>
      <c r="B1550" t="s">
        <v>2547</v>
      </c>
      <c r="C1550" t="s">
        <v>4166</v>
      </c>
      <c r="D1550" t="s">
        <v>4243</v>
      </c>
      <c r="E1550" t="s">
        <v>1117</v>
      </c>
      <c r="G1550">
        <v>54</v>
      </c>
      <c r="I1550">
        <v>10937.28</v>
      </c>
      <c r="J1550" t="s">
        <v>2719</v>
      </c>
    </row>
    <row r="1551" spans="1:10" ht="15" customHeight="1" x14ac:dyDescent="0.2">
      <c r="A1551" s="420">
        <v>45868</v>
      </c>
      <c r="B1551" t="s">
        <v>2333</v>
      </c>
      <c r="C1551" t="s">
        <v>4166</v>
      </c>
      <c r="D1551" t="s">
        <v>4244</v>
      </c>
      <c r="E1551" t="s">
        <v>4245</v>
      </c>
      <c r="F1551">
        <v>5756.24</v>
      </c>
      <c r="I1551">
        <v>5181.04</v>
      </c>
      <c r="J1551" t="s">
        <v>2605</v>
      </c>
    </row>
    <row r="1552" spans="1:10" ht="15" customHeight="1" x14ac:dyDescent="0.2">
      <c r="A1552" s="420">
        <v>45869</v>
      </c>
      <c r="B1552" t="s">
        <v>2532</v>
      </c>
      <c r="C1552" t="s">
        <v>4166</v>
      </c>
      <c r="D1552" t="s">
        <v>4246</v>
      </c>
      <c r="E1552" t="s">
        <v>1123</v>
      </c>
      <c r="G1552">
        <v>804.32</v>
      </c>
      <c r="I1552">
        <v>5985.36</v>
      </c>
      <c r="J1552" t="s">
        <v>2715</v>
      </c>
    </row>
    <row r="1553" spans="1:10" ht="15" customHeight="1" x14ac:dyDescent="0.2">
      <c r="A1553" s="420">
        <v>45869</v>
      </c>
      <c r="B1553" t="s">
        <v>2532</v>
      </c>
      <c r="C1553" t="s">
        <v>4166</v>
      </c>
      <c r="D1553" t="s">
        <v>4247</v>
      </c>
      <c r="E1553" t="s">
        <v>1124</v>
      </c>
      <c r="G1553">
        <v>54</v>
      </c>
      <c r="I1553">
        <v>6039.36</v>
      </c>
      <c r="J1553" t="s">
        <v>2715</v>
      </c>
    </row>
    <row r="1554" spans="1:10" ht="15" customHeight="1" x14ac:dyDescent="0.2">
      <c r="A1554" s="420">
        <v>45869</v>
      </c>
      <c r="B1554" t="s">
        <v>2532</v>
      </c>
      <c r="C1554" t="s">
        <v>4166</v>
      </c>
      <c r="D1554" t="s">
        <v>4248</v>
      </c>
      <c r="E1554" t="s">
        <v>1125</v>
      </c>
      <c r="G1554">
        <v>804.32</v>
      </c>
      <c r="I1554">
        <v>6843.68</v>
      </c>
      <c r="J1554" t="s">
        <v>2715</v>
      </c>
    </row>
    <row r="1555" spans="1:10" ht="15" customHeight="1" x14ac:dyDescent="0.2">
      <c r="A1555" s="420">
        <v>45869</v>
      </c>
      <c r="B1555" t="s">
        <v>2532</v>
      </c>
      <c r="C1555" t="s">
        <v>4166</v>
      </c>
      <c r="D1555" t="s">
        <v>4249</v>
      </c>
      <c r="E1555" t="s">
        <v>1126</v>
      </c>
      <c r="G1555">
        <v>804.32</v>
      </c>
      <c r="I1555">
        <v>7648</v>
      </c>
      <c r="J1555" t="s">
        <v>2715</v>
      </c>
    </row>
    <row r="1556" spans="1:10" ht="15" customHeight="1" x14ac:dyDescent="0.2">
      <c r="A1556" s="420">
        <v>45869</v>
      </c>
      <c r="B1556" t="s">
        <v>2532</v>
      </c>
      <c r="C1556" t="s">
        <v>4166</v>
      </c>
      <c r="D1556" t="s">
        <v>4250</v>
      </c>
      <c r="E1556" t="s">
        <v>1127</v>
      </c>
      <c r="G1556">
        <v>54</v>
      </c>
      <c r="I1556">
        <v>7702</v>
      </c>
      <c r="J1556" t="s">
        <v>2715</v>
      </c>
    </row>
    <row r="1557" spans="1:10" ht="15" customHeight="1" x14ac:dyDescent="0.2">
      <c r="A1557" s="420">
        <v>45869</v>
      </c>
      <c r="B1557" t="s">
        <v>2532</v>
      </c>
      <c r="C1557" t="s">
        <v>4166</v>
      </c>
      <c r="D1557" t="s">
        <v>4251</v>
      </c>
      <c r="E1557" t="s">
        <v>1128</v>
      </c>
      <c r="G1557">
        <v>54</v>
      </c>
      <c r="I1557">
        <v>7756</v>
      </c>
      <c r="J1557" t="s">
        <v>2715</v>
      </c>
    </row>
    <row r="1558" spans="1:10" ht="15" customHeight="1" x14ac:dyDescent="0.2">
      <c r="A1558" s="420">
        <v>45869</v>
      </c>
      <c r="B1558" t="s">
        <v>2532</v>
      </c>
      <c r="C1558" t="s">
        <v>4166</v>
      </c>
      <c r="D1558" t="s">
        <v>4252</v>
      </c>
      <c r="E1558" t="s">
        <v>1129</v>
      </c>
      <c r="G1558">
        <v>127.2</v>
      </c>
      <c r="I1558">
        <v>7883.2</v>
      </c>
      <c r="J1558" t="s">
        <v>2715</v>
      </c>
    </row>
    <row r="1559" spans="1:10" ht="15" customHeight="1" x14ac:dyDescent="0.2">
      <c r="A1559" s="420">
        <v>45869</v>
      </c>
      <c r="B1559" t="s">
        <v>2532</v>
      </c>
      <c r="C1559" t="s">
        <v>4166</v>
      </c>
      <c r="D1559" t="s">
        <v>4253</v>
      </c>
      <c r="E1559" t="s">
        <v>1130</v>
      </c>
      <c r="G1559">
        <v>127.2</v>
      </c>
      <c r="I1559">
        <v>8010.4</v>
      </c>
      <c r="J1559" t="s">
        <v>2715</v>
      </c>
    </row>
    <row r="1560" spans="1:10" ht="15" customHeight="1" x14ac:dyDescent="0.2">
      <c r="A1560" s="420">
        <v>45869</v>
      </c>
      <c r="B1560" t="s">
        <v>2532</v>
      </c>
      <c r="C1560" t="s">
        <v>4166</v>
      </c>
      <c r="D1560" t="s">
        <v>4254</v>
      </c>
      <c r="E1560" t="s">
        <v>1131</v>
      </c>
      <c r="G1560">
        <v>804.32</v>
      </c>
      <c r="I1560">
        <v>8814.7199999999993</v>
      </c>
      <c r="J1560" t="s">
        <v>2715</v>
      </c>
    </row>
    <row r="1561" spans="1:10" ht="15" customHeight="1" x14ac:dyDescent="0.2">
      <c r="A1561" s="420">
        <v>45869</v>
      </c>
      <c r="B1561" t="s">
        <v>2532</v>
      </c>
      <c r="C1561" t="s">
        <v>4166</v>
      </c>
      <c r="D1561" t="s">
        <v>4255</v>
      </c>
      <c r="E1561" t="s">
        <v>1132</v>
      </c>
      <c r="G1561">
        <v>127.2</v>
      </c>
      <c r="I1561">
        <v>8941.92</v>
      </c>
      <c r="J1561" t="s">
        <v>2715</v>
      </c>
    </row>
    <row r="1562" spans="1:10" ht="15" customHeight="1" x14ac:dyDescent="0.2">
      <c r="A1562" s="420">
        <v>45898</v>
      </c>
      <c r="B1562" t="s">
        <v>2333</v>
      </c>
      <c r="C1562" t="s">
        <v>4166</v>
      </c>
      <c r="D1562" t="s">
        <v>4256</v>
      </c>
      <c r="E1562" t="s">
        <v>4257</v>
      </c>
      <c r="F1562">
        <v>1962.64</v>
      </c>
      <c r="I1562">
        <v>6979.28</v>
      </c>
      <c r="J1562" t="s">
        <v>2719</v>
      </c>
    </row>
    <row r="1563" spans="1:10" ht="15" customHeight="1" x14ac:dyDescent="0.2">
      <c r="A1563" s="420">
        <v>45898</v>
      </c>
      <c r="B1563" t="s">
        <v>2333</v>
      </c>
      <c r="C1563" t="s">
        <v>4166</v>
      </c>
      <c r="D1563" t="s">
        <v>4256</v>
      </c>
      <c r="E1563" t="s">
        <v>4257</v>
      </c>
      <c r="F1563">
        <v>127.2</v>
      </c>
      <c r="I1563">
        <v>6852.08</v>
      </c>
      <c r="J1563" t="s">
        <v>2937</v>
      </c>
    </row>
    <row r="1564" spans="1:10" ht="15" customHeight="1" x14ac:dyDescent="0.2">
      <c r="A1564" s="420">
        <v>45898</v>
      </c>
      <c r="B1564" t="s">
        <v>2333</v>
      </c>
      <c r="C1564" t="s">
        <v>4166</v>
      </c>
      <c r="D1564" t="s">
        <v>4256</v>
      </c>
      <c r="E1564" t="s">
        <v>4257</v>
      </c>
      <c r="F1564">
        <v>127.2</v>
      </c>
      <c r="I1564">
        <v>6724.88</v>
      </c>
      <c r="J1564" t="s">
        <v>2937</v>
      </c>
    </row>
    <row r="1565" spans="1:10" ht="15" customHeight="1" x14ac:dyDescent="0.2">
      <c r="A1565" s="420">
        <v>45898</v>
      </c>
      <c r="B1565" t="s">
        <v>2333</v>
      </c>
      <c r="C1565" t="s">
        <v>4166</v>
      </c>
      <c r="D1565" t="s">
        <v>4258</v>
      </c>
      <c r="E1565" t="s">
        <v>4259</v>
      </c>
      <c r="F1565">
        <v>2964</v>
      </c>
      <c r="I1565">
        <v>3760.88</v>
      </c>
      <c r="J1565" t="s">
        <v>2710</v>
      </c>
    </row>
    <row r="1566" spans="1:10" ht="15" customHeight="1" x14ac:dyDescent="0.2">
      <c r="A1566" s="420">
        <v>45901</v>
      </c>
      <c r="B1566" t="s">
        <v>2532</v>
      </c>
      <c r="C1566" t="s">
        <v>4166</v>
      </c>
      <c r="D1566" t="s">
        <v>4260</v>
      </c>
      <c r="E1566" t="s">
        <v>1925</v>
      </c>
      <c r="G1566">
        <v>533.27</v>
      </c>
      <c r="I1566">
        <v>4294.1499999999996</v>
      </c>
      <c r="J1566" t="s">
        <v>2743</v>
      </c>
    </row>
    <row r="1567" spans="1:10" ht="15" customHeight="1" x14ac:dyDescent="0.2">
      <c r="A1567" s="420">
        <v>45910</v>
      </c>
      <c r="B1567" t="s">
        <v>2532</v>
      </c>
      <c r="C1567" t="s">
        <v>4166</v>
      </c>
      <c r="D1567" t="s">
        <v>4261</v>
      </c>
      <c r="E1567" t="s">
        <v>1135</v>
      </c>
      <c r="G1567">
        <v>240</v>
      </c>
      <c r="I1567">
        <v>4534.1499999999996</v>
      </c>
      <c r="J1567" t="s">
        <v>2725</v>
      </c>
    </row>
    <row r="1568" spans="1:10" ht="15" customHeight="1" x14ac:dyDescent="0.2">
      <c r="A1568" s="420">
        <v>45910</v>
      </c>
      <c r="B1568" t="s">
        <v>2439</v>
      </c>
      <c r="C1568" t="s">
        <v>4166</v>
      </c>
      <c r="D1568" t="s">
        <v>4262</v>
      </c>
      <c r="E1568" t="s">
        <v>4263</v>
      </c>
      <c r="F1568">
        <v>240</v>
      </c>
      <c r="I1568">
        <v>4294.1499999999996</v>
      </c>
      <c r="J1568" t="s">
        <v>2725</v>
      </c>
    </row>
    <row r="1569" spans="1:10" ht="15" customHeight="1" x14ac:dyDescent="0.2">
      <c r="A1569" s="420">
        <v>45929</v>
      </c>
      <c r="B1569" t="s">
        <v>2333</v>
      </c>
      <c r="C1569" t="s">
        <v>4166</v>
      </c>
      <c r="D1569" t="s">
        <v>4264</v>
      </c>
      <c r="E1569" t="s">
        <v>4265</v>
      </c>
      <c r="F1569">
        <v>3760.88</v>
      </c>
      <c r="I1569">
        <v>533.27</v>
      </c>
      <c r="J1569" t="s">
        <v>2715</v>
      </c>
    </row>
    <row r="1570" spans="1:10" ht="15" customHeight="1" x14ac:dyDescent="0.2">
      <c r="A1570" s="420">
        <v>45930</v>
      </c>
      <c r="B1570" t="s">
        <v>2532</v>
      </c>
      <c r="C1570" t="s">
        <v>4166</v>
      </c>
      <c r="D1570" t="s">
        <v>4266</v>
      </c>
      <c r="E1570" t="s">
        <v>1136</v>
      </c>
      <c r="G1570">
        <v>804.32</v>
      </c>
      <c r="I1570">
        <v>1337.59</v>
      </c>
      <c r="J1570" t="s">
        <v>2739</v>
      </c>
    </row>
    <row r="1571" spans="1:10" ht="15" customHeight="1" x14ac:dyDescent="0.2">
      <c r="A1571" s="420">
        <v>45930</v>
      </c>
      <c r="B1571" t="s">
        <v>2532</v>
      </c>
      <c r="C1571" t="s">
        <v>4166</v>
      </c>
      <c r="D1571" t="s">
        <v>4267</v>
      </c>
      <c r="E1571" t="s">
        <v>1137</v>
      </c>
      <c r="G1571">
        <v>804.32</v>
      </c>
      <c r="I1571">
        <v>2141.91</v>
      </c>
      <c r="J1571" t="s">
        <v>2739</v>
      </c>
    </row>
    <row r="1572" spans="1:10" ht="15" customHeight="1" x14ac:dyDescent="0.2">
      <c r="A1572" s="420">
        <v>45930</v>
      </c>
      <c r="B1572" t="s">
        <v>2532</v>
      </c>
      <c r="C1572" t="s">
        <v>4166</v>
      </c>
      <c r="D1572" t="s">
        <v>4268</v>
      </c>
      <c r="E1572" t="s">
        <v>1138</v>
      </c>
      <c r="G1572">
        <v>54</v>
      </c>
      <c r="I1572">
        <v>2195.91</v>
      </c>
      <c r="J1572" t="s">
        <v>2739</v>
      </c>
    </row>
    <row r="1573" spans="1:10" ht="15" customHeight="1" x14ac:dyDescent="0.2">
      <c r="A1573" s="420">
        <v>45931</v>
      </c>
      <c r="B1573" t="s">
        <v>2532</v>
      </c>
      <c r="C1573" t="s">
        <v>4166</v>
      </c>
      <c r="D1573" t="s">
        <v>4269</v>
      </c>
      <c r="E1573" t="s">
        <v>1577</v>
      </c>
      <c r="G1573">
        <v>50</v>
      </c>
      <c r="I1573">
        <v>2245.91</v>
      </c>
      <c r="J1573" t="s">
        <v>2729</v>
      </c>
    </row>
    <row r="1574" spans="1:10" ht="15" customHeight="1" x14ac:dyDescent="0.2">
      <c r="A1574" s="420">
        <v>45960</v>
      </c>
      <c r="B1574" t="s">
        <v>2333</v>
      </c>
      <c r="C1574" t="s">
        <v>4166</v>
      </c>
      <c r="D1574" t="s">
        <v>4270</v>
      </c>
      <c r="E1574" t="s">
        <v>4271</v>
      </c>
      <c r="F1574">
        <v>533.27</v>
      </c>
      <c r="I1574">
        <v>1712.64</v>
      </c>
      <c r="J1574" t="s">
        <v>2743</v>
      </c>
    </row>
    <row r="1575" spans="1:10" ht="15" customHeight="1" x14ac:dyDescent="0.2">
      <c r="A1575" s="420">
        <v>45961</v>
      </c>
      <c r="B1575" t="s">
        <v>2532</v>
      </c>
      <c r="C1575" t="s">
        <v>4166</v>
      </c>
      <c r="D1575" t="s">
        <v>4272</v>
      </c>
      <c r="E1575" t="s">
        <v>1964</v>
      </c>
      <c r="G1575">
        <v>338.93</v>
      </c>
      <c r="I1575">
        <v>2051.5700000000002</v>
      </c>
      <c r="J1575" t="s">
        <v>2941</v>
      </c>
    </row>
    <row r="1576" spans="1:10" ht="15" customHeight="1" x14ac:dyDescent="0.2">
      <c r="A1576" s="420">
        <v>45961</v>
      </c>
      <c r="B1576" t="s">
        <v>2532</v>
      </c>
      <c r="C1576" t="s">
        <v>4166</v>
      </c>
      <c r="D1576" t="s">
        <v>4273</v>
      </c>
      <c r="E1576" t="s">
        <v>1590</v>
      </c>
      <c r="G1576">
        <v>800</v>
      </c>
      <c r="I1576">
        <v>2851.57</v>
      </c>
      <c r="J1576" t="s">
        <v>2941</v>
      </c>
    </row>
    <row r="1577" spans="1:10" ht="15" customHeight="1" x14ac:dyDescent="0.2">
      <c r="A1577" s="420">
        <v>45961</v>
      </c>
      <c r="B1577" t="s">
        <v>2532</v>
      </c>
      <c r="C1577" t="s">
        <v>4166</v>
      </c>
      <c r="D1577" t="s">
        <v>4274</v>
      </c>
      <c r="E1577" t="s">
        <v>1143</v>
      </c>
      <c r="G1577">
        <v>102</v>
      </c>
      <c r="I1577">
        <v>2953.57</v>
      </c>
      <c r="J1577" t="s">
        <v>2731</v>
      </c>
    </row>
    <row r="1578" spans="1:10" ht="15" customHeight="1" x14ac:dyDescent="0.2">
      <c r="A1578" s="420">
        <v>45961</v>
      </c>
      <c r="B1578" t="s">
        <v>2532</v>
      </c>
      <c r="C1578" t="s">
        <v>4166</v>
      </c>
      <c r="D1578" t="s">
        <v>4275</v>
      </c>
      <c r="E1578" t="s">
        <v>1144</v>
      </c>
      <c r="G1578">
        <v>102</v>
      </c>
      <c r="I1578">
        <v>3055.57</v>
      </c>
      <c r="J1578" t="s">
        <v>2731</v>
      </c>
    </row>
    <row r="1579" spans="1:10" ht="15" customHeight="1" x14ac:dyDescent="0.2">
      <c r="A1579" s="420">
        <v>45961</v>
      </c>
      <c r="B1579" t="s">
        <v>2532</v>
      </c>
      <c r="C1579" t="s">
        <v>4166</v>
      </c>
      <c r="D1579" t="s">
        <v>4276</v>
      </c>
      <c r="E1579" t="s">
        <v>1145</v>
      </c>
      <c r="G1579">
        <v>102</v>
      </c>
      <c r="I1579">
        <v>3157.57</v>
      </c>
      <c r="J1579" t="s">
        <v>2731</v>
      </c>
    </row>
    <row r="1580" spans="1:10" ht="15" customHeight="1" x14ac:dyDescent="0.2">
      <c r="A1580" s="420">
        <v>45961</v>
      </c>
      <c r="B1580" t="s">
        <v>2532</v>
      </c>
      <c r="C1580" t="s">
        <v>4166</v>
      </c>
      <c r="D1580" t="s">
        <v>4277</v>
      </c>
      <c r="E1580" t="s">
        <v>1146</v>
      </c>
      <c r="G1580">
        <v>54</v>
      </c>
      <c r="I1580">
        <v>3211.57</v>
      </c>
      <c r="J1580" t="s">
        <v>2731</v>
      </c>
    </row>
    <row r="1581" spans="1:10" ht="15" customHeight="1" x14ac:dyDescent="0.2">
      <c r="A1581" s="420">
        <v>45961</v>
      </c>
      <c r="B1581" t="s">
        <v>2532</v>
      </c>
      <c r="C1581" t="s">
        <v>4166</v>
      </c>
      <c r="D1581" t="s">
        <v>4278</v>
      </c>
      <c r="E1581" t="s">
        <v>1147</v>
      </c>
      <c r="G1581">
        <v>102</v>
      </c>
      <c r="I1581">
        <v>3313.57</v>
      </c>
      <c r="J1581" t="s">
        <v>2731</v>
      </c>
    </row>
    <row r="1582" spans="1:10" ht="15" customHeight="1" x14ac:dyDescent="0.2">
      <c r="A1582" s="420">
        <v>45961</v>
      </c>
      <c r="B1582" t="s">
        <v>2532</v>
      </c>
      <c r="C1582" t="s">
        <v>4166</v>
      </c>
      <c r="D1582" t="s">
        <v>4279</v>
      </c>
      <c r="E1582" t="s">
        <v>1148</v>
      </c>
      <c r="G1582">
        <v>102</v>
      </c>
      <c r="I1582">
        <v>3415.57</v>
      </c>
      <c r="J1582" t="s">
        <v>2731</v>
      </c>
    </row>
    <row r="1583" spans="1:10" ht="15" customHeight="1" x14ac:dyDescent="0.2">
      <c r="A1583" s="420">
        <v>45961</v>
      </c>
      <c r="B1583" t="s">
        <v>2532</v>
      </c>
      <c r="C1583" t="s">
        <v>4166</v>
      </c>
      <c r="D1583" t="s">
        <v>4280</v>
      </c>
      <c r="E1583" t="s">
        <v>1149</v>
      </c>
      <c r="G1583">
        <v>127.2</v>
      </c>
      <c r="I1583">
        <v>3542.77</v>
      </c>
      <c r="J1583" t="s">
        <v>2731</v>
      </c>
    </row>
    <row r="1584" spans="1:10" ht="15" customHeight="1" x14ac:dyDescent="0.2">
      <c r="A1584" s="420">
        <v>45989</v>
      </c>
      <c r="B1584" t="s">
        <v>2333</v>
      </c>
      <c r="C1584" t="s">
        <v>4166</v>
      </c>
      <c r="D1584" t="s">
        <v>4281</v>
      </c>
      <c r="E1584" t="s">
        <v>4282</v>
      </c>
      <c r="F1584">
        <v>1662.64</v>
      </c>
      <c r="I1584">
        <v>1880.13</v>
      </c>
      <c r="J1584" t="s">
        <v>2739</v>
      </c>
    </row>
    <row r="1585" spans="1:10" ht="15" customHeight="1" x14ac:dyDescent="0.2">
      <c r="A1585" s="420">
        <v>45989</v>
      </c>
      <c r="B1585" t="s">
        <v>2333</v>
      </c>
      <c r="C1585" t="s">
        <v>4166</v>
      </c>
      <c r="D1585" t="s">
        <v>4283</v>
      </c>
      <c r="E1585" t="s">
        <v>4284</v>
      </c>
      <c r="F1585">
        <v>50</v>
      </c>
      <c r="I1585">
        <v>1830.13</v>
      </c>
      <c r="J1585" t="s">
        <v>2729</v>
      </c>
    </row>
    <row r="1586" spans="1:10" ht="15" customHeight="1" x14ac:dyDescent="0.2">
      <c r="A1586" s="420">
        <v>45991</v>
      </c>
      <c r="B1586" t="s">
        <v>2532</v>
      </c>
      <c r="C1586" t="s">
        <v>4166</v>
      </c>
      <c r="D1586" t="s">
        <v>4285</v>
      </c>
      <c r="E1586" t="s">
        <v>1602</v>
      </c>
      <c r="G1586">
        <v>800</v>
      </c>
      <c r="I1586">
        <v>2630.13</v>
      </c>
      <c r="J1586" t="s">
        <v>2511</v>
      </c>
    </row>
    <row r="1587" spans="1:10" ht="15" customHeight="1" x14ac:dyDescent="0.2">
      <c r="A1587" s="420">
        <v>46006</v>
      </c>
      <c r="B1587" t="s">
        <v>2532</v>
      </c>
      <c r="C1587" t="s">
        <v>4166</v>
      </c>
      <c r="D1587" t="s">
        <v>4286</v>
      </c>
      <c r="E1587" t="s">
        <v>1997</v>
      </c>
      <c r="G1587">
        <v>200.4</v>
      </c>
      <c r="I1587">
        <v>2830.53</v>
      </c>
      <c r="J1587" t="s">
        <v>2511</v>
      </c>
    </row>
    <row r="1588" spans="1:10" ht="15" customHeight="1" x14ac:dyDescent="0.2">
      <c r="A1588" s="420">
        <v>46020</v>
      </c>
      <c r="B1588" t="s">
        <v>2333</v>
      </c>
      <c r="C1588" t="s">
        <v>4166</v>
      </c>
      <c r="D1588" t="s">
        <v>4287</v>
      </c>
      <c r="E1588" t="s">
        <v>4288</v>
      </c>
      <c r="F1588">
        <v>1138.93</v>
      </c>
      <c r="I1588">
        <v>1691.6</v>
      </c>
      <c r="J1588" t="s">
        <v>2941</v>
      </c>
    </row>
    <row r="1589" spans="1:10" ht="15" customHeight="1" x14ac:dyDescent="0.2">
      <c r="A1589" s="420">
        <v>46020</v>
      </c>
      <c r="B1589" t="s">
        <v>2333</v>
      </c>
      <c r="C1589" t="s">
        <v>4166</v>
      </c>
      <c r="D1589" t="s">
        <v>4289</v>
      </c>
      <c r="E1589" t="s">
        <v>4290</v>
      </c>
      <c r="F1589">
        <v>691.2</v>
      </c>
      <c r="I1589">
        <v>1000.4</v>
      </c>
      <c r="J1589" t="s">
        <v>2731</v>
      </c>
    </row>
    <row r="1590" spans="1:10" ht="15" customHeight="1" x14ac:dyDescent="0.2">
      <c r="A1590" s="420">
        <v>46022</v>
      </c>
      <c r="B1590" t="s">
        <v>2532</v>
      </c>
      <c r="C1590" t="s">
        <v>4166</v>
      </c>
      <c r="D1590" t="s">
        <v>4291</v>
      </c>
      <c r="E1590" t="s">
        <v>2007</v>
      </c>
      <c r="G1590">
        <v>226.56</v>
      </c>
      <c r="I1590">
        <v>1226.96</v>
      </c>
    </row>
    <row r="1591" spans="1:10" ht="15" customHeight="1" x14ac:dyDescent="0.2">
      <c r="A1591" t="s">
        <v>4166</v>
      </c>
      <c r="E1591" t="s">
        <v>349</v>
      </c>
      <c r="F1591">
        <v>43058.7</v>
      </c>
      <c r="G1591">
        <v>44285.66</v>
      </c>
      <c r="I1591">
        <v>1226.96</v>
      </c>
    </row>
    <row r="1593" spans="1:10" ht="15" customHeight="1" x14ac:dyDescent="0.2">
      <c r="A1593" t="s">
        <v>4292</v>
      </c>
      <c r="B1593" t="s">
        <v>4293</v>
      </c>
      <c r="F1593" t="s">
        <v>2430</v>
      </c>
      <c r="G1593" t="s">
        <v>2431</v>
      </c>
      <c r="H1593" t="s">
        <v>2432</v>
      </c>
      <c r="I1593" t="s">
        <v>2433</v>
      </c>
      <c r="J1593" t="s">
        <v>2434</v>
      </c>
    </row>
    <row r="1594" spans="1:10" ht="15" customHeight="1" x14ac:dyDescent="0.2">
      <c r="A1594" s="420">
        <v>45658</v>
      </c>
      <c r="B1594" t="s">
        <v>2435</v>
      </c>
      <c r="C1594" t="s">
        <v>4292</v>
      </c>
      <c r="D1594" t="s">
        <v>2436</v>
      </c>
      <c r="E1594" t="s">
        <v>4294</v>
      </c>
      <c r="G1594">
        <v>1700.38</v>
      </c>
      <c r="I1594">
        <v>1700.38</v>
      </c>
      <c r="J1594" t="s">
        <v>2511</v>
      </c>
    </row>
    <row r="1595" spans="1:10" ht="15" customHeight="1" x14ac:dyDescent="0.2">
      <c r="A1595" s="420">
        <v>45660</v>
      </c>
      <c r="B1595" t="s">
        <v>2532</v>
      </c>
      <c r="C1595" t="s">
        <v>4292</v>
      </c>
      <c r="D1595" t="s">
        <v>4295</v>
      </c>
      <c r="E1595" t="s">
        <v>4296</v>
      </c>
      <c r="G1595">
        <v>68691.72</v>
      </c>
      <c r="I1595">
        <v>70392.100000000006</v>
      </c>
      <c r="J1595" t="s">
        <v>2511</v>
      </c>
    </row>
    <row r="1596" spans="1:10" ht="15" customHeight="1" x14ac:dyDescent="0.2">
      <c r="A1596" s="420">
        <v>45660</v>
      </c>
      <c r="B1596" t="s">
        <v>2532</v>
      </c>
      <c r="C1596" t="s">
        <v>4292</v>
      </c>
      <c r="D1596" t="s">
        <v>4297</v>
      </c>
      <c r="E1596" t="s">
        <v>4298</v>
      </c>
      <c r="G1596">
        <v>7600.15</v>
      </c>
      <c r="I1596">
        <v>77992.25</v>
      </c>
      <c r="J1596" t="s">
        <v>2511</v>
      </c>
    </row>
    <row r="1597" spans="1:10" ht="15" customHeight="1" x14ac:dyDescent="0.2">
      <c r="A1597" s="420">
        <v>45660</v>
      </c>
      <c r="B1597" t="s">
        <v>2439</v>
      </c>
      <c r="C1597" t="s">
        <v>4292</v>
      </c>
      <c r="D1597" t="s">
        <v>4299</v>
      </c>
      <c r="E1597" t="s">
        <v>4300</v>
      </c>
      <c r="F1597">
        <v>68691.72</v>
      </c>
      <c r="I1597">
        <v>9300.5300000000007</v>
      </c>
      <c r="J1597" t="s">
        <v>2511</v>
      </c>
    </row>
    <row r="1598" spans="1:10" ht="15" customHeight="1" x14ac:dyDescent="0.2">
      <c r="A1598" s="420">
        <v>45660</v>
      </c>
      <c r="B1598" t="s">
        <v>2439</v>
      </c>
      <c r="C1598" t="s">
        <v>4292</v>
      </c>
      <c r="D1598" t="s">
        <v>4299</v>
      </c>
      <c r="E1598" t="s">
        <v>4301</v>
      </c>
      <c r="F1598">
        <v>7600.15</v>
      </c>
      <c r="I1598">
        <v>1700.38</v>
      </c>
      <c r="J1598" t="s">
        <v>2511</v>
      </c>
    </row>
    <row r="1599" spans="1:10" ht="15" customHeight="1" x14ac:dyDescent="0.2">
      <c r="A1599" s="420">
        <v>45660</v>
      </c>
      <c r="B1599" t="s">
        <v>2439</v>
      </c>
      <c r="C1599" t="s">
        <v>4292</v>
      </c>
      <c r="D1599" t="s">
        <v>4299</v>
      </c>
      <c r="E1599" t="s">
        <v>4302</v>
      </c>
      <c r="F1599">
        <v>1700.38</v>
      </c>
      <c r="J1599" t="s">
        <v>2511</v>
      </c>
    </row>
    <row r="1600" spans="1:10" ht="15" customHeight="1" x14ac:dyDescent="0.2">
      <c r="A1600" t="s">
        <v>4292</v>
      </c>
      <c r="E1600" t="s">
        <v>349</v>
      </c>
      <c r="F1600">
        <v>77992.25</v>
      </c>
      <c r="G1600">
        <v>77992.25</v>
      </c>
    </row>
    <row r="1602" spans="1:10" ht="15" customHeight="1" x14ac:dyDescent="0.2">
      <c r="A1602" t="s">
        <v>4303</v>
      </c>
      <c r="B1602" t="s">
        <v>4304</v>
      </c>
      <c r="F1602" t="s">
        <v>2430</v>
      </c>
      <c r="G1602" t="s">
        <v>2431</v>
      </c>
      <c r="H1602" t="s">
        <v>2432</v>
      </c>
      <c r="I1602" t="s">
        <v>2433</v>
      </c>
      <c r="J1602" t="s">
        <v>2434</v>
      </c>
    </row>
    <row r="1603" spans="1:10" ht="15" customHeight="1" x14ac:dyDescent="0.2">
      <c r="A1603" s="420">
        <v>45658</v>
      </c>
      <c r="B1603" t="s">
        <v>2435</v>
      </c>
      <c r="C1603" t="s">
        <v>4303</v>
      </c>
      <c r="D1603" t="s">
        <v>2436</v>
      </c>
      <c r="E1603" t="s">
        <v>4305</v>
      </c>
      <c r="G1603">
        <v>1733.78</v>
      </c>
      <c r="I1603">
        <v>1733.78</v>
      </c>
      <c r="J1603" t="s">
        <v>2511</v>
      </c>
    </row>
    <row r="1604" spans="1:10" ht="15" customHeight="1" x14ac:dyDescent="0.2">
      <c r="A1604" s="420">
        <v>45733</v>
      </c>
      <c r="B1604" t="s">
        <v>2532</v>
      </c>
      <c r="C1604" t="s">
        <v>4303</v>
      </c>
      <c r="D1604" t="s">
        <v>4306</v>
      </c>
      <c r="E1604" t="s">
        <v>4307</v>
      </c>
      <c r="G1604">
        <v>7600.15</v>
      </c>
      <c r="I1604">
        <v>9333.93</v>
      </c>
      <c r="J1604" t="s">
        <v>2511</v>
      </c>
    </row>
    <row r="1605" spans="1:10" ht="15" customHeight="1" x14ac:dyDescent="0.2">
      <c r="A1605" s="420">
        <v>45733</v>
      </c>
      <c r="B1605" t="s">
        <v>2532</v>
      </c>
      <c r="C1605" t="s">
        <v>4303</v>
      </c>
      <c r="D1605" t="s">
        <v>4308</v>
      </c>
      <c r="E1605" t="s">
        <v>4307</v>
      </c>
      <c r="G1605">
        <v>70635.11</v>
      </c>
      <c r="I1605">
        <v>79969.039999999994</v>
      </c>
      <c r="J1605" t="s">
        <v>2511</v>
      </c>
    </row>
    <row r="1606" spans="1:10" ht="15" customHeight="1" x14ac:dyDescent="0.2">
      <c r="A1606" s="420">
        <v>45733</v>
      </c>
      <c r="B1606" t="s">
        <v>2439</v>
      </c>
      <c r="C1606" t="s">
        <v>4303</v>
      </c>
      <c r="D1606" t="s">
        <v>4309</v>
      </c>
      <c r="E1606" t="s">
        <v>4310</v>
      </c>
      <c r="F1606">
        <v>1733.78</v>
      </c>
      <c r="I1606">
        <v>78235.259999999995</v>
      </c>
      <c r="J1606" t="s">
        <v>2511</v>
      </c>
    </row>
    <row r="1607" spans="1:10" ht="15" customHeight="1" x14ac:dyDescent="0.2">
      <c r="A1607" s="420">
        <v>45733</v>
      </c>
      <c r="B1607" t="s">
        <v>2439</v>
      </c>
      <c r="C1607" t="s">
        <v>4303</v>
      </c>
      <c r="D1607" t="s">
        <v>4311</v>
      </c>
      <c r="E1607" t="s">
        <v>4312</v>
      </c>
      <c r="F1607">
        <v>7600.15</v>
      </c>
      <c r="I1607">
        <v>70635.11</v>
      </c>
      <c r="J1607" t="s">
        <v>2511</v>
      </c>
    </row>
    <row r="1608" spans="1:10" ht="15" customHeight="1" x14ac:dyDescent="0.2">
      <c r="A1608" s="420">
        <v>45733</v>
      </c>
      <c r="B1608" t="s">
        <v>2439</v>
      </c>
      <c r="C1608" t="s">
        <v>4303</v>
      </c>
      <c r="D1608" t="s">
        <v>4313</v>
      </c>
      <c r="E1608" t="s">
        <v>4314</v>
      </c>
      <c r="F1608">
        <v>70635.11</v>
      </c>
      <c r="J1608" t="s">
        <v>2511</v>
      </c>
    </row>
    <row r="1609" spans="1:10" ht="15" customHeight="1" x14ac:dyDescent="0.2">
      <c r="A1609" t="s">
        <v>4303</v>
      </c>
      <c r="E1609" t="s">
        <v>349</v>
      </c>
      <c r="F1609">
        <v>79969.039999999994</v>
      </c>
      <c r="G1609">
        <v>79969.039999999994</v>
      </c>
    </row>
    <row r="1611" spans="1:10" ht="15" customHeight="1" x14ac:dyDescent="0.2">
      <c r="A1611" t="s">
        <v>4315</v>
      </c>
      <c r="B1611" t="s">
        <v>4316</v>
      </c>
      <c r="F1611" t="s">
        <v>2430</v>
      </c>
      <c r="G1611" t="s">
        <v>2431</v>
      </c>
      <c r="H1611" t="s">
        <v>2432</v>
      </c>
      <c r="I1611" t="s">
        <v>2433</v>
      </c>
      <c r="J1611" t="s">
        <v>2434</v>
      </c>
    </row>
    <row r="1612" spans="1:10" ht="15" customHeight="1" x14ac:dyDescent="0.2">
      <c r="A1612" s="420">
        <v>45658</v>
      </c>
      <c r="B1612" t="s">
        <v>2435</v>
      </c>
      <c r="C1612" t="s">
        <v>4315</v>
      </c>
      <c r="D1612" t="s">
        <v>2436</v>
      </c>
      <c r="E1612" t="s">
        <v>4317</v>
      </c>
      <c r="G1612">
        <v>1705.66</v>
      </c>
      <c r="I1612">
        <v>1705.66</v>
      </c>
      <c r="J1612" t="s">
        <v>2509</v>
      </c>
    </row>
    <row r="1613" spans="1:10" ht="15" customHeight="1" x14ac:dyDescent="0.2">
      <c r="A1613" s="420">
        <v>45698</v>
      </c>
      <c r="B1613" t="s">
        <v>2532</v>
      </c>
      <c r="C1613" t="s">
        <v>4315</v>
      </c>
      <c r="D1613" t="s">
        <v>4318</v>
      </c>
      <c r="E1613" t="s">
        <v>4319</v>
      </c>
      <c r="G1613">
        <v>75021.009999999995</v>
      </c>
      <c r="I1613">
        <v>76726.67</v>
      </c>
      <c r="J1613" t="s">
        <v>2511</v>
      </c>
    </row>
    <row r="1614" spans="1:10" ht="15" customHeight="1" x14ac:dyDescent="0.2">
      <c r="A1614" s="420">
        <v>45698</v>
      </c>
      <c r="B1614" t="s">
        <v>2532</v>
      </c>
      <c r="C1614" t="s">
        <v>4315</v>
      </c>
      <c r="D1614" t="s">
        <v>4320</v>
      </c>
      <c r="E1614" t="s">
        <v>4321</v>
      </c>
      <c r="G1614">
        <v>7600.15</v>
      </c>
      <c r="I1614">
        <v>84326.82</v>
      </c>
      <c r="J1614" t="s">
        <v>2509</v>
      </c>
    </row>
    <row r="1615" spans="1:10" ht="15" customHeight="1" x14ac:dyDescent="0.2">
      <c r="A1615" s="420">
        <v>45698</v>
      </c>
      <c r="B1615" t="s">
        <v>2439</v>
      </c>
      <c r="C1615" t="s">
        <v>4315</v>
      </c>
      <c r="D1615" t="s">
        <v>4322</v>
      </c>
      <c r="E1615" t="s">
        <v>4314</v>
      </c>
      <c r="F1615">
        <v>75021.009999999995</v>
      </c>
      <c r="I1615">
        <v>9305.81</v>
      </c>
      <c r="J1615" t="s">
        <v>2511</v>
      </c>
    </row>
    <row r="1616" spans="1:10" ht="15" customHeight="1" x14ac:dyDescent="0.2">
      <c r="A1616" s="420">
        <v>45698</v>
      </c>
      <c r="B1616" t="s">
        <v>2439</v>
      </c>
      <c r="C1616" t="s">
        <v>4315</v>
      </c>
      <c r="D1616" t="s">
        <v>4322</v>
      </c>
      <c r="E1616" t="s">
        <v>4323</v>
      </c>
      <c r="F1616">
        <v>9305.81</v>
      </c>
      <c r="J1616" t="s">
        <v>2509</v>
      </c>
    </row>
    <row r="1617" spans="1:10" ht="15" customHeight="1" x14ac:dyDescent="0.2">
      <c r="A1617" t="s">
        <v>4315</v>
      </c>
      <c r="E1617" t="s">
        <v>349</v>
      </c>
      <c r="F1617">
        <v>84326.82</v>
      </c>
      <c r="G1617">
        <v>84326.82</v>
      </c>
    </row>
    <row r="1619" spans="1:10" ht="15" customHeight="1" x14ac:dyDescent="0.2">
      <c r="A1619" t="s">
        <v>4324</v>
      </c>
      <c r="B1619" t="s">
        <v>4325</v>
      </c>
      <c r="F1619" t="s">
        <v>2430</v>
      </c>
      <c r="G1619" t="s">
        <v>2431</v>
      </c>
      <c r="H1619" t="s">
        <v>2432</v>
      </c>
      <c r="I1619" t="s">
        <v>2433</v>
      </c>
      <c r="J1619" t="s">
        <v>2434</v>
      </c>
    </row>
    <row r="1620" spans="1:10" ht="15" customHeight="1" x14ac:dyDescent="0.2">
      <c r="A1620" s="420">
        <v>45658</v>
      </c>
      <c r="B1620" t="s">
        <v>2435</v>
      </c>
      <c r="C1620" t="s">
        <v>4324</v>
      </c>
      <c r="D1620" t="s">
        <v>2436</v>
      </c>
      <c r="E1620" t="s">
        <v>4326</v>
      </c>
      <c r="G1620">
        <v>1917.17</v>
      </c>
      <c r="I1620">
        <v>1917.17</v>
      </c>
      <c r="J1620" t="s">
        <v>2511</v>
      </c>
    </row>
    <row r="1621" spans="1:10" ht="15" customHeight="1" x14ac:dyDescent="0.2">
      <c r="A1621" s="420">
        <v>45796</v>
      </c>
      <c r="B1621" t="s">
        <v>2532</v>
      </c>
      <c r="C1621" t="s">
        <v>4324</v>
      </c>
      <c r="D1621" t="s">
        <v>4327</v>
      </c>
      <c r="E1621" t="s">
        <v>4328</v>
      </c>
      <c r="G1621">
        <v>81746.539999999994</v>
      </c>
      <c r="I1621">
        <v>83663.710000000006</v>
      </c>
      <c r="J1621" t="s">
        <v>2511</v>
      </c>
    </row>
    <row r="1622" spans="1:10" ht="15" customHeight="1" x14ac:dyDescent="0.2">
      <c r="A1622" s="420">
        <v>45796</v>
      </c>
      <c r="B1622" t="s">
        <v>2532</v>
      </c>
      <c r="C1622" t="s">
        <v>4324</v>
      </c>
      <c r="D1622" t="s">
        <v>4329</v>
      </c>
      <c r="E1622" t="s">
        <v>4330</v>
      </c>
      <c r="G1622">
        <v>7600.15</v>
      </c>
      <c r="I1622">
        <v>91263.86</v>
      </c>
      <c r="J1622" t="s">
        <v>2511</v>
      </c>
    </row>
    <row r="1623" spans="1:10" ht="15" customHeight="1" x14ac:dyDescent="0.2">
      <c r="A1623" s="420">
        <v>45796</v>
      </c>
      <c r="B1623" t="s">
        <v>2439</v>
      </c>
      <c r="C1623" t="s">
        <v>4324</v>
      </c>
      <c r="D1623" t="s">
        <v>4331</v>
      </c>
      <c r="E1623" t="s">
        <v>4332</v>
      </c>
      <c r="F1623">
        <v>1917.17</v>
      </c>
      <c r="I1623">
        <v>89346.69</v>
      </c>
      <c r="J1623" t="s">
        <v>2511</v>
      </c>
    </row>
    <row r="1624" spans="1:10" ht="15" customHeight="1" x14ac:dyDescent="0.2">
      <c r="A1624" s="420">
        <v>45796</v>
      </c>
      <c r="B1624" t="s">
        <v>2439</v>
      </c>
      <c r="C1624" t="s">
        <v>4324</v>
      </c>
      <c r="D1624" t="s">
        <v>4333</v>
      </c>
      <c r="E1624" t="s">
        <v>4334</v>
      </c>
      <c r="F1624">
        <v>81746.539999999994</v>
      </c>
      <c r="I1624">
        <v>7600.15</v>
      </c>
      <c r="J1624" t="s">
        <v>2511</v>
      </c>
    </row>
    <row r="1625" spans="1:10" ht="15" customHeight="1" x14ac:dyDescent="0.2">
      <c r="A1625" s="420">
        <v>45796</v>
      </c>
      <c r="B1625" t="s">
        <v>2439</v>
      </c>
      <c r="C1625" t="s">
        <v>4324</v>
      </c>
      <c r="D1625" t="s">
        <v>4335</v>
      </c>
      <c r="E1625" t="s">
        <v>4336</v>
      </c>
      <c r="F1625">
        <v>7600.15</v>
      </c>
      <c r="J1625" t="s">
        <v>2511</v>
      </c>
    </row>
    <row r="1626" spans="1:10" ht="15" customHeight="1" x14ac:dyDescent="0.2">
      <c r="A1626" t="s">
        <v>4324</v>
      </c>
      <c r="E1626" t="s">
        <v>349</v>
      </c>
      <c r="F1626">
        <v>91263.86</v>
      </c>
      <c r="G1626">
        <v>91263.86</v>
      </c>
    </row>
    <row r="1628" spans="1:10" ht="15" customHeight="1" x14ac:dyDescent="0.2">
      <c r="A1628" t="s">
        <v>4337</v>
      </c>
      <c r="B1628" t="s">
        <v>4338</v>
      </c>
      <c r="F1628" t="s">
        <v>2430</v>
      </c>
      <c r="G1628" t="s">
        <v>2431</v>
      </c>
      <c r="H1628" t="s">
        <v>2432</v>
      </c>
      <c r="I1628" t="s">
        <v>2433</v>
      </c>
      <c r="J1628" t="s">
        <v>2434</v>
      </c>
    </row>
    <row r="1629" spans="1:10" ht="15" customHeight="1" x14ac:dyDescent="0.2">
      <c r="A1629" s="420">
        <v>45658</v>
      </c>
      <c r="B1629" t="s">
        <v>2435</v>
      </c>
      <c r="C1629" t="s">
        <v>4337</v>
      </c>
      <c r="D1629" t="s">
        <v>2436</v>
      </c>
      <c r="E1629" t="s">
        <v>4339</v>
      </c>
      <c r="G1629">
        <v>1966.98</v>
      </c>
      <c r="I1629">
        <v>1966.98</v>
      </c>
      <c r="J1629" t="s">
        <v>2511</v>
      </c>
    </row>
    <row r="1630" spans="1:10" ht="15" customHeight="1" x14ac:dyDescent="0.2">
      <c r="A1630" s="420">
        <v>45853</v>
      </c>
      <c r="B1630" t="s">
        <v>2532</v>
      </c>
      <c r="C1630" t="s">
        <v>4337</v>
      </c>
      <c r="D1630" t="s">
        <v>4340</v>
      </c>
      <c r="E1630" t="s">
        <v>4341</v>
      </c>
      <c r="G1630">
        <v>7600.15</v>
      </c>
      <c r="I1630">
        <v>9567.1299999999992</v>
      </c>
      <c r="J1630" t="s">
        <v>2511</v>
      </c>
    </row>
    <row r="1631" spans="1:10" ht="15" customHeight="1" x14ac:dyDescent="0.2">
      <c r="A1631" s="420">
        <v>45853</v>
      </c>
      <c r="B1631" t="s">
        <v>2532</v>
      </c>
      <c r="C1631" t="s">
        <v>4337</v>
      </c>
      <c r="D1631" t="s">
        <v>4342</v>
      </c>
      <c r="E1631" t="s">
        <v>4343</v>
      </c>
      <c r="G1631">
        <v>91263.91</v>
      </c>
      <c r="I1631">
        <v>100831.03999999999</v>
      </c>
      <c r="J1631" t="s">
        <v>2511</v>
      </c>
    </row>
    <row r="1632" spans="1:10" ht="15" customHeight="1" x14ac:dyDescent="0.2">
      <c r="A1632" s="420">
        <v>45853</v>
      </c>
      <c r="B1632" t="s">
        <v>2439</v>
      </c>
      <c r="C1632" t="s">
        <v>4337</v>
      </c>
      <c r="D1632" t="s">
        <v>4344</v>
      </c>
      <c r="E1632" t="s">
        <v>4345</v>
      </c>
      <c r="F1632">
        <v>1966.98</v>
      </c>
      <c r="I1632">
        <v>98864.06</v>
      </c>
      <c r="J1632" t="s">
        <v>2511</v>
      </c>
    </row>
    <row r="1633" spans="1:10" ht="15" customHeight="1" x14ac:dyDescent="0.2">
      <c r="A1633" s="420">
        <v>45853</v>
      </c>
      <c r="B1633" t="s">
        <v>2439</v>
      </c>
      <c r="C1633" t="s">
        <v>4337</v>
      </c>
      <c r="D1633" t="s">
        <v>4346</v>
      </c>
      <c r="E1633" t="s">
        <v>4347</v>
      </c>
      <c r="F1633">
        <v>7600.15</v>
      </c>
      <c r="I1633">
        <v>91263.91</v>
      </c>
      <c r="J1633" t="s">
        <v>2511</v>
      </c>
    </row>
    <row r="1634" spans="1:10" ht="15" customHeight="1" x14ac:dyDescent="0.2">
      <c r="A1634" s="420">
        <v>45853</v>
      </c>
      <c r="B1634" t="s">
        <v>2439</v>
      </c>
      <c r="C1634" t="s">
        <v>4337</v>
      </c>
      <c r="D1634" t="s">
        <v>4348</v>
      </c>
      <c r="E1634" t="s">
        <v>4349</v>
      </c>
      <c r="F1634">
        <v>91263.91</v>
      </c>
      <c r="J1634" t="s">
        <v>2511</v>
      </c>
    </row>
    <row r="1635" spans="1:10" ht="15" customHeight="1" x14ac:dyDescent="0.2">
      <c r="A1635" s="420">
        <v>45867</v>
      </c>
      <c r="B1635" t="s">
        <v>2532</v>
      </c>
      <c r="C1635" t="s">
        <v>4337</v>
      </c>
      <c r="D1635" t="s">
        <v>4350</v>
      </c>
      <c r="E1635" t="s">
        <v>4351</v>
      </c>
      <c r="F1635">
        <v>1442</v>
      </c>
      <c r="H1635">
        <v>1442</v>
      </c>
      <c r="J1635" t="s">
        <v>2511</v>
      </c>
    </row>
    <row r="1636" spans="1:10" ht="15" customHeight="1" x14ac:dyDescent="0.2">
      <c r="A1636" s="420">
        <v>45867</v>
      </c>
      <c r="B1636" t="s">
        <v>2439</v>
      </c>
      <c r="C1636" t="s">
        <v>4337</v>
      </c>
      <c r="D1636" t="s">
        <v>4352</v>
      </c>
      <c r="E1636" t="s">
        <v>4353</v>
      </c>
      <c r="G1636">
        <v>1442</v>
      </c>
      <c r="J1636" t="s">
        <v>2511</v>
      </c>
    </row>
    <row r="1637" spans="1:10" ht="15" customHeight="1" x14ac:dyDescent="0.2">
      <c r="A1637" t="s">
        <v>4337</v>
      </c>
      <c r="E1637" t="s">
        <v>349</v>
      </c>
      <c r="F1637">
        <v>102273.04</v>
      </c>
      <c r="G1637">
        <v>102273.04</v>
      </c>
    </row>
    <row r="1639" spans="1:10" ht="15" customHeight="1" x14ac:dyDescent="0.2">
      <c r="A1639" t="s">
        <v>4354</v>
      </c>
      <c r="B1639" t="s">
        <v>4355</v>
      </c>
      <c r="F1639" t="s">
        <v>2430</v>
      </c>
      <c r="G1639" t="s">
        <v>2431</v>
      </c>
      <c r="H1639" t="s">
        <v>2432</v>
      </c>
      <c r="I1639" t="s">
        <v>2433</v>
      </c>
      <c r="J1639" t="s">
        <v>2434</v>
      </c>
    </row>
    <row r="1640" spans="1:10" ht="15" customHeight="1" x14ac:dyDescent="0.2">
      <c r="A1640" s="420">
        <v>45658</v>
      </c>
      <c r="B1640" t="s">
        <v>2435</v>
      </c>
      <c r="C1640" t="s">
        <v>4354</v>
      </c>
      <c r="D1640" t="s">
        <v>2436</v>
      </c>
      <c r="E1640" t="s">
        <v>4356</v>
      </c>
      <c r="G1640">
        <v>10326.4</v>
      </c>
      <c r="I1640">
        <v>10326.4</v>
      </c>
      <c r="J1640" t="s">
        <v>2511</v>
      </c>
    </row>
    <row r="1641" spans="1:10" ht="15" customHeight="1" x14ac:dyDescent="0.2">
      <c r="A1641" s="420">
        <v>45694</v>
      </c>
      <c r="B1641" t="s">
        <v>2439</v>
      </c>
      <c r="C1641" t="s">
        <v>4354</v>
      </c>
      <c r="D1641" t="s">
        <v>4357</v>
      </c>
      <c r="E1641" t="s">
        <v>4358</v>
      </c>
      <c r="F1641">
        <v>8545.98</v>
      </c>
      <c r="I1641">
        <v>1780.42</v>
      </c>
      <c r="J1641" t="s">
        <v>2511</v>
      </c>
    </row>
    <row r="1642" spans="1:10" ht="15" customHeight="1" x14ac:dyDescent="0.2">
      <c r="A1642" s="420">
        <v>45820</v>
      </c>
      <c r="B1642" t="s">
        <v>2532</v>
      </c>
      <c r="C1642" t="s">
        <v>4354</v>
      </c>
      <c r="D1642" t="s">
        <v>4359</v>
      </c>
      <c r="E1642" t="s">
        <v>4360</v>
      </c>
      <c r="G1642">
        <v>7828.15</v>
      </c>
      <c r="I1642">
        <v>9608.57</v>
      </c>
      <c r="J1642" t="s">
        <v>2511</v>
      </c>
    </row>
    <row r="1643" spans="1:10" ht="15" customHeight="1" x14ac:dyDescent="0.2">
      <c r="A1643" s="420">
        <v>45820</v>
      </c>
      <c r="B1643" t="s">
        <v>2532</v>
      </c>
      <c r="C1643" t="s">
        <v>4354</v>
      </c>
      <c r="D1643" t="s">
        <v>4361</v>
      </c>
      <c r="E1643" t="s">
        <v>4362</v>
      </c>
      <c r="G1643">
        <v>72289.929999999993</v>
      </c>
      <c r="I1643">
        <v>81898.5</v>
      </c>
      <c r="J1643" t="s">
        <v>2511</v>
      </c>
    </row>
    <row r="1644" spans="1:10" ht="15" customHeight="1" x14ac:dyDescent="0.2">
      <c r="A1644" s="420">
        <v>45820</v>
      </c>
      <c r="B1644" t="s">
        <v>2439</v>
      </c>
      <c r="C1644" t="s">
        <v>4354</v>
      </c>
      <c r="D1644" t="s">
        <v>4363</v>
      </c>
      <c r="E1644" t="s">
        <v>4364</v>
      </c>
      <c r="F1644">
        <v>72289.929999999993</v>
      </c>
      <c r="I1644">
        <v>9608.57</v>
      </c>
      <c r="J1644" t="s">
        <v>2511</v>
      </c>
    </row>
    <row r="1645" spans="1:10" ht="15" customHeight="1" x14ac:dyDescent="0.2">
      <c r="A1645" s="420">
        <v>45820</v>
      </c>
      <c r="B1645" t="s">
        <v>2439</v>
      </c>
      <c r="C1645" t="s">
        <v>4354</v>
      </c>
      <c r="D1645" t="s">
        <v>4365</v>
      </c>
      <c r="E1645" t="s">
        <v>4366</v>
      </c>
      <c r="F1645">
        <v>1780.42</v>
      </c>
      <c r="I1645">
        <v>7828.15</v>
      </c>
      <c r="J1645" t="s">
        <v>2511</v>
      </c>
    </row>
    <row r="1646" spans="1:10" ht="15" customHeight="1" x14ac:dyDescent="0.2">
      <c r="A1646" s="420">
        <v>45820</v>
      </c>
      <c r="B1646" t="s">
        <v>2439</v>
      </c>
      <c r="C1646" t="s">
        <v>4354</v>
      </c>
      <c r="D1646" t="s">
        <v>4367</v>
      </c>
      <c r="E1646" t="s">
        <v>4368</v>
      </c>
      <c r="F1646">
        <v>7828.15</v>
      </c>
      <c r="J1646" t="s">
        <v>2511</v>
      </c>
    </row>
    <row r="1647" spans="1:10" ht="15" customHeight="1" x14ac:dyDescent="0.2">
      <c r="A1647" t="s">
        <v>4354</v>
      </c>
      <c r="E1647" t="s">
        <v>349</v>
      </c>
      <c r="F1647">
        <v>90444.479999999996</v>
      </c>
      <c r="G1647">
        <v>90444.479999999996</v>
      </c>
    </row>
    <row r="1649" spans="1:10" ht="15" customHeight="1" x14ac:dyDescent="0.2">
      <c r="A1649" t="s">
        <v>4369</v>
      </c>
      <c r="B1649" t="s">
        <v>4370</v>
      </c>
      <c r="F1649" t="s">
        <v>2430</v>
      </c>
      <c r="G1649" t="s">
        <v>2431</v>
      </c>
      <c r="H1649" t="s">
        <v>2432</v>
      </c>
      <c r="I1649" t="s">
        <v>2433</v>
      </c>
      <c r="J1649" t="s">
        <v>2434</v>
      </c>
    </row>
    <row r="1650" spans="1:10" ht="15" customHeight="1" x14ac:dyDescent="0.2">
      <c r="A1650" s="420">
        <v>45658</v>
      </c>
      <c r="B1650" t="s">
        <v>2435</v>
      </c>
      <c r="C1650" t="s">
        <v>4369</v>
      </c>
      <c r="D1650" t="s">
        <v>2436</v>
      </c>
      <c r="E1650" t="s">
        <v>4371</v>
      </c>
      <c r="G1650">
        <v>9886.68</v>
      </c>
      <c r="I1650">
        <v>9886.68</v>
      </c>
      <c r="J1650" t="s">
        <v>2511</v>
      </c>
    </row>
    <row r="1651" spans="1:10" ht="15" customHeight="1" x14ac:dyDescent="0.2">
      <c r="A1651" s="420">
        <v>45670</v>
      </c>
      <c r="B1651" t="s">
        <v>2439</v>
      </c>
      <c r="C1651" t="s">
        <v>4369</v>
      </c>
      <c r="D1651" t="s">
        <v>4372</v>
      </c>
      <c r="E1651" t="s">
        <v>4373</v>
      </c>
      <c r="F1651">
        <v>8182.08</v>
      </c>
      <c r="I1651">
        <v>1704.6</v>
      </c>
      <c r="J1651" t="s">
        <v>2511</v>
      </c>
    </row>
    <row r="1652" spans="1:10" ht="15" customHeight="1" x14ac:dyDescent="0.2">
      <c r="A1652" s="420">
        <v>45755</v>
      </c>
      <c r="B1652" t="s">
        <v>2532</v>
      </c>
      <c r="C1652" t="s">
        <v>4369</v>
      </c>
      <c r="D1652" t="s">
        <v>4374</v>
      </c>
      <c r="E1652" t="s">
        <v>4375</v>
      </c>
      <c r="G1652">
        <v>7600.15</v>
      </c>
      <c r="I1652">
        <v>9304.75</v>
      </c>
      <c r="J1652" t="s">
        <v>2511</v>
      </c>
    </row>
    <row r="1653" spans="1:10" ht="15" customHeight="1" x14ac:dyDescent="0.2">
      <c r="A1653" s="420">
        <v>45755</v>
      </c>
      <c r="B1653" t="s">
        <v>2532</v>
      </c>
      <c r="C1653" t="s">
        <v>4369</v>
      </c>
      <c r="D1653" t="s">
        <v>4376</v>
      </c>
      <c r="E1653" t="s">
        <v>4377</v>
      </c>
      <c r="G1653">
        <v>69085.95</v>
      </c>
      <c r="I1653">
        <v>78390.7</v>
      </c>
      <c r="J1653" t="s">
        <v>2511</v>
      </c>
    </row>
    <row r="1654" spans="1:10" ht="15" customHeight="1" x14ac:dyDescent="0.2">
      <c r="A1654" s="420">
        <v>45755</v>
      </c>
      <c r="B1654" t="s">
        <v>2439</v>
      </c>
      <c r="C1654" t="s">
        <v>4369</v>
      </c>
      <c r="D1654" t="s">
        <v>4378</v>
      </c>
      <c r="E1654" t="s">
        <v>4379</v>
      </c>
      <c r="F1654">
        <v>7600.15</v>
      </c>
      <c r="I1654">
        <v>70790.55</v>
      </c>
      <c r="J1654" t="s">
        <v>2511</v>
      </c>
    </row>
    <row r="1655" spans="1:10" ht="15" customHeight="1" x14ac:dyDescent="0.2">
      <c r="A1655" s="420">
        <v>45755</v>
      </c>
      <c r="B1655" t="s">
        <v>2439</v>
      </c>
      <c r="C1655" t="s">
        <v>4369</v>
      </c>
      <c r="D1655" t="s">
        <v>4380</v>
      </c>
      <c r="E1655" t="s">
        <v>4381</v>
      </c>
      <c r="F1655">
        <v>69085.95</v>
      </c>
      <c r="I1655">
        <v>1704.6</v>
      </c>
      <c r="J1655" t="s">
        <v>2511</v>
      </c>
    </row>
    <row r="1656" spans="1:10" ht="15" customHeight="1" x14ac:dyDescent="0.2">
      <c r="A1656" s="420">
        <v>45755</v>
      </c>
      <c r="B1656" t="s">
        <v>2439</v>
      </c>
      <c r="C1656" t="s">
        <v>4369</v>
      </c>
      <c r="D1656" t="s">
        <v>4382</v>
      </c>
      <c r="E1656" t="s">
        <v>4383</v>
      </c>
      <c r="F1656">
        <v>1704.6</v>
      </c>
      <c r="J1656" t="s">
        <v>2511</v>
      </c>
    </row>
    <row r="1657" spans="1:10" ht="15" customHeight="1" x14ac:dyDescent="0.2">
      <c r="A1657" t="s">
        <v>4369</v>
      </c>
      <c r="E1657" t="s">
        <v>349</v>
      </c>
      <c r="F1657">
        <v>86572.78</v>
      </c>
      <c r="G1657">
        <v>86572.78</v>
      </c>
    </row>
    <row r="1659" spans="1:10" ht="15" customHeight="1" x14ac:dyDescent="0.2">
      <c r="A1659" t="s">
        <v>4384</v>
      </c>
      <c r="B1659" t="s">
        <v>4385</v>
      </c>
      <c r="F1659" t="s">
        <v>2430</v>
      </c>
      <c r="G1659" t="s">
        <v>2431</v>
      </c>
      <c r="H1659" t="s">
        <v>2432</v>
      </c>
      <c r="I1659" t="s">
        <v>2433</v>
      </c>
      <c r="J1659" t="s">
        <v>2434</v>
      </c>
    </row>
    <row r="1660" spans="1:10" ht="15" customHeight="1" x14ac:dyDescent="0.2">
      <c r="A1660" s="420">
        <v>45688</v>
      </c>
      <c r="B1660" t="s">
        <v>2532</v>
      </c>
      <c r="C1660" t="s">
        <v>4384</v>
      </c>
      <c r="D1660" t="s">
        <v>4386</v>
      </c>
      <c r="E1660" t="s">
        <v>4387</v>
      </c>
      <c r="G1660">
        <v>2056.5700000000002</v>
      </c>
      <c r="I1660">
        <v>2056.5700000000002</v>
      </c>
      <c r="J1660" t="s">
        <v>2509</v>
      </c>
    </row>
    <row r="1661" spans="1:10" ht="15" customHeight="1" x14ac:dyDescent="0.2">
      <c r="A1661" s="420">
        <v>45688</v>
      </c>
      <c r="B1661" t="s">
        <v>2532</v>
      </c>
      <c r="C1661" t="s">
        <v>4384</v>
      </c>
      <c r="D1661" t="s">
        <v>4388</v>
      </c>
      <c r="E1661" t="s">
        <v>4389</v>
      </c>
      <c r="G1661">
        <v>9871.56</v>
      </c>
      <c r="I1661">
        <v>11928.13</v>
      </c>
      <c r="J1661" t="s">
        <v>2511</v>
      </c>
    </row>
    <row r="1662" spans="1:10" ht="15" customHeight="1" x14ac:dyDescent="0.2">
      <c r="A1662" s="420">
        <v>45706</v>
      </c>
      <c r="B1662" t="s">
        <v>2439</v>
      </c>
      <c r="C1662" t="s">
        <v>4384</v>
      </c>
      <c r="D1662" t="s">
        <v>4390</v>
      </c>
      <c r="E1662" t="s">
        <v>4391</v>
      </c>
      <c r="F1662">
        <v>9871.56</v>
      </c>
      <c r="I1662">
        <v>2056.5700000000002</v>
      </c>
      <c r="J1662" t="s">
        <v>2511</v>
      </c>
    </row>
    <row r="1663" spans="1:10" ht="15" customHeight="1" x14ac:dyDescent="0.2">
      <c r="A1663" s="420">
        <v>45832</v>
      </c>
      <c r="B1663" t="s">
        <v>2439</v>
      </c>
      <c r="C1663" t="s">
        <v>4384</v>
      </c>
      <c r="D1663" t="s">
        <v>2447</v>
      </c>
      <c r="E1663" t="s">
        <v>4392</v>
      </c>
      <c r="F1663">
        <v>2056.5700000000002</v>
      </c>
      <c r="J1663" t="s">
        <v>2509</v>
      </c>
    </row>
    <row r="1664" spans="1:10" ht="15" customHeight="1" x14ac:dyDescent="0.2">
      <c r="A1664" s="420">
        <v>45832</v>
      </c>
      <c r="B1664" t="s">
        <v>2547</v>
      </c>
      <c r="C1664" t="s">
        <v>4384</v>
      </c>
      <c r="D1664" t="s">
        <v>4393</v>
      </c>
      <c r="E1664" t="s">
        <v>4394</v>
      </c>
      <c r="G1664">
        <v>7828.15</v>
      </c>
      <c r="I1664">
        <v>7828.15</v>
      </c>
      <c r="J1664" t="s">
        <v>2513</v>
      </c>
    </row>
    <row r="1665" spans="1:10" ht="15" customHeight="1" x14ac:dyDescent="0.2">
      <c r="A1665" s="420">
        <v>45832</v>
      </c>
      <c r="B1665" t="s">
        <v>2547</v>
      </c>
      <c r="C1665" t="s">
        <v>4384</v>
      </c>
      <c r="D1665" t="s">
        <v>4395</v>
      </c>
      <c r="E1665" t="s">
        <v>4396</v>
      </c>
      <c r="G1665">
        <v>88371.58</v>
      </c>
      <c r="I1665">
        <v>96199.73</v>
      </c>
      <c r="J1665" t="s">
        <v>2513</v>
      </c>
    </row>
    <row r="1666" spans="1:10" ht="15" customHeight="1" x14ac:dyDescent="0.2">
      <c r="A1666" s="420">
        <v>45832</v>
      </c>
      <c r="B1666" t="s">
        <v>2439</v>
      </c>
      <c r="C1666" t="s">
        <v>4384</v>
      </c>
      <c r="D1666" t="s">
        <v>2447</v>
      </c>
      <c r="E1666" t="s">
        <v>4397</v>
      </c>
      <c r="F1666">
        <v>96199.73</v>
      </c>
      <c r="J1666" t="s">
        <v>2513</v>
      </c>
    </row>
    <row r="1667" spans="1:10" ht="15" customHeight="1" x14ac:dyDescent="0.2">
      <c r="A1667" t="s">
        <v>4384</v>
      </c>
      <c r="E1667" t="s">
        <v>349</v>
      </c>
      <c r="F1667">
        <v>108127.86</v>
      </c>
      <c r="G1667">
        <v>108127.86</v>
      </c>
    </row>
    <row r="1669" spans="1:10" ht="15" customHeight="1" x14ac:dyDescent="0.2">
      <c r="A1669" t="s">
        <v>4398</v>
      </c>
      <c r="B1669" t="s">
        <v>4399</v>
      </c>
      <c r="F1669" t="s">
        <v>2430</v>
      </c>
      <c r="G1669" t="s">
        <v>2431</v>
      </c>
      <c r="H1669" t="s">
        <v>2432</v>
      </c>
      <c r="I1669" t="s">
        <v>2433</v>
      </c>
      <c r="J1669" t="s">
        <v>2434</v>
      </c>
    </row>
    <row r="1670" spans="1:10" ht="15" customHeight="1" x14ac:dyDescent="0.2">
      <c r="A1670" s="420">
        <v>45716</v>
      </c>
      <c r="B1670" t="s">
        <v>2532</v>
      </c>
      <c r="C1670" t="s">
        <v>4398</v>
      </c>
      <c r="D1670" t="s">
        <v>4400</v>
      </c>
      <c r="E1670" t="s">
        <v>4401</v>
      </c>
      <c r="G1670">
        <v>8834.2800000000007</v>
      </c>
      <c r="I1670">
        <v>8834.2800000000007</v>
      </c>
      <c r="J1670" t="s">
        <v>2511</v>
      </c>
    </row>
    <row r="1671" spans="1:10" ht="15" customHeight="1" x14ac:dyDescent="0.2">
      <c r="A1671" s="420">
        <v>45719</v>
      </c>
      <c r="B1671" t="s">
        <v>2532</v>
      </c>
      <c r="C1671" t="s">
        <v>4398</v>
      </c>
      <c r="D1671" t="s">
        <v>4402</v>
      </c>
      <c r="E1671" t="s">
        <v>4403</v>
      </c>
      <c r="G1671">
        <v>1840.48</v>
      </c>
      <c r="I1671">
        <v>10674.76</v>
      </c>
      <c r="J1671" t="s">
        <v>2509</v>
      </c>
    </row>
    <row r="1672" spans="1:10" ht="15" customHeight="1" x14ac:dyDescent="0.2">
      <c r="A1672" s="420">
        <v>45722</v>
      </c>
      <c r="B1672" t="s">
        <v>2439</v>
      </c>
      <c r="C1672" t="s">
        <v>4398</v>
      </c>
      <c r="D1672" t="s">
        <v>4404</v>
      </c>
      <c r="E1672" t="s">
        <v>4405</v>
      </c>
      <c r="F1672">
        <v>8834.2800000000007</v>
      </c>
      <c r="I1672">
        <v>1840.48</v>
      </c>
      <c r="J1672" t="s">
        <v>2511</v>
      </c>
    </row>
    <row r="1673" spans="1:10" ht="15" customHeight="1" x14ac:dyDescent="0.2">
      <c r="A1673" s="420">
        <v>45820</v>
      </c>
      <c r="B1673" t="s">
        <v>2439</v>
      </c>
      <c r="C1673" t="s">
        <v>4398</v>
      </c>
      <c r="D1673" t="s">
        <v>4406</v>
      </c>
      <c r="E1673" t="s">
        <v>4407</v>
      </c>
      <c r="F1673">
        <v>78169.289999999994</v>
      </c>
      <c r="H1673">
        <v>76328.81</v>
      </c>
      <c r="J1673" t="s">
        <v>2513</v>
      </c>
    </row>
    <row r="1674" spans="1:10" ht="15" customHeight="1" x14ac:dyDescent="0.2">
      <c r="A1674" s="420">
        <v>45832</v>
      </c>
      <c r="B1674" t="s">
        <v>2439</v>
      </c>
      <c r="C1674" t="s">
        <v>4398</v>
      </c>
      <c r="D1674" t="s">
        <v>4408</v>
      </c>
      <c r="E1674" t="s">
        <v>4409</v>
      </c>
      <c r="F1674">
        <v>7828.15</v>
      </c>
      <c r="H1674">
        <v>84156.96</v>
      </c>
      <c r="J1674" t="s">
        <v>2513</v>
      </c>
    </row>
    <row r="1675" spans="1:10" ht="15" customHeight="1" x14ac:dyDescent="0.2">
      <c r="A1675" s="420">
        <v>45832</v>
      </c>
      <c r="B1675" t="s">
        <v>2439</v>
      </c>
      <c r="C1675" t="s">
        <v>4398</v>
      </c>
      <c r="D1675" t="s">
        <v>4410</v>
      </c>
      <c r="E1675" t="s">
        <v>4411</v>
      </c>
      <c r="F1675">
        <v>1840.48</v>
      </c>
      <c r="H1675">
        <v>85997.440000000002</v>
      </c>
      <c r="J1675" t="s">
        <v>2509</v>
      </c>
    </row>
    <row r="1676" spans="1:10" ht="15" customHeight="1" x14ac:dyDescent="0.2">
      <c r="A1676" s="420">
        <v>45832</v>
      </c>
      <c r="B1676" t="s">
        <v>2547</v>
      </c>
      <c r="C1676" t="s">
        <v>4398</v>
      </c>
      <c r="D1676" t="s">
        <v>4412</v>
      </c>
      <c r="E1676" t="s">
        <v>4413</v>
      </c>
      <c r="G1676">
        <v>7828.15</v>
      </c>
      <c r="H1676">
        <v>78169.289999999994</v>
      </c>
      <c r="J1676" t="s">
        <v>2513</v>
      </c>
    </row>
    <row r="1677" spans="1:10" ht="15" customHeight="1" x14ac:dyDescent="0.2">
      <c r="A1677" s="420">
        <v>45832</v>
      </c>
      <c r="B1677" t="s">
        <v>2547</v>
      </c>
      <c r="C1677" t="s">
        <v>4398</v>
      </c>
      <c r="D1677" t="s">
        <v>4414</v>
      </c>
      <c r="E1677" t="s">
        <v>4415</v>
      </c>
      <c r="G1677">
        <v>78169.289999999994</v>
      </c>
      <c r="J1677" t="s">
        <v>2513</v>
      </c>
    </row>
    <row r="1678" spans="1:10" ht="15" customHeight="1" x14ac:dyDescent="0.2">
      <c r="A1678" t="s">
        <v>4398</v>
      </c>
      <c r="E1678" t="s">
        <v>349</v>
      </c>
      <c r="F1678">
        <v>96672.2</v>
      </c>
      <c r="G1678">
        <v>96672.2</v>
      </c>
    </row>
    <row r="1680" spans="1:10" ht="15" customHeight="1" x14ac:dyDescent="0.2">
      <c r="A1680" t="s">
        <v>4416</v>
      </c>
      <c r="B1680" t="s">
        <v>4417</v>
      </c>
      <c r="F1680" t="s">
        <v>2430</v>
      </c>
      <c r="G1680" t="s">
        <v>2431</v>
      </c>
      <c r="H1680" t="s">
        <v>2432</v>
      </c>
      <c r="I1680" t="s">
        <v>2433</v>
      </c>
      <c r="J1680" t="s">
        <v>2434</v>
      </c>
    </row>
    <row r="1681" spans="1:10" ht="15" customHeight="1" x14ac:dyDescent="0.2">
      <c r="A1681" s="420">
        <v>45747</v>
      </c>
      <c r="B1681" t="s">
        <v>2532</v>
      </c>
      <c r="C1681" t="s">
        <v>4416</v>
      </c>
      <c r="D1681" t="s">
        <v>4418</v>
      </c>
      <c r="E1681" t="s">
        <v>4419</v>
      </c>
      <c r="G1681">
        <v>1840.79</v>
      </c>
      <c r="I1681">
        <v>1840.79</v>
      </c>
      <c r="J1681" t="s">
        <v>2509</v>
      </c>
    </row>
    <row r="1682" spans="1:10" ht="15" customHeight="1" x14ac:dyDescent="0.2">
      <c r="A1682" s="420">
        <v>45747</v>
      </c>
      <c r="B1682" t="s">
        <v>2532</v>
      </c>
      <c r="C1682" t="s">
        <v>4416</v>
      </c>
      <c r="D1682" t="s">
        <v>4420</v>
      </c>
      <c r="E1682" t="s">
        <v>4421</v>
      </c>
      <c r="G1682">
        <v>8835.7800000000007</v>
      </c>
      <c r="I1682">
        <v>10676.57</v>
      </c>
      <c r="J1682" t="s">
        <v>2511</v>
      </c>
    </row>
    <row r="1683" spans="1:10" ht="15" customHeight="1" x14ac:dyDescent="0.2">
      <c r="A1683" s="420">
        <v>45764</v>
      </c>
      <c r="B1683" t="s">
        <v>2439</v>
      </c>
      <c r="C1683" t="s">
        <v>4416</v>
      </c>
      <c r="D1683" t="s">
        <v>4422</v>
      </c>
      <c r="E1683" t="s">
        <v>4423</v>
      </c>
      <c r="F1683">
        <v>8835.7800000000007</v>
      </c>
      <c r="I1683">
        <v>1840.79</v>
      </c>
      <c r="J1683" t="s">
        <v>2511</v>
      </c>
    </row>
    <row r="1684" spans="1:10" ht="15" customHeight="1" x14ac:dyDescent="0.2">
      <c r="A1684" s="420">
        <v>45861</v>
      </c>
      <c r="B1684" t="s">
        <v>2532</v>
      </c>
      <c r="C1684" t="s">
        <v>4416</v>
      </c>
      <c r="D1684" t="s">
        <v>4424</v>
      </c>
      <c r="E1684" t="s">
        <v>4425</v>
      </c>
      <c r="G1684">
        <v>79666.399999999994</v>
      </c>
      <c r="I1684">
        <v>81507.19</v>
      </c>
      <c r="J1684" t="s">
        <v>2509</v>
      </c>
    </row>
    <row r="1685" spans="1:10" ht="15" customHeight="1" x14ac:dyDescent="0.2">
      <c r="A1685" s="420">
        <v>45861</v>
      </c>
      <c r="B1685" t="s">
        <v>2532</v>
      </c>
      <c r="C1685" t="s">
        <v>4416</v>
      </c>
      <c r="D1685" t="s">
        <v>4426</v>
      </c>
      <c r="E1685" t="s">
        <v>4427</v>
      </c>
      <c r="G1685">
        <v>7828.15</v>
      </c>
      <c r="I1685">
        <v>89335.34</v>
      </c>
      <c r="J1685" t="s">
        <v>2509</v>
      </c>
    </row>
    <row r="1686" spans="1:10" ht="15" customHeight="1" x14ac:dyDescent="0.2">
      <c r="A1686" s="420">
        <v>45861</v>
      </c>
      <c r="B1686" t="s">
        <v>2439</v>
      </c>
      <c r="C1686" t="s">
        <v>4416</v>
      </c>
      <c r="D1686" t="s">
        <v>4428</v>
      </c>
      <c r="E1686" t="s">
        <v>4349</v>
      </c>
      <c r="F1686">
        <v>79666.399999999994</v>
      </c>
      <c r="I1686">
        <v>9668.94</v>
      </c>
      <c r="J1686" t="s">
        <v>2509</v>
      </c>
    </row>
    <row r="1687" spans="1:10" ht="15" customHeight="1" x14ac:dyDescent="0.2">
      <c r="A1687" s="420">
        <v>45861</v>
      </c>
      <c r="B1687" t="s">
        <v>2439</v>
      </c>
      <c r="C1687" t="s">
        <v>4416</v>
      </c>
      <c r="D1687" t="s">
        <v>4429</v>
      </c>
      <c r="E1687" t="s">
        <v>4430</v>
      </c>
      <c r="F1687">
        <v>7828.15</v>
      </c>
      <c r="I1687">
        <v>1840.79</v>
      </c>
      <c r="J1687" t="s">
        <v>2509</v>
      </c>
    </row>
    <row r="1688" spans="1:10" ht="15" customHeight="1" x14ac:dyDescent="0.2">
      <c r="A1688" s="420">
        <v>45861</v>
      </c>
      <c r="B1688" t="s">
        <v>2439</v>
      </c>
      <c r="C1688" t="s">
        <v>4416</v>
      </c>
      <c r="D1688" t="s">
        <v>4431</v>
      </c>
      <c r="E1688" t="s">
        <v>4345</v>
      </c>
      <c r="F1688">
        <v>1840.79</v>
      </c>
      <c r="J1688" t="s">
        <v>2509</v>
      </c>
    </row>
    <row r="1689" spans="1:10" ht="15" customHeight="1" x14ac:dyDescent="0.2">
      <c r="A1689" t="s">
        <v>4416</v>
      </c>
      <c r="E1689" t="s">
        <v>349</v>
      </c>
      <c r="F1689">
        <v>98171.12</v>
      </c>
      <c r="G1689">
        <v>98171.12</v>
      </c>
    </row>
    <row r="1691" spans="1:10" ht="15" customHeight="1" x14ac:dyDescent="0.2">
      <c r="A1691" t="s">
        <v>4432</v>
      </c>
      <c r="B1691" t="s">
        <v>4433</v>
      </c>
      <c r="F1691" t="s">
        <v>2430</v>
      </c>
      <c r="G1691" t="s">
        <v>2431</v>
      </c>
      <c r="H1691" t="s">
        <v>2432</v>
      </c>
      <c r="I1691" t="s">
        <v>2433</v>
      </c>
      <c r="J1691" t="s">
        <v>2434</v>
      </c>
    </row>
    <row r="1692" spans="1:10" ht="15" customHeight="1" x14ac:dyDescent="0.2">
      <c r="A1692" s="420">
        <v>45777</v>
      </c>
      <c r="B1692" t="s">
        <v>2532</v>
      </c>
      <c r="C1692" t="s">
        <v>4432</v>
      </c>
      <c r="D1692" t="s">
        <v>4434</v>
      </c>
      <c r="E1692" t="s">
        <v>4435</v>
      </c>
      <c r="G1692">
        <v>1520.11</v>
      </c>
      <c r="I1692">
        <v>1520.11</v>
      </c>
      <c r="J1692" t="s">
        <v>2585</v>
      </c>
    </row>
    <row r="1693" spans="1:10" ht="15" customHeight="1" x14ac:dyDescent="0.2">
      <c r="A1693" s="420">
        <v>45777</v>
      </c>
      <c r="B1693" t="s">
        <v>2532</v>
      </c>
      <c r="C1693" t="s">
        <v>4432</v>
      </c>
      <c r="D1693" t="s">
        <v>4436</v>
      </c>
      <c r="E1693" t="s">
        <v>4437</v>
      </c>
      <c r="G1693">
        <v>7296.54</v>
      </c>
      <c r="I1693">
        <v>8816.65</v>
      </c>
      <c r="J1693" t="s">
        <v>2513</v>
      </c>
    </row>
    <row r="1694" spans="1:10" ht="15" customHeight="1" x14ac:dyDescent="0.2">
      <c r="A1694" s="420">
        <v>45779</v>
      </c>
      <c r="B1694" t="s">
        <v>2532</v>
      </c>
      <c r="C1694" t="s">
        <v>4432</v>
      </c>
      <c r="D1694" t="s">
        <v>4438</v>
      </c>
      <c r="E1694" t="s">
        <v>1489</v>
      </c>
      <c r="G1694">
        <v>400</v>
      </c>
      <c r="I1694">
        <v>9216.65</v>
      </c>
      <c r="J1694" t="s">
        <v>2511</v>
      </c>
    </row>
    <row r="1695" spans="1:10" ht="15" customHeight="1" x14ac:dyDescent="0.2">
      <c r="A1695" s="420">
        <v>45783</v>
      </c>
      <c r="B1695" t="s">
        <v>2439</v>
      </c>
      <c r="C1695" t="s">
        <v>4432</v>
      </c>
      <c r="D1695" t="s">
        <v>2447</v>
      </c>
      <c r="E1695" t="s">
        <v>4439</v>
      </c>
      <c r="F1695">
        <v>7296.54</v>
      </c>
      <c r="I1695">
        <v>1920.11</v>
      </c>
      <c r="J1695" t="s">
        <v>2513</v>
      </c>
    </row>
    <row r="1696" spans="1:10" ht="15" customHeight="1" x14ac:dyDescent="0.2">
      <c r="A1696" s="420">
        <v>45808</v>
      </c>
      <c r="B1696" t="s">
        <v>2532</v>
      </c>
      <c r="C1696" t="s">
        <v>4432</v>
      </c>
      <c r="D1696" t="s">
        <v>4440</v>
      </c>
      <c r="E1696" t="s">
        <v>1503</v>
      </c>
      <c r="G1696">
        <v>1150</v>
      </c>
      <c r="I1696">
        <v>3070.11</v>
      </c>
      <c r="J1696" t="s">
        <v>2509</v>
      </c>
    </row>
    <row r="1697" spans="1:10" ht="15" customHeight="1" x14ac:dyDescent="0.2">
      <c r="A1697" s="420">
        <v>45835</v>
      </c>
      <c r="B1697" t="s">
        <v>2333</v>
      </c>
      <c r="C1697" t="s">
        <v>4432</v>
      </c>
      <c r="D1697" t="s">
        <v>4225</v>
      </c>
      <c r="E1697" t="s">
        <v>4441</v>
      </c>
      <c r="F1697">
        <v>400</v>
      </c>
      <c r="I1697">
        <v>2670.11</v>
      </c>
      <c r="J1697" t="s">
        <v>2511</v>
      </c>
    </row>
    <row r="1698" spans="1:10" ht="15" customHeight="1" x14ac:dyDescent="0.2">
      <c r="A1698" s="420">
        <v>45868</v>
      </c>
      <c r="B1698" t="s">
        <v>2333</v>
      </c>
      <c r="C1698" t="s">
        <v>4432</v>
      </c>
      <c r="D1698" t="s">
        <v>4442</v>
      </c>
      <c r="E1698" t="s">
        <v>4443</v>
      </c>
      <c r="F1698">
        <v>1150</v>
      </c>
      <c r="I1698">
        <v>1520.11</v>
      </c>
      <c r="J1698" t="s">
        <v>2509</v>
      </c>
    </row>
    <row r="1699" spans="1:10" ht="15" customHeight="1" x14ac:dyDescent="0.2">
      <c r="A1699" s="420">
        <v>45922</v>
      </c>
      <c r="B1699" t="s">
        <v>2532</v>
      </c>
      <c r="C1699" t="s">
        <v>4432</v>
      </c>
      <c r="D1699" t="s">
        <v>4444</v>
      </c>
      <c r="E1699" t="s">
        <v>4445</v>
      </c>
      <c r="G1699">
        <v>58750.080000000002</v>
      </c>
      <c r="I1699">
        <v>60270.19</v>
      </c>
      <c r="J1699" t="s">
        <v>2585</v>
      </c>
    </row>
    <row r="1700" spans="1:10" ht="15" customHeight="1" x14ac:dyDescent="0.2">
      <c r="A1700" s="420">
        <v>45922</v>
      </c>
      <c r="B1700" t="s">
        <v>2532</v>
      </c>
      <c r="C1700" t="s">
        <v>4432</v>
      </c>
      <c r="D1700" t="s">
        <v>4446</v>
      </c>
      <c r="E1700" t="s">
        <v>4447</v>
      </c>
      <c r="G1700">
        <v>7828.15</v>
      </c>
      <c r="I1700">
        <v>68098.34</v>
      </c>
      <c r="J1700" t="s">
        <v>2585</v>
      </c>
    </row>
    <row r="1701" spans="1:10" ht="15" customHeight="1" x14ac:dyDescent="0.2">
      <c r="A1701" s="420">
        <v>45922</v>
      </c>
      <c r="B1701" t="s">
        <v>2439</v>
      </c>
      <c r="C1701" t="s">
        <v>4432</v>
      </c>
      <c r="D1701" t="s">
        <v>4448</v>
      </c>
      <c r="E1701" t="s">
        <v>4449</v>
      </c>
      <c r="F1701">
        <v>1520.11</v>
      </c>
      <c r="I1701">
        <v>66578.23</v>
      </c>
      <c r="J1701" t="s">
        <v>2585</v>
      </c>
    </row>
    <row r="1702" spans="1:10" ht="15" customHeight="1" x14ac:dyDescent="0.2">
      <c r="A1702" s="420">
        <v>45922</v>
      </c>
      <c r="B1702" t="s">
        <v>2439</v>
      </c>
      <c r="C1702" t="s">
        <v>4432</v>
      </c>
      <c r="D1702" t="s">
        <v>4450</v>
      </c>
      <c r="E1702" t="s">
        <v>4451</v>
      </c>
      <c r="F1702">
        <v>7828.15</v>
      </c>
      <c r="I1702">
        <v>58750.080000000002</v>
      </c>
      <c r="J1702" t="s">
        <v>2585</v>
      </c>
    </row>
    <row r="1703" spans="1:10" ht="15" customHeight="1" x14ac:dyDescent="0.2">
      <c r="A1703" s="420">
        <v>45922</v>
      </c>
      <c r="B1703" t="s">
        <v>2439</v>
      </c>
      <c r="C1703" t="s">
        <v>4432</v>
      </c>
      <c r="D1703" t="s">
        <v>4452</v>
      </c>
      <c r="E1703" t="s">
        <v>4453</v>
      </c>
      <c r="F1703">
        <v>58750.080000000002</v>
      </c>
      <c r="J1703" t="s">
        <v>2585</v>
      </c>
    </row>
    <row r="1704" spans="1:10" ht="15" customHeight="1" x14ac:dyDescent="0.2">
      <c r="A1704" t="s">
        <v>4432</v>
      </c>
      <c r="E1704" t="s">
        <v>349</v>
      </c>
      <c r="F1704">
        <v>76944.88</v>
      </c>
      <c r="G1704">
        <v>76944.88</v>
      </c>
    </row>
    <row r="1706" spans="1:10" ht="15" customHeight="1" x14ac:dyDescent="0.2">
      <c r="A1706" t="s">
        <v>4454</v>
      </c>
      <c r="B1706" t="s">
        <v>4455</v>
      </c>
      <c r="F1706" t="s">
        <v>2430</v>
      </c>
      <c r="G1706" t="s">
        <v>2431</v>
      </c>
      <c r="H1706" t="s">
        <v>2432</v>
      </c>
      <c r="I1706" t="s">
        <v>2433</v>
      </c>
      <c r="J1706" t="s">
        <v>2434</v>
      </c>
    </row>
    <row r="1707" spans="1:10" ht="15" customHeight="1" x14ac:dyDescent="0.2">
      <c r="A1707" s="420">
        <v>45779</v>
      </c>
      <c r="B1707" t="s">
        <v>2532</v>
      </c>
      <c r="C1707" t="s">
        <v>4454</v>
      </c>
      <c r="D1707" t="s">
        <v>4456</v>
      </c>
      <c r="E1707" t="s">
        <v>4457</v>
      </c>
      <c r="G1707">
        <v>1717.79</v>
      </c>
      <c r="I1707">
        <v>1717.79</v>
      </c>
      <c r="J1707" t="s">
        <v>2585</v>
      </c>
    </row>
    <row r="1708" spans="1:10" ht="15" customHeight="1" x14ac:dyDescent="0.2">
      <c r="A1708" s="420">
        <v>45779</v>
      </c>
      <c r="B1708" t="s">
        <v>2532</v>
      </c>
      <c r="C1708" t="s">
        <v>4454</v>
      </c>
      <c r="D1708" t="s">
        <v>4458</v>
      </c>
      <c r="E1708" t="s">
        <v>4459</v>
      </c>
      <c r="G1708">
        <v>8245.3799999999992</v>
      </c>
      <c r="I1708">
        <v>9963.17</v>
      </c>
      <c r="J1708" t="s">
        <v>2511</v>
      </c>
    </row>
    <row r="1709" spans="1:10" ht="15" customHeight="1" x14ac:dyDescent="0.2">
      <c r="A1709" s="420">
        <v>45811</v>
      </c>
      <c r="B1709" t="s">
        <v>2439</v>
      </c>
      <c r="C1709" t="s">
        <v>4454</v>
      </c>
      <c r="D1709" t="s">
        <v>4460</v>
      </c>
      <c r="E1709" t="s">
        <v>4461</v>
      </c>
      <c r="F1709">
        <v>8245.3799999999992</v>
      </c>
      <c r="I1709">
        <v>1717.79</v>
      </c>
      <c r="J1709" t="s">
        <v>2511</v>
      </c>
    </row>
    <row r="1710" spans="1:10" ht="15" customHeight="1" x14ac:dyDescent="0.2">
      <c r="A1710" s="420">
        <v>45965</v>
      </c>
      <c r="B1710" t="s">
        <v>2532</v>
      </c>
      <c r="C1710" t="s">
        <v>4454</v>
      </c>
      <c r="D1710" t="s">
        <v>4462</v>
      </c>
      <c r="E1710" t="s">
        <v>4463</v>
      </c>
      <c r="G1710">
        <v>69147.94</v>
      </c>
      <c r="I1710">
        <v>70865.73</v>
      </c>
      <c r="J1710" t="s">
        <v>2509</v>
      </c>
    </row>
    <row r="1711" spans="1:10" ht="15" customHeight="1" x14ac:dyDescent="0.2">
      <c r="A1711" s="420">
        <v>45965</v>
      </c>
      <c r="B1711" t="s">
        <v>2532</v>
      </c>
      <c r="C1711" t="s">
        <v>4454</v>
      </c>
      <c r="D1711" t="s">
        <v>4464</v>
      </c>
      <c r="E1711" t="s">
        <v>4465</v>
      </c>
      <c r="G1711">
        <v>7828.15</v>
      </c>
      <c r="I1711">
        <v>78693.88</v>
      </c>
      <c r="J1711" t="s">
        <v>2513</v>
      </c>
    </row>
    <row r="1712" spans="1:10" ht="15" customHeight="1" x14ac:dyDescent="0.2">
      <c r="A1712" s="420">
        <v>45965</v>
      </c>
      <c r="B1712" t="s">
        <v>2439</v>
      </c>
      <c r="C1712" t="s">
        <v>4454</v>
      </c>
      <c r="D1712" t="s">
        <v>4466</v>
      </c>
      <c r="E1712" t="s">
        <v>4467</v>
      </c>
      <c r="F1712">
        <v>1717.79</v>
      </c>
      <c r="I1712">
        <v>76976.09</v>
      </c>
      <c r="J1712" t="s">
        <v>2585</v>
      </c>
    </row>
    <row r="1713" spans="1:10" ht="15" customHeight="1" x14ac:dyDescent="0.2">
      <c r="A1713" s="420">
        <v>45965</v>
      </c>
      <c r="B1713" t="s">
        <v>2439</v>
      </c>
      <c r="C1713" t="s">
        <v>4454</v>
      </c>
      <c r="D1713" t="s">
        <v>4468</v>
      </c>
      <c r="E1713" t="s">
        <v>4469</v>
      </c>
      <c r="F1713">
        <v>7828.15</v>
      </c>
      <c r="I1713">
        <v>69147.94</v>
      </c>
      <c r="J1713" t="s">
        <v>2513</v>
      </c>
    </row>
    <row r="1714" spans="1:10" ht="15" customHeight="1" x14ac:dyDescent="0.2">
      <c r="A1714" s="420">
        <v>45965</v>
      </c>
      <c r="B1714" t="s">
        <v>2439</v>
      </c>
      <c r="C1714" t="s">
        <v>4454</v>
      </c>
      <c r="D1714" t="s">
        <v>4470</v>
      </c>
      <c r="E1714" t="s">
        <v>4471</v>
      </c>
      <c r="F1714">
        <v>69147.94</v>
      </c>
      <c r="J1714" t="s">
        <v>2509</v>
      </c>
    </row>
    <row r="1715" spans="1:10" ht="15" customHeight="1" x14ac:dyDescent="0.2">
      <c r="A1715" t="s">
        <v>4454</v>
      </c>
      <c r="E1715" t="s">
        <v>349</v>
      </c>
      <c r="F1715">
        <v>86939.26</v>
      </c>
      <c r="G1715">
        <v>86939.26</v>
      </c>
    </row>
    <row r="1717" spans="1:10" ht="15" customHeight="1" x14ac:dyDescent="0.2">
      <c r="A1717" t="s">
        <v>4472</v>
      </c>
      <c r="B1717" t="s">
        <v>4473</v>
      </c>
      <c r="F1717" t="s">
        <v>2430</v>
      </c>
      <c r="G1717" t="s">
        <v>2431</v>
      </c>
      <c r="H1717" t="s">
        <v>2432</v>
      </c>
      <c r="I1717" t="s">
        <v>2433</v>
      </c>
      <c r="J1717" t="s">
        <v>2434</v>
      </c>
    </row>
    <row r="1718" spans="1:10" ht="15" customHeight="1" x14ac:dyDescent="0.2">
      <c r="A1718" s="420">
        <v>45810</v>
      </c>
      <c r="B1718" t="s">
        <v>2532</v>
      </c>
      <c r="C1718" t="s">
        <v>4472</v>
      </c>
      <c r="D1718" t="s">
        <v>4474</v>
      </c>
      <c r="E1718" t="s">
        <v>4475</v>
      </c>
      <c r="G1718">
        <v>9534.2999999999993</v>
      </c>
      <c r="I1718">
        <v>9534.2999999999993</v>
      </c>
      <c r="J1718" t="s">
        <v>2511</v>
      </c>
    </row>
    <row r="1719" spans="1:10" ht="15" customHeight="1" x14ac:dyDescent="0.2">
      <c r="A1719" s="420">
        <v>45810</v>
      </c>
      <c r="B1719" t="s">
        <v>2532</v>
      </c>
      <c r="C1719" t="s">
        <v>4472</v>
      </c>
      <c r="D1719" t="s">
        <v>4476</v>
      </c>
      <c r="E1719" t="s">
        <v>4477</v>
      </c>
      <c r="G1719">
        <v>1986.31</v>
      </c>
      <c r="I1719">
        <v>11520.61</v>
      </c>
      <c r="J1719" t="s">
        <v>2513</v>
      </c>
    </row>
    <row r="1720" spans="1:10" ht="15" customHeight="1" x14ac:dyDescent="0.2">
      <c r="A1720" s="420">
        <v>45811</v>
      </c>
      <c r="B1720" t="s">
        <v>2439</v>
      </c>
      <c r="C1720" t="s">
        <v>4472</v>
      </c>
      <c r="D1720" t="s">
        <v>4478</v>
      </c>
      <c r="E1720" t="s">
        <v>4479</v>
      </c>
      <c r="F1720">
        <v>9534.2999999999993</v>
      </c>
      <c r="I1720">
        <v>1986.31</v>
      </c>
      <c r="J1720" t="s">
        <v>2511</v>
      </c>
    </row>
    <row r="1721" spans="1:10" ht="15" customHeight="1" x14ac:dyDescent="0.2">
      <c r="A1721" s="420">
        <v>45991</v>
      </c>
      <c r="B1721" t="s">
        <v>2532</v>
      </c>
      <c r="C1721" t="s">
        <v>4472</v>
      </c>
      <c r="D1721" t="s">
        <v>4480</v>
      </c>
      <c r="E1721" t="s">
        <v>4481</v>
      </c>
      <c r="G1721">
        <v>7828.15</v>
      </c>
      <c r="I1721">
        <v>9814.4599999999991</v>
      </c>
      <c r="J1721" t="s">
        <v>2509</v>
      </c>
    </row>
    <row r="1722" spans="1:10" ht="15" customHeight="1" x14ac:dyDescent="0.2">
      <c r="A1722" s="420">
        <v>45991</v>
      </c>
      <c r="B1722" t="s">
        <v>2532</v>
      </c>
      <c r="C1722" t="s">
        <v>4472</v>
      </c>
      <c r="D1722" t="s">
        <v>4482</v>
      </c>
      <c r="E1722" t="s">
        <v>4483</v>
      </c>
      <c r="G1722">
        <v>81535.09</v>
      </c>
      <c r="I1722">
        <v>91349.55</v>
      </c>
      <c r="J1722" t="s">
        <v>2509</v>
      </c>
    </row>
    <row r="1723" spans="1:10" ht="15" customHeight="1" x14ac:dyDescent="0.2">
      <c r="A1723" s="420">
        <v>45994</v>
      </c>
      <c r="B1723" t="s">
        <v>2439</v>
      </c>
      <c r="C1723" t="s">
        <v>4472</v>
      </c>
      <c r="D1723" t="s">
        <v>4484</v>
      </c>
      <c r="E1723" t="s">
        <v>4485</v>
      </c>
      <c r="F1723">
        <v>81535.09</v>
      </c>
      <c r="I1723">
        <v>9814.4599999999991</v>
      </c>
      <c r="J1723" t="s">
        <v>2509</v>
      </c>
    </row>
    <row r="1724" spans="1:10" ht="15" customHeight="1" x14ac:dyDescent="0.2">
      <c r="A1724" s="420">
        <v>45994</v>
      </c>
      <c r="B1724" t="s">
        <v>2439</v>
      </c>
      <c r="C1724" t="s">
        <v>4472</v>
      </c>
      <c r="D1724" t="s">
        <v>4486</v>
      </c>
      <c r="E1724" t="s">
        <v>4487</v>
      </c>
      <c r="F1724">
        <v>1986.31</v>
      </c>
      <c r="I1724">
        <v>7828.15</v>
      </c>
      <c r="J1724" t="s">
        <v>2513</v>
      </c>
    </row>
    <row r="1725" spans="1:10" ht="15" customHeight="1" x14ac:dyDescent="0.2">
      <c r="A1725" s="420">
        <v>45994</v>
      </c>
      <c r="B1725" t="s">
        <v>2439</v>
      </c>
      <c r="C1725" t="s">
        <v>4472</v>
      </c>
      <c r="D1725" t="s">
        <v>4488</v>
      </c>
      <c r="E1725" t="s">
        <v>4489</v>
      </c>
      <c r="F1725">
        <v>7828.15</v>
      </c>
      <c r="J1725" t="s">
        <v>2509</v>
      </c>
    </row>
    <row r="1726" spans="1:10" ht="15" customHeight="1" x14ac:dyDescent="0.2">
      <c r="A1726" t="s">
        <v>4472</v>
      </c>
      <c r="E1726" t="s">
        <v>349</v>
      </c>
      <c r="F1726">
        <v>100883.85</v>
      </c>
      <c r="G1726">
        <v>100883.85</v>
      </c>
    </row>
    <row r="1728" spans="1:10" ht="15" customHeight="1" x14ac:dyDescent="0.2">
      <c r="A1728" t="s">
        <v>4490</v>
      </c>
      <c r="B1728" t="s">
        <v>4491</v>
      </c>
      <c r="F1728" t="s">
        <v>2430</v>
      </c>
      <c r="G1728" t="s">
        <v>2431</v>
      </c>
      <c r="H1728" t="s">
        <v>2432</v>
      </c>
      <c r="I1728" t="s">
        <v>2433</v>
      </c>
      <c r="J1728" t="s">
        <v>2434</v>
      </c>
    </row>
    <row r="1729" spans="1:10" ht="15" customHeight="1" x14ac:dyDescent="0.2">
      <c r="A1729" s="420">
        <v>45808</v>
      </c>
      <c r="B1729" t="s">
        <v>2532</v>
      </c>
      <c r="C1729" t="s">
        <v>4490</v>
      </c>
      <c r="D1729" t="s">
        <v>4492</v>
      </c>
      <c r="E1729" t="s">
        <v>4493</v>
      </c>
      <c r="G1729">
        <v>7811.7</v>
      </c>
      <c r="I1729">
        <v>7811.7</v>
      </c>
      <c r="J1729" t="s">
        <v>2511</v>
      </c>
    </row>
    <row r="1730" spans="1:10" ht="15" customHeight="1" x14ac:dyDescent="0.2">
      <c r="A1730" s="420">
        <v>45810</v>
      </c>
      <c r="B1730" t="s">
        <v>2532</v>
      </c>
      <c r="C1730" t="s">
        <v>4490</v>
      </c>
      <c r="D1730" t="s">
        <v>4494</v>
      </c>
      <c r="E1730" t="s">
        <v>4495</v>
      </c>
      <c r="G1730">
        <v>1627.44</v>
      </c>
      <c r="I1730">
        <v>9439.14</v>
      </c>
      <c r="J1730" t="s">
        <v>2509</v>
      </c>
    </row>
    <row r="1731" spans="1:10" ht="15" customHeight="1" x14ac:dyDescent="0.2">
      <c r="A1731" s="420">
        <v>45838</v>
      </c>
      <c r="B1731" t="s">
        <v>2439</v>
      </c>
      <c r="C1731" t="s">
        <v>4490</v>
      </c>
      <c r="D1731" t="s">
        <v>4496</v>
      </c>
      <c r="E1731" t="s">
        <v>4358</v>
      </c>
      <c r="F1731">
        <v>7811.7</v>
      </c>
      <c r="I1731">
        <v>1627.44</v>
      </c>
      <c r="J1731" t="s">
        <v>2511</v>
      </c>
    </row>
    <row r="1732" spans="1:10" ht="15" customHeight="1" x14ac:dyDescent="0.2">
      <c r="A1732" s="420">
        <v>46008</v>
      </c>
      <c r="B1732" t="s">
        <v>2532</v>
      </c>
      <c r="C1732" t="s">
        <v>4490</v>
      </c>
      <c r="D1732" t="s">
        <v>4497</v>
      </c>
      <c r="E1732" t="s">
        <v>4498</v>
      </c>
      <c r="G1732">
        <v>64237.51</v>
      </c>
      <c r="I1732">
        <v>65864.95</v>
      </c>
      <c r="J1732" t="s">
        <v>2509</v>
      </c>
    </row>
    <row r="1733" spans="1:10" ht="15" customHeight="1" x14ac:dyDescent="0.2">
      <c r="A1733" s="420">
        <v>46008</v>
      </c>
      <c r="B1733" t="s">
        <v>2532</v>
      </c>
      <c r="C1733" t="s">
        <v>4490</v>
      </c>
      <c r="D1733" t="s">
        <v>4499</v>
      </c>
      <c r="E1733" t="s">
        <v>4500</v>
      </c>
      <c r="G1733">
        <v>7828.15</v>
      </c>
      <c r="I1733">
        <v>73693.100000000006</v>
      </c>
      <c r="J1733" t="s">
        <v>2509</v>
      </c>
    </row>
    <row r="1734" spans="1:10" ht="15" customHeight="1" x14ac:dyDescent="0.2">
      <c r="A1734" s="420">
        <v>46008</v>
      </c>
      <c r="B1734" t="s">
        <v>2439</v>
      </c>
      <c r="C1734" t="s">
        <v>4490</v>
      </c>
      <c r="D1734" t="s">
        <v>4501</v>
      </c>
      <c r="E1734" t="s">
        <v>4502</v>
      </c>
      <c r="F1734">
        <v>7828.15</v>
      </c>
      <c r="I1734">
        <v>65864.95</v>
      </c>
      <c r="J1734" t="s">
        <v>2509</v>
      </c>
    </row>
    <row r="1735" spans="1:10" ht="15" customHeight="1" x14ac:dyDescent="0.2">
      <c r="A1735" s="420">
        <v>46008</v>
      </c>
      <c r="B1735" t="s">
        <v>2439</v>
      </c>
      <c r="C1735" t="s">
        <v>4490</v>
      </c>
      <c r="D1735" t="s">
        <v>4503</v>
      </c>
      <c r="E1735" t="s">
        <v>4504</v>
      </c>
      <c r="F1735">
        <v>1627.44</v>
      </c>
      <c r="I1735">
        <v>64237.51</v>
      </c>
      <c r="J1735" t="s">
        <v>2509</v>
      </c>
    </row>
    <row r="1736" spans="1:10" ht="15" customHeight="1" x14ac:dyDescent="0.2">
      <c r="A1736" s="420">
        <v>46008</v>
      </c>
      <c r="B1736" t="s">
        <v>2439</v>
      </c>
      <c r="C1736" t="s">
        <v>4490</v>
      </c>
      <c r="D1736" t="s">
        <v>4505</v>
      </c>
      <c r="E1736" t="s">
        <v>4506</v>
      </c>
      <c r="F1736">
        <v>64237.51</v>
      </c>
      <c r="J1736" t="s">
        <v>2509</v>
      </c>
    </row>
    <row r="1737" spans="1:10" ht="15" customHeight="1" x14ac:dyDescent="0.2">
      <c r="A1737" t="s">
        <v>4490</v>
      </c>
      <c r="E1737" t="s">
        <v>349</v>
      </c>
      <c r="F1737">
        <v>81504.800000000003</v>
      </c>
      <c r="G1737">
        <v>81504.800000000003</v>
      </c>
    </row>
    <row r="1739" spans="1:10" ht="15" customHeight="1" x14ac:dyDescent="0.2">
      <c r="A1739" t="s">
        <v>4507</v>
      </c>
      <c r="B1739" t="s">
        <v>4508</v>
      </c>
      <c r="F1739" t="s">
        <v>2430</v>
      </c>
      <c r="G1739" t="s">
        <v>2431</v>
      </c>
      <c r="H1739" t="s">
        <v>2432</v>
      </c>
      <c r="I1739" t="s">
        <v>2433</v>
      </c>
      <c r="J1739" t="s">
        <v>2434</v>
      </c>
    </row>
    <row r="1740" spans="1:10" ht="15" customHeight="1" x14ac:dyDescent="0.2">
      <c r="A1740" s="420">
        <v>45777</v>
      </c>
      <c r="B1740" t="s">
        <v>2547</v>
      </c>
      <c r="C1740" t="s">
        <v>4507</v>
      </c>
      <c r="D1740" t="s">
        <v>4509</v>
      </c>
      <c r="E1740" t="s">
        <v>4510</v>
      </c>
      <c r="G1740">
        <v>7375.68</v>
      </c>
      <c r="I1740">
        <v>7375.68</v>
      </c>
      <c r="J1740" t="s">
        <v>2511</v>
      </c>
    </row>
    <row r="1741" spans="1:10" ht="15" customHeight="1" x14ac:dyDescent="0.2">
      <c r="A1741" s="420">
        <v>45777</v>
      </c>
      <c r="B1741" t="s">
        <v>2547</v>
      </c>
      <c r="C1741" t="s">
        <v>4507</v>
      </c>
      <c r="D1741" t="s">
        <v>4511</v>
      </c>
      <c r="E1741" t="s">
        <v>4512</v>
      </c>
      <c r="G1741">
        <v>1536.6</v>
      </c>
      <c r="I1741">
        <v>8912.2800000000007</v>
      </c>
      <c r="J1741" t="s">
        <v>2509</v>
      </c>
    </row>
    <row r="1742" spans="1:10" ht="15" customHeight="1" x14ac:dyDescent="0.2">
      <c r="A1742" s="420">
        <v>45784</v>
      </c>
      <c r="B1742" t="s">
        <v>2439</v>
      </c>
      <c r="C1742" t="s">
        <v>4507</v>
      </c>
      <c r="D1742" t="s">
        <v>2447</v>
      </c>
      <c r="E1742" t="s">
        <v>4513</v>
      </c>
      <c r="F1742">
        <v>7375.68</v>
      </c>
      <c r="I1742">
        <v>1536.6</v>
      </c>
      <c r="J1742" t="s">
        <v>2511</v>
      </c>
    </row>
    <row r="1743" spans="1:10" ht="15" customHeight="1" x14ac:dyDescent="0.2">
      <c r="A1743" s="420">
        <v>45944</v>
      </c>
      <c r="B1743" t="s">
        <v>2532</v>
      </c>
      <c r="C1743" t="s">
        <v>4507</v>
      </c>
      <c r="D1743" t="s">
        <v>4514</v>
      </c>
      <c r="E1743" t="s">
        <v>4515</v>
      </c>
      <c r="G1743">
        <v>64712.33</v>
      </c>
      <c r="I1743">
        <v>66248.929999999993</v>
      </c>
      <c r="J1743" t="s">
        <v>2509</v>
      </c>
    </row>
    <row r="1744" spans="1:10" ht="15" customHeight="1" x14ac:dyDescent="0.2">
      <c r="A1744" s="420">
        <v>45944</v>
      </c>
      <c r="B1744" t="s">
        <v>2532</v>
      </c>
      <c r="C1744" t="s">
        <v>4507</v>
      </c>
      <c r="D1744" t="s">
        <v>4516</v>
      </c>
      <c r="E1744" t="s">
        <v>4517</v>
      </c>
      <c r="G1744">
        <v>7828.15</v>
      </c>
      <c r="I1744">
        <v>74077.08</v>
      </c>
      <c r="J1744" t="s">
        <v>2509</v>
      </c>
    </row>
    <row r="1745" spans="1:10" ht="15" customHeight="1" x14ac:dyDescent="0.2">
      <c r="A1745" s="420">
        <v>45944</v>
      </c>
      <c r="B1745" t="s">
        <v>2439</v>
      </c>
      <c r="C1745" t="s">
        <v>4507</v>
      </c>
      <c r="D1745" t="s">
        <v>4518</v>
      </c>
      <c r="E1745" t="s">
        <v>4512</v>
      </c>
      <c r="F1745">
        <v>1536.6</v>
      </c>
      <c r="I1745">
        <v>72540.479999999996</v>
      </c>
      <c r="J1745" t="s">
        <v>2509</v>
      </c>
    </row>
    <row r="1746" spans="1:10" ht="15" customHeight="1" x14ac:dyDescent="0.2">
      <c r="A1746" s="420">
        <v>45944</v>
      </c>
      <c r="B1746" t="s">
        <v>2439</v>
      </c>
      <c r="C1746" t="s">
        <v>4507</v>
      </c>
      <c r="D1746" t="s">
        <v>4519</v>
      </c>
      <c r="E1746" t="s">
        <v>4520</v>
      </c>
      <c r="F1746">
        <v>7828.15</v>
      </c>
      <c r="I1746">
        <v>64712.33</v>
      </c>
      <c r="J1746" t="s">
        <v>2509</v>
      </c>
    </row>
    <row r="1747" spans="1:10" ht="15" customHeight="1" x14ac:dyDescent="0.2">
      <c r="A1747" s="420">
        <v>45944</v>
      </c>
      <c r="B1747" t="s">
        <v>2439</v>
      </c>
      <c r="C1747" t="s">
        <v>4507</v>
      </c>
      <c r="D1747" t="s">
        <v>4521</v>
      </c>
      <c r="E1747" t="s">
        <v>4522</v>
      </c>
      <c r="F1747">
        <v>64712.33</v>
      </c>
      <c r="J1747" t="s">
        <v>2509</v>
      </c>
    </row>
    <row r="1748" spans="1:10" ht="15" customHeight="1" x14ac:dyDescent="0.2">
      <c r="A1748" t="s">
        <v>4507</v>
      </c>
      <c r="E1748" t="s">
        <v>349</v>
      </c>
      <c r="F1748">
        <v>81452.759999999995</v>
      </c>
      <c r="G1748">
        <v>81452.759999999995</v>
      </c>
    </row>
    <row r="1750" spans="1:10" ht="15" customHeight="1" x14ac:dyDescent="0.2">
      <c r="A1750" t="s">
        <v>4523</v>
      </c>
      <c r="B1750" t="s">
        <v>4524</v>
      </c>
      <c r="F1750" t="s">
        <v>2430</v>
      </c>
      <c r="G1750" t="s">
        <v>2431</v>
      </c>
      <c r="H1750" t="s">
        <v>2432</v>
      </c>
      <c r="I1750" t="s">
        <v>2433</v>
      </c>
      <c r="J1750" t="s">
        <v>2434</v>
      </c>
    </row>
    <row r="1751" spans="1:10" ht="15" customHeight="1" x14ac:dyDescent="0.2">
      <c r="A1751" s="420">
        <v>45839</v>
      </c>
      <c r="B1751" t="s">
        <v>2547</v>
      </c>
      <c r="C1751" t="s">
        <v>4523</v>
      </c>
      <c r="D1751" t="s">
        <v>4525</v>
      </c>
      <c r="E1751" t="s">
        <v>4526</v>
      </c>
      <c r="G1751">
        <v>2046.94</v>
      </c>
      <c r="I1751">
        <v>2046.94</v>
      </c>
      <c r="J1751" t="s">
        <v>2509</v>
      </c>
    </row>
    <row r="1752" spans="1:10" ht="15" customHeight="1" x14ac:dyDescent="0.2">
      <c r="A1752" s="420">
        <v>45839</v>
      </c>
      <c r="B1752" t="s">
        <v>2547</v>
      </c>
      <c r="C1752" t="s">
        <v>4523</v>
      </c>
      <c r="D1752" t="s">
        <v>4527</v>
      </c>
      <c r="E1752" t="s">
        <v>4528</v>
      </c>
      <c r="G1752">
        <v>9825.2999999999993</v>
      </c>
      <c r="I1752">
        <v>11872.24</v>
      </c>
      <c r="J1752" t="s">
        <v>2511</v>
      </c>
    </row>
    <row r="1753" spans="1:10" ht="15" customHeight="1" x14ac:dyDescent="0.2">
      <c r="A1753" s="420">
        <v>45888</v>
      </c>
      <c r="B1753" t="s">
        <v>2439</v>
      </c>
      <c r="C1753" t="s">
        <v>4523</v>
      </c>
      <c r="D1753" t="s">
        <v>4529</v>
      </c>
      <c r="E1753" t="s">
        <v>4530</v>
      </c>
      <c r="F1753">
        <v>9825.2999999999993</v>
      </c>
      <c r="I1753">
        <v>2046.94</v>
      </c>
      <c r="J1753" t="s">
        <v>2511</v>
      </c>
    </row>
    <row r="1754" spans="1:10" ht="15" customHeight="1" x14ac:dyDescent="0.2">
      <c r="A1754" t="s">
        <v>4523</v>
      </c>
      <c r="E1754" t="s">
        <v>349</v>
      </c>
      <c r="F1754">
        <v>9825.2999999999993</v>
      </c>
      <c r="G1754">
        <v>11872.24</v>
      </c>
      <c r="I1754">
        <v>2046.94</v>
      </c>
    </row>
    <row r="1756" spans="1:10" ht="15" customHeight="1" x14ac:dyDescent="0.2">
      <c r="A1756" t="s">
        <v>4531</v>
      </c>
      <c r="B1756" t="s">
        <v>4532</v>
      </c>
      <c r="F1756" t="s">
        <v>2430</v>
      </c>
      <c r="G1756" t="s">
        <v>2431</v>
      </c>
      <c r="H1756" t="s">
        <v>2432</v>
      </c>
      <c r="I1756" t="s">
        <v>2433</v>
      </c>
      <c r="J1756" t="s">
        <v>2434</v>
      </c>
    </row>
    <row r="1757" spans="1:10" ht="15" customHeight="1" x14ac:dyDescent="0.2">
      <c r="A1757" s="420">
        <v>45869</v>
      </c>
      <c r="B1757" t="s">
        <v>2532</v>
      </c>
      <c r="C1757" t="s">
        <v>4531</v>
      </c>
      <c r="D1757" t="s">
        <v>4533</v>
      </c>
      <c r="E1757" t="s">
        <v>4534</v>
      </c>
      <c r="G1757">
        <v>4104.3500000000004</v>
      </c>
      <c r="I1757">
        <v>4104.3500000000004</v>
      </c>
      <c r="J1757" t="s">
        <v>2511</v>
      </c>
    </row>
    <row r="1758" spans="1:10" ht="15" customHeight="1" x14ac:dyDescent="0.2">
      <c r="A1758" s="420">
        <v>45869</v>
      </c>
      <c r="B1758" t="s">
        <v>2532</v>
      </c>
      <c r="C1758" t="s">
        <v>4531</v>
      </c>
      <c r="D1758" t="s">
        <v>4535</v>
      </c>
      <c r="E1758" t="s">
        <v>4536</v>
      </c>
      <c r="G1758">
        <v>9850.44</v>
      </c>
      <c r="I1758">
        <v>13954.79</v>
      </c>
      <c r="J1758" t="s">
        <v>2511</v>
      </c>
    </row>
    <row r="1759" spans="1:10" ht="15" customHeight="1" x14ac:dyDescent="0.2">
      <c r="A1759" s="420">
        <v>45889</v>
      </c>
      <c r="B1759" t="s">
        <v>2439</v>
      </c>
      <c r="C1759" t="s">
        <v>4531</v>
      </c>
      <c r="D1759" t="s">
        <v>4537</v>
      </c>
      <c r="E1759" t="s">
        <v>4538</v>
      </c>
      <c r="F1759">
        <v>9850.44</v>
      </c>
      <c r="I1759">
        <v>4104.3500000000004</v>
      </c>
      <c r="J1759" t="s">
        <v>2511</v>
      </c>
    </row>
    <row r="1760" spans="1:10" ht="15" customHeight="1" x14ac:dyDescent="0.2">
      <c r="A1760" t="s">
        <v>4531</v>
      </c>
      <c r="E1760" t="s">
        <v>349</v>
      </c>
      <c r="F1760">
        <v>9850.44</v>
      </c>
      <c r="G1760">
        <v>13954.79</v>
      </c>
      <c r="I1760">
        <v>4104.3500000000004</v>
      </c>
    </row>
    <row r="1762" spans="1:10" ht="15" customHeight="1" x14ac:dyDescent="0.2">
      <c r="A1762" t="s">
        <v>4539</v>
      </c>
      <c r="B1762" t="s">
        <v>4540</v>
      </c>
      <c r="F1762" t="s">
        <v>2430</v>
      </c>
      <c r="G1762" t="s">
        <v>2431</v>
      </c>
      <c r="H1762" t="s">
        <v>2432</v>
      </c>
      <c r="I1762" t="s">
        <v>2433</v>
      </c>
      <c r="J1762" t="s">
        <v>2434</v>
      </c>
    </row>
    <row r="1763" spans="1:10" ht="15" customHeight="1" x14ac:dyDescent="0.2">
      <c r="A1763" s="420">
        <v>45869</v>
      </c>
      <c r="B1763" t="s">
        <v>2532</v>
      </c>
      <c r="C1763" t="s">
        <v>4539</v>
      </c>
      <c r="D1763" t="s">
        <v>4541</v>
      </c>
      <c r="E1763" t="s">
        <v>4542</v>
      </c>
      <c r="G1763">
        <v>3545.72</v>
      </c>
      <c r="I1763">
        <v>3545.72</v>
      </c>
    </row>
    <row r="1764" spans="1:10" ht="15" customHeight="1" x14ac:dyDescent="0.2">
      <c r="A1764" s="420">
        <v>45869</v>
      </c>
      <c r="B1764" t="s">
        <v>2532</v>
      </c>
      <c r="C1764" t="s">
        <v>4539</v>
      </c>
      <c r="D1764" t="s">
        <v>4543</v>
      </c>
      <c r="E1764" t="s">
        <v>4544</v>
      </c>
      <c r="G1764">
        <v>8509.74</v>
      </c>
      <c r="I1764">
        <v>12055.46</v>
      </c>
      <c r="J1764" t="s">
        <v>2511</v>
      </c>
    </row>
    <row r="1765" spans="1:10" ht="15" customHeight="1" x14ac:dyDescent="0.2">
      <c r="A1765" s="420">
        <v>45938</v>
      </c>
      <c r="B1765" t="s">
        <v>2439</v>
      </c>
      <c r="C1765" t="s">
        <v>4539</v>
      </c>
      <c r="D1765" t="s">
        <v>4545</v>
      </c>
      <c r="E1765" t="s">
        <v>4546</v>
      </c>
      <c r="F1765">
        <v>8509.74</v>
      </c>
      <c r="I1765">
        <v>3545.72</v>
      </c>
      <c r="J1765" t="s">
        <v>2511</v>
      </c>
    </row>
    <row r="1766" spans="1:10" ht="15" customHeight="1" x14ac:dyDescent="0.2">
      <c r="A1766" t="s">
        <v>4539</v>
      </c>
      <c r="E1766" t="s">
        <v>349</v>
      </c>
      <c r="F1766">
        <v>8509.74</v>
      </c>
      <c r="G1766">
        <v>12055.46</v>
      </c>
      <c r="I1766">
        <v>3545.72</v>
      </c>
    </row>
    <row r="1768" spans="1:10" ht="15" customHeight="1" x14ac:dyDescent="0.2">
      <c r="A1768" t="s">
        <v>4547</v>
      </c>
      <c r="B1768" t="s">
        <v>4548</v>
      </c>
      <c r="F1768" t="s">
        <v>2430</v>
      </c>
      <c r="G1768" t="s">
        <v>2431</v>
      </c>
      <c r="H1768" t="s">
        <v>2432</v>
      </c>
      <c r="I1768" t="s">
        <v>2433</v>
      </c>
      <c r="J1768" t="s">
        <v>2434</v>
      </c>
    </row>
    <row r="1769" spans="1:10" ht="15" customHeight="1" x14ac:dyDescent="0.2">
      <c r="A1769" s="420">
        <v>45901</v>
      </c>
      <c r="B1769" t="s">
        <v>2532</v>
      </c>
      <c r="C1769" t="s">
        <v>4547</v>
      </c>
      <c r="D1769" t="s">
        <v>4549</v>
      </c>
      <c r="E1769" t="s">
        <v>4550</v>
      </c>
      <c r="G1769">
        <v>9997.68</v>
      </c>
      <c r="I1769">
        <v>9997.68</v>
      </c>
      <c r="J1769" t="s">
        <v>2511</v>
      </c>
    </row>
    <row r="1770" spans="1:10" ht="15" customHeight="1" x14ac:dyDescent="0.2">
      <c r="A1770" s="420">
        <v>45901</v>
      </c>
      <c r="B1770" t="s">
        <v>2532</v>
      </c>
      <c r="C1770" t="s">
        <v>4547</v>
      </c>
      <c r="D1770" t="s">
        <v>4551</v>
      </c>
      <c r="E1770" t="s">
        <v>4552</v>
      </c>
      <c r="G1770">
        <v>4165.7</v>
      </c>
      <c r="I1770">
        <v>14163.38</v>
      </c>
      <c r="J1770" t="s">
        <v>2511</v>
      </c>
    </row>
    <row r="1771" spans="1:10" ht="15" customHeight="1" x14ac:dyDescent="0.2">
      <c r="A1771" s="420">
        <v>45937</v>
      </c>
      <c r="B1771" t="s">
        <v>2439</v>
      </c>
      <c r="C1771" t="s">
        <v>4547</v>
      </c>
      <c r="D1771" t="s">
        <v>4529</v>
      </c>
      <c r="E1771" t="s">
        <v>4553</v>
      </c>
      <c r="F1771">
        <v>9997.68</v>
      </c>
      <c r="I1771">
        <v>4165.7</v>
      </c>
      <c r="J1771" t="s">
        <v>2511</v>
      </c>
    </row>
    <row r="1772" spans="1:10" ht="15" customHeight="1" x14ac:dyDescent="0.2">
      <c r="A1772" t="s">
        <v>4547</v>
      </c>
      <c r="E1772" t="s">
        <v>349</v>
      </c>
      <c r="F1772">
        <v>9997.68</v>
      </c>
      <c r="G1772">
        <v>14163.38</v>
      </c>
      <c r="I1772">
        <v>4165.7</v>
      </c>
    </row>
    <row r="1774" spans="1:10" ht="15" customHeight="1" x14ac:dyDescent="0.2">
      <c r="A1774" t="s">
        <v>4554</v>
      </c>
      <c r="B1774" t="s">
        <v>4555</v>
      </c>
      <c r="F1774" t="s">
        <v>2430</v>
      </c>
      <c r="G1774" t="s">
        <v>2431</v>
      </c>
      <c r="H1774" t="s">
        <v>2432</v>
      </c>
      <c r="I1774" t="s">
        <v>2433</v>
      </c>
      <c r="J1774" t="s">
        <v>2434</v>
      </c>
    </row>
    <row r="1775" spans="1:10" ht="15" customHeight="1" x14ac:dyDescent="0.2">
      <c r="A1775" s="420">
        <v>45931</v>
      </c>
      <c r="B1775" t="s">
        <v>2532</v>
      </c>
      <c r="C1775" t="s">
        <v>4554</v>
      </c>
      <c r="D1775" t="s">
        <v>4556</v>
      </c>
      <c r="E1775" t="s">
        <v>4557</v>
      </c>
      <c r="G1775">
        <v>3761.35</v>
      </c>
      <c r="I1775">
        <v>3761.35</v>
      </c>
      <c r="J1775" t="s">
        <v>2509</v>
      </c>
    </row>
    <row r="1776" spans="1:10" ht="15" customHeight="1" x14ac:dyDescent="0.2">
      <c r="A1776" s="420">
        <v>45961</v>
      </c>
      <c r="B1776" t="s">
        <v>2532</v>
      </c>
      <c r="C1776" t="s">
        <v>4554</v>
      </c>
      <c r="D1776" t="s">
        <v>4558</v>
      </c>
      <c r="E1776" t="s">
        <v>4559</v>
      </c>
      <c r="G1776">
        <v>9779.51</v>
      </c>
      <c r="I1776">
        <v>13540.86</v>
      </c>
      <c r="J1776" t="s">
        <v>2511</v>
      </c>
    </row>
    <row r="1777" spans="1:10" ht="15" customHeight="1" x14ac:dyDescent="0.2">
      <c r="A1777" s="420">
        <v>45965</v>
      </c>
      <c r="B1777" t="s">
        <v>2439</v>
      </c>
      <c r="C1777" t="s">
        <v>4554</v>
      </c>
      <c r="D1777" t="s">
        <v>4560</v>
      </c>
      <c r="E1777" t="s">
        <v>4561</v>
      </c>
      <c r="F1777">
        <v>9779.51</v>
      </c>
      <c r="I1777">
        <v>3761.35</v>
      </c>
      <c r="J1777" t="s">
        <v>2511</v>
      </c>
    </row>
    <row r="1778" spans="1:10" ht="15" customHeight="1" x14ac:dyDescent="0.2">
      <c r="A1778" t="s">
        <v>4554</v>
      </c>
      <c r="E1778" t="s">
        <v>349</v>
      </c>
      <c r="F1778">
        <v>9779.51</v>
      </c>
      <c r="G1778">
        <v>13540.86</v>
      </c>
      <c r="I1778">
        <v>3761.35</v>
      </c>
    </row>
    <row r="1780" spans="1:10" ht="15" customHeight="1" x14ac:dyDescent="0.2">
      <c r="A1780" t="s">
        <v>4562</v>
      </c>
      <c r="B1780" t="s">
        <v>4563</v>
      </c>
      <c r="F1780" t="s">
        <v>2430</v>
      </c>
      <c r="G1780" t="s">
        <v>2431</v>
      </c>
      <c r="H1780" t="s">
        <v>2432</v>
      </c>
      <c r="I1780" t="s">
        <v>2433</v>
      </c>
      <c r="J1780" t="s">
        <v>2434</v>
      </c>
    </row>
    <row r="1781" spans="1:10" ht="15" customHeight="1" x14ac:dyDescent="0.2">
      <c r="A1781" s="420">
        <v>45869</v>
      </c>
      <c r="B1781" t="s">
        <v>2532</v>
      </c>
      <c r="C1781" t="s">
        <v>4562</v>
      </c>
      <c r="D1781" t="s">
        <v>4564</v>
      </c>
      <c r="E1781" t="s">
        <v>4565</v>
      </c>
      <c r="G1781">
        <v>10052.4</v>
      </c>
      <c r="I1781">
        <v>10052.4</v>
      </c>
      <c r="J1781" t="s">
        <v>2511</v>
      </c>
    </row>
    <row r="1782" spans="1:10" ht="15" customHeight="1" x14ac:dyDescent="0.2">
      <c r="A1782" s="420">
        <v>45869</v>
      </c>
      <c r="B1782" t="s">
        <v>2532</v>
      </c>
      <c r="C1782" t="s">
        <v>4562</v>
      </c>
      <c r="D1782" t="s">
        <v>4566</v>
      </c>
      <c r="E1782" t="s">
        <v>4567</v>
      </c>
      <c r="G1782">
        <v>4188.5</v>
      </c>
      <c r="I1782">
        <v>14240.9</v>
      </c>
      <c r="J1782" t="s">
        <v>2509</v>
      </c>
    </row>
    <row r="1783" spans="1:10" ht="15" customHeight="1" x14ac:dyDescent="0.2">
      <c r="A1783" s="420">
        <v>45936</v>
      </c>
      <c r="B1783" t="s">
        <v>2439</v>
      </c>
      <c r="C1783" t="s">
        <v>4562</v>
      </c>
      <c r="D1783" t="s">
        <v>4568</v>
      </c>
      <c r="E1783" t="s">
        <v>4569</v>
      </c>
      <c r="F1783">
        <v>10052.4</v>
      </c>
      <c r="I1783">
        <v>4188.5</v>
      </c>
      <c r="J1783" t="s">
        <v>2511</v>
      </c>
    </row>
    <row r="1784" spans="1:10" ht="15" customHeight="1" x14ac:dyDescent="0.2">
      <c r="A1784" t="s">
        <v>4562</v>
      </c>
      <c r="E1784" t="s">
        <v>349</v>
      </c>
      <c r="F1784">
        <v>10052.4</v>
      </c>
      <c r="G1784">
        <v>14240.9</v>
      </c>
      <c r="I1784">
        <v>4188.5</v>
      </c>
    </row>
    <row r="1786" spans="1:10" ht="15" customHeight="1" x14ac:dyDescent="0.2">
      <c r="A1786" t="s">
        <v>4570</v>
      </c>
      <c r="B1786" t="s">
        <v>4571</v>
      </c>
      <c r="F1786" t="s">
        <v>2430</v>
      </c>
      <c r="G1786" t="s">
        <v>2431</v>
      </c>
      <c r="H1786" t="s">
        <v>2432</v>
      </c>
      <c r="I1786" t="s">
        <v>2433</v>
      </c>
      <c r="J1786" t="s">
        <v>2434</v>
      </c>
    </row>
    <row r="1787" spans="1:10" ht="15" customHeight="1" x14ac:dyDescent="0.2">
      <c r="A1787" s="420">
        <v>45961</v>
      </c>
      <c r="B1787" t="s">
        <v>2532</v>
      </c>
      <c r="C1787" t="s">
        <v>4570</v>
      </c>
      <c r="D1787" t="s">
        <v>4572</v>
      </c>
      <c r="E1787" t="s">
        <v>4573</v>
      </c>
      <c r="G1787">
        <v>8756.68</v>
      </c>
      <c r="I1787">
        <v>8756.68</v>
      </c>
      <c r="J1787" t="s">
        <v>2511</v>
      </c>
    </row>
    <row r="1788" spans="1:10" ht="15" customHeight="1" x14ac:dyDescent="0.2">
      <c r="A1788" s="420">
        <v>45961</v>
      </c>
      <c r="B1788" t="s">
        <v>2532</v>
      </c>
      <c r="C1788" t="s">
        <v>4570</v>
      </c>
      <c r="D1788" t="s">
        <v>4574</v>
      </c>
      <c r="E1788" t="s">
        <v>4575</v>
      </c>
      <c r="G1788">
        <v>3367.96</v>
      </c>
      <c r="I1788">
        <v>12124.64</v>
      </c>
    </row>
    <row r="1789" spans="1:10" ht="15" customHeight="1" x14ac:dyDescent="0.2">
      <c r="A1789" s="420">
        <v>45965</v>
      </c>
      <c r="B1789" t="s">
        <v>2439</v>
      </c>
      <c r="C1789" t="s">
        <v>4570</v>
      </c>
      <c r="D1789" t="s">
        <v>4576</v>
      </c>
      <c r="E1789" t="s">
        <v>4577</v>
      </c>
      <c r="F1789">
        <v>8756.68</v>
      </c>
      <c r="I1789">
        <v>3367.96</v>
      </c>
      <c r="J1789" t="s">
        <v>2511</v>
      </c>
    </row>
    <row r="1790" spans="1:10" ht="15" customHeight="1" x14ac:dyDescent="0.2">
      <c r="A1790" t="s">
        <v>4570</v>
      </c>
      <c r="E1790" t="s">
        <v>349</v>
      </c>
      <c r="F1790">
        <v>8756.68</v>
      </c>
      <c r="G1790">
        <v>12124.64</v>
      </c>
      <c r="I1790">
        <v>3367.96</v>
      </c>
    </row>
    <row r="1792" spans="1:10" ht="15" customHeight="1" x14ac:dyDescent="0.2">
      <c r="A1792" t="s">
        <v>4578</v>
      </c>
      <c r="B1792" t="s">
        <v>4579</v>
      </c>
      <c r="F1792" t="s">
        <v>2430</v>
      </c>
      <c r="G1792" t="s">
        <v>2431</v>
      </c>
      <c r="H1792" t="s">
        <v>2432</v>
      </c>
      <c r="I1792" t="s">
        <v>2433</v>
      </c>
      <c r="J1792" t="s">
        <v>2434</v>
      </c>
    </row>
    <row r="1793" spans="1:10" ht="15" customHeight="1" x14ac:dyDescent="0.2">
      <c r="A1793" s="420">
        <v>45961</v>
      </c>
      <c r="B1793" t="s">
        <v>2532</v>
      </c>
      <c r="C1793" t="s">
        <v>4578</v>
      </c>
      <c r="D1793" t="s">
        <v>4580</v>
      </c>
      <c r="E1793" t="s">
        <v>4581</v>
      </c>
      <c r="G1793">
        <v>11862.83</v>
      </c>
      <c r="I1793">
        <v>11862.83</v>
      </c>
      <c r="J1793" t="s">
        <v>2511</v>
      </c>
    </row>
    <row r="1794" spans="1:10" ht="15" customHeight="1" x14ac:dyDescent="0.2">
      <c r="A1794" s="420">
        <v>45961</v>
      </c>
      <c r="B1794" t="s">
        <v>2532</v>
      </c>
      <c r="C1794" t="s">
        <v>4578</v>
      </c>
      <c r="D1794" t="s">
        <v>4582</v>
      </c>
      <c r="E1794" t="s">
        <v>4583</v>
      </c>
      <c r="G1794">
        <v>4562.63</v>
      </c>
      <c r="I1794">
        <v>16425.46</v>
      </c>
    </row>
    <row r="1795" spans="1:10" ht="15" customHeight="1" x14ac:dyDescent="0.2">
      <c r="A1795" s="420">
        <v>45988</v>
      </c>
      <c r="B1795" t="s">
        <v>2439</v>
      </c>
      <c r="C1795" t="s">
        <v>4578</v>
      </c>
      <c r="D1795" t="s">
        <v>4584</v>
      </c>
      <c r="E1795" t="s">
        <v>4585</v>
      </c>
      <c r="F1795">
        <v>11862.83</v>
      </c>
      <c r="I1795">
        <v>4562.63</v>
      </c>
      <c r="J1795" t="s">
        <v>2511</v>
      </c>
    </row>
    <row r="1796" spans="1:10" ht="15" customHeight="1" x14ac:dyDescent="0.2">
      <c r="A1796" t="s">
        <v>4578</v>
      </c>
      <c r="E1796" t="s">
        <v>349</v>
      </c>
      <c r="F1796">
        <v>11862.83</v>
      </c>
      <c r="G1796">
        <v>16425.46</v>
      </c>
      <c r="I1796">
        <v>4562.63</v>
      </c>
    </row>
    <row r="1798" spans="1:10" ht="15" customHeight="1" x14ac:dyDescent="0.2">
      <c r="A1798" t="s">
        <v>4586</v>
      </c>
      <c r="B1798" t="s">
        <v>4587</v>
      </c>
      <c r="F1798" t="s">
        <v>2430</v>
      </c>
      <c r="G1798" t="s">
        <v>2431</v>
      </c>
      <c r="H1798" t="s">
        <v>2432</v>
      </c>
      <c r="I1798" t="s">
        <v>2433</v>
      </c>
      <c r="J1798" t="s">
        <v>2434</v>
      </c>
    </row>
    <row r="1799" spans="1:10" ht="15" customHeight="1" x14ac:dyDescent="0.2">
      <c r="A1799" s="420">
        <v>45992</v>
      </c>
      <c r="B1799" t="s">
        <v>2532</v>
      </c>
      <c r="C1799" t="s">
        <v>4586</v>
      </c>
      <c r="D1799" t="s">
        <v>4588</v>
      </c>
      <c r="E1799" t="s">
        <v>4589</v>
      </c>
      <c r="G1799">
        <v>3952.85</v>
      </c>
      <c r="I1799">
        <v>3952.85</v>
      </c>
    </row>
    <row r="1800" spans="1:10" ht="15" customHeight="1" x14ac:dyDescent="0.2">
      <c r="A1800" s="420">
        <v>45992</v>
      </c>
      <c r="B1800" t="s">
        <v>2532</v>
      </c>
      <c r="C1800" t="s">
        <v>4586</v>
      </c>
      <c r="D1800" t="s">
        <v>4590</v>
      </c>
      <c r="E1800" t="s">
        <v>4591</v>
      </c>
      <c r="G1800">
        <v>10277.41</v>
      </c>
      <c r="I1800">
        <v>14230.26</v>
      </c>
      <c r="J1800" t="s">
        <v>2511</v>
      </c>
    </row>
    <row r="1801" spans="1:10" ht="15" customHeight="1" x14ac:dyDescent="0.2">
      <c r="A1801" s="420">
        <v>45992</v>
      </c>
      <c r="B1801" t="s">
        <v>2439</v>
      </c>
      <c r="C1801" t="s">
        <v>4586</v>
      </c>
      <c r="D1801" t="s">
        <v>4592</v>
      </c>
      <c r="E1801" t="s">
        <v>4593</v>
      </c>
      <c r="F1801">
        <v>10277.41</v>
      </c>
      <c r="I1801">
        <v>3952.85</v>
      </c>
      <c r="J1801" t="s">
        <v>2511</v>
      </c>
    </row>
    <row r="1802" spans="1:10" ht="15" customHeight="1" x14ac:dyDescent="0.2">
      <c r="A1802" t="s">
        <v>4586</v>
      </c>
      <c r="E1802" t="s">
        <v>349</v>
      </c>
      <c r="F1802">
        <v>10277.41</v>
      </c>
      <c r="G1802">
        <v>14230.26</v>
      </c>
      <c r="I1802">
        <v>3952.85</v>
      </c>
    </row>
    <row r="1804" spans="1:10" ht="15" customHeight="1" x14ac:dyDescent="0.2">
      <c r="A1804" t="s">
        <v>4594</v>
      </c>
      <c r="B1804" t="s">
        <v>4595</v>
      </c>
      <c r="F1804" t="s">
        <v>2430</v>
      </c>
      <c r="G1804" t="s">
        <v>2431</v>
      </c>
      <c r="H1804" t="s">
        <v>2432</v>
      </c>
      <c r="I1804" t="s">
        <v>2433</v>
      </c>
      <c r="J1804" t="s">
        <v>2434</v>
      </c>
    </row>
    <row r="1805" spans="1:10" ht="15" customHeight="1" x14ac:dyDescent="0.2">
      <c r="A1805" s="420">
        <v>45961</v>
      </c>
      <c r="B1805" t="s">
        <v>2532</v>
      </c>
      <c r="C1805" t="s">
        <v>4594</v>
      </c>
      <c r="D1805" t="s">
        <v>4596</v>
      </c>
      <c r="E1805" t="s">
        <v>4597</v>
      </c>
      <c r="G1805">
        <v>3986.7</v>
      </c>
      <c r="I1805">
        <v>3986.7</v>
      </c>
    </row>
    <row r="1806" spans="1:10" ht="15" customHeight="1" x14ac:dyDescent="0.2">
      <c r="A1806" s="420">
        <v>45964</v>
      </c>
      <c r="B1806" t="s">
        <v>2532</v>
      </c>
      <c r="C1806" t="s">
        <v>4594</v>
      </c>
      <c r="D1806" t="s">
        <v>4598</v>
      </c>
      <c r="E1806" t="s">
        <v>4599</v>
      </c>
      <c r="G1806">
        <v>10365.42</v>
      </c>
      <c r="I1806">
        <v>14352.12</v>
      </c>
      <c r="J1806" t="s">
        <v>2511</v>
      </c>
    </row>
    <row r="1807" spans="1:10" ht="15" customHeight="1" x14ac:dyDescent="0.2">
      <c r="A1807" s="420">
        <v>45967</v>
      </c>
      <c r="B1807" t="s">
        <v>2439</v>
      </c>
      <c r="C1807" t="s">
        <v>4594</v>
      </c>
      <c r="D1807" t="s">
        <v>4600</v>
      </c>
      <c r="E1807" t="s">
        <v>4601</v>
      </c>
      <c r="F1807">
        <v>10365.42</v>
      </c>
      <c r="I1807">
        <v>3986.7</v>
      </c>
      <c r="J1807" t="s">
        <v>2511</v>
      </c>
    </row>
    <row r="1808" spans="1:10" ht="15" customHeight="1" x14ac:dyDescent="0.2">
      <c r="A1808" t="s">
        <v>4594</v>
      </c>
      <c r="E1808" t="s">
        <v>349</v>
      </c>
      <c r="F1808">
        <v>10365.42</v>
      </c>
      <c r="G1808">
        <v>14352.12</v>
      </c>
      <c r="I1808">
        <v>3986.7</v>
      </c>
    </row>
    <row r="1810" spans="1:10" ht="15" customHeight="1" x14ac:dyDescent="0.2">
      <c r="A1810" t="s">
        <v>4602</v>
      </c>
      <c r="B1810" t="s">
        <v>4603</v>
      </c>
      <c r="F1810" t="s">
        <v>2430</v>
      </c>
      <c r="G1810" t="s">
        <v>2431</v>
      </c>
      <c r="H1810" t="s">
        <v>2432</v>
      </c>
      <c r="I1810" t="s">
        <v>2433</v>
      </c>
      <c r="J1810" t="s">
        <v>2434</v>
      </c>
    </row>
    <row r="1811" spans="1:10" ht="15" customHeight="1" x14ac:dyDescent="0.2">
      <c r="A1811" s="420">
        <v>45991</v>
      </c>
      <c r="B1811" t="s">
        <v>2532</v>
      </c>
      <c r="C1811" t="s">
        <v>4602</v>
      </c>
      <c r="D1811" t="s">
        <v>4604</v>
      </c>
      <c r="E1811" t="s">
        <v>4605</v>
      </c>
      <c r="G1811">
        <v>10390.969999999999</v>
      </c>
      <c r="I1811">
        <v>10390.969999999999</v>
      </c>
      <c r="J1811" t="s">
        <v>2511</v>
      </c>
    </row>
    <row r="1812" spans="1:10" ht="15" customHeight="1" x14ac:dyDescent="0.2">
      <c r="A1812" s="420">
        <v>45991</v>
      </c>
      <c r="B1812" t="s">
        <v>2532</v>
      </c>
      <c r="C1812" t="s">
        <v>4602</v>
      </c>
      <c r="D1812" t="s">
        <v>4606</v>
      </c>
      <c r="E1812" t="s">
        <v>4607</v>
      </c>
      <c r="G1812">
        <v>3996.53</v>
      </c>
      <c r="I1812">
        <v>14387.5</v>
      </c>
    </row>
    <row r="1813" spans="1:10" ht="15" customHeight="1" x14ac:dyDescent="0.2">
      <c r="A1813" s="420">
        <v>46002</v>
      </c>
      <c r="B1813" t="s">
        <v>2439</v>
      </c>
      <c r="C1813" t="s">
        <v>4602</v>
      </c>
      <c r="D1813" t="s">
        <v>4608</v>
      </c>
      <c r="E1813" t="s">
        <v>4609</v>
      </c>
      <c r="F1813">
        <v>10390.969999999999</v>
      </c>
      <c r="I1813">
        <v>3996.53</v>
      </c>
      <c r="J1813" t="s">
        <v>2511</v>
      </c>
    </row>
    <row r="1814" spans="1:10" ht="15" customHeight="1" x14ac:dyDescent="0.2">
      <c r="A1814" t="s">
        <v>4602</v>
      </c>
      <c r="E1814" t="s">
        <v>349</v>
      </c>
      <c r="F1814">
        <v>10390.969999999999</v>
      </c>
      <c r="G1814">
        <v>14387.5</v>
      </c>
      <c r="I1814">
        <v>3996.53</v>
      </c>
    </row>
    <row r="1816" spans="1:10" ht="15" customHeight="1" x14ac:dyDescent="0.2">
      <c r="A1816" t="s">
        <v>4610</v>
      </c>
      <c r="B1816" t="s">
        <v>4611</v>
      </c>
      <c r="F1816" t="s">
        <v>2430</v>
      </c>
      <c r="G1816" t="s">
        <v>2431</v>
      </c>
      <c r="H1816" t="s">
        <v>2432</v>
      </c>
      <c r="I1816" t="s">
        <v>2433</v>
      </c>
      <c r="J1816" t="s">
        <v>2434</v>
      </c>
    </row>
    <row r="1817" spans="1:10" ht="15" customHeight="1" x14ac:dyDescent="0.2">
      <c r="A1817" s="420">
        <v>45991</v>
      </c>
      <c r="B1817" t="s">
        <v>2532</v>
      </c>
      <c r="C1817" t="s">
        <v>4610</v>
      </c>
      <c r="D1817" t="s">
        <v>4612</v>
      </c>
      <c r="E1817" t="s">
        <v>4613</v>
      </c>
      <c r="G1817">
        <v>11445.2</v>
      </c>
      <c r="I1817">
        <v>11445.2</v>
      </c>
    </row>
    <row r="1818" spans="1:10" ht="15" customHeight="1" x14ac:dyDescent="0.2">
      <c r="A1818" s="420">
        <v>45991</v>
      </c>
      <c r="B1818" t="s">
        <v>2532</v>
      </c>
      <c r="C1818" t="s">
        <v>4610</v>
      </c>
      <c r="D1818" t="s">
        <v>4614</v>
      </c>
      <c r="E1818" t="s">
        <v>4615</v>
      </c>
      <c r="G1818">
        <v>4402</v>
      </c>
      <c r="I1818">
        <v>15847.2</v>
      </c>
    </row>
    <row r="1819" spans="1:10" ht="15" customHeight="1" x14ac:dyDescent="0.2">
      <c r="A1819" t="s">
        <v>4610</v>
      </c>
      <c r="E1819" t="s">
        <v>349</v>
      </c>
      <c r="G1819">
        <v>15847.2</v>
      </c>
      <c r="I1819">
        <v>15847.2</v>
      </c>
    </row>
    <row r="1821" spans="1:10" ht="15" customHeight="1" x14ac:dyDescent="0.2">
      <c r="A1821" t="s">
        <v>4616</v>
      </c>
      <c r="B1821" t="s">
        <v>4617</v>
      </c>
      <c r="F1821" t="s">
        <v>2430</v>
      </c>
      <c r="G1821" t="s">
        <v>2431</v>
      </c>
      <c r="H1821" t="s">
        <v>2432</v>
      </c>
      <c r="I1821" t="s">
        <v>2433</v>
      </c>
      <c r="J1821" t="s">
        <v>2434</v>
      </c>
    </row>
    <row r="1822" spans="1:10" ht="15" customHeight="1" x14ac:dyDescent="0.2">
      <c r="A1822" s="420">
        <v>45658</v>
      </c>
      <c r="B1822" t="s">
        <v>2333</v>
      </c>
      <c r="C1822" t="s">
        <v>4616</v>
      </c>
      <c r="D1822" t="s">
        <v>4618</v>
      </c>
      <c r="E1822" t="s">
        <v>4619</v>
      </c>
      <c r="F1822">
        <v>780</v>
      </c>
      <c r="H1822">
        <v>780</v>
      </c>
      <c r="J1822" t="s">
        <v>2511</v>
      </c>
    </row>
    <row r="1823" spans="1:10" ht="15" customHeight="1" x14ac:dyDescent="0.2">
      <c r="A1823" s="420">
        <v>45658</v>
      </c>
      <c r="B1823" t="s">
        <v>2435</v>
      </c>
      <c r="C1823" t="s">
        <v>4616</v>
      </c>
      <c r="D1823" t="s">
        <v>2436</v>
      </c>
      <c r="E1823" t="s">
        <v>4620</v>
      </c>
      <c r="G1823">
        <v>997.48</v>
      </c>
      <c r="I1823">
        <v>217.48</v>
      </c>
      <c r="J1823" t="s">
        <v>2509</v>
      </c>
    </row>
    <row r="1824" spans="1:10" ht="15" customHeight="1" x14ac:dyDescent="0.2">
      <c r="A1824" s="420">
        <v>45658</v>
      </c>
      <c r="B1824" t="s">
        <v>2435</v>
      </c>
      <c r="C1824" t="s">
        <v>4616</v>
      </c>
      <c r="D1824" t="s">
        <v>2436</v>
      </c>
      <c r="E1824" t="s">
        <v>4621</v>
      </c>
      <c r="G1824">
        <v>780</v>
      </c>
      <c r="I1824">
        <v>997.48</v>
      </c>
      <c r="J1824" t="s">
        <v>2511</v>
      </c>
    </row>
    <row r="1825" spans="1:10" ht="15" customHeight="1" x14ac:dyDescent="0.2">
      <c r="A1825" s="420">
        <v>45660</v>
      </c>
      <c r="B1825" t="s">
        <v>2333</v>
      </c>
      <c r="C1825" t="s">
        <v>4616</v>
      </c>
      <c r="D1825" t="s">
        <v>4622</v>
      </c>
      <c r="E1825" t="s">
        <v>4623</v>
      </c>
      <c r="F1825">
        <v>997.48</v>
      </c>
      <c r="J1825" t="s">
        <v>2509</v>
      </c>
    </row>
    <row r="1826" spans="1:10" ht="15" customHeight="1" x14ac:dyDescent="0.2">
      <c r="A1826" s="420">
        <v>45660</v>
      </c>
      <c r="B1826" t="s">
        <v>2532</v>
      </c>
      <c r="C1826" t="s">
        <v>4616</v>
      </c>
      <c r="D1826" t="s">
        <v>4624</v>
      </c>
      <c r="E1826" t="s">
        <v>1736</v>
      </c>
      <c r="G1826">
        <v>107</v>
      </c>
      <c r="I1826">
        <v>107</v>
      </c>
      <c r="J1826" t="s">
        <v>2587</v>
      </c>
    </row>
    <row r="1827" spans="1:10" ht="15" customHeight="1" x14ac:dyDescent="0.2">
      <c r="A1827" s="420">
        <v>45676</v>
      </c>
      <c r="B1827" t="s">
        <v>2532</v>
      </c>
      <c r="C1827" t="s">
        <v>4616</v>
      </c>
      <c r="D1827" t="s">
        <v>4625</v>
      </c>
      <c r="E1827" t="s">
        <v>1755</v>
      </c>
      <c r="G1827">
        <v>104.9</v>
      </c>
      <c r="I1827">
        <v>211.9</v>
      </c>
      <c r="J1827" t="s">
        <v>2587</v>
      </c>
    </row>
    <row r="1828" spans="1:10" ht="15" customHeight="1" x14ac:dyDescent="0.2">
      <c r="A1828" s="420">
        <v>45681</v>
      </c>
      <c r="B1828" t="s">
        <v>2532</v>
      </c>
      <c r="C1828" t="s">
        <v>4616</v>
      </c>
      <c r="D1828" t="s">
        <v>4626</v>
      </c>
      <c r="E1828" t="s">
        <v>1764</v>
      </c>
      <c r="G1828">
        <v>112.8</v>
      </c>
      <c r="I1828">
        <v>324.7</v>
      </c>
      <c r="J1828" t="s">
        <v>2587</v>
      </c>
    </row>
    <row r="1829" spans="1:10" ht="15" customHeight="1" x14ac:dyDescent="0.2">
      <c r="A1829" s="420">
        <v>45681</v>
      </c>
      <c r="B1829" t="s">
        <v>2547</v>
      </c>
      <c r="C1829" t="s">
        <v>4616</v>
      </c>
      <c r="D1829" t="s">
        <v>4627</v>
      </c>
      <c r="E1829" t="s">
        <v>1762</v>
      </c>
      <c r="G1829">
        <v>50</v>
      </c>
      <c r="I1829">
        <v>374.7</v>
      </c>
      <c r="J1829" t="s">
        <v>2586</v>
      </c>
    </row>
    <row r="1830" spans="1:10" ht="15" customHeight="1" x14ac:dyDescent="0.2">
      <c r="A1830" s="420">
        <v>45682</v>
      </c>
      <c r="B1830" t="s">
        <v>2532</v>
      </c>
      <c r="C1830" t="s">
        <v>4616</v>
      </c>
      <c r="D1830" t="s">
        <v>4628</v>
      </c>
      <c r="E1830" t="s">
        <v>1765</v>
      </c>
      <c r="G1830">
        <v>332</v>
      </c>
      <c r="I1830">
        <v>706.7</v>
      </c>
      <c r="J1830" t="s">
        <v>2587</v>
      </c>
    </row>
    <row r="1831" spans="1:10" ht="15" customHeight="1" x14ac:dyDescent="0.2">
      <c r="A1831" s="420">
        <v>45688</v>
      </c>
      <c r="B1831" t="s">
        <v>2547</v>
      </c>
      <c r="C1831" t="s">
        <v>4616</v>
      </c>
      <c r="D1831" t="s">
        <v>4629</v>
      </c>
      <c r="E1831" t="s">
        <v>1770</v>
      </c>
      <c r="G1831">
        <v>711.44</v>
      </c>
      <c r="I1831">
        <v>1418.14</v>
      </c>
      <c r="J1831" t="s">
        <v>2585</v>
      </c>
    </row>
    <row r="1832" spans="1:10" ht="15" customHeight="1" x14ac:dyDescent="0.2">
      <c r="A1832" s="420">
        <v>45691</v>
      </c>
      <c r="B1832" t="s">
        <v>2333</v>
      </c>
      <c r="C1832" t="s">
        <v>4616</v>
      </c>
      <c r="D1832" t="s">
        <v>4630</v>
      </c>
      <c r="E1832" t="s">
        <v>4631</v>
      </c>
      <c r="F1832">
        <v>656.7</v>
      </c>
      <c r="I1832">
        <v>761.44</v>
      </c>
      <c r="J1832" t="s">
        <v>2587</v>
      </c>
    </row>
    <row r="1833" spans="1:10" ht="15" customHeight="1" x14ac:dyDescent="0.2">
      <c r="A1833" s="420">
        <v>45694</v>
      </c>
      <c r="B1833" t="s">
        <v>2333</v>
      </c>
      <c r="C1833" t="s">
        <v>4616</v>
      </c>
      <c r="D1833" t="s">
        <v>4632</v>
      </c>
      <c r="E1833" t="s">
        <v>4633</v>
      </c>
      <c r="F1833">
        <v>711.44</v>
      </c>
      <c r="I1833">
        <v>50</v>
      </c>
      <c r="J1833" t="s">
        <v>2585</v>
      </c>
    </row>
    <row r="1834" spans="1:10" ht="15" customHeight="1" x14ac:dyDescent="0.2">
      <c r="A1834" s="420">
        <v>45694</v>
      </c>
      <c r="B1834" t="s">
        <v>2333</v>
      </c>
      <c r="C1834" t="s">
        <v>4616</v>
      </c>
      <c r="D1834" t="s">
        <v>4634</v>
      </c>
      <c r="E1834" t="s">
        <v>4635</v>
      </c>
      <c r="F1834">
        <v>50</v>
      </c>
      <c r="J1834" t="s">
        <v>2586</v>
      </c>
    </row>
    <row r="1835" spans="1:10" ht="15" customHeight="1" x14ac:dyDescent="0.2">
      <c r="A1835" s="420">
        <v>45716</v>
      </c>
      <c r="B1835" t="s">
        <v>2547</v>
      </c>
      <c r="C1835" t="s">
        <v>4616</v>
      </c>
      <c r="D1835" t="s">
        <v>4636</v>
      </c>
      <c r="E1835" t="s">
        <v>1784</v>
      </c>
      <c r="G1835">
        <v>934.45</v>
      </c>
      <c r="I1835">
        <v>934.45</v>
      </c>
      <c r="J1835" t="s">
        <v>2604</v>
      </c>
    </row>
    <row r="1836" spans="1:10" ht="15" customHeight="1" x14ac:dyDescent="0.2">
      <c r="A1836" s="420">
        <v>45721</v>
      </c>
      <c r="B1836" t="s">
        <v>2333</v>
      </c>
      <c r="C1836" t="s">
        <v>4616</v>
      </c>
      <c r="D1836" t="s">
        <v>4637</v>
      </c>
      <c r="E1836" t="s">
        <v>4638</v>
      </c>
      <c r="F1836">
        <v>934.45</v>
      </c>
      <c r="J1836" t="s">
        <v>2604</v>
      </c>
    </row>
    <row r="1837" spans="1:10" ht="15" customHeight="1" x14ac:dyDescent="0.2">
      <c r="A1837" s="420">
        <v>45747</v>
      </c>
      <c r="B1837" t="s">
        <v>2547</v>
      </c>
      <c r="C1837" t="s">
        <v>4616</v>
      </c>
      <c r="D1837" t="s">
        <v>4639</v>
      </c>
      <c r="E1837" t="s">
        <v>1812</v>
      </c>
      <c r="G1837">
        <v>1626.5</v>
      </c>
      <c r="I1837">
        <v>1626.5</v>
      </c>
      <c r="J1837" t="s">
        <v>2603</v>
      </c>
    </row>
    <row r="1838" spans="1:10" ht="15" customHeight="1" x14ac:dyDescent="0.2">
      <c r="A1838" s="420">
        <v>45754</v>
      </c>
      <c r="B1838" t="s">
        <v>2333</v>
      </c>
      <c r="C1838" t="s">
        <v>4616</v>
      </c>
      <c r="D1838" t="s">
        <v>4640</v>
      </c>
      <c r="E1838" t="s">
        <v>4641</v>
      </c>
      <c r="F1838">
        <v>1626.5</v>
      </c>
      <c r="J1838" t="s">
        <v>2603</v>
      </c>
    </row>
    <row r="1839" spans="1:10" ht="15" customHeight="1" x14ac:dyDescent="0.2">
      <c r="A1839" s="420">
        <v>45777</v>
      </c>
      <c r="B1839" t="s">
        <v>2532</v>
      </c>
      <c r="C1839" t="s">
        <v>4616</v>
      </c>
      <c r="D1839" t="s">
        <v>4642</v>
      </c>
      <c r="E1839" t="s">
        <v>1839</v>
      </c>
      <c r="G1839">
        <v>1688.03</v>
      </c>
      <c r="I1839">
        <v>1688.03</v>
      </c>
      <c r="J1839" t="s">
        <v>2599</v>
      </c>
    </row>
    <row r="1840" spans="1:10" ht="15" customHeight="1" x14ac:dyDescent="0.2">
      <c r="A1840" s="420">
        <v>45782</v>
      </c>
      <c r="B1840" t="s">
        <v>2333</v>
      </c>
      <c r="C1840" t="s">
        <v>4616</v>
      </c>
      <c r="D1840" t="s">
        <v>4643</v>
      </c>
      <c r="E1840" t="s">
        <v>4644</v>
      </c>
      <c r="F1840">
        <v>1688.03</v>
      </c>
      <c r="J1840" t="s">
        <v>2599</v>
      </c>
    </row>
    <row r="1841" spans="1:10" ht="15" customHeight="1" x14ac:dyDescent="0.2">
      <c r="A1841" s="420">
        <v>45808</v>
      </c>
      <c r="B1841" t="s">
        <v>2547</v>
      </c>
      <c r="C1841" t="s">
        <v>4616</v>
      </c>
      <c r="D1841" t="s">
        <v>4645</v>
      </c>
      <c r="E1841" t="s">
        <v>1865</v>
      </c>
      <c r="G1841">
        <v>962.33</v>
      </c>
      <c r="I1841">
        <v>962.33</v>
      </c>
      <c r="J1841" t="s">
        <v>2600</v>
      </c>
    </row>
    <row r="1842" spans="1:10" ht="15" customHeight="1" x14ac:dyDescent="0.2">
      <c r="A1842" s="420">
        <v>45810</v>
      </c>
      <c r="B1842" t="s">
        <v>2333</v>
      </c>
      <c r="C1842" t="s">
        <v>4616</v>
      </c>
      <c r="D1842" t="s">
        <v>4646</v>
      </c>
      <c r="E1842" t="s">
        <v>4647</v>
      </c>
      <c r="F1842">
        <v>962.33</v>
      </c>
      <c r="J1842" t="s">
        <v>2600</v>
      </c>
    </row>
    <row r="1843" spans="1:10" ht="15" customHeight="1" x14ac:dyDescent="0.2">
      <c r="A1843" s="420">
        <v>45838</v>
      </c>
      <c r="B1843" t="s">
        <v>2547</v>
      </c>
      <c r="C1843" t="s">
        <v>4616</v>
      </c>
      <c r="D1843" t="s">
        <v>4648</v>
      </c>
      <c r="E1843" t="s">
        <v>1886</v>
      </c>
      <c r="G1843">
        <v>1258.06</v>
      </c>
      <c r="I1843">
        <v>1258.06</v>
      </c>
      <c r="J1843" t="s">
        <v>2601</v>
      </c>
    </row>
    <row r="1844" spans="1:10" ht="15" customHeight="1" x14ac:dyDescent="0.2">
      <c r="A1844" s="420">
        <v>45840</v>
      </c>
      <c r="B1844" t="s">
        <v>2333</v>
      </c>
      <c r="C1844" t="s">
        <v>4616</v>
      </c>
      <c r="D1844" t="s">
        <v>4649</v>
      </c>
      <c r="E1844" t="s">
        <v>4650</v>
      </c>
      <c r="F1844">
        <v>1258.08</v>
      </c>
      <c r="H1844">
        <v>0.02</v>
      </c>
      <c r="J1844" t="s">
        <v>2601</v>
      </c>
    </row>
    <row r="1845" spans="1:10" ht="15" customHeight="1" x14ac:dyDescent="0.2">
      <c r="A1845" s="420">
        <v>45840</v>
      </c>
      <c r="B1845" t="s">
        <v>2517</v>
      </c>
      <c r="C1845" t="s">
        <v>4616</v>
      </c>
      <c r="D1845" t="s">
        <v>4651</v>
      </c>
      <c r="E1845" t="s">
        <v>4652</v>
      </c>
      <c r="G1845">
        <v>0.02</v>
      </c>
      <c r="J1845" t="s">
        <v>2601</v>
      </c>
    </row>
    <row r="1846" spans="1:10" ht="15" customHeight="1" x14ac:dyDescent="0.2">
      <c r="A1846" s="420">
        <v>45869</v>
      </c>
      <c r="B1846" t="s">
        <v>2547</v>
      </c>
      <c r="C1846" t="s">
        <v>4616</v>
      </c>
      <c r="D1846" t="s">
        <v>4653</v>
      </c>
      <c r="E1846" t="s">
        <v>1911</v>
      </c>
      <c r="G1846">
        <v>1342.88</v>
      </c>
      <c r="I1846">
        <v>1342.88</v>
      </c>
      <c r="J1846" t="s">
        <v>2602</v>
      </c>
    </row>
    <row r="1847" spans="1:10" ht="15" customHeight="1" x14ac:dyDescent="0.2">
      <c r="A1847" s="420">
        <v>45870</v>
      </c>
      <c r="B1847" t="s">
        <v>2333</v>
      </c>
      <c r="C1847" t="s">
        <v>4616</v>
      </c>
      <c r="D1847" t="s">
        <v>4654</v>
      </c>
      <c r="E1847" t="s">
        <v>4655</v>
      </c>
      <c r="F1847">
        <v>1342.88</v>
      </c>
      <c r="J1847" t="s">
        <v>2602</v>
      </c>
    </row>
    <row r="1848" spans="1:10" ht="15" customHeight="1" x14ac:dyDescent="0.2">
      <c r="A1848" s="420">
        <v>45900</v>
      </c>
      <c r="B1848" t="s">
        <v>2547</v>
      </c>
      <c r="C1848" t="s">
        <v>4616</v>
      </c>
      <c r="D1848" t="s">
        <v>4656</v>
      </c>
      <c r="E1848" t="s">
        <v>1924</v>
      </c>
      <c r="G1848">
        <v>979.32</v>
      </c>
      <c r="I1848">
        <v>979.32</v>
      </c>
      <c r="J1848" t="s">
        <v>2605</v>
      </c>
    </row>
    <row r="1849" spans="1:10" ht="15" customHeight="1" x14ac:dyDescent="0.2">
      <c r="A1849" s="420">
        <v>45905</v>
      </c>
      <c r="B1849" t="s">
        <v>2333</v>
      </c>
      <c r="C1849" t="s">
        <v>4616</v>
      </c>
      <c r="D1849" t="s">
        <v>4657</v>
      </c>
      <c r="E1849" t="s">
        <v>4658</v>
      </c>
      <c r="F1849">
        <v>979.32</v>
      </c>
      <c r="J1849" t="s">
        <v>2605</v>
      </c>
    </row>
    <row r="1850" spans="1:10" ht="15" customHeight="1" x14ac:dyDescent="0.2">
      <c r="A1850" s="420">
        <v>45930</v>
      </c>
      <c r="B1850" t="s">
        <v>2547</v>
      </c>
      <c r="C1850" t="s">
        <v>4616</v>
      </c>
      <c r="D1850" t="s">
        <v>4659</v>
      </c>
      <c r="E1850" t="s">
        <v>1941</v>
      </c>
      <c r="G1850">
        <v>609.72</v>
      </c>
      <c r="I1850">
        <v>609.72</v>
      </c>
      <c r="J1850" t="s">
        <v>2710</v>
      </c>
    </row>
    <row r="1851" spans="1:10" ht="15" customHeight="1" x14ac:dyDescent="0.2">
      <c r="A1851" s="420">
        <v>45937</v>
      </c>
      <c r="B1851" t="s">
        <v>2333</v>
      </c>
      <c r="C1851" t="s">
        <v>4616</v>
      </c>
      <c r="D1851" t="s">
        <v>4660</v>
      </c>
      <c r="E1851" t="s">
        <v>4661</v>
      </c>
      <c r="F1851">
        <v>609.72</v>
      </c>
      <c r="J1851" t="s">
        <v>2710</v>
      </c>
    </row>
    <row r="1852" spans="1:10" ht="15" customHeight="1" x14ac:dyDescent="0.2">
      <c r="A1852" t="s">
        <v>4616</v>
      </c>
      <c r="E1852" t="s">
        <v>349</v>
      </c>
      <c r="F1852">
        <v>12596.93</v>
      </c>
      <c r="G1852">
        <v>12596.93</v>
      </c>
    </row>
    <row r="1854" spans="1:10" ht="15" customHeight="1" x14ac:dyDescent="0.2">
      <c r="A1854" t="s">
        <v>4662</v>
      </c>
      <c r="B1854" t="s">
        <v>4663</v>
      </c>
      <c r="F1854" t="s">
        <v>2430</v>
      </c>
      <c r="G1854" t="s">
        <v>2431</v>
      </c>
      <c r="H1854" t="s">
        <v>2432</v>
      </c>
      <c r="I1854" t="s">
        <v>2433</v>
      </c>
      <c r="J1854" t="s">
        <v>2434</v>
      </c>
    </row>
    <row r="1855" spans="1:10" ht="15" customHeight="1" x14ac:dyDescent="0.2">
      <c r="A1855" s="420">
        <v>45882</v>
      </c>
      <c r="B1855" t="s">
        <v>2333</v>
      </c>
      <c r="C1855" t="s">
        <v>4662</v>
      </c>
      <c r="D1855" t="s">
        <v>4664</v>
      </c>
      <c r="E1855" t="s">
        <v>4665</v>
      </c>
      <c r="F1855">
        <v>106.2</v>
      </c>
      <c r="H1855">
        <v>106.2</v>
      </c>
      <c r="J1855" t="s">
        <v>2511</v>
      </c>
    </row>
    <row r="1856" spans="1:10" ht="15" customHeight="1" x14ac:dyDescent="0.2">
      <c r="A1856" s="420">
        <v>45882</v>
      </c>
      <c r="B1856" t="s">
        <v>2532</v>
      </c>
      <c r="C1856" t="s">
        <v>4662</v>
      </c>
      <c r="D1856" t="s">
        <v>4666</v>
      </c>
      <c r="E1856" t="s">
        <v>1914</v>
      </c>
      <c r="G1856">
        <v>106.2</v>
      </c>
      <c r="J1856" t="s">
        <v>2511</v>
      </c>
    </row>
    <row r="1857" spans="1:10" ht="15" customHeight="1" x14ac:dyDescent="0.2">
      <c r="A1857" s="420">
        <v>46007</v>
      </c>
      <c r="B1857" t="s">
        <v>2333</v>
      </c>
      <c r="C1857" t="s">
        <v>4662</v>
      </c>
      <c r="D1857" t="s">
        <v>4667</v>
      </c>
      <c r="E1857" t="s">
        <v>4665</v>
      </c>
      <c r="F1857">
        <v>124.8</v>
      </c>
      <c r="H1857">
        <v>124.8</v>
      </c>
      <c r="J1857" t="s">
        <v>2509</v>
      </c>
    </row>
    <row r="1858" spans="1:10" ht="15" customHeight="1" x14ac:dyDescent="0.2">
      <c r="A1858" s="420">
        <v>46007</v>
      </c>
      <c r="B1858" t="s">
        <v>2532</v>
      </c>
      <c r="C1858" t="s">
        <v>4662</v>
      </c>
      <c r="D1858" t="s">
        <v>4668</v>
      </c>
      <c r="E1858" t="s">
        <v>1998</v>
      </c>
      <c r="G1858">
        <v>124.8</v>
      </c>
      <c r="J1858" t="s">
        <v>2509</v>
      </c>
    </row>
    <row r="1859" spans="1:10" ht="15" customHeight="1" x14ac:dyDescent="0.2">
      <c r="A1859" t="s">
        <v>4662</v>
      </c>
      <c r="E1859" t="s">
        <v>349</v>
      </c>
      <c r="F1859">
        <v>231</v>
      </c>
      <c r="G1859">
        <v>231</v>
      </c>
    </row>
    <row r="1861" spans="1:10" ht="15" customHeight="1" x14ac:dyDescent="0.2">
      <c r="A1861" t="s">
        <v>4669</v>
      </c>
      <c r="B1861" t="s">
        <v>4670</v>
      </c>
      <c r="F1861" t="s">
        <v>2430</v>
      </c>
      <c r="G1861" t="s">
        <v>2431</v>
      </c>
      <c r="H1861" t="s">
        <v>2432</v>
      </c>
      <c r="I1861" t="s">
        <v>2433</v>
      </c>
      <c r="J1861" t="s">
        <v>2434</v>
      </c>
    </row>
    <row r="1862" spans="1:10" ht="15" customHeight="1" x14ac:dyDescent="0.2">
      <c r="A1862" s="420">
        <v>45958</v>
      </c>
      <c r="B1862" t="s">
        <v>2333</v>
      </c>
      <c r="C1862" t="s">
        <v>4669</v>
      </c>
      <c r="D1862" t="s">
        <v>4671</v>
      </c>
      <c r="E1862" t="s">
        <v>4672</v>
      </c>
      <c r="F1862">
        <v>1000</v>
      </c>
      <c r="H1862">
        <v>1000</v>
      </c>
      <c r="J1862" t="s">
        <v>2511</v>
      </c>
    </row>
    <row r="1863" spans="1:10" ht="15" customHeight="1" x14ac:dyDescent="0.2">
      <c r="A1863" s="420">
        <v>45959</v>
      </c>
      <c r="B1863" t="s">
        <v>2532</v>
      </c>
      <c r="C1863" t="s">
        <v>4669</v>
      </c>
      <c r="D1863" t="s">
        <v>4673</v>
      </c>
      <c r="E1863" t="s">
        <v>1584</v>
      </c>
      <c r="G1863">
        <v>1000</v>
      </c>
      <c r="J1863" t="s">
        <v>2511</v>
      </c>
    </row>
    <row r="1864" spans="1:10" ht="15" customHeight="1" x14ac:dyDescent="0.2">
      <c r="A1864" t="s">
        <v>4669</v>
      </c>
      <c r="E1864" t="s">
        <v>349</v>
      </c>
      <c r="F1864">
        <v>1000</v>
      </c>
      <c r="G1864">
        <v>1000</v>
      </c>
    </row>
    <row r="1866" spans="1:10" ht="15" customHeight="1" x14ac:dyDescent="0.2">
      <c r="A1866" t="s">
        <v>4674</v>
      </c>
      <c r="B1866" t="s">
        <v>4675</v>
      </c>
      <c r="F1866" t="s">
        <v>2430</v>
      </c>
      <c r="G1866" t="s">
        <v>2431</v>
      </c>
      <c r="H1866" t="s">
        <v>2432</v>
      </c>
      <c r="I1866" t="s">
        <v>2433</v>
      </c>
      <c r="J1866" t="s">
        <v>2434</v>
      </c>
    </row>
    <row r="1867" spans="1:10" ht="15" customHeight="1" x14ac:dyDescent="0.2">
      <c r="A1867" s="420">
        <v>45686</v>
      </c>
      <c r="B1867" t="s">
        <v>2547</v>
      </c>
      <c r="C1867" t="s">
        <v>4674</v>
      </c>
      <c r="D1867" t="s">
        <v>4676</v>
      </c>
      <c r="E1867" t="s">
        <v>1304</v>
      </c>
      <c r="G1867">
        <v>16.79</v>
      </c>
      <c r="I1867">
        <v>16.79</v>
      </c>
      <c r="J1867" t="s">
        <v>2511</v>
      </c>
    </row>
    <row r="1868" spans="1:10" ht="15" customHeight="1" x14ac:dyDescent="0.2">
      <c r="A1868" s="420">
        <v>45687</v>
      </c>
      <c r="B1868" t="s">
        <v>2333</v>
      </c>
      <c r="C1868" t="s">
        <v>4674</v>
      </c>
      <c r="D1868" t="s">
        <v>4677</v>
      </c>
      <c r="E1868" t="s">
        <v>4678</v>
      </c>
      <c r="F1868">
        <v>16.79</v>
      </c>
      <c r="J1868" t="s">
        <v>2511</v>
      </c>
    </row>
    <row r="1869" spans="1:10" ht="15" customHeight="1" x14ac:dyDescent="0.2">
      <c r="A1869" s="420">
        <v>45717</v>
      </c>
      <c r="B1869" t="s">
        <v>2532</v>
      </c>
      <c r="C1869" t="s">
        <v>4674</v>
      </c>
      <c r="D1869" t="s">
        <v>4679</v>
      </c>
      <c r="E1869" t="s">
        <v>1323</v>
      </c>
      <c r="G1869">
        <v>16.79</v>
      </c>
      <c r="I1869">
        <v>16.79</v>
      </c>
      <c r="J1869" t="s">
        <v>2509</v>
      </c>
    </row>
    <row r="1870" spans="1:10" ht="15" customHeight="1" x14ac:dyDescent="0.2">
      <c r="A1870" s="420">
        <v>45719</v>
      </c>
      <c r="B1870" t="s">
        <v>2333</v>
      </c>
      <c r="C1870" t="s">
        <v>4674</v>
      </c>
      <c r="D1870" t="s">
        <v>4680</v>
      </c>
      <c r="E1870" t="s">
        <v>4678</v>
      </c>
      <c r="F1870">
        <v>16.79</v>
      </c>
      <c r="J1870" t="s">
        <v>2509</v>
      </c>
    </row>
    <row r="1871" spans="1:10" ht="15" customHeight="1" x14ac:dyDescent="0.2">
      <c r="A1871" s="420">
        <v>45748</v>
      </c>
      <c r="B1871" t="s">
        <v>2532</v>
      </c>
      <c r="C1871" t="s">
        <v>4674</v>
      </c>
      <c r="D1871" t="s">
        <v>4681</v>
      </c>
      <c r="E1871" t="s">
        <v>1341</v>
      </c>
      <c r="G1871">
        <v>15.55</v>
      </c>
      <c r="I1871">
        <v>15.55</v>
      </c>
      <c r="J1871" t="s">
        <v>2513</v>
      </c>
    </row>
    <row r="1872" spans="1:10" ht="15" customHeight="1" x14ac:dyDescent="0.2">
      <c r="A1872" s="420">
        <v>45749</v>
      </c>
      <c r="B1872" t="s">
        <v>2333</v>
      </c>
      <c r="C1872" t="s">
        <v>4674</v>
      </c>
      <c r="D1872" t="s">
        <v>4682</v>
      </c>
      <c r="E1872" t="s">
        <v>4683</v>
      </c>
      <c r="F1872">
        <v>16.79</v>
      </c>
      <c r="H1872">
        <v>1.24</v>
      </c>
      <c r="J1872" t="s">
        <v>2513</v>
      </c>
    </row>
    <row r="1873" spans="1:10" ht="15" customHeight="1" x14ac:dyDescent="0.2">
      <c r="A1873" s="420">
        <v>45749</v>
      </c>
      <c r="B1873" t="s">
        <v>2517</v>
      </c>
      <c r="C1873" t="s">
        <v>4674</v>
      </c>
      <c r="D1873" t="s">
        <v>4684</v>
      </c>
      <c r="E1873" t="s">
        <v>831</v>
      </c>
      <c r="G1873">
        <v>1.24</v>
      </c>
      <c r="J1873" t="s">
        <v>2513</v>
      </c>
    </row>
    <row r="1874" spans="1:10" ht="15" customHeight="1" x14ac:dyDescent="0.2">
      <c r="A1874" t="s">
        <v>4674</v>
      </c>
      <c r="E1874" t="s">
        <v>349</v>
      </c>
      <c r="F1874">
        <v>50.37</v>
      </c>
      <c r="G1874">
        <v>50.37</v>
      </c>
    </row>
    <row r="1876" spans="1:10" ht="15" customHeight="1" x14ac:dyDescent="0.2">
      <c r="A1876" t="s">
        <v>4685</v>
      </c>
      <c r="B1876" t="s">
        <v>4686</v>
      </c>
      <c r="F1876" t="s">
        <v>2430</v>
      </c>
      <c r="G1876" t="s">
        <v>2431</v>
      </c>
      <c r="H1876" t="s">
        <v>2432</v>
      </c>
      <c r="I1876" t="s">
        <v>2433</v>
      </c>
      <c r="J1876" t="s">
        <v>2434</v>
      </c>
    </row>
    <row r="1877" spans="1:10" ht="15" customHeight="1" x14ac:dyDescent="0.2">
      <c r="A1877" s="420">
        <v>45867</v>
      </c>
      <c r="B1877" t="s">
        <v>2532</v>
      </c>
      <c r="C1877" t="s">
        <v>4685</v>
      </c>
      <c r="D1877" t="s">
        <v>4687</v>
      </c>
      <c r="E1877" t="s">
        <v>1122</v>
      </c>
      <c r="G1877">
        <v>720</v>
      </c>
      <c r="I1877">
        <v>720</v>
      </c>
      <c r="J1877" t="s">
        <v>2511</v>
      </c>
    </row>
    <row r="1878" spans="1:10" ht="15" customHeight="1" x14ac:dyDescent="0.2">
      <c r="A1878" s="420">
        <v>45947</v>
      </c>
      <c r="B1878" t="s">
        <v>2333</v>
      </c>
      <c r="C1878" t="s">
        <v>4685</v>
      </c>
      <c r="D1878" t="s">
        <v>4688</v>
      </c>
      <c r="E1878" t="s">
        <v>4689</v>
      </c>
      <c r="F1878">
        <v>720</v>
      </c>
      <c r="J1878" t="s">
        <v>2511</v>
      </c>
    </row>
    <row r="1879" spans="1:10" ht="15" customHeight="1" x14ac:dyDescent="0.2">
      <c r="A1879" t="s">
        <v>4685</v>
      </c>
      <c r="E1879" t="s">
        <v>349</v>
      </c>
      <c r="F1879">
        <v>720</v>
      </c>
      <c r="G1879">
        <v>720</v>
      </c>
    </row>
    <row r="1881" spans="1:10" ht="15" customHeight="1" x14ac:dyDescent="0.2">
      <c r="A1881" t="s">
        <v>4690</v>
      </c>
      <c r="B1881" t="s">
        <v>4691</v>
      </c>
      <c r="F1881" t="s">
        <v>2430</v>
      </c>
      <c r="G1881" t="s">
        <v>2431</v>
      </c>
      <c r="H1881" t="s">
        <v>2432</v>
      </c>
      <c r="I1881" t="s">
        <v>2433</v>
      </c>
      <c r="J1881" t="s">
        <v>2434</v>
      </c>
    </row>
    <row r="1882" spans="1:10" ht="15" customHeight="1" x14ac:dyDescent="0.2">
      <c r="A1882" s="420">
        <v>45889</v>
      </c>
      <c r="B1882" t="s">
        <v>2532</v>
      </c>
      <c r="C1882" t="s">
        <v>4690</v>
      </c>
      <c r="D1882" t="s">
        <v>4692</v>
      </c>
      <c r="E1882" t="s">
        <v>535</v>
      </c>
      <c r="G1882">
        <v>510</v>
      </c>
      <c r="I1882">
        <v>510</v>
      </c>
      <c r="J1882" t="s">
        <v>2511</v>
      </c>
    </row>
    <row r="1883" spans="1:10" ht="15" customHeight="1" x14ac:dyDescent="0.2">
      <c r="A1883" s="420">
        <v>45988</v>
      </c>
      <c r="B1883" t="s">
        <v>2333</v>
      </c>
      <c r="C1883" t="s">
        <v>4690</v>
      </c>
      <c r="D1883" t="s">
        <v>4693</v>
      </c>
      <c r="E1883" t="s">
        <v>4694</v>
      </c>
      <c r="F1883">
        <v>510</v>
      </c>
      <c r="J1883" t="s">
        <v>2511</v>
      </c>
    </row>
    <row r="1884" spans="1:10" ht="15" customHeight="1" x14ac:dyDescent="0.2">
      <c r="A1884" t="s">
        <v>4690</v>
      </c>
      <c r="E1884" t="s">
        <v>349</v>
      </c>
      <c r="F1884">
        <v>510</v>
      </c>
      <c r="G1884">
        <v>510</v>
      </c>
    </row>
    <row r="1886" spans="1:10" ht="15" customHeight="1" x14ac:dyDescent="0.2">
      <c r="A1886" t="s">
        <v>4695</v>
      </c>
      <c r="B1886" t="s">
        <v>4696</v>
      </c>
      <c r="F1886" t="s">
        <v>2430</v>
      </c>
      <c r="G1886" t="s">
        <v>2431</v>
      </c>
      <c r="H1886" t="s">
        <v>2432</v>
      </c>
      <c r="I1886" t="s">
        <v>2433</v>
      </c>
      <c r="J1886" t="s">
        <v>2434</v>
      </c>
    </row>
    <row r="1887" spans="1:10" ht="15" customHeight="1" x14ac:dyDescent="0.2">
      <c r="A1887" s="420">
        <v>45688</v>
      </c>
      <c r="B1887" t="s">
        <v>2333</v>
      </c>
      <c r="C1887" t="s">
        <v>4695</v>
      </c>
      <c r="D1887" t="s">
        <v>4697</v>
      </c>
      <c r="E1887" t="s">
        <v>4698</v>
      </c>
      <c r="F1887">
        <v>19.25</v>
      </c>
      <c r="H1887">
        <v>19.25</v>
      </c>
      <c r="J1887" t="s">
        <v>2511</v>
      </c>
    </row>
    <row r="1888" spans="1:10" ht="15" customHeight="1" x14ac:dyDescent="0.2">
      <c r="A1888" s="420">
        <v>45688</v>
      </c>
      <c r="B1888" t="s">
        <v>2532</v>
      </c>
      <c r="C1888" t="s">
        <v>4695</v>
      </c>
      <c r="D1888" t="s">
        <v>4699</v>
      </c>
      <c r="E1888" t="s">
        <v>1305</v>
      </c>
      <c r="G1888">
        <v>19.3</v>
      </c>
      <c r="I1888">
        <v>0.05</v>
      </c>
      <c r="J1888" t="s">
        <v>2511</v>
      </c>
    </row>
    <row r="1889" spans="1:10" ht="15" customHeight="1" x14ac:dyDescent="0.2">
      <c r="A1889" s="420">
        <v>45688</v>
      </c>
      <c r="B1889" t="s">
        <v>2517</v>
      </c>
      <c r="C1889" t="s">
        <v>4695</v>
      </c>
      <c r="D1889" t="s">
        <v>4700</v>
      </c>
      <c r="E1889" t="s">
        <v>830</v>
      </c>
      <c r="F1889">
        <v>0.05</v>
      </c>
      <c r="J1889" t="s">
        <v>2511</v>
      </c>
    </row>
    <row r="1890" spans="1:10" ht="15" customHeight="1" x14ac:dyDescent="0.2">
      <c r="A1890" s="420">
        <v>45716</v>
      </c>
      <c r="B1890" t="s">
        <v>2532</v>
      </c>
      <c r="C1890" t="s">
        <v>4695</v>
      </c>
      <c r="D1890" t="s">
        <v>4701</v>
      </c>
      <c r="E1890" t="s">
        <v>883</v>
      </c>
      <c r="G1890">
        <v>19.27</v>
      </c>
      <c r="I1890">
        <v>19.27</v>
      </c>
      <c r="J1890" t="s">
        <v>2509</v>
      </c>
    </row>
    <row r="1891" spans="1:10" ht="15" customHeight="1" x14ac:dyDescent="0.2">
      <c r="A1891" s="420">
        <v>45719</v>
      </c>
      <c r="B1891" t="s">
        <v>2333</v>
      </c>
      <c r="C1891" t="s">
        <v>4695</v>
      </c>
      <c r="D1891" t="s">
        <v>4702</v>
      </c>
      <c r="E1891" t="s">
        <v>4698</v>
      </c>
      <c r="F1891">
        <v>19.23</v>
      </c>
      <c r="I1891">
        <v>0.04</v>
      </c>
      <c r="J1891" t="s">
        <v>2509</v>
      </c>
    </row>
    <row r="1892" spans="1:10" ht="15" customHeight="1" x14ac:dyDescent="0.2">
      <c r="A1892" s="420">
        <v>45719</v>
      </c>
      <c r="B1892" t="s">
        <v>2517</v>
      </c>
      <c r="C1892" t="s">
        <v>4695</v>
      </c>
      <c r="D1892" t="s">
        <v>4703</v>
      </c>
      <c r="E1892" t="s">
        <v>830</v>
      </c>
      <c r="F1892">
        <v>0.04</v>
      </c>
      <c r="J1892" t="s">
        <v>2509</v>
      </c>
    </row>
    <row r="1893" spans="1:10" ht="15" customHeight="1" x14ac:dyDescent="0.2">
      <c r="A1893" s="420">
        <v>45747</v>
      </c>
      <c r="B1893" t="s">
        <v>2333</v>
      </c>
      <c r="C1893" t="s">
        <v>4695</v>
      </c>
      <c r="D1893" t="s">
        <v>4704</v>
      </c>
      <c r="E1893" t="s">
        <v>4698</v>
      </c>
      <c r="F1893">
        <v>18.579999999999998</v>
      </c>
      <c r="H1893">
        <v>18.579999999999998</v>
      </c>
      <c r="J1893" t="s">
        <v>2513</v>
      </c>
    </row>
    <row r="1894" spans="1:10" ht="15" customHeight="1" x14ac:dyDescent="0.2">
      <c r="A1894" s="420">
        <v>45747</v>
      </c>
      <c r="B1894" t="s">
        <v>2532</v>
      </c>
      <c r="C1894" t="s">
        <v>4695</v>
      </c>
      <c r="D1894" t="s">
        <v>4705</v>
      </c>
      <c r="E1894" t="s">
        <v>1338</v>
      </c>
      <c r="G1894">
        <v>18.489999999999998</v>
      </c>
      <c r="H1894">
        <v>0.09</v>
      </c>
      <c r="J1894" t="s">
        <v>2513</v>
      </c>
    </row>
    <row r="1895" spans="1:10" ht="15" customHeight="1" x14ac:dyDescent="0.2">
      <c r="A1895" s="420">
        <v>45747</v>
      </c>
      <c r="B1895" t="s">
        <v>2517</v>
      </c>
      <c r="C1895" t="s">
        <v>4695</v>
      </c>
      <c r="D1895" t="s">
        <v>4706</v>
      </c>
      <c r="E1895" t="s">
        <v>830</v>
      </c>
      <c r="G1895">
        <v>0.09</v>
      </c>
      <c r="J1895" t="s">
        <v>2513</v>
      </c>
    </row>
    <row r="1896" spans="1:10" ht="15" customHeight="1" x14ac:dyDescent="0.2">
      <c r="A1896" s="420">
        <v>45777</v>
      </c>
      <c r="B1896" t="s">
        <v>2333</v>
      </c>
      <c r="C1896" t="s">
        <v>4695</v>
      </c>
      <c r="D1896" t="s">
        <v>4707</v>
      </c>
      <c r="E1896" t="s">
        <v>4698</v>
      </c>
      <c r="F1896">
        <v>17.59</v>
      </c>
      <c r="H1896">
        <v>17.59</v>
      </c>
      <c r="J1896" t="s">
        <v>2585</v>
      </c>
    </row>
    <row r="1897" spans="1:10" ht="15" customHeight="1" x14ac:dyDescent="0.2">
      <c r="A1897" s="420">
        <v>45777</v>
      </c>
      <c r="B1897" t="s">
        <v>2532</v>
      </c>
      <c r="C1897" t="s">
        <v>4695</v>
      </c>
      <c r="D1897" t="s">
        <v>4708</v>
      </c>
      <c r="E1897" t="s">
        <v>890</v>
      </c>
      <c r="G1897">
        <v>17.59</v>
      </c>
      <c r="J1897" t="s">
        <v>2585</v>
      </c>
    </row>
    <row r="1898" spans="1:10" ht="15" customHeight="1" x14ac:dyDescent="0.2">
      <c r="A1898" s="420">
        <v>45808</v>
      </c>
      <c r="B1898" t="s">
        <v>2532</v>
      </c>
      <c r="C1898" t="s">
        <v>4695</v>
      </c>
      <c r="D1898" t="s">
        <v>4709</v>
      </c>
      <c r="E1898" t="s">
        <v>1365</v>
      </c>
      <c r="G1898">
        <v>17.62</v>
      </c>
      <c r="I1898">
        <v>17.62</v>
      </c>
      <c r="J1898" t="s">
        <v>2586</v>
      </c>
    </row>
    <row r="1899" spans="1:10" ht="15" customHeight="1" x14ac:dyDescent="0.2">
      <c r="A1899" s="420">
        <v>45810</v>
      </c>
      <c r="B1899" t="s">
        <v>2333</v>
      </c>
      <c r="C1899" t="s">
        <v>4695</v>
      </c>
      <c r="D1899" t="s">
        <v>4710</v>
      </c>
      <c r="E1899" t="s">
        <v>4698</v>
      </c>
      <c r="F1899">
        <v>17.68</v>
      </c>
      <c r="H1899">
        <v>0.06</v>
      </c>
      <c r="J1899" t="s">
        <v>2586</v>
      </c>
    </row>
    <row r="1900" spans="1:10" ht="15" customHeight="1" x14ac:dyDescent="0.2">
      <c r="A1900" s="420">
        <v>45810</v>
      </c>
      <c r="B1900" t="s">
        <v>2517</v>
      </c>
      <c r="C1900" t="s">
        <v>4695</v>
      </c>
      <c r="D1900" t="s">
        <v>4711</v>
      </c>
      <c r="E1900" t="s">
        <v>830</v>
      </c>
      <c r="G1900">
        <v>0.06</v>
      </c>
      <c r="J1900" t="s">
        <v>2586</v>
      </c>
    </row>
    <row r="1901" spans="1:10" ht="15" customHeight="1" x14ac:dyDescent="0.2">
      <c r="A1901" s="420">
        <v>45838</v>
      </c>
      <c r="B1901" t="s">
        <v>2333</v>
      </c>
      <c r="C1901" t="s">
        <v>4695</v>
      </c>
      <c r="D1901" t="s">
        <v>4712</v>
      </c>
      <c r="E1901" t="s">
        <v>4698</v>
      </c>
      <c r="F1901">
        <v>17.12</v>
      </c>
      <c r="H1901">
        <v>17.12</v>
      </c>
      <c r="J1901" t="s">
        <v>2587</v>
      </c>
    </row>
    <row r="1902" spans="1:10" ht="15" customHeight="1" x14ac:dyDescent="0.2">
      <c r="A1902" s="420">
        <v>45838</v>
      </c>
      <c r="B1902" t="s">
        <v>2532</v>
      </c>
      <c r="C1902" t="s">
        <v>4695</v>
      </c>
      <c r="D1902" t="s">
        <v>4713</v>
      </c>
      <c r="E1902" t="s">
        <v>1376</v>
      </c>
      <c r="G1902">
        <v>17.12</v>
      </c>
      <c r="J1902" t="s">
        <v>2587</v>
      </c>
    </row>
    <row r="1903" spans="1:10" ht="15" customHeight="1" x14ac:dyDescent="0.2">
      <c r="A1903" s="420">
        <v>45869</v>
      </c>
      <c r="B1903" t="s">
        <v>2333</v>
      </c>
      <c r="C1903" t="s">
        <v>4695</v>
      </c>
      <c r="D1903" t="s">
        <v>4714</v>
      </c>
      <c r="E1903" t="s">
        <v>4698</v>
      </c>
      <c r="F1903">
        <v>17.46</v>
      </c>
      <c r="H1903">
        <v>17.46</v>
      </c>
      <c r="J1903" t="s">
        <v>2600</v>
      </c>
    </row>
    <row r="1904" spans="1:10" ht="15" customHeight="1" x14ac:dyDescent="0.2">
      <c r="A1904" s="420">
        <v>45869</v>
      </c>
      <c r="B1904" t="s">
        <v>2532</v>
      </c>
      <c r="C1904" t="s">
        <v>4695</v>
      </c>
      <c r="D1904" t="s">
        <v>4715</v>
      </c>
      <c r="E1904" t="s">
        <v>900</v>
      </c>
      <c r="G1904">
        <v>17.510000000000002</v>
      </c>
      <c r="I1904">
        <v>0.05</v>
      </c>
      <c r="J1904" t="s">
        <v>2600</v>
      </c>
    </row>
    <row r="1905" spans="1:10" ht="15" customHeight="1" x14ac:dyDescent="0.2">
      <c r="A1905" s="420">
        <v>45869</v>
      </c>
      <c r="B1905" t="s">
        <v>2517</v>
      </c>
      <c r="C1905" t="s">
        <v>4695</v>
      </c>
      <c r="D1905" t="s">
        <v>4716</v>
      </c>
      <c r="E1905" t="s">
        <v>830</v>
      </c>
      <c r="F1905">
        <v>0.05</v>
      </c>
      <c r="J1905" t="s">
        <v>2600</v>
      </c>
    </row>
    <row r="1906" spans="1:10" ht="15" customHeight="1" x14ac:dyDescent="0.2">
      <c r="A1906" s="420">
        <v>45900</v>
      </c>
      <c r="B1906" t="s">
        <v>2532</v>
      </c>
      <c r="C1906" t="s">
        <v>4695</v>
      </c>
      <c r="D1906" t="s">
        <v>4717</v>
      </c>
      <c r="E1906" t="s">
        <v>905</v>
      </c>
      <c r="G1906">
        <v>17.170000000000002</v>
      </c>
      <c r="I1906">
        <v>17.170000000000002</v>
      </c>
      <c r="J1906" t="s">
        <v>2603</v>
      </c>
    </row>
    <row r="1907" spans="1:10" ht="15" customHeight="1" x14ac:dyDescent="0.2">
      <c r="A1907" s="420">
        <v>45901</v>
      </c>
      <c r="B1907" t="s">
        <v>2333</v>
      </c>
      <c r="C1907" t="s">
        <v>4695</v>
      </c>
      <c r="D1907" t="s">
        <v>4718</v>
      </c>
      <c r="E1907" t="s">
        <v>4698</v>
      </c>
      <c r="F1907">
        <v>17.170000000000002</v>
      </c>
      <c r="J1907" t="s">
        <v>2603</v>
      </c>
    </row>
    <row r="1908" spans="1:10" ht="15" customHeight="1" x14ac:dyDescent="0.2">
      <c r="A1908" s="420">
        <v>45930</v>
      </c>
      <c r="B1908" t="s">
        <v>2333</v>
      </c>
      <c r="C1908" t="s">
        <v>4695</v>
      </c>
      <c r="D1908" t="s">
        <v>4719</v>
      </c>
      <c r="E1908" t="s">
        <v>4698</v>
      </c>
      <c r="F1908">
        <v>17.100000000000001</v>
      </c>
      <c r="H1908">
        <v>17.100000000000001</v>
      </c>
      <c r="J1908" t="s">
        <v>2603</v>
      </c>
    </row>
    <row r="1909" spans="1:10" ht="15" customHeight="1" x14ac:dyDescent="0.2">
      <c r="A1909" s="420">
        <v>45930</v>
      </c>
      <c r="B1909" t="s">
        <v>2532</v>
      </c>
      <c r="C1909" t="s">
        <v>4695</v>
      </c>
      <c r="D1909" t="s">
        <v>4720</v>
      </c>
      <c r="E1909" t="s">
        <v>910</v>
      </c>
      <c r="G1909">
        <v>17.100000000000001</v>
      </c>
      <c r="J1909" t="s">
        <v>2603</v>
      </c>
    </row>
    <row r="1910" spans="1:10" ht="15" customHeight="1" x14ac:dyDescent="0.2">
      <c r="A1910" s="420">
        <v>45961</v>
      </c>
      <c r="B1910" t="s">
        <v>2333</v>
      </c>
      <c r="C1910" t="s">
        <v>4695</v>
      </c>
      <c r="D1910" t="s">
        <v>4721</v>
      </c>
      <c r="E1910" t="s">
        <v>4698</v>
      </c>
      <c r="F1910">
        <v>17.32</v>
      </c>
      <c r="H1910">
        <v>17.32</v>
      </c>
      <c r="J1910" t="s">
        <v>2604</v>
      </c>
    </row>
    <row r="1911" spans="1:10" ht="15" customHeight="1" x14ac:dyDescent="0.2">
      <c r="A1911" s="420">
        <v>45961</v>
      </c>
      <c r="B1911" t="s">
        <v>2532</v>
      </c>
      <c r="C1911" t="s">
        <v>4695</v>
      </c>
      <c r="D1911" t="s">
        <v>4722</v>
      </c>
      <c r="E1911" t="s">
        <v>1415</v>
      </c>
      <c r="G1911">
        <v>17.25</v>
      </c>
      <c r="H1911">
        <v>7.0000000000000007E-2</v>
      </c>
      <c r="J1911" t="s">
        <v>2604</v>
      </c>
    </row>
    <row r="1912" spans="1:10" ht="15" customHeight="1" x14ac:dyDescent="0.2">
      <c r="A1912" s="420">
        <v>45961</v>
      </c>
      <c r="B1912" t="s">
        <v>2517</v>
      </c>
      <c r="C1912" t="s">
        <v>4695</v>
      </c>
      <c r="D1912" t="s">
        <v>4723</v>
      </c>
      <c r="E1912" t="s">
        <v>830</v>
      </c>
      <c r="G1912">
        <v>7.0000000000000007E-2</v>
      </c>
      <c r="J1912" t="s">
        <v>2604</v>
      </c>
    </row>
    <row r="1913" spans="1:10" ht="15" customHeight="1" x14ac:dyDescent="0.2">
      <c r="A1913" s="420">
        <v>45991</v>
      </c>
      <c r="B1913" t="s">
        <v>2532</v>
      </c>
      <c r="C1913" t="s">
        <v>4695</v>
      </c>
      <c r="D1913" t="s">
        <v>4724</v>
      </c>
      <c r="E1913" t="s">
        <v>1425</v>
      </c>
      <c r="G1913">
        <v>17.239999999999998</v>
      </c>
      <c r="I1913">
        <v>17.239999999999998</v>
      </c>
      <c r="J1913" t="s">
        <v>2599</v>
      </c>
    </row>
    <row r="1914" spans="1:10" ht="15" customHeight="1" x14ac:dyDescent="0.2">
      <c r="A1914" s="420">
        <v>45992</v>
      </c>
      <c r="B1914" t="s">
        <v>2333</v>
      </c>
      <c r="C1914" t="s">
        <v>4695</v>
      </c>
      <c r="D1914" t="s">
        <v>4725</v>
      </c>
      <c r="E1914" t="s">
        <v>4698</v>
      </c>
      <c r="F1914">
        <v>17.309999999999999</v>
      </c>
      <c r="H1914">
        <v>7.0000000000000007E-2</v>
      </c>
      <c r="J1914" t="s">
        <v>2599</v>
      </c>
    </row>
    <row r="1915" spans="1:10" ht="15" customHeight="1" x14ac:dyDescent="0.2">
      <c r="A1915" s="420">
        <v>45992</v>
      </c>
      <c r="B1915" t="s">
        <v>2517</v>
      </c>
      <c r="C1915" t="s">
        <v>4695</v>
      </c>
      <c r="D1915" t="s">
        <v>4726</v>
      </c>
      <c r="E1915" t="s">
        <v>830</v>
      </c>
      <c r="G1915">
        <v>7.0000000000000007E-2</v>
      </c>
      <c r="J1915" t="s">
        <v>2599</v>
      </c>
    </row>
    <row r="1916" spans="1:10" ht="15" customHeight="1" x14ac:dyDescent="0.2">
      <c r="A1916" t="s">
        <v>4695</v>
      </c>
      <c r="E1916" t="s">
        <v>349</v>
      </c>
      <c r="F1916">
        <v>195.95</v>
      </c>
      <c r="G1916">
        <v>195.95</v>
      </c>
    </row>
    <row r="1918" spans="1:10" ht="15" customHeight="1" x14ac:dyDescent="0.2">
      <c r="A1918" t="s">
        <v>4727</v>
      </c>
      <c r="B1918" t="s">
        <v>1647</v>
      </c>
      <c r="F1918" t="s">
        <v>2430</v>
      </c>
      <c r="G1918" t="s">
        <v>2431</v>
      </c>
      <c r="H1918" t="s">
        <v>2432</v>
      </c>
      <c r="I1918" t="s">
        <v>2433</v>
      </c>
      <c r="J1918" t="s">
        <v>2434</v>
      </c>
    </row>
    <row r="1919" spans="1:10" ht="15" customHeight="1" x14ac:dyDescent="0.2">
      <c r="A1919" s="420">
        <v>45671</v>
      </c>
      <c r="B1919" t="s">
        <v>2532</v>
      </c>
      <c r="C1919" t="s">
        <v>4727</v>
      </c>
      <c r="D1919" t="s">
        <v>4728</v>
      </c>
      <c r="E1919" t="s">
        <v>1629</v>
      </c>
      <c r="G1919">
        <v>96.78</v>
      </c>
      <c r="I1919">
        <v>96.78</v>
      </c>
      <c r="J1919" t="s">
        <v>2511</v>
      </c>
    </row>
    <row r="1920" spans="1:10" ht="15" customHeight="1" x14ac:dyDescent="0.2">
      <c r="A1920" s="420">
        <v>45684</v>
      </c>
      <c r="B1920" t="s">
        <v>2333</v>
      </c>
      <c r="C1920" t="s">
        <v>4727</v>
      </c>
      <c r="D1920" t="s">
        <v>4729</v>
      </c>
      <c r="E1920" t="s">
        <v>4730</v>
      </c>
      <c r="F1920">
        <v>96.78</v>
      </c>
      <c r="J1920" t="s">
        <v>2511</v>
      </c>
    </row>
    <row r="1921" spans="1:10" ht="15" customHeight="1" x14ac:dyDescent="0.2">
      <c r="A1921" s="420">
        <v>45701</v>
      </c>
      <c r="B1921" t="s">
        <v>2532</v>
      </c>
      <c r="C1921" t="s">
        <v>4727</v>
      </c>
      <c r="D1921" t="s">
        <v>4731</v>
      </c>
      <c r="E1921" t="s">
        <v>1639</v>
      </c>
      <c r="G1921">
        <v>94.8</v>
      </c>
      <c r="I1921">
        <v>94.8</v>
      </c>
      <c r="J1921" t="s">
        <v>2509</v>
      </c>
    </row>
    <row r="1922" spans="1:10" ht="15" customHeight="1" x14ac:dyDescent="0.2">
      <c r="A1922" s="420">
        <v>45713</v>
      </c>
      <c r="B1922" t="s">
        <v>2333</v>
      </c>
      <c r="C1922" t="s">
        <v>4727</v>
      </c>
      <c r="D1922" t="s">
        <v>4732</v>
      </c>
      <c r="E1922" t="s">
        <v>4733</v>
      </c>
      <c r="F1922">
        <v>94.8</v>
      </c>
      <c r="J1922" t="s">
        <v>2509</v>
      </c>
    </row>
    <row r="1923" spans="1:10" ht="15" customHeight="1" x14ac:dyDescent="0.2">
      <c r="A1923" s="420">
        <v>45729</v>
      </c>
      <c r="B1923" t="s">
        <v>2547</v>
      </c>
      <c r="C1923" t="s">
        <v>4727</v>
      </c>
      <c r="D1923" t="s">
        <v>4734</v>
      </c>
      <c r="E1923" t="s">
        <v>1647</v>
      </c>
      <c r="G1923">
        <v>94.8</v>
      </c>
      <c r="I1923">
        <v>94.8</v>
      </c>
      <c r="J1923" t="s">
        <v>2513</v>
      </c>
    </row>
    <row r="1924" spans="1:10" ht="15" customHeight="1" x14ac:dyDescent="0.2">
      <c r="A1924" s="420">
        <v>45741</v>
      </c>
      <c r="B1924" t="s">
        <v>2333</v>
      </c>
      <c r="C1924" t="s">
        <v>4727</v>
      </c>
      <c r="D1924" t="s">
        <v>4735</v>
      </c>
      <c r="E1924" t="s">
        <v>4736</v>
      </c>
      <c r="F1924">
        <v>94.8</v>
      </c>
      <c r="J1924" t="s">
        <v>2513</v>
      </c>
    </row>
    <row r="1925" spans="1:10" ht="15" customHeight="1" x14ac:dyDescent="0.2">
      <c r="A1925" s="420">
        <v>45762</v>
      </c>
      <c r="B1925" t="s">
        <v>2547</v>
      </c>
      <c r="C1925" t="s">
        <v>4727</v>
      </c>
      <c r="D1925" t="s">
        <v>4737</v>
      </c>
      <c r="E1925" t="s">
        <v>1647</v>
      </c>
      <c r="G1925">
        <v>100.08</v>
      </c>
      <c r="I1925">
        <v>100.08</v>
      </c>
      <c r="J1925" t="s">
        <v>2585</v>
      </c>
    </row>
    <row r="1926" spans="1:10" ht="15" customHeight="1" x14ac:dyDescent="0.2">
      <c r="A1926" s="420">
        <v>45772</v>
      </c>
      <c r="B1926" t="s">
        <v>2333</v>
      </c>
      <c r="C1926" t="s">
        <v>4727</v>
      </c>
      <c r="D1926" t="s">
        <v>4738</v>
      </c>
      <c r="E1926" t="s">
        <v>4739</v>
      </c>
      <c r="F1926">
        <v>100.08</v>
      </c>
      <c r="J1926" t="s">
        <v>2585</v>
      </c>
    </row>
    <row r="1927" spans="1:10" ht="15" customHeight="1" x14ac:dyDescent="0.2">
      <c r="A1927" s="420">
        <v>45791</v>
      </c>
      <c r="B1927" t="s">
        <v>2547</v>
      </c>
      <c r="C1927" t="s">
        <v>4727</v>
      </c>
      <c r="D1927" t="s">
        <v>4740</v>
      </c>
      <c r="E1927" t="s">
        <v>1659</v>
      </c>
      <c r="G1927">
        <v>114.13</v>
      </c>
      <c r="I1927">
        <v>114.13</v>
      </c>
      <c r="J1927" t="s">
        <v>2586</v>
      </c>
    </row>
    <row r="1928" spans="1:10" ht="15" customHeight="1" x14ac:dyDescent="0.2">
      <c r="A1928" s="420">
        <v>45803</v>
      </c>
      <c r="B1928" t="s">
        <v>2333</v>
      </c>
      <c r="C1928" t="s">
        <v>4727</v>
      </c>
      <c r="D1928" t="s">
        <v>4741</v>
      </c>
      <c r="E1928" t="s">
        <v>4742</v>
      </c>
      <c r="F1928">
        <v>114.13</v>
      </c>
      <c r="J1928" t="s">
        <v>2586</v>
      </c>
    </row>
    <row r="1929" spans="1:10" ht="15" customHeight="1" x14ac:dyDescent="0.2">
      <c r="A1929" s="420">
        <v>45821</v>
      </c>
      <c r="B1929" t="s">
        <v>2532</v>
      </c>
      <c r="C1929" t="s">
        <v>4727</v>
      </c>
      <c r="D1929" t="s">
        <v>4743</v>
      </c>
      <c r="E1929" t="s">
        <v>1662</v>
      </c>
      <c r="G1929">
        <v>96.78</v>
      </c>
      <c r="I1929">
        <v>96.78</v>
      </c>
      <c r="J1929" t="s">
        <v>2587</v>
      </c>
    </row>
    <row r="1930" spans="1:10" ht="15" customHeight="1" x14ac:dyDescent="0.2">
      <c r="A1930" s="420">
        <v>45833</v>
      </c>
      <c r="B1930" t="s">
        <v>2333</v>
      </c>
      <c r="C1930" t="s">
        <v>4727</v>
      </c>
      <c r="D1930" t="s">
        <v>4744</v>
      </c>
      <c r="E1930" t="s">
        <v>4745</v>
      </c>
      <c r="F1930">
        <v>96.78</v>
      </c>
      <c r="J1930" t="s">
        <v>2587</v>
      </c>
    </row>
    <row r="1931" spans="1:10" ht="15" customHeight="1" x14ac:dyDescent="0.2">
      <c r="A1931" s="420">
        <v>45853</v>
      </c>
      <c r="B1931" t="s">
        <v>2532</v>
      </c>
      <c r="C1931" t="s">
        <v>4727</v>
      </c>
      <c r="D1931" t="s">
        <v>4746</v>
      </c>
      <c r="E1931" t="s">
        <v>1672</v>
      </c>
      <c r="G1931">
        <v>94.8</v>
      </c>
      <c r="I1931">
        <v>94.8</v>
      </c>
      <c r="J1931" t="s">
        <v>2603</v>
      </c>
    </row>
    <row r="1932" spans="1:10" ht="15" customHeight="1" x14ac:dyDescent="0.2">
      <c r="A1932" s="420">
        <v>45863</v>
      </c>
      <c r="B1932" t="s">
        <v>2333</v>
      </c>
      <c r="C1932" t="s">
        <v>4727</v>
      </c>
      <c r="D1932" t="s">
        <v>4747</v>
      </c>
      <c r="E1932" t="s">
        <v>4748</v>
      </c>
      <c r="F1932">
        <v>94.8</v>
      </c>
      <c r="J1932" t="s">
        <v>2603</v>
      </c>
    </row>
    <row r="1933" spans="1:10" ht="15" customHeight="1" x14ac:dyDescent="0.2">
      <c r="A1933" s="420">
        <v>45881</v>
      </c>
      <c r="B1933" t="s">
        <v>2532</v>
      </c>
      <c r="C1933" t="s">
        <v>4727</v>
      </c>
      <c r="D1933" t="s">
        <v>4749</v>
      </c>
      <c r="E1933" t="s">
        <v>1677</v>
      </c>
      <c r="G1933">
        <v>97</v>
      </c>
      <c r="I1933">
        <v>97</v>
      </c>
      <c r="J1933" t="s">
        <v>2603</v>
      </c>
    </row>
    <row r="1934" spans="1:10" ht="15" customHeight="1" x14ac:dyDescent="0.2">
      <c r="A1934" s="420">
        <v>45894</v>
      </c>
      <c r="B1934" t="s">
        <v>2333</v>
      </c>
      <c r="C1934" t="s">
        <v>4727</v>
      </c>
      <c r="D1934" t="s">
        <v>4750</v>
      </c>
      <c r="E1934" t="s">
        <v>4751</v>
      </c>
      <c r="F1934">
        <v>97</v>
      </c>
      <c r="J1934" t="s">
        <v>2603</v>
      </c>
    </row>
    <row r="1935" spans="1:10" ht="15" customHeight="1" x14ac:dyDescent="0.2">
      <c r="A1935" s="420">
        <v>45912</v>
      </c>
      <c r="B1935" t="s">
        <v>2532</v>
      </c>
      <c r="C1935" t="s">
        <v>4727</v>
      </c>
      <c r="D1935" t="s">
        <v>4752</v>
      </c>
      <c r="E1935" t="s">
        <v>1685</v>
      </c>
      <c r="G1935">
        <v>94.8</v>
      </c>
      <c r="I1935">
        <v>94.8</v>
      </c>
      <c r="J1935" t="s">
        <v>2603</v>
      </c>
    </row>
    <row r="1936" spans="1:10" ht="15" customHeight="1" x14ac:dyDescent="0.2">
      <c r="A1936" s="420">
        <v>45925</v>
      </c>
      <c r="B1936" t="s">
        <v>2333</v>
      </c>
      <c r="C1936" t="s">
        <v>4727</v>
      </c>
      <c r="D1936" t="s">
        <v>4753</v>
      </c>
      <c r="E1936" t="s">
        <v>4754</v>
      </c>
      <c r="F1936">
        <v>94.8</v>
      </c>
      <c r="J1936" t="s">
        <v>2603</v>
      </c>
    </row>
    <row r="1937" spans="1:10" ht="15" customHeight="1" x14ac:dyDescent="0.2">
      <c r="A1937" s="420">
        <v>45943</v>
      </c>
      <c r="B1937" t="s">
        <v>2532</v>
      </c>
      <c r="C1937" t="s">
        <v>4727</v>
      </c>
      <c r="D1937" t="s">
        <v>4755</v>
      </c>
      <c r="E1937" t="s">
        <v>1697</v>
      </c>
      <c r="G1937">
        <v>94.8</v>
      </c>
      <c r="I1937">
        <v>94.8</v>
      </c>
      <c r="J1937" t="s">
        <v>2604</v>
      </c>
    </row>
    <row r="1938" spans="1:10" ht="15" customHeight="1" x14ac:dyDescent="0.2">
      <c r="A1938" s="420">
        <v>45957</v>
      </c>
      <c r="B1938" t="s">
        <v>2333</v>
      </c>
      <c r="C1938" t="s">
        <v>4727</v>
      </c>
      <c r="D1938" t="s">
        <v>4756</v>
      </c>
      <c r="E1938" t="s">
        <v>4757</v>
      </c>
      <c r="F1938">
        <v>94.8</v>
      </c>
      <c r="J1938" t="s">
        <v>2604</v>
      </c>
    </row>
    <row r="1939" spans="1:10" ht="15" customHeight="1" x14ac:dyDescent="0.2">
      <c r="A1939" s="420">
        <v>45974</v>
      </c>
      <c r="B1939" t="s">
        <v>2532</v>
      </c>
      <c r="C1939" t="s">
        <v>4727</v>
      </c>
      <c r="D1939" t="s">
        <v>4758</v>
      </c>
      <c r="E1939" t="s">
        <v>1697</v>
      </c>
      <c r="G1939">
        <v>94.8</v>
      </c>
      <c r="I1939">
        <v>94.8</v>
      </c>
      <c r="J1939" t="s">
        <v>2600</v>
      </c>
    </row>
    <row r="1940" spans="1:10" ht="15" customHeight="1" x14ac:dyDescent="0.2">
      <c r="A1940" s="420">
        <v>45986</v>
      </c>
      <c r="B1940" t="s">
        <v>2333</v>
      </c>
      <c r="C1940" t="s">
        <v>4727</v>
      </c>
      <c r="D1940" t="s">
        <v>4759</v>
      </c>
      <c r="E1940" t="s">
        <v>4760</v>
      </c>
      <c r="F1940">
        <v>94.8</v>
      </c>
      <c r="J1940" t="s">
        <v>2600</v>
      </c>
    </row>
    <row r="1941" spans="1:10" ht="15" customHeight="1" x14ac:dyDescent="0.2">
      <c r="A1941" s="420">
        <v>46003</v>
      </c>
      <c r="B1941" t="s">
        <v>2547</v>
      </c>
      <c r="C1941" t="s">
        <v>4727</v>
      </c>
      <c r="D1941" t="s">
        <v>4761</v>
      </c>
      <c r="E1941" t="s">
        <v>1647</v>
      </c>
      <c r="G1941">
        <v>94.8</v>
      </c>
      <c r="I1941">
        <v>94.8</v>
      </c>
      <c r="J1941" t="s">
        <v>2599</v>
      </c>
    </row>
    <row r="1942" spans="1:10" ht="15" customHeight="1" x14ac:dyDescent="0.2">
      <c r="A1942" s="420">
        <v>46020</v>
      </c>
      <c r="B1942" t="s">
        <v>2333</v>
      </c>
      <c r="C1942" t="s">
        <v>4727</v>
      </c>
      <c r="D1942" t="s">
        <v>4762</v>
      </c>
      <c r="E1942" t="s">
        <v>4763</v>
      </c>
      <c r="F1942">
        <v>94.8</v>
      </c>
      <c r="J1942" t="s">
        <v>2599</v>
      </c>
    </row>
    <row r="1943" spans="1:10" ht="15" customHeight="1" x14ac:dyDescent="0.2">
      <c r="A1943" t="s">
        <v>4727</v>
      </c>
      <c r="E1943" t="s">
        <v>349</v>
      </c>
      <c r="F1943">
        <v>1168.3699999999999</v>
      </c>
      <c r="G1943">
        <v>1168.3699999999999</v>
      </c>
    </row>
    <row r="1945" spans="1:10" ht="15" customHeight="1" x14ac:dyDescent="0.2">
      <c r="A1945" t="s">
        <v>4764</v>
      </c>
      <c r="B1945" t="s">
        <v>4765</v>
      </c>
      <c r="F1945" t="s">
        <v>2430</v>
      </c>
      <c r="G1945" t="s">
        <v>2431</v>
      </c>
      <c r="H1945" t="s">
        <v>2432</v>
      </c>
      <c r="I1945" t="s">
        <v>2433</v>
      </c>
      <c r="J1945" t="s">
        <v>2434</v>
      </c>
    </row>
    <row r="1946" spans="1:10" ht="15" customHeight="1" x14ac:dyDescent="0.2">
      <c r="A1946" s="420">
        <v>45727</v>
      </c>
      <c r="B1946" t="s">
        <v>2532</v>
      </c>
      <c r="C1946" t="s">
        <v>4764</v>
      </c>
      <c r="D1946" t="s">
        <v>4766</v>
      </c>
      <c r="E1946" t="s">
        <v>1792</v>
      </c>
      <c r="G1946">
        <v>73</v>
      </c>
      <c r="I1946">
        <v>73</v>
      </c>
      <c r="J1946" t="s">
        <v>2511</v>
      </c>
    </row>
    <row r="1947" spans="1:10" ht="15" customHeight="1" x14ac:dyDescent="0.2">
      <c r="A1947" s="420">
        <v>45728</v>
      </c>
      <c r="B1947" t="s">
        <v>2333</v>
      </c>
      <c r="C1947" t="s">
        <v>4764</v>
      </c>
      <c r="D1947" t="s">
        <v>4767</v>
      </c>
      <c r="E1947" t="s">
        <v>4768</v>
      </c>
      <c r="F1947">
        <v>73</v>
      </c>
      <c r="J1947" t="s">
        <v>2511</v>
      </c>
    </row>
    <row r="1948" spans="1:10" ht="15" customHeight="1" x14ac:dyDescent="0.2">
      <c r="A1948" s="420">
        <v>45746</v>
      </c>
      <c r="B1948" t="s">
        <v>2532</v>
      </c>
      <c r="C1948" t="s">
        <v>4764</v>
      </c>
      <c r="D1948" t="s">
        <v>4769</v>
      </c>
      <c r="E1948" t="s">
        <v>1811</v>
      </c>
      <c r="G1948">
        <v>125.1</v>
      </c>
      <c r="I1948">
        <v>125.1</v>
      </c>
      <c r="J1948" t="s">
        <v>2509</v>
      </c>
    </row>
    <row r="1949" spans="1:10" ht="15" customHeight="1" x14ac:dyDescent="0.2">
      <c r="A1949" s="420">
        <v>45747</v>
      </c>
      <c r="B1949" t="s">
        <v>2333</v>
      </c>
      <c r="C1949" t="s">
        <v>4764</v>
      </c>
      <c r="D1949" t="s">
        <v>4770</v>
      </c>
      <c r="E1949" t="s">
        <v>4771</v>
      </c>
      <c r="F1949">
        <v>125.1</v>
      </c>
      <c r="J1949" t="s">
        <v>2509</v>
      </c>
    </row>
    <row r="1950" spans="1:10" ht="15" customHeight="1" x14ac:dyDescent="0.2">
      <c r="A1950" s="420">
        <v>45811</v>
      </c>
      <c r="B1950" t="s">
        <v>2532</v>
      </c>
      <c r="C1950" t="s">
        <v>4764</v>
      </c>
      <c r="D1950" t="s">
        <v>4772</v>
      </c>
      <c r="E1950" t="s">
        <v>1869</v>
      </c>
      <c r="G1950">
        <v>92.3</v>
      </c>
      <c r="I1950">
        <v>92.3</v>
      </c>
      <c r="J1950" t="s">
        <v>2513</v>
      </c>
    </row>
    <row r="1951" spans="1:10" ht="15" customHeight="1" x14ac:dyDescent="0.2">
      <c r="A1951" s="420">
        <v>45818</v>
      </c>
      <c r="B1951" t="s">
        <v>2333</v>
      </c>
      <c r="C1951" t="s">
        <v>4764</v>
      </c>
      <c r="D1951" t="s">
        <v>4773</v>
      </c>
      <c r="E1951" t="s">
        <v>4768</v>
      </c>
      <c r="F1951">
        <v>92.3</v>
      </c>
      <c r="J1951" t="s">
        <v>2513</v>
      </c>
    </row>
    <row r="1952" spans="1:10" ht="15" customHeight="1" x14ac:dyDescent="0.2">
      <c r="A1952" s="420">
        <v>45962</v>
      </c>
      <c r="B1952" t="s">
        <v>2532</v>
      </c>
      <c r="C1952" t="s">
        <v>4764</v>
      </c>
      <c r="D1952" t="s">
        <v>4774</v>
      </c>
      <c r="E1952" t="s">
        <v>1965</v>
      </c>
      <c r="G1952">
        <v>128</v>
      </c>
      <c r="I1952">
        <v>128</v>
      </c>
      <c r="J1952" t="s">
        <v>2585</v>
      </c>
    </row>
    <row r="1953" spans="1:10" ht="15" customHeight="1" x14ac:dyDescent="0.2">
      <c r="A1953" s="420">
        <v>45964</v>
      </c>
      <c r="B1953" t="s">
        <v>2333</v>
      </c>
      <c r="C1953" t="s">
        <v>4764</v>
      </c>
      <c r="D1953" t="s">
        <v>4775</v>
      </c>
      <c r="E1953" t="s">
        <v>4776</v>
      </c>
      <c r="F1953">
        <v>128</v>
      </c>
      <c r="J1953" t="s">
        <v>2585</v>
      </c>
    </row>
    <row r="1954" spans="1:10" ht="15" customHeight="1" x14ac:dyDescent="0.2">
      <c r="A1954" t="s">
        <v>4764</v>
      </c>
      <c r="E1954" t="s">
        <v>349</v>
      </c>
      <c r="F1954">
        <v>418.4</v>
      </c>
      <c r="G1954">
        <v>418.4</v>
      </c>
    </row>
    <row r="1956" spans="1:10" ht="15" customHeight="1" x14ac:dyDescent="0.2">
      <c r="A1956" t="s">
        <v>4777</v>
      </c>
      <c r="B1956" t="s">
        <v>4778</v>
      </c>
      <c r="F1956" t="s">
        <v>2430</v>
      </c>
      <c r="G1956" t="s">
        <v>2431</v>
      </c>
      <c r="H1956" t="s">
        <v>2432</v>
      </c>
      <c r="I1956" t="s">
        <v>2433</v>
      </c>
      <c r="J1956" t="s">
        <v>2434</v>
      </c>
    </row>
    <row r="1957" spans="1:10" ht="15" customHeight="1" x14ac:dyDescent="0.2">
      <c r="A1957" s="420">
        <v>45811</v>
      </c>
      <c r="B1957" t="s">
        <v>2532</v>
      </c>
      <c r="C1957" t="s">
        <v>4777</v>
      </c>
      <c r="D1957" t="s">
        <v>4779</v>
      </c>
      <c r="E1957" t="s">
        <v>1868</v>
      </c>
      <c r="G1957">
        <v>2.5</v>
      </c>
      <c r="I1957">
        <v>2.5</v>
      </c>
      <c r="J1957" t="s">
        <v>2511</v>
      </c>
    </row>
    <row r="1958" spans="1:10" ht="15" customHeight="1" x14ac:dyDescent="0.2">
      <c r="A1958" s="420">
        <v>45811</v>
      </c>
      <c r="B1958" t="s">
        <v>2532</v>
      </c>
      <c r="C1958" t="s">
        <v>4777</v>
      </c>
      <c r="D1958" t="s">
        <v>4780</v>
      </c>
      <c r="E1958" t="s">
        <v>1870</v>
      </c>
      <c r="G1958">
        <v>2.6</v>
      </c>
      <c r="I1958">
        <v>5.0999999999999996</v>
      </c>
      <c r="J1958" t="s">
        <v>2511</v>
      </c>
    </row>
    <row r="1959" spans="1:10" ht="15" customHeight="1" x14ac:dyDescent="0.2">
      <c r="A1959" s="420">
        <v>45812</v>
      </c>
      <c r="B1959" t="s">
        <v>2333</v>
      </c>
      <c r="C1959" t="s">
        <v>4777</v>
      </c>
      <c r="D1959" t="s">
        <v>4781</v>
      </c>
      <c r="E1959" t="s">
        <v>4782</v>
      </c>
      <c r="F1959">
        <v>2.6</v>
      </c>
      <c r="I1959">
        <v>2.5</v>
      </c>
      <c r="J1959" t="s">
        <v>2511</v>
      </c>
    </row>
    <row r="1960" spans="1:10" ht="15" customHeight="1" x14ac:dyDescent="0.2">
      <c r="A1960" s="420">
        <v>45812</v>
      </c>
      <c r="B1960" t="s">
        <v>2333</v>
      </c>
      <c r="C1960" t="s">
        <v>4777</v>
      </c>
      <c r="D1960" t="s">
        <v>4783</v>
      </c>
      <c r="E1960" t="s">
        <v>4784</v>
      </c>
      <c r="F1960">
        <v>2.5</v>
      </c>
      <c r="J1960" t="s">
        <v>2511</v>
      </c>
    </row>
    <row r="1961" spans="1:10" ht="15" customHeight="1" x14ac:dyDescent="0.2">
      <c r="A1961" t="s">
        <v>4777</v>
      </c>
      <c r="E1961" t="s">
        <v>349</v>
      </c>
      <c r="F1961">
        <v>5.0999999999999996</v>
      </c>
      <c r="G1961">
        <v>5.0999999999999996</v>
      </c>
    </row>
    <row r="1963" spans="1:10" ht="15" customHeight="1" x14ac:dyDescent="0.2">
      <c r="A1963" t="s">
        <v>4785</v>
      </c>
      <c r="B1963" t="s">
        <v>4786</v>
      </c>
      <c r="F1963" t="s">
        <v>2430</v>
      </c>
      <c r="G1963" t="s">
        <v>2431</v>
      </c>
      <c r="H1963" t="s">
        <v>2432</v>
      </c>
      <c r="I1963" t="s">
        <v>2433</v>
      </c>
      <c r="J1963" t="s">
        <v>2434</v>
      </c>
    </row>
    <row r="1964" spans="1:10" ht="15" customHeight="1" x14ac:dyDescent="0.2">
      <c r="A1964" s="420">
        <v>45777</v>
      </c>
      <c r="B1964" t="s">
        <v>2532</v>
      </c>
      <c r="C1964" t="s">
        <v>4785</v>
      </c>
      <c r="D1964" t="s">
        <v>4787</v>
      </c>
      <c r="E1964" t="s">
        <v>4788</v>
      </c>
      <c r="G1964">
        <v>196.41</v>
      </c>
      <c r="I1964">
        <v>196.41</v>
      </c>
      <c r="J1964" t="s">
        <v>2511</v>
      </c>
    </row>
    <row r="1965" spans="1:10" ht="15" customHeight="1" x14ac:dyDescent="0.2">
      <c r="A1965" s="420">
        <v>45779</v>
      </c>
      <c r="B1965" t="s">
        <v>2333</v>
      </c>
      <c r="C1965" t="s">
        <v>4785</v>
      </c>
      <c r="D1965" t="s">
        <v>4789</v>
      </c>
      <c r="E1965" t="s">
        <v>4790</v>
      </c>
      <c r="F1965">
        <v>196.41</v>
      </c>
      <c r="J1965" t="s">
        <v>2511</v>
      </c>
    </row>
    <row r="1966" spans="1:10" ht="15" customHeight="1" x14ac:dyDescent="0.2">
      <c r="A1966" t="s">
        <v>4785</v>
      </c>
      <c r="E1966" t="s">
        <v>349</v>
      </c>
      <c r="F1966">
        <v>196.41</v>
      </c>
      <c r="G1966">
        <v>196.41</v>
      </c>
    </row>
    <row r="1968" spans="1:10" ht="15" customHeight="1" x14ac:dyDescent="0.2">
      <c r="A1968" t="s">
        <v>4791</v>
      </c>
      <c r="B1968" t="s">
        <v>1395</v>
      </c>
      <c r="F1968" t="s">
        <v>2430</v>
      </c>
      <c r="G1968" t="s">
        <v>2431</v>
      </c>
      <c r="H1968" t="s">
        <v>2432</v>
      </c>
      <c r="I1968" t="s">
        <v>2433</v>
      </c>
      <c r="J1968" t="s">
        <v>2434</v>
      </c>
    </row>
    <row r="1969" spans="1:10" ht="15" customHeight="1" x14ac:dyDescent="0.2">
      <c r="A1969" s="420">
        <v>45806</v>
      </c>
      <c r="B1969" t="s">
        <v>2532</v>
      </c>
      <c r="C1969" t="s">
        <v>4791</v>
      </c>
      <c r="D1969" t="s">
        <v>4792</v>
      </c>
      <c r="E1969" t="s">
        <v>1362</v>
      </c>
      <c r="G1969">
        <v>7.07</v>
      </c>
      <c r="I1969">
        <v>7.07</v>
      </c>
      <c r="J1969" t="s">
        <v>2511</v>
      </c>
    </row>
    <row r="1970" spans="1:10" ht="15" customHeight="1" x14ac:dyDescent="0.2">
      <c r="A1970" s="420">
        <v>45807</v>
      </c>
      <c r="B1970" t="s">
        <v>2333</v>
      </c>
      <c r="C1970" t="s">
        <v>4791</v>
      </c>
      <c r="D1970" t="s">
        <v>4793</v>
      </c>
      <c r="E1970" t="s">
        <v>4794</v>
      </c>
      <c r="F1970">
        <v>7.09</v>
      </c>
      <c r="H1970">
        <v>0.02</v>
      </c>
      <c r="J1970" t="s">
        <v>2511</v>
      </c>
    </row>
    <row r="1971" spans="1:10" ht="15" customHeight="1" x14ac:dyDescent="0.2">
      <c r="A1971" s="420">
        <v>45807</v>
      </c>
      <c r="B1971" t="s">
        <v>2517</v>
      </c>
      <c r="C1971" t="s">
        <v>4791</v>
      </c>
      <c r="D1971" t="s">
        <v>4795</v>
      </c>
      <c r="E1971" t="s">
        <v>843</v>
      </c>
      <c r="G1971">
        <v>0.02</v>
      </c>
      <c r="J1971" t="s">
        <v>2511</v>
      </c>
    </row>
    <row r="1972" spans="1:10" ht="15" customHeight="1" x14ac:dyDescent="0.2">
      <c r="A1972" s="420">
        <v>45837</v>
      </c>
      <c r="B1972" t="s">
        <v>2532</v>
      </c>
      <c r="C1972" t="s">
        <v>4791</v>
      </c>
      <c r="D1972" t="s">
        <v>4796</v>
      </c>
      <c r="E1972" t="s">
        <v>1375</v>
      </c>
      <c r="G1972">
        <v>6.82</v>
      </c>
      <c r="I1972">
        <v>6.82</v>
      </c>
      <c r="J1972" t="s">
        <v>2509</v>
      </c>
    </row>
    <row r="1973" spans="1:10" ht="15" customHeight="1" x14ac:dyDescent="0.2">
      <c r="A1973" s="420">
        <v>45838</v>
      </c>
      <c r="B1973" t="s">
        <v>2333</v>
      </c>
      <c r="C1973" t="s">
        <v>4791</v>
      </c>
      <c r="D1973" t="s">
        <v>4797</v>
      </c>
      <c r="E1973" t="s">
        <v>4794</v>
      </c>
      <c r="F1973">
        <v>6.85</v>
      </c>
      <c r="H1973">
        <v>0.03</v>
      </c>
      <c r="J1973" t="s">
        <v>2509</v>
      </c>
    </row>
    <row r="1974" spans="1:10" ht="15" customHeight="1" x14ac:dyDescent="0.2">
      <c r="A1974" s="420">
        <v>45838</v>
      </c>
      <c r="B1974" t="s">
        <v>2517</v>
      </c>
      <c r="C1974" t="s">
        <v>4791</v>
      </c>
      <c r="D1974" t="s">
        <v>4798</v>
      </c>
      <c r="E1974" t="s">
        <v>843</v>
      </c>
      <c r="G1974">
        <v>0.03</v>
      </c>
      <c r="J1974" t="s">
        <v>2509</v>
      </c>
    </row>
    <row r="1975" spans="1:10" ht="15" customHeight="1" x14ac:dyDescent="0.2">
      <c r="A1975" s="420">
        <v>45867</v>
      </c>
      <c r="B1975" t="s">
        <v>2333</v>
      </c>
      <c r="C1975" t="s">
        <v>4791</v>
      </c>
      <c r="D1975" t="s">
        <v>4799</v>
      </c>
      <c r="E1975" t="s">
        <v>4794</v>
      </c>
      <c r="F1975">
        <v>6.89</v>
      </c>
      <c r="H1975">
        <v>6.89</v>
      </c>
      <c r="J1975" t="s">
        <v>2513</v>
      </c>
    </row>
    <row r="1976" spans="1:10" ht="15" customHeight="1" x14ac:dyDescent="0.2">
      <c r="A1976" s="420">
        <v>45867</v>
      </c>
      <c r="B1976" t="s">
        <v>2532</v>
      </c>
      <c r="C1976" t="s">
        <v>4791</v>
      </c>
      <c r="D1976" t="s">
        <v>4800</v>
      </c>
      <c r="E1976" t="s">
        <v>1384</v>
      </c>
      <c r="G1976">
        <v>6.86</v>
      </c>
      <c r="H1976">
        <v>0.03</v>
      </c>
      <c r="J1976" t="s">
        <v>2513</v>
      </c>
    </row>
    <row r="1977" spans="1:10" ht="15" customHeight="1" x14ac:dyDescent="0.2">
      <c r="A1977" s="420">
        <v>45867</v>
      </c>
      <c r="B1977" t="s">
        <v>2517</v>
      </c>
      <c r="C1977" t="s">
        <v>4791</v>
      </c>
      <c r="D1977" t="s">
        <v>4801</v>
      </c>
      <c r="E1977" t="s">
        <v>843</v>
      </c>
      <c r="G1977">
        <v>0.03</v>
      </c>
      <c r="J1977" t="s">
        <v>2513</v>
      </c>
    </row>
    <row r="1978" spans="1:10" ht="15" customHeight="1" x14ac:dyDescent="0.2">
      <c r="A1978" s="420">
        <v>45898</v>
      </c>
      <c r="B1978" t="s">
        <v>2333</v>
      </c>
      <c r="C1978" t="s">
        <v>4791</v>
      </c>
      <c r="D1978" t="s">
        <v>4802</v>
      </c>
      <c r="E1978" t="s">
        <v>4794</v>
      </c>
      <c r="F1978">
        <v>6.89</v>
      </c>
      <c r="H1978">
        <v>6.89</v>
      </c>
      <c r="J1978" t="s">
        <v>2585</v>
      </c>
    </row>
    <row r="1979" spans="1:10" ht="15" customHeight="1" x14ac:dyDescent="0.2">
      <c r="A1979" s="420">
        <v>45898</v>
      </c>
      <c r="B1979" t="s">
        <v>2547</v>
      </c>
      <c r="C1979" t="s">
        <v>4791</v>
      </c>
      <c r="D1979" t="s">
        <v>4803</v>
      </c>
      <c r="E1979" t="s">
        <v>1395</v>
      </c>
      <c r="G1979">
        <v>6.86</v>
      </c>
      <c r="H1979">
        <v>0.03</v>
      </c>
      <c r="J1979" t="s">
        <v>2585</v>
      </c>
    </row>
    <row r="1980" spans="1:10" ht="15" customHeight="1" x14ac:dyDescent="0.2">
      <c r="A1980" s="420">
        <v>45898</v>
      </c>
      <c r="B1980" t="s">
        <v>2517</v>
      </c>
      <c r="C1980" t="s">
        <v>4791</v>
      </c>
      <c r="D1980" t="s">
        <v>4804</v>
      </c>
      <c r="E1980" t="s">
        <v>843</v>
      </c>
      <c r="G1980">
        <v>0.03</v>
      </c>
      <c r="J1980" t="s">
        <v>2585</v>
      </c>
    </row>
    <row r="1981" spans="1:10" ht="15" customHeight="1" x14ac:dyDescent="0.2">
      <c r="A1981" s="420">
        <v>45929</v>
      </c>
      <c r="B1981" t="s">
        <v>2333</v>
      </c>
      <c r="C1981" t="s">
        <v>4791</v>
      </c>
      <c r="D1981" t="s">
        <v>4805</v>
      </c>
      <c r="E1981" t="s">
        <v>4794</v>
      </c>
      <c r="F1981">
        <v>6.87</v>
      </c>
      <c r="H1981">
        <v>6.87</v>
      </c>
      <c r="J1981" t="s">
        <v>2587</v>
      </c>
    </row>
    <row r="1982" spans="1:10" ht="15" customHeight="1" x14ac:dyDescent="0.2">
      <c r="A1982" s="420">
        <v>45929</v>
      </c>
      <c r="B1982" t="s">
        <v>2532</v>
      </c>
      <c r="C1982" t="s">
        <v>4791</v>
      </c>
      <c r="D1982" t="s">
        <v>4806</v>
      </c>
      <c r="E1982" t="s">
        <v>1403</v>
      </c>
      <c r="G1982">
        <v>6.84</v>
      </c>
      <c r="H1982">
        <v>0.03</v>
      </c>
      <c r="J1982" t="s">
        <v>2587</v>
      </c>
    </row>
    <row r="1983" spans="1:10" ht="15" customHeight="1" x14ac:dyDescent="0.2">
      <c r="A1983" s="420">
        <v>45929</v>
      </c>
      <c r="B1983" t="s">
        <v>2517</v>
      </c>
      <c r="C1983" t="s">
        <v>4791</v>
      </c>
      <c r="D1983" t="s">
        <v>4807</v>
      </c>
      <c r="E1983" t="s">
        <v>843</v>
      </c>
      <c r="G1983">
        <v>0.03</v>
      </c>
      <c r="J1983" t="s">
        <v>2587</v>
      </c>
    </row>
    <row r="1984" spans="1:10" ht="15" customHeight="1" x14ac:dyDescent="0.2">
      <c r="A1984" s="420">
        <v>45959</v>
      </c>
      <c r="B1984" t="s">
        <v>2333</v>
      </c>
      <c r="C1984" t="s">
        <v>4791</v>
      </c>
      <c r="D1984" t="s">
        <v>4808</v>
      </c>
      <c r="E1984" t="s">
        <v>4794</v>
      </c>
      <c r="F1984">
        <v>6.88</v>
      </c>
      <c r="H1984">
        <v>6.88</v>
      </c>
      <c r="J1984" t="s">
        <v>2586</v>
      </c>
    </row>
    <row r="1985" spans="1:10" ht="15" customHeight="1" x14ac:dyDescent="0.2">
      <c r="A1985" s="420">
        <v>45959</v>
      </c>
      <c r="B1985" t="s">
        <v>2532</v>
      </c>
      <c r="C1985" t="s">
        <v>4791</v>
      </c>
      <c r="D1985" t="s">
        <v>4809</v>
      </c>
      <c r="E1985" t="s">
        <v>921</v>
      </c>
      <c r="G1985">
        <v>6.88</v>
      </c>
      <c r="J1985" t="s">
        <v>2586</v>
      </c>
    </row>
    <row r="1986" spans="1:10" ht="15" customHeight="1" x14ac:dyDescent="0.2">
      <c r="A1986" t="s">
        <v>4791</v>
      </c>
      <c r="E1986" t="s">
        <v>349</v>
      </c>
      <c r="F1986">
        <v>41.47</v>
      </c>
      <c r="G1986">
        <v>41.47</v>
      </c>
    </row>
    <row r="1988" spans="1:10" ht="15" customHeight="1" x14ac:dyDescent="0.2">
      <c r="A1988" t="s">
        <v>4810</v>
      </c>
      <c r="B1988" t="s">
        <v>4811</v>
      </c>
      <c r="F1988" t="s">
        <v>2430</v>
      </c>
      <c r="G1988" t="s">
        <v>2431</v>
      </c>
      <c r="H1988" t="s">
        <v>2432</v>
      </c>
      <c r="I1988" t="s">
        <v>2433</v>
      </c>
      <c r="J1988" t="s">
        <v>2434</v>
      </c>
    </row>
    <row r="1989" spans="1:10" ht="15" customHeight="1" x14ac:dyDescent="0.2">
      <c r="A1989" s="420">
        <v>45905</v>
      </c>
      <c r="B1989" t="s">
        <v>2532</v>
      </c>
      <c r="C1989" t="s">
        <v>4810</v>
      </c>
      <c r="D1989" t="s">
        <v>4812</v>
      </c>
      <c r="E1989" t="s">
        <v>1927</v>
      </c>
      <c r="G1989">
        <v>145.22</v>
      </c>
      <c r="I1989">
        <v>145.22</v>
      </c>
      <c r="J1989" t="s">
        <v>2511</v>
      </c>
    </row>
    <row r="1990" spans="1:10" ht="15" customHeight="1" x14ac:dyDescent="0.2">
      <c r="A1990" s="420">
        <v>45909</v>
      </c>
      <c r="B1990" t="s">
        <v>2333</v>
      </c>
      <c r="C1990" t="s">
        <v>4810</v>
      </c>
      <c r="D1990" t="s">
        <v>4813</v>
      </c>
      <c r="E1990" t="s">
        <v>4814</v>
      </c>
      <c r="F1990">
        <v>145.22</v>
      </c>
      <c r="J1990" t="s">
        <v>2511</v>
      </c>
    </row>
    <row r="1991" spans="1:10" ht="15" customHeight="1" x14ac:dyDescent="0.2">
      <c r="A1991" t="s">
        <v>4810</v>
      </c>
      <c r="E1991" t="s">
        <v>349</v>
      </c>
      <c r="F1991">
        <v>145.22</v>
      </c>
      <c r="G1991">
        <v>145.22</v>
      </c>
    </row>
    <row r="1993" spans="1:10" ht="15" customHeight="1" x14ac:dyDescent="0.2">
      <c r="A1993" t="s">
        <v>4815</v>
      </c>
      <c r="B1993" t="s">
        <v>4816</v>
      </c>
      <c r="F1993" t="s">
        <v>2430</v>
      </c>
      <c r="G1993" t="s">
        <v>2431</v>
      </c>
      <c r="H1993" t="s">
        <v>2432</v>
      </c>
      <c r="I1993" t="s">
        <v>2433</v>
      </c>
      <c r="J1993" t="s">
        <v>2434</v>
      </c>
    </row>
    <row r="1994" spans="1:10" ht="15" customHeight="1" x14ac:dyDescent="0.2">
      <c r="A1994" s="420">
        <v>45771</v>
      </c>
      <c r="B1994" t="s">
        <v>2333</v>
      </c>
      <c r="C1994" t="s">
        <v>4815</v>
      </c>
      <c r="D1994" t="s">
        <v>4817</v>
      </c>
      <c r="E1994" t="s">
        <v>4818</v>
      </c>
      <c r="F1994">
        <v>366.24</v>
      </c>
      <c r="H1994">
        <v>366.24</v>
      </c>
      <c r="J1994" t="s">
        <v>2511</v>
      </c>
    </row>
    <row r="1995" spans="1:10" ht="15" customHeight="1" x14ac:dyDescent="0.2">
      <c r="A1995" s="420">
        <v>45771</v>
      </c>
      <c r="B1995" t="s">
        <v>2532</v>
      </c>
      <c r="C1995" t="s">
        <v>4815</v>
      </c>
      <c r="D1995" t="s">
        <v>4819</v>
      </c>
      <c r="E1995" t="s">
        <v>1835</v>
      </c>
      <c r="G1995">
        <v>366.24</v>
      </c>
      <c r="J1995" t="s">
        <v>2511</v>
      </c>
    </row>
    <row r="1996" spans="1:10" ht="15" customHeight="1" x14ac:dyDescent="0.2">
      <c r="A1996" t="s">
        <v>4815</v>
      </c>
      <c r="E1996" t="s">
        <v>349</v>
      </c>
      <c r="F1996">
        <v>366.24</v>
      </c>
      <c r="G1996">
        <v>366.24</v>
      </c>
    </row>
    <row r="1998" spans="1:10" ht="15" customHeight="1" x14ac:dyDescent="0.2">
      <c r="A1998" t="s">
        <v>4820</v>
      </c>
      <c r="B1998" t="s">
        <v>4821</v>
      </c>
      <c r="F1998" t="s">
        <v>2430</v>
      </c>
      <c r="G1998" t="s">
        <v>2431</v>
      </c>
      <c r="H1998" t="s">
        <v>2432</v>
      </c>
      <c r="I1998" t="s">
        <v>2433</v>
      </c>
      <c r="J1998" t="s">
        <v>2434</v>
      </c>
    </row>
    <row r="1999" spans="1:10" ht="15" customHeight="1" x14ac:dyDescent="0.2">
      <c r="A1999" s="420">
        <v>45839</v>
      </c>
      <c r="B1999" t="s">
        <v>2547</v>
      </c>
      <c r="C1999" t="s">
        <v>4820</v>
      </c>
      <c r="D1999" t="s">
        <v>4822</v>
      </c>
      <c r="E1999" t="s">
        <v>852</v>
      </c>
      <c r="G1999">
        <v>2400</v>
      </c>
      <c r="I1999">
        <v>2400</v>
      </c>
      <c r="J1999" t="s">
        <v>2511</v>
      </c>
    </row>
    <row r="2000" spans="1:10" ht="15" customHeight="1" x14ac:dyDescent="0.2">
      <c r="A2000" s="420">
        <v>45839</v>
      </c>
      <c r="B2000" t="s">
        <v>2532</v>
      </c>
      <c r="C2000" t="s">
        <v>4820</v>
      </c>
      <c r="D2000" t="s">
        <v>4823</v>
      </c>
      <c r="E2000" t="s">
        <v>1378</v>
      </c>
      <c r="G2000">
        <v>1800</v>
      </c>
      <c r="I2000">
        <v>4200</v>
      </c>
      <c r="J2000" t="s">
        <v>2509</v>
      </c>
    </row>
    <row r="2001" spans="1:10" ht="15" customHeight="1" x14ac:dyDescent="0.2">
      <c r="A2001" s="420">
        <v>45839</v>
      </c>
      <c r="B2001" t="s">
        <v>2547</v>
      </c>
      <c r="C2001" t="s">
        <v>4820</v>
      </c>
      <c r="D2001" t="s">
        <v>4824</v>
      </c>
      <c r="E2001" t="s">
        <v>853</v>
      </c>
      <c r="G2001">
        <v>3600</v>
      </c>
      <c r="I2001">
        <v>7800</v>
      </c>
      <c r="J2001" t="s">
        <v>2513</v>
      </c>
    </row>
    <row r="2002" spans="1:10" ht="15" customHeight="1" x14ac:dyDescent="0.2">
      <c r="A2002" s="420">
        <v>45859</v>
      </c>
      <c r="B2002" t="s">
        <v>2333</v>
      </c>
      <c r="C2002" t="s">
        <v>4820</v>
      </c>
      <c r="D2002" t="s">
        <v>4825</v>
      </c>
      <c r="E2002" t="s">
        <v>4826</v>
      </c>
      <c r="F2002">
        <v>2400</v>
      </c>
      <c r="I2002">
        <v>5400</v>
      </c>
      <c r="J2002" t="s">
        <v>2511</v>
      </c>
    </row>
    <row r="2003" spans="1:10" ht="15" customHeight="1" x14ac:dyDescent="0.2">
      <c r="A2003" s="420">
        <v>45861</v>
      </c>
      <c r="B2003" t="s">
        <v>2333</v>
      </c>
      <c r="C2003" t="s">
        <v>4820</v>
      </c>
      <c r="D2003" t="s">
        <v>4827</v>
      </c>
      <c r="E2003" t="s">
        <v>4828</v>
      </c>
      <c r="F2003">
        <v>1800</v>
      </c>
      <c r="I2003">
        <v>3600</v>
      </c>
      <c r="J2003" t="s">
        <v>2509</v>
      </c>
    </row>
    <row r="2004" spans="1:10" ht="15" customHeight="1" x14ac:dyDescent="0.2">
      <c r="A2004" s="420">
        <v>45953</v>
      </c>
      <c r="B2004" t="s">
        <v>2333</v>
      </c>
      <c r="C2004" t="s">
        <v>4820</v>
      </c>
      <c r="D2004" t="s">
        <v>4829</v>
      </c>
      <c r="E2004" t="s">
        <v>4830</v>
      </c>
      <c r="F2004">
        <v>3600</v>
      </c>
      <c r="J2004" t="s">
        <v>2513</v>
      </c>
    </row>
    <row r="2005" spans="1:10" ht="15" customHeight="1" x14ac:dyDescent="0.2">
      <c r="A2005" t="s">
        <v>4820</v>
      </c>
      <c r="E2005" t="s">
        <v>349</v>
      </c>
      <c r="F2005">
        <v>7800</v>
      </c>
      <c r="G2005">
        <v>7800</v>
      </c>
    </row>
    <row r="2007" spans="1:10" ht="15" customHeight="1" x14ac:dyDescent="0.2">
      <c r="A2007" t="s">
        <v>4831</v>
      </c>
      <c r="B2007" t="s">
        <v>4832</v>
      </c>
      <c r="F2007" t="s">
        <v>2430</v>
      </c>
      <c r="G2007" t="s">
        <v>2431</v>
      </c>
      <c r="H2007" t="s">
        <v>2432</v>
      </c>
      <c r="I2007" t="s">
        <v>2433</v>
      </c>
      <c r="J2007" t="s">
        <v>2434</v>
      </c>
    </row>
    <row r="2008" spans="1:10" ht="15" customHeight="1" x14ac:dyDescent="0.2">
      <c r="A2008" s="420">
        <v>45658</v>
      </c>
      <c r="B2008" t="s">
        <v>2435</v>
      </c>
      <c r="C2008" t="s">
        <v>4831</v>
      </c>
      <c r="D2008" t="s">
        <v>2436</v>
      </c>
      <c r="E2008" t="s">
        <v>4833</v>
      </c>
      <c r="G2008">
        <v>300</v>
      </c>
      <c r="I2008">
        <v>300</v>
      </c>
      <c r="J2008" t="s">
        <v>2511</v>
      </c>
    </row>
    <row r="2009" spans="1:10" ht="15" customHeight="1" x14ac:dyDescent="0.2">
      <c r="A2009" s="420">
        <v>45658</v>
      </c>
      <c r="B2009" t="s">
        <v>2435</v>
      </c>
      <c r="C2009" t="s">
        <v>4831</v>
      </c>
      <c r="D2009" t="s">
        <v>2436</v>
      </c>
      <c r="E2009" t="s">
        <v>4834</v>
      </c>
      <c r="F2009">
        <v>300</v>
      </c>
      <c r="J2009" t="s">
        <v>2511</v>
      </c>
    </row>
    <row r="2010" spans="1:10" ht="15" customHeight="1" x14ac:dyDescent="0.2">
      <c r="A2010" t="s">
        <v>4831</v>
      </c>
      <c r="E2010" t="s">
        <v>349</v>
      </c>
      <c r="F2010">
        <v>300</v>
      </c>
      <c r="G2010">
        <v>300</v>
      </c>
    </row>
    <row r="2012" spans="1:10" ht="15" customHeight="1" x14ac:dyDescent="0.2">
      <c r="A2012" t="s">
        <v>4835</v>
      </c>
      <c r="B2012" t="s">
        <v>4836</v>
      </c>
      <c r="F2012" t="s">
        <v>2430</v>
      </c>
      <c r="G2012" t="s">
        <v>2431</v>
      </c>
      <c r="H2012" t="s">
        <v>2432</v>
      </c>
      <c r="I2012" t="s">
        <v>2433</v>
      </c>
      <c r="J2012" t="s">
        <v>2434</v>
      </c>
    </row>
    <row r="2013" spans="1:10" ht="15" customHeight="1" x14ac:dyDescent="0.2">
      <c r="A2013" s="420">
        <v>45673</v>
      </c>
      <c r="B2013" t="s">
        <v>2532</v>
      </c>
      <c r="C2013" t="s">
        <v>4835</v>
      </c>
      <c r="D2013" t="s">
        <v>4837</v>
      </c>
      <c r="E2013" t="s">
        <v>1748</v>
      </c>
      <c r="G2013">
        <v>41.04</v>
      </c>
      <c r="I2013">
        <v>41.04</v>
      </c>
      <c r="J2013" t="s">
        <v>2511</v>
      </c>
    </row>
    <row r="2014" spans="1:10" ht="15" customHeight="1" x14ac:dyDescent="0.2">
      <c r="A2014" s="420">
        <v>45673</v>
      </c>
      <c r="B2014" t="s">
        <v>2532</v>
      </c>
      <c r="C2014" t="s">
        <v>4835</v>
      </c>
      <c r="D2014" t="s">
        <v>4838</v>
      </c>
      <c r="E2014" t="s">
        <v>1749</v>
      </c>
      <c r="G2014">
        <v>46</v>
      </c>
      <c r="I2014">
        <v>87.04</v>
      </c>
      <c r="J2014" t="s">
        <v>2585</v>
      </c>
    </row>
    <row r="2015" spans="1:10" ht="15" customHeight="1" x14ac:dyDescent="0.2">
      <c r="A2015" s="420">
        <v>45674</v>
      </c>
      <c r="B2015" t="s">
        <v>2333</v>
      </c>
      <c r="C2015" t="s">
        <v>4835</v>
      </c>
      <c r="D2015" t="s">
        <v>4839</v>
      </c>
      <c r="E2015" t="s">
        <v>4840</v>
      </c>
      <c r="F2015">
        <v>46</v>
      </c>
      <c r="I2015">
        <v>41.04</v>
      </c>
      <c r="J2015" t="s">
        <v>2585</v>
      </c>
    </row>
    <row r="2016" spans="1:10" ht="15" customHeight="1" x14ac:dyDescent="0.2">
      <c r="A2016" s="420">
        <v>45674</v>
      </c>
      <c r="B2016" t="s">
        <v>2333</v>
      </c>
      <c r="C2016" t="s">
        <v>4835</v>
      </c>
      <c r="D2016" t="s">
        <v>4841</v>
      </c>
      <c r="E2016" t="s">
        <v>4842</v>
      </c>
      <c r="F2016">
        <v>41.04</v>
      </c>
      <c r="J2016" t="s">
        <v>2511</v>
      </c>
    </row>
    <row r="2017" spans="1:10" ht="15" customHeight="1" x14ac:dyDescent="0.2">
      <c r="A2017" s="420">
        <v>45679</v>
      </c>
      <c r="B2017" t="s">
        <v>2532</v>
      </c>
      <c r="C2017" t="s">
        <v>4835</v>
      </c>
      <c r="D2017" t="s">
        <v>4843</v>
      </c>
      <c r="E2017" t="s">
        <v>1759</v>
      </c>
      <c r="G2017">
        <v>15.9</v>
      </c>
      <c r="I2017">
        <v>15.9</v>
      </c>
      <c r="J2017" t="s">
        <v>2586</v>
      </c>
    </row>
    <row r="2018" spans="1:10" ht="15" customHeight="1" x14ac:dyDescent="0.2">
      <c r="A2018" s="420">
        <v>45679</v>
      </c>
      <c r="B2018" t="s">
        <v>2547</v>
      </c>
      <c r="C2018" t="s">
        <v>4835</v>
      </c>
      <c r="D2018" t="s">
        <v>3595</v>
      </c>
      <c r="E2018" t="s">
        <v>4844</v>
      </c>
      <c r="G2018">
        <v>29.6</v>
      </c>
      <c r="I2018">
        <v>45.5</v>
      </c>
      <c r="J2018" t="s">
        <v>2604</v>
      </c>
    </row>
    <row r="2019" spans="1:10" ht="15" customHeight="1" x14ac:dyDescent="0.2">
      <c r="A2019" s="420">
        <v>45680</v>
      </c>
      <c r="B2019" t="s">
        <v>2333</v>
      </c>
      <c r="C2019" t="s">
        <v>4835</v>
      </c>
      <c r="D2019" t="s">
        <v>4845</v>
      </c>
      <c r="E2019" t="s">
        <v>4846</v>
      </c>
      <c r="F2019">
        <v>15.9</v>
      </c>
      <c r="I2019">
        <v>29.6</v>
      </c>
      <c r="J2019" t="s">
        <v>2586</v>
      </c>
    </row>
    <row r="2020" spans="1:10" ht="15" customHeight="1" x14ac:dyDescent="0.2">
      <c r="A2020" s="420">
        <v>45684</v>
      </c>
      <c r="B2020" t="s">
        <v>2532</v>
      </c>
      <c r="C2020" t="s">
        <v>4835</v>
      </c>
      <c r="D2020" t="s">
        <v>4847</v>
      </c>
      <c r="E2020" t="s">
        <v>1767</v>
      </c>
      <c r="G2020">
        <v>19.98</v>
      </c>
      <c r="I2020">
        <v>49.58</v>
      </c>
      <c r="J2020" t="s">
        <v>2509</v>
      </c>
    </row>
    <row r="2021" spans="1:10" ht="15" customHeight="1" x14ac:dyDescent="0.2">
      <c r="A2021" s="420">
        <v>45685</v>
      </c>
      <c r="B2021" t="s">
        <v>2333</v>
      </c>
      <c r="C2021" t="s">
        <v>4835</v>
      </c>
      <c r="D2021" t="s">
        <v>4848</v>
      </c>
      <c r="E2021" t="s">
        <v>4842</v>
      </c>
      <c r="F2021">
        <v>19.98</v>
      </c>
      <c r="I2021">
        <v>29.6</v>
      </c>
      <c r="J2021" t="s">
        <v>2509</v>
      </c>
    </row>
    <row r="2022" spans="1:10" ht="15" customHeight="1" x14ac:dyDescent="0.2">
      <c r="A2022" s="420">
        <v>45685</v>
      </c>
      <c r="B2022" t="s">
        <v>2547</v>
      </c>
      <c r="C2022" t="s">
        <v>4835</v>
      </c>
      <c r="D2022" t="s">
        <v>3595</v>
      </c>
      <c r="E2022" t="s">
        <v>1768</v>
      </c>
      <c r="G2022">
        <v>51.6</v>
      </c>
      <c r="I2022">
        <v>81.2</v>
      </c>
      <c r="J2022" t="s">
        <v>2604</v>
      </c>
    </row>
    <row r="2023" spans="1:10" ht="15" customHeight="1" x14ac:dyDescent="0.2">
      <c r="A2023" s="420">
        <v>45685</v>
      </c>
      <c r="B2023" t="s">
        <v>2547</v>
      </c>
      <c r="C2023" t="s">
        <v>4835</v>
      </c>
      <c r="D2023" t="s">
        <v>3595</v>
      </c>
      <c r="E2023" t="s">
        <v>1769</v>
      </c>
      <c r="G2023">
        <v>46.2</v>
      </c>
      <c r="I2023">
        <v>127.4</v>
      </c>
      <c r="J2023" t="s">
        <v>2604</v>
      </c>
    </row>
    <row r="2024" spans="1:10" ht="15" customHeight="1" x14ac:dyDescent="0.2">
      <c r="A2024" s="420">
        <v>45688</v>
      </c>
      <c r="B2024" t="s">
        <v>2532</v>
      </c>
      <c r="C2024" t="s">
        <v>4835</v>
      </c>
      <c r="D2024" t="s">
        <v>4849</v>
      </c>
      <c r="E2024" t="s">
        <v>1771</v>
      </c>
      <c r="G2024">
        <v>65.2</v>
      </c>
      <c r="I2024">
        <v>192.6</v>
      </c>
      <c r="J2024" t="s">
        <v>2513</v>
      </c>
    </row>
    <row r="2025" spans="1:10" ht="15" customHeight="1" x14ac:dyDescent="0.2">
      <c r="A2025" s="420">
        <v>45691</v>
      </c>
      <c r="B2025" t="s">
        <v>2333</v>
      </c>
      <c r="C2025" t="s">
        <v>4835</v>
      </c>
      <c r="D2025" t="s">
        <v>4850</v>
      </c>
      <c r="E2025" t="s">
        <v>4851</v>
      </c>
      <c r="F2025">
        <v>65.2</v>
      </c>
      <c r="I2025">
        <v>127.4</v>
      </c>
      <c r="J2025" t="s">
        <v>2513</v>
      </c>
    </row>
    <row r="2026" spans="1:10" ht="15" customHeight="1" x14ac:dyDescent="0.2">
      <c r="A2026" s="420">
        <v>45693</v>
      </c>
      <c r="B2026" t="s">
        <v>2532</v>
      </c>
      <c r="C2026" t="s">
        <v>4835</v>
      </c>
      <c r="D2026" t="s">
        <v>4852</v>
      </c>
      <c r="E2026" t="s">
        <v>1773</v>
      </c>
      <c r="G2026">
        <v>65.2</v>
      </c>
      <c r="I2026">
        <v>192.6</v>
      </c>
      <c r="J2026" t="s">
        <v>2587</v>
      </c>
    </row>
    <row r="2027" spans="1:10" ht="15" customHeight="1" x14ac:dyDescent="0.2">
      <c r="A2027" s="420">
        <v>45693</v>
      </c>
      <c r="B2027" t="s">
        <v>2547</v>
      </c>
      <c r="C2027" t="s">
        <v>4835</v>
      </c>
      <c r="D2027" t="s">
        <v>3595</v>
      </c>
      <c r="E2027" t="s">
        <v>1774</v>
      </c>
      <c r="G2027">
        <v>47.3</v>
      </c>
      <c r="I2027">
        <v>239.9</v>
      </c>
      <c r="J2027" t="s">
        <v>2604</v>
      </c>
    </row>
    <row r="2028" spans="1:10" ht="15" customHeight="1" x14ac:dyDescent="0.2">
      <c r="A2028" s="420">
        <v>45694</v>
      </c>
      <c r="B2028" t="s">
        <v>2333</v>
      </c>
      <c r="C2028" t="s">
        <v>4835</v>
      </c>
      <c r="D2028" t="s">
        <v>4853</v>
      </c>
      <c r="E2028" t="s">
        <v>4851</v>
      </c>
      <c r="F2028">
        <v>65.2</v>
      </c>
      <c r="I2028">
        <v>174.7</v>
      </c>
      <c r="J2028" t="s">
        <v>2587</v>
      </c>
    </row>
    <row r="2029" spans="1:10" ht="15" customHeight="1" x14ac:dyDescent="0.2">
      <c r="A2029" s="420">
        <v>45713</v>
      </c>
      <c r="B2029" t="s">
        <v>2547</v>
      </c>
      <c r="C2029" t="s">
        <v>4835</v>
      </c>
      <c r="D2029" t="s">
        <v>4854</v>
      </c>
      <c r="E2029" t="s">
        <v>1781</v>
      </c>
      <c r="G2029">
        <v>21.5</v>
      </c>
      <c r="I2029">
        <v>196.2</v>
      </c>
      <c r="J2029" t="s">
        <v>2603</v>
      </c>
    </row>
    <row r="2030" spans="1:10" ht="15" customHeight="1" x14ac:dyDescent="0.2">
      <c r="A2030" s="420">
        <v>45714</v>
      </c>
      <c r="B2030" t="s">
        <v>2333</v>
      </c>
      <c r="C2030" t="s">
        <v>4835</v>
      </c>
      <c r="D2030" t="s">
        <v>4855</v>
      </c>
      <c r="E2030" t="s">
        <v>4842</v>
      </c>
      <c r="F2030">
        <v>21.5</v>
      </c>
      <c r="I2030">
        <v>174.7</v>
      </c>
      <c r="J2030" t="s">
        <v>2603</v>
      </c>
    </row>
    <row r="2031" spans="1:10" ht="15" customHeight="1" x14ac:dyDescent="0.2">
      <c r="A2031" s="420">
        <v>45715</v>
      </c>
      <c r="B2031" t="s">
        <v>2547</v>
      </c>
      <c r="C2031" t="s">
        <v>4835</v>
      </c>
      <c r="D2031" t="s">
        <v>3595</v>
      </c>
      <c r="E2031" t="s">
        <v>1783</v>
      </c>
      <c r="G2031">
        <v>168</v>
      </c>
      <c r="I2031">
        <v>342.7</v>
      </c>
      <c r="J2031" t="s">
        <v>2604</v>
      </c>
    </row>
    <row r="2032" spans="1:10" ht="15" customHeight="1" x14ac:dyDescent="0.2">
      <c r="A2032" s="420">
        <v>45716</v>
      </c>
      <c r="B2032" t="s">
        <v>2532</v>
      </c>
      <c r="C2032" t="s">
        <v>4835</v>
      </c>
      <c r="D2032" t="s">
        <v>4856</v>
      </c>
      <c r="E2032" t="s">
        <v>1785</v>
      </c>
      <c r="G2032">
        <v>68.099999999999994</v>
      </c>
      <c r="I2032">
        <v>410.8</v>
      </c>
      <c r="J2032" t="s">
        <v>2599</v>
      </c>
    </row>
    <row r="2033" spans="1:10" ht="15" customHeight="1" x14ac:dyDescent="0.2">
      <c r="A2033" s="420">
        <v>45719</v>
      </c>
      <c r="B2033" t="s">
        <v>2333</v>
      </c>
      <c r="C2033" t="s">
        <v>4835</v>
      </c>
      <c r="D2033" t="s">
        <v>4857</v>
      </c>
      <c r="E2033" t="s">
        <v>4851</v>
      </c>
      <c r="F2033">
        <v>68.099999999999994</v>
      </c>
      <c r="I2033">
        <v>342.7</v>
      </c>
      <c r="J2033" t="s">
        <v>2599</v>
      </c>
    </row>
    <row r="2034" spans="1:10" ht="15" customHeight="1" x14ac:dyDescent="0.2">
      <c r="A2034" s="420">
        <v>45721</v>
      </c>
      <c r="B2034" t="s">
        <v>2547</v>
      </c>
      <c r="C2034" t="s">
        <v>4835</v>
      </c>
      <c r="D2034" t="s">
        <v>4858</v>
      </c>
      <c r="E2034" t="s">
        <v>1788</v>
      </c>
      <c r="G2034">
        <v>41.58</v>
      </c>
      <c r="I2034">
        <v>384.28</v>
      </c>
      <c r="J2034" t="s">
        <v>2602</v>
      </c>
    </row>
    <row r="2035" spans="1:10" ht="15" customHeight="1" x14ac:dyDescent="0.2">
      <c r="A2035" s="420">
        <v>45730</v>
      </c>
      <c r="B2035" t="s">
        <v>2333</v>
      </c>
      <c r="C2035" t="s">
        <v>4835</v>
      </c>
      <c r="D2035" t="s">
        <v>3596</v>
      </c>
      <c r="E2035" t="s">
        <v>3597</v>
      </c>
      <c r="F2035">
        <v>342.7</v>
      </c>
      <c r="I2035">
        <v>41.58</v>
      </c>
      <c r="J2035" t="s">
        <v>2604</v>
      </c>
    </row>
    <row r="2036" spans="1:10" ht="15" customHeight="1" x14ac:dyDescent="0.2">
      <c r="A2036" s="420">
        <v>45731</v>
      </c>
      <c r="B2036" t="s">
        <v>2547</v>
      </c>
      <c r="C2036" t="s">
        <v>4835</v>
      </c>
      <c r="D2036" t="s">
        <v>2863</v>
      </c>
      <c r="E2036" t="s">
        <v>1798</v>
      </c>
      <c r="G2036">
        <v>10.6</v>
      </c>
      <c r="I2036">
        <v>52.18</v>
      </c>
      <c r="J2036" t="s">
        <v>2605</v>
      </c>
    </row>
    <row r="2037" spans="1:10" ht="15" customHeight="1" x14ac:dyDescent="0.2">
      <c r="A2037" s="420">
        <v>45731</v>
      </c>
      <c r="B2037" t="s">
        <v>2547</v>
      </c>
      <c r="C2037" t="s">
        <v>4835</v>
      </c>
      <c r="D2037" t="s">
        <v>3784</v>
      </c>
      <c r="E2037" t="s">
        <v>1798</v>
      </c>
      <c r="G2037">
        <v>16</v>
      </c>
      <c r="I2037">
        <v>68.180000000000007</v>
      </c>
      <c r="J2037" t="s">
        <v>2605</v>
      </c>
    </row>
    <row r="2038" spans="1:10" ht="15" customHeight="1" x14ac:dyDescent="0.2">
      <c r="A2038" s="420">
        <v>45731</v>
      </c>
      <c r="B2038" t="s">
        <v>2547</v>
      </c>
      <c r="C2038" t="s">
        <v>4835</v>
      </c>
      <c r="D2038" t="s">
        <v>4858</v>
      </c>
      <c r="E2038" t="s">
        <v>1799</v>
      </c>
      <c r="G2038">
        <v>164.2</v>
      </c>
      <c r="I2038">
        <v>232.38</v>
      </c>
      <c r="J2038" t="s">
        <v>2601</v>
      </c>
    </row>
    <row r="2039" spans="1:10" ht="15" customHeight="1" x14ac:dyDescent="0.2">
      <c r="A2039" s="420">
        <v>45732</v>
      </c>
      <c r="B2039" t="s">
        <v>2547</v>
      </c>
      <c r="C2039" t="s">
        <v>4835</v>
      </c>
      <c r="D2039" t="s">
        <v>2863</v>
      </c>
      <c r="E2039" t="s">
        <v>1798</v>
      </c>
      <c r="G2039">
        <v>19.399999999999999</v>
      </c>
      <c r="I2039">
        <v>251.78</v>
      </c>
      <c r="J2039" t="s">
        <v>2605</v>
      </c>
    </row>
    <row r="2040" spans="1:10" ht="15" customHeight="1" x14ac:dyDescent="0.2">
      <c r="A2040" s="420">
        <v>45732</v>
      </c>
      <c r="B2040" t="s">
        <v>2547</v>
      </c>
      <c r="C2040" t="s">
        <v>4835</v>
      </c>
      <c r="D2040" t="s">
        <v>3784</v>
      </c>
      <c r="E2040" t="s">
        <v>1798</v>
      </c>
      <c r="G2040">
        <v>22.2</v>
      </c>
      <c r="I2040">
        <v>273.98</v>
      </c>
      <c r="J2040" t="s">
        <v>2605</v>
      </c>
    </row>
    <row r="2041" spans="1:10" ht="15" customHeight="1" x14ac:dyDescent="0.2">
      <c r="A2041" s="420">
        <v>45733</v>
      </c>
      <c r="B2041" t="s">
        <v>2333</v>
      </c>
      <c r="C2041" t="s">
        <v>4835</v>
      </c>
      <c r="D2041" t="s">
        <v>4859</v>
      </c>
      <c r="E2041" t="s">
        <v>4851</v>
      </c>
      <c r="F2041">
        <v>164.2</v>
      </c>
      <c r="I2041">
        <v>109.78</v>
      </c>
      <c r="J2041" t="s">
        <v>2601</v>
      </c>
    </row>
    <row r="2042" spans="1:10" ht="15" customHeight="1" x14ac:dyDescent="0.2">
      <c r="A2042" s="420">
        <v>45735</v>
      </c>
      <c r="B2042" t="s">
        <v>2547</v>
      </c>
      <c r="C2042" t="s">
        <v>4835</v>
      </c>
      <c r="D2042" t="s">
        <v>4858</v>
      </c>
      <c r="E2042" t="s">
        <v>1802</v>
      </c>
      <c r="G2042">
        <v>107.2</v>
      </c>
      <c r="I2042">
        <v>216.98</v>
      </c>
      <c r="J2042" t="s">
        <v>2602</v>
      </c>
    </row>
    <row r="2043" spans="1:10" ht="15" customHeight="1" x14ac:dyDescent="0.2">
      <c r="A2043" s="420">
        <v>45736</v>
      </c>
      <c r="B2043" t="s">
        <v>2532</v>
      </c>
      <c r="C2043" t="s">
        <v>4835</v>
      </c>
      <c r="D2043" t="s">
        <v>4860</v>
      </c>
      <c r="E2043" t="s">
        <v>1804</v>
      </c>
      <c r="G2043">
        <v>59.1</v>
      </c>
      <c r="I2043">
        <v>276.08</v>
      </c>
      <c r="J2043" t="s">
        <v>2710</v>
      </c>
    </row>
    <row r="2044" spans="1:10" ht="15" customHeight="1" x14ac:dyDescent="0.2">
      <c r="A2044" s="420">
        <v>45737</v>
      </c>
      <c r="B2044" t="s">
        <v>2333</v>
      </c>
      <c r="C2044" t="s">
        <v>4835</v>
      </c>
      <c r="D2044" t="s">
        <v>4861</v>
      </c>
      <c r="E2044" t="s">
        <v>4862</v>
      </c>
      <c r="F2044">
        <v>59.1</v>
      </c>
      <c r="I2044">
        <v>216.98</v>
      </c>
      <c r="J2044" t="s">
        <v>2710</v>
      </c>
    </row>
    <row r="2045" spans="1:10" ht="15" customHeight="1" x14ac:dyDescent="0.2">
      <c r="A2045" s="420">
        <v>45737</v>
      </c>
      <c r="B2045" t="s">
        <v>2547</v>
      </c>
      <c r="C2045" t="s">
        <v>4835</v>
      </c>
      <c r="D2045" t="s">
        <v>4858</v>
      </c>
      <c r="E2045" t="s">
        <v>1774</v>
      </c>
      <c r="G2045">
        <v>44.1</v>
      </c>
      <c r="I2045">
        <v>261.08</v>
      </c>
      <c r="J2045" t="s">
        <v>2602</v>
      </c>
    </row>
    <row r="2046" spans="1:10" ht="15" customHeight="1" x14ac:dyDescent="0.2">
      <c r="A2046" s="420">
        <v>45741</v>
      </c>
      <c r="B2046" t="s">
        <v>2547</v>
      </c>
      <c r="C2046" t="s">
        <v>4835</v>
      </c>
      <c r="D2046" t="s">
        <v>4858</v>
      </c>
      <c r="E2046" t="s">
        <v>1774</v>
      </c>
      <c r="G2046">
        <v>56.1</v>
      </c>
      <c r="I2046">
        <v>317.18</v>
      </c>
      <c r="J2046" t="s">
        <v>2602</v>
      </c>
    </row>
    <row r="2047" spans="1:10" ht="15" customHeight="1" x14ac:dyDescent="0.2">
      <c r="A2047" s="420">
        <v>45743</v>
      </c>
      <c r="B2047" t="s">
        <v>2547</v>
      </c>
      <c r="C2047" t="s">
        <v>4835</v>
      </c>
      <c r="D2047" t="s">
        <v>4858</v>
      </c>
      <c r="E2047" t="s">
        <v>1788</v>
      </c>
      <c r="G2047">
        <v>39.6</v>
      </c>
      <c r="I2047">
        <v>356.78</v>
      </c>
      <c r="J2047" t="s">
        <v>2600</v>
      </c>
    </row>
    <row r="2048" spans="1:10" ht="15" customHeight="1" x14ac:dyDescent="0.2">
      <c r="A2048" s="420">
        <v>45744</v>
      </c>
      <c r="B2048" t="s">
        <v>2333</v>
      </c>
      <c r="C2048" t="s">
        <v>4835</v>
      </c>
      <c r="D2048" t="s">
        <v>4863</v>
      </c>
      <c r="E2048" t="s">
        <v>4842</v>
      </c>
      <c r="F2048">
        <v>39.6</v>
      </c>
      <c r="I2048">
        <v>317.18</v>
      </c>
      <c r="J2048" t="s">
        <v>2600</v>
      </c>
    </row>
    <row r="2049" spans="1:10" ht="15" customHeight="1" x14ac:dyDescent="0.2">
      <c r="A2049" s="420">
        <v>45747</v>
      </c>
      <c r="B2049" t="s">
        <v>2333</v>
      </c>
      <c r="C2049" t="s">
        <v>4835</v>
      </c>
      <c r="D2049" t="s">
        <v>3787</v>
      </c>
      <c r="E2049" t="s">
        <v>3788</v>
      </c>
      <c r="F2049">
        <v>38.200000000000003</v>
      </c>
      <c r="I2049">
        <v>278.98</v>
      </c>
      <c r="J2049" t="s">
        <v>2605</v>
      </c>
    </row>
    <row r="2050" spans="1:10" ht="15" customHeight="1" x14ac:dyDescent="0.2">
      <c r="A2050" s="420">
        <v>45747</v>
      </c>
      <c r="B2050" t="s">
        <v>2333</v>
      </c>
      <c r="C2050" t="s">
        <v>4835</v>
      </c>
      <c r="D2050" t="s">
        <v>2864</v>
      </c>
      <c r="E2050" t="s">
        <v>2865</v>
      </c>
      <c r="F2050">
        <v>30</v>
      </c>
      <c r="I2050">
        <v>248.98</v>
      </c>
      <c r="J2050" t="s">
        <v>2605</v>
      </c>
    </row>
    <row r="2051" spans="1:10" ht="15" customHeight="1" x14ac:dyDescent="0.2">
      <c r="A2051" s="420">
        <v>45755</v>
      </c>
      <c r="B2051" t="s">
        <v>2333</v>
      </c>
      <c r="C2051" t="s">
        <v>4835</v>
      </c>
      <c r="D2051" t="s">
        <v>4864</v>
      </c>
      <c r="E2051" t="s">
        <v>4865</v>
      </c>
      <c r="F2051">
        <v>248.98</v>
      </c>
      <c r="J2051" t="s">
        <v>2602</v>
      </c>
    </row>
    <row r="2052" spans="1:10" ht="15" customHeight="1" x14ac:dyDescent="0.2">
      <c r="A2052" s="420">
        <v>45756</v>
      </c>
      <c r="B2052" t="s">
        <v>2532</v>
      </c>
      <c r="C2052" t="s">
        <v>4835</v>
      </c>
      <c r="D2052" t="s">
        <v>4866</v>
      </c>
      <c r="E2052" t="s">
        <v>1820</v>
      </c>
      <c r="G2052">
        <v>45.6</v>
      </c>
      <c r="I2052">
        <v>45.6</v>
      </c>
      <c r="J2052" t="s">
        <v>2719</v>
      </c>
    </row>
    <row r="2053" spans="1:10" ht="15" customHeight="1" x14ac:dyDescent="0.2">
      <c r="A2053" s="420">
        <v>45757</v>
      </c>
      <c r="B2053" t="s">
        <v>2532</v>
      </c>
      <c r="C2053" t="s">
        <v>4835</v>
      </c>
      <c r="D2053" t="s">
        <v>4867</v>
      </c>
      <c r="E2053" t="s">
        <v>1821</v>
      </c>
      <c r="G2053">
        <v>66.099999999999994</v>
      </c>
      <c r="I2053">
        <v>111.7</v>
      </c>
      <c r="J2053" t="s">
        <v>2715</v>
      </c>
    </row>
    <row r="2054" spans="1:10" ht="15" customHeight="1" x14ac:dyDescent="0.2">
      <c r="A2054" s="420">
        <v>45758</v>
      </c>
      <c r="B2054" t="s">
        <v>2333</v>
      </c>
      <c r="C2054" t="s">
        <v>4835</v>
      </c>
      <c r="D2054" t="s">
        <v>4868</v>
      </c>
      <c r="E2054" t="s">
        <v>4851</v>
      </c>
      <c r="F2054">
        <v>66.099999999999994</v>
      </c>
      <c r="I2054">
        <v>45.6</v>
      </c>
      <c r="J2054" t="s">
        <v>2715</v>
      </c>
    </row>
    <row r="2055" spans="1:10" ht="15" customHeight="1" x14ac:dyDescent="0.2">
      <c r="A2055" s="420">
        <v>45765</v>
      </c>
      <c r="B2055" t="s">
        <v>2532</v>
      </c>
      <c r="C2055" t="s">
        <v>4835</v>
      </c>
      <c r="D2055" t="s">
        <v>4869</v>
      </c>
      <c r="E2055" t="s">
        <v>1831</v>
      </c>
      <c r="G2055">
        <v>133.19999999999999</v>
      </c>
      <c r="I2055">
        <v>178.8</v>
      </c>
      <c r="J2055" t="s">
        <v>2719</v>
      </c>
    </row>
    <row r="2056" spans="1:10" ht="15" customHeight="1" x14ac:dyDescent="0.2">
      <c r="A2056" s="420">
        <v>45771</v>
      </c>
      <c r="B2056" t="s">
        <v>2532</v>
      </c>
      <c r="C2056" t="s">
        <v>4835</v>
      </c>
      <c r="D2056" t="s">
        <v>4870</v>
      </c>
      <c r="E2056" t="s">
        <v>1834</v>
      </c>
      <c r="G2056">
        <v>77</v>
      </c>
      <c r="I2056">
        <v>255.8</v>
      </c>
      <c r="J2056" t="s">
        <v>2719</v>
      </c>
    </row>
    <row r="2057" spans="1:10" ht="15" customHeight="1" x14ac:dyDescent="0.2">
      <c r="A2057" s="420">
        <v>45772</v>
      </c>
      <c r="B2057" t="s">
        <v>2547</v>
      </c>
      <c r="C2057" t="s">
        <v>4835</v>
      </c>
      <c r="D2057" t="s">
        <v>4871</v>
      </c>
      <c r="E2057" t="s">
        <v>1837</v>
      </c>
      <c r="G2057">
        <v>60.1</v>
      </c>
      <c r="I2057">
        <v>315.89999999999998</v>
      </c>
      <c r="J2057" t="s">
        <v>2719</v>
      </c>
    </row>
    <row r="2058" spans="1:10" ht="15" customHeight="1" x14ac:dyDescent="0.2">
      <c r="A2058" s="420">
        <v>45777</v>
      </c>
      <c r="B2058" t="s">
        <v>2532</v>
      </c>
      <c r="C2058" t="s">
        <v>4835</v>
      </c>
      <c r="D2058" t="s">
        <v>4872</v>
      </c>
      <c r="E2058" t="s">
        <v>1840</v>
      </c>
      <c r="G2058">
        <v>75.849999999999994</v>
      </c>
      <c r="I2058">
        <v>391.75</v>
      </c>
      <c r="J2058" t="s">
        <v>2719</v>
      </c>
    </row>
    <row r="2059" spans="1:10" ht="15" customHeight="1" x14ac:dyDescent="0.2">
      <c r="A2059" s="420">
        <v>45779</v>
      </c>
      <c r="B2059" t="s">
        <v>2333</v>
      </c>
      <c r="C2059" t="s">
        <v>4835</v>
      </c>
      <c r="D2059" t="s">
        <v>4873</v>
      </c>
      <c r="E2059" t="s">
        <v>4851</v>
      </c>
      <c r="F2059">
        <v>75.849999999999994</v>
      </c>
      <c r="I2059">
        <v>315.89999999999998</v>
      </c>
      <c r="J2059" t="s">
        <v>2719</v>
      </c>
    </row>
    <row r="2060" spans="1:10" ht="15" customHeight="1" x14ac:dyDescent="0.2">
      <c r="A2060" s="420">
        <v>45782</v>
      </c>
      <c r="B2060" t="s">
        <v>2532</v>
      </c>
      <c r="C2060" t="s">
        <v>4835</v>
      </c>
      <c r="D2060" t="s">
        <v>4874</v>
      </c>
      <c r="E2060" t="s">
        <v>1844</v>
      </c>
      <c r="G2060">
        <v>98.8</v>
      </c>
      <c r="I2060">
        <v>414.7</v>
      </c>
      <c r="J2060" t="s">
        <v>2739</v>
      </c>
    </row>
    <row r="2061" spans="1:10" ht="15" customHeight="1" x14ac:dyDescent="0.2">
      <c r="A2061" s="420">
        <v>45784</v>
      </c>
      <c r="B2061" t="s">
        <v>2333</v>
      </c>
      <c r="C2061" t="s">
        <v>4835</v>
      </c>
      <c r="D2061" t="s">
        <v>4875</v>
      </c>
      <c r="E2061" t="s">
        <v>4876</v>
      </c>
      <c r="F2061">
        <v>315.89999999999998</v>
      </c>
      <c r="I2061">
        <v>98.8</v>
      </c>
      <c r="J2061" t="s">
        <v>2719</v>
      </c>
    </row>
    <row r="2062" spans="1:10" ht="15" customHeight="1" x14ac:dyDescent="0.2">
      <c r="A2062" s="420">
        <v>45790</v>
      </c>
      <c r="B2062" t="s">
        <v>2532</v>
      </c>
      <c r="C2062" t="s">
        <v>4835</v>
      </c>
      <c r="D2062" t="s">
        <v>4877</v>
      </c>
      <c r="E2062" t="s">
        <v>1845</v>
      </c>
      <c r="G2062">
        <v>24</v>
      </c>
      <c r="I2062">
        <v>122.8</v>
      </c>
      <c r="J2062" t="s">
        <v>2727</v>
      </c>
    </row>
    <row r="2063" spans="1:10" ht="15" customHeight="1" x14ac:dyDescent="0.2">
      <c r="A2063" s="420">
        <v>45791</v>
      </c>
      <c r="B2063" t="s">
        <v>2333</v>
      </c>
      <c r="C2063" t="s">
        <v>4835</v>
      </c>
      <c r="D2063" t="s">
        <v>4878</v>
      </c>
      <c r="E2063" t="s">
        <v>4879</v>
      </c>
      <c r="F2063">
        <v>24</v>
      </c>
      <c r="I2063">
        <v>98.8</v>
      </c>
      <c r="J2063" t="s">
        <v>2727</v>
      </c>
    </row>
    <row r="2064" spans="1:10" ht="15" customHeight="1" x14ac:dyDescent="0.2">
      <c r="A2064" s="420">
        <v>45793</v>
      </c>
      <c r="B2064" t="s">
        <v>2333</v>
      </c>
      <c r="C2064" t="s">
        <v>4835</v>
      </c>
      <c r="D2064" t="s">
        <v>4880</v>
      </c>
      <c r="E2064" t="s">
        <v>4881</v>
      </c>
      <c r="F2064">
        <v>33</v>
      </c>
      <c r="I2064">
        <v>65.8</v>
      </c>
      <c r="J2064" t="s">
        <v>2727</v>
      </c>
    </row>
    <row r="2065" spans="1:10" ht="15" customHeight="1" x14ac:dyDescent="0.2">
      <c r="A2065" s="420">
        <v>45793</v>
      </c>
      <c r="B2065" t="s">
        <v>2532</v>
      </c>
      <c r="C2065" t="s">
        <v>4835</v>
      </c>
      <c r="D2065" t="s">
        <v>4882</v>
      </c>
      <c r="E2065" t="s">
        <v>1850</v>
      </c>
      <c r="G2065">
        <v>33</v>
      </c>
      <c r="I2065">
        <v>98.8</v>
      </c>
      <c r="J2065" t="s">
        <v>2727</v>
      </c>
    </row>
    <row r="2066" spans="1:10" ht="15" customHeight="1" x14ac:dyDescent="0.2">
      <c r="A2066" s="420">
        <v>45794</v>
      </c>
      <c r="B2066" t="s">
        <v>2532</v>
      </c>
      <c r="C2066" t="s">
        <v>4835</v>
      </c>
      <c r="D2066" t="s">
        <v>4883</v>
      </c>
      <c r="E2066" t="s">
        <v>1851</v>
      </c>
      <c r="G2066">
        <v>24.9</v>
      </c>
      <c r="I2066">
        <v>123.7</v>
      </c>
      <c r="J2066" t="s">
        <v>2727</v>
      </c>
    </row>
    <row r="2067" spans="1:10" ht="15" customHeight="1" x14ac:dyDescent="0.2">
      <c r="A2067" s="420">
        <v>45796</v>
      </c>
      <c r="B2067" t="s">
        <v>2333</v>
      </c>
      <c r="C2067" t="s">
        <v>4835</v>
      </c>
      <c r="D2067" t="s">
        <v>4884</v>
      </c>
      <c r="E2067" t="s">
        <v>4885</v>
      </c>
      <c r="F2067">
        <v>24.9</v>
      </c>
      <c r="I2067">
        <v>98.8</v>
      </c>
      <c r="J2067" t="s">
        <v>2727</v>
      </c>
    </row>
    <row r="2068" spans="1:10" ht="15" customHeight="1" x14ac:dyDescent="0.2">
      <c r="A2068" s="420">
        <v>45799</v>
      </c>
      <c r="B2068" t="s">
        <v>2532</v>
      </c>
      <c r="C2068" t="s">
        <v>4835</v>
      </c>
      <c r="D2068" t="s">
        <v>4886</v>
      </c>
      <c r="E2068" t="s">
        <v>1856</v>
      </c>
      <c r="G2068">
        <v>17.3</v>
      </c>
      <c r="I2068">
        <v>116.1</v>
      </c>
      <c r="J2068" t="s">
        <v>2727</v>
      </c>
    </row>
    <row r="2069" spans="1:10" ht="15" customHeight="1" x14ac:dyDescent="0.2">
      <c r="A2069" s="420">
        <v>45800</v>
      </c>
      <c r="B2069" t="s">
        <v>2333</v>
      </c>
      <c r="C2069" t="s">
        <v>4835</v>
      </c>
      <c r="D2069" t="s">
        <v>4887</v>
      </c>
      <c r="E2069" t="s">
        <v>4888</v>
      </c>
      <c r="F2069">
        <v>17.3</v>
      </c>
      <c r="I2069">
        <v>98.8</v>
      </c>
      <c r="J2069" t="s">
        <v>2727</v>
      </c>
    </row>
    <row r="2070" spans="1:10" ht="15" customHeight="1" x14ac:dyDescent="0.2">
      <c r="A2070" s="420">
        <v>45800</v>
      </c>
      <c r="B2070" t="s">
        <v>2532</v>
      </c>
      <c r="C2070" t="s">
        <v>4835</v>
      </c>
      <c r="D2070" t="s">
        <v>4889</v>
      </c>
      <c r="E2070" t="s">
        <v>1857</v>
      </c>
      <c r="G2070">
        <v>24.8</v>
      </c>
      <c r="I2070">
        <v>123.6</v>
      </c>
      <c r="J2070" t="s">
        <v>2727</v>
      </c>
    </row>
    <row r="2071" spans="1:10" ht="15" customHeight="1" x14ac:dyDescent="0.2">
      <c r="A2071" s="420">
        <v>45801</v>
      </c>
      <c r="B2071" t="s">
        <v>2532</v>
      </c>
      <c r="C2071" t="s">
        <v>4835</v>
      </c>
      <c r="D2071" t="s">
        <v>4890</v>
      </c>
      <c r="E2071" t="s">
        <v>1860</v>
      </c>
      <c r="G2071">
        <v>38.5</v>
      </c>
      <c r="I2071">
        <v>162.1</v>
      </c>
      <c r="J2071" t="s">
        <v>2727</v>
      </c>
    </row>
    <row r="2072" spans="1:10" ht="15" customHeight="1" x14ac:dyDescent="0.2">
      <c r="A2072" s="420">
        <v>45803</v>
      </c>
      <c r="B2072" t="s">
        <v>2333</v>
      </c>
      <c r="C2072" t="s">
        <v>4835</v>
      </c>
      <c r="D2072" t="s">
        <v>4891</v>
      </c>
      <c r="E2072" t="s">
        <v>4892</v>
      </c>
      <c r="F2072">
        <v>24.8</v>
      </c>
      <c r="I2072">
        <v>137.30000000000001</v>
      </c>
      <c r="J2072" t="s">
        <v>2727</v>
      </c>
    </row>
    <row r="2073" spans="1:10" ht="15" customHeight="1" x14ac:dyDescent="0.2">
      <c r="A2073" s="420">
        <v>45803</v>
      </c>
      <c r="B2073" t="s">
        <v>2333</v>
      </c>
      <c r="C2073" t="s">
        <v>4835</v>
      </c>
      <c r="D2073" t="s">
        <v>4893</v>
      </c>
      <c r="E2073" t="s">
        <v>4894</v>
      </c>
      <c r="F2073">
        <v>38.5</v>
      </c>
      <c r="I2073">
        <v>98.8</v>
      </c>
      <c r="J2073" t="s">
        <v>2727</v>
      </c>
    </row>
    <row r="2074" spans="1:10" ht="15" customHeight="1" x14ac:dyDescent="0.2">
      <c r="A2074" s="420">
        <v>45803</v>
      </c>
      <c r="B2074" t="s">
        <v>2532</v>
      </c>
      <c r="C2074" t="s">
        <v>4835</v>
      </c>
      <c r="D2074" t="s">
        <v>4895</v>
      </c>
      <c r="E2074" t="s">
        <v>1861</v>
      </c>
      <c r="G2074">
        <v>46.4</v>
      </c>
      <c r="I2074">
        <v>145.19999999999999</v>
      </c>
      <c r="J2074" t="s">
        <v>2729</v>
      </c>
    </row>
    <row r="2075" spans="1:10" ht="15" customHeight="1" x14ac:dyDescent="0.2">
      <c r="A2075" s="420">
        <v>45805</v>
      </c>
      <c r="B2075" t="s">
        <v>2532</v>
      </c>
      <c r="C2075" t="s">
        <v>4835</v>
      </c>
      <c r="D2075" t="s">
        <v>4896</v>
      </c>
      <c r="E2075" t="s">
        <v>1862</v>
      </c>
      <c r="G2075">
        <v>37.5</v>
      </c>
      <c r="I2075">
        <v>182.7</v>
      </c>
      <c r="J2075" t="s">
        <v>2725</v>
      </c>
    </row>
    <row r="2076" spans="1:10" ht="15" customHeight="1" x14ac:dyDescent="0.2">
      <c r="A2076" s="420">
        <v>45807</v>
      </c>
      <c r="B2076" t="s">
        <v>2333</v>
      </c>
      <c r="C2076" t="s">
        <v>4835</v>
      </c>
      <c r="D2076" t="s">
        <v>4897</v>
      </c>
      <c r="E2076" t="s">
        <v>4898</v>
      </c>
      <c r="F2076">
        <v>37.5</v>
      </c>
      <c r="I2076">
        <v>145.19999999999999</v>
      </c>
      <c r="J2076" t="s">
        <v>2725</v>
      </c>
    </row>
    <row r="2077" spans="1:10" ht="15" customHeight="1" x14ac:dyDescent="0.2">
      <c r="A2077" s="420">
        <v>45811</v>
      </c>
      <c r="B2077" t="s">
        <v>2532</v>
      </c>
      <c r="C2077" t="s">
        <v>4835</v>
      </c>
      <c r="D2077" t="s">
        <v>4899</v>
      </c>
      <c r="E2077" t="s">
        <v>1872</v>
      </c>
      <c r="G2077">
        <v>38</v>
      </c>
      <c r="I2077">
        <v>183.2</v>
      </c>
      <c r="J2077" t="s">
        <v>2731</v>
      </c>
    </row>
    <row r="2078" spans="1:10" ht="15" customHeight="1" x14ac:dyDescent="0.2">
      <c r="A2078" s="420">
        <v>45812</v>
      </c>
      <c r="B2078" t="s">
        <v>2333</v>
      </c>
      <c r="C2078" t="s">
        <v>4835</v>
      </c>
      <c r="D2078" t="s">
        <v>4900</v>
      </c>
      <c r="E2078" t="s">
        <v>4901</v>
      </c>
      <c r="F2078">
        <v>38</v>
      </c>
      <c r="I2078">
        <v>145.19999999999999</v>
      </c>
      <c r="J2078" t="s">
        <v>2731</v>
      </c>
    </row>
    <row r="2079" spans="1:10" ht="15" customHeight="1" x14ac:dyDescent="0.2">
      <c r="A2079" s="420">
        <v>45814</v>
      </c>
      <c r="B2079" t="s">
        <v>2532</v>
      </c>
      <c r="C2079" t="s">
        <v>4835</v>
      </c>
      <c r="D2079" t="s">
        <v>4902</v>
      </c>
      <c r="E2079" t="s">
        <v>1874</v>
      </c>
      <c r="G2079">
        <v>45.9</v>
      </c>
      <c r="I2079">
        <v>191.1</v>
      </c>
      <c r="J2079" t="s">
        <v>2941</v>
      </c>
    </row>
    <row r="2080" spans="1:10" ht="15" customHeight="1" x14ac:dyDescent="0.2">
      <c r="A2080" s="420">
        <v>45818</v>
      </c>
      <c r="B2080" t="s">
        <v>2333</v>
      </c>
      <c r="C2080" t="s">
        <v>4835</v>
      </c>
      <c r="D2080" t="s">
        <v>4903</v>
      </c>
      <c r="E2080" t="s">
        <v>4904</v>
      </c>
      <c r="F2080">
        <v>45.9</v>
      </c>
      <c r="I2080">
        <v>145.19999999999999</v>
      </c>
      <c r="J2080" t="s">
        <v>2941</v>
      </c>
    </row>
    <row r="2081" spans="1:10" ht="15" customHeight="1" x14ac:dyDescent="0.2">
      <c r="A2081" s="420">
        <v>45819</v>
      </c>
      <c r="B2081" t="s">
        <v>2532</v>
      </c>
      <c r="C2081" t="s">
        <v>4835</v>
      </c>
      <c r="D2081" t="s">
        <v>4905</v>
      </c>
      <c r="E2081" t="s">
        <v>1876</v>
      </c>
      <c r="G2081">
        <v>84.75</v>
      </c>
      <c r="I2081">
        <v>229.95</v>
      </c>
      <c r="J2081" t="s">
        <v>2743</v>
      </c>
    </row>
    <row r="2082" spans="1:10" ht="15" customHeight="1" x14ac:dyDescent="0.2">
      <c r="A2082" s="420">
        <v>45820</v>
      </c>
      <c r="B2082" t="s">
        <v>2333</v>
      </c>
      <c r="C2082" t="s">
        <v>4835</v>
      </c>
      <c r="D2082" t="s">
        <v>4906</v>
      </c>
      <c r="E2082" t="s">
        <v>4851</v>
      </c>
      <c r="F2082">
        <v>84.75</v>
      </c>
      <c r="I2082">
        <v>145.19999999999999</v>
      </c>
      <c r="J2082" t="s">
        <v>2743</v>
      </c>
    </row>
    <row r="2083" spans="1:10" ht="15" customHeight="1" x14ac:dyDescent="0.2">
      <c r="A2083" s="420">
        <v>45821</v>
      </c>
      <c r="B2083" t="s">
        <v>2532</v>
      </c>
      <c r="C2083" t="s">
        <v>4835</v>
      </c>
      <c r="D2083" t="s">
        <v>4907</v>
      </c>
      <c r="E2083" t="s">
        <v>1877</v>
      </c>
      <c r="G2083">
        <v>47.8</v>
      </c>
      <c r="I2083">
        <v>193</v>
      </c>
      <c r="J2083" t="s">
        <v>2729</v>
      </c>
    </row>
    <row r="2084" spans="1:10" ht="15" customHeight="1" x14ac:dyDescent="0.2">
      <c r="A2084" s="420">
        <v>45825</v>
      </c>
      <c r="B2084" t="s">
        <v>2532</v>
      </c>
      <c r="C2084" t="s">
        <v>4835</v>
      </c>
      <c r="D2084" t="s">
        <v>4908</v>
      </c>
      <c r="E2084" t="s">
        <v>1882</v>
      </c>
      <c r="G2084">
        <v>55.1</v>
      </c>
      <c r="I2084">
        <v>248.1</v>
      </c>
      <c r="J2084" t="s">
        <v>2729</v>
      </c>
    </row>
    <row r="2085" spans="1:10" ht="15" customHeight="1" x14ac:dyDescent="0.2">
      <c r="A2085" s="420">
        <v>45839</v>
      </c>
      <c r="B2085" t="s">
        <v>2333</v>
      </c>
      <c r="C2085" t="s">
        <v>4835</v>
      </c>
      <c r="D2085" t="s">
        <v>2960</v>
      </c>
      <c r="E2085" t="s">
        <v>4909</v>
      </c>
      <c r="F2085">
        <v>55.1</v>
      </c>
      <c r="I2085">
        <v>193</v>
      </c>
      <c r="J2085" t="s">
        <v>2729</v>
      </c>
    </row>
    <row r="2086" spans="1:10" ht="15" customHeight="1" x14ac:dyDescent="0.2">
      <c r="A2086" s="420">
        <v>45839</v>
      </c>
      <c r="B2086" t="s">
        <v>2333</v>
      </c>
      <c r="C2086" t="s">
        <v>4835</v>
      </c>
      <c r="D2086" t="s">
        <v>2960</v>
      </c>
      <c r="E2086" t="s">
        <v>4909</v>
      </c>
      <c r="F2086">
        <v>46.4</v>
      </c>
      <c r="I2086">
        <v>146.6</v>
      </c>
      <c r="J2086" t="s">
        <v>2729</v>
      </c>
    </row>
    <row r="2087" spans="1:10" ht="15" customHeight="1" x14ac:dyDescent="0.2">
      <c r="A2087" s="420">
        <v>45839</v>
      </c>
      <c r="B2087" t="s">
        <v>2333</v>
      </c>
      <c r="C2087" t="s">
        <v>4835</v>
      </c>
      <c r="D2087" t="s">
        <v>2960</v>
      </c>
      <c r="E2087" t="s">
        <v>4909</v>
      </c>
      <c r="F2087">
        <v>98.8</v>
      </c>
      <c r="I2087">
        <v>47.8</v>
      </c>
      <c r="J2087" t="s">
        <v>2739</v>
      </c>
    </row>
    <row r="2088" spans="1:10" ht="15" customHeight="1" x14ac:dyDescent="0.2">
      <c r="A2088" s="420">
        <v>45839</v>
      </c>
      <c r="B2088" t="s">
        <v>2333</v>
      </c>
      <c r="C2088" t="s">
        <v>4835</v>
      </c>
      <c r="D2088" t="s">
        <v>2960</v>
      </c>
      <c r="E2088" t="s">
        <v>4910</v>
      </c>
      <c r="F2088">
        <v>47.8</v>
      </c>
      <c r="J2088" t="s">
        <v>2729</v>
      </c>
    </row>
    <row r="2089" spans="1:10" ht="15" customHeight="1" x14ac:dyDescent="0.2">
      <c r="A2089" s="420">
        <v>45839</v>
      </c>
      <c r="B2089" t="s">
        <v>2532</v>
      </c>
      <c r="C2089" t="s">
        <v>4835</v>
      </c>
      <c r="D2089" t="s">
        <v>4911</v>
      </c>
      <c r="E2089" t="s">
        <v>1894</v>
      </c>
      <c r="G2089">
        <v>49</v>
      </c>
      <c r="I2089">
        <v>49</v>
      </c>
      <c r="J2089" t="s">
        <v>3246</v>
      </c>
    </row>
    <row r="2090" spans="1:10" ht="15" customHeight="1" x14ac:dyDescent="0.2">
      <c r="A2090" s="420">
        <v>45839</v>
      </c>
      <c r="B2090" t="s">
        <v>2547</v>
      </c>
      <c r="C2090" t="s">
        <v>4835</v>
      </c>
      <c r="D2090" t="s">
        <v>4912</v>
      </c>
      <c r="E2090" t="s">
        <v>1895</v>
      </c>
      <c r="G2090">
        <v>45.9</v>
      </c>
      <c r="I2090">
        <v>94.9</v>
      </c>
      <c r="J2090" t="s">
        <v>3285</v>
      </c>
    </row>
    <row r="2091" spans="1:10" ht="15" customHeight="1" x14ac:dyDescent="0.2">
      <c r="A2091" s="420">
        <v>45839</v>
      </c>
      <c r="B2091" t="s">
        <v>2547</v>
      </c>
      <c r="C2091" t="s">
        <v>4835</v>
      </c>
      <c r="D2091" t="s">
        <v>4913</v>
      </c>
      <c r="E2091" t="s">
        <v>1896</v>
      </c>
      <c r="G2091">
        <v>76.8</v>
      </c>
      <c r="I2091">
        <v>171.7</v>
      </c>
      <c r="J2091" t="s">
        <v>3285</v>
      </c>
    </row>
    <row r="2092" spans="1:10" ht="15" customHeight="1" x14ac:dyDescent="0.2">
      <c r="A2092" s="420">
        <v>45839</v>
      </c>
      <c r="B2092" t="s">
        <v>2547</v>
      </c>
      <c r="C2092" t="s">
        <v>4835</v>
      </c>
      <c r="D2092" t="s">
        <v>4914</v>
      </c>
      <c r="E2092" t="s">
        <v>1897</v>
      </c>
      <c r="G2092">
        <v>76</v>
      </c>
      <c r="I2092">
        <v>247.7</v>
      </c>
      <c r="J2092" t="s">
        <v>3285</v>
      </c>
    </row>
    <row r="2093" spans="1:10" ht="15" customHeight="1" x14ac:dyDescent="0.2">
      <c r="A2093" s="420">
        <v>45840</v>
      </c>
      <c r="B2093" t="s">
        <v>2333</v>
      </c>
      <c r="C2093" t="s">
        <v>4835</v>
      </c>
      <c r="D2093" t="s">
        <v>4915</v>
      </c>
      <c r="E2093" t="s">
        <v>3367</v>
      </c>
      <c r="F2093">
        <v>49</v>
      </c>
      <c r="I2093">
        <v>198.7</v>
      </c>
      <c r="J2093" t="s">
        <v>3246</v>
      </c>
    </row>
    <row r="2094" spans="1:10" ht="15" customHeight="1" x14ac:dyDescent="0.2">
      <c r="A2094" s="420">
        <v>45840</v>
      </c>
      <c r="B2094" t="s">
        <v>2532</v>
      </c>
      <c r="C2094" t="s">
        <v>4835</v>
      </c>
      <c r="D2094" t="s">
        <v>4916</v>
      </c>
      <c r="E2094" t="s">
        <v>4917</v>
      </c>
      <c r="G2094">
        <v>30.78</v>
      </c>
      <c r="I2094">
        <v>229.48</v>
      </c>
      <c r="J2094" t="s">
        <v>3246</v>
      </c>
    </row>
    <row r="2095" spans="1:10" ht="15" customHeight="1" x14ac:dyDescent="0.2">
      <c r="A2095" s="420">
        <v>45841</v>
      </c>
      <c r="B2095" t="s">
        <v>2333</v>
      </c>
      <c r="C2095" t="s">
        <v>4835</v>
      </c>
      <c r="D2095" t="s">
        <v>4918</v>
      </c>
      <c r="E2095" t="s">
        <v>3367</v>
      </c>
      <c r="F2095">
        <v>30.78</v>
      </c>
      <c r="I2095">
        <v>198.7</v>
      </c>
      <c r="J2095" t="s">
        <v>3246</v>
      </c>
    </row>
    <row r="2096" spans="1:10" ht="15" customHeight="1" x14ac:dyDescent="0.2">
      <c r="A2096" s="420">
        <v>45848</v>
      </c>
      <c r="B2096" t="s">
        <v>2547</v>
      </c>
      <c r="C2096" t="s">
        <v>4835</v>
      </c>
      <c r="D2096" t="s">
        <v>4919</v>
      </c>
      <c r="E2096" t="s">
        <v>1899</v>
      </c>
      <c r="G2096">
        <v>70.099999999999994</v>
      </c>
      <c r="I2096">
        <v>268.8</v>
      </c>
      <c r="J2096" t="s">
        <v>3246</v>
      </c>
    </row>
    <row r="2097" spans="1:10" ht="15" customHeight="1" x14ac:dyDescent="0.2">
      <c r="A2097" s="420">
        <v>45849</v>
      </c>
      <c r="B2097" t="s">
        <v>2532</v>
      </c>
      <c r="C2097" t="s">
        <v>4835</v>
      </c>
      <c r="D2097" t="s">
        <v>4920</v>
      </c>
      <c r="E2097" t="s">
        <v>4921</v>
      </c>
      <c r="G2097">
        <v>59.4</v>
      </c>
      <c r="I2097">
        <v>328.2</v>
      </c>
      <c r="J2097" t="s">
        <v>3285</v>
      </c>
    </row>
    <row r="2098" spans="1:10" ht="15" customHeight="1" x14ac:dyDescent="0.2">
      <c r="A2098" s="420">
        <v>45853</v>
      </c>
      <c r="B2098" t="s">
        <v>2532</v>
      </c>
      <c r="C2098" t="s">
        <v>4835</v>
      </c>
      <c r="D2098" t="s">
        <v>4922</v>
      </c>
      <c r="E2098" t="s">
        <v>1902</v>
      </c>
      <c r="G2098">
        <v>94.2</v>
      </c>
      <c r="I2098">
        <v>422.4</v>
      </c>
      <c r="J2098" t="s">
        <v>3285</v>
      </c>
    </row>
    <row r="2099" spans="1:10" ht="15" customHeight="1" x14ac:dyDescent="0.2">
      <c r="A2099" s="420">
        <v>45853</v>
      </c>
      <c r="B2099" t="s">
        <v>2532</v>
      </c>
      <c r="C2099" t="s">
        <v>4835</v>
      </c>
      <c r="D2099" t="s">
        <v>4923</v>
      </c>
      <c r="E2099" t="s">
        <v>1903</v>
      </c>
      <c r="G2099">
        <v>13.45</v>
      </c>
      <c r="I2099">
        <v>435.85</v>
      </c>
      <c r="J2099" t="s">
        <v>3303</v>
      </c>
    </row>
    <row r="2100" spans="1:10" ht="15" customHeight="1" x14ac:dyDescent="0.2">
      <c r="A2100" s="420">
        <v>45854</v>
      </c>
      <c r="B2100" t="s">
        <v>2333</v>
      </c>
      <c r="C2100" t="s">
        <v>4835</v>
      </c>
      <c r="D2100" t="s">
        <v>4924</v>
      </c>
      <c r="E2100" t="s">
        <v>4925</v>
      </c>
      <c r="F2100">
        <v>13.45</v>
      </c>
      <c r="I2100">
        <v>422.4</v>
      </c>
      <c r="J2100" t="s">
        <v>3303</v>
      </c>
    </row>
    <row r="2101" spans="1:10" ht="15" customHeight="1" x14ac:dyDescent="0.2">
      <c r="A2101" s="420">
        <v>45855</v>
      </c>
      <c r="B2101" t="s">
        <v>2333</v>
      </c>
      <c r="C2101" t="s">
        <v>4835</v>
      </c>
      <c r="D2101" t="s">
        <v>4926</v>
      </c>
      <c r="E2101" t="s">
        <v>4927</v>
      </c>
      <c r="F2101">
        <v>70.099999999999994</v>
      </c>
      <c r="I2101">
        <v>352.3</v>
      </c>
      <c r="J2101" t="s">
        <v>3246</v>
      </c>
    </row>
    <row r="2102" spans="1:10" ht="15" customHeight="1" x14ac:dyDescent="0.2">
      <c r="A2102" s="420">
        <v>45856</v>
      </c>
      <c r="B2102" t="s">
        <v>2532</v>
      </c>
      <c r="C2102" t="s">
        <v>4835</v>
      </c>
      <c r="D2102" t="s">
        <v>4928</v>
      </c>
      <c r="E2102" t="s">
        <v>1904</v>
      </c>
      <c r="G2102">
        <v>77.7</v>
      </c>
      <c r="I2102">
        <v>430</v>
      </c>
      <c r="J2102" t="s">
        <v>2937</v>
      </c>
    </row>
    <row r="2103" spans="1:10" ht="15" customHeight="1" x14ac:dyDescent="0.2">
      <c r="A2103" s="420">
        <v>45859</v>
      </c>
      <c r="B2103" t="s">
        <v>2333</v>
      </c>
      <c r="C2103" t="s">
        <v>4835</v>
      </c>
      <c r="D2103" t="s">
        <v>4929</v>
      </c>
      <c r="E2103" t="s">
        <v>4851</v>
      </c>
      <c r="F2103">
        <v>77.7</v>
      </c>
      <c r="I2103">
        <v>352.3</v>
      </c>
      <c r="J2103" t="s">
        <v>2937</v>
      </c>
    </row>
    <row r="2104" spans="1:10" ht="15" customHeight="1" x14ac:dyDescent="0.2">
      <c r="A2104" s="420">
        <v>45866</v>
      </c>
      <c r="B2104" t="s">
        <v>2532</v>
      </c>
      <c r="C2104" t="s">
        <v>4835</v>
      </c>
      <c r="D2104" t="s">
        <v>4930</v>
      </c>
      <c r="E2104" t="s">
        <v>1907</v>
      </c>
      <c r="G2104">
        <v>51.9</v>
      </c>
      <c r="I2104">
        <v>404.2</v>
      </c>
      <c r="J2104" t="s">
        <v>3246</v>
      </c>
    </row>
    <row r="2105" spans="1:10" ht="15" customHeight="1" x14ac:dyDescent="0.2">
      <c r="A2105" s="420">
        <v>45867</v>
      </c>
      <c r="B2105" t="s">
        <v>2333</v>
      </c>
      <c r="C2105" t="s">
        <v>4835</v>
      </c>
      <c r="D2105" t="s">
        <v>4931</v>
      </c>
      <c r="E2105" t="s">
        <v>3367</v>
      </c>
      <c r="F2105">
        <v>51.9</v>
      </c>
      <c r="I2105">
        <v>352.3</v>
      </c>
      <c r="J2105" t="s">
        <v>3246</v>
      </c>
    </row>
    <row r="2106" spans="1:10" ht="15" customHeight="1" x14ac:dyDescent="0.2">
      <c r="A2106" s="420">
        <v>45868</v>
      </c>
      <c r="B2106" t="s">
        <v>2532</v>
      </c>
      <c r="C2106" t="s">
        <v>4835</v>
      </c>
      <c r="D2106" t="s">
        <v>4932</v>
      </c>
      <c r="E2106" t="s">
        <v>1909</v>
      </c>
      <c r="G2106">
        <v>36.9</v>
      </c>
      <c r="I2106">
        <v>389.2</v>
      </c>
      <c r="J2106" t="s">
        <v>2376</v>
      </c>
    </row>
    <row r="2107" spans="1:10" ht="15" customHeight="1" x14ac:dyDescent="0.2">
      <c r="A2107" s="420">
        <v>45869</v>
      </c>
      <c r="B2107" t="s">
        <v>2333</v>
      </c>
      <c r="C2107" t="s">
        <v>4835</v>
      </c>
      <c r="D2107" t="s">
        <v>4933</v>
      </c>
      <c r="E2107" t="s">
        <v>4851</v>
      </c>
      <c r="F2107">
        <v>36.9</v>
      </c>
      <c r="I2107">
        <v>352.3</v>
      </c>
      <c r="J2107" t="s">
        <v>2376</v>
      </c>
    </row>
    <row r="2108" spans="1:10" ht="15" customHeight="1" x14ac:dyDescent="0.2">
      <c r="A2108" s="420">
        <v>45875</v>
      </c>
      <c r="B2108" t="s">
        <v>2532</v>
      </c>
      <c r="C2108" t="s">
        <v>4835</v>
      </c>
      <c r="D2108" t="s">
        <v>4934</v>
      </c>
      <c r="E2108" t="s">
        <v>1913</v>
      </c>
      <c r="G2108">
        <v>72.900000000000006</v>
      </c>
      <c r="I2108">
        <v>425.2</v>
      </c>
      <c r="J2108" t="s">
        <v>3329</v>
      </c>
    </row>
    <row r="2109" spans="1:10" ht="15" customHeight="1" x14ac:dyDescent="0.2">
      <c r="A2109" s="420">
        <v>45882</v>
      </c>
      <c r="B2109" t="s">
        <v>2333</v>
      </c>
      <c r="C2109" t="s">
        <v>4835</v>
      </c>
      <c r="D2109" t="s">
        <v>3709</v>
      </c>
      <c r="E2109" t="s">
        <v>3710</v>
      </c>
      <c r="F2109">
        <v>352.3</v>
      </c>
      <c r="I2109">
        <v>72.900000000000006</v>
      </c>
      <c r="J2109" t="s">
        <v>3285</v>
      </c>
    </row>
    <row r="2110" spans="1:10" ht="15" customHeight="1" x14ac:dyDescent="0.2">
      <c r="A2110" s="420">
        <v>45891</v>
      </c>
      <c r="B2110" t="s">
        <v>2532</v>
      </c>
      <c r="C2110" t="s">
        <v>4835</v>
      </c>
      <c r="D2110" t="s">
        <v>4935</v>
      </c>
      <c r="E2110" t="s">
        <v>1921</v>
      </c>
      <c r="G2110">
        <v>85.7</v>
      </c>
      <c r="I2110">
        <v>158.6</v>
      </c>
      <c r="J2110" t="s">
        <v>3278</v>
      </c>
    </row>
    <row r="2111" spans="1:10" ht="15" customHeight="1" x14ac:dyDescent="0.2">
      <c r="A2111" s="420">
        <v>45894</v>
      </c>
      <c r="B2111" t="s">
        <v>2333</v>
      </c>
      <c r="C2111" t="s">
        <v>4835</v>
      </c>
      <c r="D2111" t="s">
        <v>4936</v>
      </c>
      <c r="E2111" t="s">
        <v>3367</v>
      </c>
      <c r="F2111">
        <v>85.7</v>
      </c>
      <c r="I2111">
        <v>72.900000000000006</v>
      </c>
      <c r="J2111" t="s">
        <v>3278</v>
      </c>
    </row>
    <row r="2112" spans="1:10" ht="15" customHeight="1" x14ac:dyDescent="0.2">
      <c r="A2112" s="420">
        <v>45904</v>
      </c>
      <c r="B2112" t="s">
        <v>2532</v>
      </c>
      <c r="C2112" t="s">
        <v>4835</v>
      </c>
      <c r="D2112" t="s">
        <v>4937</v>
      </c>
      <c r="E2112" t="s">
        <v>1926</v>
      </c>
      <c r="G2112">
        <v>25.1</v>
      </c>
      <c r="I2112">
        <v>98</v>
      </c>
      <c r="J2112" t="s">
        <v>2547</v>
      </c>
    </row>
    <row r="2113" spans="1:10" ht="15" customHeight="1" x14ac:dyDescent="0.2">
      <c r="A2113" s="420">
        <v>45905</v>
      </c>
      <c r="B2113" t="s">
        <v>2333</v>
      </c>
      <c r="C2113" t="s">
        <v>4835</v>
      </c>
      <c r="D2113" t="s">
        <v>4938</v>
      </c>
      <c r="E2113" t="s">
        <v>4842</v>
      </c>
      <c r="F2113">
        <v>25.1</v>
      </c>
      <c r="I2113">
        <v>72.900000000000006</v>
      </c>
      <c r="J2113" t="s">
        <v>2547</v>
      </c>
    </row>
    <row r="2114" spans="1:10" ht="15" customHeight="1" x14ac:dyDescent="0.2">
      <c r="A2114" s="420">
        <v>45910</v>
      </c>
      <c r="B2114" t="s">
        <v>2532</v>
      </c>
      <c r="C2114" t="s">
        <v>4835</v>
      </c>
      <c r="D2114" t="s">
        <v>4939</v>
      </c>
      <c r="E2114" t="s">
        <v>1934</v>
      </c>
      <c r="G2114">
        <v>54.9</v>
      </c>
      <c r="I2114">
        <v>127.8</v>
      </c>
      <c r="J2114" t="s">
        <v>3292</v>
      </c>
    </row>
    <row r="2115" spans="1:10" ht="15" customHeight="1" x14ac:dyDescent="0.2">
      <c r="A2115" s="420">
        <v>45911</v>
      </c>
      <c r="B2115" t="s">
        <v>2333</v>
      </c>
      <c r="C2115" t="s">
        <v>4835</v>
      </c>
      <c r="D2115" t="s">
        <v>4940</v>
      </c>
      <c r="E2115" t="s">
        <v>3367</v>
      </c>
      <c r="F2115">
        <v>54.9</v>
      </c>
      <c r="I2115">
        <v>72.900000000000006</v>
      </c>
      <c r="J2115" t="s">
        <v>3292</v>
      </c>
    </row>
    <row r="2116" spans="1:10" ht="15" customHeight="1" x14ac:dyDescent="0.2">
      <c r="A2116" s="420">
        <v>45930</v>
      </c>
      <c r="B2116" t="s">
        <v>2532</v>
      </c>
      <c r="C2116" t="s">
        <v>4835</v>
      </c>
      <c r="D2116" t="s">
        <v>4941</v>
      </c>
      <c r="E2116" t="s">
        <v>1942</v>
      </c>
      <c r="G2116">
        <v>35</v>
      </c>
      <c r="I2116">
        <v>107.9</v>
      </c>
      <c r="J2116" t="s">
        <v>3344</v>
      </c>
    </row>
    <row r="2117" spans="1:10" ht="15" customHeight="1" x14ac:dyDescent="0.2">
      <c r="A2117" s="420">
        <v>45931</v>
      </c>
      <c r="B2117" t="s">
        <v>2333</v>
      </c>
      <c r="C2117" t="s">
        <v>4835</v>
      </c>
      <c r="D2117" t="s">
        <v>4942</v>
      </c>
      <c r="E2117" t="s">
        <v>4943</v>
      </c>
      <c r="F2117">
        <v>35</v>
      </c>
      <c r="I2117">
        <v>72.900000000000006</v>
      </c>
      <c r="J2117" t="s">
        <v>3344</v>
      </c>
    </row>
    <row r="2118" spans="1:10" ht="15" customHeight="1" x14ac:dyDescent="0.2">
      <c r="A2118" s="420">
        <v>45931</v>
      </c>
      <c r="B2118" t="s">
        <v>2547</v>
      </c>
      <c r="C2118" t="s">
        <v>4835</v>
      </c>
      <c r="D2118" t="s">
        <v>4944</v>
      </c>
      <c r="E2118" t="s">
        <v>1944</v>
      </c>
      <c r="G2118">
        <v>249</v>
      </c>
      <c r="I2118">
        <v>321.89999999999998</v>
      </c>
      <c r="J2118" t="s">
        <v>3268</v>
      </c>
    </row>
    <row r="2119" spans="1:10" ht="15" customHeight="1" x14ac:dyDescent="0.2">
      <c r="A2119" s="420">
        <v>45931</v>
      </c>
      <c r="B2119" t="s">
        <v>2517</v>
      </c>
      <c r="C2119" t="s">
        <v>4835</v>
      </c>
      <c r="D2119" t="s">
        <v>4945</v>
      </c>
      <c r="E2119" t="s">
        <v>4946</v>
      </c>
      <c r="F2119">
        <v>249</v>
      </c>
      <c r="I2119">
        <v>72.900000000000006</v>
      </c>
      <c r="J2119" t="s">
        <v>3268</v>
      </c>
    </row>
    <row r="2120" spans="1:10" ht="15" customHeight="1" x14ac:dyDescent="0.2">
      <c r="A2120" s="420">
        <v>45932</v>
      </c>
      <c r="B2120" t="s">
        <v>2532</v>
      </c>
      <c r="C2120" t="s">
        <v>4835</v>
      </c>
      <c r="D2120" t="s">
        <v>4947</v>
      </c>
      <c r="E2120" t="s">
        <v>1947</v>
      </c>
      <c r="G2120">
        <v>25</v>
      </c>
      <c r="I2120">
        <v>97.9</v>
      </c>
      <c r="J2120" t="s">
        <v>3298</v>
      </c>
    </row>
    <row r="2121" spans="1:10" ht="15" customHeight="1" x14ac:dyDescent="0.2">
      <c r="A2121" s="420">
        <v>45933</v>
      </c>
      <c r="B2121" t="s">
        <v>2532</v>
      </c>
      <c r="C2121" t="s">
        <v>4835</v>
      </c>
      <c r="D2121" t="s">
        <v>4948</v>
      </c>
      <c r="E2121" t="s">
        <v>1948</v>
      </c>
      <c r="G2121">
        <v>71.900000000000006</v>
      </c>
      <c r="I2121">
        <v>169.8</v>
      </c>
      <c r="J2121" t="s">
        <v>3325</v>
      </c>
    </row>
    <row r="2122" spans="1:10" ht="15" customHeight="1" x14ac:dyDescent="0.2">
      <c r="A2122" s="420">
        <v>45934</v>
      </c>
      <c r="B2122" t="s">
        <v>2532</v>
      </c>
      <c r="C2122" t="s">
        <v>4835</v>
      </c>
      <c r="D2122" t="s">
        <v>4949</v>
      </c>
      <c r="E2122" t="s">
        <v>1950</v>
      </c>
      <c r="G2122">
        <v>79.900000000000006</v>
      </c>
      <c r="I2122">
        <v>249.7</v>
      </c>
      <c r="J2122" t="s">
        <v>3325</v>
      </c>
    </row>
    <row r="2123" spans="1:10" ht="15" customHeight="1" x14ac:dyDescent="0.2">
      <c r="A2123" s="420">
        <v>45936</v>
      </c>
      <c r="B2123" t="s">
        <v>2333</v>
      </c>
      <c r="C2123" t="s">
        <v>4835</v>
      </c>
      <c r="D2123" t="s">
        <v>2615</v>
      </c>
      <c r="E2123" t="s">
        <v>4950</v>
      </c>
      <c r="F2123">
        <v>25</v>
      </c>
      <c r="I2123">
        <v>224.7</v>
      </c>
      <c r="J2123" t="s">
        <v>3298</v>
      </c>
    </row>
    <row r="2124" spans="1:10" ht="15" customHeight="1" x14ac:dyDescent="0.2">
      <c r="A2124" s="420">
        <v>45936</v>
      </c>
      <c r="B2124" t="s">
        <v>2333</v>
      </c>
      <c r="C2124" t="s">
        <v>4835</v>
      </c>
      <c r="D2124" t="s">
        <v>4951</v>
      </c>
      <c r="E2124" t="s">
        <v>3367</v>
      </c>
      <c r="F2124">
        <v>71.900000000000006</v>
      </c>
      <c r="I2124">
        <v>152.80000000000001</v>
      </c>
      <c r="J2124" t="s">
        <v>3325</v>
      </c>
    </row>
    <row r="2125" spans="1:10" ht="15" customHeight="1" x14ac:dyDescent="0.2">
      <c r="A2125" s="420">
        <v>45936</v>
      </c>
      <c r="B2125" t="s">
        <v>2333</v>
      </c>
      <c r="C2125" t="s">
        <v>4835</v>
      </c>
      <c r="D2125" t="s">
        <v>4952</v>
      </c>
      <c r="E2125" t="s">
        <v>3367</v>
      </c>
      <c r="F2125">
        <v>79.900000000000006</v>
      </c>
      <c r="I2125">
        <v>72.900000000000006</v>
      </c>
      <c r="J2125" t="s">
        <v>3325</v>
      </c>
    </row>
    <row r="2126" spans="1:10" ht="15" customHeight="1" x14ac:dyDescent="0.2">
      <c r="A2126" s="420">
        <v>45940</v>
      </c>
      <c r="B2126" t="s">
        <v>2532</v>
      </c>
      <c r="C2126" t="s">
        <v>4835</v>
      </c>
      <c r="D2126" t="s">
        <v>4953</v>
      </c>
      <c r="E2126" t="s">
        <v>1954</v>
      </c>
      <c r="G2126">
        <v>233</v>
      </c>
      <c r="I2126">
        <v>305.89999999999998</v>
      </c>
      <c r="J2126" t="s">
        <v>3325</v>
      </c>
    </row>
    <row r="2127" spans="1:10" ht="15" customHeight="1" x14ac:dyDescent="0.2">
      <c r="A2127" s="420">
        <v>45943</v>
      </c>
      <c r="B2127" t="s">
        <v>2333</v>
      </c>
      <c r="C2127" t="s">
        <v>4835</v>
      </c>
      <c r="D2127" t="s">
        <v>4954</v>
      </c>
      <c r="E2127" t="s">
        <v>4955</v>
      </c>
      <c r="F2127">
        <v>233</v>
      </c>
      <c r="I2127">
        <v>72.900000000000006</v>
      </c>
      <c r="J2127" t="s">
        <v>3325</v>
      </c>
    </row>
    <row r="2128" spans="1:10" ht="15" customHeight="1" x14ac:dyDescent="0.2">
      <c r="A2128" s="420">
        <v>45948</v>
      </c>
      <c r="B2128" t="s">
        <v>2532</v>
      </c>
      <c r="C2128" t="s">
        <v>4835</v>
      </c>
      <c r="D2128" t="s">
        <v>4956</v>
      </c>
      <c r="E2128" t="s">
        <v>1957</v>
      </c>
      <c r="G2128">
        <v>66.8</v>
      </c>
      <c r="I2128">
        <v>139.69999999999999</v>
      </c>
      <c r="J2128" t="s">
        <v>3325</v>
      </c>
    </row>
    <row r="2129" spans="1:10" ht="15" customHeight="1" x14ac:dyDescent="0.2">
      <c r="A2129" s="420">
        <v>45950</v>
      </c>
      <c r="B2129" t="s">
        <v>2333</v>
      </c>
      <c r="C2129" t="s">
        <v>4835</v>
      </c>
      <c r="D2129" t="s">
        <v>4957</v>
      </c>
      <c r="E2129" t="s">
        <v>4958</v>
      </c>
      <c r="F2129">
        <v>66.8</v>
      </c>
      <c r="I2129">
        <v>72.900000000000006</v>
      </c>
      <c r="J2129" t="s">
        <v>3325</v>
      </c>
    </row>
    <row r="2130" spans="1:10" ht="15" customHeight="1" x14ac:dyDescent="0.2">
      <c r="A2130" s="420">
        <v>45952</v>
      </c>
      <c r="B2130" t="s">
        <v>2532</v>
      </c>
      <c r="C2130" t="s">
        <v>4835</v>
      </c>
      <c r="D2130" t="s">
        <v>4959</v>
      </c>
      <c r="E2130" t="s">
        <v>1959</v>
      </c>
      <c r="G2130">
        <v>51.6</v>
      </c>
      <c r="I2130">
        <v>124.5</v>
      </c>
      <c r="J2130" t="s">
        <v>3325</v>
      </c>
    </row>
    <row r="2131" spans="1:10" ht="15" customHeight="1" x14ac:dyDescent="0.2">
      <c r="A2131" s="420">
        <v>45953</v>
      </c>
      <c r="B2131" t="s">
        <v>2333</v>
      </c>
      <c r="C2131" t="s">
        <v>4835</v>
      </c>
      <c r="D2131" t="s">
        <v>4960</v>
      </c>
      <c r="E2131" t="s">
        <v>4961</v>
      </c>
      <c r="F2131">
        <v>51.6</v>
      </c>
      <c r="I2131">
        <v>72.900000000000006</v>
      </c>
      <c r="J2131" t="s">
        <v>3325</v>
      </c>
    </row>
    <row r="2132" spans="1:10" ht="15" customHeight="1" x14ac:dyDescent="0.2">
      <c r="A2132" s="420">
        <v>45953</v>
      </c>
      <c r="B2132" t="s">
        <v>2532</v>
      </c>
      <c r="C2132" t="s">
        <v>4835</v>
      </c>
      <c r="D2132" t="s">
        <v>4962</v>
      </c>
      <c r="E2132" t="s">
        <v>1960</v>
      </c>
      <c r="G2132">
        <v>86.85</v>
      </c>
      <c r="I2132">
        <v>159.75</v>
      </c>
      <c r="J2132" t="s">
        <v>3312</v>
      </c>
    </row>
    <row r="2133" spans="1:10" ht="15" customHeight="1" x14ac:dyDescent="0.2">
      <c r="A2133" s="420">
        <v>45954</v>
      </c>
      <c r="B2133" t="s">
        <v>2333</v>
      </c>
      <c r="C2133" t="s">
        <v>4835</v>
      </c>
      <c r="D2133" t="s">
        <v>4963</v>
      </c>
      <c r="E2133" t="s">
        <v>4851</v>
      </c>
      <c r="F2133">
        <v>86.85</v>
      </c>
      <c r="I2133">
        <v>72.900000000000006</v>
      </c>
      <c r="J2133" t="s">
        <v>3312</v>
      </c>
    </row>
    <row r="2134" spans="1:10" ht="15" customHeight="1" x14ac:dyDescent="0.2">
      <c r="A2134" s="420">
        <v>45959</v>
      </c>
      <c r="B2134" t="s">
        <v>2532</v>
      </c>
      <c r="C2134" t="s">
        <v>4835</v>
      </c>
      <c r="D2134" t="s">
        <v>4964</v>
      </c>
      <c r="E2134" t="s">
        <v>1961</v>
      </c>
      <c r="G2134">
        <v>47.8</v>
      </c>
      <c r="I2134">
        <v>120.7</v>
      </c>
      <c r="J2134" t="s">
        <v>3329</v>
      </c>
    </row>
    <row r="2135" spans="1:10" ht="15" customHeight="1" x14ac:dyDescent="0.2">
      <c r="A2135" s="420">
        <v>45960</v>
      </c>
      <c r="B2135" t="s">
        <v>2532</v>
      </c>
      <c r="C2135" t="s">
        <v>4835</v>
      </c>
      <c r="D2135" t="s">
        <v>4965</v>
      </c>
      <c r="E2135" t="s">
        <v>1962</v>
      </c>
      <c r="G2135">
        <v>29.2</v>
      </c>
      <c r="I2135">
        <v>149.9</v>
      </c>
      <c r="J2135" t="s">
        <v>3329</v>
      </c>
    </row>
    <row r="2136" spans="1:10" ht="15" customHeight="1" x14ac:dyDescent="0.2">
      <c r="A2136" s="420">
        <v>45980</v>
      </c>
      <c r="B2136" t="s">
        <v>2532</v>
      </c>
      <c r="C2136" t="s">
        <v>4835</v>
      </c>
      <c r="D2136" t="s">
        <v>4966</v>
      </c>
      <c r="E2136" t="s">
        <v>1976</v>
      </c>
      <c r="G2136">
        <v>26</v>
      </c>
      <c r="I2136">
        <v>175.9</v>
      </c>
      <c r="J2136" t="s">
        <v>3335</v>
      </c>
    </row>
    <row r="2137" spans="1:10" ht="15" customHeight="1" x14ac:dyDescent="0.2">
      <c r="A2137" s="420">
        <v>45981</v>
      </c>
      <c r="B2137" t="s">
        <v>2333</v>
      </c>
      <c r="C2137" t="s">
        <v>4835</v>
      </c>
      <c r="D2137" t="s">
        <v>4967</v>
      </c>
      <c r="E2137" t="s">
        <v>1808</v>
      </c>
      <c r="F2137">
        <v>26</v>
      </c>
      <c r="I2137">
        <v>149.9</v>
      </c>
      <c r="J2137" t="s">
        <v>3335</v>
      </c>
    </row>
    <row r="2138" spans="1:10" ht="15" customHeight="1" x14ac:dyDescent="0.2">
      <c r="A2138" s="420">
        <v>45981</v>
      </c>
      <c r="B2138" t="s">
        <v>2532</v>
      </c>
      <c r="C2138" t="s">
        <v>4835</v>
      </c>
      <c r="D2138" t="s">
        <v>4968</v>
      </c>
      <c r="E2138" t="s">
        <v>1977</v>
      </c>
      <c r="G2138">
        <v>78.95</v>
      </c>
      <c r="I2138">
        <v>228.85</v>
      </c>
      <c r="J2138" t="s">
        <v>3331</v>
      </c>
    </row>
    <row r="2139" spans="1:10" ht="15" customHeight="1" x14ac:dyDescent="0.2">
      <c r="A2139" s="420">
        <v>45982</v>
      </c>
      <c r="B2139" t="s">
        <v>2333</v>
      </c>
      <c r="C2139" t="s">
        <v>4835</v>
      </c>
      <c r="D2139" t="s">
        <v>4969</v>
      </c>
      <c r="E2139" t="s">
        <v>4851</v>
      </c>
      <c r="F2139">
        <v>78.95</v>
      </c>
      <c r="I2139">
        <v>149.9</v>
      </c>
      <c r="J2139" t="s">
        <v>3331</v>
      </c>
    </row>
    <row r="2140" spans="1:10" ht="15" customHeight="1" x14ac:dyDescent="0.2">
      <c r="A2140" s="420">
        <v>45986</v>
      </c>
      <c r="B2140" t="s">
        <v>2532</v>
      </c>
      <c r="C2140" t="s">
        <v>4835</v>
      </c>
      <c r="D2140" t="s">
        <v>4970</v>
      </c>
      <c r="E2140" t="s">
        <v>1978</v>
      </c>
      <c r="G2140">
        <v>78.48</v>
      </c>
      <c r="I2140">
        <v>228.38</v>
      </c>
      <c r="J2140" t="s">
        <v>3331</v>
      </c>
    </row>
    <row r="2141" spans="1:10" ht="15" customHeight="1" x14ac:dyDescent="0.2">
      <c r="A2141" s="420">
        <v>45987</v>
      </c>
      <c r="B2141" t="s">
        <v>2333</v>
      </c>
      <c r="C2141" t="s">
        <v>4835</v>
      </c>
      <c r="D2141" t="s">
        <v>4971</v>
      </c>
      <c r="E2141" t="s">
        <v>4851</v>
      </c>
      <c r="F2141">
        <v>78.48</v>
      </c>
      <c r="I2141">
        <v>149.9</v>
      </c>
      <c r="J2141" t="s">
        <v>3331</v>
      </c>
    </row>
    <row r="2142" spans="1:10" ht="15" customHeight="1" x14ac:dyDescent="0.2">
      <c r="A2142" s="420">
        <v>45988</v>
      </c>
      <c r="B2142" t="s">
        <v>2532</v>
      </c>
      <c r="C2142" t="s">
        <v>4835</v>
      </c>
      <c r="D2142" t="s">
        <v>4972</v>
      </c>
      <c r="E2142" t="s">
        <v>1980</v>
      </c>
      <c r="G2142">
        <v>40.299999999999997</v>
      </c>
      <c r="I2142">
        <v>190.2</v>
      </c>
      <c r="J2142" t="s">
        <v>3335</v>
      </c>
    </row>
    <row r="2143" spans="1:10" ht="15" customHeight="1" x14ac:dyDescent="0.2">
      <c r="A2143" s="420">
        <v>45989</v>
      </c>
      <c r="B2143" t="s">
        <v>2333</v>
      </c>
      <c r="C2143" t="s">
        <v>4835</v>
      </c>
      <c r="D2143" t="s">
        <v>4973</v>
      </c>
      <c r="E2143" t="s">
        <v>1738</v>
      </c>
      <c r="F2143">
        <v>40.299999999999997</v>
      </c>
      <c r="I2143">
        <v>149.9</v>
      </c>
      <c r="J2143" t="s">
        <v>3335</v>
      </c>
    </row>
    <row r="2144" spans="1:10" ht="15" customHeight="1" x14ac:dyDescent="0.2">
      <c r="A2144" s="420">
        <v>45994</v>
      </c>
      <c r="B2144" t="s">
        <v>2532</v>
      </c>
      <c r="C2144" t="s">
        <v>4835</v>
      </c>
      <c r="D2144" t="s">
        <v>4974</v>
      </c>
      <c r="E2144" t="s">
        <v>1986</v>
      </c>
      <c r="G2144">
        <v>231.5</v>
      </c>
      <c r="I2144">
        <v>381.4</v>
      </c>
      <c r="J2144" t="s">
        <v>4975</v>
      </c>
    </row>
    <row r="2145" spans="1:10" ht="15" customHeight="1" x14ac:dyDescent="0.2">
      <c r="A2145" s="420">
        <v>45995</v>
      </c>
      <c r="B2145" t="s">
        <v>2333</v>
      </c>
      <c r="C2145" t="s">
        <v>4835</v>
      </c>
      <c r="D2145" t="s">
        <v>4976</v>
      </c>
      <c r="E2145" t="s">
        <v>4977</v>
      </c>
      <c r="F2145">
        <v>231.5</v>
      </c>
      <c r="I2145">
        <v>149.9</v>
      </c>
      <c r="J2145" t="s">
        <v>4975</v>
      </c>
    </row>
    <row r="2146" spans="1:10" ht="15" customHeight="1" x14ac:dyDescent="0.2">
      <c r="A2146" s="420">
        <v>45999</v>
      </c>
      <c r="B2146" t="s">
        <v>2333</v>
      </c>
      <c r="C2146" t="s">
        <v>4835</v>
      </c>
      <c r="D2146" t="s">
        <v>4978</v>
      </c>
      <c r="E2146" t="s">
        <v>4979</v>
      </c>
      <c r="F2146">
        <v>149.9</v>
      </c>
      <c r="J2146" t="s">
        <v>3329</v>
      </c>
    </row>
    <row r="2147" spans="1:10" ht="15" customHeight="1" x14ac:dyDescent="0.2">
      <c r="A2147" s="420">
        <v>45999</v>
      </c>
      <c r="B2147" t="s">
        <v>2532</v>
      </c>
      <c r="C2147" t="s">
        <v>4835</v>
      </c>
      <c r="D2147" t="s">
        <v>4980</v>
      </c>
      <c r="E2147" t="s">
        <v>1992</v>
      </c>
      <c r="G2147">
        <v>45.3</v>
      </c>
      <c r="I2147">
        <v>45.3</v>
      </c>
      <c r="J2147" t="s">
        <v>3342</v>
      </c>
    </row>
    <row r="2148" spans="1:10" ht="15" customHeight="1" x14ac:dyDescent="0.2">
      <c r="A2148" s="420">
        <v>46000</v>
      </c>
      <c r="B2148" t="s">
        <v>2333</v>
      </c>
      <c r="C2148" t="s">
        <v>4835</v>
      </c>
      <c r="D2148" t="s">
        <v>4981</v>
      </c>
      <c r="E2148" t="s">
        <v>4982</v>
      </c>
      <c r="F2148">
        <v>45.3</v>
      </c>
      <c r="J2148" t="s">
        <v>3342</v>
      </c>
    </row>
    <row r="2149" spans="1:10" ht="15" customHeight="1" x14ac:dyDescent="0.2">
      <c r="A2149" s="420">
        <v>46001</v>
      </c>
      <c r="B2149" t="s">
        <v>2532</v>
      </c>
      <c r="C2149" t="s">
        <v>4835</v>
      </c>
      <c r="D2149" t="s">
        <v>4983</v>
      </c>
      <c r="E2149" t="s">
        <v>1993</v>
      </c>
      <c r="G2149">
        <v>54</v>
      </c>
      <c r="I2149">
        <v>54</v>
      </c>
      <c r="J2149" t="s">
        <v>4975</v>
      </c>
    </row>
    <row r="2150" spans="1:10" ht="15" customHeight="1" x14ac:dyDescent="0.2">
      <c r="A2150" s="420">
        <v>46002</v>
      </c>
      <c r="B2150" t="s">
        <v>2333</v>
      </c>
      <c r="C2150" t="s">
        <v>4835</v>
      </c>
      <c r="D2150" t="s">
        <v>4984</v>
      </c>
      <c r="E2150" t="s">
        <v>4985</v>
      </c>
      <c r="F2150">
        <v>260</v>
      </c>
      <c r="H2150">
        <v>206</v>
      </c>
      <c r="J2150" t="s">
        <v>4975</v>
      </c>
    </row>
    <row r="2151" spans="1:10" ht="15" customHeight="1" x14ac:dyDescent="0.2">
      <c r="A2151" s="420">
        <v>46002</v>
      </c>
      <c r="B2151" t="s">
        <v>2333</v>
      </c>
      <c r="C2151" t="s">
        <v>4835</v>
      </c>
      <c r="D2151" t="s">
        <v>4986</v>
      </c>
      <c r="E2151" t="s">
        <v>4987</v>
      </c>
      <c r="F2151">
        <v>54</v>
      </c>
      <c r="H2151">
        <v>260</v>
      </c>
      <c r="J2151" t="s">
        <v>4975</v>
      </c>
    </row>
    <row r="2152" spans="1:10" ht="15" customHeight="1" x14ac:dyDescent="0.2">
      <c r="A2152" s="420">
        <v>46002</v>
      </c>
      <c r="B2152" t="s">
        <v>2547</v>
      </c>
      <c r="C2152" t="s">
        <v>4835</v>
      </c>
      <c r="D2152" t="s">
        <v>4988</v>
      </c>
      <c r="E2152" t="s">
        <v>1994</v>
      </c>
      <c r="G2152">
        <v>260</v>
      </c>
      <c r="J2152" t="s">
        <v>4975</v>
      </c>
    </row>
    <row r="2153" spans="1:10" ht="15" customHeight="1" x14ac:dyDescent="0.2">
      <c r="A2153" s="420">
        <v>46003</v>
      </c>
      <c r="B2153" t="s">
        <v>2532</v>
      </c>
      <c r="C2153" t="s">
        <v>4835</v>
      </c>
      <c r="D2153" t="s">
        <v>4989</v>
      </c>
      <c r="E2153" t="s">
        <v>1995</v>
      </c>
      <c r="G2153">
        <v>50.3</v>
      </c>
      <c r="I2153">
        <v>50.3</v>
      </c>
      <c r="J2153" t="s">
        <v>3333</v>
      </c>
    </row>
    <row r="2154" spans="1:10" ht="15" customHeight="1" x14ac:dyDescent="0.2">
      <c r="A2154" s="420">
        <v>46006</v>
      </c>
      <c r="B2154" t="s">
        <v>2333</v>
      </c>
      <c r="C2154" t="s">
        <v>4835</v>
      </c>
      <c r="D2154" t="s">
        <v>4990</v>
      </c>
      <c r="E2154" t="s">
        <v>4842</v>
      </c>
      <c r="F2154">
        <v>50.3</v>
      </c>
      <c r="J2154" t="s">
        <v>3333</v>
      </c>
    </row>
    <row r="2155" spans="1:10" ht="15" customHeight="1" x14ac:dyDescent="0.2">
      <c r="A2155" s="420">
        <v>46008</v>
      </c>
      <c r="B2155" t="s">
        <v>2532</v>
      </c>
      <c r="C2155" t="s">
        <v>4835</v>
      </c>
      <c r="D2155" t="s">
        <v>4991</v>
      </c>
      <c r="E2155" t="s">
        <v>1999</v>
      </c>
      <c r="G2155">
        <v>92.5</v>
      </c>
      <c r="I2155">
        <v>92.5</v>
      </c>
      <c r="J2155" t="s">
        <v>2435</v>
      </c>
    </row>
    <row r="2156" spans="1:10" ht="15" customHeight="1" x14ac:dyDescent="0.2">
      <c r="A2156" s="420">
        <v>46009</v>
      </c>
      <c r="B2156" t="s">
        <v>2333</v>
      </c>
      <c r="C2156" t="s">
        <v>4835</v>
      </c>
      <c r="D2156" t="s">
        <v>4992</v>
      </c>
      <c r="E2156" t="s">
        <v>4993</v>
      </c>
      <c r="F2156">
        <v>92.5</v>
      </c>
      <c r="J2156" t="s">
        <v>2435</v>
      </c>
    </row>
    <row r="2157" spans="1:10" ht="15" customHeight="1" x14ac:dyDescent="0.2">
      <c r="A2157" t="s">
        <v>4835</v>
      </c>
      <c r="E2157" t="s">
        <v>349</v>
      </c>
      <c r="F2157">
        <v>5194.41</v>
      </c>
      <c r="G2157">
        <v>5194.41</v>
      </c>
    </row>
    <row r="2159" spans="1:10" ht="15" customHeight="1" x14ac:dyDescent="0.2">
      <c r="A2159" t="s">
        <v>4994</v>
      </c>
      <c r="B2159" t="s">
        <v>4836</v>
      </c>
      <c r="F2159" t="s">
        <v>2430</v>
      </c>
      <c r="G2159" t="s">
        <v>2431</v>
      </c>
      <c r="H2159" t="s">
        <v>2432</v>
      </c>
      <c r="I2159" t="s">
        <v>2433</v>
      </c>
      <c r="J2159" t="s">
        <v>2434</v>
      </c>
    </row>
    <row r="2160" spans="1:10" ht="15" customHeight="1" x14ac:dyDescent="0.2">
      <c r="A2160" s="420">
        <v>45696</v>
      </c>
      <c r="B2160" t="s">
        <v>2532</v>
      </c>
      <c r="C2160" t="s">
        <v>4994</v>
      </c>
      <c r="D2160" t="s">
        <v>4995</v>
      </c>
      <c r="E2160" t="s">
        <v>1775</v>
      </c>
      <c r="G2160">
        <v>135.4</v>
      </c>
      <c r="I2160">
        <v>135.4</v>
      </c>
      <c r="J2160" t="s">
        <v>2511</v>
      </c>
    </row>
    <row r="2161" spans="1:10" ht="15" customHeight="1" x14ac:dyDescent="0.2">
      <c r="A2161" s="420">
        <v>45698</v>
      </c>
      <c r="B2161" t="s">
        <v>2333</v>
      </c>
      <c r="C2161" t="s">
        <v>4994</v>
      </c>
      <c r="D2161" t="s">
        <v>4996</v>
      </c>
      <c r="E2161" t="s">
        <v>4997</v>
      </c>
      <c r="F2161">
        <v>135.4</v>
      </c>
      <c r="J2161" t="s">
        <v>2511</v>
      </c>
    </row>
    <row r="2162" spans="1:10" ht="15" customHeight="1" x14ac:dyDescent="0.2">
      <c r="A2162" s="420">
        <v>45709</v>
      </c>
      <c r="B2162" t="s">
        <v>2532</v>
      </c>
      <c r="C2162" t="s">
        <v>4994</v>
      </c>
      <c r="D2162" t="s">
        <v>4998</v>
      </c>
      <c r="E2162" t="s">
        <v>1780</v>
      </c>
      <c r="G2162">
        <v>32.5</v>
      </c>
      <c r="I2162">
        <v>32.5</v>
      </c>
      <c r="J2162" t="s">
        <v>2511</v>
      </c>
    </row>
    <row r="2163" spans="1:10" ht="15" customHeight="1" x14ac:dyDescent="0.2">
      <c r="A2163" s="420">
        <v>45712</v>
      </c>
      <c r="B2163" t="s">
        <v>2333</v>
      </c>
      <c r="C2163" t="s">
        <v>4994</v>
      </c>
      <c r="D2163" t="s">
        <v>4999</v>
      </c>
      <c r="E2163" t="s">
        <v>5000</v>
      </c>
      <c r="F2163">
        <v>32.5</v>
      </c>
      <c r="J2163" t="s">
        <v>2511</v>
      </c>
    </row>
    <row r="2164" spans="1:10" ht="15" customHeight="1" x14ac:dyDescent="0.2">
      <c r="A2164" s="420">
        <v>45989</v>
      </c>
      <c r="B2164" t="s">
        <v>2532</v>
      </c>
      <c r="C2164" t="s">
        <v>4994</v>
      </c>
      <c r="D2164" t="s">
        <v>5001</v>
      </c>
      <c r="E2164" t="s">
        <v>1982</v>
      </c>
      <c r="G2164">
        <v>21.55</v>
      </c>
      <c r="I2164">
        <v>21.55</v>
      </c>
      <c r="J2164" t="s">
        <v>2509</v>
      </c>
    </row>
    <row r="2165" spans="1:10" ht="15" customHeight="1" x14ac:dyDescent="0.2">
      <c r="A2165" s="420">
        <v>45992</v>
      </c>
      <c r="B2165" t="s">
        <v>2333</v>
      </c>
      <c r="C2165" t="s">
        <v>4994</v>
      </c>
      <c r="D2165" t="s">
        <v>5002</v>
      </c>
      <c r="E2165" t="s">
        <v>5003</v>
      </c>
      <c r="F2165">
        <v>21.55</v>
      </c>
      <c r="J2165" t="s">
        <v>2509</v>
      </c>
    </row>
    <row r="2166" spans="1:10" ht="15" customHeight="1" x14ac:dyDescent="0.2">
      <c r="A2166" t="s">
        <v>4994</v>
      </c>
      <c r="E2166" t="s">
        <v>349</v>
      </c>
      <c r="F2166">
        <v>189.45</v>
      </c>
      <c r="G2166">
        <v>189.45</v>
      </c>
    </row>
    <row r="2168" spans="1:10" ht="15" customHeight="1" x14ac:dyDescent="0.2">
      <c r="A2168" t="s">
        <v>5004</v>
      </c>
      <c r="B2168" t="s">
        <v>5005</v>
      </c>
      <c r="F2168" t="s">
        <v>2430</v>
      </c>
      <c r="G2168" t="s">
        <v>2431</v>
      </c>
      <c r="H2168" t="s">
        <v>2432</v>
      </c>
      <c r="I2168" t="s">
        <v>2433</v>
      </c>
      <c r="J2168" t="s">
        <v>2434</v>
      </c>
    </row>
    <row r="2169" spans="1:10" ht="15" customHeight="1" x14ac:dyDescent="0.2">
      <c r="A2169" s="420">
        <v>45667</v>
      </c>
      <c r="B2169" t="s">
        <v>2532</v>
      </c>
      <c r="C2169" t="s">
        <v>5004</v>
      </c>
      <c r="D2169" t="s">
        <v>5006</v>
      </c>
      <c r="E2169" t="s">
        <v>449</v>
      </c>
      <c r="G2169">
        <v>66.53</v>
      </c>
      <c r="I2169">
        <v>66.53</v>
      </c>
      <c r="J2169" t="s">
        <v>2511</v>
      </c>
    </row>
    <row r="2170" spans="1:10" ht="15" customHeight="1" x14ac:dyDescent="0.2">
      <c r="A2170" s="420">
        <v>45698</v>
      </c>
      <c r="B2170" t="s">
        <v>2333</v>
      </c>
      <c r="C2170" t="s">
        <v>5004</v>
      </c>
      <c r="D2170" t="s">
        <v>5007</v>
      </c>
      <c r="E2170" t="s">
        <v>5008</v>
      </c>
      <c r="F2170">
        <v>66.53</v>
      </c>
      <c r="J2170" t="s">
        <v>2511</v>
      </c>
    </row>
    <row r="2171" spans="1:10" ht="15" customHeight="1" x14ac:dyDescent="0.2">
      <c r="A2171" s="420">
        <v>45758</v>
      </c>
      <c r="B2171" t="s">
        <v>2532</v>
      </c>
      <c r="C2171" t="s">
        <v>5004</v>
      </c>
      <c r="D2171" t="s">
        <v>5009</v>
      </c>
      <c r="E2171" t="s">
        <v>474</v>
      </c>
      <c r="G2171">
        <v>91.09</v>
      </c>
      <c r="I2171">
        <v>91.09</v>
      </c>
      <c r="J2171" t="s">
        <v>2509</v>
      </c>
    </row>
    <row r="2172" spans="1:10" ht="15" customHeight="1" x14ac:dyDescent="0.2">
      <c r="A2172" s="420">
        <v>45786</v>
      </c>
      <c r="B2172" t="s">
        <v>2333</v>
      </c>
      <c r="C2172" t="s">
        <v>5004</v>
      </c>
      <c r="D2172" t="s">
        <v>5010</v>
      </c>
      <c r="E2172" t="s">
        <v>5011</v>
      </c>
      <c r="F2172">
        <v>91.09</v>
      </c>
      <c r="J2172" t="s">
        <v>2509</v>
      </c>
    </row>
    <row r="2173" spans="1:10" ht="15" customHeight="1" x14ac:dyDescent="0.2">
      <c r="A2173" s="420">
        <v>45849</v>
      </c>
      <c r="B2173" t="s">
        <v>2532</v>
      </c>
      <c r="C2173" t="s">
        <v>5004</v>
      </c>
      <c r="D2173" t="s">
        <v>5012</v>
      </c>
      <c r="E2173" t="s">
        <v>522</v>
      </c>
      <c r="G2173">
        <v>110.8</v>
      </c>
      <c r="I2173">
        <v>110.8</v>
      </c>
      <c r="J2173" t="s">
        <v>2585</v>
      </c>
    </row>
    <row r="2174" spans="1:10" ht="15" customHeight="1" x14ac:dyDescent="0.2">
      <c r="A2174" s="420">
        <v>45880</v>
      </c>
      <c r="B2174" t="s">
        <v>2333</v>
      </c>
      <c r="C2174" t="s">
        <v>5004</v>
      </c>
      <c r="D2174" t="s">
        <v>5013</v>
      </c>
      <c r="E2174" t="s">
        <v>5014</v>
      </c>
      <c r="F2174">
        <v>110.8</v>
      </c>
      <c r="J2174" t="s">
        <v>2585</v>
      </c>
    </row>
    <row r="2175" spans="1:10" ht="15" customHeight="1" x14ac:dyDescent="0.2">
      <c r="A2175" s="420">
        <v>45940</v>
      </c>
      <c r="B2175" t="s">
        <v>2532</v>
      </c>
      <c r="C2175" t="s">
        <v>5004</v>
      </c>
      <c r="D2175" t="s">
        <v>5015</v>
      </c>
      <c r="E2175" t="s">
        <v>554</v>
      </c>
      <c r="G2175">
        <v>123.78</v>
      </c>
      <c r="I2175">
        <v>123.78</v>
      </c>
      <c r="J2175" t="s">
        <v>2513</v>
      </c>
    </row>
    <row r="2176" spans="1:10" ht="15" customHeight="1" x14ac:dyDescent="0.2">
      <c r="A2176" s="420">
        <v>45946</v>
      </c>
      <c r="B2176" t="s">
        <v>2532</v>
      </c>
      <c r="C2176" t="s">
        <v>5004</v>
      </c>
      <c r="D2176" t="s">
        <v>5016</v>
      </c>
      <c r="E2176" t="s">
        <v>556</v>
      </c>
      <c r="G2176">
        <v>10</v>
      </c>
      <c r="I2176">
        <v>133.78</v>
      </c>
      <c r="J2176" t="s">
        <v>2586</v>
      </c>
    </row>
    <row r="2177" spans="1:10" ht="15" customHeight="1" x14ac:dyDescent="0.2">
      <c r="A2177" s="420">
        <v>45971</v>
      </c>
      <c r="B2177" t="s">
        <v>2333</v>
      </c>
      <c r="C2177" t="s">
        <v>5004</v>
      </c>
      <c r="D2177" t="s">
        <v>5017</v>
      </c>
      <c r="E2177" t="s">
        <v>5018</v>
      </c>
      <c r="F2177">
        <v>123.78</v>
      </c>
      <c r="I2177">
        <v>10</v>
      </c>
      <c r="J2177" t="s">
        <v>2513</v>
      </c>
    </row>
    <row r="2178" spans="1:10" ht="15" customHeight="1" x14ac:dyDescent="0.2">
      <c r="A2178" s="420">
        <v>45989</v>
      </c>
      <c r="B2178" t="s">
        <v>2333</v>
      </c>
      <c r="C2178" t="s">
        <v>5004</v>
      </c>
      <c r="D2178" t="s">
        <v>5019</v>
      </c>
      <c r="E2178" t="s">
        <v>5020</v>
      </c>
      <c r="F2178">
        <v>10</v>
      </c>
      <c r="J2178" t="s">
        <v>2586</v>
      </c>
    </row>
    <row r="2179" spans="1:10" ht="15" customHeight="1" x14ac:dyDescent="0.2">
      <c r="A2179" t="s">
        <v>5004</v>
      </c>
      <c r="E2179" t="s">
        <v>349</v>
      </c>
      <c r="F2179">
        <v>402.2</v>
      </c>
      <c r="G2179">
        <v>402.2</v>
      </c>
    </row>
    <row r="2181" spans="1:10" ht="15" customHeight="1" x14ac:dyDescent="0.2">
      <c r="A2181" t="s">
        <v>5021</v>
      </c>
      <c r="B2181" t="s">
        <v>5022</v>
      </c>
      <c r="F2181" t="s">
        <v>2430</v>
      </c>
      <c r="G2181" t="s">
        <v>2431</v>
      </c>
      <c r="H2181" t="s">
        <v>2432</v>
      </c>
      <c r="I2181" t="s">
        <v>2433</v>
      </c>
      <c r="J2181" t="s">
        <v>2434</v>
      </c>
    </row>
    <row r="2182" spans="1:10" ht="15" customHeight="1" x14ac:dyDescent="0.2">
      <c r="A2182" s="420">
        <v>45665</v>
      </c>
      <c r="B2182" t="s">
        <v>2532</v>
      </c>
      <c r="C2182" t="s">
        <v>5021</v>
      </c>
      <c r="D2182" t="s">
        <v>5023</v>
      </c>
      <c r="E2182" t="s">
        <v>1297</v>
      </c>
      <c r="G2182">
        <v>163.19999999999999</v>
      </c>
      <c r="I2182">
        <v>163.19999999999999</v>
      </c>
      <c r="J2182" t="s">
        <v>2511</v>
      </c>
    </row>
    <row r="2183" spans="1:10" ht="15" customHeight="1" x14ac:dyDescent="0.2">
      <c r="A2183" s="420">
        <v>45665</v>
      </c>
      <c r="B2183" t="s">
        <v>2532</v>
      </c>
      <c r="C2183" t="s">
        <v>5021</v>
      </c>
      <c r="D2183" t="s">
        <v>5024</v>
      </c>
      <c r="E2183" t="s">
        <v>1625</v>
      </c>
      <c r="G2183">
        <v>12</v>
      </c>
      <c r="I2183">
        <v>175.2</v>
      </c>
      <c r="J2183" t="s">
        <v>2511</v>
      </c>
    </row>
    <row r="2184" spans="1:10" ht="15" customHeight="1" x14ac:dyDescent="0.2">
      <c r="A2184" s="420">
        <v>45666</v>
      </c>
      <c r="B2184" t="s">
        <v>2333</v>
      </c>
      <c r="C2184" t="s">
        <v>5021</v>
      </c>
      <c r="D2184" t="s">
        <v>5025</v>
      </c>
      <c r="E2184" t="s">
        <v>5026</v>
      </c>
      <c r="F2184">
        <v>163.19999999999999</v>
      </c>
      <c r="I2184">
        <v>12</v>
      </c>
      <c r="J2184" t="s">
        <v>2511</v>
      </c>
    </row>
    <row r="2185" spans="1:10" ht="15" customHeight="1" x14ac:dyDescent="0.2">
      <c r="A2185" s="420">
        <v>45667</v>
      </c>
      <c r="B2185" t="s">
        <v>2333</v>
      </c>
      <c r="C2185" t="s">
        <v>5021</v>
      </c>
      <c r="D2185" t="s">
        <v>5027</v>
      </c>
      <c r="E2185" t="s">
        <v>5028</v>
      </c>
      <c r="F2185">
        <v>12</v>
      </c>
      <c r="J2185" t="s">
        <v>2511</v>
      </c>
    </row>
    <row r="2186" spans="1:10" ht="15" customHeight="1" x14ac:dyDescent="0.2">
      <c r="A2186" s="420">
        <v>45679</v>
      </c>
      <c r="B2186" t="s">
        <v>2532</v>
      </c>
      <c r="C2186" t="s">
        <v>5021</v>
      </c>
      <c r="D2186" t="s">
        <v>5029</v>
      </c>
      <c r="E2186" t="s">
        <v>1630</v>
      </c>
      <c r="G2186">
        <v>7.28</v>
      </c>
      <c r="I2186">
        <v>7.28</v>
      </c>
      <c r="J2186" t="s">
        <v>2511</v>
      </c>
    </row>
    <row r="2187" spans="1:10" ht="15" customHeight="1" x14ac:dyDescent="0.2">
      <c r="A2187" s="420">
        <v>45681</v>
      </c>
      <c r="B2187" t="s">
        <v>2333</v>
      </c>
      <c r="C2187" t="s">
        <v>5021</v>
      </c>
      <c r="D2187" t="s">
        <v>5030</v>
      </c>
      <c r="E2187" t="s">
        <v>5031</v>
      </c>
      <c r="F2187">
        <v>7.28</v>
      </c>
      <c r="J2187" t="s">
        <v>2511</v>
      </c>
    </row>
    <row r="2188" spans="1:10" ht="15" customHeight="1" x14ac:dyDescent="0.2">
      <c r="A2188" s="420">
        <v>45696</v>
      </c>
      <c r="B2188" t="s">
        <v>2532</v>
      </c>
      <c r="C2188" t="s">
        <v>5021</v>
      </c>
      <c r="D2188" t="s">
        <v>5032</v>
      </c>
      <c r="E2188" t="s">
        <v>1311</v>
      </c>
      <c r="G2188">
        <v>187.2</v>
      </c>
      <c r="I2188">
        <v>187.2</v>
      </c>
      <c r="J2188" t="s">
        <v>2509</v>
      </c>
    </row>
    <row r="2189" spans="1:10" ht="15" customHeight="1" x14ac:dyDescent="0.2">
      <c r="A2189" s="420">
        <v>45699</v>
      </c>
      <c r="B2189" t="s">
        <v>2333</v>
      </c>
      <c r="C2189" t="s">
        <v>5021</v>
      </c>
      <c r="D2189" t="s">
        <v>5033</v>
      </c>
      <c r="E2189" t="s">
        <v>5034</v>
      </c>
      <c r="F2189">
        <v>187.2</v>
      </c>
      <c r="J2189" t="s">
        <v>2509</v>
      </c>
    </row>
    <row r="2190" spans="1:10" ht="15" customHeight="1" x14ac:dyDescent="0.2">
      <c r="A2190" s="420">
        <v>45714</v>
      </c>
      <c r="B2190" t="s">
        <v>2532</v>
      </c>
      <c r="C2190" t="s">
        <v>5021</v>
      </c>
      <c r="D2190" t="s">
        <v>5035</v>
      </c>
      <c r="E2190" t="s">
        <v>1643</v>
      </c>
      <c r="G2190">
        <v>60</v>
      </c>
      <c r="I2190">
        <v>60</v>
      </c>
      <c r="J2190" t="s">
        <v>2513</v>
      </c>
    </row>
    <row r="2191" spans="1:10" ht="15" customHeight="1" x14ac:dyDescent="0.2">
      <c r="A2191" s="420">
        <v>45715</v>
      </c>
      <c r="B2191" t="s">
        <v>2333</v>
      </c>
      <c r="C2191" t="s">
        <v>5021</v>
      </c>
      <c r="D2191" t="s">
        <v>5036</v>
      </c>
      <c r="E2191" t="s">
        <v>5037</v>
      </c>
      <c r="F2191">
        <v>60</v>
      </c>
      <c r="J2191" t="s">
        <v>2513</v>
      </c>
    </row>
    <row r="2192" spans="1:10" ht="15" customHeight="1" x14ac:dyDescent="0.2">
      <c r="A2192" s="420">
        <v>45724</v>
      </c>
      <c r="B2192" t="s">
        <v>2532</v>
      </c>
      <c r="C2192" t="s">
        <v>5021</v>
      </c>
      <c r="D2192" t="s">
        <v>5038</v>
      </c>
      <c r="E2192" t="s">
        <v>1329</v>
      </c>
      <c r="G2192">
        <v>187.2</v>
      </c>
      <c r="I2192">
        <v>187.2</v>
      </c>
      <c r="J2192" t="s">
        <v>2585</v>
      </c>
    </row>
    <row r="2193" spans="1:10" ht="15" customHeight="1" x14ac:dyDescent="0.2">
      <c r="A2193" s="420">
        <v>45727</v>
      </c>
      <c r="B2193" t="s">
        <v>2333</v>
      </c>
      <c r="C2193" t="s">
        <v>5021</v>
      </c>
      <c r="D2193" t="s">
        <v>5039</v>
      </c>
      <c r="E2193" t="s">
        <v>5040</v>
      </c>
      <c r="F2193">
        <v>187.2</v>
      </c>
      <c r="J2193" t="s">
        <v>2585</v>
      </c>
    </row>
    <row r="2194" spans="1:10" ht="15" customHeight="1" x14ac:dyDescent="0.2">
      <c r="A2194" s="420">
        <v>45755</v>
      </c>
      <c r="B2194" t="s">
        <v>2532</v>
      </c>
      <c r="C2194" t="s">
        <v>5021</v>
      </c>
      <c r="D2194" t="s">
        <v>5041</v>
      </c>
      <c r="E2194" t="s">
        <v>1344</v>
      </c>
      <c r="G2194">
        <v>187.2</v>
      </c>
      <c r="I2194">
        <v>187.2</v>
      </c>
      <c r="J2194" t="s">
        <v>2586</v>
      </c>
    </row>
    <row r="2195" spans="1:10" ht="15" customHeight="1" x14ac:dyDescent="0.2">
      <c r="A2195" s="420">
        <v>45756</v>
      </c>
      <c r="B2195" t="s">
        <v>2333</v>
      </c>
      <c r="C2195" t="s">
        <v>5021</v>
      </c>
      <c r="D2195" t="s">
        <v>5042</v>
      </c>
      <c r="E2195" t="s">
        <v>5043</v>
      </c>
      <c r="F2195">
        <v>187.2</v>
      </c>
      <c r="J2195" t="s">
        <v>2586</v>
      </c>
    </row>
    <row r="2196" spans="1:10" ht="15" customHeight="1" x14ac:dyDescent="0.2">
      <c r="A2196" s="420">
        <v>45785</v>
      </c>
      <c r="B2196" t="s">
        <v>2532</v>
      </c>
      <c r="C2196" t="s">
        <v>5021</v>
      </c>
      <c r="D2196" t="s">
        <v>5044</v>
      </c>
      <c r="E2196" t="s">
        <v>1353</v>
      </c>
      <c r="G2196">
        <v>195.7</v>
      </c>
      <c r="I2196">
        <v>195.7</v>
      </c>
      <c r="J2196" t="s">
        <v>2587</v>
      </c>
    </row>
    <row r="2197" spans="1:10" ht="15" customHeight="1" x14ac:dyDescent="0.2">
      <c r="A2197" s="420">
        <v>45786</v>
      </c>
      <c r="B2197" t="s">
        <v>2333</v>
      </c>
      <c r="C2197" t="s">
        <v>5021</v>
      </c>
      <c r="D2197" t="s">
        <v>5045</v>
      </c>
      <c r="E2197" t="s">
        <v>5046</v>
      </c>
      <c r="F2197">
        <v>195.7</v>
      </c>
      <c r="J2197" t="s">
        <v>2587</v>
      </c>
    </row>
    <row r="2198" spans="1:10" ht="15" customHeight="1" x14ac:dyDescent="0.2">
      <c r="A2198" s="420">
        <v>45804</v>
      </c>
      <c r="B2198" t="s">
        <v>2532</v>
      </c>
      <c r="C2198" t="s">
        <v>5021</v>
      </c>
      <c r="D2198" t="s">
        <v>5047</v>
      </c>
      <c r="E2198" t="s">
        <v>1360</v>
      </c>
      <c r="G2198">
        <v>120</v>
      </c>
      <c r="I2198">
        <v>120</v>
      </c>
      <c r="J2198" t="s">
        <v>2587</v>
      </c>
    </row>
    <row r="2199" spans="1:10" ht="15" customHeight="1" x14ac:dyDescent="0.2">
      <c r="A2199" s="420">
        <v>45805</v>
      </c>
      <c r="B2199" t="s">
        <v>2333</v>
      </c>
      <c r="C2199" t="s">
        <v>5021</v>
      </c>
      <c r="D2199" t="s">
        <v>5048</v>
      </c>
      <c r="E2199" t="s">
        <v>5037</v>
      </c>
      <c r="F2199">
        <v>120</v>
      </c>
      <c r="J2199" t="s">
        <v>2587</v>
      </c>
    </row>
    <row r="2200" spans="1:10" ht="15" customHeight="1" x14ac:dyDescent="0.2">
      <c r="A2200" s="420">
        <v>45818</v>
      </c>
      <c r="B2200" t="s">
        <v>2333</v>
      </c>
      <c r="C2200" t="s">
        <v>5021</v>
      </c>
      <c r="D2200" t="s">
        <v>5049</v>
      </c>
      <c r="E2200" t="s">
        <v>5050</v>
      </c>
      <c r="F2200">
        <v>187.2</v>
      </c>
      <c r="H2200">
        <v>187.2</v>
      </c>
      <c r="J2200" t="s">
        <v>2603</v>
      </c>
    </row>
    <row r="2201" spans="1:10" ht="15" customHeight="1" x14ac:dyDescent="0.2">
      <c r="A2201" s="420">
        <v>45839</v>
      </c>
      <c r="B2201" t="s">
        <v>2532</v>
      </c>
      <c r="C2201" t="s">
        <v>5021</v>
      </c>
      <c r="D2201" t="s">
        <v>5051</v>
      </c>
      <c r="E2201" t="s">
        <v>1669</v>
      </c>
      <c r="G2201">
        <v>187.2</v>
      </c>
      <c r="J2201" t="s">
        <v>2600</v>
      </c>
    </row>
    <row r="2202" spans="1:10" ht="15" customHeight="1" x14ac:dyDescent="0.2">
      <c r="A2202" s="420">
        <v>45846</v>
      </c>
      <c r="B2202" t="s">
        <v>2532</v>
      </c>
      <c r="C2202" t="s">
        <v>5021</v>
      </c>
      <c r="D2202" t="s">
        <v>5052</v>
      </c>
      <c r="E2202" t="s">
        <v>1669</v>
      </c>
      <c r="G2202">
        <v>187.2</v>
      </c>
      <c r="I2202">
        <v>187.2</v>
      </c>
      <c r="J2202" t="s">
        <v>2603</v>
      </c>
    </row>
    <row r="2203" spans="1:10" ht="15" customHeight="1" x14ac:dyDescent="0.2">
      <c r="A2203" s="420">
        <v>45847</v>
      </c>
      <c r="B2203" t="s">
        <v>2333</v>
      </c>
      <c r="C2203" t="s">
        <v>5021</v>
      </c>
      <c r="D2203" t="s">
        <v>5053</v>
      </c>
      <c r="E2203" t="s">
        <v>5054</v>
      </c>
      <c r="F2203">
        <v>187.2</v>
      </c>
      <c r="J2203" t="s">
        <v>2600</v>
      </c>
    </row>
    <row r="2204" spans="1:10" ht="15" customHeight="1" x14ac:dyDescent="0.2">
      <c r="A2204" s="420">
        <v>45877</v>
      </c>
      <c r="B2204" t="s">
        <v>2532</v>
      </c>
      <c r="C2204" t="s">
        <v>5021</v>
      </c>
      <c r="D2204" t="s">
        <v>5055</v>
      </c>
      <c r="E2204" t="s">
        <v>1674</v>
      </c>
      <c r="G2204">
        <v>198.01</v>
      </c>
      <c r="I2204">
        <v>198.01</v>
      </c>
      <c r="J2204" t="s">
        <v>2599</v>
      </c>
    </row>
    <row r="2205" spans="1:10" ht="15" customHeight="1" x14ac:dyDescent="0.2">
      <c r="A2205" s="420">
        <v>45880</v>
      </c>
      <c r="B2205" t="s">
        <v>2333</v>
      </c>
      <c r="C2205" t="s">
        <v>5021</v>
      </c>
      <c r="D2205" t="s">
        <v>5056</v>
      </c>
      <c r="E2205" t="s">
        <v>5057</v>
      </c>
      <c r="F2205">
        <v>198.01</v>
      </c>
      <c r="J2205" t="s">
        <v>2599</v>
      </c>
    </row>
    <row r="2206" spans="1:10" ht="15" customHeight="1" x14ac:dyDescent="0.2">
      <c r="A2206" s="420">
        <v>45890</v>
      </c>
      <c r="B2206" t="s">
        <v>2532</v>
      </c>
      <c r="C2206" t="s">
        <v>5021</v>
      </c>
      <c r="D2206" t="s">
        <v>5058</v>
      </c>
      <c r="E2206" t="s">
        <v>1681</v>
      </c>
      <c r="G2206">
        <v>120</v>
      </c>
      <c r="I2206">
        <v>120</v>
      </c>
      <c r="J2206" t="s">
        <v>2599</v>
      </c>
    </row>
    <row r="2207" spans="1:10" ht="15" customHeight="1" x14ac:dyDescent="0.2">
      <c r="A2207" s="420">
        <v>45891</v>
      </c>
      <c r="B2207" t="s">
        <v>2333</v>
      </c>
      <c r="C2207" t="s">
        <v>5021</v>
      </c>
      <c r="D2207" t="s">
        <v>5059</v>
      </c>
      <c r="E2207" t="s">
        <v>5037</v>
      </c>
      <c r="F2207">
        <v>120</v>
      </c>
      <c r="J2207" t="s">
        <v>2599</v>
      </c>
    </row>
    <row r="2208" spans="1:10" ht="15" customHeight="1" x14ac:dyDescent="0.2">
      <c r="A2208" s="420">
        <v>45908</v>
      </c>
      <c r="B2208" t="s">
        <v>2532</v>
      </c>
      <c r="C2208" t="s">
        <v>5021</v>
      </c>
      <c r="D2208" t="s">
        <v>5060</v>
      </c>
      <c r="E2208" t="s">
        <v>1684</v>
      </c>
      <c r="G2208">
        <v>187.2</v>
      </c>
      <c r="I2208">
        <v>187.2</v>
      </c>
      <c r="J2208" t="s">
        <v>2599</v>
      </c>
    </row>
    <row r="2209" spans="1:10" ht="15" customHeight="1" x14ac:dyDescent="0.2">
      <c r="A2209" s="420">
        <v>45909</v>
      </c>
      <c r="B2209" t="s">
        <v>2333</v>
      </c>
      <c r="C2209" t="s">
        <v>5021</v>
      </c>
      <c r="D2209" t="s">
        <v>5061</v>
      </c>
      <c r="E2209" t="s">
        <v>5062</v>
      </c>
      <c r="F2209">
        <v>187.2</v>
      </c>
      <c r="J2209" t="s">
        <v>2599</v>
      </c>
    </row>
    <row r="2210" spans="1:10" ht="15" customHeight="1" x14ac:dyDescent="0.2">
      <c r="A2210" s="420">
        <v>45938</v>
      </c>
      <c r="B2210" t="s">
        <v>2532</v>
      </c>
      <c r="C2210" t="s">
        <v>5021</v>
      </c>
      <c r="D2210" t="s">
        <v>5063</v>
      </c>
      <c r="E2210" t="s">
        <v>1692</v>
      </c>
      <c r="G2210">
        <v>187.2</v>
      </c>
      <c r="I2210">
        <v>187.2</v>
      </c>
      <c r="J2210" t="s">
        <v>2604</v>
      </c>
    </row>
    <row r="2211" spans="1:10" ht="15" customHeight="1" x14ac:dyDescent="0.2">
      <c r="A2211" s="420">
        <v>45939</v>
      </c>
      <c r="B2211" t="s">
        <v>2333</v>
      </c>
      <c r="C2211" t="s">
        <v>5021</v>
      </c>
      <c r="D2211" t="s">
        <v>5064</v>
      </c>
      <c r="E2211" t="s">
        <v>5065</v>
      </c>
      <c r="F2211">
        <v>187.2</v>
      </c>
      <c r="J2211" t="s">
        <v>2604</v>
      </c>
    </row>
    <row r="2212" spans="1:10" ht="15" customHeight="1" x14ac:dyDescent="0.2">
      <c r="A2212" s="420">
        <v>45969</v>
      </c>
      <c r="B2212" t="s">
        <v>2532</v>
      </c>
      <c r="C2212" t="s">
        <v>5021</v>
      </c>
      <c r="D2212" t="s">
        <v>5066</v>
      </c>
      <c r="E2212" t="s">
        <v>1709</v>
      </c>
      <c r="G2212">
        <v>204.12</v>
      </c>
      <c r="I2212">
        <v>204.12</v>
      </c>
      <c r="J2212" t="s">
        <v>2601</v>
      </c>
    </row>
    <row r="2213" spans="1:10" ht="15" customHeight="1" x14ac:dyDescent="0.2">
      <c r="A2213" s="420">
        <v>45972</v>
      </c>
      <c r="B2213" t="s">
        <v>2333</v>
      </c>
      <c r="C2213" t="s">
        <v>5021</v>
      </c>
      <c r="D2213" t="s">
        <v>5067</v>
      </c>
      <c r="E2213" t="s">
        <v>5068</v>
      </c>
      <c r="F2213">
        <v>204.12</v>
      </c>
      <c r="J2213" t="s">
        <v>2601</v>
      </c>
    </row>
    <row r="2214" spans="1:10" ht="15" customHeight="1" x14ac:dyDescent="0.2">
      <c r="A2214" s="420">
        <v>45994</v>
      </c>
      <c r="B2214" t="s">
        <v>2532</v>
      </c>
      <c r="C2214" t="s">
        <v>5021</v>
      </c>
      <c r="D2214" t="s">
        <v>5069</v>
      </c>
      <c r="E2214" t="s">
        <v>1716</v>
      </c>
      <c r="G2214">
        <v>120</v>
      </c>
      <c r="I2214">
        <v>120</v>
      </c>
      <c r="J2214" t="s">
        <v>2601</v>
      </c>
    </row>
    <row r="2215" spans="1:10" ht="15" customHeight="1" x14ac:dyDescent="0.2">
      <c r="A2215" s="420">
        <v>45995</v>
      </c>
      <c r="B2215" t="s">
        <v>2333</v>
      </c>
      <c r="C2215" t="s">
        <v>5021</v>
      </c>
      <c r="D2215" t="s">
        <v>5070</v>
      </c>
      <c r="E2215" t="s">
        <v>5037</v>
      </c>
      <c r="F2215">
        <v>120</v>
      </c>
      <c r="J2215" t="s">
        <v>2601</v>
      </c>
    </row>
    <row r="2216" spans="1:10" ht="15" customHeight="1" x14ac:dyDescent="0.2">
      <c r="A2216" s="420">
        <v>45999</v>
      </c>
      <c r="B2216" t="s">
        <v>2532</v>
      </c>
      <c r="C2216" t="s">
        <v>5021</v>
      </c>
      <c r="D2216" t="s">
        <v>5071</v>
      </c>
      <c r="E2216" t="s">
        <v>1717</v>
      </c>
      <c r="G2216">
        <v>187.2</v>
      </c>
      <c r="I2216">
        <v>187.2</v>
      </c>
      <c r="J2216" t="s">
        <v>2601</v>
      </c>
    </row>
    <row r="2217" spans="1:10" ht="15" customHeight="1" x14ac:dyDescent="0.2">
      <c r="A2217" s="420">
        <v>46000</v>
      </c>
      <c r="B2217" t="s">
        <v>2333</v>
      </c>
      <c r="C2217" t="s">
        <v>5021</v>
      </c>
      <c r="D2217" t="s">
        <v>5072</v>
      </c>
      <c r="E2217" t="s">
        <v>5073</v>
      </c>
      <c r="F2217">
        <v>187.2</v>
      </c>
      <c r="J2217" t="s">
        <v>2601</v>
      </c>
    </row>
    <row r="2218" spans="1:10" ht="15" customHeight="1" x14ac:dyDescent="0.2">
      <c r="A2218" t="s">
        <v>5021</v>
      </c>
      <c r="E2218" t="s">
        <v>349</v>
      </c>
      <c r="F2218">
        <v>2697.91</v>
      </c>
      <c r="G2218">
        <v>2697.91</v>
      </c>
    </row>
    <row r="2220" spans="1:10" ht="15" customHeight="1" x14ac:dyDescent="0.2">
      <c r="A2220" t="s">
        <v>5074</v>
      </c>
      <c r="B2220" t="s">
        <v>5075</v>
      </c>
      <c r="F2220" t="s">
        <v>2430</v>
      </c>
      <c r="G2220" t="s">
        <v>2431</v>
      </c>
      <c r="H2220" t="s">
        <v>2432</v>
      </c>
      <c r="I2220" t="s">
        <v>2433</v>
      </c>
      <c r="J2220" t="s">
        <v>2434</v>
      </c>
    </row>
    <row r="2221" spans="1:10" ht="15" customHeight="1" x14ac:dyDescent="0.2">
      <c r="A2221" s="420">
        <v>45765</v>
      </c>
      <c r="B2221" t="s">
        <v>2532</v>
      </c>
      <c r="C2221" t="s">
        <v>5074</v>
      </c>
      <c r="D2221" t="s">
        <v>5076</v>
      </c>
      <c r="E2221" t="s">
        <v>1829</v>
      </c>
      <c r="G2221">
        <v>225.56</v>
      </c>
      <c r="I2221">
        <v>225.56</v>
      </c>
      <c r="J2221" t="s">
        <v>2511</v>
      </c>
    </row>
    <row r="2222" spans="1:10" ht="15" customHeight="1" x14ac:dyDescent="0.2">
      <c r="A2222" s="420">
        <v>45770</v>
      </c>
      <c r="B2222" t="s">
        <v>2333</v>
      </c>
      <c r="C2222" t="s">
        <v>5074</v>
      </c>
      <c r="D2222" t="s">
        <v>5077</v>
      </c>
      <c r="E2222" t="s">
        <v>5078</v>
      </c>
      <c r="F2222">
        <v>225.56</v>
      </c>
      <c r="J2222" t="s">
        <v>2511</v>
      </c>
    </row>
    <row r="2223" spans="1:10" ht="15" customHeight="1" x14ac:dyDescent="0.2">
      <c r="A2223" t="s">
        <v>5074</v>
      </c>
      <c r="E2223" t="s">
        <v>349</v>
      </c>
      <c r="F2223">
        <v>225.56</v>
      </c>
      <c r="G2223">
        <v>225.56</v>
      </c>
    </row>
    <row r="2225" spans="1:10" ht="15" customHeight="1" x14ac:dyDescent="0.2">
      <c r="A2225" t="s">
        <v>5079</v>
      </c>
      <c r="B2225" t="s">
        <v>5080</v>
      </c>
      <c r="F2225" t="s">
        <v>2430</v>
      </c>
      <c r="G2225" t="s">
        <v>2431</v>
      </c>
      <c r="H2225" t="s">
        <v>2432</v>
      </c>
      <c r="I2225" t="s">
        <v>2433</v>
      </c>
      <c r="J2225" t="s">
        <v>2434</v>
      </c>
    </row>
    <row r="2226" spans="1:10" ht="15" customHeight="1" x14ac:dyDescent="0.2">
      <c r="A2226" s="420">
        <v>45672</v>
      </c>
      <c r="B2226" t="s">
        <v>2532</v>
      </c>
      <c r="C2226" t="s">
        <v>5079</v>
      </c>
      <c r="D2226" t="s">
        <v>5081</v>
      </c>
      <c r="E2226" t="s">
        <v>946</v>
      </c>
      <c r="G2226">
        <v>304.8</v>
      </c>
      <c r="I2226">
        <v>304.8</v>
      </c>
      <c r="J2226" t="s">
        <v>2511</v>
      </c>
    </row>
    <row r="2227" spans="1:10" ht="15" customHeight="1" x14ac:dyDescent="0.2">
      <c r="A2227" s="420">
        <v>45677</v>
      </c>
      <c r="B2227" t="s">
        <v>2333</v>
      </c>
      <c r="C2227" t="s">
        <v>5079</v>
      </c>
      <c r="D2227" t="s">
        <v>5082</v>
      </c>
      <c r="E2227" t="s">
        <v>5083</v>
      </c>
      <c r="F2227">
        <v>304.8</v>
      </c>
      <c r="J2227" t="s">
        <v>2511</v>
      </c>
    </row>
    <row r="2228" spans="1:10" ht="15" customHeight="1" x14ac:dyDescent="0.2">
      <c r="A2228" t="s">
        <v>5079</v>
      </c>
      <c r="E2228" t="s">
        <v>349</v>
      </c>
      <c r="F2228">
        <v>304.8</v>
      </c>
      <c r="G2228">
        <v>304.8</v>
      </c>
    </row>
    <row r="2230" spans="1:10" ht="15" customHeight="1" x14ac:dyDescent="0.2">
      <c r="A2230" t="s">
        <v>5084</v>
      </c>
      <c r="B2230" t="s">
        <v>5085</v>
      </c>
      <c r="F2230" t="s">
        <v>2430</v>
      </c>
      <c r="G2230" t="s">
        <v>2431</v>
      </c>
      <c r="H2230" t="s">
        <v>2432</v>
      </c>
      <c r="I2230" t="s">
        <v>2433</v>
      </c>
      <c r="J2230" t="s">
        <v>2434</v>
      </c>
    </row>
    <row r="2231" spans="1:10" ht="15" customHeight="1" x14ac:dyDescent="0.2">
      <c r="A2231" s="420">
        <v>45658</v>
      </c>
      <c r="B2231" t="s">
        <v>2435</v>
      </c>
      <c r="C2231" t="s">
        <v>5084</v>
      </c>
      <c r="D2231" t="s">
        <v>2436</v>
      </c>
      <c r="E2231" t="s">
        <v>5086</v>
      </c>
      <c r="G2231">
        <v>119.76</v>
      </c>
      <c r="I2231">
        <v>119.76</v>
      </c>
      <c r="J2231" t="s">
        <v>2511</v>
      </c>
    </row>
    <row r="2232" spans="1:10" ht="15" customHeight="1" x14ac:dyDescent="0.2">
      <c r="A2232" s="420">
        <v>45742</v>
      </c>
      <c r="B2232" t="s">
        <v>2333</v>
      </c>
      <c r="C2232" t="s">
        <v>5084</v>
      </c>
      <c r="D2232" t="s">
        <v>5087</v>
      </c>
      <c r="E2232" t="s">
        <v>5088</v>
      </c>
      <c r="F2232">
        <v>119.76</v>
      </c>
      <c r="J2232" t="s">
        <v>2511</v>
      </c>
    </row>
    <row r="2233" spans="1:10" ht="15" customHeight="1" x14ac:dyDescent="0.2">
      <c r="A2233" t="s">
        <v>5084</v>
      </c>
      <c r="E2233" t="s">
        <v>349</v>
      </c>
      <c r="F2233">
        <v>119.76</v>
      </c>
      <c r="G2233">
        <v>119.76</v>
      </c>
    </row>
    <row r="2235" spans="1:10" ht="15" customHeight="1" x14ac:dyDescent="0.2">
      <c r="A2235" t="s">
        <v>5089</v>
      </c>
      <c r="B2235" t="s">
        <v>2254</v>
      </c>
      <c r="F2235" t="s">
        <v>2430</v>
      </c>
      <c r="G2235" t="s">
        <v>2431</v>
      </c>
      <c r="H2235" t="s">
        <v>2432</v>
      </c>
      <c r="I2235" t="s">
        <v>2433</v>
      </c>
      <c r="J2235" t="s">
        <v>2434</v>
      </c>
    </row>
    <row r="2236" spans="1:10" ht="15" customHeight="1" x14ac:dyDescent="0.2">
      <c r="A2236" s="420">
        <v>45658</v>
      </c>
      <c r="B2236" t="s">
        <v>2435</v>
      </c>
      <c r="C2236" t="s">
        <v>5089</v>
      </c>
      <c r="D2236" t="s">
        <v>2436</v>
      </c>
      <c r="E2236" t="s">
        <v>5090</v>
      </c>
      <c r="F2236">
        <v>53.36</v>
      </c>
      <c r="H2236">
        <v>53.36</v>
      </c>
      <c r="J2236" t="s">
        <v>2511</v>
      </c>
    </row>
    <row r="2237" spans="1:10" ht="15" customHeight="1" x14ac:dyDescent="0.2">
      <c r="A2237" s="420">
        <v>45658</v>
      </c>
      <c r="B2237" t="s">
        <v>2435</v>
      </c>
      <c r="C2237" t="s">
        <v>5089</v>
      </c>
      <c r="D2237" t="s">
        <v>2436</v>
      </c>
      <c r="E2237" t="s">
        <v>5091</v>
      </c>
      <c r="F2237">
        <v>126.64</v>
      </c>
      <c r="H2237">
        <v>180</v>
      </c>
      <c r="J2237" t="s">
        <v>2511</v>
      </c>
    </row>
    <row r="2238" spans="1:10" ht="15" customHeight="1" x14ac:dyDescent="0.2">
      <c r="A2238" s="420">
        <v>45658</v>
      </c>
      <c r="B2238" t="s">
        <v>2435</v>
      </c>
      <c r="C2238" t="s">
        <v>5089</v>
      </c>
      <c r="D2238" t="s">
        <v>2436</v>
      </c>
      <c r="E2238" t="s">
        <v>5092</v>
      </c>
      <c r="G2238">
        <v>180</v>
      </c>
      <c r="J2238" t="s">
        <v>2511</v>
      </c>
    </row>
    <row r="2239" spans="1:10" ht="15" customHeight="1" x14ac:dyDescent="0.2">
      <c r="A2239" s="420">
        <v>45707</v>
      </c>
      <c r="B2239" t="s">
        <v>2333</v>
      </c>
      <c r="C2239" t="s">
        <v>5089</v>
      </c>
      <c r="D2239" t="s">
        <v>5093</v>
      </c>
      <c r="E2239" t="s">
        <v>5094</v>
      </c>
      <c r="F2239">
        <v>180</v>
      </c>
      <c r="H2239">
        <v>180</v>
      </c>
      <c r="J2239" t="s">
        <v>2509</v>
      </c>
    </row>
    <row r="2240" spans="1:10" ht="15" customHeight="1" x14ac:dyDescent="0.2">
      <c r="A2240" s="420">
        <v>45708</v>
      </c>
      <c r="B2240" t="s">
        <v>2532</v>
      </c>
      <c r="C2240" t="s">
        <v>5089</v>
      </c>
      <c r="D2240" t="s">
        <v>5095</v>
      </c>
      <c r="E2240" t="s">
        <v>1463</v>
      </c>
      <c r="G2240">
        <v>180</v>
      </c>
      <c r="J2240" t="s">
        <v>2509</v>
      </c>
    </row>
    <row r="2241" spans="1:10" ht="15" customHeight="1" x14ac:dyDescent="0.2">
      <c r="A2241" s="420">
        <v>45721</v>
      </c>
      <c r="B2241" t="s">
        <v>2333</v>
      </c>
      <c r="C2241" t="s">
        <v>5089</v>
      </c>
      <c r="D2241" t="s">
        <v>5096</v>
      </c>
      <c r="E2241" t="s">
        <v>5097</v>
      </c>
      <c r="F2241">
        <v>180</v>
      </c>
      <c r="H2241">
        <v>180</v>
      </c>
      <c r="J2241" t="s">
        <v>2513</v>
      </c>
    </row>
    <row r="2242" spans="1:10" ht="15" customHeight="1" x14ac:dyDescent="0.2">
      <c r="A2242" s="420">
        <v>45721</v>
      </c>
      <c r="B2242" t="s">
        <v>2333</v>
      </c>
      <c r="C2242" t="s">
        <v>5089</v>
      </c>
      <c r="D2242" t="s">
        <v>5098</v>
      </c>
      <c r="E2242" t="s">
        <v>5099</v>
      </c>
      <c r="F2242">
        <v>180</v>
      </c>
      <c r="H2242">
        <v>360</v>
      </c>
      <c r="J2242" t="s">
        <v>2585</v>
      </c>
    </row>
    <row r="2243" spans="1:10" ht="15" customHeight="1" x14ac:dyDescent="0.2">
      <c r="A2243" s="420">
        <v>45721</v>
      </c>
      <c r="B2243" t="s">
        <v>2532</v>
      </c>
      <c r="C2243" t="s">
        <v>5089</v>
      </c>
      <c r="D2243" t="s">
        <v>5100</v>
      </c>
      <c r="E2243" t="s">
        <v>1474</v>
      </c>
      <c r="G2243">
        <v>180</v>
      </c>
      <c r="H2243">
        <v>180</v>
      </c>
      <c r="J2243" t="s">
        <v>2513</v>
      </c>
    </row>
    <row r="2244" spans="1:10" ht="15" customHeight="1" x14ac:dyDescent="0.2">
      <c r="A2244" s="420">
        <v>45722</v>
      </c>
      <c r="B2244" t="s">
        <v>2532</v>
      </c>
      <c r="C2244" t="s">
        <v>5089</v>
      </c>
      <c r="D2244" t="s">
        <v>5101</v>
      </c>
      <c r="E2244" t="s">
        <v>1475</v>
      </c>
      <c r="G2244">
        <v>180</v>
      </c>
      <c r="J2244" t="s">
        <v>2585</v>
      </c>
    </row>
    <row r="2245" spans="1:10" ht="15" customHeight="1" x14ac:dyDescent="0.2">
      <c r="A2245" s="420">
        <v>45754</v>
      </c>
      <c r="B2245" t="s">
        <v>2333</v>
      </c>
      <c r="C2245" t="s">
        <v>5089</v>
      </c>
      <c r="D2245" t="s">
        <v>5102</v>
      </c>
      <c r="E2245" t="s">
        <v>5103</v>
      </c>
      <c r="F2245">
        <v>180</v>
      </c>
      <c r="H2245">
        <v>180</v>
      </c>
      <c r="J2245" t="s">
        <v>2585</v>
      </c>
    </row>
    <row r="2246" spans="1:10" ht="15" customHeight="1" x14ac:dyDescent="0.2">
      <c r="A2246" s="420">
        <v>45755</v>
      </c>
      <c r="B2246" t="s">
        <v>2532</v>
      </c>
      <c r="C2246" t="s">
        <v>5089</v>
      </c>
      <c r="D2246" t="s">
        <v>5104</v>
      </c>
      <c r="E2246" t="s">
        <v>1483</v>
      </c>
      <c r="G2246">
        <v>180</v>
      </c>
      <c r="J2246" t="s">
        <v>2585</v>
      </c>
    </row>
    <row r="2247" spans="1:10" ht="15" customHeight="1" x14ac:dyDescent="0.2">
      <c r="A2247" s="420">
        <v>45792</v>
      </c>
      <c r="B2247" t="s">
        <v>2333</v>
      </c>
      <c r="C2247" t="s">
        <v>5089</v>
      </c>
      <c r="D2247" t="s">
        <v>5105</v>
      </c>
      <c r="E2247" t="s">
        <v>5106</v>
      </c>
      <c r="F2247">
        <v>180</v>
      </c>
      <c r="H2247">
        <v>180</v>
      </c>
      <c r="J2247" t="s">
        <v>2586</v>
      </c>
    </row>
    <row r="2248" spans="1:10" ht="15" customHeight="1" x14ac:dyDescent="0.2">
      <c r="A2248" s="420">
        <v>45792</v>
      </c>
      <c r="B2248" t="s">
        <v>2532</v>
      </c>
      <c r="C2248" t="s">
        <v>5089</v>
      </c>
      <c r="D2248" t="s">
        <v>5107</v>
      </c>
      <c r="E2248" t="s">
        <v>1492</v>
      </c>
      <c r="G2248">
        <v>180</v>
      </c>
      <c r="J2248" t="s">
        <v>2586</v>
      </c>
    </row>
    <row r="2249" spans="1:10" ht="15" customHeight="1" x14ac:dyDescent="0.2">
      <c r="A2249" s="420">
        <v>45798</v>
      </c>
      <c r="B2249" t="s">
        <v>2333</v>
      </c>
      <c r="C2249" t="s">
        <v>5089</v>
      </c>
      <c r="D2249" t="s">
        <v>5108</v>
      </c>
      <c r="E2249" t="s">
        <v>5109</v>
      </c>
      <c r="F2249">
        <v>180</v>
      </c>
      <c r="H2249">
        <v>180</v>
      </c>
      <c r="J2249" t="s">
        <v>2585</v>
      </c>
    </row>
    <row r="2250" spans="1:10" ht="15" customHeight="1" x14ac:dyDescent="0.2">
      <c r="A2250" s="420">
        <v>45798</v>
      </c>
      <c r="B2250" t="s">
        <v>2333</v>
      </c>
      <c r="C2250" t="s">
        <v>5089</v>
      </c>
      <c r="D2250" t="s">
        <v>5110</v>
      </c>
      <c r="E2250" t="s">
        <v>5111</v>
      </c>
      <c r="F2250">
        <v>180</v>
      </c>
      <c r="H2250">
        <v>360</v>
      </c>
      <c r="J2250" t="s">
        <v>2585</v>
      </c>
    </row>
    <row r="2251" spans="1:10" ht="15" customHeight="1" x14ac:dyDescent="0.2">
      <c r="A2251" s="420">
        <v>45798</v>
      </c>
      <c r="B2251" t="s">
        <v>2532</v>
      </c>
      <c r="C2251" t="s">
        <v>5089</v>
      </c>
      <c r="D2251" t="s">
        <v>5112</v>
      </c>
      <c r="E2251" t="s">
        <v>1497</v>
      </c>
      <c r="G2251">
        <v>180</v>
      </c>
      <c r="H2251">
        <v>180</v>
      </c>
      <c r="J2251" t="s">
        <v>2585</v>
      </c>
    </row>
    <row r="2252" spans="1:10" ht="15" customHeight="1" x14ac:dyDescent="0.2">
      <c r="A2252" s="420">
        <v>45798</v>
      </c>
      <c r="B2252" t="s">
        <v>2532</v>
      </c>
      <c r="C2252" t="s">
        <v>5089</v>
      </c>
      <c r="D2252" t="s">
        <v>5113</v>
      </c>
      <c r="E2252" t="s">
        <v>1498</v>
      </c>
      <c r="G2252">
        <v>180</v>
      </c>
      <c r="J2252" t="s">
        <v>2585</v>
      </c>
    </row>
    <row r="2253" spans="1:10" ht="15" customHeight="1" x14ac:dyDescent="0.2">
      <c r="A2253" s="420">
        <v>45824</v>
      </c>
      <c r="B2253" t="s">
        <v>2333</v>
      </c>
      <c r="C2253" t="s">
        <v>5089</v>
      </c>
      <c r="D2253" t="s">
        <v>5114</v>
      </c>
      <c r="E2253" t="s">
        <v>5115</v>
      </c>
      <c r="F2253">
        <v>180</v>
      </c>
      <c r="H2253">
        <v>180</v>
      </c>
      <c r="J2253" t="s">
        <v>2586</v>
      </c>
    </row>
    <row r="2254" spans="1:10" ht="15" customHeight="1" x14ac:dyDescent="0.2">
      <c r="A2254" s="420">
        <v>45824</v>
      </c>
      <c r="B2254" t="s">
        <v>2532</v>
      </c>
      <c r="C2254" t="s">
        <v>5089</v>
      </c>
      <c r="D2254" t="s">
        <v>5116</v>
      </c>
      <c r="E2254" t="s">
        <v>1509</v>
      </c>
      <c r="G2254">
        <v>180</v>
      </c>
      <c r="J2254" t="s">
        <v>2586</v>
      </c>
    </row>
    <row r="2255" spans="1:10" ht="15" customHeight="1" x14ac:dyDescent="0.2">
      <c r="A2255" s="420">
        <v>45833</v>
      </c>
      <c r="B2255" t="s">
        <v>2333</v>
      </c>
      <c r="C2255" t="s">
        <v>5089</v>
      </c>
      <c r="D2255" t="s">
        <v>5117</v>
      </c>
      <c r="E2255" t="s">
        <v>5118</v>
      </c>
      <c r="F2255">
        <v>180</v>
      </c>
      <c r="H2255">
        <v>180</v>
      </c>
      <c r="J2255" t="s">
        <v>2586</v>
      </c>
    </row>
    <row r="2256" spans="1:10" ht="15" customHeight="1" x14ac:dyDescent="0.2">
      <c r="A2256" s="420">
        <v>45834</v>
      </c>
      <c r="B2256" t="s">
        <v>2532</v>
      </c>
      <c r="C2256" t="s">
        <v>5089</v>
      </c>
      <c r="D2256" t="s">
        <v>5119</v>
      </c>
      <c r="E2256" t="s">
        <v>1513</v>
      </c>
      <c r="G2256">
        <v>180</v>
      </c>
      <c r="J2256" t="s">
        <v>2586</v>
      </c>
    </row>
    <row r="2257" spans="1:10" ht="15" customHeight="1" x14ac:dyDescent="0.2">
      <c r="A2257" s="420">
        <v>45841</v>
      </c>
      <c r="B2257" t="s">
        <v>2333</v>
      </c>
      <c r="C2257" t="s">
        <v>5089</v>
      </c>
      <c r="D2257" t="s">
        <v>5120</v>
      </c>
      <c r="E2257" t="s">
        <v>5121</v>
      </c>
      <c r="F2257">
        <v>180</v>
      </c>
      <c r="H2257">
        <v>180</v>
      </c>
      <c r="J2257" t="s">
        <v>2587</v>
      </c>
    </row>
    <row r="2258" spans="1:10" ht="15" customHeight="1" x14ac:dyDescent="0.2">
      <c r="A2258" s="420">
        <v>45841</v>
      </c>
      <c r="B2258" t="s">
        <v>2333</v>
      </c>
      <c r="C2258" t="s">
        <v>5089</v>
      </c>
      <c r="D2258" t="s">
        <v>5122</v>
      </c>
      <c r="E2258" t="s">
        <v>5123</v>
      </c>
      <c r="F2258">
        <v>180</v>
      </c>
      <c r="H2258">
        <v>360</v>
      </c>
      <c r="J2258" t="s">
        <v>2587</v>
      </c>
    </row>
    <row r="2259" spans="1:10" ht="15" customHeight="1" x14ac:dyDescent="0.2">
      <c r="A2259" s="420">
        <v>45841</v>
      </c>
      <c r="B2259" t="s">
        <v>2532</v>
      </c>
      <c r="C2259" t="s">
        <v>5089</v>
      </c>
      <c r="D2259" t="s">
        <v>5124</v>
      </c>
      <c r="E2259" t="s">
        <v>1530</v>
      </c>
      <c r="G2259">
        <v>180</v>
      </c>
      <c r="H2259">
        <v>180</v>
      </c>
      <c r="J2259" t="s">
        <v>2587</v>
      </c>
    </row>
    <row r="2260" spans="1:10" ht="15" customHeight="1" x14ac:dyDescent="0.2">
      <c r="A2260" s="420">
        <v>45841</v>
      </c>
      <c r="B2260" t="s">
        <v>2532</v>
      </c>
      <c r="C2260" t="s">
        <v>5089</v>
      </c>
      <c r="D2260" t="s">
        <v>5125</v>
      </c>
      <c r="E2260" t="s">
        <v>1531</v>
      </c>
      <c r="G2260">
        <v>180</v>
      </c>
      <c r="J2260" t="s">
        <v>2587</v>
      </c>
    </row>
    <row r="2261" spans="1:10" ht="15" customHeight="1" x14ac:dyDescent="0.2">
      <c r="A2261" s="420">
        <v>45848</v>
      </c>
      <c r="B2261" t="s">
        <v>2333</v>
      </c>
      <c r="C2261" t="s">
        <v>5089</v>
      </c>
      <c r="D2261" t="s">
        <v>5126</v>
      </c>
      <c r="E2261" t="s">
        <v>5127</v>
      </c>
      <c r="F2261">
        <v>180</v>
      </c>
      <c r="H2261">
        <v>180</v>
      </c>
      <c r="J2261" t="s">
        <v>2603</v>
      </c>
    </row>
    <row r="2262" spans="1:10" ht="15" customHeight="1" x14ac:dyDescent="0.2">
      <c r="A2262" s="420">
        <v>45848</v>
      </c>
      <c r="B2262" t="s">
        <v>2532</v>
      </c>
      <c r="C2262" t="s">
        <v>5089</v>
      </c>
      <c r="D2262" t="s">
        <v>5128</v>
      </c>
      <c r="E2262" t="s">
        <v>1535</v>
      </c>
      <c r="G2262">
        <v>180</v>
      </c>
      <c r="J2262" t="s">
        <v>2603</v>
      </c>
    </row>
    <row r="2263" spans="1:10" ht="15" customHeight="1" x14ac:dyDescent="0.2">
      <c r="A2263" s="420">
        <v>45854</v>
      </c>
      <c r="B2263" t="s">
        <v>2333</v>
      </c>
      <c r="C2263" t="s">
        <v>5089</v>
      </c>
      <c r="D2263" t="s">
        <v>5129</v>
      </c>
      <c r="E2263" t="s">
        <v>5130</v>
      </c>
      <c r="F2263">
        <v>180</v>
      </c>
      <c r="H2263">
        <v>180</v>
      </c>
      <c r="J2263" t="s">
        <v>2600</v>
      </c>
    </row>
    <row r="2264" spans="1:10" ht="15" customHeight="1" x14ac:dyDescent="0.2">
      <c r="A2264" s="420">
        <v>45854</v>
      </c>
      <c r="B2264" t="s">
        <v>2532</v>
      </c>
      <c r="C2264" t="s">
        <v>5089</v>
      </c>
      <c r="D2264" t="s">
        <v>5131</v>
      </c>
      <c r="E2264" t="s">
        <v>1537</v>
      </c>
      <c r="G2264">
        <v>180</v>
      </c>
      <c r="J2264" t="s">
        <v>2710</v>
      </c>
    </row>
    <row r="2265" spans="1:10" ht="15" customHeight="1" x14ac:dyDescent="0.2">
      <c r="A2265" s="420">
        <v>45854</v>
      </c>
      <c r="B2265" t="s">
        <v>2532</v>
      </c>
      <c r="C2265" t="s">
        <v>5089</v>
      </c>
      <c r="D2265" t="s">
        <v>5132</v>
      </c>
      <c r="E2265" t="s">
        <v>1538</v>
      </c>
      <c r="G2265">
        <v>180</v>
      </c>
      <c r="I2265">
        <v>180</v>
      </c>
      <c r="J2265" t="s">
        <v>2600</v>
      </c>
    </row>
    <row r="2266" spans="1:10" ht="15" customHeight="1" x14ac:dyDescent="0.2">
      <c r="A2266" s="420">
        <v>45868</v>
      </c>
      <c r="B2266" t="s">
        <v>2333</v>
      </c>
      <c r="C2266" t="s">
        <v>5089</v>
      </c>
      <c r="D2266" t="s">
        <v>5133</v>
      </c>
      <c r="E2266" t="s">
        <v>5134</v>
      </c>
      <c r="F2266">
        <v>180</v>
      </c>
      <c r="J2266" t="s">
        <v>2600</v>
      </c>
    </row>
    <row r="2267" spans="1:10" ht="15" customHeight="1" x14ac:dyDescent="0.2">
      <c r="A2267" s="420">
        <v>45868</v>
      </c>
      <c r="B2267" t="s">
        <v>2532</v>
      </c>
      <c r="C2267" t="s">
        <v>5089</v>
      </c>
      <c r="D2267" t="s">
        <v>5135</v>
      </c>
      <c r="E2267" t="s">
        <v>1544</v>
      </c>
      <c r="G2267">
        <v>180</v>
      </c>
      <c r="I2267">
        <v>180</v>
      </c>
      <c r="J2267" t="s">
        <v>2600</v>
      </c>
    </row>
    <row r="2268" spans="1:10" ht="15" customHeight="1" x14ac:dyDescent="0.2">
      <c r="A2268" s="420">
        <v>45869</v>
      </c>
      <c r="B2268" t="s">
        <v>2333</v>
      </c>
      <c r="C2268" t="s">
        <v>5089</v>
      </c>
      <c r="D2268" t="s">
        <v>5136</v>
      </c>
      <c r="E2268" t="s">
        <v>5137</v>
      </c>
      <c r="F2268">
        <v>180</v>
      </c>
      <c r="J2268" t="s">
        <v>2600</v>
      </c>
    </row>
    <row r="2269" spans="1:10" ht="15" customHeight="1" x14ac:dyDescent="0.2">
      <c r="A2269" s="420">
        <v>45869</v>
      </c>
      <c r="B2269" t="s">
        <v>2532</v>
      </c>
      <c r="C2269" t="s">
        <v>5089</v>
      </c>
      <c r="D2269" t="s">
        <v>5138</v>
      </c>
      <c r="E2269" t="s">
        <v>1546</v>
      </c>
      <c r="G2269">
        <v>180</v>
      </c>
      <c r="I2269">
        <v>180</v>
      </c>
      <c r="J2269" t="s">
        <v>2600</v>
      </c>
    </row>
    <row r="2270" spans="1:10" ht="15" customHeight="1" x14ac:dyDescent="0.2">
      <c r="A2270" s="420">
        <v>45902</v>
      </c>
      <c r="B2270" t="s">
        <v>2333</v>
      </c>
      <c r="C2270" t="s">
        <v>5089</v>
      </c>
      <c r="D2270" t="s">
        <v>5139</v>
      </c>
      <c r="E2270" t="s">
        <v>5140</v>
      </c>
      <c r="F2270">
        <v>180</v>
      </c>
      <c r="J2270" t="s">
        <v>2601</v>
      </c>
    </row>
    <row r="2271" spans="1:10" ht="15" customHeight="1" x14ac:dyDescent="0.2">
      <c r="A2271" s="420">
        <v>45902</v>
      </c>
      <c r="B2271" t="s">
        <v>2532</v>
      </c>
      <c r="C2271" t="s">
        <v>5089</v>
      </c>
      <c r="D2271" t="s">
        <v>5141</v>
      </c>
      <c r="E2271" t="s">
        <v>1560</v>
      </c>
      <c r="G2271">
        <v>180</v>
      </c>
      <c r="I2271">
        <v>180</v>
      </c>
      <c r="J2271" t="s">
        <v>2601</v>
      </c>
    </row>
    <row r="2272" spans="1:10" ht="15" customHeight="1" x14ac:dyDescent="0.2">
      <c r="A2272" s="420">
        <v>45903</v>
      </c>
      <c r="B2272" t="s">
        <v>2532</v>
      </c>
      <c r="C2272" t="s">
        <v>5089</v>
      </c>
      <c r="D2272" t="s">
        <v>5142</v>
      </c>
      <c r="E2272" t="s">
        <v>1562</v>
      </c>
      <c r="G2272">
        <v>180</v>
      </c>
      <c r="I2272">
        <v>360</v>
      </c>
      <c r="J2272" t="s">
        <v>2602</v>
      </c>
    </row>
    <row r="2273" spans="1:10" ht="15" customHeight="1" x14ac:dyDescent="0.2">
      <c r="A2273" s="420">
        <v>45904</v>
      </c>
      <c r="B2273" t="s">
        <v>2333</v>
      </c>
      <c r="C2273" t="s">
        <v>5089</v>
      </c>
      <c r="D2273" t="s">
        <v>5143</v>
      </c>
      <c r="E2273" t="s">
        <v>5144</v>
      </c>
      <c r="F2273">
        <v>180</v>
      </c>
      <c r="I2273">
        <v>180</v>
      </c>
      <c r="J2273" t="s">
        <v>2602</v>
      </c>
    </row>
    <row r="2274" spans="1:10" ht="15" customHeight="1" x14ac:dyDescent="0.2">
      <c r="A2274" s="420">
        <v>45905</v>
      </c>
      <c r="B2274" t="s">
        <v>2532</v>
      </c>
      <c r="C2274" t="s">
        <v>5089</v>
      </c>
      <c r="D2274" t="s">
        <v>5145</v>
      </c>
      <c r="E2274" t="s">
        <v>1565</v>
      </c>
      <c r="G2274">
        <v>180</v>
      </c>
      <c r="I2274">
        <v>360</v>
      </c>
      <c r="J2274" t="s">
        <v>2715</v>
      </c>
    </row>
    <row r="2275" spans="1:10" ht="15" customHeight="1" x14ac:dyDescent="0.2">
      <c r="A2275" s="420">
        <v>45911</v>
      </c>
      <c r="B2275" t="s">
        <v>2333</v>
      </c>
      <c r="C2275" t="s">
        <v>5089</v>
      </c>
      <c r="D2275" t="s">
        <v>5146</v>
      </c>
      <c r="E2275" t="s">
        <v>5147</v>
      </c>
      <c r="F2275">
        <v>180</v>
      </c>
      <c r="I2275">
        <v>180</v>
      </c>
      <c r="J2275" t="s">
        <v>2710</v>
      </c>
    </row>
    <row r="2276" spans="1:10" ht="15" customHeight="1" x14ac:dyDescent="0.2">
      <c r="A2276" s="420">
        <v>45911</v>
      </c>
      <c r="B2276" t="s">
        <v>2333</v>
      </c>
      <c r="C2276" t="s">
        <v>5089</v>
      </c>
      <c r="D2276" t="s">
        <v>5148</v>
      </c>
      <c r="E2276" t="s">
        <v>5149</v>
      </c>
      <c r="F2276">
        <v>180</v>
      </c>
      <c r="J2276" t="s">
        <v>2715</v>
      </c>
    </row>
    <row r="2277" spans="1:10" ht="15" customHeight="1" x14ac:dyDescent="0.2">
      <c r="A2277" s="420">
        <v>45937</v>
      </c>
      <c r="B2277" t="s">
        <v>2333</v>
      </c>
      <c r="C2277" t="s">
        <v>5089</v>
      </c>
      <c r="D2277" t="s">
        <v>5150</v>
      </c>
      <c r="E2277" t="s">
        <v>5151</v>
      </c>
      <c r="F2277">
        <v>180</v>
      </c>
      <c r="H2277">
        <v>180</v>
      </c>
      <c r="J2277" t="s">
        <v>2509</v>
      </c>
    </row>
    <row r="2278" spans="1:10" ht="15" customHeight="1" x14ac:dyDescent="0.2">
      <c r="A2278" s="420">
        <v>45953</v>
      </c>
      <c r="B2278" t="s">
        <v>2532</v>
      </c>
      <c r="C2278" t="s">
        <v>5089</v>
      </c>
      <c r="D2278" t="s">
        <v>5152</v>
      </c>
      <c r="E2278" t="s">
        <v>1581</v>
      </c>
      <c r="G2278">
        <v>180</v>
      </c>
      <c r="J2278" t="s">
        <v>2599</v>
      </c>
    </row>
    <row r="2279" spans="1:10" ht="15" customHeight="1" x14ac:dyDescent="0.2">
      <c r="A2279" s="420">
        <v>45953</v>
      </c>
      <c r="B2279" t="s">
        <v>2532</v>
      </c>
      <c r="C2279" t="s">
        <v>5089</v>
      </c>
      <c r="D2279" t="s">
        <v>5153</v>
      </c>
      <c r="E2279" t="s">
        <v>1582</v>
      </c>
      <c r="G2279">
        <v>180</v>
      </c>
      <c r="I2279">
        <v>180</v>
      </c>
      <c r="J2279" t="s">
        <v>2599</v>
      </c>
    </row>
    <row r="2280" spans="1:10" ht="15" customHeight="1" x14ac:dyDescent="0.2">
      <c r="A2280" s="420">
        <v>45954</v>
      </c>
      <c r="B2280" t="s">
        <v>2333</v>
      </c>
      <c r="C2280" t="s">
        <v>5089</v>
      </c>
      <c r="D2280" t="s">
        <v>5154</v>
      </c>
      <c r="E2280" t="s">
        <v>5155</v>
      </c>
      <c r="F2280">
        <v>360</v>
      </c>
      <c r="H2280">
        <v>180</v>
      </c>
      <c r="J2280" t="s">
        <v>2599</v>
      </c>
    </row>
    <row r="2281" spans="1:10" ht="15" customHeight="1" x14ac:dyDescent="0.2">
      <c r="A2281" s="420">
        <v>45994</v>
      </c>
      <c r="B2281" t="s">
        <v>2333</v>
      </c>
      <c r="C2281" t="s">
        <v>5089</v>
      </c>
      <c r="D2281" t="s">
        <v>5156</v>
      </c>
      <c r="E2281" t="s">
        <v>5157</v>
      </c>
      <c r="F2281">
        <v>180</v>
      </c>
      <c r="H2281">
        <v>360</v>
      </c>
      <c r="J2281" t="s">
        <v>2604</v>
      </c>
    </row>
    <row r="2282" spans="1:10" ht="15" customHeight="1" x14ac:dyDescent="0.2">
      <c r="A2282" s="420">
        <v>45994</v>
      </c>
      <c r="B2282" t="s">
        <v>2532</v>
      </c>
      <c r="C2282" t="s">
        <v>5089</v>
      </c>
      <c r="D2282" t="s">
        <v>5158</v>
      </c>
      <c r="E2282" t="s">
        <v>1606</v>
      </c>
      <c r="G2282">
        <v>180</v>
      </c>
      <c r="H2282">
        <v>180</v>
      </c>
      <c r="J2282" t="s">
        <v>2604</v>
      </c>
    </row>
    <row r="2283" spans="1:10" ht="15" customHeight="1" x14ac:dyDescent="0.2">
      <c r="A2283" s="420">
        <v>46008</v>
      </c>
      <c r="B2283" t="s">
        <v>2333</v>
      </c>
      <c r="C2283" t="s">
        <v>5089</v>
      </c>
      <c r="D2283" t="s">
        <v>5159</v>
      </c>
      <c r="E2283" t="s">
        <v>5160</v>
      </c>
      <c r="F2283">
        <v>180</v>
      </c>
      <c r="H2283">
        <v>360</v>
      </c>
      <c r="J2283" t="s">
        <v>2605</v>
      </c>
    </row>
    <row r="2284" spans="1:10" ht="15" customHeight="1" x14ac:dyDescent="0.2">
      <c r="A2284" s="420">
        <v>46008</v>
      </c>
      <c r="B2284" t="s">
        <v>2532</v>
      </c>
      <c r="C2284" t="s">
        <v>5089</v>
      </c>
      <c r="D2284" t="s">
        <v>5161</v>
      </c>
      <c r="E2284" t="s">
        <v>1609</v>
      </c>
      <c r="G2284">
        <v>180</v>
      </c>
      <c r="H2284">
        <v>180</v>
      </c>
      <c r="J2284" t="s">
        <v>2605</v>
      </c>
    </row>
    <row r="2285" spans="1:10" ht="15" customHeight="1" x14ac:dyDescent="0.2">
      <c r="A2285" t="s">
        <v>5089</v>
      </c>
      <c r="E2285" t="s">
        <v>349</v>
      </c>
      <c r="F2285">
        <v>4500</v>
      </c>
      <c r="G2285">
        <v>4320</v>
      </c>
      <c r="H2285">
        <v>180</v>
      </c>
    </row>
    <row r="2287" spans="1:10" ht="15" customHeight="1" x14ac:dyDescent="0.2">
      <c r="A2287" t="s">
        <v>5162</v>
      </c>
      <c r="B2287" t="s">
        <v>5163</v>
      </c>
      <c r="F2287" t="s">
        <v>2430</v>
      </c>
      <c r="G2287" t="s">
        <v>2431</v>
      </c>
      <c r="H2287" t="s">
        <v>2432</v>
      </c>
      <c r="I2287" t="s">
        <v>2433</v>
      </c>
      <c r="J2287" t="s">
        <v>2434</v>
      </c>
    </row>
    <row r="2288" spans="1:10" ht="15" customHeight="1" x14ac:dyDescent="0.2">
      <c r="A2288" s="420">
        <v>45877</v>
      </c>
      <c r="B2288" t="s">
        <v>2532</v>
      </c>
      <c r="C2288" t="s">
        <v>5162</v>
      </c>
      <c r="D2288" t="s">
        <v>5164</v>
      </c>
      <c r="E2288" t="s">
        <v>860</v>
      </c>
      <c r="G2288">
        <v>115.86</v>
      </c>
      <c r="I2288">
        <v>115.86</v>
      </c>
      <c r="J2288" t="s">
        <v>2511</v>
      </c>
    </row>
    <row r="2289" spans="1:10" ht="15" customHeight="1" x14ac:dyDescent="0.2">
      <c r="A2289" s="420">
        <v>45965</v>
      </c>
      <c r="B2289" t="s">
        <v>2333</v>
      </c>
      <c r="C2289" t="s">
        <v>5162</v>
      </c>
      <c r="D2289" t="s">
        <v>5165</v>
      </c>
      <c r="E2289" t="s">
        <v>5166</v>
      </c>
      <c r="F2289">
        <v>115.86</v>
      </c>
      <c r="J2289" t="s">
        <v>2511</v>
      </c>
    </row>
    <row r="2290" spans="1:10" ht="15" customHeight="1" x14ac:dyDescent="0.2">
      <c r="A2290" t="s">
        <v>5162</v>
      </c>
      <c r="E2290" t="s">
        <v>349</v>
      </c>
      <c r="F2290">
        <v>115.86</v>
      </c>
      <c r="G2290">
        <v>115.86</v>
      </c>
    </row>
    <row r="2292" spans="1:10" ht="15" customHeight="1" x14ac:dyDescent="0.2">
      <c r="A2292" t="s">
        <v>5167</v>
      </c>
      <c r="B2292" t="s">
        <v>5168</v>
      </c>
      <c r="F2292" t="s">
        <v>2430</v>
      </c>
      <c r="G2292" t="s">
        <v>2431</v>
      </c>
      <c r="H2292" t="s">
        <v>2432</v>
      </c>
      <c r="I2292" t="s">
        <v>2433</v>
      </c>
      <c r="J2292" t="s">
        <v>2434</v>
      </c>
    </row>
    <row r="2293" spans="1:10" ht="15" customHeight="1" x14ac:dyDescent="0.2">
      <c r="A2293" s="420">
        <v>45938</v>
      </c>
      <c r="B2293" t="s">
        <v>2333</v>
      </c>
      <c r="C2293" t="s">
        <v>5167</v>
      </c>
      <c r="D2293" t="s">
        <v>5169</v>
      </c>
      <c r="E2293" t="s">
        <v>5170</v>
      </c>
      <c r="F2293">
        <v>8.4</v>
      </c>
      <c r="H2293">
        <v>8.4</v>
      </c>
    </row>
    <row r="2294" spans="1:10" ht="15" customHeight="1" x14ac:dyDescent="0.2">
      <c r="A2294" s="420">
        <v>45938</v>
      </c>
      <c r="B2294" t="s">
        <v>2547</v>
      </c>
      <c r="C2294" t="s">
        <v>5167</v>
      </c>
      <c r="D2294" t="s">
        <v>5171</v>
      </c>
      <c r="E2294" t="s">
        <v>1953</v>
      </c>
      <c r="G2294">
        <v>100.8</v>
      </c>
      <c r="I2294">
        <v>92.4</v>
      </c>
    </row>
    <row r="2295" spans="1:10" ht="15" customHeight="1" x14ac:dyDescent="0.2">
      <c r="A2295" s="420">
        <v>45966</v>
      </c>
      <c r="B2295" t="s">
        <v>2333</v>
      </c>
      <c r="C2295" t="s">
        <v>5167</v>
      </c>
      <c r="D2295" t="s">
        <v>5172</v>
      </c>
      <c r="E2295" t="s">
        <v>5173</v>
      </c>
      <c r="F2295">
        <v>8.4</v>
      </c>
      <c r="I2295">
        <v>84</v>
      </c>
    </row>
    <row r="2296" spans="1:10" ht="15" customHeight="1" x14ac:dyDescent="0.2">
      <c r="A2296" s="420">
        <v>45996</v>
      </c>
      <c r="B2296" t="s">
        <v>2333</v>
      </c>
      <c r="C2296" t="s">
        <v>5167</v>
      </c>
      <c r="D2296" t="s">
        <v>5174</v>
      </c>
      <c r="E2296" t="s">
        <v>5173</v>
      </c>
      <c r="F2296">
        <v>8.4</v>
      </c>
      <c r="I2296">
        <v>75.599999999999994</v>
      </c>
    </row>
    <row r="2297" spans="1:10" ht="15" customHeight="1" x14ac:dyDescent="0.2">
      <c r="A2297" t="s">
        <v>5167</v>
      </c>
      <c r="E2297" t="s">
        <v>349</v>
      </c>
      <c r="F2297">
        <v>25.2</v>
      </c>
      <c r="G2297">
        <v>100.8</v>
      </c>
      <c r="I2297">
        <v>75.599999999999994</v>
      </c>
    </row>
    <row r="2299" spans="1:10" ht="15" customHeight="1" x14ac:dyDescent="0.2">
      <c r="A2299" t="s">
        <v>5175</v>
      </c>
      <c r="B2299" t="s">
        <v>1665</v>
      </c>
      <c r="F2299" t="s">
        <v>2430</v>
      </c>
      <c r="G2299" t="s">
        <v>2431</v>
      </c>
      <c r="H2299" t="s">
        <v>2432</v>
      </c>
      <c r="I2299" t="s">
        <v>2433</v>
      </c>
      <c r="J2299" t="s">
        <v>2434</v>
      </c>
    </row>
    <row r="2300" spans="1:10" ht="15" customHeight="1" x14ac:dyDescent="0.2">
      <c r="A2300" s="420">
        <v>45821</v>
      </c>
      <c r="B2300" t="s">
        <v>2532</v>
      </c>
      <c r="C2300" t="s">
        <v>5175</v>
      </c>
      <c r="D2300" t="s">
        <v>5176</v>
      </c>
      <c r="E2300" t="s">
        <v>1663</v>
      </c>
      <c r="G2300">
        <v>10</v>
      </c>
      <c r="I2300">
        <v>10</v>
      </c>
      <c r="J2300" t="s">
        <v>2511</v>
      </c>
    </row>
    <row r="2301" spans="1:10" ht="15" customHeight="1" x14ac:dyDescent="0.2">
      <c r="A2301" s="420">
        <v>45824</v>
      </c>
      <c r="B2301" t="s">
        <v>2333</v>
      </c>
      <c r="C2301" t="s">
        <v>5175</v>
      </c>
      <c r="D2301" t="s">
        <v>5177</v>
      </c>
      <c r="E2301" t="s">
        <v>5178</v>
      </c>
      <c r="F2301">
        <v>10</v>
      </c>
      <c r="J2301" t="s">
        <v>2511</v>
      </c>
    </row>
    <row r="2302" spans="1:10" ht="15" customHeight="1" x14ac:dyDescent="0.2">
      <c r="A2302" s="420">
        <v>45826</v>
      </c>
      <c r="B2302" t="s">
        <v>2333</v>
      </c>
      <c r="C2302" t="s">
        <v>5175</v>
      </c>
      <c r="D2302" t="s">
        <v>5179</v>
      </c>
      <c r="E2302" t="s">
        <v>5180</v>
      </c>
      <c r="F2302">
        <v>4.99</v>
      </c>
      <c r="H2302">
        <v>4.99</v>
      </c>
      <c r="J2302" t="s">
        <v>2511</v>
      </c>
    </row>
    <row r="2303" spans="1:10" ht="15" customHeight="1" x14ac:dyDescent="0.2">
      <c r="A2303" s="420">
        <v>45826</v>
      </c>
      <c r="B2303" t="s">
        <v>2547</v>
      </c>
      <c r="C2303" t="s">
        <v>5175</v>
      </c>
      <c r="D2303" t="s">
        <v>5181</v>
      </c>
      <c r="E2303" t="s">
        <v>1665</v>
      </c>
      <c r="G2303">
        <v>4.99</v>
      </c>
      <c r="J2303" t="s">
        <v>2511</v>
      </c>
    </row>
    <row r="2304" spans="1:10" ht="15" customHeight="1" x14ac:dyDescent="0.2">
      <c r="A2304" s="420">
        <v>45851</v>
      </c>
      <c r="B2304" t="s">
        <v>2532</v>
      </c>
      <c r="C2304" t="s">
        <v>5175</v>
      </c>
      <c r="D2304" t="s">
        <v>5182</v>
      </c>
      <c r="E2304" t="s">
        <v>1670</v>
      </c>
      <c r="G2304">
        <v>4.99</v>
      </c>
      <c r="I2304">
        <v>4.99</v>
      </c>
      <c r="J2304" t="s">
        <v>2509</v>
      </c>
    </row>
    <row r="2305" spans="1:10" ht="15" customHeight="1" x14ac:dyDescent="0.2">
      <c r="A2305" s="420">
        <v>45860</v>
      </c>
      <c r="B2305" t="s">
        <v>2333</v>
      </c>
      <c r="C2305" t="s">
        <v>5175</v>
      </c>
      <c r="D2305" t="s">
        <v>5183</v>
      </c>
      <c r="E2305" t="s">
        <v>5184</v>
      </c>
      <c r="F2305">
        <v>4.99</v>
      </c>
      <c r="J2305" t="s">
        <v>2509</v>
      </c>
    </row>
    <row r="2306" spans="1:10" ht="15" customHeight="1" x14ac:dyDescent="0.2">
      <c r="A2306" s="420">
        <v>45882</v>
      </c>
      <c r="B2306" t="s">
        <v>2532</v>
      </c>
      <c r="C2306" t="s">
        <v>5175</v>
      </c>
      <c r="D2306" t="s">
        <v>5185</v>
      </c>
      <c r="E2306" t="s">
        <v>5186</v>
      </c>
      <c r="G2306">
        <v>4.99</v>
      </c>
      <c r="I2306">
        <v>4.99</v>
      </c>
      <c r="J2306" t="s">
        <v>2509</v>
      </c>
    </row>
    <row r="2307" spans="1:10" ht="15" customHeight="1" x14ac:dyDescent="0.2">
      <c r="A2307" s="420">
        <v>45888</v>
      </c>
      <c r="B2307" t="s">
        <v>2333</v>
      </c>
      <c r="C2307" t="s">
        <v>5175</v>
      </c>
      <c r="D2307" t="s">
        <v>5187</v>
      </c>
      <c r="E2307" t="s">
        <v>5188</v>
      </c>
      <c r="F2307">
        <v>4.99</v>
      </c>
      <c r="J2307" t="s">
        <v>2509</v>
      </c>
    </row>
    <row r="2308" spans="1:10" ht="15" customHeight="1" x14ac:dyDescent="0.2">
      <c r="A2308" s="420">
        <v>45913</v>
      </c>
      <c r="B2308" t="s">
        <v>2532</v>
      </c>
      <c r="C2308" t="s">
        <v>5175</v>
      </c>
      <c r="D2308" t="s">
        <v>5189</v>
      </c>
      <c r="E2308" t="s">
        <v>1687</v>
      </c>
      <c r="G2308">
        <v>4.99</v>
      </c>
      <c r="I2308">
        <v>4.99</v>
      </c>
      <c r="J2308" t="s">
        <v>2585</v>
      </c>
    </row>
    <row r="2309" spans="1:10" ht="15" customHeight="1" x14ac:dyDescent="0.2">
      <c r="A2309" s="420">
        <v>45919</v>
      </c>
      <c r="B2309" t="s">
        <v>2333</v>
      </c>
      <c r="C2309" t="s">
        <v>5175</v>
      </c>
      <c r="D2309" t="s">
        <v>5190</v>
      </c>
      <c r="E2309" t="s">
        <v>5191</v>
      </c>
      <c r="F2309">
        <v>4.99</v>
      </c>
      <c r="J2309" t="s">
        <v>2513</v>
      </c>
    </row>
    <row r="2310" spans="1:10" ht="15" customHeight="1" x14ac:dyDescent="0.2">
      <c r="A2310" s="420">
        <v>45943</v>
      </c>
      <c r="B2310" t="s">
        <v>2532</v>
      </c>
      <c r="C2310" t="s">
        <v>5175</v>
      </c>
      <c r="D2310" t="s">
        <v>5192</v>
      </c>
      <c r="E2310" t="s">
        <v>1696</v>
      </c>
      <c r="G2310">
        <v>4.99</v>
      </c>
      <c r="I2310">
        <v>4.99</v>
      </c>
      <c r="J2310" t="s">
        <v>2513</v>
      </c>
    </row>
    <row r="2311" spans="1:10" ht="15" customHeight="1" x14ac:dyDescent="0.2">
      <c r="A2311" s="420">
        <v>45950</v>
      </c>
      <c r="B2311" t="s">
        <v>2333</v>
      </c>
      <c r="C2311" t="s">
        <v>5175</v>
      </c>
      <c r="D2311" t="s">
        <v>5193</v>
      </c>
      <c r="E2311" t="s">
        <v>5194</v>
      </c>
      <c r="F2311">
        <v>4.99</v>
      </c>
      <c r="J2311" t="s">
        <v>2585</v>
      </c>
    </row>
    <row r="2312" spans="1:10" ht="15" customHeight="1" x14ac:dyDescent="0.2">
      <c r="A2312" s="420">
        <v>45974</v>
      </c>
      <c r="B2312" t="s">
        <v>2532</v>
      </c>
      <c r="C2312" t="s">
        <v>5175</v>
      </c>
      <c r="D2312" t="s">
        <v>5195</v>
      </c>
      <c r="E2312" t="s">
        <v>1711</v>
      </c>
      <c r="G2312">
        <v>4.99</v>
      </c>
      <c r="I2312">
        <v>4.99</v>
      </c>
      <c r="J2312" t="s">
        <v>2586</v>
      </c>
    </row>
    <row r="2313" spans="1:10" ht="15" customHeight="1" x14ac:dyDescent="0.2">
      <c r="A2313" s="420">
        <v>45980</v>
      </c>
      <c r="B2313" t="s">
        <v>2333</v>
      </c>
      <c r="C2313" t="s">
        <v>5175</v>
      </c>
      <c r="D2313" t="s">
        <v>5196</v>
      </c>
      <c r="E2313" t="s">
        <v>5197</v>
      </c>
      <c r="F2313">
        <v>4.99</v>
      </c>
      <c r="J2313" t="s">
        <v>2586</v>
      </c>
    </row>
    <row r="2314" spans="1:10" ht="15" customHeight="1" x14ac:dyDescent="0.2">
      <c r="A2314" s="420">
        <v>46004</v>
      </c>
      <c r="B2314" t="s">
        <v>2532</v>
      </c>
      <c r="C2314" t="s">
        <v>5175</v>
      </c>
      <c r="D2314" t="s">
        <v>5198</v>
      </c>
      <c r="E2314" t="s">
        <v>1720</v>
      </c>
      <c r="G2314">
        <v>4.99</v>
      </c>
      <c r="I2314">
        <v>4.99</v>
      </c>
      <c r="J2314" t="s">
        <v>2587</v>
      </c>
    </row>
    <row r="2315" spans="1:10" ht="15" customHeight="1" x14ac:dyDescent="0.2">
      <c r="A2315" s="420">
        <v>46010</v>
      </c>
      <c r="B2315" t="s">
        <v>2333</v>
      </c>
      <c r="C2315" t="s">
        <v>5175</v>
      </c>
      <c r="D2315" t="s">
        <v>5199</v>
      </c>
      <c r="E2315" t="s">
        <v>5200</v>
      </c>
      <c r="F2315">
        <v>4.99</v>
      </c>
      <c r="J2315" t="s">
        <v>2587</v>
      </c>
    </row>
    <row r="2316" spans="1:10" ht="15" customHeight="1" x14ac:dyDescent="0.2">
      <c r="A2316" t="s">
        <v>5175</v>
      </c>
      <c r="E2316" t="s">
        <v>349</v>
      </c>
      <c r="F2316">
        <v>44.93</v>
      </c>
      <c r="G2316">
        <v>44.93</v>
      </c>
    </row>
    <row r="2318" spans="1:10" ht="15" customHeight="1" x14ac:dyDescent="0.2">
      <c r="A2318" t="s">
        <v>5201</v>
      </c>
      <c r="B2318" t="s">
        <v>5202</v>
      </c>
      <c r="F2318" t="s">
        <v>2430</v>
      </c>
      <c r="G2318" t="s">
        <v>2431</v>
      </c>
      <c r="H2318" t="s">
        <v>2432</v>
      </c>
      <c r="I2318" t="s">
        <v>2433</v>
      </c>
      <c r="J2318" t="s">
        <v>2434</v>
      </c>
    </row>
    <row r="2319" spans="1:10" ht="15" customHeight="1" x14ac:dyDescent="0.2">
      <c r="A2319" s="420">
        <v>45664</v>
      </c>
      <c r="B2319" t="s">
        <v>2333</v>
      </c>
      <c r="C2319" t="s">
        <v>5201</v>
      </c>
      <c r="D2319" t="s">
        <v>5203</v>
      </c>
      <c r="E2319" t="s">
        <v>5204</v>
      </c>
      <c r="F2319">
        <v>129.44999999999999</v>
      </c>
      <c r="H2319">
        <v>129.44999999999999</v>
      </c>
      <c r="J2319" t="s">
        <v>2511</v>
      </c>
    </row>
    <row r="2320" spans="1:10" ht="15" customHeight="1" x14ac:dyDescent="0.2">
      <c r="A2320" s="420">
        <v>45674</v>
      </c>
      <c r="B2320" t="s">
        <v>2547</v>
      </c>
      <c r="C2320" t="s">
        <v>5201</v>
      </c>
      <c r="D2320" t="s">
        <v>5205</v>
      </c>
      <c r="E2320" t="s">
        <v>1752</v>
      </c>
      <c r="G2320">
        <v>129.44999999999999</v>
      </c>
      <c r="J2320" t="s">
        <v>2511</v>
      </c>
    </row>
    <row r="2321" spans="1:10" ht="15" customHeight="1" x14ac:dyDescent="0.2">
      <c r="A2321" s="420">
        <v>45772</v>
      </c>
      <c r="B2321" t="s">
        <v>2333</v>
      </c>
      <c r="C2321" t="s">
        <v>5201</v>
      </c>
      <c r="D2321" t="s">
        <v>5206</v>
      </c>
      <c r="E2321" t="s">
        <v>5204</v>
      </c>
      <c r="F2321">
        <v>500.9</v>
      </c>
      <c r="H2321">
        <v>500.9</v>
      </c>
      <c r="J2321" t="s">
        <v>2509</v>
      </c>
    </row>
    <row r="2322" spans="1:10" ht="15" customHeight="1" x14ac:dyDescent="0.2">
      <c r="A2322" s="420">
        <v>45786</v>
      </c>
      <c r="B2322" t="s">
        <v>2547</v>
      </c>
      <c r="C2322" t="s">
        <v>5201</v>
      </c>
      <c r="D2322" t="s">
        <v>2548</v>
      </c>
      <c r="E2322" t="s">
        <v>2549</v>
      </c>
      <c r="G2322">
        <v>500.9</v>
      </c>
      <c r="J2322" t="s">
        <v>2509</v>
      </c>
    </row>
    <row r="2323" spans="1:10" ht="15" customHeight="1" x14ac:dyDescent="0.2">
      <c r="A2323" s="420">
        <v>45839</v>
      </c>
      <c r="B2323" t="s">
        <v>2517</v>
      </c>
      <c r="C2323" t="s">
        <v>5201</v>
      </c>
      <c r="D2323" t="s">
        <v>5205</v>
      </c>
      <c r="E2323" t="s">
        <v>516</v>
      </c>
      <c r="F2323">
        <v>129.44999999999999</v>
      </c>
      <c r="H2323">
        <v>129.44999999999999</v>
      </c>
      <c r="J2323" t="s">
        <v>2513</v>
      </c>
    </row>
    <row r="2324" spans="1:10" ht="15" customHeight="1" x14ac:dyDescent="0.2">
      <c r="A2324" s="420">
        <v>45839</v>
      </c>
      <c r="B2324" t="s">
        <v>2547</v>
      </c>
      <c r="C2324" t="s">
        <v>5201</v>
      </c>
      <c r="D2324" t="s">
        <v>5207</v>
      </c>
      <c r="E2324" t="s">
        <v>1752</v>
      </c>
      <c r="G2324">
        <v>129.44999999999999</v>
      </c>
      <c r="J2324" t="s">
        <v>2513</v>
      </c>
    </row>
    <row r="2325" spans="1:10" ht="15" customHeight="1" x14ac:dyDescent="0.2">
      <c r="A2325" t="s">
        <v>5201</v>
      </c>
      <c r="E2325" t="s">
        <v>349</v>
      </c>
      <c r="F2325">
        <v>759.8</v>
      </c>
      <c r="G2325">
        <v>759.8</v>
      </c>
    </row>
    <row r="2327" spans="1:10" ht="15" customHeight="1" x14ac:dyDescent="0.2">
      <c r="A2327" t="s">
        <v>5208</v>
      </c>
      <c r="B2327" t="s">
        <v>5209</v>
      </c>
      <c r="F2327" t="s">
        <v>2430</v>
      </c>
      <c r="G2327" t="s">
        <v>2431</v>
      </c>
      <c r="H2327" t="s">
        <v>2432</v>
      </c>
      <c r="I2327" t="s">
        <v>2433</v>
      </c>
      <c r="J2327" t="s">
        <v>2434</v>
      </c>
    </row>
    <row r="2328" spans="1:10" ht="15" customHeight="1" x14ac:dyDescent="0.2">
      <c r="A2328" s="420">
        <v>45678</v>
      </c>
      <c r="B2328" t="s">
        <v>2547</v>
      </c>
      <c r="C2328" t="s">
        <v>5208</v>
      </c>
      <c r="D2328" t="s">
        <v>5210</v>
      </c>
      <c r="E2328" t="s">
        <v>1731</v>
      </c>
      <c r="G2328">
        <v>190</v>
      </c>
      <c r="I2328">
        <v>190</v>
      </c>
      <c r="J2328" t="s">
        <v>2511</v>
      </c>
    </row>
    <row r="2329" spans="1:10" ht="15" customHeight="1" x14ac:dyDescent="0.2">
      <c r="A2329" s="420">
        <v>45679</v>
      </c>
      <c r="B2329" t="s">
        <v>2333</v>
      </c>
      <c r="C2329" t="s">
        <v>5208</v>
      </c>
      <c r="D2329" t="s">
        <v>5211</v>
      </c>
      <c r="E2329" t="s">
        <v>5212</v>
      </c>
      <c r="F2329">
        <v>190</v>
      </c>
      <c r="J2329" t="s">
        <v>2511</v>
      </c>
    </row>
    <row r="2330" spans="1:10" ht="15" customHeight="1" x14ac:dyDescent="0.2">
      <c r="A2330" t="s">
        <v>5208</v>
      </c>
      <c r="E2330" t="s">
        <v>349</v>
      </c>
      <c r="F2330">
        <v>190</v>
      </c>
      <c r="G2330">
        <v>190</v>
      </c>
    </row>
    <row r="2332" spans="1:10" ht="15" customHeight="1" x14ac:dyDescent="0.2">
      <c r="A2332" t="s">
        <v>5213</v>
      </c>
      <c r="B2332" t="s">
        <v>5214</v>
      </c>
      <c r="F2332" t="s">
        <v>2430</v>
      </c>
      <c r="G2332" t="s">
        <v>2431</v>
      </c>
      <c r="H2332" t="s">
        <v>2432</v>
      </c>
      <c r="I2332" t="s">
        <v>2433</v>
      </c>
      <c r="J2332" t="s">
        <v>2434</v>
      </c>
    </row>
    <row r="2333" spans="1:10" ht="15" customHeight="1" x14ac:dyDescent="0.2">
      <c r="A2333" s="420">
        <v>45816</v>
      </c>
      <c r="B2333" t="s">
        <v>2532</v>
      </c>
      <c r="C2333" t="s">
        <v>5213</v>
      </c>
      <c r="D2333" t="s">
        <v>5215</v>
      </c>
      <c r="E2333" t="s">
        <v>1508</v>
      </c>
      <c r="G2333">
        <v>236</v>
      </c>
      <c r="I2333">
        <v>236</v>
      </c>
      <c r="J2333" t="s">
        <v>2511</v>
      </c>
    </row>
    <row r="2334" spans="1:10" ht="15" customHeight="1" x14ac:dyDescent="0.2">
      <c r="A2334" s="420">
        <v>45818</v>
      </c>
      <c r="B2334" t="s">
        <v>2333</v>
      </c>
      <c r="C2334" t="s">
        <v>5213</v>
      </c>
      <c r="D2334" t="s">
        <v>5216</v>
      </c>
      <c r="E2334" t="s">
        <v>5217</v>
      </c>
      <c r="F2334">
        <v>236</v>
      </c>
      <c r="J2334" t="s">
        <v>2511</v>
      </c>
    </row>
    <row r="2335" spans="1:10" ht="15" customHeight="1" x14ac:dyDescent="0.2">
      <c r="A2335" s="420">
        <v>45841</v>
      </c>
      <c r="B2335" t="s">
        <v>2532</v>
      </c>
      <c r="C2335" t="s">
        <v>5213</v>
      </c>
      <c r="D2335" t="s">
        <v>5218</v>
      </c>
      <c r="E2335" t="s">
        <v>1529</v>
      </c>
      <c r="G2335">
        <v>316</v>
      </c>
      <c r="I2335">
        <v>316</v>
      </c>
      <c r="J2335" t="s">
        <v>2509</v>
      </c>
    </row>
    <row r="2336" spans="1:10" ht="15" customHeight="1" x14ac:dyDescent="0.2">
      <c r="A2336" s="420">
        <v>45842</v>
      </c>
      <c r="B2336" t="s">
        <v>2333</v>
      </c>
      <c r="C2336" t="s">
        <v>5213</v>
      </c>
      <c r="D2336" t="s">
        <v>5219</v>
      </c>
      <c r="E2336" t="s">
        <v>5217</v>
      </c>
      <c r="F2336">
        <v>316</v>
      </c>
      <c r="J2336" t="s">
        <v>2509</v>
      </c>
    </row>
    <row r="2337" spans="1:10" ht="15" customHeight="1" x14ac:dyDescent="0.2">
      <c r="A2337" t="s">
        <v>5213</v>
      </c>
      <c r="E2337" t="s">
        <v>349</v>
      </c>
      <c r="F2337">
        <v>552</v>
      </c>
      <c r="G2337">
        <v>552</v>
      </c>
    </row>
    <row r="2339" spans="1:10" ht="15" customHeight="1" x14ac:dyDescent="0.2">
      <c r="A2339" t="s">
        <v>5220</v>
      </c>
      <c r="B2339" t="s">
        <v>5221</v>
      </c>
      <c r="F2339" t="s">
        <v>2430</v>
      </c>
      <c r="G2339" t="s">
        <v>2431</v>
      </c>
      <c r="H2339" t="s">
        <v>2432</v>
      </c>
      <c r="I2339" t="s">
        <v>2433</v>
      </c>
      <c r="J2339" t="s">
        <v>2434</v>
      </c>
    </row>
    <row r="2340" spans="1:10" ht="15" customHeight="1" x14ac:dyDescent="0.2">
      <c r="A2340" s="420">
        <v>45930</v>
      </c>
      <c r="B2340" t="s">
        <v>2532</v>
      </c>
      <c r="C2340" t="s">
        <v>5220</v>
      </c>
      <c r="D2340" t="s">
        <v>5222</v>
      </c>
      <c r="E2340" t="s">
        <v>5223</v>
      </c>
      <c r="G2340">
        <v>120</v>
      </c>
      <c r="I2340">
        <v>120</v>
      </c>
      <c r="J2340" t="s">
        <v>2511</v>
      </c>
    </row>
    <row r="2341" spans="1:10" ht="15" customHeight="1" x14ac:dyDescent="0.2">
      <c r="A2341" s="420">
        <v>45932</v>
      </c>
      <c r="B2341" t="s">
        <v>2333</v>
      </c>
      <c r="C2341" t="s">
        <v>5220</v>
      </c>
      <c r="D2341" t="s">
        <v>5224</v>
      </c>
      <c r="E2341" t="s">
        <v>5225</v>
      </c>
      <c r="F2341">
        <v>120</v>
      </c>
      <c r="J2341" t="s">
        <v>2511</v>
      </c>
    </row>
    <row r="2342" spans="1:10" ht="15" customHeight="1" x14ac:dyDescent="0.2">
      <c r="A2342" t="s">
        <v>5220</v>
      </c>
      <c r="E2342" t="s">
        <v>349</v>
      </c>
      <c r="F2342">
        <v>120</v>
      </c>
      <c r="G2342">
        <v>120</v>
      </c>
    </row>
    <row r="2344" spans="1:10" ht="15" customHeight="1" x14ac:dyDescent="0.2">
      <c r="A2344" t="s">
        <v>5226</v>
      </c>
      <c r="B2344" t="s">
        <v>5227</v>
      </c>
      <c r="F2344" t="s">
        <v>2430</v>
      </c>
      <c r="G2344" t="s">
        <v>2431</v>
      </c>
      <c r="H2344" t="s">
        <v>2432</v>
      </c>
      <c r="I2344" t="s">
        <v>2433</v>
      </c>
      <c r="J2344" t="s">
        <v>2434</v>
      </c>
    </row>
    <row r="2345" spans="1:10" ht="15" customHeight="1" x14ac:dyDescent="0.2">
      <c r="A2345" s="420">
        <v>45930</v>
      </c>
      <c r="B2345" t="s">
        <v>2547</v>
      </c>
      <c r="C2345" t="s">
        <v>5226</v>
      </c>
      <c r="D2345" t="s">
        <v>5228</v>
      </c>
      <c r="E2345" t="s">
        <v>5229</v>
      </c>
      <c r="G2345">
        <v>150</v>
      </c>
      <c r="I2345">
        <v>150</v>
      </c>
      <c r="J2345" t="s">
        <v>2511</v>
      </c>
    </row>
    <row r="2346" spans="1:10" ht="15" customHeight="1" x14ac:dyDescent="0.2">
      <c r="A2346" s="420">
        <v>45931</v>
      </c>
      <c r="B2346" t="s">
        <v>2333</v>
      </c>
      <c r="C2346" t="s">
        <v>5226</v>
      </c>
      <c r="D2346" t="s">
        <v>5230</v>
      </c>
      <c r="E2346" t="s">
        <v>5231</v>
      </c>
      <c r="F2346">
        <v>150</v>
      </c>
      <c r="J2346" t="s">
        <v>2511</v>
      </c>
    </row>
    <row r="2347" spans="1:10" ht="15" customHeight="1" x14ac:dyDescent="0.2">
      <c r="A2347" t="s">
        <v>5226</v>
      </c>
      <c r="E2347" t="s">
        <v>349</v>
      </c>
      <c r="F2347">
        <v>150</v>
      </c>
      <c r="G2347">
        <v>150</v>
      </c>
    </row>
    <row r="2349" spans="1:10" ht="15" customHeight="1" x14ac:dyDescent="0.2">
      <c r="A2349" t="s">
        <v>5232</v>
      </c>
      <c r="B2349" t="s">
        <v>5233</v>
      </c>
      <c r="F2349" t="s">
        <v>2430</v>
      </c>
      <c r="G2349" t="s">
        <v>2431</v>
      </c>
      <c r="H2349" t="s">
        <v>2432</v>
      </c>
      <c r="I2349" t="s">
        <v>2433</v>
      </c>
      <c r="J2349" t="s">
        <v>2434</v>
      </c>
    </row>
    <row r="2350" spans="1:10" ht="15" customHeight="1" x14ac:dyDescent="0.2">
      <c r="A2350" s="420">
        <v>45811</v>
      </c>
      <c r="B2350" t="s">
        <v>2532</v>
      </c>
      <c r="C2350" t="s">
        <v>5232</v>
      </c>
      <c r="D2350" t="s">
        <v>5234</v>
      </c>
      <c r="E2350" t="s">
        <v>1867</v>
      </c>
      <c r="G2350">
        <v>16.2</v>
      </c>
      <c r="I2350">
        <v>16.2</v>
      </c>
      <c r="J2350" t="s">
        <v>2511</v>
      </c>
    </row>
    <row r="2351" spans="1:10" ht="15" customHeight="1" x14ac:dyDescent="0.2">
      <c r="A2351" s="420">
        <v>45812</v>
      </c>
      <c r="B2351" t="s">
        <v>2333</v>
      </c>
      <c r="C2351" t="s">
        <v>5232</v>
      </c>
      <c r="D2351" t="s">
        <v>5235</v>
      </c>
      <c r="E2351" t="s">
        <v>5236</v>
      </c>
      <c r="F2351">
        <v>16.2</v>
      </c>
      <c r="J2351" t="s">
        <v>2511</v>
      </c>
    </row>
    <row r="2352" spans="1:10" ht="15" customHeight="1" x14ac:dyDescent="0.2">
      <c r="A2352" t="s">
        <v>5232</v>
      </c>
      <c r="E2352" t="s">
        <v>349</v>
      </c>
      <c r="F2352">
        <v>16.2</v>
      </c>
      <c r="G2352">
        <v>16.2</v>
      </c>
    </row>
    <row r="2354" spans="1:10" ht="15" customHeight="1" x14ac:dyDescent="0.2">
      <c r="A2354" t="s">
        <v>5237</v>
      </c>
      <c r="B2354" t="s">
        <v>5238</v>
      </c>
      <c r="F2354" t="s">
        <v>2430</v>
      </c>
      <c r="G2354" t="s">
        <v>2431</v>
      </c>
      <c r="H2354" t="s">
        <v>2432</v>
      </c>
      <c r="I2354" t="s">
        <v>2433</v>
      </c>
      <c r="J2354" t="s">
        <v>2434</v>
      </c>
    </row>
    <row r="2355" spans="1:10" ht="15" customHeight="1" x14ac:dyDescent="0.2">
      <c r="A2355" s="420">
        <v>45722</v>
      </c>
      <c r="B2355" t="s">
        <v>2532</v>
      </c>
      <c r="C2355" t="s">
        <v>5237</v>
      </c>
      <c r="D2355" t="s">
        <v>5239</v>
      </c>
      <c r="E2355" t="s">
        <v>1789</v>
      </c>
      <c r="G2355">
        <v>85.01</v>
      </c>
      <c r="I2355">
        <v>85.01</v>
      </c>
      <c r="J2355" t="s">
        <v>2511</v>
      </c>
    </row>
    <row r="2356" spans="1:10" ht="15" customHeight="1" x14ac:dyDescent="0.2">
      <c r="A2356" s="420">
        <v>45723</v>
      </c>
      <c r="B2356" t="s">
        <v>2333</v>
      </c>
      <c r="C2356" t="s">
        <v>5237</v>
      </c>
      <c r="D2356" t="s">
        <v>5240</v>
      </c>
      <c r="E2356" t="s">
        <v>5241</v>
      </c>
      <c r="F2356">
        <v>85.01</v>
      </c>
      <c r="J2356" t="s">
        <v>2511</v>
      </c>
    </row>
    <row r="2357" spans="1:10" ht="15" customHeight="1" x14ac:dyDescent="0.2">
      <c r="A2357" s="420">
        <v>45867</v>
      </c>
      <c r="B2357" t="s">
        <v>2333</v>
      </c>
      <c r="C2357" t="s">
        <v>5237</v>
      </c>
      <c r="D2357" t="s">
        <v>5242</v>
      </c>
      <c r="E2357" t="s">
        <v>5243</v>
      </c>
      <c r="F2357">
        <v>62</v>
      </c>
      <c r="H2357">
        <v>62</v>
      </c>
      <c r="J2357" t="s">
        <v>2585</v>
      </c>
    </row>
    <row r="2358" spans="1:10" ht="15" customHeight="1" x14ac:dyDescent="0.2">
      <c r="A2358" s="420">
        <v>45891</v>
      </c>
      <c r="B2358" t="s">
        <v>2532</v>
      </c>
      <c r="C2358" t="s">
        <v>5237</v>
      </c>
      <c r="D2358" t="s">
        <v>5244</v>
      </c>
      <c r="E2358" t="s">
        <v>1920</v>
      </c>
      <c r="G2358">
        <v>35.01</v>
      </c>
      <c r="H2358">
        <v>26.99</v>
      </c>
      <c r="J2358" t="s">
        <v>2509</v>
      </c>
    </row>
    <row r="2359" spans="1:10" ht="15" customHeight="1" x14ac:dyDescent="0.2">
      <c r="A2359" s="420">
        <v>45894</v>
      </c>
      <c r="B2359" t="s">
        <v>2333</v>
      </c>
      <c r="C2359" t="s">
        <v>5237</v>
      </c>
      <c r="D2359" t="s">
        <v>5245</v>
      </c>
      <c r="E2359" t="s">
        <v>5241</v>
      </c>
      <c r="F2359">
        <v>35.01</v>
      </c>
      <c r="H2359">
        <v>62</v>
      </c>
      <c r="J2359" t="s">
        <v>2509</v>
      </c>
    </row>
    <row r="2360" spans="1:10" ht="15" customHeight="1" x14ac:dyDescent="0.2">
      <c r="A2360" s="420">
        <v>45908</v>
      </c>
      <c r="B2360" t="s">
        <v>2532</v>
      </c>
      <c r="C2360" t="s">
        <v>5237</v>
      </c>
      <c r="D2360" t="s">
        <v>5246</v>
      </c>
      <c r="E2360" t="s">
        <v>1279</v>
      </c>
      <c r="G2360">
        <v>62</v>
      </c>
      <c r="J2360" t="s">
        <v>2585</v>
      </c>
    </row>
    <row r="2361" spans="1:10" ht="15" customHeight="1" x14ac:dyDescent="0.2">
      <c r="A2361" s="420">
        <v>45917</v>
      </c>
      <c r="B2361" t="s">
        <v>2333</v>
      </c>
      <c r="C2361" t="s">
        <v>5237</v>
      </c>
      <c r="D2361" t="s">
        <v>5247</v>
      </c>
      <c r="E2361" t="s">
        <v>5243</v>
      </c>
      <c r="F2361">
        <v>44</v>
      </c>
      <c r="H2361">
        <v>44</v>
      </c>
      <c r="J2361" t="s">
        <v>2513</v>
      </c>
    </row>
    <row r="2362" spans="1:10" ht="15" customHeight="1" x14ac:dyDescent="0.2">
      <c r="A2362" s="420">
        <v>45917</v>
      </c>
      <c r="B2362" t="s">
        <v>2532</v>
      </c>
      <c r="C2362" t="s">
        <v>5237</v>
      </c>
      <c r="D2362" t="s">
        <v>5248</v>
      </c>
      <c r="E2362" t="s">
        <v>1279</v>
      </c>
      <c r="G2362">
        <v>44</v>
      </c>
      <c r="J2362" t="s">
        <v>2513</v>
      </c>
    </row>
    <row r="2363" spans="1:10" ht="15" customHeight="1" x14ac:dyDescent="0.2">
      <c r="A2363" s="420">
        <v>45945</v>
      </c>
      <c r="B2363" t="s">
        <v>2532</v>
      </c>
      <c r="C2363" t="s">
        <v>5237</v>
      </c>
      <c r="D2363" t="s">
        <v>5249</v>
      </c>
      <c r="E2363" t="s">
        <v>1956</v>
      </c>
      <c r="G2363">
        <v>79.38</v>
      </c>
      <c r="I2363">
        <v>79.38</v>
      </c>
      <c r="J2363" t="s">
        <v>2587</v>
      </c>
    </row>
    <row r="2364" spans="1:10" ht="15" customHeight="1" x14ac:dyDescent="0.2">
      <c r="A2364" s="420">
        <v>45966</v>
      </c>
      <c r="B2364" t="s">
        <v>2333</v>
      </c>
      <c r="C2364" t="s">
        <v>5237</v>
      </c>
      <c r="D2364" t="s">
        <v>3825</v>
      </c>
      <c r="E2364" t="s">
        <v>3826</v>
      </c>
      <c r="F2364">
        <v>79.38</v>
      </c>
      <c r="J2364" t="s">
        <v>2587</v>
      </c>
    </row>
    <row r="2365" spans="1:10" ht="15" customHeight="1" x14ac:dyDescent="0.2">
      <c r="A2365" s="420">
        <v>46009</v>
      </c>
      <c r="B2365" t="s">
        <v>2532</v>
      </c>
      <c r="C2365" t="s">
        <v>5237</v>
      </c>
      <c r="D2365" t="s">
        <v>5250</v>
      </c>
      <c r="E2365" t="s">
        <v>5251</v>
      </c>
      <c r="G2365">
        <v>100.67</v>
      </c>
      <c r="I2365">
        <v>100.67</v>
      </c>
      <c r="J2365" t="s">
        <v>2586</v>
      </c>
    </row>
    <row r="2366" spans="1:10" ht="15" customHeight="1" x14ac:dyDescent="0.2">
      <c r="A2366" s="420">
        <v>46010</v>
      </c>
      <c r="B2366" t="s">
        <v>2333</v>
      </c>
      <c r="C2366" t="s">
        <v>5237</v>
      </c>
      <c r="D2366" t="s">
        <v>5252</v>
      </c>
      <c r="E2366" t="s">
        <v>5253</v>
      </c>
      <c r="F2366">
        <v>100.67</v>
      </c>
      <c r="J2366" t="s">
        <v>2586</v>
      </c>
    </row>
    <row r="2367" spans="1:10" ht="15" customHeight="1" x14ac:dyDescent="0.2">
      <c r="A2367" t="s">
        <v>5237</v>
      </c>
      <c r="E2367" t="s">
        <v>349</v>
      </c>
      <c r="F2367">
        <v>406.07</v>
      </c>
      <c r="G2367">
        <v>406.07</v>
      </c>
    </row>
    <row r="2369" spans="1:10" ht="15" customHeight="1" x14ac:dyDescent="0.2">
      <c r="A2369" t="s">
        <v>5254</v>
      </c>
      <c r="B2369" t="s">
        <v>5255</v>
      </c>
      <c r="F2369" t="s">
        <v>2430</v>
      </c>
      <c r="G2369" t="s">
        <v>2431</v>
      </c>
      <c r="H2369" t="s">
        <v>2432</v>
      </c>
      <c r="I2369" t="s">
        <v>2433</v>
      </c>
      <c r="J2369" t="s">
        <v>2434</v>
      </c>
    </row>
    <row r="2370" spans="1:10" ht="15" customHeight="1" x14ac:dyDescent="0.2">
      <c r="A2370" s="420">
        <v>45679</v>
      </c>
      <c r="B2370" t="s">
        <v>2532</v>
      </c>
      <c r="C2370" t="s">
        <v>5254</v>
      </c>
      <c r="D2370" t="s">
        <v>5256</v>
      </c>
      <c r="E2370" t="s">
        <v>1757</v>
      </c>
      <c r="G2370">
        <v>21.7</v>
      </c>
      <c r="I2370">
        <v>21.7</v>
      </c>
      <c r="J2370" t="s">
        <v>2511</v>
      </c>
    </row>
    <row r="2371" spans="1:10" ht="15" customHeight="1" x14ac:dyDescent="0.2">
      <c r="A2371" s="420">
        <v>45681</v>
      </c>
      <c r="B2371" t="s">
        <v>2333</v>
      </c>
      <c r="C2371" t="s">
        <v>5254</v>
      </c>
      <c r="D2371" t="s">
        <v>5257</v>
      </c>
      <c r="E2371" t="s">
        <v>5258</v>
      </c>
      <c r="F2371">
        <v>21.7</v>
      </c>
      <c r="J2371" t="s">
        <v>2511</v>
      </c>
    </row>
    <row r="2372" spans="1:10" ht="15" customHeight="1" x14ac:dyDescent="0.2">
      <c r="A2372" t="s">
        <v>5254</v>
      </c>
      <c r="E2372" t="s">
        <v>349</v>
      </c>
      <c r="F2372">
        <v>21.7</v>
      </c>
      <c r="G2372">
        <v>21.7</v>
      </c>
    </row>
    <row r="2374" spans="1:10" ht="15" customHeight="1" x14ac:dyDescent="0.2">
      <c r="A2374" t="s">
        <v>5259</v>
      </c>
      <c r="B2374" t="s">
        <v>5260</v>
      </c>
      <c r="F2374" t="s">
        <v>2430</v>
      </c>
      <c r="G2374" t="s">
        <v>2431</v>
      </c>
      <c r="H2374" t="s">
        <v>2432</v>
      </c>
      <c r="I2374" t="s">
        <v>2433</v>
      </c>
      <c r="J2374" t="s">
        <v>2434</v>
      </c>
    </row>
    <row r="2375" spans="1:10" ht="15" customHeight="1" x14ac:dyDescent="0.2">
      <c r="A2375" s="420">
        <v>45793</v>
      </c>
      <c r="B2375" t="s">
        <v>2547</v>
      </c>
      <c r="C2375" t="s">
        <v>5259</v>
      </c>
      <c r="D2375" t="s">
        <v>5261</v>
      </c>
      <c r="E2375" t="s">
        <v>1849</v>
      </c>
      <c r="G2375">
        <v>29</v>
      </c>
      <c r="I2375">
        <v>29</v>
      </c>
      <c r="J2375" t="s">
        <v>2511</v>
      </c>
    </row>
    <row r="2376" spans="1:10" ht="15" customHeight="1" x14ac:dyDescent="0.2">
      <c r="A2376" s="420">
        <v>45796</v>
      </c>
      <c r="B2376" t="s">
        <v>2333</v>
      </c>
      <c r="C2376" t="s">
        <v>5259</v>
      </c>
      <c r="D2376" t="s">
        <v>5262</v>
      </c>
      <c r="E2376" t="s">
        <v>5263</v>
      </c>
      <c r="F2376">
        <v>29</v>
      </c>
      <c r="J2376" t="s">
        <v>2511</v>
      </c>
    </row>
    <row r="2377" spans="1:10" ht="15" customHeight="1" x14ac:dyDescent="0.2">
      <c r="A2377" t="s">
        <v>5259</v>
      </c>
      <c r="E2377" t="s">
        <v>349</v>
      </c>
      <c r="F2377">
        <v>29</v>
      </c>
      <c r="G2377">
        <v>29</v>
      </c>
    </row>
    <row r="2379" spans="1:10" ht="15" customHeight="1" x14ac:dyDescent="0.2">
      <c r="A2379" t="s">
        <v>5264</v>
      </c>
      <c r="B2379" t="s">
        <v>5265</v>
      </c>
      <c r="F2379" t="s">
        <v>2430</v>
      </c>
      <c r="G2379" t="s">
        <v>2431</v>
      </c>
      <c r="H2379" t="s">
        <v>2432</v>
      </c>
      <c r="I2379" t="s">
        <v>2433</v>
      </c>
      <c r="J2379" t="s">
        <v>2434</v>
      </c>
    </row>
    <row r="2380" spans="1:10" ht="15" customHeight="1" x14ac:dyDescent="0.2">
      <c r="A2380" s="420">
        <v>45769</v>
      </c>
      <c r="B2380" t="s">
        <v>2532</v>
      </c>
      <c r="C2380" t="s">
        <v>5264</v>
      </c>
      <c r="D2380" t="s">
        <v>5266</v>
      </c>
      <c r="E2380" t="s">
        <v>1832</v>
      </c>
      <c r="G2380">
        <v>36.799999999999997</v>
      </c>
      <c r="I2380">
        <v>36.799999999999997</v>
      </c>
      <c r="J2380" t="s">
        <v>2511</v>
      </c>
    </row>
    <row r="2381" spans="1:10" ht="15" customHeight="1" x14ac:dyDescent="0.2">
      <c r="A2381" s="420">
        <v>45770</v>
      </c>
      <c r="B2381" t="s">
        <v>2333</v>
      </c>
      <c r="C2381" t="s">
        <v>5264</v>
      </c>
      <c r="D2381" t="s">
        <v>5267</v>
      </c>
      <c r="E2381" t="s">
        <v>5268</v>
      </c>
      <c r="F2381">
        <v>36.799999999999997</v>
      </c>
      <c r="J2381" t="s">
        <v>2511</v>
      </c>
    </row>
    <row r="2382" spans="1:10" ht="15" customHeight="1" x14ac:dyDescent="0.2">
      <c r="A2382" t="s">
        <v>5264</v>
      </c>
      <c r="E2382" t="s">
        <v>349</v>
      </c>
      <c r="F2382">
        <v>36.799999999999997</v>
      </c>
      <c r="G2382">
        <v>36.799999999999997</v>
      </c>
    </row>
    <row r="2384" spans="1:10" ht="15" customHeight="1" x14ac:dyDescent="0.2">
      <c r="A2384" t="s">
        <v>5269</v>
      </c>
      <c r="B2384" t="s">
        <v>5270</v>
      </c>
      <c r="F2384" t="s">
        <v>2430</v>
      </c>
      <c r="G2384" t="s">
        <v>2431</v>
      </c>
      <c r="H2384" t="s">
        <v>2432</v>
      </c>
      <c r="I2384" t="s">
        <v>2433</v>
      </c>
      <c r="J2384" t="s">
        <v>2434</v>
      </c>
    </row>
    <row r="2385" spans="1:10" ht="15" customHeight="1" x14ac:dyDescent="0.2">
      <c r="A2385" s="420">
        <v>45730</v>
      </c>
      <c r="B2385" t="s">
        <v>2547</v>
      </c>
      <c r="C2385" t="s">
        <v>5269</v>
      </c>
      <c r="D2385" t="s">
        <v>3784</v>
      </c>
      <c r="E2385" t="s">
        <v>1795</v>
      </c>
      <c r="G2385">
        <v>24</v>
      </c>
      <c r="I2385">
        <v>24</v>
      </c>
      <c r="J2385" t="s">
        <v>2511</v>
      </c>
    </row>
    <row r="2386" spans="1:10" ht="15" customHeight="1" x14ac:dyDescent="0.2">
      <c r="A2386" s="420">
        <v>45747</v>
      </c>
      <c r="B2386" t="s">
        <v>2333</v>
      </c>
      <c r="C2386" t="s">
        <v>5269</v>
      </c>
      <c r="D2386" t="s">
        <v>3787</v>
      </c>
      <c r="E2386" t="s">
        <v>3788</v>
      </c>
      <c r="F2386">
        <v>24</v>
      </c>
      <c r="J2386" t="s">
        <v>2511</v>
      </c>
    </row>
    <row r="2387" spans="1:10" ht="15" customHeight="1" x14ac:dyDescent="0.2">
      <c r="A2387" t="s">
        <v>5269</v>
      </c>
      <c r="E2387" t="s">
        <v>349</v>
      </c>
      <c r="F2387">
        <v>24</v>
      </c>
      <c r="G2387">
        <v>24</v>
      </c>
    </row>
    <row r="2389" spans="1:10" ht="15" customHeight="1" x14ac:dyDescent="0.2">
      <c r="A2389" t="s">
        <v>5271</v>
      </c>
      <c r="B2389" t="s">
        <v>5272</v>
      </c>
      <c r="F2389" t="s">
        <v>2430</v>
      </c>
      <c r="G2389" t="s">
        <v>2431</v>
      </c>
      <c r="H2389" t="s">
        <v>2432</v>
      </c>
      <c r="I2389" t="s">
        <v>2433</v>
      </c>
      <c r="J2389" t="s">
        <v>2434</v>
      </c>
    </row>
    <row r="2390" spans="1:10" ht="15" customHeight="1" x14ac:dyDescent="0.2">
      <c r="A2390" s="420">
        <v>45658</v>
      </c>
      <c r="B2390" t="s">
        <v>2435</v>
      </c>
      <c r="C2390" t="s">
        <v>5271</v>
      </c>
      <c r="D2390" t="s">
        <v>2436</v>
      </c>
      <c r="E2390" t="s">
        <v>5273</v>
      </c>
      <c r="G2390">
        <v>104.4</v>
      </c>
      <c r="I2390">
        <v>104.4</v>
      </c>
      <c r="J2390" t="s">
        <v>2509</v>
      </c>
    </row>
    <row r="2391" spans="1:10" ht="15" customHeight="1" x14ac:dyDescent="0.2">
      <c r="A2391" s="420">
        <v>45663</v>
      </c>
      <c r="B2391" t="s">
        <v>2333</v>
      </c>
      <c r="C2391" t="s">
        <v>5271</v>
      </c>
      <c r="D2391" t="s">
        <v>5274</v>
      </c>
      <c r="E2391" t="s">
        <v>5275</v>
      </c>
      <c r="F2391">
        <v>104.4</v>
      </c>
      <c r="J2391" t="s">
        <v>2509</v>
      </c>
    </row>
    <row r="2392" spans="1:10" ht="15" customHeight="1" x14ac:dyDescent="0.2">
      <c r="A2392" s="420">
        <v>45677</v>
      </c>
      <c r="B2392" t="s">
        <v>2532</v>
      </c>
      <c r="C2392" t="s">
        <v>5271</v>
      </c>
      <c r="D2392" t="s">
        <v>5276</v>
      </c>
      <c r="E2392" t="s">
        <v>455</v>
      </c>
      <c r="G2392">
        <v>57.06</v>
      </c>
      <c r="I2392">
        <v>57.06</v>
      </c>
      <c r="J2392" t="s">
        <v>2511</v>
      </c>
    </row>
    <row r="2393" spans="1:10" ht="15" customHeight="1" x14ac:dyDescent="0.2">
      <c r="A2393" s="420">
        <v>45692</v>
      </c>
      <c r="B2393" t="s">
        <v>2333</v>
      </c>
      <c r="C2393" t="s">
        <v>5271</v>
      </c>
      <c r="D2393" t="s">
        <v>5277</v>
      </c>
      <c r="E2393" t="s">
        <v>5278</v>
      </c>
      <c r="F2393">
        <v>57.06</v>
      </c>
      <c r="J2393" t="s">
        <v>2511</v>
      </c>
    </row>
    <row r="2394" spans="1:10" ht="15" customHeight="1" x14ac:dyDescent="0.2">
      <c r="A2394" s="420">
        <v>45699</v>
      </c>
      <c r="B2394" t="s">
        <v>2532</v>
      </c>
      <c r="C2394" t="s">
        <v>5271</v>
      </c>
      <c r="D2394" t="s">
        <v>5279</v>
      </c>
      <c r="E2394" t="s">
        <v>1776</v>
      </c>
      <c r="G2394">
        <v>88.01</v>
      </c>
      <c r="I2394">
        <v>88.01</v>
      </c>
      <c r="J2394" t="s">
        <v>2585</v>
      </c>
    </row>
    <row r="2395" spans="1:10" ht="15" customHeight="1" x14ac:dyDescent="0.2">
      <c r="A2395" s="420">
        <v>45700</v>
      </c>
      <c r="B2395" t="s">
        <v>2333</v>
      </c>
      <c r="C2395" t="s">
        <v>5271</v>
      </c>
      <c r="D2395" t="s">
        <v>5280</v>
      </c>
      <c r="E2395" t="s">
        <v>1740</v>
      </c>
      <c r="F2395">
        <v>88.01</v>
      </c>
      <c r="J2395" t="s">
        <v>2585</v>
      </c>
    </row>
    <row r="2396" spans="1:10" ht="15" customHeight="1" x14ac:dyDescent="0.2">
      <c r="A2396" s="420">
        <v>45708</v>
      </c>
      <c r="B2396" t="s">
        <v>2532</v>
      </c>
      <c r="C2396" t="s">
        <v>5271</v>
      </c>
      <c r="D2396" t="s">
        <v>5281</v>
      </c>
      <c r="E2396" t="s">
        <v>458</v>
      </c>
      <c r="G2396">
        <v>79.319999999999993</v>
      </c>
      <c r="I2396">
        <v>79.319999999999993</v>
      </c>
      <c r="J2396" t="s">
        <v>2513</v>
      </c>
    </row>
    <row r="2397" spans="1:10" ht="15" customHeight="1" x14ac:dyDescent="0.2">
      <c r="A2397" s="420">
        <v>45723</v>
      </c>
      <c r="B2397" t="s">
        <v>2333</v>
      </c>
      <c r="C2397" t="s">
        <v>5271</v>
      </c>
      <c r="D2397" t="s">
        <v>5282</v>
      </c>
      <c r="E2397" t="s">
        <v>5283</v>
      </c>
      <c r="F2397">
        <v>79.319999999999993</v>
      </c>
      <c r="J2397" t="s">
        <v>2513</v>
      </c>
    </row>
    <row r="2398" spans="1:10" ht="15" customHeight="1" x14ac:dyDescent="0.2">
      <c r="A2398" s="420">
        <v>45736</v>
      </c>
      <c r="B2398" t="s">
        <v>2532</v>
      </c>
      <c r="C2398" t="s">
        <v>5271</v>
      </c>
      <c r="D2398" t="s">
        <v>5284</v>
      </c>
      <c r="E2398" t="s">
        <v>467</v>
      </c>
      <c r="G2398">
        <v>61.71</v>
      </c>
      <c r="I2398">
        <v>61.71</v>
      </c>
      <c r="J2398" t="s">
        <v>2586</v>
      </c>
    </row>
    <row r="2399" spans="1:10" ht="15" customHeight="1" x14ac:dyDescent="0.2">
      <c r="A2399" s="420">
        <v>45751</v>
      </c>
      <c r="B2399" t="s">
        <v>2333</v>
      </c>
      <c r="C2399" t="s">
        <v>5271</v>
      </c>
      <c r="D2399" t="s">
        <v>5285</v>
      </c>
      <c r="E2399" t="s">
        <v>5286</v>
      </c>
      <c r="F2399">
        <v>61.71</v>
      </c>
      <c r="J2399" t="s">
        <v>2586</v>
      </c>
    </row>
    <row r="2400" spans="1:10" ht="15" customHeight="1" x14ac:dyDescent="0.2">
      <c r="A2400" s="420">
        <v>45767</v>
      </c>
      <c r="B2400" t="s">
        <v>2532</v>
      </c>
      <c r="C2400" t="s">
        <v>5271</v>
      </c>
      <c r="D2400" t="s">
        <v>5287</v>
      </c>
      <c r="E2400" t="s">
        <v>476</v>
      </c>
      <c r="G2400">
        <v>58.77</v>
      </c>
      <c r="I2400">
        <v>58.77</v>
      </c>
      <c r="J2400" t="s">
        <v>2587</v>
      </c>
    </row>
    <row r="2401" spans="1:10" ht="15" customHeight="1" x14ac:dyDescent="0.2">
      <c r="A2401" s="420">
        <v>45782</v>
      </c>
      <c r="B2401" t="s">
        <v>2333</v>
      </c>
      <c r="C2401" t="s">
        <v>5271</v>
      </c>
      <c r="D2401" t="s">
        <v>5288</v>
      </c>
      <c r="E2401" t="s">
        <v>5289</v>
      </c>
      <c r="F2401">
        <v>58.77</v>
      </c>
      <c r="J2401" t="s">
        <v>2587</v>
      </c>
    </row>
    <row r="2402" spans="1:10" ht="15" customHeight="1" x14ac:dyDescent="0.2">
      <c r="A2402" s="420">
        <v>45797</v>
      </c>
      <c r="B2402" t="s">
        <v>2532</v>
      </c>
      <c r="C2402" t="s">
        <v>5271</v>
      </c>
      <c r="D2402" t="s">
        <v>5290</v>
      </c>
      <c r="E2402" t="s">
        <v>490</v>
      </c>
      <c r="G2402">
        <v>53.18</v>
      </c>
      <c r="I2402">
        <v>53.18</v>
      </c>
      <c r="J2402" t="s">
        <v>2603</v>
      </c>
    </row>
    <row r="2403" spans="1:10" ht="15" customHeight="1" x14ac:dyDescent="0.2">
      <c r="A2403" s="420">
        <v>45812</v>
      </c>
      <c r="B2403" t="s">
        <v>2333</v>
      </c>
      <c r="C2403" t="s">
        <v>5271</v>
      </c>
      <c r="D2403" t="s">
        <v>5291</v>
      </c>
      <c r="E2403" t="s">
        <v>5292</v>
      </c>
      <c r="F2403">
        <v>53.18</v>
      </c>
      <c r="J2403" t="s">
        <v>2603</v>
      </c>
    </row>
    <row r="2404" spans="1:10" ht="15" customHeight="1" x14ac:dyDescent="0.2">
      <c r="A2404" s="420">
        <v>45828</v>
      </c>
      <c r="B2404" t="s">
        <v>2532</v>
      </c>
      <c r="C2404" t="s">
        <v>5271</v>
      </c>
      <c r="D2404" t="s">
        <v>5293</v>
      </c>
      <c r="E2404" t="s">
        <v>506</v>
      </c>
      <c r="G2404">
        <v>54.67</v>
      </c>
      <c r="I2404">
        <v>54.67</v>
      </c>
      <c r="J2404" t="s">
        <v>2604</v>
      </c>
    </row>
    <row r="2405" spans="1:10" ht="15" customHeight="1" x14ac:dyDescent="0.2">
      <c r="A2405" s="420">
        <v>45845</v>
      </c>
      <c r="B2405" t="s">
        <v>2333</v>
      </c>
      <c r="C2405" t="s">
        <v>5271</v>
      </c>
      <c r="D2405" t="s">
        <v>5294</v>
      </c>
      <c r="E2405" t="s">
        <v>5295</v>
      </c>
      <c r="F2405">
        <v>54.67</v>
      </c>
      <c r="J2405" t="s">
        <v>2604</v>
      </c>
    </row>
    <row r="2406" spans="1:10" ht="15" customHeight="1" x14ac:dyDescent="0.2">
      <c r="A2406" s="420">
        <v>45858</v>
      </c>
      <c r="B2406" t="s">
        <v>2532</v>
      </c>
      <c r="C2406" t="s">
        <v>5271</v>
      </c>
      <c r="D2406" t="s">
        <v>5296</v>
      </c>
      <c r="E2406" t="s">
        <v>526</v>
      </c>
      <c r="G2406">
        <v>53.94</v>
      </c>
      <c r="I2406">
        <v>53.94</v>
      </c>
      <c r="J2406" t="s">
        <v>2602</v>
      </c>
    </row>
    <row r="2407" spans="1:10" ht="15" customHeight="1" x14ac:dyDescent="0.2">
      <c r="A2407" s="420">
        <v>45889</v>
      </c>
      <c r="B2407" t="s">
        <v>2532</v>
      </c>
      <c r="C2407" t="s">
        <v>5271</v>
      </c>
      <c r="D2407" t="s">
        <v>5297</v>
      </c>
      <c r="E2407" t="s">
        <v>534</v>
      </c>
      <c r="G2407">
        <v>53.23</v>
      </c>
      <c r="I2407">
        <v>107.17</v>
      </c>
      <c r="J2407" t="s">
        <v>2599</v>
      </c>
    </row>
    <row r="2408" spans="1:10" ht="15" customHeight="1" x14ac:dyDescent="0.2">
      <c r="A2408" s="420">
        <v>45904</v>
      </c>
      <c r="B2408" t="s">
        <v>2333</v>
      </c>
      <c r="C2408" t="s">
        <v>5271</v>
      </c>
      <c r="D2408" t="s">
        <v>5298</v>
      </c>
      <c r="E2408" t="s">
        <v>5299</v>
      </c>
      <c r="F2408">
        <v>53.23</v>
      </c>
      <c r="I2408">
        <v>53.94</v>
      </c>
      <c r="J2408" t="s">
        <v>2599</v>
      </c>
    </row>
    <row r="2409" spans="1:10" ht="15" customHeight="1" x14ac:dyDescent="0.2">
      <c r="A2409" s="420">
        <v>45920</v>
      </c>
      <c r="B2409" t="s">
        <v>2532</v>
      </c>
      <c r="C2409" t="s">
        <v>5271</v>
      </c>
      <c r="D2409" t="s">
        <v>5300</v>
      </c>
      <c r="E2409" t="s">
        <v>548</v>
      </c>
      <c r="G2409">
        <v>49.78</v>
      </c>
      <c r="I2409">
        <v>103.72</v>
      </c>
      <c r="J2409" t="s">
        <v>2600</v>
      </c>
    </row>
    <row r="2410" spans="1:10" ht="15" customHeight="1" x14ac:dyDescent="0.2">
      <c r="A2410" s="420">
        <v>45936</v>
      </c>
      <c r="B2410" t="s">
        <v>2333</v>
      </c>
      <c r="C2410" t="s">
        <v>5271</v>
      </c>
      <c r="D2410" t="s">
        <v>5301</v>
      </c>
      <c r="E2410" t="s">
        <v>5302</v>
      </c>
      <c r="F2410">
        <v>49.78</v>
      </c>
      <c r="I2410">
        <v>53.94</v>
      </c>
      <c r="J2410" t="s">
        <v>2600</v>
      </c>
    </row>
    <row r="2411" spans="1:10" ht="15" customHeight="1" x14ac:dyDescent="0.2">
      <c r="A2411" s="420">
        <v>45950</v>
      </c>
      <c r="B2411" t="s">
        <v>2532</v>
      </c>
      <c r="C2411" t="s">
        <v>5271</v>
      </c>
      <c r="D2411" t="s">
        <v>5303</v>
      </c>
      <c r="E2411" t="s">
        <v>562</v>
      </c>
      <c r="G2411">
        <v>58.12</v>
      </c>
      <c r="I2411">
        <v>112.06</v>
      </c>
      <c r="J2411" t="s">
        <v>2601</v>
      </c>
    </row>
    <row r="2412" spans="1:10" ht="15" customHeight="1" x14ac:dyDescent="0.2">
      <c r="A2412" s="420">
        <v>45965</v>
      </c>
      <c r="B2412" t="s">
        <v>2333</v>
      </c>
      <c r="C2412" t="s">
        <v>5271</v>
      </c>
      <c r="D2412" t="s">
        <v>5304</v>
      </c>
      <c r="E2412" t="s">
        <v>5305</v>
      </c>
      <c r="F2412">
        <v>58.12</v>
      </c>
      <c r="I2412">
        <v>53.94</v>
      </c>
      <c r="J2412" t="s">
        <v>2601</v>
      </c>
    </row>
    <row r="2413" spans="1:10" ht="15" customHeight="1" x14ac:dyDescent="0.2">
      <c r="A2413" s="420">
        <v>45981</v>
      </c>
      <c r="B2413" t="s">
        <v>2532</v>
      </c>
      <c r="C2413" t="s">
        <v>5271</v>
      </c>
      <c r="D2413" t="s">
        <v>5306</v>
      </c>
      <c r="E2413" t="s">
        <v>570</v>
      </c>
      <c r="G2413">
        <v>55.66</v>
      </c>
      <c r="I2413">
        <v>109.6</v>
      </c>
      <c r="J2413" t="s">
        <v>2605</v>
      </c>
    </row>
    <row r="2414" spans="1:10" ht="15" customHeight="1" x14ac:dyDescent="0.2">
      <c r="A2414" s="420">
        <v>45987</v>
      </c>
      <c r="B2414" t="s">
        <v>2333</v>
      </c>
      <c r="C2414" t="s">
        <v>5271</v>
      </c>
      <c r="D2414" t="s">
        <v>5307</v>
      </c>
      <c r="E2414" t="s">
        <v>5308</v>
      </c>
      <c r="F2414">
        <v>53.94</v>
      </c>
      <c r="I2414">
        <v>55.66</v>
      </c>
      <c r="J2414" t="s">
        <v>2602</v>
      </c>
    </row>
    <row r="2415" spans="1:10" ht="15" customHeight="1" x14ac:dyDescent="0.2">
      <c r="A2415" s="420">
        <v>45996</v>
      </c>
      <c r="B2415" t="s">
        <v>2333</v>
      </c>
      <c r="C2415" t="s">
        <v>5271</v>
      </c>
      <c r="D2415" t="s">
        <v>5309</v>
      </c>
      <c r="E2415" t="s">
        <v>5310</v>
      </c>
      <c r="F2415">
        <v>55.66</v>
      </c>
      <c r="J2415" t="s">
        <v>2605</v>
      </c>
    </row>
    <row r="2416" spans="1:10" ht="15" customHeight="1" x14ac:dyDescent="0.2">
      <c r="A2416" s="420">
        <v>46011</v>
      </c>
      <c r="B2416" t="s">
        <v>2532</v>
      </c>
      <c r="C2416" t="s">
        <v>5271</v>
      </c>
      <c r="D2416" t="s">
        <v>5311</v>
      </c>
      <c r="E2416" t="s">
        <v>580</v>
      </c>
      <c r="G2416">
        <v>65.05</v>
      </c>
      <c r="I2416">
        <v>65.05</v>
      </c>
      <c r="J2416" t="s">
        <v>2511</v>
      </c>
    </row>
    <row r="2417" spans="1:10" ht="15" customHeight="1" x14ac:dyDescent="0.2">
      <c r="A2417" t="s">
        <v>5271</v>
      </c>
      <c r="E2417" t="s">
        <v>349</v>
      </c>
      <c r="F2417">
        <v>827.85</v>
      </c>
      <c r="G2417">
        <v>892.9</v>
      </c>
      <c r="I2417">
        <v>65.05</v>
      </c>
    </row>
    <row r="2419" spans="1:10" ht="15" customHeight="1" x14ac:dyDescent="0.2">
      <c r="A2419" t="s">
        <v>5312</v>
      </c>
      <c r="B2419" t="s">
        <v>5313</v>
      </c>
      <c r="F2419" t="s">
        <v>2430</v>
      </c>
      <c r="G2419" t="s">
        <v>2431</v>
      </c>
      <c r="H2419" t="s">
        <v>2432</v>
      </c>
      <c r="I2419" t="s">
        <v>2433</v>
      </c>
      <c r="J2419" t="s">
        <v>2434</v>
      </c>
    </row>
    <row r="2420" spans="1:10" ht="15" customHeight="1" x14ac:dyDescent="0.2">
      <c r="A2420" s="420">
        <v>45742</v>
      </c>
      <c r="B2420" t="s">
        <v>2532</v>
      </c>
      <c r="C2420" t="s">
        <v>5312</v>
      </c>
      <c r="D2420" t="s">
        <v>5314</v>
      </c>
      <c r="E2420" t="s">
        <v>1807</v>
      </c>
      <c r="G2420">
        <v>25.01</v>
      </c>
      <c r="I2420">
        <v>25.01</v>
      </c>
      <c r="J2420" t="s">
        <v>2511</v>
      </c>
    </row>
    <row r="2421" spans="1:10" ht="15" customHeight="1" x14ac:dyDescent="0.2">
      <c r="A2421" s="420">
        <v>45743</v>
      </c>
      <c r="B2421" t="s">
        <v>2333</v>
      </c>
      <c r="C2421" t="s">
        <v>5312</v>
      </c>
      <c r="D2421" t="s">
        <v>5315</v>
      </c>
      <c r="E2421" t="s">
        <v>1740</v>
      </c>
      <c r="F2421">
        <v>25.01</v>
      </c>
      <c r="J2421" t="s">
        <v>2511</v>
      </c>
    </row>
    <row r="2422" spans="1:10" ht="15" customHeight="1" x14ac:dyDescent="0.2">
      <c r="A2422" s="420">
        <v>45814</v>
      </c>
      <c r="B2422" t="s">
        <v>2532</v>
      </c>
      <c r="C2422" t="s">
        <v>5312</v>
      </c>
      <c r="D2422" t="s">
        <v>5316</v>
      </c>
      <c r="E2422" t="s">
        <v>1873</v>
      </c>
      <c r="G2422">
        <v>20.68</v>
      </c>
      <c r="I2422">
        <v>20.68</v>
      </c>
      <c r="J2422" t="s">
        <v>2509</v>
      </c>
    </row>
    <row r="2423" spans="1:10" ht="15" customHeight="1" x14ac:dyDescent="0.2">
      <c r="A2423" s="420">
        <v>45818</v>
      </c>
      <c r="B2423" t="s">
        <v>2333</v>
      </c>
      <c r="C2423" t="s">
        <v>5312</v>
      </c>
      <c r="D2423" t="s">
        <v>5317</v>
      </c>
      <c r="E2423" t="s">
        <v>5318</v>
      </c>
      <c r="F2423">
        <v>20.68</v>
      </c>
      <c r="J2423" t="s">
        <v>2509</v>
      </c>
    </row>
    <row r="2424" spans="1:10" ht="15" customHeight="1" x14ac:dyDescent="0.2">
      <c r="A2424" s="420">
        <v>45999</v>
      </c>
      <c r="B2424" t="s">
        <v>2532</v>
      </c>
      <c r="C2424" t="s">
        <v>5312</v>
      </c>
      <c r="D2424" t="s">
        <v>5319</v>
      </c>
      <c r="E2424" t="s">
        <v>5320</v>
      </c>
      <c r="G2424">
        <v>72.010000000000005</v>
      </c>
      <c r="I2424">
        <v>72.010000000000005</v>
      </c>
      <c r="J2424" t="s">
        <v>2513</v>
      </c>
    </row>
    <row r="2425" spans="1:10" ht="15" customHeight="1" x14ac:dyDescent="0.2">
      <c r="A2425" s="420">
        <v>46000</v>
      </c>
      <c r="B2425" t="s">
        <v>2333</v>
      </c>
      <c r="C2425" t="s">
        <v>5312</v>
      </c>
      <c r="D2425" t="s">
        <v>5321</v>
      </c>
      <c r="E2425" t="s">
        <v>1740</v>
      </c>
      <c r="F2425">
        <v>72.010000000000005</v>
      </c>
      <c r="J2425" t="s">
        <v>2513</v>
      </c>
    </row>
    <row r="2426" spans="1:10" ht="15" customHeight="1" x14ac:dyDescent="0.2">
      <c r="A2426" t="s">
        <v>5312</v>
      </c>
      <c r="E2426" t="s">
        <v>349</v>
      </c>
      <c r="F2426">
        <v>117.7</v>
      </c>
      <c r="G2426">
        <v>117.7</v>
      </c>
    </row>
    <row r="2428" spans="1:10" ht="15" customHeight="1" x14ac:dyDescent="0.2">
      <c r="A2428" t="s">
        <v>5322</v>
      </c>
      <c r="B2428" t="s">
        <v>2235</v>
      </c>
      <c r="F2428" t="s">
        <v>2430</v>
      </c>
      <c r="G2428" t="s">
        <v>2431</v>
      </c>
      <c r="H2428" t="s">
        <v>2432</v>
      </c>
      <c r="I2428" t="s">
        <v>2433</v>
      </c>
      <c r="J2428" t="s">
        <v>2434</v>
      </c>
    </row>
    <row r="2429" spans="1:10" ht="15" customHeight="1" x14ac:dyDescent="0.2">
      <c r="A2429" s="420">
        <v>45968</v>
      </c>
      <c r="B2429" t="s">
        <v>2532</v>
      </c>
      <c r="C2429" t="s">
        <v>5322</v>
      </c>
      <c r="D2429" t="s">
        <v>5323</v>
      </c>
      <c r="E2429" t="s">
        <v>1970</v>
      </c>
      <c r="G2429">
        <v>39.950000000000003</v>
      </c>
      <c r="I2429">
        <v>39.950000000000003</v>
      </c>
      <c r="J2429" t="s">
        <v>2511</v>
      </c>
    </row>
    <row r="2430" spans="1:10" ht="15" customHeight="1" x14ac:dyDescent="0.2">
      <c r="A2430" s="420">
        <v>45971</v>
      </c>
      <c r="B2430" t="s">
        <v>2333</v>
      </c>
      <c r="C2430" t="s">
        <v>5322</v>
      </c>
      <c r="D2430" t="s">
        <v>5324</v>
      </c>
      <c r="E2430" t="s">
        <v>1945</v>
      </c>
      <c r="F2430">
        <v>39.950000000000003</v>
      </c>
      <c r="J2430" t="s">
        <v>2511</v>
      </c>
    </row>
    <row r="2431" spans="1:10" ht="15" customHeight="1" x14ac:dyDescent="0.2">
      <c r="A2431" s="420">
        <v>45972</v>
      </c>
      <c r="B2431" t="s">
        <v>2532</v>
      </c>
      <c r="C2431" t="s">
        <v>5322</v>
      </c>
      <c r="D2431" t="s">
        <v>5325</v>
      </c>
      <c r="E2431" t="s">
        <v>1972</v>
      </c>
      <c r="G2431">
        <v>103.85</v>
      </c>
      <c r="I2431">
        <v>103.85</v>
      </c>
      <c r="J2431" t="s">
        <v>2511</v>
      </c>
    </row>
    <row r="2432" spans="1:10" ht="15" customHeight="1" x14ac:dyDescent="0.2">
      <c r="A2432" s="420">
        <v>45973</v>
      </c>
      <c r="B2432" t="s">
        <v>2333</v>
      </c>
      <c r="C2432" t="s">
        <v>5322</v>
      </c>
      <c r="D2432" t="s">
        <v>5326</v>
      </c>
      <c r="E2432" t="s">
        <v>1945</v>
      </c>
      <c r="F2432">
        <v>103.85</v>
      </c>
      <c r="J2432" t="s">
        <v>2511</v>
      </c>
    </row>
    <row r="2433" spans="1:10" ht="15" customHeight="1" x14ac:dyDescent="0.2">
      <c r="A2433" s="420">
        <v>46002</v>
      </c>
      <c r="B2433" t="s">
        <v>2532</v>
      </c>
      <c r="C2433" t="s">
        <v>5322</v>
      </c>
      <c r="D2433" t="s">
        <v>5327</v>
      </c>
      <c r="E2433" t="s">
        <v>1761</v>
      </c>
      <c r="G2433">
        <v>22.1</v>
      </c>
      <c r="I2433">
        <v>22.1</v>
      </c>
      <c r="J2433" t="s">
        <v>2509</v>
      </c>
    </row>
    <row r="2434" spans="1:10" ht="15" customHeight="1" x14ac:dyDescent="0.2">
      <c r="A2434" s="420">
        <v>46002</v>
      </c>
      <c r="B2434" t="s">
        <v>2517</v>
      </c>
      <c r="C2434" t="s">
        <v>5322</v>
      </c>
      <c r="D2434" t="s">
        <v>5328</v>
      </c>
      <c r="E2434" t="s">
        <v>5329</v>
      </c>
      <c r="F2434">
        <v>22.1</v>
      </c>
      <c r="J2434" t="s">
        <v>2509</v>
      </c>
    </row>
    <row r="2435" spans="1:10" ht="15" customHeight="1" x14ac:dyDescent="0.2">
      <c r="A2435" t="s">
        <v>5322</v>
      </c>
      <c r="E2435" t="s">
        <v>349</v>
      </c>
      <c r="F2435">
        <v>165.9</v>
      </c>
      <c r="G2435">
        <v>165.9</v>
      </c>
    </row>
    <row r="2437" spans="1:10" ht="15" customHeight="1" x14ac:dyDescent="0.2">
      <c r="A2437" t="s">
        <v>5330</v>
      </c>
      <c r="B2437" t="s">
        <v>5331</v>
      </c>
      <c r="F2437" t="s">
        <v>2430</v>
      </c>
      <c r="G2437" t="s">
        <v>2431</v>
      </c>
      <c r="H2437" t="s">
        <v>2432</v>
      </c>
      <c r="I2437" t="s">
        <v>2433</v>
      </c>
      <c r="J2437" t="s">
        <v>2434</v>
      </c>
    </row>
    <row r="2438" spans="1:10" ht="15" customHeight="1" x14ac:dyDescent="0.2">
      <c r="A2438" s="420">
        <v>45659</v>
      </c>
      <c r="B2438" t="s">
        <v>2532</v>
      </c>
      <c r="C2438" t="s">
        <v>5330</v>
      </c>
      <c r="D2438" t="s">
        <v>5332</v>
      </c>
      <c r="E2438" t="s">
        <v>1439</v>
      </c>
      <c r="G2438">
        <v>24</v>
      </c>
      <c r="I2438">
        <v>24</v>
      </c>
      <c r="J2438" t="s">
        <v>2511</v>
      </c>
    </row>
    <row r="2439" spans="1:10" ht="15" customHeight="1" x14ac:dyDescent="0.2">
      <c r="A2439" s="420">
        <v>45677</v>
      </c>
      <c r="B2439" t="s">
        <v>2333</v>
      </c>
      <c r="C2439" t="s">
        <v>5330</v>
      </c>
      <c r="D2439" t="s">
        <v>5333</v>
      </c>
      <c r="E2439" t="s">
        <v>5334</v>
      </c>
      <c r="F2439">
        <v>24</v>
      </c>
      <c r="J2439" t="s">
        <v>2511</v>
      </c>
    </row>
    <row r="2440" spans="1:10" ht="15" customHeight="1" x14ac:dyDescent="0.2">
      <c r="A2440" s="420">
        <v>45691</v>
      </c>
      <c r="B2440" t="s">
        <v>2532</v>
      </c>
      <c r="C2440" t="s">
        <v>5330</v>
      </c>
      <c r="D2440" t="s">
        <v>5335</v>
      </c>
      <c r="E2440" t="s">
        <v>1449</v>
      </c>
      <c r="G2440">
        <v>24</v>
      </c>
      <c r="I2440">
        <v>24</v>
      </c>
      <c r="J2440" t="s">
        <v>2509</v>
      </c>
    </row>
    <row r="2441" spans="1:10" ht="15" customHeight="1" x14ac:dyDescent="0.2">
      <c r="A2441" s="420">
        <v>45708</v>
      </c>
      <c r="B2441" t="s">
        <v>2333</v>
      </c>
      <c r="C2441" t="s">
        <v>5330</v>
      </c>
      <c r="D2441" t="s">
        <v>5336</v>
      </c>
      <c r="E2441" t="s">
        <v>5337</v>
      </c>
      <c r="F2441">
        <v>24</v>
      </c>
      <c r="J2441" t="s">
        <v>2509</v>
      </c>
    </row>
    <row r="2442" spans="1:10" ht="15" customHeight="1" x14ac:dyDescent="0.2">
      <c r="A2442" s="420">
        <v>45718</v>
      </c>
      <c r="B2442" t="s">
        <v>2532</v>
      </c>
      <c r="C2442" t="s">
        <v>5330</v>
      </c>
      <c r="D2442" t="s">
        <v>5338</v>
      </c>
      <c r="E2442" t="s">
        <v>1472</v>
      </c>
      <c r="G2442">
        <v>24</v>
      </c>
      <c r="I2442">
        <v>24</v>
      </c>
      <c r="J2442" t="s">
        <v>2513</v>
      </c>
    </row>
    <row r="2443" spans="1:10" ht="15" customHeight="1" x14ac:dyDescent="0.2">
      <c r="A2443" s="420">
        <v>45736</v>
      </c>
      <c r="B2443" t="s">
        <v>2333</v>
      </c>
      <c r="C2443" t="s">
        <v>5330</v>
      </c>
      <c r="D2443" t="s">
        <v>5339</v>
      </c>
      <c r="E2443" t="s">
        <v>5340</v>
      </c>
      <c r="F2443">
        <v>24</v>
      </c>
      <c r="J2443" t="s">
        <v>2513</v>
      </c>
    </row>
    <row r="2444" spans="1:10" ht="15" customHeight="1" x14ac:dyDescent="0.2">
      <c r="A2444" s="420">
        <v>45749</v>
      </c>
      <c r="B2444" t="s">
        <v>2532</v>
      </c>
      <c r="C2444" t="s">
        <v>5330</v>
      </c>
      <c r="D2444" t="s">
        <v>5341</v>
      </c>
      <c r="E2444" t="s">
        <v>1481</v>
      </c>
      <c r="G2444">
        <v>24</v>
      </c>
      <c r="I2444">
        <v>24</v>
      </c>
      <c r="J2444" t="s">
        <v>2585</v>
      </c>
    </row>
    <row r="2445" spans="1:10" ht="15" customHeight="1" x14ac:dyDescent="0.2">
      <c r="A2445" s="420">
        <v>45769</v>
      </c>
      <c r="B2445" t="s">
        <v>2333</v>
      </c>
      <c r="C2445" t="s">
        <v>5330</v>
      </c>
      <c r="D2445" t="s">
        <v>5342</v>
      </c>
      <c r="E2445" t="s">
        <v>5343</v>
      </c>
      <c r="F2445">
        <v>24</v>
      </c>
      <c r="J2445" t="s">
        <v>2585</v>
      </c>
    </row>
    <row r="2446" spans="1:10" ht="15" customHeight="1" x14ac:dyDescent="0.2">
      <c r="A2446" s="420">
        <v>45779</v>
      </c>
      <c r="B2446" t="s">
        <v>2532</v>
      </c>
      <c r="C2446" t="s">
        <v>5330</v>
      </c>
      <c r="D2446" t="s">
        <v>5344</v>
      </c>
      <c r="E2446" t="s">
        <v>1488</v>
      </c>
      <c r="G2446">
        <v>24</v>
      </c>
      <c r="I2446">
        <v>24</v>
      </c>
      <c r="J2446" t="s">
        <v>2586</v>
      </c>
    </row>
    <row r="2447" spans="1:10" ht="15" customHeight="1" x14ac:dyDescent="0.2">
      <c r="A2447" s="420">
        <v>45785</v>
      </c>
      <c r="B2447" t="s">
        <v>2333</v>
      </c>
      <c r="C2447" t="s">
        <v>5330</v>
      </c>
      <c r="D2447" t="s">
        <v>5345</v>
      </c>
      <c r="E2447" t="s">
        <v>5346</v>
      </c>
      <c r="F2447">
        <v>24</v>
      </c>
      <c r="J2447" t="s">
        <v>2586</v>
      </c>
    </row>
    <row r="2448" spans="1:10" ht="15" customHeight="1" x14ac:dyDescent="0.2">
      <c r="A2448" s="420">
        <v>45810</v>
      </c>
      <c r="B2448" t="s">
        <v>2532</v>
      </c>
      <c r="C2448" t="s">
        <v>5330</v>
      </c>
      <c r="D2448" t="s">
        <v>5347</v>
      </c>
      <c r="E2448" t="s">
        <v>1504</v>
      </c>
      <c r="G2448">
        <v>24</v>
      </c>
      <c r="I2448">
        <v>24</v>
      </c>
      <c r="J2448" t="s">
        <v>2587</v>
      </c>
    </row>
    <row r="2449" spans="1:10" ht="15" customHeight="1" x14ac:dyDescent="0.2">
      <c r="A2449" s="420">
        <v>45813</v>
      </c>
      <c r="B2449" t="s">
        <v>2333</v>
      </c>
      <c r="C2449" t="s">
        <v>5330</v>
      </c>
      <c r="D2449" t="s">
        <v>5348</v>
      </c>
      <c r="E2449" t="s">
        <v>5349</v>
      </c>
      <c r="F2449">
        <v>24</v>
      </c>
      <c r="J2449" t="s">
        <v>2587</v>
      </c>
    </row>
    <row r="2450" spans="1:10" ht="15" customHeight="1" x14ac:dyDescent="0.2">
      <c r="A2450" s="420">
        <v>45840</v>
      </c>
      <c r="B2450" t="s">
        <v>2532</v>
      </c>
      <c r="C2450" t="s">
        <v>5330</v>
      </c>
      <c r="D2450" t="s">
        <v>5350</v>
      </c>
      <c r="E2450" t="s">
        <v>1527</v>
      </c>
      <c r="G2450">
        <v>24</v>
      </c>
      <c r="I2450">
        <v>24</v>
      </c>
      <c r="J2450" t="s">
        <v>2603</v>
      </c>
    </row>
    <row r="2451" spans="1:10" ht="15" customHeight="1" x14ac:dyDescent="0.2">
      <c r="A2451" s="420">
        <v>45849</v>
      </c>
      <c r="B2451" t="s">
        <v>2333</v>
      </c>
      <c r="C2451" t="s">
        <v>5330</v>
      </c>
      <c r="D2451" t="s">
        <v>5351</v>
      </c>
      <c r="E2451" t="s">
        <v>5352</v>
      </c>
      <c r="F2451">
        <v>24</v>
      </c>
      <c r="J2451" t="s">
        <v>2603</v>
      </c>
    </row>
    <row r="2452" spans="1:10" ht="15" customHeight="1" x14ac:dyDescent="0.2">
      <c r="A2452" s="420">
        <v>45873</v>
      </c>
      <c r="B2452" t="s">
        <v>2532</v>
      </c>
      <c r="C2452" t="s">
        <v>5330</v>
      </c>
      <c r="D2452" t="s">
        <v>5353</v>
      </c>
      <c r="E2452" t="s">
        <v>1547</v>
      </c>
      <c r="G2452">
        <v>24</v>
      </c>
      <c r="I2452">
        <v>24</v>
      </c>
      <c r="J2452" t="s">
        <v>2604</v>
      </c>
    </row>
    <row r="2453" spans="1:10" ht="15" customHeight="1" x14ac:dyDescent="0.2">
      <c r="A2453" s="420">
        <v>45877</v>
      </c>
      <c r="B2453" t="s">
        <v>2333</v>
      </c>
      <c r="C2453" t="s">
        <v>5330</v>
      </c>
      <c r="D2453" t="s">
        <v>5354</v>
      </c>
      <c r="E2453" t="s">
        <v>5355</v>
      </c>
      <c r="F2453">
        <v>24</v>
      </c>
      <c r="J2453" t="s">
        <v>2604</v>
      </c>
    </row>
    <row r="2454" spans="1:10" ht="15" customHeight="1" x14ac:dyDescent="0.2">
      <c r="A2454" s="420">
        <v>45902</v>
      </c>
      <c r="B2454" t="s">
        <v>2532</v>
      </c>
      <c r="C2454" t="s">
        <v>5330</v>
      </c>
      <c r="D2454" t="s">
        <v>5356</v>
      </c>
      <c r="E2454" t="s">
        <v>1559</v>
      </c>
      <c r="G2454">
        <v>24</v>
      </c>
      <c r="I2454">
        <v>24</v>
      </c>
      <c r="J2454" t="s">
        <v>2600</v>
      </c>
    </row>
    <row r="2455" spans="1:10" ht="15" customHeight="1" x14ac:dyDescent="0.2">
      <c r="A2455" s="420">
        <v>45909</v>
      </c>
      <c r="B2455" t="s">
        <v>2333</v>
      </c>
      <c r="C2455" t="s">
        <v>5330</v>
      </c>
      <c r="D2455" t="s">
        <v>5357</v>
      </c>
      <c r="E2455" t="s">
        <v>5358</v>
      </c>
      <c r="F2455">
        <v>24</v>
      </c>
      <c r="J2455" t="s">
        <v>2600</v>
      </c>
    </row>
    <row r="2456" spans="1:10" ht="15" customHeight="1" x14ac:dyDescent="0.2">
      <c r="A2456" s="420">
        <v>45932</v>
      </c>
      <c r="B2456" t="s">
        <v>2532</v>
      </c>
      <c r="C2456" t="s">
        <v>5330</v>
      </c>
      <c r="D2456" t="s">
        <v>5359</v>
      </c>
      <c r="E2456" t="s">
        <v>1578</v>
      </c>
      <c r="G2456">
        <v>24</v>
      </c>
      <c r="I2456">
        <v>24</v>
      </c>
      <c r="J2456" t="s">
        <v>2599</v>
      </c>
    </row>
    <row r="2457" spans="1:10" ht="15" customHeight="1" x14ac:dyDescent="0.2">
      <c r="A2457" s="420">
        <v>45938</v>
      </c>
      <c r="B2457" t="s">
        <v>2333</v>
      </c>
      <c r="C2457" t="s">
        <v>5330</v>
      </c>
      <c r="D2457" t="s">
        <v>5360</v>
      </c>
      <c r="E2457" t="s">
        <v>5361</v>
      </c>
      <c r="F2457">
        <v>24</v>
      </c>
      <c r="J2457" t="s">
        <v>2599</v>
      </c>
    </row>
    <row r="2458" spans="1:10" ht="15" customHeight="1" x14ac:dyDescent="0.2">
      <c r="A2458" s="420">
        <v>45963</v>
      </c>
      <c r="B2458" t="s">
        <v>2532</v>
      </c>
      <c r="C2458" t="s">
        <v>5330</v>
      </c>
      <c r="D2458" t="s">
        <v>5362</v>
      </c>
      <c r="E2458" t="s">
        <v>1592</v>
      </c>
      <c r="G2458">
        <v>24</v>
      </c>
      <c r="I2458">
        <v>24</v>
      </c>
      <c r="J2458" t="s">
        <v>2605</v>
      </c>
    </row>
    <row r="2459" spans="1:10" ht="15" customHeight="1" x14ac:dyDescent="0.2">
      <c r="A2459" s="420">
        <v>45967</v>
      </c>
      <c r="B2459" t="s">
        <v>2333</v>
      </c>
      <c r="C2459" t="s">
        <v>5330</v>
      </c>
      <c r="D2459" t="s">
        <v>5363</v>
      </c>
      <c r="E2459" t="s">
        <v>5364</v>
      </c>
      <c r="F2459">
        <v>24</v>
      </c>
      <c r="J2459" t="s">
        <v>2605</v>
      </c>
    </row>
    <row r="2460" spans="1:10" ht="15" customHeight="1" x14ac:dyDescent="0.2">
      <c r="A2460" s="420">
        <v>45971</v>
      </c>
      <c r="B2460" t="s">
        <v>2532</v>
      </c>
      <c r="C2460" t="s">
        <v>5330</v>
      </c>
      <c r="D2460" t="s">
        <v>5365</v>
      </c>
      <c r="E2460" t="s">
        <v>1595</v>
      </c>
      <c r="G2460">
        <v>352.8</v>
      </c>
      <c r="I2460">
        <v>352.8</v>
      </c>
      <c r="J2460" t="s">
        <v>2602</v>
      </c>
    </row>
    <row r="2461" spans="1:10" ht="15" customHeight="1" x14ac:dyDescent="0.2">
      <c r="A2461" s="420">
        <v>45981</v>
      </c>
      <c r="B2461" t="s">
        <v>3866</v>
      </c>
      <c r="C2461" t="s">
        <v>5330</v>
      </c>
      <c r="D2461" t="s">
        <v>5366</v>
      </c>
      <c r="E2461" t="s">
        <v>5367</v>
      </c>
      <c r="F2461">
        <v>352.8</v>
      </c>
      <c r="J2461" t="s">
        <v>2602</v>
      </c>
    </row>
    <row r="2462" spans="1:10" ht="15" customHeight="1" x14ac:dyDescent="0.2">
      <c r="A2462" s="420">
        <v>45993</v>
      </c>
      <c r="B2462" t="s">
        <v>2532</v>
      </c>
      <c r="C2462" t="s">
        <v>5330</v>
      </c>
      <c r="D2462" t="s">
        <v>5368</v>
      </c>
      <c r="E2462" t="s">
        <v>1603</v>
      </c>
      <c r="G2462">
        <v>24</v>
      </c>
      <c r="I2462">
        <v>24</v>
      </c>
      <c r="J2462" t="s">
        <v>2601</v>
      </c>
    </row>
    <row r="2463" spans="1:10" ht="15" customHeight="1" x14ac:dyDescent="0.2">
      <c r="A2463" s="420">
        <v>45993</v>
      </c>
      <c r="B2463" t="s">
        <v>2532</v>
      </c>
      <c r="C2463" t="s">
        <v>5330</v>
      </c>
      <c r="D2463" t="s">
        <v>5369</v>
      </c>
      <c r="E2463" t="s">
        <v>1604</v>
      </c>
      <c r="G2463">
        <v>30</v>
      </c>
      <c r="I2463">
        <v>54</v>
      </c>
      <c r="J2463" t="s">
        <v>2710</v>
      </c>
    </row>
    <row r="2464" spans="1:10" ht="15" customHeight="1" x14ac:dyDescent="0.2">
      <c r="A2464" s="420">
        <v>45999</v>
      </c>
      <c r="B2464" t="s">
        <v>2333</v>
      </c>
      <c r="C2464" t="s">
        <v>5330</v>
      </c>
      <c r="D2464" t="s">
        <v>5370</v>
      </c>
      <c r="E2464" t="s">
        <v>5371</v>
      </c>
      <c r="F2464">
        <v>24</v>
      </c>
      <c r="I2464">
        <v>30</v>
      </c>
      <c r="J2464" t="s">
        <v>2601</v>
      </c>
    </row>
    <row r="2465" spans="1:10" ht="15" customHeight="1" x14ac:dyDescent="0.2">
      <c r="A2465" s="420">
        <v>45999</v>
      </c>
      <c r="B2465" t="s">
        <v>3866</v>
      </c>
      <c r="C2465" t="s">
        <v>5330</v>
      </c>
      <c r="D2465" t="s">
        <v>5372</v>
      </c>
      <c r="E2465" t="s">
        <v>5373</v>
      </c>
      <c r="F2465">
        <v>30</v>
      </c>
      <c r="J2465" t="s">
        <v>2710</v>
      </c>
    </row>
    <row r="2466" spans="1:10" ht="15" customHeight="1" x14ac:dyDescent="0.2">
      <c r="A2466" t="s">
        <v>5330</v>
      </c>
      <c r="E2466" t="s">
        <v>349</v>
      </c>
      <c r="F2466">
        <v>670.8</v>
      </c>
      <c r="G2466">
        <v>670.8</v>
      </c>
    </row>
    <row r="2468" spans="1:10" ht="15" customHeight="1" x14ac:dyDescent="0.2">
      <c r="A2468" t="s">
        <v>5374</v>
      </c>
      <c r="B2468" t="s">
        <v>5375</v>
      </c>
      <c r="F2468" t="s">
        <v>2430</v>
      </c>
      <c r="G2468" t="s">
        <v>2431</v>
      </c>
      <c r="H2468" t="s">
        <v>2432</v>
      </c>
      <c r="I2468" t="s">
        <v>2433</v>
      </c>
      <c r="J2468" t="s">
        <v>2434</v>
      </c>
    </row>
    <row r="2469" spans="1:10" ht="15" customHeight="1" x14ac:dyDescent="0.2">
      <c r="A2469" s="420">
        <v>45658</v>
      </c>
      <c r="B2469" t="s">
        <v>2532</v>
      </c>
      <c r="C2469" t="s">
        <v>5374</v>
      </c>
      <c r="D2469" t="s">
        <v>5376</v>
      </c>
      <c r="E2469" t="s">
        <v>1725</v>
      </c>
      <c r="G2469">
        <v>144.44</v>
      </c>
      <c r="I2469">
        <v>144.44</v>
      </c>
      <c r="J2469" t="s">
        <v>2511</v>
      </c>
    </row>
    <row r="2470" spans="1:10" ht="15" customHeight="1" x14ac:dyDescent="0.2">
      <c r="A2470" s="420">
        <v>45677</v>
      </c>
      <c r="B2470" t="s">
        <v>2333</v>
      </c>
      <c r="C2470" t="s">
        <v>5374</v>
      </c>
      <c r="D2470" t="s">
        <v>5377</v>
      </c>
      <c r="E2470" t="s">
        <v>5378</v>
      </c>
      <c r="F2470">
        <v>144.44</v>
      </c>
      <c r="J2470" t="s">
        <v>2511</v>
      </c>
    </row>
    <row r="2471" spans="1:10" ht="15" customHeight="1" x14ac:dyDescent="0.2">
      <c r="A2471" s="420">
        <v>45689</v>
      </c>
      <c r="B2471" t="s">
        <v>2532</v>
      </c>
      <c r="C2471" t="s">
        <v>5374</v>
      </c>
      <c r="D2471" t="s">
        <v>5379</v>
      </c>
      <c r="E2471" t="s">
        <v>1772</v>
      </c>
      <c r="G2471">
        <v>188.44</v>
      </c>
      <c r="I2471">
        <v>188.44</v>
      </c>
      <c r="J2471" t="s">
        <v>2509</v>
      </c>
    </row>
    <row r="2472" spans="1:10" ht="15" customHeight="1" x14ac:dyDescent="0.2">
      <c r="A2472" s="420">
        <v>45708</v>
      </c>
      <c r="B2472" t="s">
        <v>2333</v>
      </c>
      <c r="C2472" t="s">
        <v>5374</v>
      </c>
      <c r="D2472" t="s">
        <v>5380</v>
      </c>
      <c r="E2472" t="s">
        <v>5381</v>
      </c>
      <c r="F2472">
        <v>188.44</v>
      </c>
      <c r="J2472" t="s">
        <v>2509</v>
      </c>
    </row>
    <row r="2473" spans="1:10" ht="15" customHeight="1" x14ac:dyDescent="0.2">
      <c r="A2473" s="420">
        <v>45717</v>
      </c>
      <c r="B2473" t="s">
        <v>2547</v>
      </c>
      <c r="C2473" t="s">
        <v>5374</v>
      </c>
      <c r="D2473" t="s">
        <v>5382</v>
      </c>
      <c r="E2473" t="s">
        <v>1787</v>
      </c>
      <c r="G2473">
        <v>37.54</v>
      </c>
      <c r="I2473">
        <v>37.54</v>
      </c>
      <c r="J2473" t="s">
        <v>2513</v>
      </c>
    </row>
    <row r="2474" spans="1:10" ht="15" customHeight="1" x14ac:dyDescent="0.2">
      <c r="A2474" s="420">
        <v>45736</v>
      </c>
      <c r="B2474" t="s">
        <v>2333</v>
      </c>
      <c r="C2474" t="s">
        <v>5374</v>
      </c>
      <c r="D2474" t="s">
        <v>5383</v>
      </c>
      <c r="E2474" t="s">
        <v>5384</v>
      </c>
      <c r="F2474">
        <v>37.54</v>
      </c>
      <c r="J2474" t="s">
        <v>2513</v>
      </c>
    </row>
    <row r="2475" spans="1:10" ht="15" customHeight="1" x14ac:dyDescent="0.2">
      <c r="A2475" s="420">
        <v>45748</v>
      </c>
      <c r="B2475" t="s">
        <v>2532</v>
      </c>
      <c r="C2475" t="s">
        <v>5374</v>
      </c>
      <c r="D2475" t="s">
        <v>5385</v>
      </c>
      <c r="E2475" t="s">
        <v>1813</v>
      </c>
      <c r="G2475">
        <v>169.34</v>
      </c>
      <c r="I2475">
        <v>169.34</v>
      </c>
      <c r="J2475" t="s">
        <v>2585</v>
      </c>
    </row>
    <row r="2476" spans="1:10" ht="15" customHeight="1" x14ac:dyDescent="0.2">
      <c r="A2476" s="420">
        <v>45769</v>
      </c>
      <c r="B2476" t="s">
        <v>2333</v>
      </c>
      <c r="C2476" t="s">
        <v>5374</v>
      </c>
      <c r="D2476" t="s">
        <v>5386</v>
      </c>
      <c r="E2476" t="s">
        <v>5387</v>
      </c>
      <c r="F2476">
        <v>169.34</v>
      </c>
      <c r="J2476" t="s">
        <v>2585</v>
      </c>
    </row>
    <row r="2477" spans="1:10" ht="15" customHeight="1" x14ac:dyDescent="0.2">
      <c r="A2477" s="420">
        <v>45778</v>
      </c>
      <c r="B2477" t="s">
        <v>2532</v>
      </c>
      <c r="C2477" t="s">
        <v>5374</v>
      </c>
      <c r="D2477" t="s">
        <v>5388</v>
      </c>
      <c r="E2477" t="s">
        <v>1841</v>
      </c>
      <c r="G2477">
        <v>9.44</v>
      </c>
      <c r="I2477">
        <v>9.44</v>
      </c>
      <c r="J2477" t="s">
        <v>2586</v>
      </c>
    </row>
    <row r="2478" spans="1:10" ht="15" customHeight="1" x14ac:dyDescent="0.2">
      <c r="A2478" s="420">
        <v>45797</v>
      </c>
      <c r="B2478" t="s">
        <v>2333</v>
      </c>
      <c r="C2478" t="s">
        <v>5374</v>
      </c>
      <c r="D2478" t="s">
        <v>5389</v>
      </c>
      <c r="E2478" t="s">
        <v>5390</v>
      </c>
      <c r="F2478">
        <v>9.44</v>
      </c>
      <c r="J2478" t="s">
        <v>2586</v>
      </c>
    </row>
    <row r="2479" spans="1:10" ht="15" customHeight="1" x14ac:dyDescent="0.2">
      <c r="A2479" s="420">
        <v>45809</v>
      </c>
      <c r="B2479" t="s">
        <v>2532</v>
      </c>
      <c r="C2479" t="s">
        <v>5374</v>
      </c>
      <c r="D2479" t="s">
        <v>5391</v>
      </c>
      <c r="E2479" t="s">
        <v>1866</v>
      </c>
      <c r="G2479">
        <v>161.04</v>
      </c>
      <c r="I2479">
        <v>161.04</v>
      </c>
      <c r="J2479" t="s">
        <v>2587</v>
      </c>
    </row>
    <row r="2480" spans="1:10" ht="15" customHeight="1" x14ac:dyDescent="0.2">
      <c r="A2480" s="420">
        <v>45828</v>
      </c>
      <c r="B2480" t="s">
        <v>2333</v>
      </c>
      <c r="C2480" t="s">
        <v>5374</v>
      </c>
      <c r="D2480" t="s">
        <v>5392</v>
      </c>
      <c r="E2480" t="s">
        <v>5393</v>
      </c>
      <c r="F2480">
        <v>161.04</v>
      </c>
      <c r="J2480" t="s">
        <v>2587</v>
      </c>
    </row>
    <row r="2481" spans="1:10" ht="15" customHeight="1" x14ac:dyDescent="0.2">
      <c r="A2481" s="420">
        <v>45839</v>
      </c>
      <c r="B2481" t="s">
        <v>2532</v>
      </c>
      <c r="C2481" t="s">
        <v>5374</v>
      </c>
      <c r="D2481" t="s">
        <v>5394</v>
      </c>
      <c r="E2481" t="s">
        <v>1892</v>
      </c>
      <c r="G2481">
        <v>69.540000000000006</v>
      </c>
      <c r="I2481">
        <v>69.540000000000006</v>
      </c>
      <c r="J2481" t="s">
        <v>2603</v>
      </c>
    </row>
    <row r="2482" spans="1:10" ht="15" customHeight="1" x14ac:dyDescent="0.2">
      <c r="A2482" s="420">
        <v>45856</v>
      </c>
      <c r="B2482" t="s">
        <v>2333</v>
      </c>
      <c r="C2482" t="s">
        <v>5374</v>
      </c>
      <c r="D2482" t="s">
        <v>5395</v>
      </c>
      <c r="E2482" t="s">
        <v>5396</v>
      </c>
      <c r="F2482">
        <v>69.540000000000006</v>
      </c>
      <c r="J2482" t="s">
        <v>2603</v>
      </c>
    </row>
    <row r="2483" spans="1:10" ht="15" customHeight="1" x14ac:dyDescent="0.2">
      <c r="A2483" s="420">
        <v>45870</v>
      </c>
      <c r="B2483" t="s">
        <v>2532</v>
      </c>
      <c r="C2483" t="s">
        <v>5374</v>
      </c>
      <c r="D2483" t="s">
        <v>5397</v>
      </c>
      <c r="E2483" t="s">
        <v>1912</v>
      </c>
      <c r="G2483">
        <v>58.74</v>
      </c>
      <c r="I2483">
        <v>58.74</v>
      </c>
      <c r="J2483" t="s">
        <v>2604</v>
      </c>
    </row>
    <row r="2484" spans="1:10" ht="15" customHeight="1" x14ac:dyDescent="0.2">
      <c r="A2484" s="420">
        <v>45889</v>
      </c>
      <c r="B2484" t="s">
        <v>2333</v>
      </c>
      <c r="C2484" t="s">
        <v>5374</v>
      </c>
      <c r="D2484" t="s">
        <v>5398</v>
      </c>
      <c r="E2484" t="s">
        <v>5399</v>
      </c>
      <c r="F2484">
        <v>58.74</v>
      </c>
      <c r="J2484" t="s">
        <v>2604</v>
      </c>
    </row>
    <row r="2485" spans="1:10" ht="15" customHeight="1" x14ac:dyDescent="0.2">
      <c r="A2485" s="420">
        <v>45909</v>
      </c>
      <c r="B2485" t="s">
        <v>2532</v>
      </c>
      <c r="C2485" t="s">
        <v>5374</v>
      </c>
      <c r="D2485" t="s">
        <v>5400</v>
      </c>
      <c r="E2485" t="s">
        <v>1931</v>
      </c>
      <c r="G2485">
        <v>55.74</v>
      </c>
      <c r="I2485">
        <v>55.74</v>
      </c>
      <c r="J2485" t="s">
        <v>2600</v>
      </c>
    </row>
    <row r="2486" spans="1:10" ht="15" customHeight="1" x14ac:dyDescent="0.2">
      <c r="A2486" s="420">
        <v>45919</v>
      </c>
      <c r="B2486" t="s">
        <v>2333</v>
      </c>
      <c r="C2486" t="s">
        <v>5374</v>
      </c>
      <c r="D2486" t="s">
        <v>5401</v>
      </c>
      <c r="E2486" t="s">
        <v>5402</v>
      </c>
      <c r="F2486">
        <v>55.74</v>
      </c>
      <c r="J2486" t="s">
        <v>2600</v>
      </c>
    </row>
    <row r="2487" spans="1:10" ht="15" customHeight="1" x14ac:dyDescent="0.2">
      <c r="A2487" s="420">
        <v>45931</v>
      </c>
      <c r="B2487" t="s">
        <v>2532</v>
      </c>
      <c r="C2487" t="s">
        <v>5374</v>
      </c>
      <c r="D2487" t="s">
        <v>5403</v>
      </c>
      <c r="E2487" t="s">
        <v>1943</v>
      </c>
      <c r="G2487">
        <v>117.14</v>
      </c>
      <c r="I2487">
        <v>117.14</v>
      </c>
      <c r="J2487" t="s">
        <v>2599</v>
      </c>
    </row>
    <row r="2488" spans="1:10" ht="15" customHeight="1" x14ac:dyDescent="0.2">
      <c r="A2488" s="420">
        <v>45950</v>
      </c>
      <c r="B2488" t="s">
        <v>2333</v>
      </c>
      <c r="C2488" t="s">
        <v>5374</v>
      </c>
      <c r="D2488" t="s">
        <v>5404</v>
      </c>
      <c r="E2488" t="s">
        <v>5405</v>
      </c>
      <c r="F2488">
        <v>117.14</v>
      </c>
      <c r="J2488" t="s">
        <v>2599</v>
      </c>
    </row>
    <row r="2489" spans="1:10" ht="15" customHeight="1" x14ac:dyDescent="0.2">
      <c r="A2489" s="420">
        <v>45962</v>
      </c>
      <c r="B2489" t="s">
        <v>2532</v>
      </c>
      <c r="C2489" t="s">
        <v>5374</v>
      </c>
      <c r="D2489" t="s">
        <v>5406</v>
      </c>
      <c r="E2489" t="s">
        <v>1966</v>
      </c>
      <c r="G2489">
        <v>72.94</v>
      </c>
      <c r="I2489">
        <v>72.94</v>
      </c>
      <c r="J2489" t="s">
        <v>2601</v>
      </c>
    </row>
    <row r="2490" spans="1:10" ht="15" customHeight="1" x14ac:dyDescent="0.2">
      <c r="A2490" s="420">
        <v>45981</v>
      </c>
      <c r="B2490" t="s">
        <v>2333</v>
      </c>
      <c r="C2490" t="s">
        <v>5374</v>
      </c>
      <c r="D2490" t="s">
        <v>5407</v>
      </c>
      <c r="E2490" t="s">
        <v>5408</v>
      </c>
      <c r="F2490">
        <v>72.94</v>
      </c>
      <c r="J2490" t="s">
        <v>2601</v>
      </c>
    </row>
    <row r="2491" spans="1:10" ht="15" customHeight="1" x14ac:dyDescent="0.2">
      <c r="A2491" s="420">
        <v>45992</v>
      </c>
      <c r="B2491" t="s">
        <v>2532</v>
      </c>
      <c r="C2491" t="s">
        <v>5374</v>
      </c>
      <c r="D2491" t="s">
        <v>5409</v>
      </c>
      <c r="E2491" t="s">
        <v>1985</v>
      </c>
      <c r="G2491">
        <v>69.34</v>
      </c>
      <c r="I2491">
        <v>69.34</v>
      </c>
      <c r="J2491" t="s">
        <v>2602</v>
      </c>
    </row>
    <row r="2492" spans="1:10" ht="15" customHeight="1" x14ac:dyDescent="0.2">
      <c r="A2492" s="420">
        <v>46010</v>
      </c>
      <c r="B2492" t="s">
        <v>2333</v>
      </c>
      <c r="C2492" t="s">
        <v>5374</v>
      </c>
      <c r="D2492" t="s">
        <v>5410</v>
      </c>
      <c r="E2492" t="s">
        <v>5411</v>
      </c>
      <c r="F2492">
        <v>69.34</v>
      </c>
      <c r="J2492" t="s">
        <v>2602</v>
      </c>
    </row>
    <row r="2493" spans="1:10" ht="15" customHeight="1" x14ac:dyDescent="0.2">
      <c r="A2493" t="s">
        <v>5374</v>
      </c>
      <c r="E2493" t="s">
        <v>349</v>
      </c>
      <c r="F2493">
        <v>1153.68</v>
      </c>
      <c r="G2493">
        <v>1153.68</v>
      </c>
    </row>
    <row r="2495" spans="1:10" ht="15" customHeight="1" x14ac:dyDescent="0.2">
      <c r="A2495" t="s">
        <v>5412</v>
      </c>
      <c r="B2495" t="s">
        <v>5413</v>
      </c>
      <c r="F2495" t="s">
        <v>2430</v>
      </c>
      <c r="G2495" t="s">
        <v>2431</v>
      </c>
      <c r="H2495" t="s">
        <v>2432</v>
      </c>
      <c r="I2495" t="s">
        <v>2433</v>
      </c>
      <c r="J2495" t="s">
        <v>2434</v>
      </c>
    </row>
    <row r="2496" spans="1:10" ht="15" customHeight="1" x14ac:dyDescent="0.2">
      <c r="A2496" s="420">
        <v>45793</v>
      </c>
      <c r="B2496" t="s">
        <v>2333</v>
      </c>
      <c r="C2496" t="s">
        <v>5412</v>
      </c>
      <c r="D2496" t="s">
        <v>5414</v>
      </c>
      <c r="E2496" t="s">
        <v>5415</v>
      </c>
      <c r="F2496">
        <v>2000</v>
      </c>
      <c r="H2496">
        <v>2000</v>
      </c>
      <c r="J2496" t="s">
        <v>2511</v>
      </c>
    </row>
    <row r="2497" spans="1:10" ht="15" customHeight="1" x14ac:dyDescent="0.2">
      <c r="A2497" s="420">
        <v>45794</v>
      </c>
      <c r="B2497" t="s">
        <v>2547</v>
      </c>
      <c r="C2497" t="s">
        <v>5412</v>
      </c>
      <c r="D2497" t="s">
        <v>5416</v>
      </c>
      <c r="E2497" t="s">
        <v>1495</v>
      </c>
      <c r="G2497">
        <v>2000</v>
      </c>
      <c r="J2497" t="s">
        <v>2511</v>
      </c>
    </row>
    <row r="2498" spans="1:10" ht="15" customHeight="1" x14ac:dyDescent="0.2">
      <c r="A2498" t="s">
        <v>5412</v>
      </c>
      <c r="E2498" t="s">
        <v>349</v>
      </c>
      <c r="F2498">
        <v>2000</v>
      </c>
      <c r="G2498">
        <v>2000</v>
      </c>
    </row>
    <row r="2500" spans="1:10" ht="15" customHeight="1" x14ac:dyDescent="0.2">
      <c r="A2500" t="s">
        <v>5417</v>
      </c>
      <c r="B2500" t="s">
        <v>2032</v>
      </c>
      <c r="F2500" t="s">
        <v>2430</v>
      </c>
      <c r="G2500" t="s">
        <v>2431</v>
      </c>
      <c r="H2500" t="s">
        <v>2432</v>
      </c>
      <c r="I2500" t="s">
        <v>2433</v>
      </c>
      <c r="J2500" t="s">
        <v>2434</v>
      </c>
    </row>
    <row r="2501" spans="1:10" ht="15" customHeight="1" x14ac:dyDescent="0.2">
      <c r="A2501" s="420">
        <v>45778</v>
      </c>
      <c r="B2501" t="s">
        <v>2532</v>
      </c>
      <c r="C2501" t="s">
        <v>5417</v>
      </c>
      <c r="D2501" t="s">
        <v>5418</v>
      </c>
      <c r="E2501" t="s">
        <v>708</v>
      </c>
      <c r="G2501">
        <v>30.84</v>
      </c>
      <c r="I2501">
        <v>30.84</v>
      </c>
      <c r="J2501" t="s">
        <v>2511</v>
      </c>
    </row>
    <row r="2502" spans="1:10" ht="15" customHeight="1" x14ac:dyDescent="0.2">
      <c r="A2502" s="420">
        <v>45779</v>
      </c>
      <c r="B2502" t="s">
        <v>2532</v>
      </c>
      <c r="C2502" t="s">
        <v>5417</v>
      </c>
      <c r="D2502" t="s">
        <v>5419</v>
      </c>
      <c r="E2502" t="s">
        <v>710</v>
      </c>
      <c r="G2502">
        <v>462.38</v>
      </c>
      <c r="I2502">
        <v>493.22</v>
      </c>
      <c r="J2502" t="s">
        <v>2511</v>
      </c>
    </row>
    <row r="2503" spans="1:10" ht="15" customHeight="1" x14ac:dyDescent="0.2">
      <c r="A2503" s="420">
        <v>45784</v>
      </c>
      <c r="B2503" t="s">
        <v>2333</v>
      </c>
      <c r="C2503" t="s">
        <v>5417</v>
      </c>
      <c r="D2503" t="s">
        <v>5420</v>
      </c>
      <c r="E2503" t="s">
        <v>5421</v>
      </c>
      <c r="F2503">
        <v>493.22</v>
      </c>
      <c r="J2503" t="s">
        <v>2511</v>
      </c>
    </row>
    <row r="2504" spans="1:10" ht="15" customHeight="1" x14ac:dyDescent="0.2">
      <c r="A2504" s="420">
        <v>45809</v>
      </c>
      <c r="B2504" t="s">
        <v>2532</v>
      </c>
      <c r="C2504" t="s">
        <v>5417</v>
      </c>
      <c r="D2504" t="s">
        <v>5422</v>
      </c>
      <c r="E2504" t="s">
        <v>720</v>
      </c>
      <c r="G2504">
        <v>462.38</v>
      </c>
      <c r="I2504">
        <v>462.38</v>
      </c>
      <c r="J2504" t="s">
        <v>2509</v>
      </c>
    </row>
    <row r="2505" spans="1:10" ht="15" customHeight="1" x14ac:dyDescent="0.2">
      <c r="A2505" s="420">
        <v>45810</v>
      </c>
      <c r="B2505" t="s">
        <v>2333</v>
      </c>
      <c r="C2505" t="s">
        <v>5417</v>
      </c>
      <c r="D2505" t="s">
        <v>5423</v>
      </c>
      <c r="E2505" t="s">
        <v>5424</v>
      </c>
      <c r="F2505">
        <v>462.38</v>
      </c>
      <c r="J2505" t="s">
        <v>2509</v>
      </c>
    </row>
    <row r="2506" spans="1:10" ht="15" customHeight="1" x14ac:dyDescent="0.2">
      <c r="A2506" s="420">
        <v>45839</v>
      </c>
      <c r="B2506" t="s">
        <v>2333</v>
      </c>
      <c r="C2506" t="s">
        <v>5417</v>
      </c>
      <c r="D2506" t="s">
        <v>5425</v>
      </c>
      <c r="E2506" t="s">
        <v>5426</v>
      </c>
      <c r="F2506">
        <v>462.38</v>
      </c>
      <c r="H2506">
        <v>462.38</v>
      </c>
      <c r="J2506" t="s">
        <v>2513</v>
      </c>
    </row>
    <row r="2507" spans="1:10" ht="15" customHeight="1" x14ac:dyDescent="0.2">
      <c r="A2507" s="420">
        <v>45839</v>
      </c>
      <c r="B2507" t="s">
        <v>2532</v>
      </c>
      <c r="C2507" t="s">
        <v>5417</v>
      </c>
      <c r="D2507" t="s">
        <v>5427</v>
      </c>
      <c r="E2507" t="s">
        <v>734</v>
      </c>
      <c r="G2507">
        <v>462.38</v>
      </c>
      <c r="J2507" t="s">
        <v>2513</v>
      </c>
    </row>
    <row r="2508" spans="1:10" ht="15" customHeight="1" x14ac:dyDescent="0.2">
      <c r="A2508" s="420">
        <v>45870</v>
      </c>
      <c r="B2508" t="s">
        <v>2333</v>
      </c>
      <c r="C2508" t="s">
        <v>5417</v>
      </c>
      <c r="D2508" t="s">
        <v>5428</v>
      </c>
      <c r="E2508" t="s">
        <v>5429</v>
      </c>
      <c r="F2508">
        <v>462.38</v>
      </c>
      <c r="H2508">
        <v>462.38</v>
      </c>
      <c r="J2508" t="s">
        <v>2587</v>
      </c>
    </row>
    <row r="2509" spans="1:10" ht="15" customHeight="1" x14ac:dyDescent="0.2">
      <c r="A2509" s="420">
        <v>45870</v>
      </c>
      <c r="B2509" t="s">
        <v>2532</v>
      </c>
      <c r="C2509" t="s">
        <v>5417</v>
      </c>
      <c r="D2509" t="s">
        <v>5430</v>
      </c>
      <c r="E2509" t="s">
        <v>734</v>
      </c>
      <c r="G2509">
        <v>462.38</v>
      </c>
      <c r="J2509" t="s">
        <v>2587</v>
      </c>
    </row>
    <row r="2510" spans="1:10" ht="15" customHeight="1" x14ac:dyDescent="0.2">
      <c r="A2510" s="420">
        <v>45901</v>
      </c>
      <c r="B2510" t="s">
        <v>2333</v>
      </c>
      <c r="C2510" t="s">
        <v>5417</v>
      </c>
      <c r="D2510" t="s">
        <v>5431</v>
      </c>
      <c r="E2510" t="s">
        <v>5432</v>
      </c>
      <c r="F2510">
        <v>462.38</v>
      </c>
      <c r="H2510">
        <v>462.38</v>
      </c>
      <c r="J2510" t="s">
        <v>2585</v>
      </c>
    </row>
    <row r="2511" spans="1:10" ht="15" customHeight="1" x14ac:dyDescent="0.2">
      <c r="A2511" s="420">
        <v>45901</v>
      </c>
      <c r="B2511" t="s">
        <v>2532</v>
      </c>
      <c r="C2511" t="s">
        <v>5417</v>
      </c>
      <c r="D2511" t="s">
        <v>5433</v>
      </c>
      <c r="E2511" t="s">
        <v>5434</v>
      </c>
      <c r="G2511">
        <v>462.38</v>
      </c>
      <c r="J2511" t="s">
        <v>2585</v>
      </c>
    </row>
    <row r="2512" spans="1:10" ht="15" customHeight="1" x14ac:dyDescent="0.2">
      <c r="A2512" s="420">
        <v>45931</v>
      </c>
      <c r="B2512" t="s">
        <v>2333</v>
      </c>
      <c r="C2512" t="s">
        <v>5417</v>
      </c>
      <c r="D2512" t="s">
        <v>5435</v>
      </c>
      <c r="E2512" t="s">
        <v>5436</v>
      </c>
      <c r="F2512">
        <v>462.38</v>
      </c>
      <c r="H2512">
        <v>462.38</v>
      </c>
      <c r="J2512" t="s">
        <v>2586</v>
      </c>
    </row>
    <row r="2513" spans="1:10" ht="15" customHeight="1" x14ac:dyDescent="0.2">
      <c r="A2513" s="420">
        <v>45931</v>
      </c>
      <c r="B2513" t="s">
        <v>2532</v>
      </c>
      <c r="C2513" t="s">
        <v>5417</v>
      </c>
      <c r="D2513" t="s">
        <v>5437</v>
      </c>
      <c r="E2513" t="s">
        <v>763</v>
      </c>
      <c r="G2513">
        <v>462.38</v>
      </c>
      <c r="J2513" t="s">
        <v>2586</v>
      </c>
    </row>
    <row r="2514" spans="1:10" ht="15" customHeight="1" x14ac:dyDescent="0.2">
      <c r="A2514" s="420">
        <v>45962</v>
      </c>
      <c r="B2514" t="s">
        <v>2532</v>
      </c>
      <c r="C2514" t="s">
        <v>5417</v>
      </c>
      <c r="D2514" t="s">
        <v>5438</v>
      </c>
      <c r="E2514" t="s">
        <v>780</v>
      </c>
      <c r="G2514">
        <v>462.38</v>
      </c>
      <c r="I2514">
        <v>462.38</v>
      </c>
      <c r="J2514" t="s">
        <v>2603</v>
      </c>
    </row>
    <row r="2515" spans="1:10" ht="15" customHeight="1" x14ac:dyDescent="0.2">
      <c r="A2515" s="420">
        <v>45964</v>
      </c>
      <c r="B2515" t="s">
        <v>2333</v>
      </c>
      <c r="C2515" t="s">
        <v>5417</v>
      </c>
      <c r="D2515" t="s">
        <v>5439</v>
      </c>
      <c r="E2515" t="s">
        <v>5440</v>
      </c>
      <c r="F2515">
        <v>462.38</v>
      </c>
      <c r="J2515" t="s">
        <v>2603</v>
      </c>
    </row>
    <row r="2516" spans="1:10" ht="15" customHeight="1" x14ac:dyDescent="0.2">
      <c r="A2516" s="420">
        <v>45992</v>
      </c>
      <c r="B2516" t="s">
        <v>2333</v>
      </c>
      <c r="C2516" t="s">
        <v>5417</v>
      </c>
      <c r="D2516" t="s">
        <v>5441</v>
      </c>
      <c r="E2516" t="s">
        <v>5442</v>
      </c>
      <c r="F2516">
        <v>462.38</v>
      </c>
      <c r="H2516">
        <v>462.38</v>
      </c>
      <c r="J2516" t="s">
        <v>2604</v>
      </c>
    </row>
    <row r="2517" spans="1:10" ht="15" customHeight="1" x14ac:dyDescent="0.2">
      <c r="A2517" s="420">
        <v>45992</v>
      </c>
      <c r="B2517" t="s">
        <v>2532</v>
      </c>
      <c r="C2517" t="s">
        <v>5417</v>
      </c>
      <c r="D2517" t="s">
        <v>5443</v>
      </c>
      <c r="E2517" t="s">
        <v>791</v>
      </c>
      <c r="G2517">
        <v>462.38</v>
      </c>
      <c r="J2517" t="s">
        <v>2604</v>
      </c>
    </row>
    <row r="2518" spans="1:10" ht="15" customHeight="1" x14ac:dyDescent="0.2">
      <c r="A2518" t="s">
        <v>5417</v>
      </c>
      <c r="E2518" t="s">
        <v>349</v>
      </c>
      <c r="F2518">
        <v>3729.88</v>
      </c>
      <c r="G2518">
        <v>3729.88</v>
      </c>
    </row>
    <row r="2520" spans="1:10" ht="15" customHeight="1" x14ac:dyDescent="0.2">
      <c r="A2520" t="s">
        <v>5444</v>
      </c>
      <c r="B2520" t="s">
        <v>5445</v>
      </c>
      <c r="F2520" t="s">
        <v>2430</v>
      </c>
      <c r="G2520" t="s">
        <v>2431</v>
      </c>
      <c r="H2520" t="s">
        <v>2432</v>
      </c>
      <c r="I2520" t="s">
        <v>2433</v>
      </c>
      <c r="J2520" t="s">
        <v>2434</v>
      </c>
    </row>
    <row r="2521" spans="1:10" ht="15" customHeight="1" x14ac:dyDescent="0.2">
      <c r="A2521" s="420">
        <v>45658</v>
      </c>
      <c r="B2521" t="s">
        <v>2532</v>
      </c>
      <c r="C2521" t="s">
        <v>5444</v>
      </c>
      <c r="D2521" t="s">
        <v>5446</v>
      </c>
      <c r="E2521" t="s">
        <v>1234</v>
      </c>
      <c r="G2521">
        <v>65.75</v>
      </c>
      <c r="I2521">
        <v>65.75</v>
      </c>
      <c r="J2521" t="s">
        <v>2511</v>
      </c>
    </row>
    <row r="2522" spans="1:10" ht="15" customHeight="1" x14ac:dyDescent="0.2">
      <c r="A2522" s="420">
        <v>45665</v>
      </c>
      <c r="B2522" t="s">
        <v>2333</v>
      </c>
      <c r="C2522" t="s">
        <v>5444</v>
      </c>
      <c r="D2522" t="s">
        <v>5447</v>
      </c>
      <c r="E2522" t="s">
        <v>5448</v>
      </c>
      <c r="F2522">
        <v>65.75</v>
      </c>
      <c r="J2522" t="s">
        <v>2511</v>
      </c>
    </row>
    <row r="2523" spans="1:10" ht="15" customHeight="1" x14ac:dyDescent="0.2">
      <c r="A2523" s="420">
        <v>45689</v>
      </c>
      <c r="B2523" t="s">
        <v>2532</v>
      </c>
      <c r="C2523" t="s">
        <v>5444</v>
      </c>
      <c r="D2523" t="s">
        <v>5449</v>
      </c>
      <c r="E2523" t="s">
        <v>1238</v>
      </c>
      <c r="G2523">
        <v>65.75</v>
      </c>
      <c r="I2523">
        <v>65.75</v>
      </c>
      <c r="J2523" t="s">
        <v>2513</v>
      </c>
    </row>
    <row r="2524" spans="1:10" ht="15" customHeight="1" x14ac:dyDescent="0.2">
      <c r="A2524" s="420">
        <v>45695</v>
      </c>
      <c r="B2524" t="s">
        <v>2333</v>
      </c>
      <c r="C2524" t="s">
        <v>5444</v>
      </c>
      <c r="D2524" t="s">
        <v>5450</v>
      </c>
      <c r="E2524" t="s">
        <v>5451</v>
      </c>
      <c r="F2524">
        <v>65.75</v>
      </c>
      <c r="J2524" t="s">
        <v>2513</v>
      </c>
    </row>
    <row r="2525" spans="1:10" ht="15" customHeight="1" x14ac:dyDescent="0.2">
      <c r="A2525" s="420">
        <v>45717</v>
      </c>
      <c r="B2525" t="s">
        <v>2532</v>
      </c>
      <c r="C2525" t="s">
        <v>5444</v>
      </c>
      <c r="D2525" t="s">
        <v>5452</v>
      </c>
      <c r="E2525" t="s">
        <v>1243</v>
      </c>
      <c r="G2525">
        <v>65.75</v>
      </c>
      <c r="I2525">
        <v>65.75</v>
      </c>
      <c r="J2525" t="s">
        <v>2509</v>
      </c>
    </row>
    <row r="2526" spans="1:10" ht="15" customHeight="1" x14ac:dyDescent="0.2">
      <c r="A2526" s="420">
        <v>45723</v>
      </c>
      <c r="B2526" t="s">
        <v>2333</v>
      </c>
      <c r="C2526" t="s">
        <v>5444</v>
      </c>
      <c r="D2526" t="s">
        <v>5453</v>
      </c>
      <c r="E2526" t="s">
        <v>5454</v>
      </c>
      <c r="F2526">
        <v>65.75</v>
      </c>
      <c r="J2526" t="s">
        <v>2509</v>
      </c>
    </row>
    <row r="2527" spans="1:10" ht="15" customHeight="1" x14ac:dyDescent="0.2">
      <c r="A2527" s="420">
        <v>45748</v>
      </c>
      <c r="B2527" t="s">
        <v>2532</v>
      </c>
      <c r="C2527" t="s">
        <v>5444</v>
      </c>
      <c r="D2527" t="s">
        <v>5455</v>
      </c>
      <c r="E2527" t="s">
        <v>1252</v>
      </c>
      <c r="G2527">
        <v>65.75</v>
      </c>
      <c r="I2527">
        <v>65.75</v>
      </c>
      <c r="J2527" t="s">
        <v>2585</v>
      </c>
    </row>
    <row r="2528" spans="1:10" ht="15" customHeight="1" x14ac:dyDescent="0.2">
      <c r="A2528" s="420">
        <v>45756</v>
      </c>
      <c r="B2528" t="s">
        <v>2333</v>
      </c>
      <c r="C2528" t="s">
        <v>5444</v>
      </c>
      <c r="D2528" t="s">
        <v>5456</v>
      </c>
      <c r="E2528" t="s">
        <v>5457</v>
      </c>
      <c r="F2528">
        <v>65.75</v>
      </c>
      <c r="J2528" t="s">
        <v>2585</v>
      </c>
    </row>
    <row r="2529" spans="1:10" ht="15" customHeight="1" x14ac:dyDescent="0.2">
      <c r="A2529" s="420">
        <v>45778</v>
      </c>
      <c r="B2529" t="s">
        <v>2532</v>
      </c>
      <c r="C2529" t="s">
        <v>5444</v>
      </c>
      <c r="D2529" t="s">
        <v>5458</v>
      </c>
      <c r="E2529" t="s">
        <v>1257</v>
      </c>
      <c r="G2529">
        <v>65.75</v>
      </c>
      <c r="I2529">
        <v>65.75</v>
      </c>
      <c r="J2529" t="s">
        <v>2587</v>
      </c>
    </row>
    <row r="2530" spans="1:10" ht="15" customHeight="1" x14ac:dyDescent="0.2">
      <c r="A2530" s="420">
        <v>45786</v>
      </c>
      <c r="B2530" t="s">
        <v>2333</v>
      </c>
      <c r="C2530" t="s">
        <v>5444</v>
      </c>
      <c r="D2530" t="s">
        <v>5459</v>
      </c>
      <c r="E2530" t="s">
        <v>5460</v>
      </c>
      <c r="F2530">
        <v>65.75</v>
      </c>
      <c r="J2530" t="s">
        <v>2586</v>
      </c>
    </row>
    <row r="2531" spans="1:10" ht="15" customHeight="1" x14ac:dyDescent="0.2">
      <c r="A2531" s="420">
        <v>45809</v>
      </c>
      <c r="B2531" t="s">
        <v>2532</v>
      </c>
      <c r="C2531" t="s">
        <v>5444</v>
      </c>
      <c r="D2531" t="s">
        <v>5461</v>
      </c>
      <c r="E2531" t="s">
        <v>1260</v>
      </c>
      <c r="G2531">
        <v>65.75</v>
      </c>
      <c r="I2531">
        <v>65.75</v>
      </c>
      <c r="J2531" t="s">
        <v>2586</v>
      </c>
    </row>
    <row r="2532" spans="1:10" ht="15" customHeight="1" x14ac:dyDescent="0.2">
      <c r="A2532" s="420">
        <v>45817</v>
      </c>
      <c r="B2532" t="s">
        <v>2333</v>
      </c>
      <c r="C2532" t="s">
        <v>5444</v>
      </c>
      <c r="D2532" t="s">
        <v>5462</v>
      </c>
      <c r="E2532" t="s">
        <v>5463</v>
      </c>
      <c r="F2532">
        <v>65.75</v>
      </c>
      <c r="J2532" t="s">
        <v>2587</v>
      </c>
    </row>
    <row r="2533" spans="1:10" ht="15" customHeight="1" x14ac:dyDescent="0.2">
      <c r="A2533" s="420">
        <v>45839</v>
      </c>
      <c r="B2533" t="s">
        <v>2532</v>
      </c>
      <c r="C2533" t="s">
        <v>5444</v>
      </c>
      <c r="D2533" t="s">
        <v>5464</v>
      </c>
      <c r="E2533" t="s">
        <v>1269</v>
      </c>
      <c r="G2533">
        <v>65.75</v>
      </c>
      <c r="I2533">
        <v>65.75</v>
      </c>
      <c r="J2533" t="s">
        <v>2604</v>
      </c>
    </row>
    <row r="2534" spans="1:10" ht="15" customHeight="1" x14ac:dyDescent="0.2">
      <c r="A2534" s="420">
        <v>45847</v>
      </c>
      <c r="B2534" t="s">
        <v>2333</v>
      </c>
      <c r="C2534" t="s">
        <v>5444</v>
      </c>
      <c r="D2534" t="s">
        <v>5465</v>
      </c>
      <c r="E2534" t="s">
        <v>5466</v>
      </c>
      <c r="F2534">
        <v>65.75</v>
      </c>
      <c r="J2534" t="s">
        <v>2603</v>
      </c>
    </row>
    <row r="2535" spans="1:10" ht="15" customHeight="1" x14ac:dyDescent="0.2">
      <c r="A2535" s="420">
        <v>45870</v>
      </c>
      <c r="B2535" t="s">
        <v>2532</v>
      </c>
      <c r="C2535" t="s">
        <v>5444</v>
      </c>
      <c r="D2535" t="s">
        <v>5467</v>
      </c>
      <c r="E2535" t="s">
        <v>1272</v>
      </c>
      <c r="G2535">
        <v>65.75</v>
      </c>
      <c r="I2535">
        <v>65.75</v>
      </c>
      <c r="J2535" t="s">
        <v>2603</v>
      </c>
    </row>
    <row r="2536" spans="1:10" ht="15" customHeight="1" x14ac:dyDescent="0.2">
      <c r="A2536" s="420">
        <v>45876</v>
      </c>
      <c r="B2536" t="s">
        <v>2333</v>
      </c>
      <c r="C2536" t="s">
        <v>5444</v>
      </c>
      <c r="D2536" t="s">
        <v>5468</v>
      </c>
      <c r="E2536" t="s">
        <v>5469</v>
      </c>
      <c r="F2536">
        <v>65.75</v>
      </c>
      <c r="J2536" t="s">
        <v>2604</v>
      </c>
    </row>
    <row r="2537" spans="1:10" ht="15" customHeight="1" x14ac:dyDescent="0.2">
      <c r="A2537" s="420">
        <v>45901</v>
      </c>
      <c r="B2537" t="s">
        <v>2532</v>
      </c>
      <c r="C2537" t="s">
        <v>5444</v>
      </c>
      <c r="D2537" t="s">
        <v>5470</v>
      </c>
      <c r="E2537" t="s">
        <v>1275</v>
      </c>
      <c r="G2537">
        <v>65.75</v>
      </c>
      <c r="I2537">
        <v>65.75</v>
      </c>
      <c r="J2537" t="s">
        <v>2599</v>
      </c>
    </row>
    <row r="2538" spans="1:10" ht="15" customHeight="1" x14ac:dyDescent="0.2">
      <c r="A2538" s="420">
        <v>45909</v>
      </c>
      <c r="B2538" t="s">
        <v>2333</v>
      </c>
      <c r="C2538" t="s">
        <v>5444</v>
      </c>
      <c r="D2538" t="s">
        <v>5471</v>
      </c>
      <c r="E2538" t="s">
        <v>5472</v>
      </c>
      <c r="F2538">
        <v>65.75</v>
      </c>
      <c r="J2538" t="s">
        <v>2599</v>
      </c>
    </row>
    <row r="2539" spans="1:10" ht="15" customHeight="1" x14ac:dyDescent="0.2">
      <c r="A2539" s="420">
        <v>45931</v>
      </c>
      <c r="B2539" t="s">
        <v>2532</v>
      </c>
      <c r="C2539" t="s">
        <v>5444</v>
      </c>
      <c r="D2539" t="s">
        <v>5473</v>
      </c>
      <c r="E2539" t="s">
        <v>1281</v>
      </c>
      <c r="G2539">
        <v>65.75</v>
      </c>
      <c r="I2539">
        <v>65.75</v>
      </c>
      <c r="J2539" t="s">
        <v>2600</v>
      </c>
    </row>
    <row r="2540" spans="1:10" ht="15" customHeight="1" x14ac:dyDescent="0.2">
      <c r="A2540" s="420">
        <v>45938</v>
      </c>
      <c r="B2540" t="s">
        <v>2333</v>
      </c>
      <c r="C2540" t="s">
        <v>5444</v>
      </c>
      <c r="D2540" t="s">
        <v>5474</v>
      </c>
      <c r="E2540" t="s">
        <v>5475</v>
      </c>
      <c r="F2540">
        <v>65.75</v>
      </c>
      <c r="J2540" t="s">
        <v>2600</v>
      </c>
    </row>
    <row r="2541" spans="1:10" ht="15" customHeight="1" x14ac:dyDescent="0.2">
      <c r="A2541" s="420">
        <v>45962</v>
      </c>
      <c r="B2541" t="s">
        <v>2532</v>
      </c>
      <c r="C2541" t="s">
        <v>5444</v>
      </c>
      <c r="D2541" t="s">
        <v>5476</v>
      </c>
      <c r="E2541" t="s">
        <v>1283</v>
      </c>
      <c r="G2541">
        <v>65.75</v>
      </c>
      <c r="I2541">
        <v>65.75</v>
      </c>
      <c r="J2541" t="s">
        <v>2601</v>
      </c>
    </row>
    <row r="2542" spans="1:10" ht="15" customHeight="1" x14ac:dyDescent="0.2">
      <c r="A2542" s="420">
        <v>45968</v>
      </c>
      <c r="B2542" t="s">
        <v>2333</v>
      </c>
      <c r="C2542" t="s">
        <v>5444</v>
      </c>
      <c r="D2542" t="s">
        <v>5477</v>
      </c>
      <c r="E2542" t="s">
        <v>5478</v>
      </c>
      <c r="F2542">
        <v>65.75</v>
      </c>
      <c r="J2542" t="s">
        <v>2601</v>
      </c>
    </row>
    <row r="2543" spans="1:10" ht="15" customHeight="1" x14ac:dyDescent="0.2">
      <c r="A2543" s="420">
        <v>45992</v>
      </c>
      <c r="B2543" t="s">
        <v>2532</v>
      </c>
      <c r="C2543" t="s">
        <v>5444</v>
      </c>
      <c r="D2543" t="s">
        <v>5479</v>
      </c>
      <c r="E2543" t="s">
        <v>1286</v>
      </c>
      <c r="G2543">
        <v>65.75</v>
      </c>
      <c r="I2543">
        <v>65.75</v>
      </c>
      <c r="J2543" t="s">
        <v>2602</v>
      </c>
    </row>
    <row r="2544" spans="1:10" ht="15" customHeight="1" x14ac:dyDescent="0.2">
      <c r="A2544" s="420">
        <v>46000</v>
      </c>
      <c r="B2544" t="s">
        <v>2333</v>
      </c>
      <c r="C2544" t="s">
        <v>5444</v>
      </c>
      <c r="D2544" t="s">
        <v>5480</v>
      </c>
      <c r="E2544" t="s">
        <v>5481</v>
      </c>
      <c r="F2544">
        <v>65.75</v>
      </c>
      <c r="J2544" t="s">
        <v>2602</v>
      </c>
    </row>
    <row r="2545" spans="1:10" ht="15" customHeight="1" x14ac:dyDescent="0.2">
      <c r="A2545" t="s">
        <v>5444</v>
      </c>
      <c r="E2545" t="s">
        <v>349</v>
      </c>
      <c r="F2545">
        <v>789</v>
      </c>
      <c r="G2545">
        <v>789</v>
      </c>
    </row>
    <row r="2547" spans="1:10" ht="15" customHeight="1" x14ac:dyDescent="0.2">
      <c r="A2547" t="s">
        <v>5482</v>
      </c>
      <c r="B2547" t="s">
        <v>5483</v>
      </c>
      <c r="F2547" t="s">
        <v>2430</v>
      </c>
      <c r="G2547" t="s">
        <v>2431</v>
      </c>
      <c r="H2547" t="s">
        <v>2432</v>
      </c>
      <c r="I2547" t="s">
        <v>2433</v>
      </c>
      <c r="J2547" t="s">
        <v>2434</v>
      </c>
    </row>
    <row r="2548" spans="1:10" ht="15" customHeight="1" x14ac:dyDescent="0.2">
      <c r="A2548" s="420">
        <v>45658</v>
      </c>
      <c r="B2548" t="s">
        <v>2435</v>
      </c>
      <c r="C2548" t="s">
        <v>5482</v>
      </c>
      <c r="D2548" t="s">
        <v>2436</v>
      </c>
      <c r="E2548" t="s">
        <v>5484</v>
      </c>
      <c r="G2548">
        <v>40.630000000000003</v>
      </c>
      <c r="I2548">
        <v>40.630000000000003</v>
      </c>
      <c r="J2548" t="s">
        <v>2511</v>
      </c>
    </row>
    <row r="2549" spans="1:10" ht="15" customHeight="1" x14ac:dyDescent="0.2">
      <c r="A2549" s="420">
        <v>45658</v>
      </c>
      <c r="B2549" t="s">
        <v>2435</v>
      </c>
      <c r="C2549" t="s">
        <v>5482</v>
      </c>
      <c r="D2549" t="s">
        <v>2436</v>
      </c>
      <c r="E2549" t="s">
        <v>5485</v>
      </c>
      <c r="F2549">
        <v>40.630000000000003</v>
      </c>
      <c r="J2549" t="s">
        <v>2511</v>
      </c>
    </row>
    <row r="2550" spans="1:10" ht="15" customHeight="1" x14ac:dyDescent="0.2">
      <c r="A2550" s="420">
        <v>45705</v>
      </c>
      <c r="B2550" t="s">
        <v>2532</v>
      </c>
      <c r="C2550" t="s">
        <v>5482</v>
      </c>
      <c r="D2550" t="s">
        <v>5486</v>
      </c>
      <c r="E2550" t="s">
        <v>1455</v>
      </c>
      <c r="G2550">
        <v>105.58</v>
      </c>
      <c r="I2550">
        <v>105.58</v>
      </c>
      <c r="J2550" t="s">
        <v>2509</v>
      </c>
    </row>
    <row r="2551" spans="1:10" ht="15" customHeight="1" x14ac:dyDescent="0.2">
      <c r="A2551" s="420">
        <v>45706</v>
      </c>
      <c r="B2551" t="s">
        <v>2333</v>
      </c>
      <c r="C2551" t="s">
        <v>5482</v>
      </c>
      <c r="D2551" t="s">
        <v>5487</v>
      </c>
      <c r="E2551" t="s">
        <v>5488</v>
      </c>
      <c r="F2551">
        <v>105.58</v>
      </c>
      <c r="J2551" t="s">
        <v>2509</v>
      </c>
    </row>
    <row r="2552" spans="1:10" ht="15" customHeight="1" x14ac:dyDescent="0.2">
      <c r="A2552" t="s">
        <v>5482</v>
      </c>
      <c r="E2552" t="s">
        <v>349</v>
      </c>
      <c r="F2552">
        <v>146.21</v>
      </c>
      <c r="G2552">
        <v>146.21</v>
      </c>
    </row>
    <row r="2554" spans="1:10" ht="15" customHeight="1" x14ac:dyDescent="0.2">
      <c r="A2554" t="s">
        <v>5489</v>
      </c>
      <c r="B2554" t="s">
        <v>5490</v>
      </c>
      <c r="F2554" t="s">
        <v>2430</v>
      </c>
      <c r="G2554" t="s">
        <v>2431</v>
      </c>
      <c r="H2554" t="s">
        <v>2432</v>
      </c>
      <c r="I2554" t="s">
        <v>2433</v>
      </c>
      <c r="J2554" t="s">
        <v>2434</v>
      </c>
    </row>
    <row r="2555" spans="1:10" ht="15" customHeight="1" x14ac:dyDescent="0.2">
      <c r="A2555" s="420">
        <v>45658</v>
      </c>
      <c r="B2555" t="s">
        <v>2507</v>
      </c>
      <c r="C2555" t="s">
        <v>5489</v>
      </c>
      <c r="D2555" t="s">
        <v>5491</v>
      </c>
      <c r="E2555" t="s">
        <v>1068</v>
      </c>
      <c r="F2555">
        <v>871.97</v>
      </c>
      <c r="H2555">
        <v>871.97</v>
      </c>
      <c r="J2555" t="s">
        <v>2513</v>
      </c>
    </row>
    <row r="2556" spans="1:10" ht="15" customHeight="1" x14ac:dyDescent="0.2">
      <c r="A2556" s="420">
        <v>45658</v>
      </c>
      <c r="B2556" t="s">
        <v>2507</v>
      </c>
      <c r="C2556" t="s">
        <v>5489</v>
      </c>
      <c r="D2556" t="s">
        <v>5492</v>
      </c>
      <c r="E2556" t="s">
        <v>1071</v>
      </c>
      <c r="F2556">
        <v>672</v>
      </c>
      <c r="H2556">
        <v>1543.97</v>
      </c>
      <c r="J2556" t="s">
        <v>2585</v>
      </c>
    </row>
    <row r="2557" spans="1:10" ht="15" customHeight="1" x14ac:dyDescent="0.2">
      <c r="A2557" s="420">
        <v>45658</v>
      </c>
      <c r="B2557" t="s">
        <v>2507</v>
      </c>
      <c r="C2557" t="s">
        <v>5489</v>
      </c>
      <c r="D2557" t="s">
        <v>5493</v>
      </c>
      <c r="E2557" t="s">
        <v>1435</v>
      </c>
      <c r="F2557">
        <v>1112.0899999999999</v>
      </c>
      <c r="H2557">
        <v>2656.06</v>
      </c>
      <c r="J2557" t="s">
        <v>2586</v>
      </c>
    </row>
    <row r="2558" spans="1:10" ht="15" customHeight="1" x14ac:dyDescent="0.2">
      <c r="A2558" s="420">
        <v>45658</v>
      </c>
      <c r="B2558" t="s">
        <v>2507</v>
      </c>
      <c r="C2558" t="s">
        <v>5489</v>
      </c>
      <c r="D2558" t="s">
        <v>5494</v>
      </c>
      <c r="E2558" t="s">
        <v>1726</v>
      </c>
      <c r="F2558">
        <v>144.44</v>
      </c>
      <c r="H2558">
        <v>2800.5</v>
      </c>
      <c r="J2558" t="s">
        <v>2587</v>
      </c>
    </row>
    <row r="2559" spans="1:10" ht="15" customHeight="1" x14ac:dyDescent="0.2">
      <c r="A2559" s="420">
        <v>45658</v>
      </c>
      <c r="B2559" t="s">
        <v>2507</v>
      </c>
      <c r="C2559" t="s">
        <v>5489</v>
      </c>
      <c r="D2559" t="s">
        <v>5495</v>
      </c>
      <c r="E2559" t="s">
        <v>5496</v>
      </c>
      <c r="F2559">
        <v>15957.6</v>
      </c>
      <c r="H2559">
        <v>18758.099999999999</v>
      </c>
      <c r="J2559" t="s">
        <v>2603</v>
      </c>
    </row>
    <row r="2560" spans="1:10" ht="15" customHeight="1" x14ac:dyDescent="0.2">
      <c r="A2560" s="420">
        <v>45658</v>
      </c>
      <c r="B2560" t="s">
        <v>2507</v>
      </c>
      <c r="C2560" t="s">
        <v>5489</v>
      </c>
      <c r="D2560" t="s">
        <v>5497</v>
      </c>
      <c r="E2560" t="s">
        <v>5498</v>
      </c>
      <c r="F2560">
        <v>6649.2</v>
      </c>
      <c r="H2560">
        <v>25407.3</v>
      </c>
      <c r="J2560" t="s">
        <v>2604</v>
      </c>
    </row>
    <row r="2561" spans="1:10" ht="15" customHeight="1" x14ac:dyDescent="0.2">
      <c r="A2561" s="420">
        <v>45658</v>
      </c>
      <c r="B2561" t="s">
        <v>2507</v>
      </c>
      <c r="C2561" t="s">
        <v>5489</v>
      </c>
      <c r="D2561" t="s">
        <v>5499</v>
      </c>
      <c r="E2561" t="s">
        <v>5500</v>
      </c>
      <c r="F2561">
        <v>469600</v>
      </c>
      <c r="H2561">
        <v>495007.3</v>
      </c>
      <c r="J2561" t="s">
        <v>2599</v>
      </c>
    </row>
    <row r="2562" spans="1:10" ht="15" customHeight="1" x14ac:dyDescent="0.2">
      <c r="A2562" s="420">
        <v>45658</v>
      </c>
      <c r="B2562" t="s">
        <v>2507</v>
      </c>
      <c r="C2562" t="s">
        <v>5489</v>
      </c>
      <c r="D2562" t="s">
        <v>5501</v>
      </c>
      <c r="E2562" t="s">
        <v>5502</v>
      </c>
      <c r="F2562">
        <v>47501</v>
      </c>
      <c r="H2562">
        <v>542508.30000000005</v>
      </c>
      <c r="J2562" t="s">
        <v>2600</v>
      </c>
    </row>
    <row r="2563" spans="1:10" ht="15" customHeight="1" x14ac:dyDescent="0.2">
      <c r="A2563" s="420">
        <v>45658</v>
      </c>
      <c r="B2563" t="s">
        <v>2435</v>
      </c>
      <c r="C2563" t="s">
        <v>5489</v>
      </c>
      <c r="D2563" t="s">
        <v>2436</v>
      </c>
      <c r="E2563" t="s">
        <v>5503</v>
      </c>
      <c r="G2563">
        <v>871.97</v>
      </c>
      <c r="H2563">
        <v>541636.32999999996</v>
      </c>
      <c r="J2563" t="s">
        <v>2513</v>
      </c>
    </row>
    <row r="2564" spans="1:10" ht="15" customHeight="1" x14ac:dyDescent="0.2">
      <c r="A2564" s="420">
        <v>45658</v>
      </c>
      <c r="B2564" t="s">
        <v>2435</v>
      </c>
      <c r="C2564" t="s">
        <v>5489</v>
      </c>
      <c r="D2564" t="s">
        <v>2436</v>
      </c>
      <c r="E2564" t="s">
        <v>5504</v>
      </c>
      <c r="G2564">
        <v>672</v>
      </c>
      <c r="H2564">
        <v>540964.32999999996</v>
      </c>
      <c r="J2564" t="s">
        <v>2585</v>
      </c>
    </row>
    <row r="2565" spans="1:10" ht="15" customHeight="1" x14ac:dyDescent="0.2">
      <c r="A2565" s="420">
        <v>45658</v>
      </c>
      <c r="B2565" t="s">
        <v>2435</v>
      </c>
      <c r="C2565" t="s">
        <v>5489</v>
      </c>
      <c r="D2565" t="s">
        <v>2436</v>
      </c>
      <c r="E2565" t="s">
        <v>5505</v>
      </c>
      <c r="G2565">
        <v>1112.0899999999999</v>
      </c>
      <c r="H2565">
        <v>539852.24</v>
      </c>
      <c r="J2565" t="s">
        <v>2586</v>
      </c>
    </row>
    <row r="2566" spans="1:10" ht="15" customHeight="1" x14ac:dyDescent="0.2">
      <c r="A2566" s="420">
        <v>45658</v>
      </c>
      <c r="B2566" t="s">
        <v>2435</v>
      </c>
      <c r="C2566" t="s">
        <v>5489</v>
      </c>
      <c r="D2566" t="s">
        <v>2436</v>
      </c>
      <c r="E2566" t="s">
        <v>5506</v>
      </c>
      <c r="G2566">
        <v>144.44</v>
      </c>
      <c r="H2566">
        <v>539707.80000000005</v>
      </c>
      <c r="J2566" t="s">
        <v>2587</v>
      </c>
    </row>
    <row r="2567" spans="1:10" ht="15" customHeight="1" x14ac:dyDescent="0.2">
      <c r="A2567" s="420">
        <v>45658</v>
      </c>
      <c r="B2567" t="s">
        <v>2435</v>
      </c>
      <c r="C2567" t="s">
        <v>5489</v>
      </c>
      <c r="D2567" t="s">
        <v>2436</v>
      </c>
      <c r="E2567" t="s">
        <v>5507</v>
      </c>
      <c r="G2567">
        <v>469600</v>
      </c>
      <c r="H2567">
        <v>70107.8</v>
      </c>
      <c r="J2567" t="s">
        <v>2599</v>
      </c>
    </row>
    <row r="2568" spans="1:10" ht="15" customHeight="1" x14ac:dyDescent="0.2">
      <c r="A2568" s="420">
        <v>45658</v>
      </c>
      <c r="B2568" t="s">
        <v>2435</v>
      </c>
      <c r="C2568" t="s">
        <v>5489</v>
      </c>
      <c r="D2568" t="s">
        <v>2436</v>
      </c>
      <c r="E2568" t="s">
        <v>5508</v>
      </c>
      <c r="G2568">
        <v>47501</v>
      </c>
      <c r="H2568">
        <v>22606.799999999999</v>
      </c>
      <c r="J2568" t="s">
        <v>2600</v>
      </c>
    </row>
    <row r="2569" spans="1:10" ht="15" customHeight="1" x14ac:dyDescent="0.2">
      <c r="A2569" s="420">
        <v>45658</v>
      </c>
      <c r="B2569" t="s">
        <v>2435</v>
      </c>
      <c r="C2569" t="s">
        <v>5489</v>
      </c>
      <c r="D2569" t="s">
        <v>2436</v>
      </c>
      <c r="E2569" t="s">
        <v>5509</v>
      </c>
      <c r="G2569">
        <v>15957.6</v>
      </c>
      <c r="H2569">
        <v>6649.2</v>
      </c>
      <c r="J2569" t="s">
        <v>2603</v>
      </c>
    </row>
    <row r="2570" spans="1:10" ht="15" customHeight="1" x14ac:dyDescent="0.2">
      <c r="A2570" s="420">
        <v>45658</v>
      </c>
      <c r="B2570" t="s">
        <v>2435</v>
      </c>
      <c r="C2570" t="s">
        <v>5489</v>
      </c>
      <c r="D2570" t="s">
        <v>2436</v>
      </c>
      <c r="E2570" t="s">
        <v>5510</v>
      </c>
      <c r="G2570">
        <v>6649.2</v>
      </c>
      <c r="J2570" t="s">
        <v>2604</v>
      </c>
    </row>
    <row r="2571" spans="1:10" ht="15" customHeight="1" x14ac:dyDescent="0.2">
      <c r="A2571" s="420">
        <v>45838</v>
      </c>
      <c r="B2571" t="s">
        <v>2535</v>
      </c>
      <c r="C2571" t="s">
        <v>5489</v>
      </c>
      <c r="D2571" t="s">
        <v>5511</v>
      </c>
      <c r="E2571" t="s">
        <v>1107</v>
      </c>
      <c r="G2571">
        <v>2497.1999999999998</v>
      </c>
      <c r="I2571">
        <v>2497.1999999999998</v>
      </c>
      <c r="J2571" t="s">
        <v>2601</v>
      </c>
    </row>
    <row r="2572" spans="1:10" ht="15" customHeight="1" x14ac:dyDescent="0.2">
      <c r="A2572" s="420">
        <v>45838</v>
      </c>
      <c r="B2572" t="s">
        <v>2535</v>
      </c>
      <c r="C2572" t="s">
        <v>5489</v>
      </c>
      <c r="D2572" t="s">
        <v>5512</v>
      </c>
      <c r="E2572" t="s">
        <v>1109</v>
      </c>
      <c r="G2572">
        <v>342</v>
      </c>
      <c r="I2572">
        <v>2839.2</v>
      </c>
      <c r="J2572" t="s">
        <v>2602</v>
      </c>
    </row>
    <row r="2573" spans="1:10" ht="15" customHeight="1" x14ac:dyDescent="0.2">
      <c r="A2573" s="420">
        <v>45838</v>
      </c>
      <c r="B2573" t="s">
        <v>2535</v>
      </c>
      <c r="C2573" t="s">
        <v>5489</v>
      </c>
      <c r="D2573" t="s">
        <v>5513</v>
      </c>
      <c r="E2573" t="s">
        <v>1110</v>
      </c>
      <c r="G2573">
        <v>1620</v>
      </c>
      <c r="I2573">
        <v>4459.2</v>
      </c>
      <c r="J2573" t="s">
        <v>2605</v>
      </c>
    </row>
    <row r="2574" spans="1:10" ht="15" customHeight="1" x14ac:dyDescent="0.2">
      <c r="A2574" s="420">
        <v>45838</v>
      </c>
      <c r="B2574" t="s">
        <v>2535</v>
      </c>
      <c r="C2574" t="s">
        <v>5489</v>
      </c>
      <c r="D2574" t="s">
        <v>5514</v>
      </c>
      <c r="E2574" t="s">
        <v>1515</v>
      </c>
      <c r="G2574">
        <v>1752</v>
      </c>
      <c r="I2574">
        <v>6211.2</v>
      </c>
      <c r="J2574" t="s">
        <v>2710</v>
      </c>
    </row>
    <row r="2575" spans="1:10" ht="15" customHeight="1" x14ac:dyDescent="0.2">
      <c r="A2575" s="420">
        <v>45838</v>
      </c>
      <c r="B2575" t="s">
        <v>2535</v>
      </c>
      <c r="C2575" t="s">
        <v>5489</v>
      </c>
      <c r="D2575" t="s">
        <v>5515</v>
      </c>
      <c r="E2575" t="s">
        <v>1517</v>
      </c>
      <c r="G2575">
        <v>2091.71</v>
      </c>
      <c r="I2575">
        <v>8302.91</v>
      </c>
      <c r="J2575" t="s">
        <v>2715</v>
      </c>
    </row>
    <row r="2576" spans="1:10" ht="15" customHeight="1" x14ac:dyDescent="0.2">
      <c r="A2576" s="420">
        <v>45838</v>
      </c>
      <c r="B2576" t="s">
        <v>2535</v>
      </c>
      <c r="C2576" t="s">
        <v>5489</v>
      </c>
      <c r="D2576" t="s">
        <v>5516</v>
      </c>
      <c r="E2576" t="s">
        <v>5517</v>
      </c>
      <c r="G2576">
        <v>11952</v>
      </c>
      <c r="I2576">
        <v>20254.91</v>
      </c>
      <c r="J2576" t="s">
        <v>2731</v>
      </c>
    </row>
    <row r="2577" spans="1:10" ht="15" customHeight="1" x14ac:dyDescent="0.2">
      <c r="A2577" s="420">
        <v>45838</v>
      </c>
      <c r="B2577" t="s">
        <v>2535</v>
      </c>
      <c r="C2577" t="s">
        <v>5489</v>
      </c>
      <c r="D2577" t="s">
        <v>5518</v>
      </c>
      <c r="E2577" t="s">
        <v>5519</v>
      </c>
      <c r="G2577">
        <v>29912.400000000001</v>
      </c>
      <c r="I2577">
        <v>50167.31</v>
      </c>
      <c r="J2577" t="s">
        <v>2941</v>
      </c>
    </row>
    <row r="2578" spans="1:10" ht="15" customHeight="1" x14ac:dyDescent="0.2">
      <c r="A2578" s="420">
        <v>45838</v>
      </c>
      <c r="B2578" t="s">
        <v>2535</v>
      </c>
      <c r="C2578" t="s">
        <v>5489</v>
      </c>
      <c r="D2578" t="s">
        <v>5520</v>
      </c>
      <c r="E2578" t="s">
        <v>5521</v>
      </c>
      <c r="G2578">
        <v>561679</v>
      </c>
      <c r="I2578">
        <v>611846.31000000006</v>
      </c>
      <c r="J2578" t="s">
        <v>2376</v>
      </c>
    </row>
    <row r="2579" spans="1:10" ht="15" customHeight="1" x14ac:dyDescent="0.2">
      <c r="A2579" s="420">
        <v>45838</v>
      </c>
      <c r="B2579" t="s">
        <v>2535</v>
      </c>
      <c r="C2579" t="s">
        <v>5489</v>
      </c>
      <c r="D2579" t="s">
        <v>5522</v>
      </c>
      <c r="E2579" t="s">
        <v>5523</v>
      </c>
      <c r="G2579">
        <v>54615</v>
      </c>
      <c r="I2579">
        <v>666461.31000000006</v>
      </c>
      <c r="J2579" t="s">
        <v>2937</v>
      </c>
    </row>
    <row r="2580" spans="1:10" ht="15" customHeight="1" x14ac:dyDescent="0.2">
      <c r="A2580" s="420">
        <v>45838</v>
      </c>
      <c r="B2580" t="s">
        <v>2535</v>
      </c>
      <c r="C2580" t="s">
        <v>5489</v>
      </c>
      <c r="D2580" t="s">
        <v>5524</v>
      </c>
      <c r="E2580" t="s">
        <v>1889</v>
      </c>
      <c r="G2580">
        <v>6096.25</v>
      </c>
      <c r="I2580">
        <v>672557.56</v>
      </c>
      <c r="J2580" t="s">
        <v>3246</v>
      </c>
    </row>
    <row r="2581" spans="1:10" ht="15" customHeight="1" x14ac:dyDescent="0.2">
      <c r="A2581" s="420">
        <v>45839</v>
      </c>
      <c r="B2581" t="s">
        <v>2535</v>
      </c>
      <c r="C2581" t="s">
        <v>5489</v>
      </c>
      <c r="D2581" t="s">
        <v>5511</v>
      </c>
      <c r="E2581" t="s">
        <v>1118</v>
      </c>
      <c r="F2581">
        <v>2497.1999999999998</v>
      </c>
      <c r="I2581">
        <v>670060.36</v>
      </c>
      <c r="J2581" t="s">
        <v>2601</v>
      </c>
    </row>
    <row r="2582" spans="1:10" ht="15" customHeight="1" x14ac:dyDescent="0.2">
      <c r="A2582" s="420">
        <v>45839</v>
      </c>
      <c r="B2582" t="s">
        <v>2535</v>
      </c>
      <c r="C2582" t="s">
        <v>5489</v>
      </c>
      <c r="D2582" t="s">
        <v>5512</v>
      </c>
      <c r="E2582" t="s">
        <v>1119</v>
      </c>
      <c r="F2582">
        <v>342</v>
      </c>
      <c r="I2582">
        <v>669718.36</v>
      </c>
      <c r="J2582" t="s">
        <v>2602</v>
      </c>
    </row>
    <row r="2583" spans="1:10" ht="15" customHeight="1" x14ac:dyDescent="0.2">
      <c r="A2583" s="420">
        <v>45839</v>
      </c>
      <c r="B2583" t="s">
        <v>2535</v>
      </c>
      <c r="C2583" t="s">
        <v>5489</v>
      </c>
      <c r="D2583" t="s">
        <v>5513</v>
      </c>
      <c r="E2583" t="s">
        <v>1120</v>
      </c>
      <c r="F2583">
        <v>1620</v>
      </c>
      <c r="I2583">
        <v>668098.36</v>
      </c>
      <c r="J2583" t="s">
        <v>2605</v>
      </c>
    </row>
    <row r="2584" spans="1:10" ht="15" customHeight="1" x14ac:dyDescent="0.2">
      <c r="A2584" s="420">
        <v>45839</v>
      </c>
      <c r="B2584" t="s">
        <v>2535</v>
      </c>
      <c r="C2584" t="s">
        <v>5489</v>
      </c>
      <c r="D2584" t="s">
        <v>5514</v>
      </c>
      <c r="E2584" t="s">
        <v>1519</v>
      </c>
      <c r="F2584">
        <v>1752</v>
      </c>
      <c r="I2584">
        <v>666346.36</v>
      </c>
      <c r="J2584" t="s">
        <v>2710</v>
      </c>
    </row>
    <row r="2585" spans="1:10" ht="15" customHeight="1" x14ac:dyDescent="0.2">
      <c r="A2585" s="420">
        <v>45839</v>
      </c>
      <c r="B2585" t="s">
        <v>2535</v>
      </c>
      <c r="C2585" t="s">
        <v>5489</v>
      </c>
      <c r="D2585" t="s">
        <v>5515</v>
      </c>
      <c r="E2585" t="s">
        <v>1523</v>
      </c>
      <c r="F2585">
        <v>2091.71</v>
      </c>
      <c r="I2585">
        <v>664254.65</v>
      </c>
      <c r="J2585" t="s">
        <v>2715</v>
      </c>
    </row>
    <row r="2586" spans="1:10" ht="15" customHeight="1" x14ac:dyDescent="0.2">
      <c r="A2586" s="420">
        <v>45839</v>
      </c>
      <c r="B2586" t="s">
        <v>2535</v>
      </c>
      <c r="C2586" t="s">
        <v>5489</v>
      </c>
      <c r="D2586" t="s">
        <v>5516</v>
      </c>
      <c r="E2586" t="s">
        <v>5525</v>
      </c>
      <c r="F2586">
        <v>11952</v>
      </c>
      <c r="I2586">
        <v>652302.65</v>
      </c>
      <c r="J2586" t="s">
        <v>2731</v>
      </c>
    </row>
    <row r="2587" spans="1:10" ht="15" customHeight="1" x14ac:dyDescent="0.2">
      <c r="A2587" s="420">
        <v>45839</v>
      </c>
      <c r="B2587" t="s">
        <v>2535</v>
      </c>
      <c r="C2587" t="s">
        <v>5489</v>
      </c>
      <c r="D2587" t="s">
        <v>5518</v>
      </c>
      <c r="E2587" t="s">
        <v>5526</v>
      </c>
      <c r="F2587">
        <v>29912.400000000001</v>
      </c>
      <c r="I2587">
        <v>622390.25</v>
      </c>
      <c r="J2587" t="s">
        <v>2941</v>
      </c>
    </row>
    <row r="2588" spans="1:10" ht="15" customHeight="1" x14ac:dyDescent="0.2">
      <c r="A2588" s="420">
        <v>45839</v>
      </c>
      <c r="B2588" t="s">
        <v>2535</v>
      </c>
      <c r="C2588" t="s">
        <v>5489</v>
      </c>
      <c r="D2588" t="s">
        <v>5522</v>
      </c>
      <c r="E2588" t="s">
        <v>5527</v>
      </c>
      <c r="F2588">
        <v>54615</v>
      </c>
      <c r="I2588">
        <v>567775.25</v>
      </c>
      <c r="J2588" t="s">
        <v>2937</v>
      </c>
    </row>
    <row r="2589" spans="1:10" ht="15" customHeight="1" x14ac:dyDescent="0.2">
      <c r="A2589" s="420">
        <v>45839</v>
      </c>
      <c r="B2589" t="s">
        <v>2535</v>
      </c>
      <c r="C2589" t="s">
        <v>5489</v>
      </c>
      <c r="D2589" t="s">
        <v>5520</v>
      </c>
      <c r="E2589" t="s">
        <v>5528</v>
      </c>
      <c r="F2589">
        <v>561679</v>
      </c>
      <c r="I2589">
        <v>6096.25</v>
      </c>
      <c r="J2589" t="s">
        <v>2376</v>
      </c>
    </row>
    <row r="2590" spans="1:10" ht="15" customHeight="1" x14ac:dyDescent="0.2">
      <c r="A2590" s="420">
        <v>45839</v>
      </c>
      <c r="B2590" t="s">
        <v>2535</v>
      </c>
      <c r="C2590" t="s">
        <v>5489</v>
      </c>
      <c r="D2590" t="s">
        <v>5524</v>
      </c>
      <c r="E2590" t="s">
        <v>1893</v>
      </c>
      <c r="F2590">
        <v>6096.25</v>
      </c>
      <c r="J2590" t="s">
        <v>3246</v>
      </c>
    </row>
    <row r="2591" spans="1:10" ht="15" customHeight="1" x14ac:dyDescent="0.2">
      <c r="A2591" s="420">
        <v>46022</v>
      </c>
      <c r="B2591" t="s">
        <v>2507</v>
      </c>
      <c r="C2591" t="s">
        <v>5489</v>
      </c>
      <c r="D2591" t="s">
        <v>5529</v>
      </c>
      <c r="E2591" t="s">
        <v>1156</v>
      </c>
      <c r="G2591">
        <v>684</v>
      </c>
      <c r="I2591">
        <v>684</v>
      </c>
    </row>
    <row r="2592" spans="1:10" ht="15" customHeight="1" x14ac:dyDescent="0.2">
      <c r="A2592" s="420">
        <v>46022</v>
      </c>
      <c r="B2592" t="s">
        <v>2507</v>
      </c>
      <c r="C2592" t="s">
        <v>5489</v>
      </c>
      <c r="D2592" t="s">
        <v>5530</v>
      </c>
      <c r="E2592" t="s">
        <v>1617</v>
      </c>
      <c r="G2592">
        <v>1473.48</v>
      </c>
      <c r="I2592">
        <v>2157.48</v>
      </c>
    </row>
    <row r="2593" spans="1:10" ht="15" customHeight="1" x14ac:dyDescent="0.2">
      <c r="A2593" s="420">
        <v>46022</v>
      </c>
      <c r="B2593" t="s">
        <v>2507</v>
      </c>
      <c r="C2593" t="s">
        <v>5489</v>
      </c>
      <c r="D2593" t="s">
        <v>5531</v>
      </c>
      <c r="E2593" t="s">
        <v>1154</v>
      </c>
      <c r="G2593">
        <v>2152.8000000000002</v>
      </c>
      <c r="I2593">
        <v>4310.28</v>
      </c>
    </row>
    <row r="2594" spans="1:10" ht="15" customHeight="1" x14ac:dyDescent="0.2">
      <c r="A2594" s="420">
        <v>46022</v>
      </c>
      <c r="B2594" t="s">
        <v>2507</v>
      </c>
      <c r="C2594" t="s">
        <v>5489</v>
      </c>
      <c r="D2594" t="s">
        <v>5532</v>
      </c>
      <c r="E2594" t="s">
        <v>5532</v>
      </c>
      <c r="G2594">
        <v>969297</v>
      </c>
      <c r="I2594">
        <v>973607.28</v>
      </c>
      <c r="J2594" t="s">
        <v>2511</v>
      </c>
    </row>
    <row r="2595" spans="1:10" ht="15" customHeight="1" x14ac:dyDescent="0.2">
      <c r="A2595" s="420">
        <v>46022</v>
      </c>
      <c r="B2595" t="s">
        <v>2507</v>
      </c>
      <c r="C2595" t="s">
        <v>5489</v>
      </c>
      <c r="D2595" t="s">
        <v>5533</v>
      </c>
      <c r="E2595" t="s">
        <v>5533</v>
      </c>
      <c r="G2595">
        <v>89632</v>
      </c>
      <c r="I2595">
        <v>1063239.28</v>
      </c>
      <c r="J2595" t="s">
        <v>2509</v>
      </c>
    </row>
    <row r="2596" spans="1:10" ht="15" customHeight="1" x14ac:dyDescent="0.2">
      <c r="A2596" s="420">
        <v>46022</v>
      </c>
      <c r="B2596" t="s">
        <v>2507</v>
      </c>
      <c r="C2596" t="s">
        <v>5489</v>
      </c>
      <c r="D2596" t="s">
        <v>5534</v>
      </c>
      <c r="E2596" t="s">
        <v>5534</v>
      </c>
      <c r="G2596">
        <v>29596.799999999999</v>
      </c>
      <c r="I2596">
        <v>1092836.08</v>
      </c>
      <c r="J2596" t="s">
        <v>2513</v>
      </c>
    </row>
    <row r="2597" spans="1:10" ht="15" customHeight="1" x14ac:dyDescent="0.2">
      <c r="A2597" s="420">
        <v>46022</v>
      </c>
      <c r="B2597" t="s">
        <v>2507</v>
      </c>
      <c r="C2597" t="s">
        <v>5489</v>
      </c>
      <c r="D2597" t="s">
        <v>5535</v>
      </c>
      <c r="E2597" t="s">
        <v>5535</v>
      </c>
      <c r="G2597">
        <v>12196.8</v>
      </c>
      <c r="I2597">
        <v>1105032.8799999999</v>
      </c>
      <c r="J2597" t="s">
        <v>2585</v>
      </c>
    </row>
    <row r="2598" spans="1:10" ht="15" customHeight="1" x14ac:dyDescent="0.2">
      <c r="A2598" s="420">
        <v>46022</v>
      </c>
      <c r="B2598" t="s">
        <v>2507</v>
      </c>
      <c r="C2598" t="s">
        <v>5489</v>
      </c>
      <c r="D2598" t="s">
        <v>2008</v>
      </c>
      <c r="E2598" t="s">
        <v>2008</v>
      </c>
      <c r="G2598">
        <v>10313.08</v>
      </c>
      <c r="I2598">
        <v>1115345.96</v>
      </c>
      <c r="J2598" t="s">
        <v>2586</v>
      </c>
    </row>
    <row r="2599" spans="1:10" ht="15" customHeight="1" x14ac:dyDescent="0.2">
      <c r="A2599" s="420">
        <v>46022</v>
      </c>
      <c r="B2599" t="s">
        <v>2507</v>
      </c>
      <c r="C2599" t="s">
        <v>5489</v>
      </c>
      <c r="D2599" t="s">
        <v>1048</v>
      </c>
      <c r="E2599" t="s">
        <v>1048</v>
      </c>
      <c r="G2599">
        <v>3600</v>
      </c>
      <c r="I2599">
        <v>1118945.96</v>
      </c>
      <c r="J2599" t="s">
        <v>2587</v>
      </c>
    </row>
    <row r="2600" spans="1:10" ht="15" customHeight="1" x14ac:dyDescent="0.2">
      <c r="A2600" t="s">
        <v>5489</v>
      </c>
      <c r="E2600" t="s">
        <v>349</v>
      </c>
      <c r="F2600">
        <v>1215065.8600000001</v>
      </c>
      <c r="G2600">
        <v>2334011.8199999998</v>
      </c>
      <c r="I2600">
        <v>1118945.96</v>
      </c>
    </row>
    <row r="2602" spans="1:10" ht="15" customHeight="1" x14ac:dyDescent="0.2">
      <c r="A2602" t="s">
        <v>5536</v>
      </c>
      <c r="B2602" t="s">
        <v>5537</v>
      </c>
      <c r="F2602" t="s">
        <v>2430</v>
      </c>
      <c r="G2602" t="s">
        <v>2431</v>
      </c>
      <c r="H2602" t="s">
        <v>2432</v>
      </c>
      <c r="I2602" t="s">
        <v>2433</v>
      </c>
      <c r="J2602" t="s">
        <v>2434</v>
      </c>
    </row>
    <row r="2603" spans="1:10" ht="15" customHeight="1" x14ac:dyDescent="0.2">
      <c r="A2603" s="420">
        <v>45664</v>
      </c>
      <c r="B2603" t="s">
        <v>2333</v>
      </c>
      <c r="C2603" t="s">
        <v>5536</v>
      </c>
      <c r="D2603" t="s">
        <v>5538</v>
      </c>
      <c r="E2603" t="s">
        <v>5539</v>
      </c>
      <c r="G2603">
        <v>21355.200000000001</v>
      </c>
      <c r="I2603">
        <v>21355.200000000001</v>
      </c>
      <c r="J2603" t="s">
        <v>2509</v>
      </c>
    </row>
    <row r="2604" spans="1:10" ht="15" customHeight="1" x14ac:dyDescent="0.2">
      <c r="A2604" s="420">
        <v>45664</v>
      </c>
      <c r="B2604" t="s">
        <v>2439</v>
      </c>
      <c r="C2604" t="s">
        <v>5536</v>
      </c>
      <c r="D2604" t="s">
        <v>5540</v>
      </c>
      <c r="E2604" t="s">
        <v>5541</v>
      </c>
      <c r="G2604">
        <v>14236.8</v>
      </c>
      <c r="I2604">
        <v>35592</v>
      </c>
      <c r="J2604" t="s">
        <v>2509</v>
      </c>
    </row>
    <row r="2605" spans="1:10" ht="15" customHeight="1" x14ac:dyDescent="0.2">
      <c r="A2605" s="420">
        <v>45684</v>
      </c>
      <c r="B2605" t="s">
        <v>2333</v>
      </c>
      <c r="C2605" t="s">
        <v>5536</v>
      </c>
      <c r="D2605" t="s">
        <v>5542</v>
      </c>
      <c r="E2605" t="s">
        <v>5543</v>
      </c>
      <c r="F2605">
        <v>6000</v>
      </c>
      <c r="I2605">
        <v>29592</v>
      </c>
      <c r="J2605" t="s">
        <v>2511</v>
      </c>
    </row>
    <row r="2606" spans="1:10" ht="15" customHeight="1" x14ac:dyDescent="0.2">
      <c r="A2606" s="420">
        <v>45684</v>
      </c>
      <c r="B2606" t="s">
        <v>5544</v>
      </c>
      <c r="C2606" t="s">
        <v>5536</v>
      </c>
      <c r="D2606" t="s">
        <v>5545</v>
      </c>
      <c r="E2606" t="s">
        <v>5546</v>
      </c>
      <c r="G2606">
        <v>6000</v>
      </c>
      <c r="I2606">
        <v>35592</v>
      </c>
      <c r="J2606" t="s">
        <v>2511</v>
      </c>
    </row>
    <row r="2607" spans="1:10" ht="15" customHeight="1" x14ac:dyDescent="0.2">
      <c r="A2607" s="420">
        <v>45713</v>
      </c>
      <c r="B2607" t="s">
        <v>2439</v>
      </c>
      <c r="C2607" t="s">
        <v>5536</v>
      </c>
      <c r="D2607" t="s">
        <v>5547</v>
      </c>
      <c r="E2607" t="s">
        <v>5548</v>
      </c>
      <c r="G2607">
        <v>21529.360000000001</v>
      </c>
      <c r="I2607">
        <v>57121.36</v>
      </c>
      <c r="J2607" t="s">
        <v>2509</v>
      </c>
    </row>
    <row r="2608" spans="1:10" ht="15" customHeight="1" x14ac:dyDescent="0.2">
      <c r="A2608" s="420">
        <v>45744</v>
      </c>
      <c r="B2608" t="s">
        <v>2439</v>
      </c>
      <c r="C2608" t="s">
        <v>5536</v>
      </c>
      <c r="D2608" t="s">
        <v>5549</v>
      </c>
      <c r="E2608" t="s">
        <v>5550</v>
      </c>
      <c r="G2608">
        <v>28560.68</v>
      </c>
      <c r="I2608">
        <v>85682.04</v>
      </c>
      <c r="J2608" t="s">
        <v>2509</v>
      </c>
    </row>
    <row r="2609" spans="1:10" ht="15" customHeight="1" x14ac:dyDescent="0.2">
      <c r="A2609" s="420">
        <v>45764</v>
      </c>
      <c r="B2609" t="s">
        <v>2439</v>
      </c>
      <c r="C2609" t="s">
        <v>5536</v>
      </c>
      <c r="D2609" t="s">
        <v>5551</v>
      </c>
      <c r="E2609" t="s">
        <v>5552</v>
      </c>
      <c r="G2609">
        <v>49981.18</v>
      </c>
      <c r="I2609">
        <v>135663.22</v>
      </c>
      <c r="J2609" t="s">
        <v>2509</v>
      </c>
    </row>
    <row r="2610" spans="1:10" ht="15" customHeight="1" x14ac:dyDescent="0.2">
      <c r="A2610" s="420">
        <v>45769</v>
      </c>
      <c r="B2610" t="s">
        <v>2439</v>
      </c>
      <c r="C2610" t="s">
        <v>5536</v>
      </c>
      <c r="D2610" t="s">
        <v>5553</v>
      </c>
      <c r="E2610" t="s">
        <v>5554</v>
      </c>
      <c r="G2610">
        <v>7140.17</v>
      </c>
      <c r="I2610">
        <v>142803.39000000001</v>
      </c>
      <c r="J2610" t="s">
        <v>2509</v>
      </c>
    </row>
    <row r="2611" spans="1:10" ht="15" customHeight="1" x14ac:dyDescent="0.2">
      <c r="A2611" s="420">
        <v>45777</v>
      </c>
      <c r="B2611" t="s">
        <v>5544</v>
      </c>
      <c r="C2611" t="s">
        <v>5536</v>
      </c>
      <c r="D2611" t="s">
        <v>5555</v>
      </c>
      <c r="E2611" t="s">
        <v>5556</v>
      </c>
      <c r="F2611">
        <v>142803.37</v>
      </c>
      <c r="I2611">
        <v>0.02</v>
      </c>
      <c r="J2611" t="s">
        <v>2509</v>
      </c>
    </row>
    <row r="2612" spans="1:10" ht="15" customHeight="1" x14ac:dyDescent="0.2">
      <c r="A2612" s="420">
        <v>45777</v>
      </c>
      <c r="B2612" t="s">
        <v>2517</v>
      </c>
      <c r="C2612" t="s">
        <v>5536</v>
      </c>
      <c r="D2612" t="s">
        <v>5557</v>
      </c>
      <c r="E2612" t="s">
        <v>5558</v>
      </c>
      <c r="F2612">
        <v>0.02</v>
      </c>
      <c r="J2612" t="s">
        <v>2509</v>
      </c>
    </row>
    <row r="2613" spans="1:10" ht="15" customHeight="1" x14ac:dyDescent="0.2">
      <c r="A2613" t="s">
        <v>5536</v>
      </c>
      <c r="E2613" t="s">
        <v>349</v>
      </c>
      <c r="F2613">
        <v>148803.39000000001</v>
      </c>
      <c r="G2613">
        <v>148803.39000000001</v>
      </c>
    </row>
    <row r="2615" spans="1:10" ht="15" customHeight="1" x14ac:dyDescent="0.2">
      <c r="A2615" t="s">
        <v>5559</v>
      </c>
      <c r="B2615" t="s">
        <v>5560</v>
      </c>
      <c r="F2615" t="s">
        <v>2430</v>
      </c>
      <c r="G2615" t="s">
        <v>2431</v>
      </c>
      <c r="H2615" t="s">
        <v>2432</v>
      </c>
      <c r="I2615" t="s">
        <v>2433</v>
      </c>
      <c r="J2615" t="s">
        <v>2434</v>
      </c>
    </row>
    <row r="2616" spans="1:10" ht="15" customHeight="1" x14ac:dyDescent="0.2">
      <c r="A2616" s="420">
        <v>45875</v>
      </c>
      <c r="B2616" t="s">
        <v>2333</v>
      </c>
      <c r="C2616" t="s">
        <v>5559</v>
      </c>
      <c r="D2616" t="s">
        <v>5561</v>
      </c>
      <c r="E2616" t="s">
        <v>5562</v>
      </c>
      <c r="G2616">
        <v>25463.25</v>
      </c>
      <c r="I2616">
        <v>25463.25</v>
      </c>
    </row>
    <row r="2617" spans="1:10" ht="15" customHeight="1" x14ac:dyDescent="0.2">
      <c r="A2617" s="420">
        <v>45875</v>
      </c>
      <c r="B2617" t="s">
        <v>2333</v>
      </c>
      <c r="C2617" t="s">
        <v>5559</v>
      </c>
      <c r="D2617" t="s">
        <v>5561</v>
      </c>
      <c r="E2617" t="s">
        <v>5562</v>
      </c>
      <c r="G2617">
        <v>16975.5</v>
      </c>
      <c r="I2617">
        <v>42438.75</v>
      </c>
    </row>
    <row r="2618" spans="1:10" ht="15" customHeight="1" x14ac:dyDescent="0.2">
      <c r="A2618" s="420">
        <v>45897</v>
      </c>
      <c r="B2618" t="s">
        <v>2333</v>
      </c>
      <c r="C2618" t="s">
        <v>5559</v>
      </c>
      <c r="D2618" t="s">
        <v>5563</v>
      </c>
      <c r="E2618" t="s">
        <v>5564</v>
      </c>
      <c r="F2618">
        <v>6000</v>
      </c>
      <c r="I2618">
        <v>36438.75</v>
      </c>
      <c r="J2618" t="s">
        <v>2511</v>
      </c>
    </row>
    <row r="2619" spans="1:10" ht="15" customHeight="1" x14ac:dyDescent="0.2">
      <c r="A2619" s="420">
        <v>45897</v>
      </c>
      <c r="B2619" t="s">
        <v>5544</v>
      </c>
      <c r="C2619" t="s">
        <v>5559</v>
      </c>
      <c r="D2619" t="s">
        <v>5565</v>
      </c>
      <c r="E2619" t="s">
        <v>5566</v>
      </c>
      <c r="G2619">
        <v>6000</v>
      </c>
      <c r="I2619">
        <v>42438.75</v>
      </c>
      <c r="J2619" t="s">
        <v>2511</v>
      </c>
    </row>
    <row r="2620" spans="1:10" ht="15" customHeight="1" x14ac:dyDescent="0.2">
      <c r="A2620" s="420">
        <v>45989</v>
      </c>
      <c r="B2620" t="s">
        <v>2439</v>
      </c>
      <c r="C2620" t="s">
        <v>5559</v>
      </c>
      <c r="D2620" t="s">
        <v>5567</v>
      </c>
      <c r="E2620" t="s">
        <v>5568</v>
      </c>
      <c r="G2620">
        <v>26081.95</v>
      </c>
      <c r="I2620">
        <v>68520.7</v>
      </c>
    </row>
    <row r="2621" spans="1:10" ht="15" customHeight="1" x14ac:dyDescent="0.2">
      <c r="A2621" s="420">
        <v>46013</v>
      </c>
      <c r="B2621" t="s">
        <v>2439</v>
      </c>
      <c r="C2621" t="s">
        <v>5559</v>
      </c>
      <c r="D2621" t="s">
        <v>5569</v>
      </c>
      <c r="E2621" t="s">
        <v>5570</v>
      </c>
      <c r="G2621">
        <v>34260.35</v>
      </c>
      <c r="I2621">
        <v>102781.05</v>
      </c>
    </row>
    <row r="2622" spans="1:10" ht="15" customHeight="1" x14ac:dyDescent="0.2">
      <c r="A2622" s="420">
        <v>46013</v>
      </c>
      <c r="B2622" t="s">
        <v>2507</v>
      </c>
      <c r="C2622" t="s">
        <v>5559</v>
      </c>
      <c r="D2622" t="s">
        <v>5571</v>
      </c>
      <c r="E2622" t="s">
        <v>5572</v>
      </c>
      <c r="F2622">
        <v>102781.05</v>
      </c>
    </row>
    <row r="2623" spans="1:10" ht="15" customHeight="1" x14ac:dyDescent="0.2">
      <c r="A2623" t="s">
        <v>5559</v>
      </c>
      <c r="E2623" t="s">
        <v>349</v>
      </c>
      <c r="F2623">
        <v>108781.05</v>
      </c>
      <c r="G2623">
        <v>108781.05</v>
      </c>
    </row>
    <row r="2625" spans="1:10" ht="15" customHeight="1" x14ac:dyDescent="0.2">
      <c r="A2625" t="s">
        <v>5573</v>
      </c>
      <c r="B2625" t="s">
        <v>5574</v>
      </c>
      <c r="F2625" t="s">
        <v>2430</v>
      </c>
      <c r="G2625" t="s">
        <v>2431</v>
      </c>
      <c r="H2625" t="s">
        <v>2432</v>
      </c>
      <c r="I2625" t="s">
        <v>2433</v>
      </c>
      <c r="J2625" t="s">
        <v>2434</v>
      </c>
    </row>
    <row r="2626" spans="1:10" ht="15" customHeight="1" x14ac:dyDescent="0.2">
      <c r="A2626" s="420">
        <v>45658</v>
      </c>
      <c r="B2626" t="s">
        <v>2435</v>
      </c>
      <c r="C2626" t="s">
        <v>5573</v>
      </c>
      <c r="D2626" t="s">
        <v>2436</v>
      </c>
      <c r="E2626" t="s">
        <v>5575</v>
      </c>
      <c r="G2626">
        <v>750</v>
      </c>
      <c r="I2626">
        <v>750</v>
      </c>
      <c r="J2626" t="s">
        <v>2509</v>
      </c>
    </row>
    <row r="2627" spans="1:10" ht="15" customHeight="1" x14ac:dyDescent="0.2">
      <c r="A2627" s="420">
        <v>45658</v>
      </c>
      <c r="B2627" t="s">
        <v>2435</v>
      </c>
      <c r="C2627" t="s">
        <v>5573</v>
      </c>
      <c r="D2627" t="s">
        <v>2436</v>
      </c>
      <c r="E2627" t="s">
        <v>5576</v>
      </c>
      <c r="G2627">
        <v>22711.05</v>
      </c>
      <c r="I2627">
        <v>23461.05</v>
      </c>
      <c r="J2627" t="s">
        <v>2511</v>
      </c>
    </row>
    <row r="2628" spans="1:10" ht="15" customHeight="1" x14ac:dyDescent="0.2">
      <c r="A2628" s="420">
        <v>45658</v>
      </c>
      <c r="B2628" t="s">
        <v>2435</v>
      </c>
      <c r="C2628" t="s">
        <v>5573</v>
      </c>
      <c r="D2628" t="s">
        <v>2436</v>
      </c>
      <c r="E2628" t="s">
        <v>5577</v>
      </c>
      <c r="G2628">
        <v>15140.7</v>
      </c>
      <c r="I2628">
        <v>38601.75</v>
      </c>
      <c r="J2628" t="s">
        <v>2511</v>
      </c>
    </row>
    <row r="2629" spans="1:10" ht="15" customHeight="1" x14ac:dyDescent="0.2">
      <c r="A2629" s="420">
        <v>45658</v>
      </c>
      <c r="B2629" t="s">
        <v>2435</v>
      </c>
      <c r="C2629" t="s">
        <v>5573</v>
      </c>
      <c r="D2629" t="s">
        <v>2436</v>
      </c>
      <c r="E2629" t="s">
        <v>5578</v>
      </c>
      <c r="G2629">
        <v>23511.05</v>
      </c>
      <c r="I2629">
        <v>62112.800000000003</v>
      </c>
      <c r="J2629" t="s">
        <v>2511</v>
      </c>
    </row>
    <row r="2630" spans="1:10" ht="15" customHeight="1" x14ac:dyDescent="0.2">
      <c r="A2630" s="420">
        <v>45658</v>
      </c>
      <c r="B2630" t="s">
        <v>2435</v>
      </c>
      <c r="C2630" t="s">
        <v>5573</v>
      </c>
      <c r="D2630" t="s">
        <v>2436</v>
      </c>
      <c r="E2630" t="s">
        <v>5579</v>
      </c>
      <c r="G2630">
        <v>30681.4</v>
      </c>
      <c r="I2630">
        <v>92794.2</v>
      </c>
      <c r="J2630" t="s">
        <v>2511</v>
      </c>
    </row>
    <row r="2631" spans="1:10" ht="15" customHeight="1" x14ac:dyDescent="0.2">
      <c r="A2631" s="420">
        <v>45658</v>
      </c>
      <c r="B2631" t="s">
        <v>2435</v>
      </c>
      <c r="C2631" t="s">
        <v>5573</v>
      </c>
      <c r="D2631" t="s">
        <v>2436</v>
      </c>
      <c r="E2631" t="s">
        <v>5580</v>
      </c>
      <c r="G2631">
        <v>53692.45</v>
      </c>
      <c r="I2631">
        <v>146486.65</v>
      </c>
      <c r="J2631" t="s">
        <v>2511</v>
      </c>
    </row>
    <row r="2632" spans="1:10" ht="15" customHeight="1" x14ac:dyDescent="0.2">
      <c r="A2632" s="420">
        <v>45658</v>
      </c>
      <c r="B2632" t="s">
        <v>2435</v>
      </c>
      <c r="C2632" t="s">
        <v>5573</v>
      </c>
      <c r="D2632" t="s">
        <v>2436</v>
      </c>
      <c r="E2632" t="s">
        <v>5581</v>
      </c>
      <c r="G2632">
        <v>7670.35</v>
      </c>
      <c r="I2632">
        <v>154157</v>
      </c>
      <c r="J2632" t="s">
        <v>2511</v>
      </c>
    </row>
    <row r="2633" spans="1:10" ht="15" customHeight="1" x14ac:dyDescent="0.2">
      <c r="A2633" s="420">
        <v>45658</v>
      </c>
      <c r="B2633" t="s">
        <v>2435</v>
      </c>
      <c r="C2633" t="s">
        <v>5573</v>
      </c>
      <c r="D2633" t="s">
        <v>2436</v>
      </c>
      <c r="E2633" t="s">
        <v>5582</v>
      </c>
      <c r="F2633">
        <v>153407</v>
      </c>
      <c r="I2633">
        <v>750</v>
      </c>
      <c r="J2633" t="s">
        <v>2509</v>
      </c>
    </row>
    <row r="2634" spans="1:10" ht="15" customHeight="1" x14ac:dyDescent="0.2">
      <c r="A2634" s="420">
        <v>45658</v>
      </c>
      <c r="B2634" t="s">
        <v>2435</v>
      </c>
      <c r="C2634" t="s">
        <v>5573</v>
      </c>
      <c r="D2634" t="s">
        <v>2436</v>
      </c>
      <c r="E2634" t="s">
        <v>5583</v>
      </c>
      <c r="F2634">
        <v>750</v>
      </c>
      <c r="J2634" t="s">
        <v>2509</v>
      </c>
    </row>
    <row r="2635" spans="1:10" ht="15" customHeight="1" x14ac:dyDescent="0.2">
      <c r="A2635" s="420">
        <v>45658</v>
      </c>
      <c r="B2635" t="s">
        <v>2507</v>
      </c>
      <c r="C2635" t="s">
        <v>5573</v>
      </c>
      <c r="D2635" t="s">
        <v>5584</v>
      </c>
      <c r="E2635" t="s">
        <v>5585</v>
      </c>
      <c r="G2635">
        <v>153407</v>
      </c>
      <c r="I2635">
        <v>153407</v>
      </c>
      <c r="J2635" t="s">
        <v>2509</v>
      </c>
    </row>
    <row r="2636" spans="1:10" ht="15" customHeight="1" x14ac:dyDescent="0.2">
      <c r="A2636" s="420">
        <v>45677</v>
      </c>
      <c r="B2636" t="s">
        <v>5586</v>
      </c>
      <c r="C2636" t="s">
        <v>5573</v>
      </c>
      <c r="D2636" t="s">
        <v>5587</v>
      </c>
      <c r="E2636" t="s">
        <v>5588</v>
      </c>
      <c r="F2636">
        <v>153407</v>
      </c>
      <c r="J2636" t="s">
        <v>2511</v>
      </c>
    </row>
    <row r="2637" spans="1:10" ht="15" customHeight="1" x14ac:dyDescent="0.2">
      <c r="A2637" t="s">
        <v>5573</v>
      </c>
      <c r="E2637" t="s">
        <v>349</v>
      </c>
      <c r="F2637">
        <v>307564</v>
      </c>
      <c r="G2637">
        <v>307564</v>
      </c>
    </row>
    <row r="2639" spans="1:10" ht="15" customHeight="1" x14ac:dyDescent="0.2">
      <c r="A2639" t="s">
        <v>5589</v>
      </c>
      <c r="B2639" t="s">
        <v>5590</v>
      </c>
      <c r="F2639" t="s">
        <v>2430</v>
      </c>
      <c r="G2639" t="s">
        <v>2431</v>
      </c>
      <c r="H2639" t="s">
        <v>2432</v>
      </c>
      <c r="I2639" t="s">
        <v>2433</v>
      </c>
      <c r="J2639" t="s">
        <v>2434</v>
      </c>
    </row>
    <row r="2640" spans="1:10" ht="15" customHeight="1" x14ac:dyDescent="0.2">
      <c r="A2640" s="420">
        <v>45967</v>
      </c>
      <c r="B2640" t="s">
        <v>2333</v>
      </c>
      <c r="C2640" t="s">
        <v>5589</v>
      </c>
      <c r="D2640" t="s">
        <v>5591</v>
      </c>
      <c r="E2640" t="s">
        <v>5592</v>
      </c>
      <c r="G2640">
        <v>24820.2</v>
      </c>
      <c r="I2640">
        <v>24820.2</v>
      </c>
    </row>
    <row r="2641" spans="1:10" ht="15" customHeight="1" x14ac:dyDescent="0.2">
      <c r="A2641" s="420">
        <v>45967</v>
      </c>
      <c r="B2641" t="s">
        <v>2439</v>
      </c>
      <c r="C2641" t="s">
        <v>5589</v>
      </c>
      <c r="D2641" t="s">
        <v>5593</v>
      </c>
      <c r="E2641" t="s">
        <v>5594</v>
      </c>
      <c r="G2641">
        <v>16546.8</v>
      </c>
      <c r="I2641">
        <v>41367</v>
      </c>
    </row>
    <row r="2642" spans="1:10" ht="15" customHeight="1" x14ac:dyDescent="0.2">
      <c r="A2642" s="420">
        <v>45967</v>
      </c>
      <c r="B2642" t="s">
        <v>2507</v>
      </c>
      <c r="C2642" t="s">
        <v>5589</v>
      </c>
      <c r="D2642" t="s">
        <v>5571</v>
      </c>
      <c r="E2642" t="s">
        <v>5595</v>
      </c>
      <c r="F2642">
        <v>41367</v>
      </c>
    </row>
    <row r="2643" spans="1:10" ht="15" customHeight="1" x14ac:dyDescent="0.2">
      <c r="A2643" s="420">
        <v>45978</v>
      </c>
      <c r="B2643" t="s">
        <v>2333</v>
      </c>
      <c r="C2643" t="s">
        <v>5589</v>
      </c>
      <c r="D2643" t="s">
        <v>5596</v>
      </c>
      <c r="E2643" t="s">
        <v>5597</v>
      </c>
      <c r="F2643">
        <v>6000</v>
      </c>
      <c r="H2643">
        <v>6000</v>
      </c>
      <c r="J2643" t="s">
        <v>2511</v>
      </c>
    </row>
    <row r="2644" spans="1:10" ht="15" customHeight="1" x14ac:dyDescent="0.2">
      <c r="A2644" s="420">
        <v>45978</v>
      </c>
      <c r="B2644" t="s">
        <v>5544</v>
      </c>
      <c r="C2644" t="s">
        <v>5589</v>
      </c>
      <c r="D2644" t="s">
        <v>5598</v>
      </c>
      <c r="E2644" t="s">
        <v>5599</v>
      </c>
      <c r="G2644">
        <v>6000</v>
      </c>
      <c r="J2644" t="s">
        <v>2511</v>
      </c>
    </row>
    <row r="2645" spans="1:10" ht="15" customHeight="1" x14ac:dyDescent="0.2">
      <c r="A2645" t="s">
        <v>5589</v>
      </c>
      <c r="E2645" t="s">
        <v>349</v>
      </c>
      <c r="F2645">
        <v>47367</v>
      </c>
      <c r="G2645">
        <v>47367</v>
      </c>
    </row>
    <row r="2647" spans="1:10" ht="15" customHeight="1" x14ac:dyDescent="0.2">
      <c r="A2647" t="s">
        <v>5600</v>
      </c>
      <c r="B2647" t="s">
        <v>5601</v>
      </c>
      <c r="F2647" t="s">
        <v>2430</v>
      </c>
      <c r="G2647" t="s">
        <v>2431</v>
      </c>
      <c r="H2647" t="s">
        <v>2432</v>
      </c>
      <c r="I2647" t="s">
        <v>2433</v>
      </c>
      <c r="J2647" t="s">
        <v>2434</v>
      </c>
    </row>
    <row r="2648" spans="1:10" ht="15" customHeight="1" x14ac:dyDescent="0.2">
      <c r="A2648" s="420">
        <v>46001</v>
      </c>
      <c r="B2648" t="s">
        <v>2333</v>
      </c>
      <c r="C2648" t="s">
        <v>5600</v>
      </c>
      <c r="D2648" t="s">
        <v>5602</v>
      </c>
      <c r="E2648" t="s">
        <v>5603</v>
      </c>
      <c r="G2648">
        <v>24879.15</v>
      </c>
      <c r="I2648">
        <v>24879.15</v>
      </c>
    </row>
    <row r="2649" spans="1:10" ht="15" customHeight="1" x14ac:dyDescent="0.2">
      <c r="A2649" s="420">
        <v>46002</v>
      </c>
      <c r="B2649" t="s">
        <v>2439</v>
      </c>
      <c r="C2649" t="s">
        <v>5600</v>
      </c>
      <c r="D2649" t="s">
        <v>5604</v>
      </c>
      <c r="E2649" t="s">
        <v>5605</v>
      </c>
      <c r="G2649">
        <v>16586.099999999999</v>
      </c>
      <c r="I2649">
        <v>41465.25</v>
      </c>
    </row>
    <row r="2650" spans="1:10" ht="15" customHeight="1" x14ac:dyDescent="0.2">
      <c r="A2650" s="420">
        <v>46002</v>
      </c>
      <c r="B2650" t="s">
        <v>2507</v>
      </c>
      <c r="C2650" t="s">
        <v>5600</v>
      </c>
      <c r="D2650" t="s">
        <v>5571</v>
      </c>
      <c r="E2650" t="s">
        <v>5606</v>
      </c>
      <c r="F2650">
        <v>41465.25</v>
      </c>
    </row>
    <row r="2651" spans="1:10" ht="15" customHeight="1" x14ac:dyDescent="0.2">
      <c r="A2651" s="420">
        <v>46015</v>
      </c>
      <c r="B2651" t="s">
        <v>2333</v>
      </c>
      <c r="C2651" t="s">
        <v>5600</v>
      </c>
      <c r="D2651" t="s">
        <v>5607</v>
      </c>
      <c r="E2651" t="s">
        <v>5608</v>
      </c>
      <c r="F2651">
        <v>6000</v>
      </c>
      <c r="H2651">
        <v>6000</v>
      </c>
      <c r="J2651" t="s">
        <v>2511</v>
      </c>
    </row>
    <row r="2652" spans="1:10" ht="15" customHeight="1" x14ac:dyDescent="0.2">
      <c r="A2652" s="420">
        <v>46015</v>
      </c>
      <c r="B2652" t="s">
        <v>5544</v>
      </c>
      <c r="C2652" t="s">
        <v>5600</v>
      </c>
      <c r="D2652" t="s">
        <v>5609</v>
      </c>
      <c r="E2652" t="s">
        <v>5610</v>
      </c>
      <c r="G2652">
        <v>6000</v>
      </c>
      <c r="J2652" t="s">
        <v>2511</v>
      </c>
    </row>
    <row r="2653" spans="1:10" ht="15" customHeight="1" x14ac:dyDescent="0.2">
      <c r="A2653" t="s">
        <v>5600</v>
      </c>
      <c r="E2653" t="s">
        <v>349</v>
      </c>
      <c r="F2653">
        <v>47465.25</v>
      </c>
      <c r="G2653">
        <v>47465.25</v>
      </c>
    </row>
    <row r="2655" spans="1:10" ht="15" customHeight="1" x14ac:dyDescent="0.2">
      <c r="A2655" t="s">
        <v>5611</v>
      </c>
      <c r="B2655" t="s">
        <v>5612</v>
      </c>
      <c r="F2655" t="s">
        <v>2430</v>
      </c>
      <c r="G2655" t="s">
        <v>2431</v>
      </c>
      <c r="H2655" t="s">
        <v>2432</v>
      </c>
      <c r="I2655" t="s">
        <v>2433</v>
      </c>
      <c r="J2655" t="s">
        <v>2434</v>
      </c>
    </row>
    <row r="2656" spans="1:10" ht="15" customHeight="1" x14ac:dyDescent="0.2">
      <c r="A2656" s="420">
        <v>45951</v>
      </c>
      <c r="B2656" t="s">
        <v>2333</v>
      </c>
      <c r="C2656" t="s">
        <v>5611</v>
      </c>
      <c r="D2656" t="s">
        <v>5613</v>
      </c>
      <c r="E2656" t="s">
        <v>5614</v>
      </c>
      <c r="G2656">
        <v>23468.1</v>
      </c>
      <c r="I2656">
        <v>23468.1</v>
      </c>
    </row>
    <row r="2657" spans="1:10" ht="15" customHeight="1" x14ac:dyDescent="0.2">
      <c r="A2657" s="420">
        <v>45952</v>
      </c>
      <c r="B2657" t="s">
        <v>2439</v>
      </c>
      <c r="C2657" t="s">
        <v>5611</v>
      </c>
      <c r="D2657" t="s">
        <v>5615</v>
      </c>
      <c r="E2657" t="s">
        <v>5616</v>
      </c>
      <c r="G2657">
        <v>15645.4</v>
      </c>
      <c r="I2657">
        <v>39113.5</v>
      </c>
    </row>
    <row r="2658" spans="1:10" ht="15" customHeight="1" x14ac:dyDescent="0.2">
      <c r="A2658" s="420">
        <v>45959</v>
      </c>
      <c r="B2658" t="s">
        <v>2333</v>
      </c>
      <c r="C2658" t="s">
        <v>5611</v>
      </c>
      <c r="D2658" t="s">
        <v>5617</v>
      </c>
      <c r="E2658" t="s">
        <v>5618</v>
      </c>
      <c r="F2658">
        <v>6000</v>
      </c>
      <c r="I2658">
        <v>33113.5</v>
      </c>
      <c r="J2658" t="s">
        <v>2511</v>
      </c>
    </row>
    <row r="2659" spans="1:10" ht="15" customHeight="1" x14ac:dyDescent="0.2">
      <c r="A2659" s="420">
        <v>45959</v>
      </c>
      <c r="B2659" t="s">
        <v>5544</v>
      </c>
      <c r="C2659" t="s">
        <v>5611</v>
      </c>
      <c r="D2659" t="s">
        <v>5619</v>
      </c>
      <c r="E2659" t="s">
        <v>5620</v>
      </c>
      <c r="G2659">
        <v>6000</v>
      </c>
      <c r="I2659">
        <v>39113.5</v>
      </c>
      <c r="J2659" t="s">
        <v>2511</v>
      </c>
    </row>
    <row r="2660" spans="1:10" ht="15" customHeight="1" x14ac:dyDescent="0.2">
      <c r="A2660" s="420">
        <v>46021</v>
      </c>
      <c r="B2660" t="s">
        <v>2439</v>
      </c>
      <c r="C2660" t="s">
        <v>5611</v>
      </c>
      <c r="D2660" t="s">
        <v>5621</v>
      </c>
      <c r="E2660" t="s">
        <v>5622</v>
      </c>
      <c r="G2660">
        <v>24541.84</v>
      </c>
      <c r="I2660">
        <v>63655.34</v>
      </c>
    </row>
    <row r="2661" spans="1:10" ht="15" customHeight="1" x14ac:dyDescent="0.2">
      <c r="A2661" s="420">
        <v>46021</v>
      </c>
      <c r="B2661" t="s">
        <v>2507</v>
      </c>
      <c r="C2661" t="s">
        <v>5611</v>
      </c>
      <c r="D2661" t="s">
        <v>5571</v>
      </c>
      <c r="E2661" t="s">
        <v>5623</v>
      </c>
      <c r="F2661">
        <v>63655.34</v>
      </c>
    </row>
    <row r="2662" spans="1:10" ht="15" customHeight="1" x14ac:dyDescent="0.2">
      <c r="A2662" t="s">
        <v>5611</v>
      </c>
      <c r="E2662" t="s">
        <v>349</v>
      </c>
      <c r="F2662">
        <v>69655.34</v>
      </c>
      <c r="G2662">
        <v>69655.34</v>
      </c>
    </row>
    <row r="2664" spans="1:10" ht="15" customHeight="1" x14ac:dyDescent="0.2">
      <c r="A2664" t="s">
        <v>5624</v>
      </c>
      <c r="B2664" t="s">
        <v>1017</v>
      </c>
      <c r="F2664" t="s">
        <v>2430</v>
      </c>
      <c r="G2664" t="s">
        <v>2431</v>
      </c>
      <c r="H2664" t="s">
        <v>2432</v>
      </c>
      <c r="I2664" t="s">
        <v>2433</v>
      </c>
      <c r="J2664" t="s">
        <v>2434</v>
      </c>
    </row>
    <row r="2665" spans="1:10" ht="15" customHeight="1" x14ac:dyDescent="0.2">
      <c r="A2665" s="420">
        <v>45688</v>
      </c>
      <c r="B2665" t="s">
        <v>5586</v>
      </c>
      <c r="C2665" t="s">
        <v>5624</v>
      </c>
      <c r="D2665" t="s">
        <v>5625</v>
      </c>
      <c r="E2665" t="s">
        <v>5626</v>
      </c>
      <c r="F2665">
        <v>792.46</v>
      </c>
      <c r="H2665">
        <v>792.46</v>
      </c>
      <c r="J2665" t="s">
        <v>2509</v>
      </c>
    </row>
    <row r="2666" spans="1:10" ht="15" customHeight="1" x14ac:dyDescent="0.2">
      <c r="A2666" s="420">
        <v>45716</v>
      </c>
      <c r="B2666" t="s">
        <v>5544</v>
      </c>
      <c r="C2666" t="s">
        <v>5624</v>
      </c>
      <c r="D2666" t="s">
        <v>3404</v>
      </c>
      <c r="E2666" t="s">
        <v>5627</v>
      </c>
      <c r="F2666">
        <v>792.46</v>
      </c>
      <c r="H2666">
        <v>1584.92</v>
      </c>
      <c r="J2666" t="s">
        <v>2509</v>
      </c>
    </row>
    <row r="2667" spans="1:10" ht="15" customHeight="1" x14ac:dyDescent="0.2">
      <c r="A2667" s="420">
        <v>45747</v>
      </c>
      <c r="B2667" t="s">
        <v>5544</v>
      </c>
      <c r="C2667" t="s">
        <v>5624</v>
      </c>
      <c r="D2667" t="s">
        <v>3406</v>
      </c>
      <c r="E2667" t="s">
        <v>5628</v>
      </c>
      <c r="F2667">
        <v>792.46</v>
      </c>
      <c r="H2667">
        <v>2377.38</v>
      </c>
      <c r="J2667" t="s">
        <v>2509</v>
      </c>
    </row>
    <row r="2668" spans="1:10" ht="15" customHeight="1" x14ac:dyDescent="0.2">
      <c r="A2668" s="420">
        <v>45777</v>
      </c>
      <c r="B2668" t="s">
        <v>5544</v>
      </c>
      <c r="C2668" t="s">
        <v>5624</v>
      </c>
      <c r="D2668" t="s">
        <v>3408</v>
      </c>
      <c r="E2668" t="s">
        <v>5629</v>
      </c>
      <c r="F2668">
        <v>792.46</v>
      </c>
      <c r="H2668">
        <v>3169.84</v>
      </c>
      <c r="J2668" t="s">
        <v>2509</v>
      </c>
    </row>
    <row r="2669" spans="1:10" ht="15" customHeight="1" x14ac:dyDescent="0.2">
      <c r="A2669" s="420">
        <v>45808</v>
      </c>
      <c r="B2669" t="s">
        <v>5544</v>
      </c>
      <c r="C2669" t="s">
        <v>5624</v>
      </c>
      <c r="D2669" t="s">
        <v>3410</v>
      </c>
      <c r="E2669" t="s">
        <v>5630</v>
      </c>
      <c r="F2669">
        <v>1328.26</v>
      </c>
      <c r="H2669">
        <v>4498.1000000000004</v>
      </c>
      <c r="J2669" t="s">
        <v>2511</v>
      </c>
    </row>
    <row r="2670" spans="1:10" ht="15" customHeight="1" x14ac:dyDescent="0.2">
      <c r="A2670" s="420">
        <v>45838</v>
      </c>
      <c r="B2670" t="s">
        <v>5544</v>
      </c>
      <c r="C2670" t="s">
        <v>5624</v>
      </c>
      <c r="D2670" t="s">
        <v>3412</v>
      </c>
      <c r="E2670" t="s">
        <v>5631</v>
      </c>
      <c r="F2670">
        <v>1338.71</v>
      </c>
      <c r="H2670">
        <v>5836.81</v>
      </c>
      <c r="J2670" t="s">
        <v>2509</v>
      </c>
    </row>
    <row r="2671" spans="1:10" ht="15" customHeight="1" x14ac:dyDescent="0.2">
      <c r="A2671" s="420">
        <v>45839</v>
      </c>
      <c r="B2671" t="s">
        <v>5544</v>
      </c>
      <c r="C2671" t="s">
        <v>5624</v>
      </c>
      <c r="D2671" t="s">
        <v>5632</v>
      </c>
      <c r="E2671" t="s">
        <v>5633</v>
      </c>
      <c r="G2671">
        <v>1328.26</v>
      </c>
      <c r="H2671">
        <v>4508.55</v>
      </c>
      <c r="J2671" t="s">
        <v>2511</v>
      </c>
    </row>
    <row r="2672" spans="1:10" ht="15" customHeight="1" x14ac:dyDescent="0.2">
      <c r="A2672" s="420">
        <v>45839</v>
      </c>
      <c r="B2672" t="s">
        <v>5544</v>
      </c>
      <c r="C2672" t="s">
        <v>5624</v>
      </c>
      <c r="D2672" t="s">
        <v>5634</v>
      </c>
      <c r="E2672" t="s">
        <v>5635</v>
      </c>
      <c r="F2672">
        <v>1338.71</v>
      </c>
      <c r="H2672">
        <v>5847.26</v>
      </c>
      <c r="J2672" t="s">
        <v>2509</v>
      </c>
    </row>
    <row r="2673" spans="1:10" ht="15" customHeight="1" x14ac:dyDescent="0.2">
      <c r="A2673" s="420">
        <v>45869</v>
      </c>
      <c r="B2673" t="s">
        <v>5544</v>
      </c>
      <c r="C2673" t="s">
        <v>5624</v>
      </c>
      <c r="D2673" t="s">
        <v>3414</v>
      </c>
      <c r="E2673" t="s">
        <v>5636</v>
      </c>
      <c r="F2673">
        <v>1338.71</v>
      </c>
      <c r="H2673">
        <v>7185.97</v>
      </c>
      <c r="J2673" t="s">
        <v>2509</v>
      </c>
    </row>
    <row r="2674" spans="1:10" ht="15" customHeight="1" x14ac:dyDescent="0.2">
      <c r="A2674" s="420">
        <v>45900</v>
      </c>
      <c r="B2674" t="s">
        <v>5544</v>
      </c>
      <c r="C2674" t="s">
        <v>5624</v>
      </c>
      <c r="D2674" t="s">
        <v>3416</v>
      </c>
      <c r="E2674" t="s">
        <v>5637</v>
      </c>
      <c r="F2674">
        <v>1338.71</v>
      </c>
      <c r="H2674">
        <v>8524.68</v>
      </c>
      <c r="J2674" t="s">
        <v>2509</v>
      </c>
    </row>
    <row r="2675" spans="1:10" ht="15" customHeight="1" x14ac:dyDescent="0.2">
      <c r="A2675" s="420">
        <v>45930</v>
      </c>
      <c r="B2675" t="s">
        <v>5544</v>
      </c>
      <c r="C2675" t="s">
        <v>5624</v>
      </c>
      <c r="D2675" t="s">
        <v>5638</v>
      </c>
      <c r="E2675" t="s">
        <v>5639</v>
      </c>
      <c r="F2675">
        <v>1338.71</v>
      </c>
      <c r="H2675">
        <v>9863.39</v>
      </c>
      <c r="J2675" t="s">
        <v>2509</v>
      </c>
    </row>
    <row r="2676" spans="1:10" ht="15" customHeight="1" x14ac:dyDescent="0.2">
      <c r="A2676" s="420">
        <v>45930</v>
      </c>
      <c r="B2676" t="s">
        <v>2439</v>
      </c>
      <c r="C2676" t="s">
        <v>5624</v>
      </c>
      <c r="D2676" t="s">
        <v>5571</v>
      </c>
      <c r="E2676" t="s">
        <v>5640</v>
      </c>
      <c r="G2676">
        <v>9863.39</v>
      </c>
      <c r="J2676" t="s">
        <v>2509</v>
      </c>
    </row>
    <row r="2677" spans="1:10" ht="15" customHeight="1" x14ac:dyDescent="0.2">
      <c r="A2677" s="420">
        <v>45961</v>
      </c>
      <c r="B2677" t="s">
        <v>5544</v>
      </c>
      <c r="C2677" t="s">
        <v>5624</v>
      </c>
      <c r="D2677" t="s">
        <v>5641</v>
      </c>
      <c r="E2677" t="s">
        <v>5642</v>
      </c>
      <c r="F2677">
        <v>1338.71</v>
      </c>
      <c r="H2677">
        <v>1338.71</v>
      </c>
    </row>
    <row r="2678" spans="1:10" ht="15" customHeight="1" x14ac:dyDescent="0.2">
      <c r="A2678" s="420">
        <v>45991</v>
      </c>
      <c r="B2678" t="s">
        <v>5544</v>
      </c>
      <c r="C2678" t="s">
        <v>5624</v>
      </c>
      <c r="D2678" t="s">
        <v>3422</v>
      </c>
      <c r="E2678" t="s">
        <v>5643</v>
      </c>
      <c r="F2678">
        <v>1338.71</v>
      </c>
      <c r="H2678">
        <v>2677.42</v>
      </c>
    </row>
    <row r="2679" spans="1:10" ht="15" customHeight="1" x14ac:dyDescent="0.2">
      <c r="A2679" s="420">
        <v>46022</v>
      </c>
      <c r="B2679" t="s">
        <v>5544</v>
      </c>
      <c r="C2679" t="s">
        <v>5624</v>
      </c>
      <c r="D2679" t="s">
        <v>3424</v>
      </c>
      <c r="E2679" t="s">
        <v>5644</v>
      </c>
      <c r="F2679">
        <v>1338.71</v>
      </c>
      <c r="H2679">
        <v>4016.13</v>
      </c>
    </row>
    <row r="2680" spans="1:10" ht="15" customHeight="1" x14ac:dyDescent="0.2">
      <c r="A2680" t="s">
        <v>5624</v>
      </c>
      <c r="E2680" t="s">
        <v>349</v>
      </c>
      <c r="F2680">
        <v>15207.78</v>
      </c>
      <c r="G2680">
        <v>11191.65</v>
      </c>
      <c r="H2680">
        <v>4016.13</v>
      </c>
    </row>
    <row r="2682" spans="1:10" ht="15" customHeight="1" x14ac:dyDescent="0.2">
      <c r="A2682" t="s">
        <v>5645</v>
      </c>
      <c r="B2682" t="s">
        <v>5646</v>
      </c>
      <c r="F2682" t="s">
        <v>2430</v>
      </c>
      <c r="G2682" t="s">
        <v>2431</v>
      </c>
      <c r="H2682" t="s">
        <v>2432</v>
      </c>
      <c r="I2682" t="s">
        <v>2433</v>
      </c>
      <c r="J2682" t="s">
        <v>2434</v>
      </c>
    </row>
    <row r="2683" spans="1:10" ht="15" customHeight="1" x14ac:dyDescent="0.2">
      <c r="A2683" s="420">
        <v>45755</v>
      </c>
      <c r="B2683" t="s">
        <v>2333</v>
      </c>
      <c r="C2683" t="s">
        <v>5645</v>
      </c>
      <c r="D2683" t="s">
        <v>5647</v>
      </c>
      <c r="E2683" t="s">
        <v>5648</v>
      </c>
      <c r="G2683">
        <v>1000</v>
      </c>
      <c r="I2683">
        <v>1000</v>
      </c>
      <c r="J2683" t="s">
        <v>2511</v>
      </c>
    </row>
    <row r="2684" spans="1:10" ht="15" customHeight="1" x14ac:dyDescent="0.2">
      <c r="A2684" s="420">
        <v>45839</v>
      </c>
      <c r="B2684" t="s">
        <v>2439</v>
      </c>
      <c r="C2684" t="s">
        <v>5645</v>
      </c>
      <c r="D2684" t="s">
        <v>5649</v>
      </c>
      <c r="E2684" t="s">
        <v>5650</v>
      </c>
      <c r="F2684">
        <v>1000</v>
      </c>
      <c r="J2684" t="s">
        <v>2511</v>
      </c>
    </row>
    <row r="2685" spans="1:10" ht="15" customHeight="1" x14ac:dyDescent="0.2">
      <c r="A2685" t="s">
        <v>5645</v>
      </c>
      <c r="E2685" t="s">
        <v>349</v>
      </c>
      <c r="F2685">
        <v>1000</v>
      </c>
      <c r="G2685">
        <v>1000</v>
      </c>
    </row>
    <row r="2687" spans="1:10" ht="15" customHeight="1" x14ac:dyDescent="0.2">
      <c r="A2687" t="s">
        <v>5651</v>
      </c>
      <c r="B2687" t="s">
        <v>5652</v>
      </c>
      <c r="F2687" t="s">
        <v>2430</v>
      </c>
      <c r="G2687" t="s">
        <v>2431</v>
      </c>
      <c r="H2687" t="s">
        <v>2432</v>
      </c>
      <c r="I2687" t="s">
        <v>2433</v>
      </c>
      <c r="J2687" t="s">
        <v>2434</v>
      </c>
    </row>
    <row r="2688" spans="1:10" ht="15" customHeight="1" x14ac:dyDescent="0.2">
      <c r="A2688" s="420">
        <v>45835</v>
      </c>
      <c r="B2688" t="s">
        <v>2333</v>
      </c>
      <c r="C2688" t="s">
        <v>5651</v>
      </c>
      <c r="D2688" t="s">
        <v>5653</v>
      </c>
      <c r="E2688" t="s">
        <v>5654</v>
      </c>
      <c r="G2688">
        <v>20429.25</v>
      </c>
      <c r="I2688">
        <v>20429.25</v>
      </c>
      <c r="J2688" t="s">
        <v>2511</v>
      </c>
    </row>
    <row r="2689" spans="1:10" ht="15" customHeight="1" x14ac:dyDescent="0.2">
      <c r="A2689" s="420">
        <v>45835</v>
      </c>
      <c r="B2689" t="s">
        <v>2333</v>
      </c>
      <c r="C2689" t="s">
        <v>5651</v>
      </c>
      <c r="D2689" t="s">
        <v>5653</v>
      </c>
      <c r="E2689" t="s">
        <v>5655</v>
      </c>
      <c r="G2689">
        <v>13619.5</v>
      </c>
      <c r="I2689">
        <v>34048.75</v>
      </c>
      <c r="J2689" t="s">
        <v>2511</v>
      </c>
    </row>
    <row r="2690" spans="1:10" ht="15" customHeight="1" x14ac:dyDescent="0.2">
      <c r="A2690" s="420">
        <v>45842</v>
      </c>
      <c r="B2690" t="s">
        <v>2333</v>
      </c>
      <c r="C2690" t="s">
        <v>5651</v>
      </c>
      <c r="D2690" t="s">
        <v>5656</v>
      </c>
      <c r="E2690" t="s">
        <v>5657</v>
      </c>
      <c r="F2690">
        <v>6000</v>
      </c>
      <c r="I2690">
        <v>28048.75</v>
      </c>
      <c r="J2690" t="s">
        <v>2511</v>
      </c>
    </row>
    <row r="2691" spans="1:10" ht="15" customHeight="1" x14ac:dyDescent="0.2">
      <c r="A2691" s="420">
        <v>45842</v>
      </c>
      <c r="B2691" t="s">
        <v>5544</v>
      </c>
      <c r="C2691" t="s">
        <v>5651</v>
      </c>
      <c r="D2691" t="s">
        <v>5658</v>
      </c>
      <c r="E2691" t="s">
        <v>5659</v>
      </c>
      <c r="G2691">
        <v>6000</v>
      </c>
      <c r="I2691">
        <v>34048.75</v>
      </c>
      <c r="J2691" t="s">
        <v>2511</v>
      </c>
    </row>
    <row r="2692" spans="1:10" ht="15" customHeight="1" x14ac:dyDescent="0.2">
      <c r="A2692" s="420">
        <v>45855</v>
      </c>
      <c r="B2692" t="s">
        <v>2439</v>
      </c>
      <c r="C2692" t="s">
        <v>5651</v>
      </c>
      <c r="D2692" t="s">
        <v>5660</v>
      </c>
      <c r="E2692" t="s">
        <v>5661</v>
      </c>
      <c r="G2692">
        <v>20969.04</v>
      </c>
      <c r="I2692">
        <v>55017.79</v>
      </c>
      <c r="J2692" t="s">
        <v>2511</v>
      </c>
    </row>
    <row r="2693" spans="1:10" ht="15" customHeight="1" x14ac:dyDescent="0.2">
      <c r="A2693" s="420">
        <v>45994</v>
      </c>
      <c r="B2693" t="s">
        <v>2439</v>
      </c>
      <c r="C2693" t="s">
        <v>5651</v>
      </c>
      <c r="D2693" t="s">
        <v>5662</v>
      </c>
      <c r="E2693" t="s">
        <v>5663</v>
      </c>
      <c r="G2693">
        <v>27508.9</v>
      </c>
      <c r="I2693">
        <v>82526.69</v>
      </c>
      <c r="J2693" t="s">
        <v>2511</v>
      </c>
    </row>
    <row r="2694" spans="1:10" ht="15" customHeight="1" x14ac:dyDescent="0.2">
      <c r="A2694" s="420">
        <v>45994</v>
      </c>
      <c r="B2694" t="s">
        <v>2507</v>
      </c>
      <c r="C2694" t="s">
        <v>5651</v>
      </c>
      <c r="D2694" t="s">
        <v>5571</v>
      </c>
      <c r="E2694" t="s">
        <v>5664</v>
      </c>
      <c r="F2694">
        <v>82526.69</v>
      </c>
    </row>
    <row r="2695" spans="1:10" ht="15" customHeight="1" x14ac:dyDescent="0.2">
      <c r="A2695" t="s">
        <v>5651</v>
      </c>
      <c r="E2695" t="s">
        <v>349</v>
      </c>
      <c r="F2695">
        <v>88526.69</v>
      </c>
      <c r="G2695">
        <v>88526.69</v>
      </c>
    </row>
    <row r="2697" spans="1:10" ht="15" customHeight="1" x14ac:dyDescent="0.2">
      <c r="A2697" t="s">
        <v>5665</v>
      </c>
      <c r="B2697" t="s">
        <v>5666</v>
      </c>
      <c r="F2697" t="s">
        <v>2430</v>
      </c>
      <c r="G2697" t="s">
        <v>2431</v>
      </c>
      <c r="H2697" t="s">
        <v>2432</v>
      </c>
      <c r="I2697" t="s">
        <v>2433</v>
      </c>
      <c r="J2697" t="s">
        <v>2434</v>
      </c>
    </row>
    <row r="2698" spans="1:10" ht="15" customHeight="1" x14ac:dyDescent="0.2">
      <c r="A2698" s="420">
        <v>45749</v>
      </c>
      <c r="B2698" t="s">
        <v>2333</v>
      </c>
      <c r="C2698" t="s">
        <v>5665</v>
      </c>
      <c r="D2698" t="s">
        <v>5667</v>
      </c>
      <c r="E2698" t="s">
        <v>5668</v>
      </c>
      <c r="G2698">
        <v>22989.45</v>
      </c>
      <c r="I2698">
        <v>22989.45</v>
      </c>
      <c r="J2698" t="s">
        <v>2511</v>
      </c>
    </row>
    <row r="2699" spans="1:10" ht="15" customHeight="1" x14ac:dyDescent="0.2">
      <c r="A2699" s="420">
        <v>45749</v>
      </c>
      <c r="B2699" t="s">
        <v>2439</v>
      </c>
      <c r="C2699" t="s">
        <v>5665</v>
      </c>
      <c r="D2699" t="s">
        <v>5669</v>
      </c>
      <c r="E2699" t="s">
        <v>5670</v>
      </c>
      <c r="G2699">
        <v>15326.3</v>
      </c>
      <c r="I2699">
        <v>38315.75</v>
      </c>
      <c r="J2699" t="s">
        <v>2511</v>
      </c>
    </row>
    <row r="2700" spans="1:10" ht="15" customHeight="1" x14ac:dyDescent="0.2">
      <c r="A2700" s="420">
        <v>45779</v>
      </c>
      <c r="B2700" t="s">
        <v>2333</v>
      </c>
      <c r="C2700" t="s">
        <v>5665</v>
      </c>
      <c r="D2700" t="s">
        <v>5671</v>
      </c>
      <c r="E2700" t="s">
        <v>5672</v>
      </c>
      <c r="F2700">
        <v>6000</v>
      </c>
      <c r="I2700">
        <v>32315.75</v>
      </c>
      <c r="J2700" t="s">
        <v>2511</v>
      </c>
    </row>
    <row r="2701" spans="1:10" ht="15" customHeight="1" x14ac:dyDescent="0.2">
      <c r="A2701" s="420">
        <v>45779</v>
      </c>
      <c r="B2701" t="s">
        <v>2532</v>
      </c>
      <c r="C2701" t="s">
        <v>5665</v>
      </c>
      <c r="D2701" t="s">
        <v>5673</v>
      </c>
      <c r="E2701" t="s">
        <v>5674</v>
      </c>
      <c r="G2701">
        <v>6000</v>
      </c>
      <c r="I2701">
        <v>38315.75</v>
      </c>
      <c r="J2701" t="s">
        <v>2511</v>
      </c>
    </row>
    <row r="2702" spans="1:10" ht="15" customHeight="1" x14ac:dyDescent="0.2">
      <c r="A2702" s="420">
        <v>45821</v>
      </c>
      <c r="B2702" t="s">
        <v>2439</v>
      </c>
      <c r="C2702" t="s">
        <v>5665</v>
      </c>
      <c r="D2702" t="s">
        <v>5675</v>
      </c>
      <c r="E2702" t="s">
        <v>5661</v>
      </c>
      <c r="G2702">
        <v>23129.1</v>
      </c>
      <c r="I2702">
        <v>61444.85</v>
      </c>
      <c r="J2702" t="s">
        <v>2511</v>
      </c>
    </row>
    <row r="2703" spans="1:10" ht="15" customHeight="1" x14ac:dyDescent="0.2">
      <c r="A2703" s="420">
        <v>45842</v>
      </c>
      <c r="B2703" t="s">
        <v>2439</v>
      </c>
      <c r="C2703" t="s">
        <v>5665</v>
      </c>
      <c r="D2703" t="s">
        <v>5676</v>
      </c>
      <c r="E2703" t="s">
        <v>5677</v>
      </c>
      <c r="G2703">
        <v>30722.42</v>
      </c>
      <c r="I2703">
        <v>92167.27</v>
      </c>
      <c r="J2703" t="s">
        <v>2511</v>
      </c>
    </row>
    <row r="2704" spans="1:10" ht="15" customHeight="1" x14ac:dyDescent="0.2">
      <c r="A2704" s="420">
        <v>45868</v>
      </c>
      <c r="B2704" t="s">
        <v>2439</v>
      </c>
      <c r="C2704" t="s">
        <v>5665</v>
      </c>
      <c r="D2704" t="s">
        <v>5678</v>
      </c>
      <c r="E2704" t="s">
        <v>5679</v>
      </c>
      <c r="G2704">
        <v>53764.24</v>
      </c>
      <c r="I2704">
        <v>145931.51</v>
      </c>
      <c r="J2704" t="s">
        <v>2511</v>
      </c>
    </row>
    <row r="2705" spans="1:10" ht="15" customHeight="1" x14ac:dyDescent="0.2">
      <c r="A2705" s="420">
        <v>45891</v>
      </c>
      <c r="B2705" t="s">
        <v>2439</v>
      </c>
      <c r="C2705" t="s">
        <v>5665</v>
      </c>
      <c r="D2705" t="s">
        <v>5680</v>
      </c>
      <c r="E2705" t="s">
        <v>5681</v>
      </c>
      <c r="G2705">
        <v>7680.61</v>
      </c>
      <c r="I2705">
        <v>153612.12</v>
      </c>
      <c r="J2705" t="s">
        <v>2511</v>
      </c>
    </row>
    <row r="2706" spans="1:10" ht="15" customHeight="1" x14ac:dyDescent="0.2">
      <c r="A2706" s="420">
        <v>45912</v>
      </c>
      <c r="B2706" t="s">
        <v>5586</v>
      </c>
      <c r="C2706" t="s">
        <v>5665</v>
      </c>
      <c r="D2706" t="s">
        <v>5682</v>
      </c>
      <c r="E2706" t="s">
        <v>5683</v>
      </c>
      <c r="F2706">
        <v>153612.12</v>
      </c>
      <c r="J2706" t="s">
        <v>2511</v>
      </c>
    </row>
    <row r="2707" spans="1:10" ht="15" customHeight="1" x14ac:dyDescent="0.2">
      <c r="A2707" t="s">
        <v>5665</v>
      </c>
      <c r="E2707" t="s">
        <v>349</v>
      </c>
      <c r="F2707">
        <v>159612.12</v>
      </c>
      <c r="G2707">
        <v>159612.12</v>
      </c>
    </row>
    <row r="2709" spans="1:10" ht="15" customHeight="1" x14ac:dyDescent="0.2">
      <c r="A2709" t="s">
        <v>5684</v>
      </c>
      <c r="B2709" t="s">
        <v>5685</v>
      </c>
      <c r="F2709" t="s">
        <v>2430</v>
      </c>
      <c r="G2709" t="s">
        <v>2431</v>
      </c>
      <c r="H2709" t="s">
        <v>2432</v>
      </c>
      <c r="I2709" t="s">
        <v>2433</v>
      </c>
      <c r="J2709" t="s">
        <v>2434</v>
      </c>
    </row>
    <row r="2710" spans="1:10" ht="15" customHeight="1" x14ac:dyDescent="0.2">
      <c r="A2710" s="420">
        <v>45691</v>
      </c>
      <c r="B2710" t="s">
        <v>2333</v>
      </c>
      <c r="C2710" t="s">
        <v>5684</v>
      </c>
      <c r="D2710" t="s">
        <v>5686</v>
      </c>
      <c r="E2710" t="s">
        <v>5687</v>
      </c>
      <c r="G2710">
        <v>1000</v>
      </c>
      <c r="I2710">
        <v>1000</v>
      </c>
      <c r="J2710" t="s">
        <v>2509</v>
      </c>
    </row>
    <row r="2711" spans="1:10" ht="15" customHeight="1" x14ac:dyDescent="0.2">
      <c r="A2711" s="420">
        <v>45693</v>
      </c>
      <c r="B2711" t="s">
        <v>2333</v>
      </c>
      <c r="C2711" t="s">
        <v>5684</v>
      </c>
      <c r="D2711" t="s">
        <v>5688</v>
      </c>
      <c r="E2711" t="s">
        <v>5689</v>
      </c>
      <c r="G2711">
        <v>21264.95</v>
      </c>
      <c r="I2711">
        <v>22264.95</v>
      </c>
      <c r="J2711" t="s">
        <v>2509</v>
      </c>
    </row>
    <row r="2712" spans="1:10" ht="15" customHeight="1" x14ac:dyDescent="0.2">
      <c r="A2712" s="420">
        <v>45694</v>
      </c>
      <c r="B2712" t="s">
        <v>2439</v>
      </c>
      <c r="C2712" t="s">
        <v>5684</v>
      </c>
      <c r="D2712" t="s">
        <v>5690</v>
      </c>
      <c r="E2712" t="s">
        <v>5691</v>
      </c>
      <c r="G2712">
        <v>14843.3</v>
      </c>
      <c r="I2712">
        <v>37108.25</v>
      </c>
      <c r="J2712" t="s">
        <v>2509</v>
      </c>
    </row>
    <row r="2713" spans="1:10" ht="15" customHeight="1" x14ac:dyDescent="0.2">
      <c r="A2713" s="420">
        <v>45716</v>
      </c>
      <c r="B2713" t="s">
        <v>2333</v>
      </c>
      <c r="C2713" t="s">
        <v>5684</v>
      </c>
      <c r="D2713" t="s">
        <v>5692</v>
      </c>
      <c r="E2713" t="s">
        <v>5693</v>
      </c>
      <c r="F2713">
        <v>6000</v>
      </c>
      <c r="I2713">
        <v>31108.25</v>
      </c>
      <c r="J2713" t="s">
        <v>2511</v>
      </c>
    </row>
    <row r="2714" spans="1:10" ht="15" customHeight="1" x14ac:dyDescent="0.2">
      <c r="A2714" s="420">
        <v>45716</v>
      </c>
      <c r="B2714" t="s">
        <v>5544</v>
      </c>
      <c r="C2714" t="s">
        <v>5684</v>
      </c>
      <c r="D2714" t="s">
        <v>5694</v>
      </c>
      <c r="E2714" t="s">
        <v>5695</v>
      </c>
      <c r="G2714">
        <v>6000</v>
      </c>
      <c r="I2714">
        <v>37108.25</v>
      </c>
      <c r="J2714" t="s">
        <v>2511</v>
      </c>
    </row>
    <row r="2715" spans="1:10" ht="15" customHeight="1" x14ac:dyDescent="0.2">
      <c r="A2715" s="420">
        <v>45769</v>
      </c>
      <c r="B2715" t="s">
        <v>2439</v>
      </c>
      <c r="C2715" t="s">
        <v>5684</v>
      </c>
      <c r="D2715" t="s">
        <v>5696</v>
      </c>
      <c r="E2715" t="s">
        <v>5697</v>
      </c>
      <c r="G2715">
        <v>23864.95</v>
      </c>
      <c r="I2715">
        <v>60973.2</v>
      </c>
      <c r="J2715" t="s">
        <v>2509</v>
      </c>
    </row>
    <row r="2716" spans="1:10" ht="15" customHeight="1" x14ac:dyDescent="0.2">
      <c r="A2716" s="420">
        <v>45819</v>
      </c>
      <c r="B2716" t="s">
        <v>2439</v>
      </c>
      <c r="C2716" t="s">
        <v>5684</v>
      </c>
      <c r="D2716" t="s">
        <v>5698</v>
      </c>
      <c r="E2716" t="s">
        <v>5699</v>
      </c>
      <c r="G2716">
        <v>30486.6</v>
      </c>
      <c r="I2716">
        <v>91459.8</v>
      </c>
      <c r="J2716" t="s">
        <v>2509</v>
      </c>
    </row>
    <row r="2717" spans="1:10" ht="15" customHeight="1" x14ac:dyDescent="0.2">
      <c r="A2717" s="420">
        <v>45821</v>
      </c>
      <c r="B2717" t="s">
        <v>2439</v>
      </c>
      <c r="C2717" t="s">
        <v>5684</v>
      </c>
      <c r="D2717" t="s">
        <v>5700</v>
      </c>
      <c r="E2717" t="s">
        <v>5701</v>
      </c>
      <c r="G2717">
        <v>7621.65</v>
      </c>
      <c r="I2717">
        <v>99081.45</v>
      </c>
      <c r="J2717" t="s">
        <v>2509</v>
      </c>
    </row>
    <row r="2718" spans="1:10" ht="15" customHeight="1" x14ac:dyDescent="0.2">
      <c r="A2718" s="420">
        <v>45827</v>
      </c>
      <c r="B2718" t="s">
        <v>2439</v>
      </c>
      <c r="C2718" t="s">
        <v>5684</v>
      </c>
      <c r="D2718" t="s">
        <v>5702</v>
      </c>
      <c r="E2718" t="s">
        <v>5703</v>
      </c>
      <c r="G2718">
        <v>53351.55</v>
      </c>
      <c r="I2718">
        <v>152433</v>
      </c>
      <c r="J2718" t="s">
        <v>2509</v>
      </c>
    </row>
    <row r="2719" spans="1:10" ht="15" customHeight="1" x14ac:dyDescent="0.2">
      <c r="A2719" s="420">
        <v>45839</v>
      </c>
      <c r="B2719" t="s">
        <v>5544</v>
      </c>
      <c r="C2719" t="s">
        <v>5684</v>
      </c>
      <c r="D2719" t="s">
        <v>5704</v>
      </c>
      <c r="E2719" t="s">
        <v>5705</v>
      </c>
      <c r="F2719">
        <v>152433</v>
      </c>
      <c r="J2719" t="s">
        <v>2509</v>
      </c>
    </row>
    <row r="2720" spans="1:10" ht="15" customHeight="1" x14ac:dyDescent="0.2">
      <c r="A2720" t="s">
        <v>5684</v>
      </c>
      <c r="E2720" t="s">
        <v>349</v>
      </c>
      <c r="F2720">
        <v>158433</v>
      </c>
      <c r="G2720">
        <v>158433</v>
      </c>
    </row>
    <row r="2722" spans="1:10" ht="15" customHeight="1" x14ac:dyDescent="0.2">
      <c r="A2722" t="s">
        <v>5706</v>
      </c>
      <c r="B2722" t="s">
        <v>5707</v>
      </c>
      <c r="F2722" t="s">
        <v>2430</v>
      </c>
      <c r="G2722" t="s">
        <v>2431</v>
      </c>
      <c r="H2722" t="s">
        <v>2432</v>
      </c>
      <c r="I2722" t="s">
        <v>2433</v>
      </c>
      <c r="J2722" t="s">
        <v>2434</v>
      </c>
    </row>
    <row r="2723" spans="1:10" ht="15" customHeight="1" x14ac:dyDescent="0.2">
      <c r="A2723" s="420">
        <v>45769</v>
      </c>
      <c r="B2723" t="s">
        <v>2333</v>
      </c>
      <c r="C2723" t="s">
        <v>5706</v>
      </c>
      <c r="D2723" t="s">
        <v>5708</v>
      </c>
      <c r="E2723" t="s">
        <v>5709</v>
      </c>
      <c r="G2723">
        <v>19141.349999999999</v>
      </c>
      <c r="I2723">
        <v>19141.349999999999</v>
      </c>
      <c r="J2723" t="s">
        <v>2509</v>
      </c>
    </row>
    <row r="2724" spans="1:10" ht="15" customHeight="1" x14ac:dyDescent="0.2">
      <c r="A2724" s="420">
        <v>45769</v>
      </c>
      <c r="B2724" t="s">
        <v>2439</v>
      </c>
      <c r="C2724" t="s">
        <v>5706</v>
      </c>
      <c r="D2724" t="s">
        <v>5710</v>
      </c>
      <c r="E2724" t="s">
        <v>5711</v>
      </c>
      <c r="G2724">
        <v>12760.9</v>
      </c>
      <c r="I2724">
        <v>31902.25</v>
      </c>
      <c r="J2724" t="s">
        <v>2509</v>
      </c>
    </row>
    <row r="2725" spans="1:10" ht="15" customHeight="1" x14ac:dyDescent="0.2">
      <c r="A2725" s="420">
        <v>45779</v>
      </c>
      <c r="B2725" t="s">
        <v>2333</v>
      </c>
      <c r="C2725" t="s">
        <v>5706</v>
      </c>
      <c r="D2725" t="s">
        <v>5712</v>
      </c>
      <c r="E2725" t="s">
        <v>5713</v>
      </c>
      <c r="F2725">
        <v>6000</v>
      </c>
      <c r="I2725">
        <v>25902.25</v>
      </c>
      <c r="J2725" t="s">
        <v>2511</v>
      </c>
    </row>
    <row r="2726" spans="1:10" ht="15" customHeight="1" x14ac:dyDescent="0.2">
      <c r="A2726" s="420">
        <v>45779</v>
      </c>
      <c r="B2726" t="s">
        <v>2532</v>
      </c>
      <c r="C2726" t="s">
        <v>5706</v>
      </c>
      <c r="D2726" t="s">
        <v>5714</v>
      </c>
      <c r="E2726" t="s">
        <v>5715</v>
      </c>
      <c r="G2726">
        <v>6000</v>
      </c>
      <c r="I2726">
        <v>31902.25</v>
      </c>
      <c r="J2726" t="s">
        <v>2511</v>
      </c>
    </row>
    <row r="2727" spans="1:10" ht="15" customHeight="1" x14ac:dyDescent="0.2">
      <c r="A2727" s="420">
        <v>45786</v>
      </c>
      <c r="B2727" t="s">
        <v>2333</v>
      </c>
      <c r="C2727" t="s">
        <v>5706</v>
      </c>
      <c r="D2727" t="s">
        <v>5716</v>
      </c>
      <c r="E2727" t="s">
        <v>5717</v>
      </c>
      <c r="G2727">
        <v>5464.36</v>
      </c>
      <c r="I2727">
        <v>37366.61</v>
      </c>
      <c r="J2727" t="s">
        <v>2509</v>
      </c>
    </row>
    <row r="2728" spans="1:10" ht="15" customHeight="1" x14ac:dyDescent="0.2">
      <c r="A2728" s="420">
        <v>45839</v>
      </c>
      <c r="B2728" t="s">
        <v>2439</v>
      </c>
      <c r="C2728" t="s">
        <v>5706</v>
      </c>
      <c r="D2728" t="s">
        <v>5718</v>
      </c>
      <c r="E2728" t="s">
        <v>5719</v>
      </c>
      <c r="G2728">
        <v>19413.48</v>
      </c>
      <c r="I2728">
        <v>56780.09</v>
      </c>
      <c r="J2728" t="s">
        <v>2509</v>
      </c>
    </row>
    <row r="2729" spans="1:10" ht="15" customHeight="1" x14ac:dyDescent="0.2">
      <c r="A2729" s="420">
        <v>45839</v>
      </c>
      <c r="B2729" t="s">
        <v>2439</v>
      </c>
      <c r="C2729" t="s">
        <v>5706</v>
      </c>
      <c r="D2729" t="s">
        <v>5720</v>
      </c>
      <c r="E2729" t="s">
        <v>5721</v>
      </c>
      <c r="F2729">
        <v>5464.36</v>
      </c>
      <c r="I2729">
        <v>51315.73</v>
      </c>
      <c r="J2729" t="s">
        <v>2509</v>
      </c>
    </row>
    <row r="2730" spans="1:10" ht="15" customHeight="1" x14ac:dyDescent="0.2">
      <c r="A2730" s="420">
        <v>45863</v>
      </c>
      <c r="B2730" t="s">
        <v>2439</v>
      </c>
      <c r="C2730" t="s">
        <v>5706</v>
      </c>
      <c r="D2730" t="s">
        <v>5722</v>
      </c>
      <c r="E2730" t="s">
        <v>5723</v>
      </c>
      <c r="G2730">
        <v>25657.86</v>
      </c>
      <c r="I2730">
        <v>76973.59</v>
      </c>
      <c r="J2730" t="s">
        <v>2509</v>
      </c>
    </row>
    <row r="2731" spans="1:10" ht="15" customHeight="1" x14ac:dyDescent="0.2">
      <c r="A2731" s="420">
        <v>45938</v>
      </c>
      <c r="B2731" t="s">
        <v>2439</v>
      </c>
      <c r="C2731" t="s">
        <v>5706</v>
      </c>
      <c r="D2731" t="s">
        <v>5724</v>
      </c>
      <c r="E2731" t="s">
        <v>5725</v>
      </c>
      <c r="G2731">
        <v>44901.26</v>
      </c>
      <c r="I2731">
        <v>121874.85</v>
      </c>
      <c r="J2731" t="s">
        <v>2509</v>
      </c>
    </row>
    <row r="2732" spans="1:10" ht="15" customHeight="1" x14ac:dyDescent="0.2">
      <c r="A2732" s="420">
        <v>45953</v>
      </c>
      <c r="B2732" t="s">
        <v>2439</v>
      </c>
      <c r="C2732" t="s">
        <v>5706</v>
      </c>
      <c r="D2732" t="s">
        <v>5726</v>
      </c>
      <c r="E2732" t="s">
        <v>5727</v>
      </c>
      <c r="G2732">
        <v>6414.47</v>
      </c>
      <c r="I2732">
        <v>128289.32</v>
      </c>
      <c r="J2732" t="s">
        <v>2509</v>
      </c>
    </row>
    <row r="2733" spans="1:10" ht="15" customHeight="1" x14ac:dyDescent="0.2">
      <c r="A2733" s="420">
        <v>45964</v>
      </c>
      <c r="B2733" t="s">
        <v>5544</v>
      </c>
      <c r="C2733" t="s">
        <v>5706</v>
      </c>
      <c r="D2733" t="s">
        <v>5728</v>
      </c>
      <c r="E2733" t="s">
        <v>5729</v>
      </c>
      <c r="F2733">
        <v>128289.32</v>
      </c>
      <c r="J2733" t="s">
        <v>2509</v>
      </c>
    </row>
    <row r="2734" spans="1:10" ht="15" customHeight="1" x14ac:dyDescent="0.2">
      <c r="A2734" t="s">
        <v>5706</v>
      </c>
      <c r="E2734" t="s">
        <v>349</v>
      </c>
      <c r="F2734">
        <v>139753.68</v>
      </c>
      <c r="G2734">
        <v>139753.68</v>
      </c>
    </row>
    <row r="2736" spans="1:10" ht="15" customHeight="1" x14ac:dyDescent="0.2">
      <c r="A2736" t="s">
        <v>5730</v>
      </c>
      <c r="B2736" t="s">
        <v>5731</v>
      </c>
      <c r="F2736" t="s">
        <v>2430</v>
      </c>
      <c r="G2736" t="s">
        <v>2431</v>
      </c>
      <c r="H2736" t="s">
        <v>2432</v>
      </c>
      <c r="I2736" t="s">
        <v>2433</v>
      </c>
      <c r="J2736" t="s">
        <v>2434</v>
      </c>
    </row>
    <row r="2737" spans="1:10" ht="15" customHeight="1" x14ac:dyDescent="0.2">
      <c r="A2737" s="420">
        <v>45926</v>
      </c>
      <c r="B2737" t="s">
        <v>2439</v>
      </c>
      <c r="C2737" t="s">
        <v>5730</v>
      </c>
      <c r="D2737" t="s">
        <v>5732</v>
      </c>
      <c r="E2737" t="s">
        <v>5733</v>
      </c>
      <c r="G2737">
        <v>14782.9</v>
      </c>
      <c r="I2737">
        <v>14782.9</v>
      </c>
    </row>
    <row r="2738" spans="1:10" ht="15" customHeight="1" x14ac:dyDescent="0.2">
      <c r="A2738" s="420">
        <v>45926</v>
      </c>
      <c r="B2738" t="s">
        <v>2439</v>
      </c>
      <c r="C2738" t="s">
        <v>5730</v>
      </c>
      <c r="D2738" t="s">
        <v>5734</v>
      </c>
      <c r="E2738" t="s">
        <v>5735</v>
      </c>
      <c r="G2738">
        <v>22174.35</v>
      </c>
      <c r="I2738">
        <v>36957.25</v>
      </c>
    </row>
    <row r="2739" spans="1:10" ht="15" customHeight="1" x14ac:dyDescent="0.2">
      <c r="A2739" s="420">
        <v>45931</v>
      </c>
      <c r="B2739" t="s">
        <v>2333</v>
      </c>
      <c r="C2739" t="s">
        <v>5730</v>
      </c>
      <c r="D2739" t="s">
        <v>5736</v>
      </c>
      <c r="E2739" t="s">
        <v>5737</v>
      </c>
      <c r="G2739">
        <v>11550.7</v>
      </c>
      <c r="I2739">
        <v>48507.95</v>
      </c>
      <c r="J2739" t="s">
        <v>2511</v>
      </c>
    </row>
    <row r="2740" spans="1:10" ht="15" customHeight="1" x14ac:dyDescent="0.2">
      <c r="A2740" s="420">
        <v>45936</v>
      </c>
      <c r="B2740" t="s">
        <v>2333</v>
      </c>
      <c r="C2740" t="s">
        <v>5730</v>
      </c>
      <c r="D2740" t="s">
        <v>5738</v>
      </c>
      <c r="E2740" t="s">
        <v>5739</v>
      </c>
      <c r="F2740">
        <v>11550.7</v>
      </c>
      <c r="I2740">
        <v>36957.25</v>
      </c>
      <c r="J2740" t="s">
        <v>2511</v>
      </c>
    </row>
    <row r="2741" spans="1:10" ht="15" customHeight="1" x14ac:dyDescent="0.2">
      <c r="A2741" s="420">
        <v>45953</v>
      </c>
      <c r="B2741" t="s">
        <v>2333</v>
      </c>
      <c r="C2741" t="s">
        <v>5730</v>
      </c>
      <c r="D2741" t="s">
        <v>5740</v>
      </c>
      <c r="E2741" t="s">
        <v>5741</v>
      </c>
      <c r="F2741">
        <v>6000</v>
      </c>
      <c r="I2741">
        <v>30957.25</v>
      </c>
      <c r="J2741" t="s">
        <v>2509</v>
      </c>
    </row>
    <row r="2742" spans="1:10" ht="15" customHeight="1" x14ac:dyDescent="0.2">
      <c r="A2742" s="420">
        <v>45953</v>
      </c>
      <c r="B2742" t="s">
        <v>5544</v>
      </c>
      <c r="C2742" t="s">
        <v>5730</v>
      </c>
      <c r="D2742" t="s">
        <v>5742</v>
      </c>
      <c r="E2742" t="s">
        <v>5743</v>
      </c>
      <c r="G2742">
        <v>6000</v>
      </c>
      <c r="I2742">
        <v>36957.25</v>
      </c>
      <c r="J2742" t="s">
        <v>2509</v>
      </c>
    </row>
    <row r="2743" spans="1:10" ht="15" customHeight="1" x14ac:dyDescent="0.2">
      <c r="A2743" s="420">
        <v>45959</v>
      </c>
      <c r="B2743" t="s">
        <v>2439</v>
      </c>
      <c r="C2743" t="s">
        <v>5730</v>
      </c>
      <c r="D2743" t="s">
        <v>5744</v>
      </c>
      <c r="E2743" t="s">
        <v>5745</v>
      </c>
      <c r="G2743">
        <v>22940.54</v>
      </c>
      <c r="I2743">
        <v>59897.79</v>
      </c>
    </row>
    <row r="2744" spans="1:10" ht="15" customHeight="1" x14ac:dyDescent="0.2">
      <c r="A2744" s="420">
        <v>46008</v>
      </c>
      <c r="B2744" t="s">
        <v>2439</v>
      </c>
      <c r="C2744" t="s">
        <v>5730</v>
      </c>
      <c r="D2744" t="s">
        <v>5746</v>
      </c>
      <c r="E2744" t="s">
        <v>5747</v>
      </c>
      <c r="G2744">
        <v>29948.89</v>
      </c>
      <c r="I2744">
        <v>89846.68</v>
      </c>
    </row>
    <row r="2745" spans="1:10" ht="15" customHeight="1" x14ac:dyDescent="0.2">
      <c r="A2745" s="420">
        <v>46008</v>
      </c>
      <c r="B2745" t="s">
        <v>2507</v>
      </c>
      <c r="C2745" t="s">
        <v>5730</v>
      </c>
      <c r="D2745" t="s">
        <v>5571</v>
      </c>
      <c r="E2745" t="s">
        <v>5748</v>
      </c>
      <c r="F2745">
        <v>89846.68</v>
      </c>
    </row>
    <row r="2746" spans="1:10" ht="15" customHeight="1" x14ac:dyDescent="0.2">
      <c r="A2746" t="s">
        <v>5730</v>
      </c>
      <c r="E2746" t="s">
        <v>349</v>
      </c>
      <c r="F2746">
        <v>107397.38</v>
      </c>
      <c r="G2746">
        <v>107397.38</v>
      </c>
    </row>
    <row r="2748" spans="1:10" ht="15" customHeight="1" x14ac:dyDescent="0.2">
      <c r="A2748" t="s">
        <v>5749</v>
      </c>
      <c r="B2748" t="s">
        <v>5750</v>
      </c>
      <c r="F2748" t="s">
        <v>2430</v>
      </c>
      <c r="G2748" t="s">
        <v>2431</v>
      </c>
      <c r="H2748" t="s">
        <v>2432</v>
      </c>
      <c r="I2748" t="s">
        <v>2433</v>
      </c>
      <c r="J2748" t="s">
        <v>2434</v>
      </c>
    </row>
    <row r="2749" spans="1:10" ht="15" customHeight="1" x14ac:dyDescent="0.2">
      <c r="A2749" s="420">
        <v>45934</v>
      </c>
      <c r="B2749" t="s">
        <v>2333</v>
      </c>
      <c r="C2749" t="s">
        <v>5749</v>
      </c>
      <c r="D2749" t="s">
        <v>5751</v>
      </c>
      <c r="E2749" t="s">
        <v>5752</v>
      </c>
      <c r="G2749">
        <v>26031</v>
      </c>
      <c r="I2749">
        <v>26031</v>
      </c>
    </row>
    <row r="2750" spans="1:10" ht="15" customHeight="1" x14ac:dyDescent="0.2">
      <c r="A2750" s="420">
        <v>45934</v>
      </c>
      <c r="B2750" t="s">
        <v>2333</v>
      </c>
      <c r="C2750" t="s">
        <v>5749</v>
      </c>
      <c r="D2750" t="s">
        <v>5751</v>
      </c>
      <c r="E2750" t="s">
        <v>5752</v>
      </c>
      <c r="G2750">
        <v>17354</v>
      </c>
      <c r="I2750">
        <v>43385</v>
      </c>
    </row>
    <row r="2751" spans="1:10" ht="15" customHeight="1" x14ac:dyDescent="0.2">
      <c r="A2751" s="420">
        <v>45934</v>
      </c>
      <c r="B2751" t="s">
        <v>2333</v>
      </c>
      <c r="C2751" t="s">
        <v>5749</v>
      </c>
      <c r="D2751" t="s">
        <v>5753</v>
      </c>
      <c r="E2751" t="s">
        <v>5754</v>
      </c>
      <c r="G2751">
        <v>26031</v>
      </c>
      <c r="I2751">
        <v>69416</v>
      </c>
    </row>
    <row r="2752" spans="1:10" ht="15" customHeight="1" x14ac:dyDescent="0.2">
      <c r="A2752" s="420">
        <v>45934</v>
      </c>
      <c r="B2752" t="s">
        <v>2507</v>
      </c>
      <c r="C2752" t="s">
        <v>5749</v>
      </c>
      <c r="D2752" t="s">
        <v>5571</v>
      </c>
      <c r="E2752" t="s">
        <v>5755</v>
      </c>
      <c r="F2752">
        <v>69416</v>
      </c>
    </row>
    <row r="2753" spans="1:10" ht="15" customHeight="1" x14ac:dyDescent="0.2">
      <c r="A2753" s="420">
        <v>45954</v>
      </c>
      <c r="B2753" t="s">
        <v>2333</v>
      </c>
      <c r="C2753" t="s">
        <v>5749</v>
      </c>
      <c r="D2753" t="s">
        <v>5756</v>
      </c>
      <c r="E2753" t="s">
        <v>5757</v>
      </c>
      <c r="F2753">
        <v>1350</v>
      </c>
      <c r="H2753">
        <v>1350</v>
      </c>
      <c r="J2753" t="s">
        <v>2511</v>
      </c>
    </row>
    <row r="2754" spans="1:10" ht="15" customHeight="1" x14ac:dyDescent="0.2">
      <c r="A2754" s="420">
        <v>45954</v>
      </c>
      <c r="B2754" t="s">
        <v>2333</v>
      </c>
      <c r="C2754" t="s">
        <v>5749</v>
      </c>
      <c r="D2754" t="s">
        <v>5758</v>
      </c>
      <c r="E2754" t="s">
        <v>5759</v>
      </c>
      <c r="F2754">
        <v>6000</v>
      </c>
      <c r="H2754">
        <v>7350</v>
      </c>
      <c r="J2754" t="s">
        <v>2511</v>
      </c>
    </row>
    <row r="2755" spans="1:10" ht="15" customHeight="1" x14ac:dyDescent="0.2">
      <c r="A2755" s="420">
        <v>45954</v>
      </c>
      <c r="B2755" t="s">
        <v>5544</v>
      </c>
      <c r="C2755" t="s">
        <v>5749</v>
      </c>
      <c r="D2755" t="s">
        <v>5760</v>
      </c>
      <c r="E2755" t="s">
        <v>5761</v>
      </c>
      <c r="G2755">
        <v>7350</v>
      </c>
      <c r="J2755" t="s">
        <v>2511</v>
      </c>
    </row>
    <row r="2756" spans="1:10" ht="15" customHeight="1" x14ac:dyDescent="0.2">
      <c r="A2756" t="s">
        <v>5749</v>
      </c>
      <c r="E2756" t="s">
        <v>349</v>
      </c>
      <c r="F2756">
        <v>76766</v>
      </c>
      <c r="G2756">
        <v>76766</v>
      </c>
    </row>
    <row r="2758" spans="1:10" ht="15" customHeight="1" x14ac:dyDescent="0.2">
      <c r="A2758" t="s">
        <v>5762</v>
      </c>
      <c r="B2758" t="s">
        <v>5763</v>
      </c>
      <c r="F2758" t="s">
        <v>2430</v>
      </c>
      <c r="G2758" t="s">
        <v>2431</v>
      </c>
      <c r="H2758" t="s">
        <v>2432</v>
      </c>
      <c r="I2758" t="s">
        <v>2433</v>
      </c>
      <c r="J2758" t="s">
        <v>2434</v>
      </c>
    </row>
    <row r="2759" spans="1:10" ht="15" customHeight="1" x14ac:dyDescent="0.2">
      <c r="A2759" s="420">
        <v>45658</v>
      </c>
      <c r="B2759" t="s">
        <v>2435</v>
      </c>
      <c r="C2759" t="s">
        <v>5762</v>
      </c>
      <c r="D2759" t="s">
        <v>2436</v>
      </c>
      <c r="E2759" t="s">
        <v>5764</v>
      </c>
      <c r="G2759">
        <v>21367.8</v>
      </c>
      <c r="I2759">
        <v>21367.8</v>
      </c>
      <c r="J2759" t="s">
        <v>2509</v>
      </c>
    </row>
    <row r="2760" spans="1:10" ht="15" customHeight="1" x14ac:dyDescent="0.2">
      <c r="A2760" s="420">
        <v>45658</v>
      </c>
      <c r="B2760" t="s">
        <v>2435</v>
      </c>
      <c r="C2760" t="s">
        <v>5762</v>
      </c>
      <c r="D2760" t="s">
        <v>2436</v>
      </c>
      <c r="E2760" t="s">
        <v>5765</v>
      </c>
      <c r="G2760">
        <v>14245.2</v>
      </c>
      <c r="I2760">
        <v>35613</v>
      </c>
      <c r="J2760" t="s">
        <v>2509</v>
      </c>
    </row>
    <row r="2761" spans="1:10" ht="15" customHeight="1" x14ac:dyDescent="0.2">
      <c r="A2761" s="420">
        <v>45658</v>
      </c>
      <c r="B2761" t="s">
        <v>2435</v>
      </c>
      <c r="C2761" t="s">
        <v>5762</v>
      </c>
      <c r="D2761" t="s">
        <v>2436</v>
      </c>
      <c r="E2761" t="s">
        <v>5766</v>
      </c>
      <c r="G2761">
        <v>22167.8</v>
      </c>
      <c r="I2761">
        <v>57780.800000000003</v>
      </c>
      <c r="J2761" t="s">
        <v>2509</v>
      </c>
    </row>
    <row r="2762" spans="1:10" ht="15" customHeight="1" x14ac:dyDescent="0.2">
      <c r="A2762" s="420">
        <v>45658</v>
      </c>
      <c r="B2762" t="s">
        <v>2435</v>
      </c>
      <c r="C2762" t="s">
        <v>5762</v>
      </c>
      <c r="D2762" t="s">
        <v>2436</v>
      </c>
      <c r="E2762" t="s">
        <v>5767</v>
      </c>
      <c r="F2762">
        <v>57780.800000000003</v>
      </c>
      <c r="J2762" t="s">
        <v>2509</v>
      </c>
    </row>
    <row r="2763" spans="1:10" ht="15" customHeight="1" x14ac:dyDescent="0.2">
      <c r="A2763" s="420">
        <v>45658</v>
      </c>
      <c r="B2763" t="s">
        <v>2507</v>
      </c>
      <c r="C2763" t="s">
        <v>5762</v>
      </c>
      <c r="D2763" t="s">
        <v>5768</v>
      </c>
      <c r="E2763" t="s">
        <v>5769</v>
      </c>
      <c r="G2763">
        <v>57780.800000000003</v>
      </c>
      <c r="I2763">
        <v>57780.800000000003</v>
      </c>
      <c r="J2763" t="s">
        <v>2509</v>
      </c>
    </row>
    <row r="2764" spans="1:10" ht="15" customHeight="1" x14ac:dyDescent="0.2">
      <c r="A2764" s="420">
        <v>45686</v>
      </c>
      <c r="B2764" t="s">
        <v>2439</v>
      </c>
      <c r="C2764" t="s">
        <v>5762</v>
      </c>
      <c r="D2764" t="s">
        <v>5770</v>
      </c>
      <c r="E2764" t="s">
        <v>5771</v>
      </c>
      <c r="G2764">
        <v>28890.400000000001</v>
      </c>
      <c r="I2764">
        <v>86671.2</v>
      </c>
      <c r="J2764" t="s">
        <v>2509</v>
      </c>
    </row>
    <row r="2765" spans="1:10" ht="15" customHeight="1" x14ac:dyDescent="0.2">
      <c r="A2765" s="420">
        <v>45709</v>
      </c>
      <c r="B2765" t="s">
        <v>2439</v>
      </c>
      <c r="C2765" t="s">
        <v>5762</v>
      </c>
      <c r="D2765" t="s">
        <v>5772</v>
      </c>
      <c r="E2765" t="s">
        <v>5773</v>
      </c>
      <c r="G2765">
        <v>50558.2</v>
      </c>
      <c r="I2765">
        <v>137229.4</v>
      </c>
      <c r="J2765" t="s">
        <v>2509</v>
      </c>
    </row>
    <row r="2766" spans="1:10" ht="15" customHeight="1" x14ac:dyDescent="0.2">
      <c r="A2766" s="420">
        <v>45713</v>
      </c>
      <c r="B2766" t="s">
        <v>2439</v>
      </c>
      <c r="C2766" t="s">
        <v>5762</v>
      </c>
      <c r="D2766" t="s">
        <v>5774</v>
      </c>
      <c r="E2766" t="s">
        <v>5775</v>
      </c>
      <c r="G2766">
        <v>7222.6</v>
      </c>
      <c r="I2766">
        <v>144452</v>
      </c>
      <c r="J2766" t="s">
        <v>2509</v>
      </c>
    </row>
    <row r="2767" spans="1:10" ht="15" customHeight="1" x14ac:dyDescent="0.2">
      <c r="A2767" s="420">
        <v>45719</v>
      </c>
      <c r="B2767" t="s">
        <v>5544</v>
      </c>
      <c r="C2767" t="s">
        <v>5762</v>
      </c>
      <c r="D2767" t="s">
        <v>5776</v>
      </c>
      <c r="E2767" t="s">
        <v>5777</v>
      </c>
      <c r="F2767">
        <v>144452</v>
      </c>
      <c r="J2767" t="s">
        <v>2509</v>
      </c>
    </row>
    <row r="2768" spans="1:10" ht="15" customHeight="1" x14ac:dyDescent="0.2">
      <c r="A2768" t="s">
        <v>5762</v>
      </c>
      <c r="E2768" t="s">
        <v>349</v>
      </c>
      <c r="F2768">
        <v>202232.8</v>
      </c>
      <c r="G2768">
        <v>202232.8</v>
      </c>
    </row>
    <row r="2770" spans="1:10" ht="15" customHeight="1" x14ac:dyDescent="0.2">
      <c r="A2770" t="s">
        <v>5778</v>
      </c>
      <c r="B2770" t="s">
        <v>5779</v>
      </c>
      <c r="F2770" t="s">
        <v>2430</v>
      </c>
      <c r="G2770" t="s">
        <v>2431</v>
      </c>
      <c r="H2770" t="s">
        <v>2432</v>
      </c>
      <c r="I2770" t="s">
        <v>2433</v>
      </c>
      <c r="J2770" t="s">
        <v>2434</v>
      </c>
    </row>
    <row r="2771" spans="1:10" ht="15" customHeight="1" x14ac:dyDescent="0.2">
      <c r="A2771" s="420">
        <v>45722</v>
      </c>
      <c r="B2771" t="s">
        <v>2333</v>
      </c>
      <c r="C2771" t="s">
        <v>5778</v>
      </c>
      <c r="D2771" t="s">
        <v>5780</v>
      </c>
      <c r="E2771" t="s">
        <v>5781</v>
      </c>
      <c r="G2771">
        <v>200</v>
      </c>
      <c r="I2771">
        <v>200</v>
      </c>
      <c r="J2771" t="s">
        <v>2511</v>
      </c>
    </row>
    <row r="2772" spans="1:10" ht="15" customHeight="1" x14ac:dyDescent="0.2">
      <c r="A2772" s="420">
        <v>45755</v>
      </c>
      <c r="B2772" t="s">
        <v>2333</v>
      </c>
      <c r="C2772" t="s">
        <v>5778</v>
      </c>
      <c r="D2772" t="s">
        <v>5647</v>
      </c>
      <c r="E2772" t="s">
        <v>5782</v>
      </c>
      <c r="G2772">
        <v>200</v>
      </c>
      <c r="I2772">
        <v>400</v>
      </c>
      <c r="J2772" t="s">
        <v>2511</v>
      </c>
    </row>
    <row r="2773" spans="1:10" ht="15" customHeight="1" x14ac:dyDescent="0.2">
      <c r="A2773" s="420">
        <v>45786</v>
      </c>
      <c r="B2773" t="s">
        <v>2333</v>
      </c>
      <c r="C2773" t="s">
        <v>5778</v>
      </c>
      <c r="D2773" t="s">
        <v>5783</v>
      </c>
      <c r="E2773" t="s">
        <v>5784</v>
      </c>
      <c r="G2773">
        <v>200</v>
      </c>
      <c r="I2773">
        <v>600</v>
      </c>
      <c r="J2773" t="s">
        <v>2511</v>
      </c>
    </row>
    <row r="2774" spans="1:10" ht="15" customHeight="1" x14ac:dyDescent="0.2">
      <c r="A2774" s="420">
        <v>45811</v>
      </c>
      <c r="B2774" t="s">
        <v>2333</v>
      </c>
      <c r="C2774" t="s">
        <v>5778</v>
      </c>
      <c r="D2774" t="s">
        <v>5785</v>
      </c>
      <c r="E2774" t="s">
        <v>5786</v>
      </c>
      <c r="G2774">
        <v>200</v>
      </c>
      <c r="I2774">
        <v>800</v>
      </c>
      <c r="J2774" t="s">
        <v>2511</v>
      </c>
    </row>
    <row r="2775" spans="1:10" ht="15" customHeight="1" x14ac:dyDescent="0.2">
      <c r="A2775" s="420">
        <v>45839</v>
      </c>
      <c r="B2775" t="s">
        <v>2439</v>
      </c>
      <c r="C2775" t="s">
        <v>5778</v>
      </c>
      <c r="D2775" t="s">
        <v>5649</v>
      </c>
      <c r="E2775" t="s">
        <v>5787</v>
      </c>
      <c r="F2775">
        <v>800</v>
      </c>
      <c r="J2775" t="s">
        <v>2511</v>
      </c>
    </row>
    <row r="2776" spans="1:10" ht="15" customHeight="1" x14ac:dyDescent="0.2">
      <c r="A2776" t="s">
        <v>5778</v>
      </c>
      <c r="E2776" t="s">
        <v>349</v>
      </c>
      <c r="F2776">
        <v>800</v>
      </c>
      <c r="G2776">
        <v>800</v>
      </c>
    </row>
    <row r="2778" spans="1:10" ht="15" customHeight="1" x14ac:dyDescent="0.2">
      <c r="A2778" t="s">
        <v>5788</v>
      </c>
      <c r="B2778" t="s">
        <v>5789</v>
      </c>
      <c r="F2778" t="s">
        <v>2430</v>
      </c>
      <c r="G2778" t="s">
        <v>2431</v>
      </c>
      <c r="H2778" t="s">
        <v>2432</v>
      </c>
      <c r="I2778" t="s">
        <v>2433</v>
      </c>
      <c r="J2778" t="s">
        <v>2434</v>
      </c>
    </row>
    <row r="2779" spans="1:10" ht="15" customHeight="1" x14ac:dyDescent="0.2">
      <c r="A2779" s="420">
        <v>45658</v>
      </c>
      <c r="B2779" t="s">
        <v>2435</v>
      </c>
      <c r="C2779" t="s">
        <v>5788</v>
      </c>
      <c r="D2779" t="s">
        <v>2436</v>
      </c>
      <c r="E2779" t="s">
        <v>5790</v>
      </c>
      <c r="G2779">
        <v>21705.45</v>
      </c>
      <c r="I2779">
        <v>21705.45</v>
      </c>
      <c r="J2779" t="s">
        <v>2509</v>
      </c>
    </row>
    <row r="2780" spans="1:10" ht="15" customHeight="1" x14ac:dyDescent="0.2">
      <c r="A2780" s="420">
        <v>45658</v>
      </c>
      <c r="B2780" t="s">
        <v>2435</v>
      </c>
      <c r="C2780" t="s">
        <v>5788</v>
      </c>
      <c r="D2780" t="s">
        <v>2436</v>
      </c>
      <c r="E2780" t="s">
        <v>5791</v>
      </c>
      <c r="G2780">
        <v>14470.3</v>
      </c>
      <c r="I2780">
        <v>36175.75</v>
      </c>
      <c r="J2780" t="s">
        <v>2509</v>
      </c>
    </row>
    <row r="2781" spans="1:10" ht="15" customHeight="1" x14ac:dyDescent="0.2">
      <c r="A2781" s="420">
        <v>45658</v>
      </c>
      <c r="B2781" t="s">
        <v>2435</v>
      </c>
      <c r="C2781" t="s">
        <v>5788</v>
      </c>
      <c r="D2781" t="s">
        <v>2436</v>
      </c>
      <c r="E2781" t="s">
        <v>5792</v>
      </c>
      <c r="G2781">
        <v>22505.45</v>
      </c>
      <c r="I2781">
        <v>58681.2</v>
      </c>
      <c r="J2781" t="s">
        <v>2509</v>
      </c>
    </row>
    <row r="2782" spans="1:10" ht="15" customHeight="1" x14ac:dyDescent="0.2">
      <c r="A2782" s="420">
        <v>45658</v>
      </c>
      <c r="B2782" t="s">
        <v>2435</v>
      </c>
      <c r="C2782" t="s">
        <v>5788</v>
      </c>
      <c r="D2782" t="s">
        <v>2436</v>
      </c>
      <c r="E2782" t="s">
        <v>5793</v>
      </c>
      <c r="G2782">
        <v>29340.6</v>
      </c>
      <c r="I2782">
        <v>88021.8</v>
      </c>
      <c r="J2782" t="s">
        <v>2509</v>
      </c>
    </row>
    <row r="2783" spans="1:10" ht="15" customHeight="1" x14ac:dyDescent="0.2">
      <c r="A2783" s="420">
        <v>45658</v>
      </c>
      <c r="B2783" t="s">
        <v>2435</v>
      </c>
      <c r="C2783" t="s">
        <v>5788</v>
      </c>
      <c r="D2783" t="s">
        <v>2436</v>
      </c>
      <c r="E2783" t="s">
        <v>5794</v>
      </c>
      <c r="F2783">
        <v>88021.8</v>
      </c>
      <c r="J2783" t="s">
        <v>2511</v>
      </c>
    </row>
    <row r="2784" spans="1:10" ht="15" customHeight="1" x14ac:dyDescent="0.2">
      <c r="A2784" s="420">
        <v>45658</v>
      </c>
      <c r="B2784" t="s">
        <v>2507</v>
      </c>
      <c r="C2784" t="s">
        <v>5788</v>
      </c>
      <c r="D2784" t="s">
        <v>5795</v>
      </c>
      <c r="E2784" t="s">
        <v>5796</v>
      </c>
      <c r="G2784">
        <v>88021.8</v>
      </c>
      <c r="I2784">
        <v>88021.8</v>
      </c>
      <c r="J2784" t="s">
        <v>2511</v>
      </c>
    </row>
    <row r="2785" spans="1:10" ht="15" customHeight="1" x14ac:dyDescent="0.2">
      <c r="A2785" s="420">
        <v>45735</v>
      </c>
      <c r="B2785" t="s">
        <v>2439</v>
      </c>
      <c r="C2785" t="s">
        <v>5788</v>
      </c>
      <c r="D2785" t="s">
        <v>5797</v>
      </c>
      <c r="E2785" t="s">
        <v>5798</v>
      </c>
      <c r="G2785">
        <v>7335.15</v>
      </c>
      <c r="I2785">
        <v>95356.95</v>
      </c>
      <c r="J2785" t="s">
        <v>2509</v>
      </c>
    </row>
    <row r="2786" spans="1:10" ht="15" customHeight="1" x14ac:dyDescent="0.2">
      <c r="A2786" s="420">
        <v>45740</v>
      </c>
      <c r="B2786" t="s">
        <v>2439</v>
      </c>
      <c r="C2786" t="s">
        <v>5788</v>
      </c>
      <c r="D2786" t="s">
        <v>5799</v>
      </c>
      <c r="E2786" t="s">
        <v>5800</v>
      </c>
      <c r="G2786">
        <v>51346.06</v>
      </c>
      <c r="I2786">
        <v>146703.01</v>
      </c>
      <c r="J2786" t="s">
        <v>2509</v>
      </c>
    </row>
    <row r="2787" spans="1:10" ht="15" customHeight="1" x14ac:dyDescent="0.2">
      <c r="A2787" s="420">
        <v>45748</v>
      </c>
      <c r="B2787" t="s">
        <v>5544</v>
      </c>
      <c r="C2787" t="s">
        <v>5788</v>
      </c>
      <c r="D2787" t="s">
        <v>5801</v>
      </c>
      <c r="E2787" t="s">
        <v>5802</v>
      </c>
      <c r="F2787">
        <v>146703</v>
      </c>
      <c r="I2787">
        <v>0.01</v>
      </c>
      <c r="J2787" t="s">
        <v>2509</v>
      </c>
    </row>
    <row r="2788" spans="1:10" ht="15" customHeight="1" x14ac:dyDescent="0.2">
      <c r="A2788" s="420">
        <v>45748</v>
      </c>
      <c r="B2788" t="s">
        <v>2517</v>
      </c>
      <c r="C2788" t="s">
        <v>5788</v>
      </c>
      <c r="D2788" t="s">
        <v>5803</v>
      </c>
      <c r="E2788" t="s">
        <v>5804</v>
      </c>
      <c r="F2788">
        <v>0.01</v>
      </c>
      <c r="J2788" t="s">
        <v>2509</v>
      </c>
    </row>
    <row r="2789" spans="1:10" ht="15" customHeight="1" x14ac:dyDescent="0.2">
      <c r="A2789" t="s">
        <v>5788</v>
      </c>
      <c r="E2789" t="s">
        <v>349</v>
      </c>
      <c r="F2789">
        <v>234724.81</v>
      </c>
      <c r="G2789">
        <v>234724.81</v>
      </c>
    </row>
    <row r="2791" spans="1:10" ht="15" customHeight="1" x14ac:dyDescent="0.2">
      <c r="A2791" t="s">
        <v>5805</v>
      </c>
      <c r="B2791" t="s">
        <v>5806</v>
      </c>
      <c r="F2791" t="s">
        <v>2430</v>
      </c>
      <c r="G2791" t="s">
        <v>2431</v>
      </c>
      <c r="H2791" t="s">
        <v>2432</v>
      </c>
      <c r="I2791" t="s">
        <v>2433</v>
      </c>
      <c r="J2791" t="s">
        <v>2434</v>
      </c>
    </row>
    <row r="2792" spans="1:10" ht="15" customHeight="1" x14ac:dyDescent="0.2">
      <c r="A2792" s="420">
        <v>45702</v>
      </c>
      <c r="B2792" t="s">
        <v>2333</v>
      </c>
      <c r="C2792" t="s">
        <v>5805</v>
      </c>
      <c r="D2792" t="s">
        <v>5807</v>
      </c>
      <c r="E2792" t="s">
        <v>5808</v>
      </c>
      <c r="G2792">
        <v>25803.9</v>
      </c>
      <c r="I2792">
        <v>25803.9</v>
      </c>
      <c r="J2792" t="s">
        <v>2509</v>
      </c>
    </row>
    <row r="2793" spans="1:10" ht="15" customHeight="1" x14ac:dyDescent="0.2">
      <c r="A2793" s="420">
        <v>45702</v>
      </c>
      <c r="B2793" t="s">
        <v>2439</v>
      </c>
      <c r="C2793" t="s">
        <v>5805</v>
      </c>
      <c r="D2793" t="s">
        <v>5809</v>
      </c>
      <c r="E2793" t="s">
        <v>5810</v>
      </c>
      <c r="G2793">
        <v>17202.599999999999</v>
      </c>
      <c r="I2793">
        <v>43006.5</v>
      </c>
      <c r="J2793" t="s">
        <v>2509</v>
      </c>
    </row>
    <row r="2794" spans="1:10" ht="15" customHeight="1" x14ac:dyDescent="0.2">
      <c r="A2794" s="420">
        <v>45716</v>
      </c>
      <c r="B2794" t="s">
        <v>2333</v>
      </c>
      <c r="C2794" t="s">
        <v>5805</v>
      </c>
      <c r="D2794" t="s">
        <v>5811</v>
      </c>
      <c r="E2794" t="s">
        <v>5812</v>
      </c>
      <c r="F2794">
        <v>6000</v>
      </c>
      <c r="I2794">
        <v>37006.5</v>
      </c>
      <c r="J2794" t="s">
        <v>2511</v>
      </c>
    </row>
    <row r="2795" spans="1:10" ht="15" customHeight="1" x14ac:dyDescent="0.2">
      <c r="A2795" s="420">
        <v>45716</v>
      </c>
      <c r="B2795" t="s">
        <v>2333</v>
      </c>
      <c r="C2795" t="s">
        <v>5805</v>
      </c>
      <c r="D2795" t="s">
        <v>5813</v>
      </c>
      <c r="E2795" t="s">
        <v>5814</v>
      </c>
      <c r="F2795">
        <v>1500</v>
      </c>
      <c r="I2795">
        <v>35506.5</v>
      </c>
      <c r="J2795" t="s">
        <v>2511</v>
      </c>
    </row>
    <row r="2796" spans="1:10" ht="15" customHeight="1" x14ac:dyDescent="0.2">
      <c r="A2796" s="420">
        <v>45716</v>
      </c>
      <c r="B2796" t="s">
        <v>5544</v>
      </c>
      <c r="C2796" t="s">
        <v>5805</v>
      </c>
      <c r="D2796" t="s">
        <v>5815</v>
      </c>
      <c r="E2796" t="s">
        <v>5816</v>
      </c>
      <c r="G2796">
        <v>7500</v>
      </c>
      <c r="I2796">
        <v>43006.5</v>
      </c>
      <c r="J2796" t="s">
        <v>2511</v>
      </c>
    </row>
    <row r="2797" spans="1:10" ht="15" customHeight="1" x14ac:dyDescent="0.2">
      <c r="A2797" s="420">
        <v>45749</v>
      </c>
      <c r="B2797" t="s">
        <v>2439</v>
      </c>
      <c r="C2797" t="s">
        <v>5805</v>
      </c>
      <c r="D2797" t="s">
        <v>5817</v>
      </c>
      <c r="E2797" t="s">
        <v>5818</v>
      </c>
      <c r="G2797">
        <v>27003.9</v>
      </c>
      <c r="I2797">
        <v>70010.399999999994</v>
      </c>
      <c r="J2797" t="s">
        <v>2509</v>
      </c>
    </row>
    <row r="2798" spans="1:10" ht="15" customHeight="1" x14ac:dyDescent="0.2">
      <c r="A2798" s="420">
        <v>45799</v>
      </c>
      <c r="B2798" t="s">
        <v>2439</v>
      </c>
      <c r="C2798" t="s">
        <v>5805</v>
      </c>
      <c r="D2798" t="s">
        <v>5819</v>
      </c>
      <c r="E2798" t="s">
        <v>5820</v>
      </c>
      <c r="G2798">
        <v>35005.199999999997</v>
      </c>
      <c r="I2798">
        <v>105015.6</v>
      </c>
      <c r="J2798" t="s">
        <v>2509</v>
      </c>
    </row>
    <row r="2799" spans="1:10" ht="15" customHeight="1" x14ac:dyDescent="0.2">
      <c r="A2799" s="420">
        <v>45845</v>
      </c>
      <c r="B2799" t="s">
        <v>2439</v>
      </c>
      <c r="C2799" t="s">
        <v>5805</v>
      </c>
      <c r="D2799" t="s">
        <v>5821</v>
      </c>
      <c r="E2799" t="s">
        <v>5822</v>
      </c>
      <c r="G2799">
        <v>61259.1</v>
      </c>
      <c r="I2799">
        <v>166274.70000000001</v>
      </c>
      <c r="J2799" t="s">
        <v>2509</v>
      </c>
    </row>
    <row r="2800" spans="1:10" ht="15" customHeight="1" x14ac:dyDescent="0.2">
      <c r="A2800" s="420">
        <v>45848</v>
      </c>
      <c r="B2800" t="s">
        <v>2439</v>
      </c>
      <c r="C2800" t="s">
        <v>5805</v>
      </c>
      <c r="D2800" t="s">
        <v>5823</v>
      </c>
      <c r="E2800" t="s">
        <v>5824</v>
      </c>
      <c r="G2800">
        <v>8751.2999999999993</v>
      </c>
      <c r="I2800">
        <v>175026</v>
      </c>
      <c r="J2800" t="s">
        <v>2509</v>
      </c>
    </row>
    <row r="2801" spans="1:10" ht="15" customHeight="1" x14ac:dyDescent="0.2">
      <c r="A2801" s="420">
        <v>45880</v>
      </c>
      <c r="B2801" t="s">
        <v>5586</v>
      </c>
      <c r="C2801" t="s">
        <v>5805</v>
      </c>
      <c r="D2801" t="s">
        <v>5825</v>
      </c>
      <c r="E2801" t="s">
        <v>5826</v>
      </c>
      <c r="F2801">
        <v>175026</v>
      </c>
      <c r="J2801" t="s">
        <v>2509</v>
      </c>
    </row>
    <row r="2802" spans="1:10" ht="15" customHeight="1" x14ac:dyDescent="0.2">
      <c r="A2802" t="s">
        <v>5805</v>
      </c>
      <c r="E2802" t="s">
        <v>349</v>
      </c>
      <c r="F2802">
        <v>182526</v>
      </c>
      <c r="G2802">
        <v>182526</v>
      </c>
    </row>
    <row r="2804" spans="1:10" ht="15" customHeight="1" x14ac:dyDescent="0.2">
      <c r="A2804" t="s">
        <v>5827</v>
      </c>
      <c r="B2804" t="s">
        <v>5828</v>
      </c>
      <c r="F2804" t="s">
        <v>2430</v>
      </c>
      <c r="G2804" t="s">
        <v>2431</v>
      </c>
      <c r="H2804" t="s">
        <v>2432</v>
      </c>
      <c r="I2804" t="s">
        <v>2433</v>
      </c>
      <c r="J2804" t="s">
        <v>2434</v>
      </c>
    </row>
    <row r="2805" spans="1:10" ht="15" customHeight="1" x14ac:dyDescent="0.2">
      <c r="A2805" s="420">
        <v>45800</v>
      </c>
      <c r="B2805" t="s">
        <v>2333</v>
      </c>
      <c r="C2805" t="s">
        <v>5827</v>
      </c>
      <c r="D2805" t="s">
        <v>5829</v>
      </c>
      <c r="E2805" t="s">
        <v>5830</v>
      </c>
      <c r="G2805">
        <v>21513.45</v>
      </c>
      <c r="I2805">
        <v>21513.45</v>
      </c>
      <c r="J2805" t="s">
        <v>2509</v>
      </c>
    </row>
    <row r="2806" spans="1:10" ht="15" customHeight="1" x14ac:dyDescent="0.2">
      <c r="A2806" s="420">
        <v>45800</v>
      </c>
      <c r="B2806" t="s">
        <v>2439</v>
      </c>
      <c r="C2806" t="s">
        <v>5827</v>
      </c>
      <c r="D2806" t="s">
        <v>5831</v>
      </c>
      <c r="E2806" t="s">
        <v>5832</v>
      </c>
      <c r="G2806">
        <v>14342.3</v>
      </c>
      <c r="I2806">
        <v>35855.75</v>
      </c>
      <c r="J2806" t="s">
        <v>2509</v>
      </c>
    </row>
    <row r="2807" spans="1:10" ht="15" customHeight="1" x14ac:dyDescent="0.2">
      <c r="A2807" s="420">
        <v>45828</v>
      </c>
      <c r="B2807" t="s">
        <v>2333</v>
      </c>
      <c r="C2807" t="s">
        <v>5827</v>
      </c>
      <c r="D2807" t="s">
        <v>5833</v>
      </c>
      <c r="E2807" t="s">
        <v>5834</v>
      </c>
      <c r="F2807">
        <v>6000</v>
      </c>
      <c r="I2807">
        <v>29855.75</v>
      </c>
      <c r="J2807" t="s">
        <v>2511</v>
      </c>
    </row>
    <row r="2808" spans="1:10" ht="15" customHeight="1" x14ac:dyDescent="0.2">
      <c r="A2808" s="420">
        <v>45828</v>
      </c>
      <c r="B2808" t="s">
        <v>5586</v>
      </c>
      <c r="C2808" t="s">
        <v>5827</v>
      </c>
      <c r="D2808" t="s">
        <v>5835</v>
      </c>
      <c r="E2808" t="s">
        <v>5836</v>
      </c>
      <c r="G2808">
        <v>6000</v>
      </c>
      <c r="I2808">
        <v>35855.75</v>
      </c>
      <c r="J2808" t="s">
        <v>2511</v>
      </c>
    </row>
    <row r="2809" spans="1:10" ht="15" customHeight="1" x14ac:dyDescent="0.2">
      <c r="A2809" s="420">
        <v>45853</v>
      </c>
      <c r="B2809" t="s">
        <v>2439</v>
      </c>
      <c r="C2809" t="s">
        <v>5827</v>
      </c>
      <c r="D2809" t="s">
        <v>5837</v>
      </c>
      <c r="E2809" t="s">
        <v>5838</v>
      </c>
      <c r="G2809">
        <v>21906.99</v>
      </c>
      <c r="I2809">
        <v>57762.74</v>
      </c>
      <c r="J2809" t="s">
        <v>2509</v>
      </c>
    </row>
    <row r="2810" spans="1:10" ht="15" customHeight="1" x14ac:dyDescent="0.2">
      <c r="A2810" s="420">
        <v>45946</v>
      </c>
      <c r="B2810" t="s">
        <v>2439</v>
      </c>
      <c r="C2810" t="s">
        <v>5827</v>
      </c>
      <c r="D2810" t="s">
        <v>5839</v>
      </c>
      <c r="E2810" t="s">
        <v>5840</v>
      </c>
      <c r="G2810">
        <v>28881.37</v>
      </c>
      <c r="I2810">
        <v>86644.11</v>
      </c>
      <c r="J2810" t="s">
        <v>2509</v>
      </c>
    </row>
    <row r="2811" spans="1:10" ht="15" customHeight="1" x14ac:dyDescent="0.2">
      <c r="A2811" s="420">
        <v>45975</v>
      </c>
      <c r="B2811" t="s">
        <v>2439</v>
      </c>
      <c r="C2811" t="s">
        <v>5827</v>
      </c>
      <c r="D2811" t="s">
        <v>5841</v>
      </c>
      <c r="E2811" t="s">
        <v>5842</v>
      </c>
      <c r="G2811">
        <v>50542.400000000001</v>
      </c>
      <c r="I2811">
        <v>137186.51</v>
      </c>
      <c r="J2811" t="s">
        <v>2509</v>
      </c>
    </row>
    <row r="2812" spans="1:10" ht="15" customHeight="1" x14ac:dyDescent="0.2">
      <c r="A2812" s="420">
        <v>45975</v>
      </c>
      <c r="B2812" t="s">
        <v>2439</v>
      </c>
      <c r="C2812" t="s">
        <v>5827</v>
      </c>
      <c r="D2812" t="s">
        <v>5843</v>
      </c>
      <c r="E2812" t="s">
        <v>5844</v>
      </c>
      <c r="G2812">
        <v>7220.34</v>
      </c>
      <c r="I2812">
        <v>144406.85</v>
      </c>
      <c r="J2812" t="s">
        <v>2509</v>
      </c>
    </row>
    <row r="2813" spans="1:10" ht="15" customHeight="1" x14ac:dyDescent="0.2">
      <c r="A2813" s="420">
        <v>45993</v>
      </c>
      <c r="B2813" t="s">
        <v>5586</v>
      </c>
      <c r="C2813" t="s">
        <v>5827</v>
      </c>
      <c r="D2813" t="s">
        <v>5845</v>
      </c>
      <c r="E2813" t="s">
        <v>5846</v>
      </c>
      <c r="F2813">
        <v>144406.85</v>
      </c>
      <c r="J2813" t="s">
        <v>2509</v>
      </c>
    </row>
    <row r="2814" spans="1:10" ht="15" customHeight="1" x14ac:dyDescent="0.2">
      <c r="A2814" t="s">
        <v>5827</v>
      </c>
      <c r="E2814" t="s">
        <v>349</v>
      </c>
      <c r="F2814">
        <v>150406.85</v>
      </c>
      <c r="G2814">
        <v>150406.85</v>
      </c>
    </row>
    <row r="2816" spans="1:10" ht="15" customHeight="1" x14ac:dyDescent="0.2">
      <c r="A2816" t="s">
        <v>5847</v>
      </c>
      <c r="B2816" t="s">
        <v>5848</v>
      </c>
      <c r="F2816" t="s">
        <v>2430</v>
      </c>
      <c r="G2816" t="s">
        <v>2431</v>
      </c>
      <c r="H2816" t="s">
        <v>2432</v>
      </c>
      <c r="I2816" t="s">
        <v>2433</v>
      </c>
      <c r="J2816" t="s">
        <v>2434</v>
      </c>
    </row>
    <row r="2817" spans="1:10" ht="15" customHeight="1" x14ac:dyDescent="0.2">
      <c r="A2817" s="420">
        <v>45961</v>
      </c>
      <c r="B2817" t="s">
        <v>2333</v>
      </c>
      <c r="C2817" t="s">
        <v>5847</v>
      </c>
      <c r="D2817" t="s">
        <v>5849</v>
      </c>
      <c r="E2817" t="s">
        <v>5850</v>
      </c>
      <c r="G2817">
        <v>21107.7</v>
      </c>
      <c r="I2817">
        <v>21107.7</v>
      </c>
    </row>
    <row r="2818" spans="1:10" ht="15" customHeight="1" x14ac:dyDescent="0.2">
      <c r="A2818" s="420">
        <v>45964</v>
      </c>
      <c r="B2818" t="s">
        <v>2439</v>
      </c>
      <c r="C2818" t="s">
        <v>5847</v>
      </c>
      <c r="D2818" t="s">
        <v>5851</v>
      </c>
      <c r="E2818" t="s">
        <v>5852</v>
      </c>
      <c r="G2818">
        <v>14071.8</v>
      </c>
      <c r="I2818">
        <v>35179.5</v>
      </c>
    </row>
    <row r="2819" spans="1:10" ht="15" customHeight="1" x14ac:dyDescent="0.2">
      <c r="A2819" s="420">
        <v>45964</v>
      </c>
      <c r="B2819" t="s">
        <v>2507</v>
      </c>
      <c r="C2819" t="s">
        <v>5847</v>
      </c>
      <c r="D2819" t="s">
        <v>5571</v>
      </c>
      <c r="E2819" t="s">
        <v>5853</v>
      </c>
      <c r="F2819">
        <v>35179.5</v>
      </c>
    </row>
    <row r="2820" spans="1:10" ht="15" customHeight="1" x14ac:dyDescent="0.2">
      <c r="A2820" s="420">
        <v>45978</v>
      </c>
      <c r="B2820" t="s">
        <v>2333</v>
      </c>
      <c r="C2820" t="s">
        <v>5847</v>
      </c>
      <c r="D2820" t="s">
        <v>5854</v>
      </c>
      <c r="E2820" t="s">
        <v>5855</v>
      </c>
      <c r="F2820">
        <v>6000</v>
      </c>
      <c r="H2820">
        <v>6000</v>
      </c>
      <c r="J2820" t="s">
        <v>2511</v>
      </c>
    </row>
    <row r="2821" spans="1:10" ht="15" customHeight="1" x14ac:dyDescent="0.2">
      <c r="A2821" s="420">
        <v>45978</v>
      </c>
      <c r="B2821" t="s">
        <v>5544</v>
      </c>
      <c r="C2821" t="s">
        <v>5847</v>
      </c>
      <c r="D2821" t="s">
        <v>5856</v>
      </c>
      <c r="E2821" t="s">
        <v>5857</v>
      </c>
      <c r="G2821">
        <v>6000</v>
      </c>
      <c r="J2821" t="s">
        <v>2511</v>
      </c>
    </row>
    <row r="2822" spans="1:10" ht="15" customHeight="1" x14ac:dyDescent="0.2">
      <c r="A2822" t="s">
        <v>5847</v>
      </c>
      <c r="E2822" t="s">
        <v>349</v>
      </c>
      <c r="F2822">
        <v>41179.5</v>
      </c>
      <c r="G2822">
        <v>41179.5</v>
      </c>
    </row>
    <row r="2824" spans="1:10" ht="15" customHeight="1" x14ac:dyDescent="0.2">
      <c r="A2824" t="s">
        <v>5858</v>
      </c>
      <c r="B2824" t="s">
        <v>5859</v>
      </c>
      <c r="F2824" t="s">
        <v>2430</v>
      </c>
      <c r="G2824" t="s">
        <v>2431</v>
      </c>
      <c r="H2824" t="s">
        <v>2432</v>
      </c>
      <c r="I2824" t="s">
        <v>2433</v>
      </c>
      <c r="J2824" t="s">
        <v>2434</v>
      </c>
    </row>
    <row r="2825" spans="1:10" ht="15" customHeight="1" x14ac:dyDescent="0.2">
      <c r="A2825" s="420">
        <v>45930</v>
      </c>
      <c r="B2825" t="s">
        <v>2333</v>
      </c>
      <c r="C2825" t="s">
        <v>5858</v>
      </c>
      <c r="D2825" t="s">
        <v>5860</v>
      </c>
      <c r="E2825" t="s">
        <v>5861</v>
      </c>
      <c r="G2825">
        <v>25894.2</v>
      </c>
      <c r="I2825">
        <v>25894.2</v>
      </c>
    </row>
    <row r="2826" spans="1:10" ht="15" customHeight="1" x14ac:dyDescent="0.2">
      <c r="A2826" s="420">
        <v>45930</v>
      </c>
      <c r="B2826" t="s">
        <v>2333</v>
      </c>
      <c r="C2826" t="s">
        <v>5858</v>
      </c>
      <c r="D2826" t="s">
        <v>5860</v>
      </c>
      <c r="E2826" t="s">
        <v>5861</v>
      </c>
      <c r="G2826">
        <v>17262.8</v>
      </c>
      <c r="I2826">
        <v>43157</v>
      </c>
    </row>
    <row r="2827" spans="1:10" ht="15" customHeight="1" x14ac:dyDescent="0.2">
      <c r="A2827" s="420">
        <v>45938</v>
      </c>
      <c r="B2827" t="s">
        <v>2333</v>
      </c>
      <c r="C2827" t="s">
        <v>5858</v>
      </c>
      <c r="D2827" t="s">
        <v>5862</v>
      </c>
      <c r="E2827" t="s">
        <v>5863</v>
      </c>
      <c r="F2827">
        <v>6000</v>
      </c>
      <c r="I2827">
        <v>37157</v>
      </c>
      <c r="J2827" t="s">
        <v>2509</v>
      </c>
    </row>
    <row r="2828" spans="1:10" ht="15" customHeight="1" x14ac:dyDescent="0.2">
      <c r="A2828" s="420">
        <v>45938</v>
      </c>
      <c r="B2828" t="s">
        <v>5544</v>
      </c>
      <c r="C2828" t="s">
        <v>5858</v>
      </c>
      <c r="D2828" t="s">
        <v>5864</v>
      </c>
      <c r="E2828" t="s">
        <v>5865</v>
      </c>
      <c r="G2828">
        <v>6000</v>
      </c>
      <c r="I2828">
        <v>43157</v>
      </c>
      <c r="J2828" t="s">
        <v>2509</v>
      </c>
    </row>
    <row r="2829" spans="1:10" ht="15" customHeight="1" x14ac:dyDescent="0.2">
      <c r="A2829" s="420">
        <v>45959</v>
      </c>
      <c r="B2829" t="s">
        <v>2333</v>
      </c>
      <c r="C2829" t="s">
        <v>5858</v>
      </c>
      <c r="D2829" t="s">
        <v>5866</v>
      </c>
      <c r="E2829" t="s">
        <v>5867</v>
      </c>
      <c r="G2829">
        <v>27400.92</v>
      </c>
      <c r="I2829">
        <v>70557.919999999998</v>
      </c>
      <c r="J2829" t="s">
        <v>2511</v>
      </c>
    </row>
    <row r="2830" spans="1:10" ht="15" customHeight="1" x14ac:dyDescent="0.2">
      <c r="A2830" s="420">
        <v>45960</v>
      </c>
      <c r="B2830" t="s">
        <v>2333</v>
      </c>
      <c r="C2830" t="s">
        <v>5858</v>
      </c>
      <c r="D2830" t="s">
        <v>5868</v>
      </c>
      <c r="E2830" t="s">
        <v>5869</v>
      </c>
      <c r="F2830">
        <v>27400.92</v>
      </c>
      <c r="I2830">
        <v>43157</v>
      </c>
      <c r="J2830" t="s">
        <v>2511</v>
      </c>
    </row>
    <row r="2831" spans="1:10" ht="15" customHeight="1" x14ac:dyDescent="0.2">
      <c r="A2831" s="420">
        <v>45961</v>
      </c>
      <c r="B2831" t="s">
        <v>2439</v>
      </c>
      <c r="C2831" t="s">
        <v>5858</v>
      </c>
      <c r="D2831" t="s">
        <v>5870</v>
      </c>
      <c r="E2831" t="s">
        <v>5871</v>
      </c>
      <c r="G2831">
        <v>27400.92</v>
      </c>
      <c r="I2831">
        <v>70557.919999999998</v>
      </c>
    </row>
    <row r="2832" spans="1:10" ht="15" customHeight="1" x14ac:dyDescent="0.2">
      <c r="A2832" s="420">
        <v>45961</v>
      </c>
      <c r="B2832" t="s">
        <v>2507</v>
      </c>
      <c r="C2832" t="s">
        <v>5858</v>
      </c>
      <c r="D2832" t="s">
        <v>5571</v>
      </c>
      <c r="E2832" t="s">
        <v>5872</v>
      </c>
      <c r="F2832">
        <v>70557.919999999998</v>
      </c>
    </row>
    <row r="2833" spans="1:10" ht="15" customHeight="1" x14ac:dyDescent="0.2">
      <c r="A2833" t="s">
        <v>5858</v>
      </c>
      <c r="E2833" t="s">
        <v>349</v>
      </c>
      <c r="F2833">
        <v>103958.84</v>
      </c>
      <c r="G2833">
        <v>103958.84</v>
      </c>
    </row>
    <row r="2835" spans="1:10" ht="15" customHeight="1" x14ac:dyDescent="0.2">
      <c r="A2835" t="s">
        <v>5873</v>
      </c>
      <c r="B2835" t="s">
        <v>5874</v>
      </c>
      <c r="F2835" t="s">
        <v>2430</v>
      </c>
      <c r="G2835" t="s">
        <v>2431</v>
      </c>
      <c r="H2835" t="s">
        <v>2432</v>
      </c>
      <c r="I2835" t="s">
        <v>2433</v>
      </c>
      <c r="J2835" t="s">
        <v>2434</v>
      </c>
    </row>
    <row r="2836" spans="1:10" ht="15" customHeight="1" x14ac:dyDescent="0.2">
      <c r="A2836" s="420">
        <v>45874</v>
      </c>
      <c r="B2836" t="s">
        <v>2333</v>
      </c>
      <c r="C2836" t="s">
        <v>5873</v>
      </c>
      <c r="D2836" t="s">
        <v>5875</v>
      </c>
      <c r="E2836" t="s">
        <v>5876</v>
      </c>
      <c r="G2836">
        <v>25526.1</v>
      </c>
      <c r="I2836">
        <v>25526.1</v>
      </c>
    </row>
    <row r="2837" spans="1:10" ht="15" customHeight="1" x14ac:dyDescent="0.2">
      <c r="A2837" s="420">
        <v>45874</v>
      </c>
      <c r="B2837" t="s">
        <v>2439</v>
      </c>
      <c r="C2837" t="s">
        <v>5873</v>
      </c>
      <c r="D2837" t="s">
        <v>5877</v>
      </c>
      <c r="E2837" t="s">
        <v>5878</v>
      </c>
      <c r="G2837">
        <v>17017.400000000001</v>
      </c>
      <c r="I2837">
        <v>42543.5</v>
      </c>
    </row>
    <row r="2838" spans="1:10" ht="15" customHeight="1" x14ac:dyDescent="0.2">
      <c r="A2838" s="420">
        <v>45897</v>
      </c>
      <c r="B2838" t="s">
        <v>2333</v>
      </c>
      <c r="C2838" t="s">
        <v>5873</v>
      </c>
      <c r="D2838" t="s">
        <v>5879</v>
      </c>
      <c r="E2838" t="s">
        <v>5880</v>
      </c>
      <c r="F2838">
        <v>6000</v>
      </c>
      <c r="I2838">
        <v>36543.5</v>
      </c>
      <c r="J2838" t="s">
        <v>2511</v>
      </c>
    </row>
    <row r="2839" spans="1:10" ht="15" customHeight="1" x14ac:dyDescent="0.2">
      <c r="A2839" s="420">
        <v>45897</v>
      </c>
      <c r="B2839" t="s">
        <v>5544</v>
      </c>
      <c r="C2839" t="s">
        <v>5873</v>
      </c>
      <c r="D2839" t="s">
        <v>5881</v>
      </c>
      <c r="E2839" t="s">
        <v>5882</v>
      </c>
      <c r="G2839">
        <v>6000</v>
      </c>
      <c r="I2839">
        <v>42543.5</v>
      </c>
      <c r="J2839" t="s">
        <v>2511</v>
      </c>
    </row>
    <row r="2840" spans="1:10" ht="15" customHeight="1" x14ac:dyDescent="0.2">
      <c r="A2840" s="420">
        <v>46008</v>
      </c>
      <c r="B2840" t="s">
        <v>2439</v>
      </c>
      <c r="C2840" t="s">
        <v>5873</v>
      </c>
      <c r="D2840" t="s">
        <v>5883</v>
      </c>
      <c r="E2840" t="s">
        <v>5884</v>
      </c>
      <c r="G2840">
        <v>26408.1</v>
      </c>
      <c r="I2840">
        <v>68951.600000000006</v>
      </c>
    </row>
    <row r="2841" spans="1:10" ht="15" customHeight="1" x14ac:dyDescent="0.2">
      <c r="A2841" s="420">
        <v>46008</v>
      </c>
      <c r="B2841" t="s">
        <v>2507</v>
      </c>
      <c r="C2841" t="s">
        <v>5873</v>
      </c>
      <c r="D2841" t="s">
        <v>5571</v>
      </c>
      <c r="E2841" t="s">
        <v>5885</v>
      </c>
      <c r="F2841">
        <v>68951.600000000006</v>
      </c>
    </row>
    <row r="2842" spans="1:10" ht="15" customHeight="1" x14ac:dyDescent="0.2">
      <c r="A2842" t="s">
        <v>5873</v>
      </c>
      <c r="E2842" t="s">
        <v>349</v>
      </c>
      <c r="F2842">
        <v>74951.600000000006</v>
      </c>
      <c r="G2842">
        <v>74951.600000000006</v>
      </c>
    </row>
    <row r="2844" spans="1:10" ht="15" customHeight="1" x14ac:dyDescent="0.2">
      <c r="A2844" t="s">
        <v>5886</v>
      </c>
      <c r="B2844" t="s">
        <v>5887</v>
      </c>
      <c r="F2844" t="s">
        <v>2430</v>
      </c>
      <c r="G2844" t="s">
        <v>2431</v>
      </c>
      <c r="H2844" t="s">
        <v>2432</v>
      </c>
      <c r="I2844" t="s">
        <v>2433</v>
      </c>
      <c r="J2844" t="s">
        <v>2434</v>
      </c>
    </row>
    <row r="2845" spans="1:10" ht="15" customHeight="1" x14ac:dyDescent="0.2">
      <c r="A2845" s="420">
        <v>45773</v>
      </c>
      <c r="B2845" t="s">
        <v>2333</v>
      </c>
      <c r="C2845" t="s">
        <v>5886</v>
      </c>
      <c r="D2845" t="s">
        <v>5888</v>
      </c>
      <c r="E2845" t="s">
        <v>5889</v>
      </c>
      <c r="G2845">
        <v>19339.2</v>
      </c>
      <c r="I2845">
        <v>19339.2</v>
      </c>
      <c r="J2845" t="s">
        <v>2509</v>
      </c>
    </row>
    <row r="2846" spans="1:10" ht="15" customHeight="1" x14ac:dyDescent="0.2">
      <c r="A2846" s="420">
        <v>45773</v>
      </c>
      <c r="B2846" t="s">
        <v>2439</v>
      </c>
      <c r="C2846" t="s">
        <v>5886</v>
      </c>
      <c r="D2846" t="s">
        <v>5890</v>
      </c>
      <c r="E2846" t="s">
        <v>5891</v>
      </c>
      <c r="G2846">
        <v>12892.8</v>
      </c>
      <c r="I2846">
        <v>32232</v>
      </c>
      <c r="J2846" t="s">
        <v>2509</v>
      </c>
    </row>
    <row r="2847" spans="1:10" ht="15" customHeight="1" x14ac:dyDescent="0.2">
      <c r="A2847" s="420">
        <v>45779</v>
      </c>
      <c r="B2847" t="s">
        <v>2333</v>
      </c>
      <c r="C2847" t="s">
        <v>5886</v>
      </c>
      <c r="D2847" t="s">
        <v>5712</v>
      </c>
      <c r="E2847" t="s">
        <v>5713</v>
      </c>
      <c r="F2847">
        <v>6000</v>
      </c>
      <c r="I2847">
        <v>26232</v>
      </c>
      <c r="J2847" t="s">
        <v>2511</v>
      </c>
    </row>
    <row r="2848" spans="1:10" ht="15" customHeight="1" x14ac:dyDescent="0.2">
      <c r="A2848" s="420">
        <v>45779</v>
      </c>
      <c r="B2848" t="s">
        <v>5586</v>
      </c>
      <c r="C2848" t="s">
        <v>5886</v>
      </c>
      <c r="D2848" t="s">
        <v>5892</v>
      </c>
      <c r="E2848" t="s">
        <v>5893</v>
      </c>
      <c r="G2848">
        <v>6000</v>
      </c>
      <c r="I2848">
        <v>32232</v>
      </c>
      <c r="J2848" t="s">
        <v>2511</v>
      </c>
    </row>
    <row r="2849" spans="1:10" ht="15" customHeight="1" x14ac:dyDescent="0.2">
      <c r="A2849" s="420">
        <v>45840</v>
      </c>
      <c r="B2849" t="s">
        <v>2439</v>
      </c>
      <c r="C2849" t="s">
        <v>5886</v>
      </c>
      <c r="D2849" t="s">
        <v>5894</v>
      </c>
      <c r="E2849" t="s">
        <v>5891</v>
      </c>
      <c r="G2849">
        <v>20594.14</v>
      </c>
      <c r="I2849">
        <v>52826.14</v>
      </c>
      <c r="J2849" t="s">
        <v>2509</v>
      </c>
    </row>
    <row r="2850" spans="1:10" ht="15" customHeight="1" x14ac:dyDescent="0.2">
      <c r="A2850" s="420">
        <v>45864</v>
      </c>
      <c r="B2850" t="s">
        <v>2439</v>
      </c>
      <c r="C2850" t="s">
        <v>5886</v>
      </c>
      <c r="D2850" t="s">
        <v>5895</v>
      </c>
      <c r="E2850" t="s">
        <v>5896</v>
      </c>
      <c r="G2850">
        <v>26413.07</v>
      </c>
      <c r="I2850">
        <v>79239.210000000006</v>
      </c>
      <c r="J2850" t="s">
        <v>2509</v>
      </c>
    </row>
    <row r="2851" spans="1:10" ht="15" customHeight="1" x14ac:dyDescent="0.2">
      <c r="A2851" s="420">
        <v>45951</v>
      </c>
      <c r="B2851" t="s">
        <v>2439</v>
      </c>
      <c r="C2851" t="s">
        <v>5886</v>
      </c>
      <c r="D2851" t="s">
        <v>5897</v>
      </c>
      <c r="E2851" t="s">
        <v>5898</v>
      </c>
      <c r="G2851">
        <v>46222.87</v>
      </c>
      <c r="I2851">
        <v>125462.08</v>
      </c>
      <c r="J2851" t="s">
        <v>2509</v>
      </c>
    </row>
    <row r="2852" spans="1:10" ht="15" customHeight="1" x14ac:dyDescent="0.2">
      <c r="A2852" s="420">
        <v>45951</v>
      </c>
      <c r="B2852" t="s">
        <v>2439</v>
      </c>
      <c r="C2852" t="s">
        <v>5886</v>
      </c>
      <c r="D2852" t="s">
        <v>5899</v>
      </c>
      <c r="E2852" t="s">
        <v>5900</v>
      </c>
      <c r="G2852">
        <v>6603.27</v>
      </c>
      <c r="I2852">
        <v>132065.35</v>
      </c>
      <c r="J2852" t="s">
        <v>2509</v>
      </c>
    </row>
    <row r="2853" spans="1:10" ht="15" customHeight="1" x14ac:dyDescent="0.2">
      <c r="A2853" s="420">
        <v>45964</v>
      </c>
      <c r="B2853" t="s">
        <v>5544</v>
      </c>
      <c r="C2853" t="s">
        <v>5886</v>
      </c>
      <c r="D2853" t="s">
        <v>5901</v>
      </c>
      <c r="E2853" t="s">
        <v>5902</v>
      </c>
      <c r="F2853">
        <v>132065.35</v>
      </c>
      <c r="J2853" t="s">
        <v>2509</v>
      </c>
    </row>
    <row r="2854" spans="1:10" ht="15" customHeight="1" x14ac:dyDescent="0.2">
      <c r="A2854" t="s">
        <v>5886</v>
      </c>
      <c r="E2854" t="s">
        <v>349</v>
      </c>
      <c r="F2854">
        <v>138065.35</v>
      </c>
      <c r="G2854">
        <v>138065.35</v>
      </c>
    </row>
    <row r="2856" spans="1:10" ht="15" customHeight="1" x14ac:dyDescent="0.2">
      <c r="A2856" t="s">
        <v>5903</v>
      </c>
      <c r="B2856" t="s">
        <v>5904</v>
      </c>
      <c r="F2856" t="s">
        <v>2430</v>
      </c>
      <c r="G2856" t="s">
        <v>2431</v>
      </c>
      <c r="H2856" t="s">
        <v>2432</v>
      </c>
      <c r="I2856" t="s">
        <v>2433</v>
      </c>
      <c r="J2856" t="s">
        <v>2434</v>
      </c>
    </row>
    <row r="2857" spans="1:10" ht="15" customHeight="1" x14ac:dyDescent="0.2">
      <c r="A2857" s="420">
        <v>45982</v>
      </c>
      <c r="B2857" t="s">
        <v>2333</v>
      </c>
      <c r="C2857" t="s">
        <v>5903</v>
      </c>
      <c r="D2857" t="s">
        <v>5905</v>
      </c>
      <c r="E2857" t="s">
        <v>5906</v>
      </c>
      <c r="G2857">
        <v>28275.75</v>
      </c>
      <c r="I2857">
        <v>28275.75</v>
      </c>
    </row>
    <row r="2858" spans="1:10" ht="15" customHeight="1" x14ac:dyDescent="0.2">
      <c r="A2858" s="420">
        <v>45983</v>
      </c>
      <c r="B2858" t="s">
        <v>2439</v>
      </c>
      <c r="C2858" t="s">
        <v>5903</v>
      </c>
      <c r="D2858" t="s">
        <v>5907</v>
      </c>
      <c r="E2858" t="s">
        <v>5908</v>
      </c>
      <c r="G2858">
        <v>18850.5</v>
      </c>
      <c r="I2858">
        <v>47126.25</v>
      </c>
    </row>
    <row r="2859" spans="1:10" ht="15" customHeight="1" x14ac:dyDescent="0.2">
      <c r="A2859" s="420">
        <v>45983</v>
      </c>
      <c r="B2859" t="s">
        <v>2507</v>
      </c>
      <c r="C2859" t="s">
        <v>5903</v>
      </c>
      <c r="D2859" t="s">
        <v>5571</v>
      </c>
      <c r="E2859" t="s">
        <v>5909</v>
      </c>
      <c r="F2859">
        <v>47126.25</v>
      </c>
    </row>
    <row r="2860" spans="1:10" ht="15" customHeight="1" x14ac:dyDescent="0.2">
      <c r="A2860" s="420">
        <v>45989</v>
      </c>
      <c r="B2860" t="s">
        <v>2333</v>
      </c>
      <c r="C2860" t="s">
        <v>5903</v>
      </c>
      <c r="D2860" t="s">
        <v>5910</v>
      </c>
      <c r="E2860" t="s">
        <v>5911</v>
      </c>
      <c r="F2860">
        <v>6000</v>
      </c>
      <c r="H2860">
        <v>6000</v>
      </c>
      <c r="J2860" t="s">
        <v>2511</v>
      </c>
    </row>
    <row r="2861" spans="1:10" ht="15" customHeight="1" x14ac:dyDescent="0.2">
      <c r="A2861" s="420">
        <v>45989</v>
      </c>
      <c r="B2861" t="s">
        <v>5544</v>
      </c>
      <c r="C2861" t="s">
        <v>5903</v>
      </c>
      <c r="D2861" t="s">
        <v>5912</v>
      </c>
      <c r="E2861" t="s">
        <v>5913</v>
      </c>
      <c r="G2861">
        <v>6000</v>
      </c>
      <c r="J2861" t="s">
        <v>2511</v>
      </c>
    </row>
    <row r="2862" spans="1:10" ht="15" customHeight="1" x14ac:dyDescent="0.2">
      <c r="A2862" t="s">
        <v>5903</v>
      </c>
      <c r="E2862" t="s">
        <v>349</v>
      </c>
      <c r="F2862">
        <v>53126.25</v>
      </c>
      <c r="G2862">
        <v>53126.25</v>
      </c>
    </row>
    <row r="2864" spans="1:10" ht="15" customHeight="1" x14ac:dyDescent="0.2">
      <c r="A2864" t="s">
        <v>5914</v>
      </c>
      <c r="B2864" t="s">
        <v>5915</v>
      </c>
      <c r="F2864" t="s">
        <v>2430</v>
      </c>
      <c r="G2864" t="s">
        <v>2431</v>
      </c>
      <c r="H2864" t="s">
        <v>2432</v>
      </c>
      <c r="I2864" t="s">
        <v>2433</v>
      </c>
      <c r="J2864" t="s">
        <v>2434</v>
      </c>
    </row>
    <row r="2865" spans="1:10" ht="15" customHeight="1" x14ac:dyDescent="0.2">
      <c r="A2865" s="420">
        <v>45658</v>
      </c>
      <c r="B2865" t="s">
        <v>2435</v>
      </c>
      <c r="C2865" t="s">
        <v>5914</v>
      </c>
      <c r="D2865" t="s">
        <v>2436</v>
      </c>
      <c r="E2865" t="s">
        <v>5916</v>
      </c>
      <c r="G2865">
        <v>1000</v>
      </c>
      <c r="I2865">
        <v>1000</v>
      </c>
      <c r="J2865" t="s">
        <v>2511</v>
      </c>
    </row>
    <row r="2866" spans="1:10" ht="15" customHeight="1" x14ac:dyDescent="0.2">
      <c r="A2866" s="420">
        <v>45658</v>
      </c>
      <c r="B2866" t="s">
        <v>2435</v>
      </c>
      <c r="C2866" t="s">
        <v>5914</v>
      </c>
      <c r="D2866" t="s">
        <v>2436</v>
      </c>
      <c r="E2866" t="s">
        <v>5917</v>
      </c>
      <c r="G2866">
        <v>20304.5</v>
      </c>
      <c r="I2866">
        <v>21304.5</v>
      </c>
      <c r="J2866" t="s">
        <v>2511</v>
      </c>
    </row>
    <row r="2867" spans="1:10" ht="15" customHeight="1" x14ac:dyDescent="0.2">
      <c r="A2867" s="420">
        <v>45658</v>
      </c>
      <c r="B2867" t="s">
        <v>2435</v>
      </c>
      <c r="C2867" t="s">
        <v>5914</v>
      </c>
      <c r="D2867" t="s">
        <v>2436</v>
      </c>
      <c r="E2867" t="s">
        <v>5918</v>
      </c>
      <c r="G2867">
        <v>14203</v>
      </c>
      <c r="I2867">
        <v>35507.5</v>
      </c>
      <c r="J2867" t="s">
        <v>2511</v>
      </c>
    </row>
    <row r="2868" spans="1:10" ht="15" customHeight="1" x14ac:dyDescent="0.2">
      <c r="A2868" s="420">
        <v>45658</v>
      </c>
      <c r="B2868" t="s">
        <v>2435</v>
      </c>
      <c r="C2868" t="s">
        <v>5914</v>
      </c>
      <c r="D2868" t="s">
        <v>2436</v>
      </c>
      <c r="E2868" t="s">
        <v>5919</v>
      </c>
      <c r="G2868">
        <v>22104.5</v>
      </c>
      <c r="I2868">
        <v>57612</v>
      </c>
      <c r="J2868" t="s">
        <v>2511</v>
      </c>
    </row>
    <row r="2869" spans="1:10" ht="15" customHeight="1" x14ac:dyDescent="0.2">
      <c r="A2869" s="420">
        <v>45658</v>
      </c>
      <c r="B2869" t="s">
        <v>2435</v>
      </c>
      <c r="C2869" t="s">
        <v>5914</v>
      </c>
      <c r="D2869" t="s">
        <v>2436</v>
      </c>
      <c r="E2869" t="s">
        <v>5920</v>
      </c>
      <c r="G2869">
        <v>28806</v>
      </c>
      <c r="I2869">
        <v>86418</v>
      </c>
      <c r="J2869" t="s">
        <v>2511</v>
      </c>
    </row>
    <row r="2870" spans="1:10" ht="15" customHeight="1" x14ac:dyDescent="0.2">
      <c r="A2870" s="420">
        <v>45658</v>
      </c>
      <c r="B2870" t="s">
        <v>2435</v>
      </c>
      <c r="C2870" t="s">
        <v>5914</v>
      </c>
      <c r="D2870" t="s">
        <v>2436</v>
      </c>
      <c r="E2870" t="s">
        <v>5921</v>
      </c>
      <c r="G2870">
        <v>50410.5</v>
      </c>
      <c r="I2870">
        <v>136828.5</v>
      </c>
      <c r="J2870" t="s">
        <v>2511</v>
      </c>
    </row>
    <row r="2871" spans="1:10" ht="15" customHeight="1" x14ac:dyDescent="0.2">
      <c r="A2871" s="420">
        <v>45658</v>
      </c>
      <c r="B2871" t="s">
        <v>2435</v>
      </c>
      <c r="C2871" t="s">
        <v>5914</v>
      </c>
      <c r="D2871" t="s">
        <v>2436</v>
      </c>
      <c r="E2871" t="s">
        <v>5922</v>
      </c>
      <c r="F2871">
        <v>136828.5</v>
      </c>
      <c r="J2871" t="s">
        <v>2509</v>
      </c>
    </row>
    <row r="2872" spans="1:10" ht="15" customHeight="1" x14ac:dyDescent="0.2">
      <c r="A2872" s="420">
        <v>45665</v>
      </c>
      <c r="B2872" t="s">
        <v>5586</v>
      </c>
      <c r="C2872" t="s">
        <v>5914</v>
      </c>
      <c r="D2872" t="s">
        <v>5923</v>
      </c>
      <c r="E2872" t="s">
        <v>5924</v>
      </c>
      <c r="F2872">
        <v>144029.98000000001</v>
      </c>
      <c r="H2872">
        <v>144029.98000000001</v>
      </c>
      <c r="J2872" t="s">
        <v>2511</v>
      </c>
    </row>
    <row r="2873" spans="1:10" ht="15" customHeight="1" x14ac:dyDescent="0.2">
      <c r="A2873" s="420">
        <v>45671</v>
      </c>
      <c r="B2873" t="s">
        <v>2439</v>
      </c>
      <c r="C2873" t="s">
        <v>5914</v>
      </c>
      <c r="D2873" t="s">
        <v>5925</v>
      </c>
      <c r="E2873" t="s">
        <v>5926</v>
      </c>
      <c r="G2873">
        <v>7201.5</v>
      </c>
      <c r="H2873">
        <v>136828.48000000001</v>
      </c>
      <c r="J2873" t="s">
        <v>2511</v>
      </c>
    </row>
    <row r="2874" spans="1:10" ht="15" customHeight="1" x14ac:dyDescent="0.2">
      <c r="A2874" s="420">
        <v>45671</v>
      </c>
      <c r="B2874" t="s">
        <v>2517</v>
      </c>
      <c r="C2874" t="s">
        <v>5914</v>
      </c>
      <c r="D2874" t="s">
        <v>5927</v>
      </c>
      <c r="E2874" t="s">
        <v>5928</v>
      </c>
      <c r="F2874">
        <v>0.02</v>
      </c>
      <c r="H2874">
        <v>136828.5</v>
      </c>
      <c r="J2874" t="s">
        <v>2511</v>
      </c>
    </row>
    <row r="2875" spans="1:10" ht="15" customHeight="1" x14ac:dyDescent="0.2">
      <c r="A2875" s="420">
        <v>45688</v>
      </c>
      <c r="B2875" t="s">
        <v>2507</v>
      </c>
      <c r="C2875" t="s">
        <v>5914</v>
      </c>
      <c r="D2875" t="s">
        <v>5929</v>
      </c>
      <c r="E2875" t="s">
        <v>5930</v>
      </c>
      <c r="G2875">
        <v>136828.5</v>
      </c>
      <c r="J2875" t="s">
        <v>2509</v>
      </c>
    </row>
    <row r="2876" spans="1:10" ht="15" customHeight="1" x14ac:dyDescent="0.2">
      <c r="A2876" t="s">
        <v>5914</v>
      </c>
      <c r="E2876" t="s">
        <v>349</v>
      </c>
      <c r="F2876">
        <v>280858.5</v>
      </c>
      <c r="G2876">
        <v>280858.5</v>
      </c>
    </row>
    <row r="2878" spans="1:10" ht="15" customHeight="1" x14ac:dyDescent="0.2">
      <c r="A2878" t="s">
        <v>5931</v>
      </c>
      <c r="B2878" t="s">
        <v>5932</v>
      </c>
      <c r="F2878" t="s">
        <v>2430</v>
      </c>
      <c r="G2878" t="s">
        <v>2431</v>
      </c>
      <c r="H2878" t="s">
        <v>2432</v>
      </c>
      <c r="I2878" t="s">
        <v>2433</v>
      </c>
      <c r="J2878" t="s">
        <v>2434</v>
      </c>
    </row>
    <row r="2879" spans="1:10" ht="15" customHeight="1" x14ac:dyDescent="0.2">
      <c r="A2879" s="420">
        <v>45720</v>
      </c>
      <c r="B2879" t="s">
        <v>2333</v>
      </c>
      <c r="C2879" t="s">
        <v>5931</v>
      </c>
      <c r="D2879" t="s">
        <v>5933</v>
      </c>
      <c r="E2879" t="s">
        <v>5934</v>
      </c>
      <c r="G2879">
        <v>21085.7</v>
      </c>
      <c r="I2879">
        <v>21085.7</v>
      </c>
      <c r="J2879" t="s">
        <v>2511</v>
      </c>
    </row>
    <row r="2880" spans="1:10" ht="15" customHeight="1" x14ac:dyDescent="0.2">
      <c r="A2880" s="420">
        <v>45721</v>
      </c>
      <c r="B2880" t="s">
        <v>2439</v>
      </c>
      <c r="C2880" t="s">
        <v>5931</v>
      </c>
      <c r="D2880" t="s">
        <v>5935</v>
      </c>
      <c r="E2880" t="s">
        <v>5936</v>
      </c>
      <c r="G2880">
        <v>14723.8</v>
      </c>
      <c r="I2880">
        <v>35809.5</v>
      </c>
      <c r="J2880" t="s">
        <v>2511</v>
      </c>
    </row>
    <row r="2881" spans="1:10" ht="15" customHeight="1" x14ac:dyDescent="0.2">
      <c r="A2881" s="420">
        <v>45786</v>
      </c>
      <c r="B2881" t="s">
        <v>2333</v>
      </c>
      <c r="C2881" t="s">
        <v>5931</v>
      </c>
      <c r="D2881" t="s">
        <v>5783</v>
      </c>
      <c r="E2881" t="s">
        <v>5937</v>
      </c>
      <c r="G2881">
        <v>1000</v>
      </c>
      <c r="I2881">
        <v>36809.5</v>
      </c>
      <c r="J2881" t="s">
        <v>2511</v>
      </c>
    </row>
    <row r="2882" spans="1:10" ht="15" customHeight="1" x14ac:dyDescent="0.2">
      <c r="A2882" s="420">
        <v>45800</v>
      </c>
      <c r="B2882" t="s">
        <v>2439</v>
      </c>
      <c r="C2882" t="s">
        <v>5931</v>
      </c>
      <c r="D2882" t="s">
        <v>5938</v>
      </c>
      <c r="E2882" t="s">
        <v>5939</v>
      </c>
      <c r="G2882">
        <v>22175.41</v>
      </c>
      <c r="I2882">
        <v>58984.91</v>
      </c>
      <c r="J2882" t="s">
        <v>2511</v>
      </c>
    </row>
    <row r="2883" spans="1:10" ht="15" customHeight="1" x14ac:dyDescent="0.2">
      <c r="A2883" s="420">
        <v>45800</v>
      </c>
      <c r="B2883" t="s">
        <v>2439</v>
      </c>
      <c r="C2883" t="s">
        <v>5931</v>
      </c>
      <c r="D2883" t="s">
        <v>5940</v>
      </c>
      <c r="E2883" t="s">
        <v>5941</v>
      </c>
      <c r="G2883">
        <v>29492.46</v>
      </c>
      <c r="I2883">
        <v>88477.37</v>
      </c>
      <c r="J2883" t="s">
        <v>2511</v>
      </c>
    </row>
    <row r="2884" spans="1:10" ht="15" customHeight="1" x14ac:dyDescent="0.2">
      <c r="A2884" s="420">
        <v>45838</v>
      </c>
      <c r="B2884" t="s">
        <v>2439</v>
      </c>
      <c r="C2884" t="s">
        <v>5931</v>
      </c>
      <c r="D2884" t="s">
        <v>5942</v>
      </c>
      <c r="E2884" t="s">
        <v>5943</v>
      </c>
      <c r="G2884">
        <v>51611.8</v>
      </c>
      <c r="I2884">
        <v>140089.17000000001</v>
      </c>
      <c r="J2884" t="s">
        <v>2511</v>
      </c>
    </row>
    <row r="2885" spans="1:10" ht="15" customHeight="1" x14ac:dyDescent="0.2">
      <c r="A2885" s="420">
        <v>45839</v>
      </c>
      <c r="B2885" t="s">
        <v>5544</v>
      </c>
      <c r="C2885" t="s">
        <v>5931</v>
      </c>
      <c r="D2885" t="s">
        <v>5944</v>
      </c>
      <c r="E2885" t="s">
        <v>5945</v>
      </c>
      <c r="F2885">
        <v>147462.28</v>
      </c>
      <c r="H2885">
        <v>7373.11</v>
      </c>
      <c r="J2885" t="s">
        <v>2511</v>
      </c>
    </row>
    <row r="2886" spans="1:10" ht="15" customHeight="1" x14ac:dyDescent="0.2">
      <c r="A2886" s="420">
        <v>45841</v>
      </c>
      <c r="B2886" t="s">
        <v>2439</v>
      </c>
      <c r="C2886" t="s">
        <v>5931</v>
      </c>
      <c r="D2886" t="s">
        <v>5946</v>
      </c>
      <c r="E2886" t="s">
        <v>5947</v>
      </c>
      <c r="G2886">
        <v>7373.11</v>
      </c>
      <c r="J2886" t="s">
        <v>2511</v>
      </c>
    </row>
    <row r="2887" spans="1:10" ht="15" customHeight="1" x14ac:dyDescent="0.2">
      <c r="A2887" t="s">
        <v>5931</v>
      </c>
      <c r="E2887" t="s">
        <v>349</v>
      </c>
      <c r="F2887">
        <v>147462.28</v>
      </c>
      <c r="G2887">
        <v>147462.28</v>
      </c>
    </row>
    <row r="2889" spans="1:10" ht="15" customHeight="1" x14ac:dyDescent="0.2">
      <c r="A2889" t="s">
        <v>5948</v>
      </c>
      <c r="B2889" t="s">
        <v>5949</v>
      </c>
      <c r="F2889" t="s">
        <v>2430</v>
      </c>
      <c r="G2889" t="s">
        <v>2431</v>
      </c>
      <c r="H2889" t="s">
        <v>2432</v>
      </c>
      <c r="I2889" t="s">
        <v>2433</v>
      </c>
      <c r="J2889" t="s">
        <v>2434</v>
      </c>
    </row>
    <row r="2890" spans="1:10" ht="15" customHeight="1" x14ac:dyDescent="0.2">
      <c r="A2890" s="420">
        <v>45801</v>
      </c>
      <c r="B2890" t="s">
        <v>2333</v>
      </c>
      <c r="C2890" t="s">
        <v>5948</v>
      </c>
      <c r="D2890" t="s">
        <v>5950</v>
      </c>
      <c r="E2890" t="s">
        <v>5951</v>
      </c>
      <c r="G2890">
        <v>24735.75</v>
      </c>
      <c r="I2890">
        <v>24735.75</v>
      </c>
    </row>
    <row r="2891" spans="1:10" ht="15" customHeight="1" x14ac:dyDescent="0.2">
      <c r="A2891" s="420">
        <v>45801</v>
      </c>
      <c r="B2891" t="s">
        <v>2439</v>
      </c>
      <c r="C2891" t="s">
        <v>5948</v>
      </c>
      <c r="D2891" t="s">
        <v>5952</v>
      </c>
      <c r="E2891" t="s">
        <v>5953</v>
      </c>
      <c r="G2891">
        <v>16490.5</v>
      </c>
      <c r="I2891">
        <v>41226.25</v>
      </c>
    </row>
    <row r="2892" spans="1:10" ht="15" customHeight="1" x14ac:dyDescent="0.2">
      <c r="A2892" s="420">
        <v>45818</v>
      </c>
      <c r="B2892" t="s">
        <v>2333</v>
      </c>
      <c r="C2892" t="s">
        <v>5948</v>
      </c>
      <c r="D2892" t="s">
        <v>5954</v>
      </c>
      <c r="E2892" t="s">
        <v>5955</v>
      </c>
      <c r="F2892">
        <v>6000</v>
      </c>
      <c r="I2892">
        <v>35226.25</v>
      </c>
      <c r="J2892" t="s">
        <v>2511</v>
      </c>
    </row>
    <row r="2893" spans="1:10" ht="15" customHeight="1" x14ac:dyDescent="0.2">
      <c r="A2893" s="420">
        <v>45818</v>
      </c>
      <c r="B2893" t="s">
        <v>5586</v>
      </c>
      <c r="C2893" t="s">
        <v>5948</v>
      </c>
      <c r="D2893" t="s">
        <v>5956</v>
      </c>
      <c r="E2893" t="s">
        <v>5957</v>
      </c>
      <c r="G2893">
        <v>6000</v>
      </c>
      <c r="I2893">
        <v>41226.25</v>
      </c>
      <c r="J2893" t="s">
        <v>2511</v>
      </c>
    </row>
    <row r="2894" spans="1:10" ht="15" customHeight="1" x14ac:dyDescent="0.2">
      <c r="A2894" s="420">
        <v>45936</v>
      </c>
      <c r="B2894" t="s">
        <v>2439</v>
      </c>
      <c r="C2894" t="s">
        <v>5948</v>
      </c>
      <c r="D2894" t="s">
        <v>5958</v>
      </c>
      <c r="E2894" t="s">
        <v>5959</v>
      </c>
      <c r="G2894">
        <v>25137.65</v>
      </c>
      <c r="I2894">
        <v>66363.899999999994</v>
      </c>
    </row>
    <row r="2895" spans="1:10" ht="15" customHeight="1" x14ac:dyDescent="0.2">
      <c r="A2895" s="420">
        <v>45959</v>
      </c>
      <c r="B2895" t="s">
        <v>2439</v>
      </c>
      <c r="C2895" t="s">
        <v>5948</v>
      </c>
      <c r="D2895" t="s">
        <v>5960</v>
      </c>
      <c r="E2895" t="s">
        <v>5961</v>
      </c>
      <c r="G2895">
        <v>33181.949999999997</v>
      </c>
      <c r="I2895">
        <v>99545.85</v>
      </c>
    </row>
    <row r="2896" spans="1:10" ht="15" customHeight="1" x14ac:dyDescent="0.2">
      <c r="A2896" s="420">
        <v>45959</v>
      </c>
      <c r="B2896" t="s">
        <v>2439</v>
      </c>
      <c r="C2896" t="s">
        <v>5948</v>
      </c>
      <c r="D2896" t="s">
        <v>5962</v>
      </c>
      <c r="E2896" t="s">
        <v>5963</v>
      </c>
      <c r="G2896">
        <v>58068.41</v>
      </c>
      <c r="I2896">
        <v>157614.26</v>
      </c>
    </row>
    <row r="2897" spans="1:10" ht="15" customHeight="1" x14ac:dyDescent="0.2">
      <c r="A2897" s="420">
        <v>45959</v>
      </c>
      <c r="B2897" t="s">
        <v>2507</v>
      </c>
      <c r="C2897" t="s">
        <v>5948</v>
      </c>
      <c r="D2897" t="s">
        <v>5571</v>
      </c>
      <c r="E2897" t="s">
        <v>5964</v>
      </c>
      <c r="F2897">
        <v>157614.26</v>
      </c>
    </row>
    <row r="2898" spans="1:10" ht="15" customHeight="1" x14ac:dyDescent="0.2">
      <c r="A2898" t="s">
        <v>5948</v>
      </c>
      <c r="E2898" t="s">
        <v>349</v>
      </c>
      <c r="F2898">
        <v>163614.26</v>
      </c>
      <c r="G2898">
        <v>163614.26</v>
      </c>
    </row>
    <row r="2900" spans="1:10" ht="15" customHeight="1" x14ac:dyDescent="0.2">
      <c r="A2900" t="s">
        <v>5965</v>
      </c>
      <c r="B2900" t="s">
        <v>5966</v>
      </c>
      <c r="F2900" t="s">
        <v>2430</v>
      </c>
      <c r="G2900" t="s">
        <v>2431</v>
      </c>
      <c r="H2900" t="s">
        <v>2432</v>
      </c>
      <c r="I2900" t="s">
        <v>2433</v>
      </c>
      <c r="J2900" t="s">
        <v>2434</v>
      </c>
    </row>
    <row r="2901" spans="1:10" ht="15" customHeight="1" x14ac:dyDescent="0.2">
      <c r="A2901" s="420">
        <v>45658</v>
      </c>
      <c r="B2901" t="s">
        <v>2507</v>
      </c>
      <c r="C2901" t="s">
        <v>5965</v>
      </c>
      <c r="D2901" t="s">
        <v>5967</v>
      </c>
      <c r="E2901" t="s">
        <v>5968</v>
      </c>
      <c r="G2901">
        <v>39839.5</v>
      </c>
      <c r="I2901">
        <v>39839.5</v>
      </c>
      <c r="J2901" t="s">
        <v>2509</v>
      </c>
    </row>
    <row r="2902" spans="1:10" ht="15" customHeight="1" x14ac:dyDescent="0.2">
      <c r="A2902" s="420">
        <v>45672</v>
      </c>
      <c r="B2902" t="s">
        <v>5544</v>
      </c>
      <c r="C2902" t="s">
        <v>5965</v>
      </c>
      <c r="D2902" t="s">
        <v>5969</v>
      </c>
      <c r="E2902" t="s">
        <v>5970</v>
      </c>
      <c r="G2902">
        <v>6000</v>
      </c>
      <c r="I2902">
        <v>45839.5</v>
      </c>
      <c r="J2902" t="s">
        <v>2511</v>
      </c>
    </row>
    <row r="2903" spans="1:10" ht="15" customHeight="1" x14ac:dyDescent="0.2">
      <c r="A2903" s="420">
        <v>45673</v>
      </c>
      <c r="B2903" t="s">
        <v>2333</v>
      </c>
      <c r="C2903" t="s">
        <v>5965</v>
      </c>
      <c r="D2903" t="s">
        <v>5971</v>
      </c>
      <c r="E2903" t="s">
        <v>5972</v>
      </c>
      <c r="F2903">
        <v>6000</v>
      </c>
      <c r="I2903">
        <v>39839.5</v>
      </c>
      <c r="J2903" t="s">
        <v>2511</v>
      </c>
    </row>
    <row r="2904" spans="1:10" ht="15" customHeight="1" x14ac:dyDescent="0.2">
      <c r="A2904" s="420">
        <v>45749</v>
      </c>
      <c r="B2904" t="s">
        <v>2439</v>
      </c>
      <c r="C2904" t="s">
        <v>5965</v>
      </c>
      <c r="D2904" t="s">
        <v>5973</v>
      </c>
      <c r="E2904" t="s">
        <v>5974</v>
      </c>
      <c r="G2904">
        <v>29344.02</v>
      </c>
      <c r="I2904">
        <v>69183.520000000004</v>
      </c>
      <c r="J2904" t="s">
        <v>2509</v>
      </c>
    </row>
    <row r="2905" spans="1:10" ht="15" customHeight="1" x14ac:dyDescent="0.2">
      <c r="A2905" s="420">
        <v>45827</v>
      </c>
      <c r="B2905" t="s">
        <v>2439</v>
      </c>
      <c r="C2905" t="s">
        <v>5965</v>
      </c>
      <c r="D2905" t="s">
        <v>5975</v>
      </c>
      <c r="E2905" t="s">
        <v>5976</v>
      </c>
      <c r="G2905">
        <v>34591.760000000002</v>
      </c>
      <c r="I2905">
        <v>103775.28</v>
      </c>
      <c r="J2905" t="s">
        <v>2509</v>
      </c>
    </row>
    <row r="2906" spans="1:10" ht="15" customHeight="1" x14ac:dyDescent="0.2">
      <c r="A2906" s="420">
        <v>45868</v>
      </c>
      <c r="B2906" t="s">
        <v>2439</v>
      </c>
      <c r="C2906" t="s">
        <v>5965</v>
      </c>
      <c r="D2906" t="s">
        <v>5977</v>
      </c>
      <c r="E2906" t="s">
        <v>5978</v>
      </c>
      <c r="G2906">
        <v>57329.37</v>
      </c>
      <c r="I2906">
        <v>161104.65</v>
      </c>
      <c r="J2906" t="s">
        <v>2509</v>
      </c>
    </row>
    <row r="2907" spans="1:10" ht="15" customHeight="1" x14ac:dyDescent="0.2">
      <c r="A2907" s="420">
        <v>45870</v>
      </c>
      <c r="B2907" t="s">
        <v>2439</v>
      </c>
      <c r="C2907" t="s">
        <v>5965</v>
      </c>
      <c r="D2907" t="s">
        <v>5979</v>
      </c>
      <c r="E2907" t="s">
        <v>5980</v>
      </c>
      <c r="G2907">
        <v>11854.14</v>
      </c>
      <c r="I2907">
        <v>172958.79</v>
      </c>
      <c r="J2907" t="s">
        <v>2509</v>
      </c>
    </row>
    <row r="2908" spans="1:10" ht="15" customHeight="1" x14ac:dyDescent="0.2">
      <c r="A2908" s="420">
        <v>45880</v>
      </c>
      <c r="B2908" t="s">
        <v>5586</v>
      </c>
      <c r="C2908" t="s">
        <v>5965</v>
      </c>
      <c r="D2908" t="s">
        <v>5981</v>
      </c>
      <c r="E2908" t="s">
        <v>5982</v>
      </c>
      <c r="F2908">
        <v>172958.78</v>
      </c>
      <c r="I2908">
        <v>0.01</v>
      </c>
      <c r="J2908" t="s">
        <v>2509</v>
      </c>
    </row>
    <row r="2909" spans="1:10" ht="15" customHeight="1" x14ac:dyDescent="0.2">
      <c r="A2909" s="420">
        <v>45880</v>
      </c>
      <c r="B2909" t="s">
        <v>2517</v>
      </c>
      <c r="C2909" t="s">
        <v>5965</v>
      </c>
      <c r="D2909" t="s">
        <v>5983</v>
      </c>
      <c r="E2909" t="s">
        <v>5984</v>
      </c>
      <c r="F2909">
        <v>0.01</v>
      </c>
      <c r="J2909" t="s">
        <v>2509</v>
      </c>
    </row>
    <row r="2910" spans="1:10" ht="15" customHeight="1" x14ac:dyDescent="0.2">
      <c r="A2910" t="s">
        <v>5965</v>
      </c>
      <c r="E2910" t="s">
        <v>349</v>
      </c>
      <c r="F2910">
        <v>178958.79</v>
      </c>
      <c r="G2910">
        <v>178958.79</v>
      </c>
    </row>
    <row r="2912" spans="1:10" ht="15" customHeight="1" x14ac:dyDescent="0.2">
      <c r="A2912" t="s">
        <v>5985</v>
      </c>
      <c r="B2912" t="s">
        <v>5986</v>
      </c>
      <c r="F2912" t="s">
        <v>2430</v>
      </c>
      <c r="G2912" t="s">
        <v>2431</v>
      </c>
      <c r="H2912" t="s">
        <v>2432</v>
      </c>
      <c r="I2912" t="s">
        <v>2433</v>
      </c>
      <c r="J2912" t="s">
        <v>2434</v>
      </c>
    </row>
    <row r="2913" spans="1:10" ht="15" customHeight="1" x14ac:dyDescent="0.2">
      <c r="A2913" s="420">
        <v>45658</v>
      </c>
      <c r="B2913" t="s">
        <v>2435</v>
      </c>
      <c r="C2913" t="s">
        <v>5985</v>
      </c>
      <c r="D2913" t="s">
        <v>2436</v>
      </c>
      <c r="E2913" t="s">
        <v>5987</v>
      </c>
      <c r="G2913">
        <v>1000</v>
      </c>
      <c r="I2913">
        <v>1000</v>
      </c>
      <c r="J2913" t="s">
        <v>2511</v>
      </c>
    </row>
    <row r="2914" spans="1:10" ht="15" customHeight="1" x14ac:dyDescent="0.2">
      <c r="A2914" s="420">
        <v>45658</v>
      </c>
      <c r="B2914" t="s">
        <v>2435</v>
      </c>
      <c r="C2914" t="s">
        <v>5985</v>
      </c>
      <c r="D2914" t="s">
        <v>2436</v>
      </c>
      <c r="E2914" t="s">
        <v>5988</v>
      </c>
      <c r="G2914">
        <v>21708.2</v>
      </c>
      <c r="I2914">
        <v>22708.2</v>
      </c>
      <c r="J2914" t="s">
        <v>2511</v>
      </c>
    </row>
    <row r="2915" spans="1:10" ht="15" customHeight="1" x14ac:dyDescent="0.2">
      <c r="A2915" s="420">
        <v>45658</v>
      </c>
      <c r="B2915" t="s">
        <v>2435</v>
      </c>
      <c r="C2915" t="s">
        <v>5985</v>
      </c>
      <c r="D2915" t="s">
        <v>2436</v>
      </c>
      <c r="E2915" t="s">
        <v>5989</v>
      </c>
      <c r="G2915">
        <v>15138.8</v>
      </c>
      <c r="I2915">
        <v>37847</v>
      </c>
      <c r="J2915" t="s">
        <v>2511</v>
      </c>
    </row>
    <row r="2916" spans="1:10" ht="15" customHeight="1" x14ac:dyDescent="0.2">
      <c r="A2916" s="420">
        <v>45658</v>
      </c>
      <c r="B2916" t="s">
        <v>2435</v>
      </c>
      <c r="C2916" t="s">
        <v>5985</v>
      </c>
      <c r="D2916" t="s">
        <v>2436</v>
      </c>
      <c r="E2916" t="s">
        <v>5990</v>
      </c>
      <c r="G2916">
        <v>23508.2</v>
      </c>
      <c r="I2916">
        <v>61355.199999999997</v>
      </c>
      <c r="J2916" t="s">
        <v>2511</v>
      </c>
    </row>
    <row r="2917" spans="1:10" ht="15" customHeight="1" x14ac:dyDescent="0.2">
      <c r="A2917" s="420">
        <v>45658</v>
      </c>
      <c r="B2917" t="s">
        <v>2435</v>
      </c>
      <c r="C2917" t="s">
        <v>5985</v>
      </c>
      <c r="D2917" t="s">
        <v>2436</v>
      </c>
      <c r="E2917" t="s">
        <v>5991</v>
      </c>
      <c r="G2917">
        <v>30677.599999999999</v>
      </c>
      <c r="I2917">
        <v>92032.8</v>
      </c>
      <c r="J2917" t="s">
        <v>2511</v>
      </c>
    </row>
    <row r="2918" spans="1:10" ht="15" customHeight="1" x14ac:dyDescent="0.2">
      <c r="A2918" s="420">
        <v>45658</v>
      </c>
      <c r="B2918" t="s">
        <v>2435</v>
      </c>
      <c r="C2918" t="s">
        <v>5985</v>
      </c>
      <c r="D2918" t="s">
        <v>2436</v>
      </c>
      <c r="E2918" t="s">
        <v>5992</v>
      </c>
      <c r="G2918">
        <v>53685.8</v>
      </c>
      <c r="I2918">
        <v>145718.6</v>
      </c>
      <c r="J2918" t="s">
        <v>2511</v>
      </c>
    </row>
    <row r="2919" spans="1:10" ht="15" customHeight="1" x14ac:dyDescent="0.2">
      <c r="A2919" s="420">
        <v>45658</v>
      </c>
      <c r="B2919" t="s">
        <v>2435</v>
      </c>
      <c r="C2919" t="s">
        <v>5985</v>
      </c>
      <c r="D2919" t="s">
        <v>2436</v>
      </c>
      <c r="E2919" t="s">
        <v>5993</v>
      </c>
      <c r="G2919">
        <v>7669.4</v>
      </c>
      <c r="I2919">
        <v>153388</v>
      </c>
      <c r="J2919" t="s">
        <v>2511</v>
      </c>
    </row>
    <row r="2920" spans="1:10" ht="15" customHeight="1" x14ac:dyDescent="0.2">
      <c r="A2920" s="420">
        <v>45658</v>
      </c>
      <c r="B2920" t="s">
        <v>2435</v>
      </c>
      <c r="C2920" t="s">
        <v>5985</v>
      </c>
      <c r="D2920" t="s">
        <v>2436</v>
      </c>
      <c r="E2920" t="s">
        <v>5994</v>
      </c>
      <c r="F2920">
        <v>153388</v>
      </c>
      <c r="J2920" t="s">
        <v>2509</v>
      </c>
    </row>
    <row r="2921" spans="1:10" ht="15" customHeight="1" x14ac:dyDescent="0.2">
      <c r="A2921" s="420">
        <v>45671</v>
      </c>
      <c r="B2921" t="s">
        <v>5586</v>
      </c>
      <c r="C2921" t="s">
        <v>5985</v>
      </c>
      <c r="D2921" t="s">
        <v>5995</v>
      </c>
      <c r="E2921" t="s">
        <v>5996</v>
      </c>
      <c r="F2921">
        <v>153388</v>
      </c>
      <c r="H2921">
        <v>153388</v>
      </c>
      <c r="J2921" t="s">
        <v>2511</v>
      </c>
    </row>
    <row r="2922" spans="1:10" ht="15" customHeight="1" x14ac:dyDescent="0.2">
      <c r="A2922" s="420">
        <v>45688</v>
      </c>
      <c r="B2922" t="s">
        <v>2507</v>
      </c>
      <c r="C2922" t="s">
        <v>5985</v>
      </c>
      <c r="D2922" t="s">
        <v>5997</v>
      </c>
      <c r="E2922" t="s">
        <v>5998</v>
      </c>
      <c r="G2922">
        <v>153388</v>
      </c>
      <c r="J2922" t="s">
        <v>2509</v>
      </c>
    </row>
    <row r="2923" spans="1:10" ht="15" customHeight="1" x14ac:dyDescent="0.2">
      <c r="A2923" t="s">
        <v>5985</v>
      </c>
      <c r="E2923" t="s">
        <v>349</v>
      </c>
      <c r="F2923">
        <v>306776</v>
      </c>
      <c r="G2923">
        <v>306776</v>
      </c>
    </row>
    <row r="2925" spans="1:10" ht="15" customHeight="1" x14ac:dyDescent="0.2">
      <c r="A2925" t="s">
        <v>5999</v>
      </c>
      <c r="B2925" t="s">
        <v>6000</v>
      </c>
      <c r="F2925" t="s">
        <v>2430</v>
      </c>
      <c r="G2925" t="s">
        <v>2431</v>
      </c>
      <c r="H2925" t="s">
        <v>2432</v>
      </c>
      <c r="I2925" t="s">
        <v>2433</v>
      </c>
      <c r="J2925" t="s">
        <v>2434</v>
      </c>
    </row>
    <row r="2926" spans="1:10" ht="15" customHeight="1" x14ac:dyDescent="0.2">
      <c r="A2926" s="420">
        <v>45691</v>
      </c>
      <c r="B2926" t="s">
        <v>2333</v>
      </c>
      <c r="C2926" t="s">
        <v>5999</v>
      </c>
      <c r="D2926" t="s">
        <v>5686</v>
      </c>
      <c r="E2926" t="s">
        <v>5687</v>
      </c>
      <c r="G2926">
        <v>1000</v>
      </c>
      <c r="I2926">
        <v>1000</v>
      </c>
    </row>
    <row r="2927" spans="1:10" ht="15" customHeight="1" x14ac:dyDescent="0.2">
      <c r="A2927" s="420">
        <v>45763</v>
      </c>
      <c r="B2927" t="s">
        <v>2333</v>
      </c>
      <c r="C2927" t="s">
        <v>5999</v>
      </c>
      <c r="D2927" t="s">
        <v>6001</v>
      </c>
      <c r="E2927" t="s">
        <v>6002</v>
      </c>
      <c r="F2927">
        <v>1000</v>
      </c>
    </row>
    <row r="2928" spans="1:10" ht="15" customHeight="1" x14ac:dyDescent="0.2">
      <c r="A2928" s="420">
        <v>45811</v>
      </c>
      <c r="B2928" t="s">
        <v>2333</v>
      </c>
      <c r="C2928" t="s">
        <v>5999</v>
      </c>
      <c r="D2928" t="s">
        <v>5785</v>
      </c>
      <c r="E2928" t="s">
        <v>6003</v>
      </c>
      <c r="G2928">
        <v>1000</v>
      </c>
      <c r="I2928">
        <v>1000</v>
      </c>
    </row>
    <row r="2929" spans="1:10" ht="15" customHeight="1" x14ac:dyDescent="0.2">
      <c r="A2929" s="420">
        <v>45812</v>
      </c>
      <c r="B2929" t="s">
        <v>2333</v>
      </c>
      <c r="C2929" t="s">
        <v>5999</v>
      </c>
      <c r="D2929" t="s">
        <v>6004</v>
      </c>
      <c r="E2929" t="s">
        <v>6005</v>
      </c>
      <c r="F2929">
        <v>1000</v>
      </c>
    </row>
    <row r="2930" spans="1:10" ht="15" customHeight="1" x14ac:dyDescent="0.2">
      <c r="A2930" t="s">
        <v>5999</v>
      </c>
      <c r="E2930" t="s">
        <v>349</v>
      </c>
      <c r="F2930">
        <v>2000</v>
      </c>
      <c r="G2930">
        <v>2000</v>
      </c>
    </row>
    <row r="2932" spans="1:10" ht="15" customHeight="1" x14ac:dyDescent="0.2">
      <c r="A2932" t="s">
        <v>6006</v>
      </c>
      <c r="B2932" t="s">
        <v>6007</v>
      </c>
      <c r="F2932" t="s">
        <v>2430</v>
      </c>
      <c r="G2932" t="s">
        <v>2431</v>
      </c>
      <c r="H2932" t="s">
        <v>2432</v>
      </c>
      <c r="I2932" t="s">
        <v>2433</v>
      </c>
      <c r="J2932" t="s">
        <v>2434</v>
      </c>
    </row>
    <row r="2933" spans="1:10" ht="15" customHeight="1" x14ac:dyDescent="0.2">
      <c r="A2933" s="420">
        <v>45987</v>
      </c>
      <c r="B2933" t="s">
        <v>2333</v>
      </c>
      <c r="C2933" t="s">
        <v>6006</v>
      </c>
      <c r="D2933" t="s">
        <v>6008</v>
      </c>
      <c r="E2933" t="s">
        <v>6009</v>
      </c>
      <c r="G2933">
        <v>24617.1</v>
      </c>
      <c r="I2933">
        <v>24617.1</v>
      </c>
    </row>
    <row r="2934" spans="1:10" ht="15" customHeight="1" x14ac:dyDescent="0.2">
      <c r="A2934" s="420">
        <v>45987</v>
      </c>
      <c r="B2934" t="s">
        <v>2333</v>
      </c>
      <c r="C2934" t="s">
        <v>6006</v>
      </c>
      <c r="D2934" t="s">
        <v>6008</v>
      </c>
      <c r="E2934" t="s">
        <v>6010</v>
      </c>
      <c r="G2934">
        <v>16411.400000000001</v>
      </c>
      <c r="I2934">
        <v>41028.5</v>
      </c>
    </row>
    <row r="2935" spans="1:10" ht="15" customHeight="1" x14ac:dyDescent="0.2">
      <c r="A2935" s="420">
        <v>45987</v>
      </c>
      <c r="B2935" t="s">
        <v>2507</v>
      </c>
      <c r="C2935" t="s">
        <v>6006</v>
      </c>
      <c r="D2935" t="s">
        <v>5571</v>
      </c>
      <c r="E2935" t="s">
        <v>6011</v>
      </c>
      <c r="F2935">
        <v>41028.5</v>
      </c>
    </row>
    <row r="2936" spans="1:10" ht="15" customHeight="1" x14ac:dyDescent="0.2">
      <c r="A2936" s="420">
        <v>45996</v>
      </c>
      <c r="B2936" t="s">
        <v>2333</v>
      </c>
      <c r="C2936" t="s">
        <v>6006</v>
      </c>
      <c r="D2936" t="s">
        <v>6012</v>
      </c>
      <c r="E2936" t="s">
        <v>6013</v>
      </c>
      <c r="F2936">
        <v>6000</v>
      </c>
      <c r="H2936">
        <v>6000</v>
      </c>
      <c r="J2936" t="s">
        <v>2511</v>
      </c>
    </row>
    <row r="2937" spans="1:10" ht="15" customHeight="1" x14ac:dyDescent="0.2">
      <c r="A2937" s="420">
        <v>45996</v>
      </c>
      <c r="B2937" t="s">
        <v>5544</v>
      </c>
      <c r="C2937" t="s">
        <v>6006</v>
      </c>
      <c r="D2937" t="s">
        <v>6014</v>
      </c>
      <c r="E2937" t="s">
        <v>6015</v>
      </c>
      <c r="G2937">
        <v>6000</v>
      </c>
      <c r="J2937" t="s">
        <v>2511</v>
      </c>
    </row>
    <row r="2938" spans="1:10" ht="15" customHeight="1" x14ac:dyDescent="0.2">
      <c r="A2938" t="s">
        <v>6006</v>
      </c>
      <c r="E2938" t="s">
        <v>349</v>
      </c>
      <c r="F2938">
        <v>47028.5</v>
      </c>
      <c r="G2938">
        <v>47028.5</v>
      </c>
    </row>
    <row r="2940" spans="1:10" ht="15" customHeight="1" x14ac:dyDescent="0.2">
      <c r="A2940" t="s">
        <v>6016</v>
      </c>
      <c r="B2940" t="s">
        <v>6017</v>
      </c>
      <c r="F2940" t="s">
        <v>2430</v>
      </c>
      <c r="G2940" t="s">
        <v>2431</v>
      </c>
      <c r="H2940" t="s">
        <v>2432</v>
      </c>
      <c r="I2940" t="s">
        <v>2433</v>
      </c>
      <c r="J2940" t="s">
        <v>2434</v>
      </c>
    </row>
    <row r="2941" spans="1:10" ht="15" customHeight="1" x14ac:dyDescent="0.2">
      <c r="A2941" s="420">
        <v>45658</v>
      </c>
      <c r="B2941" t="s">
        <v>2435</v>
      </c>
      <c r="C2941" t="s">
        <v>6016</v>
      </c>
      <c r="D2941" t="s">
        <v>2436</v>
      </c>
      <c r="E2941" t="s">
        <v>6018</v>
      </c>
      <c r="G2941">
        <v>38113.5</v>
      </c>
      <c r="I2941">
        <v>38113.5</v>
      </c>
      <c r="J2941" t="s">
        <v>2509</v>
      </c>
    </row>
    <row r="2942" spans="1:10" ht="15" customHeight="1" x14ac:dyDescent="0.2">
      <c r="A2942" s="420">
        <v>45658</v>
      </c>
      <c r="B2942" t="s">
        <v>2435</v>
      </c>
      <c r="C2942" t="s">
        <v>6016</v>
      </c>
      <c r="D2942" t="s">
        <v>2436</v>
      </c>
      <c r="E2942" t="s">
        <v>6019</v>
      </c>
      <c r="G2942">
        <v>26068.1</v>
      </c>
      <c r="I2942">
        <v>64181.599999999999</v>
      </c>
      <c r="J2942" t="s">
        <v>2509</v>
      </c>
    </row>
    <row r="2943" spans="1:10" ht="15" customHeight="1" x14ac:dyDescent="0.2">
      <c r="A2943" s="420">
        <v>45658</v>
      </c>
      <c r="B2943" t="s">
        <v>2435</v>
      </c>
      <c r="C2943" t="s">
        <v>6016</v>
      </c>
      <c r="D2943" t="s">
        <v>2436</v>
      </c>
      <c r="E2943" t="s">
        <v>6020</v>
      </c>
      <c r="F2943">
        <v>64181.599999999999</v>
      </c>
      <c r="J2943" t="s">
        <v>2511</v>
      </c>
    </row>
    <row r="2944" spans="1:10" ht="15" customHeight="1" x14ac:dyDescent="0.2">
      <c r="A2944" s="420">
        <v>45688</v>
      </c>
      <c r="B2944" t="s">
        <v>2439</v>
      </c>
      <c r="C2944" t="s">
        <v>6016</v>
      </c>
      <c r="D2944" t="s">
        <v>6021</v>
      </c>
      <c r="E2944" t="s">
        <v>6022</v>
      </c>
      <c r="G2944">
        <v>32090.799999999999</v>
      </c>
      <c r="I2944">
        <v>32090.799999999999</v>
      </c>
      <c r="J2944" t="s">
        <v>2509</v>
      </c>
    </row>
    <row r="2945" spans="1:10" ht="15" customHeight="1" x14ac:dyDescent="0.2">
      <c r="A2945" s="420">
        <v>45688</v>
      </c>
      <c r="B2945" t="s">
        <v>2507</v>
      </c>
      <c r="C2945" t="s">
        <v>6016</v>
      </c>
      <c r="D2945" t="s">
        <v>6023</v>
      </c>
      <c r="E2945" t="s">
        <v>6024</v>
      </c>
      <c r="G2945">
        <v>64181.599999999999</v>
      </c>
      <c r="I2945">
        <v>96272.4</v>
      </c>
      <c r="J2945" t="s">
        <v>2511</v>
      </c>
    </row>
    <row r="2946" spans="1:10" ht="15" customHeight="1" x14ac:dyDescent="0.2">
      <c r="A2946" s="420">
        <v>45789</v>
      </c>
      <c r="B2946" t="s">
        <v>2439</v>
      </c>
      <c r="C2946" t="s">
        <v>6016</v>
      </c>
      <c r="D2946" t="s">
        <v>6025</v>
      </c>
      <c r="E2946" t="s">
        <v>6026</v>
      </c>
      <c r="G2946">
        <v>56158.9</v>
      </c>
      <c r="I2946">
        <v>152431.29999999999</v>
      </c>
      <c r="J2946" t="s">
        <v>2509</v>
      </c>
    </row>
    <row r="2947" spans="1:10" ht="15" customHeight="1" x14ac:dyDescent="0.2">
      <c r="A2947" s="420">
        <v>45804</v>
      </c>
      <c r="B2947" t="s">
        <v>2439</v>
      </c>
      <c r="C2947" t="s">
        <v>6016</v>
      </c>
      <c r="D2947" t="s">
        <v>6027</v>
      </c>
      <c r="E2947" t="s">
        <v>6028</v>
      </c>
      <c r="G2947">
        <v>8022.7</v>
      </c>
      <c r="I2947">
        <v>160454</v>
      </c>
      <c r="J2947" t="s">
        <v>2509</v>
      </c>
    </row>
    <row r="2948" spans="1:10" ht="15" customHeight="1" x14ac:dyDescent="0.2">
      <c r="A2948" s="420">
        <v>45811</v>
      </c>
      <c r="B2948" t="s">
        <v>5586</v>
      </c>
      <c r="C2948" t="s">
        <v>6016</v>
      </c>
      <c r="D2948" t="s">
        <v>6029</v>
      </c>
      <c r="E2948" t="s">
        <v>6030</v>
      </c>
      <c r="F2948">
        <v>160454</v>
      </c>
      <c r="J2948" t="s">
        <v>2509</v>
      </c>
    </row>
    <row r="2949" spans="1:10" ht="15" customHeight="1" x14ac:dyDescent="0.2">
      <c r="A2949" t="s">
        <v>6016</v>
      </c>
      <c r="E2949" t="s">
        <v>349</v>
      </c>
      <c r="F2949">
        <v>224635.6</v>
      </c>
      <c r="G2949">
        <v>224635.6</v>
      </c>
    </row>
    <row r="2951" spans="1:10" ht="15" customHeight="1" x14ac:dyDescent="0.2">
      <c r="A2951" t="s">
        <v>6031</v>
      </c>
      <c r="B2951" t="s">
        <v>6032</v>
      </c>
      <c r="F2951" t="s">
        <v>2430</v>
      </c>
      <c r="G2951" t="s">
        <v>2431</v>
      </c>
      <c r="H2951" t="s">
        <v>2432</v>
      </c>
      <c r="I2951" t="s">
        <v>2433</v>
      </c>
      <c r="J2951" t="s">
        <v>2434</v>
      </c>
    </row>
    <row r="2952" spans="1:10" ht="15" customHeight="1" x14ac:dyDescent="0.2">
      <c r="A2952" s="420">
        <v>45658</v>
      </c>
      <c r="B2952" t="s">
        <v>2507</v>
      </c>
      <c r="C2952" t="s">
        <v>6031</v>
      </c>
      <c r="D2952" t="s">
        <v>6033</v>
      </c>
      <c r="E2952" t="s">
        <v>6034</v>
      </c>
      <c r="G2952">
        <v>1312.8</v>
      </c>
      <c r="I2952">
        <v>1312.8</v>
      </c>
      <c r="J2952" t="s">
        <v>2511</v>
      </c>
    </row>
    <row r="2953" spans="1:10" ht="15" customHeight="1" x14ac:dyDescent="0.2">
      <c r="A2953" s="420">
        <v>45658</v>
      </c>
      <c r="B2953" t="s">
        <v>2507</v>
      </c>
      <c r="C2953" t="s">
        <v>6031</v>
      </c>
      <c r="D2953" t="s">
        <v>6035</v>
      </c>
      <c r="E2953" t="s">
        <v>6036</v>
      </c>
      <c r="G2953">
        <v>4800</v>
      </c>
      <c r="I2953">
        <v>6112.8</v>
      </c>
      <c r="J2953" t="s">
        <v>2513</v>
      </c>
    </row>
    <row r="2954" spans="1:10" ht="15" customHeight="1" x14ac:dyDescent="0.2">
      <c r="A2954" s="420">
        <v>45658</v>
      </c>
      <c r="B2954" t="s">
        <v>2507</v>
      </c>
      <c r="C2954" t="s">
        <v>6031</v>
      </c>
      <c r="D2954" t="s">
        <v>6037</v>
      </c>
      <c r="E2954" t="s">
        <v>6038</v>
      </c>
      <c r="G2954">
        <v>1244372.3999999999</v>
      </c>
      <c r="I2954">
        <v>1250485.2</v>
      </c>
      <c r="J2954" t="s">
        <v>2585</v>
      </c>
    </row>
    <row r="2955" spans="1:10" ht="15" customHeight="1" x14ac:dyDescent="0.2">
      <c r="A2955" s="420">
        <v>45658</v>
      </c>
      <c r="B2955" t="s">
        <v>2435</v>
      </c>
      <c r="C2955" t="s">
        <v>6031</v>
      </c>
      <c r="D2955" t="s">
        <v>2436</v>
      </c>
      <c r="E2955" t="s">
        <v>6039</v>
      </c>
      <c r="F2955">
        <v>1312.8</v>
      </c>
      <c r="I2955">
        <v>1249172.3999999999</v>
      </c>
      <c r="J2955" t="s">
        <v>2511</v>
      </c>
    </row>
    <row r="2956" spans="1:10" ht="15" customHeight="1" x14ac:dyDescent="0.2">
      <c r="A2956" s="420">
        <v>45658</v>
      </c>
      <c r="B2956" t="s">
        <v>2435</v>
      </c>
      <c r="C2956" t="s">
        <v>6031</v>
      </c>
      <c r="D2956" t="s">
        <v>2436</v>
      </c>
      <c r="E2956" t="s">
        <v>6040</v>
      </c>
      <c r="F2956">
        <v>4800</v>
      </c>
      <c r="I2956">
        <v>1244372.3999999999</v>
      </c>
      <c r="J2956" t="s">
        <v>2513</v>
      </c>
    </row>
    <row r="2957" spans="1:10" ht="15" customHeight="1" x14ac:dyDescent="0.2">
      <c r="A2957" s="420">
        <v>45658</v>
      </c>
      <c r="B2957" t="s">
        <v>2435</v>
      </c>
      <c r="C2957" t="s">
        <v>6031</v>
      </c>
      <c r="D2957" t="s">
        <v>2436</v>
      </c>
      <c r="E2957" t="s">
        <v>6041</v>
      </c>
      <c r="F2957">
        <v>1244372.3999999999</v>
      </c>
      <c r="J2957" t="s">
        <v>2585</v>
      </c>
    </row>
    <row r="2958" spans="1:10" ht="15" customHeight="1" x14ac:dyDescent="0.2">
      <c r="A2958" s="420">
        <v>45838</v>
      </c>
      <c r="B2958" t="s">
        <v>2535</v>
      </c>
      <c r="C2958" t="s">
        <v>6031</v>
      </c>
      <c r="D2958" t="s">
        <v>6042</v>
      </c>
      <c r="E2958" t="s">
        <v>6043</v>
      </c>
      <c r="F2958">
        <v>1588789.2</v>
      </c>
      <c r="H2958">
        <v>1588789.2</v>
      </c>
      <c r="J2958" t="s">
        <v>2587</v>
      </c>
    </row>
    <row r="2959" spans="1:10" ht="15" customHeight="1" x14ac:dyDescent="0.2">
      <c r="A2959" s="420">
        <v>45838</v>
      </c>
      <c r="B2959" t="s">
        <v>2535</v>
      </c>
      <c r="C2959" t="s">
        <v>6031</v>
      </c>
      <c r="D2959" t="s">
        <v>6044</v>
      </c>
      <c r="E2959" t="s">
        <v>6045</v>
      </c>
      <c r="F2959">
        <v>630</v>
      </c>
      <c r="H2959">
        <v>1589419.2</v>
      </c>
      <c r="J2959" t="s">
        <v>2603</v>
      </c>
    </row>
    <row r="2960" spans="1:10" ht="15" customHeight="1" x14ac:dyDescent="0.2">
      <c r="A2960" s="420">
        <v>45838</v>
      </c>
      <c r="B2960" t="s">
        <v>2535</v>
      </c>
      <c r="C2960" t="s">
        <v>6031</v>
      </c>
      <c r="D2960" t="s">
        <v>6046</v>
      </c>
      <c r="E2960" t="s">
        <v>6047</v>
      </c>
      <c r="F2960">
        <v>14400</v>
      </c>
      <c r="H2960">
        <v>1603819.2</v>
      </c>
      <c r="J2960" t="s">
        <v>2604</v>
      </c>
    </row>
    <row r="2961" spans="1:10" ht="15" customHeight="1" x14ac:dyDescent="0.2">
      <c r="A2961" s="420">
        <v>45838</v>
      </c>
      <c r="B2961" t="s">
        <v>2535</v>
      </c>
      <c r="C2961" t="s">
        <v>6031</v>
      </c>
      <c r="D2961" t="s">
        <v>6048</v>
      </c>
      <c r="E2961" t="s">
        <v>6049</v>
      </c>
      <c r="F2961">
        <v>800</v>
      </c>
      <c r="H2961">
        <v>1604619.2</v>
      </c>
      <c r="J2961" t="s">
        <v>2599</v>
      </c>
    </row>
    <row r="2962" spans="1:10" ht="15" customHeight="1" x14ac:dyDescent="0.2">
      <c r="A2962" s="420">
        <v>45838</v>
      </c>
      <c r="B2962" t="s">
        <v>2535</v>
      </c>
      <c r="C2962" t="s">
        <v>6031</v>
      </c>
      <c r="D2962" t="s">
        <v>6050</v>
      </c>
      <c r="E2962" t="s">
        <v>6051</v>
      </c>
      <c r="F2962">
        <v>4282.16</v>
      </c>
      <c r="H2962">
        <v>1608901.36</v>
      </c>
      <c r="J2962" t="s">
        <v>2600</v>
      </c>
    </row>
    <row r="2963" spans="1:10" ht="15" customHeight="1" x14ac:dyDescent="0.2">
      <c r="A2963" s="420">
        <v>45839</v>
      </c>
      <c r="B2963" t="s">
        <v>2535</v>
      </c>
      <c r="C2963" t="s">
        <v>6031</v>
      </c>
      <c r="D2963" t="s">
        <v>6042</v>
      </c>
      <c r="E2963" t="s">
        <v>6052</v>
      </c>
      <c r="G2963">
        <v>1588789.2</v>
      </c>
      <c r="H2963">
        <v>20112.16</v>
      </c>
      <c r="J2963" t="s">
        <v>2587</v>
      </c>
    </row>
    <row r="2964" spans="1:10" ht="15" customHeight="1" x14ac:dyDescent="0.2">
      <c r="A2964" s="420">
        <v>45839</v>
      </c>
      <c r="B2964" t="s">
        <v>2535</v>
      </c>
      <c r="C2964" t="s">
        <v>6031</v>
      </c>
      <c r="D2964" t="s">
        <v>6044</v>
      </c>
      <c r="E2964" t="s">
        <v>6053</v>
      </c>
      <c r="G2964">
        <v>630</v>
      </c>
      <c r="H2964">
        <v>19482.16</v>
      </c>
      <c r="J2964" t="s">
        <v>2603</v>
      </c>
    </row>
    <row r="2965" spans="1:10" ht="15" customHeight="1" x14ac:dyDescent="0.2">
      <c r="A2965" s="420">
        <v>45839</v>
      </c>
      <c r="B2965" t="s">
        <v>2535</v>
      </c>
      <c r="C2965" t="s">
        <v>6031</v>
      </c>
      <c r="D2965" t="s">
        <v>6046</v>
      </c>
      <c r="E2965" t="s">
        <v>6054</v>
      </c>
      <c r="G2965">
        <v>14400</v>
      </c>
      <c r="H2965">
        <v>5082.16</v>
      </c>
      <c r="J2965" t="s">
        <v>2604</v>
      </c>
    </row>
    <row r="2966" spans="1:10" ht="15" customHeight="1" x14ac:dyDescent="0.2">
      <c r="A2966" s="420">
        <v>45839</v>
      </c>
      <c r="B2966" t="s">
        <v>2535</v>
      </c>
      <c r="C2966" t="s">
        <v>6031</v>
      </c>
      <c r="D2966" t="s">
        <v>6048</v>
      </c>
      <c r="E2966" t="s">
        <v>6055</v>
      </c>
      <c r="G2966">
        <v>800</v>
      </c>
      <c r="H2966">
        <v>4282.16</v>
      </c>
      <c r="J2966" t="s">
        <v>2599</v>
      </c>
    </row>
    <row r="2967" spans="1:10" ht="15" customHeight="1" x14ac:dyDescent="0.2">
      <c r="A2967" s="420">
        <v>45839</v>
      </c>
      <c r="B2967" t="s">
        <v>2535</v>
      </c>
      <c r="C2967" t="s">
        <v>6031</v>
      </c>
      <c r="D2967" t="s">
        <v>6050</v>
      </c>
      <c r="E2967" t="s">
        <v>6056</v>
      </c>
      <c r="G2967">
        <v>4282.16</v>
      </c>
      <c r="J2967" t="s">
        <v>2600</v>
      </c>
    </row>
    <row r="2968" spans="1:10" ht="15" customHeight="1" x14ac:dyDescent="0.2">
      <c r="A2968" s="420">
        <v>46022</v>
      </c>
      <c r="B2968" t="s">
        <v>2507</v>
      </c>
      <c r="C2968" t="s">
        <v>6031</v>
      </c>
      <c r="D2968" t="s">
        <v>6057</v>
      </c>
      <c r="E2968" t="s">
        <v>6057</v>
      </c>
      <c r="F2968">
        <v>2223499.2000000002</v>
      </c>
      <c r="H2968">
        <v>2223499.2000000002</v>
      </c>
      <c r="J2968" t="s">
        <v>2511</v>
      </c>
    </row>
    <row r="2969" spans="1:10" ht="15" customHeight="1" x14ac:dyDescent="0.2">
      <c r="A2969" s="420">
        <v>46022</v>
      </c>
      <c r="B2969" t="s">
        <v>2507</v>
      </c>
      <c r="C2969" t="s">
        <v>6031</v>
      </c>
      <c r="D2969" t="s">
        <v>6058</v>
      </c>
      <c r="E2969" t="s">
        <v>6058</v>
      </c>
      <c r="F2969">
        <v>19470</v>
      </c>
      <c r="H2969">
        <v>2242969.2000000002</v>
      </c>
      <c r="J2969" t="s">
        <v>2509</v>
      </c>
    </row>
    <row r="2970" spans="1:10" ht="15" customHeight="1" x14ac:dyDescent="0.2">
      <c r="A2970" s="420">
        <v>46022</v>
      </c>
      <c r="B2970" t="s">
        <v>2507</v>
      </c>
      <c r="C2970" t="s">
        <v>6031</v>
      </c>
      <c r="D2970" t="s">
        <v>6059</v>
      </c>
      <c r="E2970" t="s">
        <v>6059</v>
      </c>
      <c r="F2970">
        <v>4815.6000000000004</v>
      </c>
      <c r="H2970">
        <v>2247784.7999999998</v>
      </c>
      <c r="J2970" t="s">
        <v>2513</v>
      </c>
    </row>
    <row r="2971" spans="1:10" ht="15" customHeight="1" x14ac:dyDescent="0.2">
      <c r="A2971" s="420">
        <v>46022</v>
      </c>
      <c r="B2971" t="s">
        <v>2507</v>
      </c>
      <c r="C2971" t="s">
        <v>6031</v>
      </c>
      <c r="D2971" t="s">
        <v>6060</v>
      </c>
      <c r="E2971" t="s">
        <v>6060</v>
      </c>
      <c r="F2971">
        <v>8036.6</v>
      </c>
      <c r="H2971">
        <v>2255821.4</v>
      </c>
      <c r="J2971" t="s">
        <v>2585</v>
      </c>
    </row>
    <row r="2972" spans="1:10" ht="15" customHeight="1" x14ac:dyDescent="0.2">
      <c r="A2972" t="s">
        <v>6031</v>
      </c>
      <c r="E2972" t="s">
        <v>349</v>
      </c>
      <c r="F2972">
        <v>5115207.96</v>
      </c>
      <c r="G2972">
        <v>2859386.56</v>
      </c>
      <c r="H2972">
        <v>2255821.4</v>
      </c>
    </row>
    <row r="2974" spans="1:10" ht="15" customHeight="1" x14ac:dyDescent="0.2">
      <c r="A2974" t="s">
        <v>6061</v>
      </c>
      <c r="B2974" t="s">
        <v>6062</v>
      </c>
      <c r="F2974" t="s">
        <v>2430</v>
      </c>
      <c r="G2974" t="s">
        <v>2431</v>
      </c>
      <c r="H2974" t="s">
        <v>2432</v>
      </c>
      <c r="I2974" t="s">
        <v>2433</v>
      </c>
      <c r="J2974" t="s">
        <v>2434</v>
      </c>
    </row>
    <row r="2975" spans="1:10" ht="15" customHeight="1" x14ac:dyDescent="0.2">
      <c r="A2975" s="420">
        <v>45658</v>
      </c>
      <c r="B2975" t="s">
        <v>2435</v>
      </c>
      <c r="C2975" t="s">
        <v>6061</v>
      </c>
      <c r="D2975" t="s">
        <v>2436</v>
      </c>
      <c r="E2975" t="s">
        <v>5582</v>
      </c>
      <c r="G2975">
        <v>153407</v>
      </c>
      <c r="I2975">
        <v>153407</v>
      </c>
      <c r="J2975" t="s">
        <v>2511</v>
      </c>
    </row>
    <row r="2976" spans="1:10" ht="15" customHeight="1" x14ac:dyDescent="0.2">
      <c r="A2976" s="420">
        <v>45658</v>
      </c>
      <c r="B2976" t="s">
        <v>2435</v>
      </c>
      <c r="C2976" t="s">
        <v>6061</v>
      </c>
      <c r="D2976" t="s">
        <v>2436</v>
      </c>
      <c r="E2976" t="s">
        <v>5767</v>
      </c>
      <c r="G2976">
        <v>57780.800000000003</v>
      </c>
      <c r="I2976">
        <v>211187.8</v>
      </c>
      <c r="J2976" t="s">
        <v>2511</v>
      </c>
    </row>
    <row r="2977" spans="1:10" ht="15" customHeight="1" x14ac:dyDescent="0.2">
      <c r="A2977" s="420">
        <v>45658</v>
      </c>
      <c r="B2977" t="s">
        <v>2435</v>
      </c>
      <c r="C2977" t="s">
        <v>6061</v>
      </c>
      <c r="D2977" t="s">
        <v>2436</v>
      </c>
      <c r="E2977" t="s">
        <v>5794</v>
      </c>
      <c r="G2977">
        <v>88021.8</v>
      </c>
      <c r="I2977">
        <v>299209.59999999998</v>
      </c>
      <c r="J2977" t="s">
        <v>2511</v>
      </c>
    </row>
    <row r="2978" spans="1:10" ht="15" customHeight="1" x14ac:dyDescent="0.2">
      <c r="A2978" s="420">
        <v>45658</v>
      </c>
      <c r="B2978" t="s">
        <v>2435</v>
      </c>
      <c r="C2978" t="s">
        <v>6061</v>
      </c>
      <c r="D2978" t="s">
        <v>2436</v>
      </c>
      <c r="E2978" t="s">
        <v>5922</v>
      </c>
      <c r="G2978">
        <v>136828.5</v>
      </c>
      <c r="I2978">
        <v>436038.1</v>
      </c>
      <c r="J2978" t="s">
        <v>2511</v>
      </c>
    </row>
    <row r="2979" spans="1:10" ht="15" customHeight="1" x14ac:dyDescent="0.2">
      <c r="A2979" s="420">
        <v>45658</v>
      </c>
      <c r="B2979" t="s">
        <v>2435</v>
      </c>
      <c r="C2979" t="s">
        <v>6061</v>
      </c>
      <c r="D2979" t="s">
        <v>2436</v>
      </c>
      <c r="E2979" t="s">
        <v>6063</v>
      </c>
      <c r="G2979">
        <v>39839.5</v>
      </c>
      <c r="I2979">
        <v>475877.6</v>
      </c>
      <c r="J2979" t="s">
        <v>2511</v>
      </c>
    </row>
    <row r="2980" spans="1:10" ht="15" customHeight="1" x14ac:dyDescent="0.2">
      <c r="A2980" s="420">
        <v>45658</v>
      </c>
      <c r="B2980" t="s">
        <v>2435</v>
      </c>
      <c r="C2980" t="s">
        <v>6061</v>
      </c>
      <c r="D2980" t="s">
        <v>2436</v>
      </c>
      <c r="E2980" t="s">
        <v>5994</v>
      </c>
      <c r="G2980">
        <v>153388</v>
      </c>
      <c r="I2980">
        <v>629265.6</v>
      </c>
      <c r="J2980" t="s">
        <v>2511</v>
      </c>
    </row>
    <row r="2981" spans="1:10" ht="15" customHeight="1" x14ac:dyDescent="0.2">
      <c r="A2981" s="420">
        <v>45658</v>
      </c>
      <c r="B2981" t="s">
        <v>2435</v>
      </c>
      <c r="C2981" t="s">
        <v>6061</v>
      </c>
      <c r="D2981" t="s">
        <v>2436</v>
      </c>
      <c r="E2981" t="s">
        <v>6020</v>
      </c>
      <c r="G2981">
        <v>64181.599999999999</v>
      </c>
      <c r="I2981">
        <v>693447.2</v>
      </c>
      <c r="J2981" t="s">
        <v>2511</v>
      </c>
    </row>
    <row r="2982" spans="1:10" ht="15" customHeight="1" x14ac:dyDescent="0.2">
      <c r="A2982" s="420">
        <v>45658</v>
      </c>
      <c r="B2982" t="s">
        <v>2507</v>
      </c>
      <c r="C2982" t="s">
        <v>6061</v>
      </c>
      <c r="D2982" t="s">
        <v>5584</v>
      </c>
      <c r="E2982" t="s">
        <v>5585</v>
      </c>
      <c r="F2982">
        <v>153407</v>
      </c>
      <c r="I2982">
        <v>540040.19999999995</v>
      </c>
      <c r="J2982" t="s">
        <v>2511</v>
      </c>
    </row>
    <row r="2983" spans="1:10" ht="15" customHeight="1" x14ac:dyDescent="0.2">
      <c r="A2983" s="420">
        <v>45658</v>
      </c>
      <c r="B2983" t="s">
        <v>2507</v>
      </c>
      <c r="C2983" t="s">
        <v>6061</v>
      </c>
      <c r="D2983" t="s">
        <v>5768</v>
      </c>
      <c r="E2983" t="s">
        <v>5769</v>
      </c>
      <c r="F2983">
        <v>57780.800000000003</v>
      </c>
      <c r="I2983">
        <v>482259.4</v>
      </c>
      <c r="J2983" t="s">
        <v>2511</v>
      </c>
    </row>
    <row r="2984" spans="1:10" ht="15" customHeight="1" x14ac:dyDescent="0.2">
      <c r="A2984" s="420">
        <v>45658</v>
      </c>
      <c r="B2984" t="s">
        <v>2507</v>
      </c>
      <c r="C2984" t="s">
        <v>6061</v>
      </c>
      <c r="D2984" t="s">
        <v>5795</v>
      </c>
      <c r="E2984" t="s">
        <v>5796</v>
      </c>
      <c r="F2984">
        <v>88021.8</v>
      </c>
      <c r="I2984">
        <v>394237.6</v>
      </c>
      <c r="J2984" t="s">
        <v>2511</v>
      </c>
    </row>
    <row r="2985" spans="1:10" ht="15" customHeight="1" x14ac:dyDescent="0.2">
      <c r="A2985" s="420">
        <v>45658</v>
      </c>
      <c r="B2985" t="s">
        <v>2507</v>
      </c>
      <c r="C2985" t="s">
        <v>6061</v>
      </c>
      <c r="D2985" t="s">
        <v>5967</v>
      </c>
      <c r="E2985" t="s">
        <v>5968</v>
      </c>
      <c r="F2985">
        <v>39839.5</v>
      </c>
      <c r="I2985">
        <v>354398.1</v>
      </c>
      <c r="J2985" t="s">
        <v>2511</v>
      </c>
    </row>
    <row r="2986" spans="1:10" ht="15" customHeight="1" x14ac:dyDescent="0.2">
      <c r="A2986" s="420">
        <v>45688</v>
      </c>
      <c r="B2986" t="s">
        <v>2507</v>
      </c>
      <c r="C2986" t="s">
        <v>6061</v>
      </c>
      <c r="D2986" t="s">
        <v>5929</v>
      </c>
      <c r="E2986" t="s">
        <v>5930</v>
      </c>
      <c r="F2986">
        <v>136828.5</v>
      </c>
      <c r="I2986">
        <v>217569.6</v>
      </c>
      <c r="J2986" t="s">
        <v>2511</v>
      </c>
    </row>
    <row r="2987" spans="1:10" ht="15" customHeight="1" x14ac:dyDescent="0.2">
      <c r="A2987" s="420">
        <v>45688</v>
      </c>
      <c r="B2987" t="s">
        <v>2507</v>
      </c>
      <c r="C2987" t="s">
        <v>6061</v>
      </c>
      <c r="D2987" t="s">
        <v>5997</v>
      </c>
      <c r="E2987" t="s">
        <v>5998</v>
      </c>
      <c r="F2987">
        <v>153388</v>
      </c>
      <c r="I2987">
        <v>64181.599999999999</v>
      </c>
      <c r="J2987" t="s">
        <v>2511</v>
      </c>
    </row>
    <row r="2988" spans="1:10" ht="15" customHeight="1" x14ac:dyDescent="0.2">
      <c r="A2988" s="420">
        <v>45688</v>
      </c>
      <c r="B2988" t="s">
        <v>2507</v>
      </c>
      <c r="C2988" t="s">
        <v>6061</v>
      </c>
      <c r="D2988" t="s">
        <v>6023</v>
      </c>
      <c r="E2988" t="s">
        <v>6024</v>
      </c>
      <c r="F2988">
        <v>64181.599999999999</v>
      </c>
      <c r="J2988" t="s">
        <v>2511</v>
      </c>
    </row>
    <row r="2989" spans="1:10" ht="15" customHeight="1" x14ac:dyDescent="0.2">
      <c r="A2989" s="420">
        <v>45934</v>
      </c>
      <c r="B2989" t="s">
        <v>2507</v>
      </c>
      <c r="C2989" t="s">
        <v>6061</v>
      </c>
      <c r="D2989" t="s">
        <v>5571</v>
      </c>
      <c r="E2989" t="s">
        <v>5755</v>
      </c>
      <c r="G2989">
        <v>69416</v>
      </c>
      <c r="I2989">
        <v>69416</v>
      </c>
    </row>
    <row r="2990" spans="1:10" ht="15" customHeight="1" x14ac:dyDescent="0.2">
      <c r="A2990" s="420">
        <v>45959</v>
      </c>
      <c r="B2990" t="s">
        <v>2507</v>
      </c>
      <c r="C2990" t="s">
        <v>6061</v>
      </c>
      <c r="D2990" t="s">
        <v>5571</v>
      </c>
      <c r="E2990" t="s">
        <v>5964</v>
      </c>
      <c r="G2990">
        <v>157614.26</v>
      </c>
      <c r="I2990">
        <v>227030.26</v>
      </c>
    </row>
    <row r="2991" spans="1:10" ht="15" customHeight="1" x14ac:dyDescent="0.2">
      <c r="A2991" s="420">
        <v>45961</v>
      </c>
      <c r="B2991" t="s">
        <v>2507</v>
      </c>
      <c r="C2991" t="s">
        <v>6061</v>
      </c>
      <c r="D2991" t="s">
        <v>5571</v>
      </c>
      <c r="E2991" t="s">
        <v>5872</v>
      </c>
      <c r="G2991">
        <v>70557.919999999998</v>
      </c>
      <c r="I2991">
        <v>297588.18</v>
      </c>
    </row>
    <row r="2992" spans="1:10" ht="15" customHeight="1" x14ac:dyDescent="0.2">
      <c r="A2992" s="420">
        <v>45964</v>
      </c>
      <c r="B2992" t="s">
        <v>2507</v>
      </c>
      <c r="C2992" t="s">
        <v>6061</v>
      </c>
      <c r="D2992" t="s">
        <v>5571</v>
      </c>
      <c r="E2992" t="s">
        <v>5853</v>
      </c>
      <c r="G2992">
        <v>35179.5</v>
      </c>
      <c r="I2992">
        <v>332767.68</v>
      </c>
    </row>
    <row r="2993" spans="1:10" ht="15" customHeight="1" x14ac:dyDescent="0.2">
      <c r="A2993" s="420">
        <v>45967</v>
      </c>
      <c r="B2993" t="s">
        <v>2507</v>
      </c>
      <c r="C2993" t="s">
        <v>6061</v>
      </c>
      <c r="D2993" t="s">
        <v>5571</v>
      </c>
      <c r="E2993" t="s">
        <v>5595</v>
      </c>
      <c r="G2993">
        <v>41367</v>
      </c>
      <c r="I2993">
        <v>374134.68</v>
      </c>
    </row>
    <row r="2994" spans="1:10" ht="15" customHeight="1" x14ac:dyDescent="0.2">
      <c r="A2994" s="420">
        <v>45983</v>
      </c>
      <c r="B2994" t="s">
        <v>2507</v>
      </c>
      <c r="C2994" t="s">
        <v>6061</v>
      </c>
      <c r="D2994" t="s">
        <v>5571</v>
      </c>
      <c r="E2994" t="s">
        <v>5909</v>
      </c>
      <c r="G2994">
        <v>47126.25</v>
      </c>
      <c r="I2994">
        <v>421260.93</v>
      </c>
    </row>
    <row r="2995" spans="1:10" ht="15" customHeight="1" x14ac:dyDescent="0.2">
      <c r="A2995" s="420">
        <v>45987</v>
      </c>
      <c r="B2995" t="s">
        <v>2507</v>
      </c>
      <c r="C2995" t="s">
        <v>6061</v>
      </c>
      <c r="D2995" t="s">
        <v>5571</v>
      </c>
      <c r="E2995" t="s">
        <v>6011</v>
      </c>
      <c r="G2995">
        <v>41028.5</v>
      </c>
      <c r="I2995">
        <v>462289.43</v>
      </c>
    </row>
    <row r="2996" spans="1:10" ht="15" customHeight="1" x14ac:dyDescent="0.2">
      <c r="A2996" s="420">
        <v>45994</v>
      </c>
      <c r="B2996" t="s">
        <v>2507</v>
      </c>
      <c r="C2996" t="s">
        <v>6061</v>
      </c>
      <c r="D2996" t="s">
        <v>5571</v>
      </c>
      <c r="E2996" t="s">
        <v>5664</v>
      </c>
      <c r="G2996">
        <v>82526.69</v>
      </c>
      <c r="I2996">
        <v>544816.12</v>
      </c>
    </row>
    <row r="2997" spans="1:10" ht="15" customHeight="1" x14ac:dyDescent="0.2">
      <c r="A2997" s="420">
        <v>46002</v>
      </c>
      <c r="B2997" t="s">
        <v>2507</v>
      </c>
      <c r="C2997" t="s">
        <v>6061</v>
      </c>
      <c r="D2997" t="s">
        <v>5571</v>
      </c>
      <c r="E2997" t="s">
        <v>5606</v>
      </c>
      <c r="G2997">
        <v>41465.25</v>
      </c>
      <c r="I2997">
        <v>586281.37</v>
      </c>
    </row>
    <row r="2998" spans="1:10" ht="15" customHeight="1" x14ac:dyDescent="0.2">
      <c r="A2998" s="420">
        <v>46008</v>
      </c>
      <c r="B2998" t="s">
        <v>2507</v>
      </c>
      <c r="C2998" t="s">
        <v>6061</v>
      </c>
      <c r="D2998" t="s">
        <v>5571</v>
      </c>
      <c r="E2998" t="s">
        <v>5748</v>
      </c>
      <c r="G2998">
        <v>89846.68</v>
      </c>
      <c r="I2998">
        <v>676128.05</v>
      </c>
    </row>
    <row r="2999" spans="1:10" ht="15" customHeight="1" x14ac:dyDescent="0.2">
      <c r="A2999" s="420">
        <v>46008</v>
      </c>
      <c r="B2999" t="s">
        <v>2507</v>
      </c>
      <c r="C2999" t="s">
        <v>6061</v>
      </c>
      <c r="D2999" t="s">
        <v>5571</v>
      </c>
      <c r="E2999" t="s">
        <v>5885</v>
      </c>
      <c r="G2999">
        <v>68951.600000000006</v>
      </c>
      <c r="I2999">
        <v>745079.65</v>
      </c>
    </row>
    <row r="3000" spans="1:10" ht="15" customHeight="1" x14ac:dyDescent="0.2">
      <c r="A3000" s="420">
        <v>46013</v>
      </c>
      <c r="B3000" t="s">
        <v>2507</v>
      </c>
      <c r="C3000" t="s">
        <v>6061</v>
      </c>
      <c r="D3000" t="s">
        <v>5571</v>
      </c>
      <c r="E3000" t="s">
        <v>5572</v>
      </c>
      <c r="G3000">
        <v>102781.05</v>
      </c>
      <c r="I3000">
        <v>847860.7</v>
      </c>
    </row>
    <row r="3001" spans="1:10" ht="15" customHeight="1" x14ac:dyDescent="0.2">
      <c r="A3001" s="420">
        <v>46021</v>
      </c>
      <c r="B3001" t="s">
        <v>2507</v>
      </c>
      <c r="C3001" t="s">
        <v>6061</v>
      </c>
      <c r="D3001" t="s">
        <v>5571</v>
      </c>
      <c r="E3001" t="s">
        <v>5623</v>
      </c>
      <c r="G3001">
        <v>63655.34</v>
      </c>
      <c r="I3001">
        <v>911516.04</v>
      </c>
    </row>
    <row r="3002" spans="1:10" ht="15" customHeight="1" x14ac:dyDescent="0.2">
      <c r="A3002" t="s">
        <v>6061</v>
      </c>
      <c r="E3002" t="s">
        <v>349</v>
      </c>
      <c r="F3002">
        <v>693447.2</v>
      </c>
      <c r="G3002">
        <v>1604963.24</v>
      </c>
      <c r="I3002">
        <v>911516.04</v>
      </c>
    </row>
    <row r="3004" spans="1:10" ht="15" customHeight="1" x14ac:dyDescent="0.2">
      <c r="A3004" t="s">
        <v>6064</v>
      </c>
      <c r="B3004" t="s">
        <v>6065</v>
      </c>
      <c r="F3004" t="s">
        <v>2430</v>
      </c>
      <c r="G3004" t="s">
        <v>2431</v>
      </c>
      <c r="H3004" t="s">
        <v>2432</v>
      </c>
      <c r="I3004" t="s">
        <v>2433</v>
      </c>
      <c r="J3004" t="s">
        <v>2434</v>
      </c>
    </row>
    <row r="3005" spans="1:10" ht="15" customHeight="1" x14ac:dyDescent="0.2">
      <c r="A3005" s="420">
        <v>45658</v>
      </c>
      <c r="B3005" t="s">
        <v>2507</v>
      </c>
      <c r="C3005" t="s">
        <v>6064</v>
      </c>
      <c r="D3005" t="s">
        <v>6035</v>
      </c>
      <c r="E3005" t="s">
        <v>6036</v>
      </c>
      <c r="F3005">
        <v>17100</v>
      </c>
      <c r="H3005">
        <v>17100</v>
      </c>
      <c r="J3005" t="s">
        <v>2511</v>
      </c>
    </row>
    <row r="3006" spans="1:10" ht="15" customHeight="1" x14ac:dyDescent="0.2">
      <c r="A3006" s="420">
        <v>45658</v>
      </c>
      <c r="B3006" t="s">
        <v>2435</v>
      </c>
      <c r="C3006" t="s">
        <v>6064</v>
      </c>
      <c r="D3006" t="s">
        <v>2436</v>
      </c>
      <c r="E3006" t="s">
        <v>6040</v>
      </c>
      <c r="G3006">
        <v>17100</v>
      </c>
      <c r="J3006" t="s">
        <v>2511</v>
      </c>
    </row>
    <row r="3007" spans="1:10" ht="15" customHeight="1" x14ac:dyDescent="0.2">
      <c r="A3007" s="420">
        <v>45838</v>
      </c>
      <c r="B3007" t="s">
        <v>2535</v>
      </c>
      <c r="C3007" t="s">
        <v>6064</v>
      </c>
      <c r="D3007" t="s">
        <v>6046</v>
      </c>
      <c r="E3007" t="s">
        <v>6047</v>
      </c>
      <c r="G3007">
        <v>20400</v>
      </c>
      <c r="I3007">
        <v>20400</v>
      </c>
      <c r="J3007" t="s">
        <v>2509</v>
      </c>
    </row>
    <row r="3008" spans="1:10" ht="15" customHeight="1" x14ac:dyDescent="0.2">
      <c r="A3008" s="420">
        <v>45839</v>
      </c>
      <c r="B3008" t="s">
        <v>2535</v>
      </c>
      <c r="C3008" t="s">
        <v>6064</v>
      </c>
      <c r="D3008" t="s">
        <v>6046</v>
      </c>
      <c r="E3008" t="s">
        <v>6054</v>
      </c>
      <c r="F3008">
        <v>20400</v>
      </c>
      <c r="J3008" t="s">
        <v>2509</v>
      </c>
    </row>
    <row r="3009" spans="1:10" ht="15" customHeight="1" x14ac:dyDescent="0.2">
      <c r="A3009" s="420">
        <v>46022</v>
      </c>
      <c r="B3009" t="s">
        <v>2507</v>
      </c>
      <c r="C3009" t="s">
        <v>6064</v>
      </c>
      <c r="D3009" t="s">
        <v>6066</v>
      </c>
      <c r="E3009" t="s">
        <v>6066</v>
      </c>
      <c r="G3009">
        <v>21900</v>
      </c>
      <c r="I3009">
        <v>21900</v>
      </c>
      <c r="J3009" t="s">
        <v>2511</v>
      </c>
    </row>
    <row r="3010" spans="1:10" ht="15" customHeight="1" x14ac:dyDescent="0.2">
      <c r="A3010" t="s">
        <v>6064</v>
      </c>
      <c r="E3010" t="s">
        <v>349</v>
      </c>
      <c r="F3010">
        <v>37500</v>
      </c>
      <c r="G3010">
        <v>59400</v>
      </c>
      <c r="I3010">
        <v>21900</v>
      </c>
    </row>
    <row r="3012" spans="1:10" ht="15" customHeight="1" x14ac:dyDescent="0.2">
      <c r="A3012" t="s">
        <v>6067</v>
      </c>
      <c r="B3012" t="s">
        <v>6068</v>
      </c>
      <c r="F3012" t="s">
        <v>2430</v>
      </c>
      <c r="G3012" t="s">
        <v>2431</v>
      </c>
      <c r="H3012" t="s">
        <v>2432</v>
      </c>
      <c r="I3012" t="s">
        <v>2433</v>
      </c>
      <c r="J3012" t="s">
        <v>2434</v>
      </c>
    </row>
    <row r="3013" spans="1:10" ht="15" customHeight="1" x14ac:dyDescent="0.2">
      <c r="A3013" s="420">
        <v>45658</v>
      </c>
      <c r="B3013" t="s">
        <v>2333</v>
      </c>
      <c r="C3013" t="s">
        <v>6067</v>
      </c>
      <c r="D3013" t="s">
        <v>6069</v>
      </c>
      <c r="E3013" t="s">
        <v>6070</v>
      </c>
      <c r="F3013">
        <v>2204.96</v>
      </c>
      <c r="H3013">
        <v>2204.96</v>
      </c>
      <c r="J3013" t="s">
        <v>2511</v>
      </c>
    </row>
    <row r="3014" spans="1:10" ht="15" customHeight="1" x14ac:dyDescent="0.2">
      <c r="A3014" s="420">
        <v>45658</v>
      </c>
      <c r="B3014" t="s">
        <v>2435</v>
      </c>
      <c r="C3014" t="s">
        <v>6067</v>
      </c>
      <c r="D3014" t="s">
        <v>2436</v>
      </c>
      <c r="E3014" t="s">
        <v>6071</v>
      </c>
      <c r="G3014">
        <v>6089.97</v>
      </c>
      <c r="I3014">
        <v>3885.01</v>
      </c>
      <c r="J3014" t="s">
        <v>2511</v>
      </c>
    </row>
    <row r="3015" spans="1:10" ht="15" customHeight="1" x14ac:dyDescent="0.2">
      <c r="A3015" s="420">
        <v>45659</v>
      </c>
      <c r="B3015" t="s">
        <v>2333</v>
      </c>
      <c r="C3015" t="s">
        <v>6067</v>
      </c>
      <c r="D3015" t="s">
        <v>6072</v>
      </c>
      <c r="E3015" t="s">
        <v>6073</v>
      </c>
      <c r="F3015">
        <v>1576.51</v>
      </c>
      <c r="I3015">
        <v>2308.5</v>
      </c>
      <c r="J3015" t="s">
        <v>2511</v>
      </c>
    </row>
    <row r="3016" spans="1:10" ht="15" customHeight="1" x14ac:dyDescent="0.2">
      <c r="A3016" s="420">
        <v>45659</v>
      </c>
      <c r="B3016" t="s">
        <v>2333</v>
      </c>
      <c r="C3016" t="s">
        <v>6067</v>
      </c>
      <c r="D3016" t="s">
        <v>6074</v>
      </c>
      <c r="E3016" t="s">
        <v>6075</v>
      </c>
      <c r="F3016">
        <v>2308.6</v>
      </c>
      <c r="H3016">
        <v>0.1</v>
      </c>
      <c r="J3016" t="s">
        <v>2511</v>
      </c>
    </row>
    <row r="3017" spans="1:10" ht="15" customHeight="1" x14ac:dyDescent="0.2">
      <c r="A3017" s="420">
        <v>45659</v>
      </c>
      <c r="B3017" t="s">
        <v>2517</v>
      </c>
      <c r="C3017" t="s">
        <v>6067</v>
      </c>
      <c r="D3017" t="s">
        <v>6076</v>
      </c>
      <c r="E3017" t="s">
        <v>813</v>
      </c>
      <c r="G3017">
        <v>0.1</v>
      </c>
      <c r="J3017" t="s">
        <v>2511</v>
      </c>
    </row>
    <row r="3018" spans="1:10" ht="15" customHeight="1" x14ac:dyDescent="0.2">
      <c r="A3018" s="420">
        <v>45688</v>
      </c>
      <c r="B3018" t="s">
        <v>6077</v>
      </c>
      <c r="C3018" t="s">
        <v>6067</v>
      </c>
      <c r="E3018" t="s">
        <v>951</v>
      </c>
      <c r="G3018">
        <v>4165.3900000000003</v>
      </c>
      <c r="I3018">
        <v>4165.3900000000003</v>
      </c>
      <c r="J3018" t="s">
        <v>2509</v>
      </c>
    </row>
    <row r="3019" spans="1:10" ht="15" customHeight="1" x14ac:dyDescent="0.2">
      <c r="A3019" s="420">
        <v>45692</v>
      </c>
      <c r="B3019" t="s">
        <v>2333</v>
      </c>
      <c r="C3019" t="s">
        <v>6067</v>
      </c>
      <c r="D3019" t="s">
        <v>6078</v>
      </c>
      <c r="E3019" t="s">
        <v>6079</v>
      </c>
      <c r="F3019">
        <v>2214.79</v>
      </c>
      <c r="I3019">
        <v>1950.6</v>
      </c>
      <c r="J3019" t="s">
        <v>2509</v>
      </c>
    </row>
    <row r="3020" spans="1:10" ht="15" customHeight="1" x14ac:dyDescent="0.2">
      <c r="A3020" s="420">
        <v>45692</v>
      </c>
      <c r="B3020" t="s">
        <v>2333</v>
      </c>
      <c r="C3020" t="s">
        <v>6067</v>
      </c>
      <c r="D3020" t="s">
        <v>6080</v>
      </c>
      <c r="E3020" t="s">
        <v>6081</v>
      </c>
      <c r="F3020">
        <v>1950.6</v>
      </c>
      <c r="J3020" t="s">
        <v>2509</v>
      </c>
    </row>
    <row r="3021" spans="1:10" ht="15" customHeight="1" x14ac:dyDescent="0.2">
      <c r="A3021" s="420">
        <v>45716</v>
      </c>
      <c r="B3021" t="s">
        <v>6077</v>
      </c>
      <c r="C3021" t="s">
        <v>6067</v>
      </c>
      <c r="D3021" t="s">
        <v>6082</v>
      </c>
      <c r="E3021" t="s">
        <v>960</v>
      </c>
      <c r="G3021">
        <v>3159.42</v>
      </c>
      <c r="I3021">
        <v>3159.42</v>
      </c>
      <c r="J3021" t="s">
        <v>2509</v>
      </c>
    </row>
    <row r="3022" spans="1:10" ht="15" customHeight="1" x14ac:dyDescent="0.2">
      <c r="A3022" s="420">
        <v>45720</v>
      </c>
      <c r="B3022" t="s">
        <v>2333</v>
      </c>
      <c r="C3022" t="s">
        <v>6067</v>
      </c>
      <c r="D3022" t="s">
        <v>6083</v>
      </c>
      <c r="E3022" t="s">
        <v>6084</v>
      </c>
      <c r="F3022">
        <v>1419.01</v>
      </c>
      <c r="I3022">
        <v>1740.41</v>
      </c>
      <c r="J3022" t="s">
        <v>2509</v>
      </c>
    </row>
    <row r="3023" spans="1:10" ht="15" customHeight="1" x14ac:dyDescent="0.2">
      <c r="A3023" s="420">
        <v>45720</v>
      </c>
      <c r="B3023" t="s">
        <v>2333</v>
      </c>
      <c r="C3023" t="s">
        <v>6067</v>
      </c>
      <c r="D3023" t="s">
        <v>6085</v>
      </c>
      <c r="E3023" t="s">
        <v>6086</v>
      </c>
      <c r="F3023">
        <v>1740.41</v>
      </c>
      <c r="J3023" t="s">
        <v>2509</v>
      </c>
    </row>
    <row r="3024" spans="1:10" ht="15" customHeight="1" x14ac:dyDescent="0.2">
      <c r="A3024" s="420">
        <v>45747</v>
      </c>
      <c r="B3024" t="s">
        <v>6077</v>
      </c>
      <c r="C3024" t="s">
        <v>6067</v>
      </c>
      <c r="D3024" t="s">
        <v>6087</v>
      </c>
      <c r="E3024" t="s">
        <v>964</v>
      </c>
      <c r="G3024">
        <v>6838.52</v>
      </c>
      <c r="I3024">
        <v>6838.52</v>
      </c>
      <c r="J3024" t="s">
        <v>2513</v>
      </c>
    </row>
    <row r="3025" spans="1:10" ht="15" customHeight="1" x14ac:dyDescent="0.2">
      <c r="A3025" s="420">
        <v>45751</v>
      </c>
      <c r="B3025" t="s">
        <v>2333</v>
      </c>
      <c r="C3025" t="s">
        <v>6067</v>
      </c>
      <c r="D3025" t="s">
        <v>6088</v>
      </c>
      <c r="E3025" t="s">
        <v>6089</v>
      </c>
      <c r="F3025">
        <v>2994.08</v>
      </c>
      <c r="I3025">
        <v>3844.44</v>
      </c>
      <c r="J3025" t="s">
        <v>2513</v>
      </c>
    </row>
    <row r="3026" spans="1:10" ht="15" customHeight="1" x14ac:dyDescent="0.2">
      <c r="A3026" s="420">
        <v>45751</v>
      </c>
      <c r="B3026" t="s">
        <v>2333</v>
      </c>
      <c r="C3026" t="s">
        <v>6067</v>
      </c>
      <c r="D3026" t="s">
        <v>6090</v>
      </c>
      <c r="E3026" t="s">
        <v>6091</v>
      </c>
      <c r="F3026">
        <v>3844.44</v>
      </c>
      <c r="J3026" t="s">
        <v>2513</v>
      </c>
    </row>
    <row r="3027" spans="1:10" ht="15" customHeight="1" x14ac:dyDescent="0.2">
      <c r="A3027" s="420">
        <v>45777</v>
      </c>
      <c r="B3027" t="s">
        <v>6077</v>
      </c>
      <c r="C3027" t="s">
        <v>6067</v>
      </c>
      <c r="D3027" t="s">
        <v>6092</v>
      </c>
      <c r="E3027" t="s">
        <v>968</v>
      </c>
      <c r="G3027">
        <v>7316.34</v>
      </c>
      <c r="I3027">
        <v>7316.34</v>
      </c>
      <c r="J3027" t="s">
        <v>2585</v>
      </c>
    </row>
    <row r="3028" spans="1:10" ht="15" customHeight="1" x14ac:dyDescent="0.2">
      <c r="A3028" s="420">
        <v>45783</v>
      </c>
      <c r="B3028" t="s">
        <v>2333</v>
      </c>
      <c r="C3028" t="s">
        <v>6067</v>
      </c>
      <c r="D3028" t="s">
        <v>6093</v>
      </c>
      <c r="E3028" t="s">
        <v>6094</v>
      </c>
      <c r="F3028">
        <v>2580.63</v>
      </c>
      <c r="I3028">
        <v>4735.71</v>
      </c>
      <c r="J3028" t="s">
        <v>2585</v>
      </c>
    </row>
    <row r="3029" spans="1:10" ht="15" customHeight="1" x14ac:dyDescent="0.2">
      <c r="A3029" s="420">
        <v>45783</v>
      </c>
      <c r="B3029" t="s">
        <v>2333</v>
      </c>
      <c r="C3029" t="s">
        <v>6067</v>
      </c>
      <c r="D3029" t="s">
        <v>6095</v>
      </c>
      <c r="E3029" t="s">
        <v>6096</v>
      </c>
      <c r="F3029">
        <v>4735.71</v>
      </c>
      <c r="J3029" t="s">
        <v>2585</v>
      </c>
    </row>
    <row r="3030" spans="1:10" ht="15" customHeight="1" x14ac:dyDescent="0.2">
      <c r="A3030" s="420">
        <v>45808</v>
      </c>
      <c r="B3030" t="s">
        <v>6077</v>
      </c>
      <c r="C3030" t="s">
        <v>6067</v>
      </c>
      <c r="D3030" t="s">
        <v>6097</v>
      </c>
      <c r="E3030" t="s">
        <v>976</v>
      </c>
      <c r="G3030">
        <v>5049.46</v>
      </c>
      <c r="I3030">
        <v>5049.46</v>
      </c>
      <c r="J3030" t="s">
        <v>2586</v>
      </c>
    </row>
    <row r="3031" spans="1:10" ht="15" customHeight="1" x14ac:dyDescent="0.2">
      <c r="A3031" s="420">
        <v>45814</v>
      </c>
      <c r="B3031" t="s">
        <v>2333</v>
      </c>
      <c r="C3031" t="s">
        <v>6067</v>
      </c>
      <c r="D3031" t="s">
        <v>6098</v>
      </c>
      <c r="E3031" t="s">
        <v>6099</v>
      </c>
      <c r="F3031">
        <v>2104.5</v>
      </c>
      <c r="I3031">
        <v>2944.96</v>
      </c>
      <c r="J3031" t="s">
        <v>2586</v>
      </c>
    </row>
    <row r="3032" spans="1:10" ht="15" customHeight="1" x14ac:dyDescent="0.2">
      <c r="A3032" s="420">
        <v>45814</v>
      </c>
      <c r="B3032" t="s">
        <v>2333</v>
      </c>
      <c r="C3032" t="s">
        <v>6067</v>
      </c>
      <c r="D3032" t="s">
        <v>6100</v>
      </c>
      <c r="E3032" t="s">
        <v>6101</v>
      </c>
      <c r="F3032">
        <v>2944.96</v>
      </c>
      <c r="J3032" t="s">
        <v>2586</v>
      </c>
    </row>
    <row r="3033" spans="1:10" ht="15" customHeight="1" x14ac:dyDescent="0.2">
      <c r="A3033" s="420">
        <v>45838</v>
      </c>
      <c r="B3033" t="s">
        <v>6077</v>
      </c>
      <c r="C3033" t="s">
        <v>6067</v>
      </c>
      <c r="D3033" t="s">
        <v>6102</v>
      </c>
      <c r="E3033" t="s">
        <v>985</v>
      </c>
      <c r="G3033">
        <v>5321.03</v>
      </c>
      <c r="I3033">
        <v>5321.03</v>
      </c>
      <c r="J3033" t="s">
        <v>2587</v>
      </c>
    </row>
    <row r="3034" spans="1:10" ht="15" customHeight="1" x14ac:dyDescent="0.2">
      <c r="A3034" s="420">
        <v>45841</v>
      </c>
      <c r="B3034" t="s">
        <v>2333</v>
      </c>
      <c r="C3034" t="s">
        <v>6067</v>
      </c>
      <c r="D3034" t="s">
        <v>6103</v>
      </c>
      <c r="E3034" t="s">
        <v>6104</v>
      </c>
      <c r="F3034">
        <v>3227.66</v>
      </c>
      <c r="I3034">
        <v>2093.37</v>
      </c>
      <c r="J3034" t="s">
        <v>2587</v>
      </c>
    </row>
    <row r="3035" spans="1:10" ht="15" customHeight="1" x14ac:dyDescent="0.2">
      <c r="A3035" s="420">
        <v>45841</v>
      </c>
      <c r="B3035" t="s">
        <v>2333</v>
      </c>
      <c r="C3035" t="s">
        <v>6067</v>
      </c>
      <c r="D3035" t="s">
        <v>6105</v>
      </c>
      <c r="E3035" t="s">
        <v>6106</v>
      </c>
      <c r="F3035">
        <v>2093.37</v>
      </c>
      <c r="J3035" t="s">
        <v>2587</v>
      </c>
    </row>
    <row r="3036" spans="1:10" ht="15" customHeight="1" x14ac:dyDescent="0.2">
      <c r="A3036" s="420">
        <v>45869</v>
      </c>
      <c r="B3036" t="s">
        <v>6077</v>
      </c>
      <c r="C3036" t="s">
        <v>6067</v>
      </c>
      <c r="D3036" t="s">
        <v>6107</v>
      </c>
      <c r="E3036" t="s">
        <v>1000</v>
      </c>
      <c r="G3036">
        <v>7203.29</v>
      </c>
      <c r="I3036">
        <v>7203.29</v>
      </c>
      <c r="J3036" t="s">
        <v>2603</v>
      </c>
    </row>
    <row r="3037" spans="1:10" ht="15" customHeight="1" x14ac:dyDescent="0.2">
      <c r="A3037" s="420">
        <v>45874</v>
      </c>
      <c r="B3037" t="s">
        <v>2333</v>
      </c>
      <c r="C3037" t="s">
        <v>6067</v>
      </c>
      <c r="D3037" t="s">
        <v>6108</v>
      </c>
      <c r="E3037" t="s">
        <v>6109</v>
      </c>
      <c r="F3037">
        <v>5011.5</v>
      </c>
      <c r="I3037">
        <v>2191.79</v>
      </c>
      <c r="J3037" t="s">
        <v>2603</v>
      </c>
    </row>
    <row r="3038" spans="1:10" ht="15" customHeight="1" x14ac:dyDescent="0.2">
      <c r="A3038" s="420">
        <v>45874</v>
      </c>
      <c r="B3038" t="s">
        <v>2333</v>
      </c>
      <c r="C3038" t="s">
        <v>6067</v>
      </c>
      <c r="D3038" t="s">
        <v>6110</v>
      </c>
      <c r="E3038" t="s">
        <v>6111</v>
      </c>
      <c r="F3038">
        <v>2191.79</v>
      </c>
      <c r="J3038" t="s">
        <v>2603</v>
      </c>
    </row>
    <row r="3039" spans="1:10" ht="15" customHeight="1" x14ac:dyDescent="0.2">
      <c r="A3039" s="420">
        <v>45900</v>
      </c>
      <c r="B3039" t="s">
        <v>6077</v>
      </c>
      <c r="C3039" t="s">
        <v>6067</v>
      </c>
      <c r="D3039" t="s">
        <v>6112</v>
      </c>
      <c r="E3039" t="s">
        <v>1011</v>
      </c>
      <c r="G3039">
        <v>7231.37</v>
      </c>
      <c r="I3039">
        <v>7231.37</v>
      </c>
      <c r="J3039" t="s">
        <v>2604</v>
      </c>
    </row>
    <row r="3040" spans="1:10" ht="15" customHeight="1" x14ac:dyDescent="0.2">
      <c r="A3040" s="420">
        <v>45905</v>
      </c>
      <c r="B3040" t="s">
        <v>2333</v>
      </c>
      <c r="C3040" t="s">
        <v>6067</v>
      </c>
      <c r="D3040" t="s">
        <v>6113</v>
      </c>
      <c r="E3040" t="s">
        <v>6114</v>
      </c>
      <c r="F3040">
        <v>3834.98</v>
      </c>
      <c r="I3040">
        <v>3396.39</v>
      </c>
      <c r="J3040" t="s">
        <v>2604</v>
      </c>
    </row>
    <row r="3041" spans="1:10" ht="15" customHeight="1" x14ac:dyDescent="0.2">
      <c r="A3041" s="420">
        <v>45905</v>
      </c>
      <c r="B3041" t="s">
        <v>2333</v>
      </c>
      <c r="C3041" t="s">
        <v>6067</v>
      </c>
      <c r="D3041" t="s">
        <v>6115</v>
      </c>
      <c r="E3041" t="s">
        <v>6116</v>
      </c>
      <c r="F3041">
        <v>2009.75</v>
      </c>
      <c r="I3041">
        <v>1386.64</v>
      </c>
      <c r="J3041" t="s">
        <v>2604</v>
      </c>
    </row>
    <row r="3042" spans="1:10" ht="15" customHeight="1" x14ac:dyDescent="0.2">
      <c r="A3042" s="420">
        <v>45905</v>
      </c>
      <c r="B3042" t="s">
        <v>2333</v>
      </c>
      <c r="C3042" t="s">
        <v>6067</v>
      </c>
      <c r="D3042" t="s">
        <v>6117</v>
      </c>
      <c r="E3042" t="s">
        <v>6118</v>
      </c>
      <c r="F3042">
        <v>1386.64</v>
      </c>
      <c r="J3042" t="s">
        <v>2604</v>
      </c>
    </row>
    <row r="3043" spans="1:10" ht="15" customHeight="1" x14ac:dyDescent="0.2">
      <c r="A3043" s="420">
        <v>45930</v>
      </c>
      <c r="B3043" t="s">
        <v>6077</v>
      </c>
      <c r="C3043" t="s">
        <v>6067</v>
      </c>
      <c r="D3043" t="s">
        <v>6119</v>
      </c>
      <c r="E3043" t="s">
        <v>1020</v>
      </c>
      <c r="G3043">
        <v>8574.07</v>
      </c>
      <c r="I3043">
        <v>8574.07</v>
      </c>
      <c r="J3043" t="s">
        <v>2599</v>
      </c>
    </row>
    <row r="3044" spans="1:10" ht="15" customHeight="1" x14ac:dyDescent="0.2">
      <c r="A3044" s="420">
        <v>45936</v>
      </c>
      <c r="B3044" t="s">
        <v>2333</v>
      </c>
      <c r="C3044" t="s">
        <v>6067</v>
      </c>
      <c r="D3044" t="s">
        <v>6120</v>
      </c>
      <c r="E3044" t="s">
        <v>6121</v>
      </c>
      <c r="F3044">
        <v>2479.56</v>
      </c>
      <c r="I3044">
        <v>6094.51</v>
      </c>
      <c r="J3044" t="s">
        <v>2599</v>
      </c>
    </row>
    <row r="3045" spans="1:10" ht="15" customHeight="1" x14ac:dyDescent="0.2">
      <c r="A3045" s="420">
        <v>45936</v>
      </c>
      <c r="B3045" t="s">
        <v>2333</v>
      </c>
      <c r="C3045" t="s">
        <v>6067</v>
      </c>
      <c r="D3045" t="s">
        <v>6122</v>
      </c>
      <c r="E3045" t="s">
        <v>6123</v>
      </c>
      <c r="F3045">
        <v>1387.96</v>
      </c>
      <c r="I3045">
        <v>4706.55</v>
      </c>
      <c r="J3045" t="s">
        <v>2599</v>
      </c>
    </row>
    <row r="3046" spans="1:10" ht="15" customHeight="1" x14ac:dyDescent="0.2">
      <c r="A3046" s="420">
        <v>45936</v>
      </c>
      <c r="B3046" t="s">
        <v>2333</v>
      </c>
      <c r="C3046" t="s">
        <v>6067</v>
      </c>
      <c r="D3046" t="s">
        <v>6124</v>
      </c>
      <c r="E3046" t="s">
        <v>6125</v>
      </c>
      <c r="F3046">
        <v>1386.64</v>
      </c>
      <c r="I3046">
        <v>3319.91</v>
      </c>
      <c r="J3046" t="s">
        <v>2599</v>
      </c>
    </row>
    <row r="3047" spans="1:10" ht="15" customHeight="1" x14ac:dyDescent="0.2">
      <c r="A3047" s="420">
        <v>45936</v>
      </c>
      <c r="B3047" t="s">
        <v>2333</v>
      </c>
      <c r="C3047" t="s">
        <v>6067</v>
      </c>
      <c r="D3047" t="s">
        <v>6126</v>
      </c>
      <c r="E3047" t="s">
        <v>6127</v>
      </c>
      <c r="F3047">
        <v>3319.91</v>
      </c>
      <c r="J3047" t="s">
        <v>2599</v>
      </c>
    </row>
    <row r="3048" spans="1:10" ht="15" customHeight="1" x14ac:dyDescent="0.2">
      <c r="A3048" s="420">
        <v>45961</v>
      </c>
      <c r="B3048" t="s">
        <v>6077</v>
      </c>
      <c r="C3048" t="s">
        <v>6067</v>
      </c>
      <c r="D3048" t="s">
        <v>6128</v>
      </c>
      <c r="E3048" t="s">
        <v>1029</v>
      </c>
      <c r="G3048">
        <v>11082.74</v>
      </c>
      <c r="I3048">
        <v>11082.74</v>
      </c>
      <c r="J3048" t="s">
        <v>2601</v>
      </c>
    </row>
    <row r="3049" spans="1:10" ht="15" customHeight="1" x14ac:dyDescent="0.2">
      <c r="A3049" s="420">
        <v>45966</v>
      </c>
      <c r="B3049" t="s">
        <v>2333</v>
      </c>
      <c r="C3049" t="s">
        <v>6067</v>
      </c>
      <c r="D3049" t="s">
        <v>6129</v>
      </c>
      <c r="E3049" t="s">
        <v>6130</v>
      </c>
      <c r="F3049">
        <v>1544.15</v>
      </c>
      <c r="I3049">
        <v>9538.59</v>
      </c>
      <c r="J3049" t="s">
        <v>2601</v>
      </c>
    </row>
    <row r="3050" spans="1:10" ht="15" customHeight="1" x14ac:dyDescent="0.2">
      <c r="A3050" s="420">
        <v>45966</v>
      </c>
      <c r="B3050" t="s">
        <v>2333</v>
      </c>
      <c r="C3050" t="s">
        <v>6067</v>
      </c>
      <c r="D3050" t="s">
        <v>6131</v>
      </c>
      <c r="E3050" t="s">
        <v>6132</v>
      </c>
      <c r="F3050">
        <v>3834.98</v>
      </c>
      <c r="I3050">
        <v>5703.61</v>
      </c>
      <c r="J3050" t="s">
        <v>2601</v>
      </c>
    </row>
    <row r="3051" spans="1:10" ht="15" customHeight="1" x14ac:dyDescent="0.2">
      <c r="A3051" s="420">
        <v>45966</v>
      </c>
      <c r="B3051" t="s">
        <v>2333</v>
      </c>
      <c r="C3051" t="s">
        <v>6067</v>
      </c>
      <c r="D3051" t="s">
        <v>6133</v>
      </c>
      <c r="E3051" t="s">
        <v>6134</v>
      </c>
      <c r="F3051">
        <v>1387.96</v>
      </c>
      <c r="I3051">
        <v>4315.6499999999996</v>
      </c>
      <c r="J3051" t="s">
        <v>2601</v>
      </c>
    </row>
    <row r="3052" spans="1:10" ht="15" customHeight="1" x14ac:dyDescent="0.2">
      <c r="A3052" s="420">
        <v>45974</v>
      </c>
      <c r="B3052" t="s">
        <v>2333</v>
      </c>
      <c r="C3052" t="s">
        <v>6067</v>
      </c>
      <c r="D3052" t="s">
        <v>6135</v>
      </c>
      <c r="E3052" t="s">
        <v>6136</v>
      </c>
      <c r="F3052">
        <v>4315.6499999999996</v>
      </c>
      <c r="J3052" t="s">
        <v>2601</v>
      </c>
    </row>
    <row r="3053" spans="1:10" ht="15" customHeight="1" x14ac:dyDescent="0.2">
      <c r="A3053" s="420">
        <v>45991</v>
      </c>
      <c r="B3053" t="s">
        <v>6077</v>
      </c>
      <c r="C3053" t="s">
        <v>6067</v>
      </c>
      <c r="D3053" t="s">
        <v>6137</v>
      </c>
      <c r="E3053" t="s">
        <v>1041</v>
      </c>
      <c r="G3053">
        <v>5892.35</v>
      </c>
      <c r="I3053">
        <v>5892.35</v>
      </c>
      <c r="J3053" t="s">
        <v>2600</v>
      </c>
    </row>
    <row r="3054" spans="1:10" ht="15" customHeight="1" x14ac:dyDescent="0.2">
      <c r="A3054" s="420">
        <v>45996</v>
      </c>
      <c r="B3054" t="s">
        <v>2333</v>
      </c>
      <c r="C3054" t="s">
        <v>6067</v>
      </c>
      <c r="D3054" t="s">
        <v>6138</v>
      </c>
      <c r="E3054" t="s">
        <v>6139</v>
      </c>
      <c r="F3054">
        <v>1622.9</v>
      </c>
      <c r="I3054">
        <v>4269.45</v>
      </c>
      <c r="J3054" t="s">
        <v>2600</v>
      </c>
    </row>
    <row r="3055" spans="1:10" ht="15" customHeight="1" x14ac:dyDescent="0.2">
      <c r="A3055" s="420">
        <v>45996</v>
      </c>
      <c r="B3055" t="s">
        <v>2333</v>
      </c>
      <c r="C3055" t="s">
        <v>6067</v>
      </c>
      <c r="D3055" t="s">
        <v>6140</v>
      </c>
      <c r="E3055" t="s">
        <v>6141</v>
      </c>
      <c r="F3055">
        <v>2881.49</v>
      </c>
      <c r="I3055">
        <v>1387.96</v>
      </c>
      <c r="J3055" t="s">
        <v>2600</v>
      </c>
    </row>
    <row r="3056" spans="1:10" ht="15" customHeight="1" x14ac:dyDescent="0.2">
      <c r="A3056" s="420">
        <v>45996</v>
      </c>
      <c r="B3056" t="s">
        <v>2333</v>
      </c>
      <c r="C3056" t="s">
        <v>6067</v>
      </c>
      <c r="D3056" t="s">
        <v>6142</v>
      </c>
      <c r="E3056" t="s">
        <v>6143</v>
      </c>
      <c r="F3056">
        <v>1387.96</v>
      </c>
      <c r="J3056" t="s">
        <v>2600</v>
      </c>
    </row>
    <row r="3057" spans="1:10" ht="15" customHeight="1" x14ac:dyDescent="0.2">
      <c r="A3057" s="420">
        <v>46022</v>
      </c>
      <c r="B3057" t="s">
        <v>6077</v>
      </c>
      <c r="C3057" t="s">
        <v>6067</v>
      </c>
      <c r="D3057" t="s">
        <v>6144</v>
      </c>
      <c r="E3057" t="s">
        <v>1051</v>
      </c>
      <c r="G3057">
        <v>5249.71</v>
      </c>
      <c r="I3057">
        <v>5249.71</v>
      </c>
      <c r="J3057" t="s">
        <v>2511</v>
      </c>
    </row>
    <row r="3058" spans="1:10" ht="15" customHeight="1" x14ac:dyDescent="0.2">
      <c r="A3058" t="s">
        <v>6067</v>
      </c>
      <c r="E3058" t="s">
        <v>349</v>
      </c>
      <c r="F3058">
        <v>77924.05</v>
      </c>
      <c r="G3058">
        <v>83173.759999999995</v>
      </c>
      <c r="I3058">
        <v>5249.71</v>
      </c>
    </row>
    <row r="3060" spans="1:10" ht="15" customHeight="1" x14ac:dyDescent="0.2">
      <c r="A3060" t="s">
        <v>6145</v>
      </c>
      <c r="B3060" t="s">
        <v>6146</v>
      </c>
      <c r="F3060" t="s">
        <v>2430</v>
      </c>
      <c r="G3060" t="s">
        <v>2431</v>
      </c>
      <c r="H3060" t="s">
        <v>2432</v>
      </c>
      <c r="I3060" t="s">
        <v>2433</v>
      </c>
      <c r="J3060" t="s">
        <v>2434</v>
      </c>
    </row>
    <row r="3061" spans="1:10" ht="15" customHeight="1" x14ac:dyDescent="0.2">
      <c r="A3061" s="420">
        <v>45692</v>
      </c>
      <c r="B3061" t="s">
        <v>2333</v>
      </c>
      <c r="C3061" t="s">
        <v>6145</v>
      </c>
      <c r="D3061" t="s">
        <v>6147</v>
      </c>
      <c r="E3061" t="s">
        <v>6148</v>
      </c>
      <c r="F3061">
        <v>2500</v>
      </c>
      <c r="H3061">
        <v>2500</v>
      </c>
      <c r="J3061" t="s">
        <v>2511</v>
      </c>
    </row>
    <row r="3062" spans="1:10" ht="15" customHeight="1" x14ac:dyDescent="0.2">
      <c r="A3062" s="420">
        <v>45692</v>
      </c>
      <c r="B3062" t="s">
        <v>2333</v>
      </c>
      <c r="C3062" t="s">
        <v>6145</v>
      </c>
      <c r="D3062" t="s">
        <v>6149</v>
      </c>
      <c r="E3062" t="s">
        <v>6150</v>
      </c>
      <c r="F3062">
        <v>2500</v>
      </c>
      <c r="H3062">
        <v>5000</v>
      </c>
      <c r="J3062" t="s">
        <v>2511</v>
      </c>
    </row>
    <row r="3063" spans="1:10" ht="15" customHeight="1" x14ac:dyDescent="0.2">
      <c r="A3063" s="420">
        <v>45716</v>
      </c>
      <c r="B3063" t="s">
        <v>6077</v>
      </c>
      <c r="C3063" t="s">
        <v>6145</v>
      </c>
      <c r="D3063" t="s">
        <v>6082</v>
      </c>
      <c r="E3063" t="s">
        <v>960</v>
      </c>
      <c r="G3063">
        <v>5000</v>
      </c>
      <c r="J3063" t="s">
        <v>2511</v>
      </c>
    </row>
    <row r="3064" spans="1:10" ht="15" customHeight="1" x14ac:dyDescent="0.2">
      <c r="A3064" t="s">
        <v>6145</v>
      </c>
      <c r="E3064" t="s">
        <v>349</v>
      </c>
      <c r="F3064">
        <v>5000</v>
      </c>
      <c r="G3064">
        <v>5000</v>
      </c>
    </row>
    <row r="3066" spans="1:10" ht="15" customHeight="1" x14ac:dyDescent="0.2">
      <c r="A3066" t="s">
        <v>6151</v>
      </c>
      <c r="B3066" t="s">
        <v>6152</v>
      </c>
      <c r="F3066" t="s">
        <v>2430</v>
      </c>
      <c r="G3066" t="s">
        <v>2431</v>
      </c>
      <c r="H3066" t="s">
        <v>2432</v>
      </c>
      <c r="I3066" t="s">
        <v>2433</v>
      </c>
      <c r="J3066" t="s">
        <v>2434</v>
      </c>
    </row>
    <row r="3067" spans="1:10" ht="15" customHeight="1" x14ac:dyDescent="0.2">
      <c r="A3067" s="420">
        <v>45658</v>
      </c>
      <c r="B3067" t="s">
        <v>2435</v>
      </c>
      <c r="C3067" t="s">
        <v>6151</v>
      </c>
      <c r="D3067" t="s">
        <v>2436</v>
      </c>
      <c r="E3067" t="s">
        <v>6153</v>
      </c>
      <c r="G3067">
        <v>275.76</v>
      </c>
      <c r="I3067">
        <v>275.76</v>
      </c>
      <c r="J3067" t="s">
        <v>2511</v>
      </c>
    </row>
    <row r="3068" spans="1:10" ht="15" customHeight="1" x14ac:dyDescent="0.2">
      <c r="A3068" s="420">
        <v>46022</v>
      </c>
      <c r="B3068" t="s">
        <v>2439</v>
      </c>
      <c r="C3068" t="s">
        <v>6151</v>
      </c>
      <c r="D3068" t="s">
        <v>4576</v>
      </c>
      <c r="E3068" t="s">
        <v>6154</v>
      </c>
      <c r="F3068">
        <v>275.76</v>
      </c>
      <c r="J3068" t="s">
        <v>2511</v>
      </c>
    </row>
    <row r="3069" spans="1:10" ht="15" customHeight="1" x14ac:dyDescent="0.2">
      <c r="A3069" t="s">
        <v>6151</v>
      </c>
      <c r="E3069" t="s">
        <v>349</v>
      </c>
      <c r="F3069">
        <v>275.76</v>
      </c>
      <c r="G3069">
        <v>275.76</v>
      </c>
    </row>
    <row r="3071" spans="1:10" ht="15" customHeight="1" x14ac:dyDescent="0.2">
      <c r="A3071" t="s">
        <v>6155</v>
      </c>
      <c r="B3071" t="s">
        <v>6156</v>
      </c>
      <c r="F3071" t="s">
        <v>2430</v>
      </c>
      <c r="G3071" t="s">
        <v>2431</v>
      </c>
      <c r="H3071" t="s">
        <v>2432</v>
      </c>
      <c r="I3071" t="s">
        <v>2433</v>
      </c>
      <c r="J3071" t="s">
        <v>2434</v>
      </c>
    </row>
    <row r="3072" spans="1:10" ht="15" customHeight="1" x14ac:dyDescent="0.2">
      <c r="A3072" s="420">
        <v>45658</v>
      </c>
      <c r="B3072" t="s">
        <v>2435</v>
      </c>
      <c r="C3072" t="s">
        <v>6155</v>
      </c>
      <c r="D3072" t="s">
        <v>2436</v>
      </c>
      <c r="E3072" t="s">
        <v>6157</v>
      </c>
      <c r="G3072">
        <v>3360.07</v>
      </c>
      <c r="I3072">
        <v>3360.07</v>
      </c>
    </row>
    <row r="3073" spans="1:10" ht="15" customHeight="1" x14ac:dyDescent="0.2">
      <c r="A3073" s="420">
        <v>45658</v>
      </c>
      <c r="B3073" t="s">
        <v>2517</v>
      </c>
      <c r="C3073" t="s">
        <v>6155</v>
      </c>
      <c r="D3073" t="s">
        <v>6158</v>
      </c>
      <c r="E3073" t="s">
        <v>938</v>
      </c>
      <c r="F3073">
        <v>3360.07</v>
      </c>
    </row>
    <row r="3074" spans="1:10" ht="15" customHeight="1" x14ac:dyDescent="0.2">
      <c r="A3074" s="420">
        <v>45838</v>
      </c>
      <c r="B3074" t="s">
        <v>2507</v>
      </c>
      <c r="C3074" t="s">
        <v>6155</v>
      </c>
      <c r="D3074" t="s">
        <v>6159</v>
      </c>
      <c r="E3074" t="s">
        <v>986</v>
      </c>
      <c r="G3074">
        <v>4691.1099999999997</v>
      </c>
      <c r="I3074">
        <v>4691.1099999999997</v>
      </c>
      <c r="J3074" t="s">
        <v>2511</v>
      </c>
    </row>
    <row r="3075" spans="1:10" ht="15" customHeight="1" x14ac:dyDescent="0.2">
      <c r="A3075" s="420">
        <v>45839</v>
      </c>
      <c r="B3075" t="s">
        <v>2507</v>
      </c>
      <c r="C3075" t="s">
        <v>6155</v>
      </c>
      <c r="D3075" t="s">
        <v>6159</v>
      </c>
      <c r="E3075" t="s">
        <v>994</v>
      </c>
      <c r="F3075">
        <v>4691.1099999999997</v>
      </c>
      <c r="J3075" t="s">
        <v>2511</v>
      </c>
    </row>
    <row r="3076" spans="1:10" ht="15" customHeight="1" x14ac:dyDescent="0.2">
      <c r="A3076" s="420">
        <v>46022</v>
      </c>
      <c r="B3076" t="s">
        <v>2507</v>
      </c>
      <c r="C3076" t="s">
        <v>6155</v>
      </c>
      <c r="D3076" t="s">
        <v>6160</v>
      </c>
      <c r="E3076" t="s">
        <v>1052</v>
      </c>
      <c r="G3076">
        <v>3075.16</v>
      </c>
      <c r="I3076">
        <v>3075.16</v>
      </c>
    </row>
    <row r="3077" spans="1:10" ht="15" customHeight="1" x14ac:dyDescent="0.2">
      <c r="A3077" t="s">
        <v>6155</v>
      </c>
      <c r="E3077" t="s">
        <v>349</v>
      </c>
      <c r="F3077">
        <v>8051.18</v>
      </c>
      <c r="G3077">
        <v>11126.34</v>
      </c>
      <c r="I3077">
        <v>3075.16</v>
      </c>
    </row>
    <row r="3079" spans="1:10" ht="15" customHeight="1" x14ac:dyDescent="0.2">
      <c r="A3079" t="s">
        <v>6161</v>
      </c>
      <c r="B3079" t="s">
        <v>6162</v>
      </c>
      <c r="F3079" t="s">
        <v>2430</v>
      </c>
      <c r="G3079" t="s">
        <v>2431</v>
      </c>
      <c r="H3079" t="s">
        <v>2432</v>
      </c>
      <c r="I3079" t="s">
        <v>2433</v>
      </c>
      <c r="J3079" t="s">
        <v>2434</v>
      </c>
    </row>
    <row r="3080" spans="1:10" ht="15" customHeight="1" x14ac:dyDescent="0.2">
      <c r="A3080" s="420">
        <v>45658</v>
      </c>
      <c r="B3080" t="s">
        <v>2435</v>
      </c>
      <c r="C3080" t="s">
        <v>6161</v>
      </c>
      <c r="D3080" t="s">
        <v>2436</v>
      </c>
      <c r="E3080" t="s">
        <v>6163</v>
      </c>
      <c r="G3080">
        <v>3357.76</v>
      </c>
      <c r="I3080">
        <v>3357.76</v>
      </c>
      <c r="J3080" t="s">
        <v>2511</v>
      </c>
    </row>
    <row r="3081" spans="1:10" ht="15" customHeight="1" x14ac:dyDescent="0.2">
      <c r="A3081" s="420">
        <v>45673</v>
      </c>
      <c r="B3081" t="s">
        <v>2333</v>
      </c>
      <c r="C3081" t="s">
        <v>6161</v>
      </c>
      <c r="D3081" t="s">
        <v>6164</v>
      </c>
      <c r="E3081" t="s">
        <v>6165</v>
      </c>
      <c r="F3081">
        <v>3357</v>
      </c>
      <c r="I3081">
        <v>0.76</v>
      </c>
      <c r="J3081" t="s">
        <v>2511</v>
      </c>
    </row>
    <row r="3082" spans="1:10" ht="15" customHeight="1" x14ac:dyDescent="0.2">
      <c r="A3082" s="420">
        <v>45673</v>
      </c>
      <c r="B3082" t="s">
        <v>2517</v>
      </c>
      <c r="C3082" t="s">
        <v>6161</v>
      </c>
      <c r="D3082" t="s">
        <v>6166</v>
      </c>
      <c r="E3082" t="s">
        <v>827</v>
      </c>
      <c r="F3082">
        <v>0.76</v>
      </c>
      <c r="J3082" t="s">
        <v>2511</v>
      </c>
    </row>
    <row r="3083" spans="1:10" ht="15" customHeight="1" x14ac:dyDescent="0.2">
      <c r="A3083" s="420">
        <v>45688</v>
      </c>
      <c r="B3083" t="s">
        <v>6077</v>
      </c>
      <c r="C3083" t="s">
        <v>6161</v>
      </c>
      <c r="E3083" t="s">
        <v>6167</v>
      </c>
      <c r="G3083">
        <v>2331.4699999999998</v>
      </c>
      <c r="I3083">
        <v>2331.4699999999998</v>
      </c>
      <c r="J3083" t="s">
        <v>2513</v>
      </c>
    </row>
    <row r="3084" spans="1:10" ht="15" customHeight="1" x14ac:dyDescent="0.2">
      <c r="A3084" s="420">
        <v>45706</v>
      </c>
      <c r="B3084" t="s">
        <v>2333</v>
      </c>
      <c r="C3084" t="s">
        <v>6161</v>
      </c>
      <c r="D3084" t="s">
        <v>6168</v>
      </c>
      <c r="E3084" t="s">
        <v>6169</v>
      </c>
      <c r="F3084">
        <v>2331</v>
      </c>
      <c r="I3084">
        <v>0.47</v>
      </c>
      <c r="J3084" t="s">
        <v>2513</v>
      </c>
    </row>
    <row r="3085" spans="1:10" ht="15" customHeight="1" x14ac:dyDescent="0.2">
      <c r="A3085" s="420">
        <v>45706</v>
      </c>
      <c r="B3085" t="s">
        <v>2517</v>
      </c>
      <c r="C3085" t="s">
        <v>6161</v>
      </c>
      <c r="D3085" t="s">
        <v>6170</v>
      </c>
      <c r="E3085" t="s">
        <v>827</v>
      </c>
      <c r="F3085">
        <v>0.47</v>
      </c>
      <c r="J3085" t="s">
        <v>2513</v>
      </c>
    </row>
    <row r="3086" spans="1:10" ht="15" customHeight="1" x14ac:dyDescent="0.2">
      <c r="A3086" s="420">
        <v>45716</v>
      </c>
      <c r="B3086" t="s">
        <v>6077</v>
      </c>
      <c r="C3086" t="s">
        <v>6161</v>
      </c>
      <c r="D3086" t="s">
        <v>6082</v>
      </c>
      <c r="E3086" t="s">
        <v>6171</v>
      </c>
      <c r="G3086">
        <v>1454.61</v>
      </c>
      <c r="I3086">
        <v>1454.61</v>
      </c>
      <c r="J3086" t="s">
        <v>2509</v>
      </c>
    </row>
    <row r="3087" spans="1:10" ht="15" customHeight="1" x14ac:dyDescent="0.2">
      <c r="A3087" s="420">
        <v>45734</v>
      </c>
      <c r="B3087" t="s">
        <v>2333</v>
      </c>
      <c r="C3087" t="s">
        <v>6161</v>
      </c>
      <c r="D3087" t="s">
        <v>6172</v>
      </c>
      <c r="E3087" t="s">
        <v>6173</v>
      </c>
      <c r="F3087">
        <v>1455</v>
      </c>
      <c r="H3087">
        <v>0.39</v>
      </c>
      <c r="J3087" t="s">
        <v>2509</v>
      </c>
    </row>
    <row r="3088" spans="1:10" ht="15" customHeight="1" x14ac:dyDescent="0.2">
      <c r="A3088" s="420">
        <v>45734</v>
      </c>
      <c r="B3088" t="s">
        <v>2517</v>
      </c>
      <c r="C3088" t="s">
        <v>6161</v>
      </c>
      <c r="D3088" t="s">
        <v>6174</v>
      </c>
      <c r="E3088" t="s">
        <v>827</v>
      </c>
      <c r="G3088">
        <v>0.39</v>
      </c>
      <c r="J3088" t="s">
        <v>2509</v>
      </c>
    </row>
    <row r="3089" spans="1:10" ht="15" customHeight="1" x14ac:dyDescent="0.2">
      <c r="A3089" s="420">
        <v>45747</v>
      </c>
      <c r="B3089" t="s">
        <v>6077</v>
      </c>
      <c r="C3089" t="s">
        <v>6161</v>
      </c>
      <c r="D3089" t="s">
        <v>6087</v>
      </c>
      <c r="E3089" t="s">
        <v>964</v>
      </c>
      <c r="G3089">
        <v>4472.2299999999996</v>
      </c>
      <c r="I3089">
        <v>4472.2299999999996</v>
      </c>
      <c r="J3089" t="s">
        <v>2585</v>
      </c>
    </row>
    <row r="3090" spans="1:10" ht="15" customHeight="1" x14ac:dyDescent="0.2">
      <c r="A3090" s="420">
        <v>45763</v>
      </c>
      <c r="B3090" t="s">
        <v>2333</v>
      </c>
      <c r="C3090" t="s">
        <v>6161</v>
      </c>
      <c r="D3090" t="s">
        <v>6175</v>
      </c>
      <c r="E3090" t="s">
        <v>6176</v>
      </c>
      <c r="F3090">
        <v>4471</v>
      </c>
      <c r="I3090">
        <v>1.23</v>
      </c>
      <c r="J3090" t="s">
        <v>2585</v>
      </c>
    </row>
    <row r="3091" spans="1:10" ht="15" customHeight="1" x14ac:dyDescent="0.2">
      <c r="A3091" s="420">
        <v>45763</v>
      </c>
      <c r="B3091" t="s">
        <v>2517</v>
      </c>
      <c r="C3091" t="s">
        <v>6161</v>
      </c>
      <c r="D3091" t="s">
        <v>6177</v>
      </c>
      <c r="E3091" t="s">
        <v>827</v>
      </c>
      <c r="F3091">
        <v>1.23</v>
      </c>
      <c r="J3091" t="s">
        <v>2585</v>
      </c>
    </row>
    <row r="3092" spans="1:10" ht="15" customHeight="1" x14ac:dyDescent="0.2">
      <c r="A3092" s="420">
        <v>45777</v>
      </c>
      <c r="B3092" t="s">
        <v>6077</v>
      </c>
      <c r="C3092" t="s">
        <v>6161</v>
      </c>
      <c r="D3092" t="s">
        <v>6092</v>
      </c>
      <c r="E3092" t="s">
        <v>6178</v>
      </c>
      <c r="G3092">
        <v>5389.49</v>
      </c>
      <c r="I3092">
        <v>5389.49</v>
      </c>
      <c r="J3092" t="s">
        <v>2586</v>
      </c>
    </row>
    <row r="3093" spans="1:10" ht="15" customHeight="1" x14ac:dyDescent="0.2">
      <c r="A3093" s="420">
        <v>45777</v>
      </c>
      <c r="B3093" t="s">
        <v>2439</v>
      </c>
      <c r="C3093" t="s">
        <v>6161</v>
      </c>
      <c r="D3093" t="s">
        <v>6179</v>
      </c>
      <c r="E3093" t="s">
        <v>6180</v>
      </c>
      <c r="G3093">
        <v>52</v>
      </c>
      <c r="I3093">
        <v>5441.49</v>
      </c>
      <c r="J3093" t="s">
        <v>2586</v>
      </c>
    </row>
    <row r="3094" spans="1:10" ht="15" customHeight="1" x14ac:dyDescent="0.2">
      <c r="A3094" s="420">
        <v>45793</v>
      </c>
      <c r="B3094" t="s">
        <v>2333</v>
      </c>
      <c r="C3094" t="s">
        <v>6161</v>
      </c>
      <c r="D3094" t="s">
        <v>6181</v>
      </c>
      <c r="E3094" t="s">
        <v>6182</v>
      </c>
      <c r="F3094">
        <v>5443</v>
      </c>
      <c r="H3094">
        <v>1.51</v>
      </c>
      <c r="J3094" t="s">
        <v>2586</v>
      </c>
    </row>
    <row r="3095" spans="1:10" ht="15" customHeight="1" x14ac:dyDescent="0.2">
      <c r="A3095" s="420">
        <v>45793</v>
      </c>
      <c r="B3095" t="s">
        <v>2517</v>
      </c>
      <c r="C3095" t="s">
        <v>6161</v>
      </c>
      <c r="D3095" t="s">
        <v>6183</v>
      </c>
      <c r="E3095" t="s">
        <v>827</v>
      </c>
      <c r="G3095">
        <v>1.51</v>
      </c>
      <c r="J3095" t="s">
        <v>2586</v>
      </c>
    </row>
    <row r="3096" spans="1:10" ht="15" customHeight="1" x14ac:dyDescent="0.2">
      <c r="A3096" s="420">
        <v>45808</v>
      </c>
      <c r="B3096" t="s">
        <v>6077</v>
      </c>
      <c r="C3096" t="s">
        <v>6161</v>
      </c>
      <c r="D3096" t="s">
        <v>6097</v>
      </c>
      <c r="E3096" t="s">
        <v>6184</v>
      </c>
      <c r="G3096">
        <v>3612.97</v>
      </c>
      <c r="I3096">
        <v>3612.97</v>
      </c>
      <c r="J3096" t="s">
        <v>2587</v>
      </c>
    </row>
    <row r="3097" spans="1:10" ht="15" customHeight="1" x14ac:dyDescent="0.2">
      <c r="A3097" s="420">
        <v>45825</v>
      </c>
      <c r="B3097" t="s">
        <v>2333</v>
      </c>
      <c r="C3097" t="s">
        <v>6161</v>
      </c>
      <c r="D3097" t="s">
        <v>6185</v>
      </c>
      <c r="E3097" t="s">
        <v>6186</v>
      </c>
      <c r="F3097">
        <v>3613</v>
      </c>
      <c r="H3097">
        <v>0.03</v>
      </c>
      <c r="J3097" t="s">
        <v>2587</v>
      </c>
    </row>
    <row r="3098" spans="1:10" ht="15" customHeight="1" x14ac:dyDescent="0.2">
      <c r="A3098" s="420">
        <v>45825</v>
      </c>
      <c r="B3098" t="s">
        <v>2517</v>
      </c>
      <c r="C3098" t="s">
        <v>6161</v>
      </c>
      <c r="D3098" t="s">
        <v>6187</v>
      </c>
      <c r="E3098" t="s">
        <v>827</v>
      </c>
      <c r="G3098">
        <v>0.03</v>
      </c>
      <c r="J3098" t="s">
        <v>2587</v>
      </c>
    </row>
    <row r="3099" spans="1:10" ht="15" customHeight="1" x14ac:dyDescent="0.2">
      <c r="A3099" s="420">
        <v>45838</v>
      </c>
      <c r="B3099" t="s">
        <v>6077</v>
      </c>
      <c r="C3099" t="s">
        <v>6161</v>
      </c>
      <c r="D3099" t="s">
        <v>6102</v>
      </c>
      <c r="E3099" t="s">
        <v>6188</v>
      </c>
      <c r="G3099">
        <v>3639.85</v>
      </c>
      <c r="I3099">
        <v>3639.85</v>
      </c>
      <c r="J3099" t="s">
        <v>2603</v>
      </c>
    </row>
    <row r="3100" spans="1:10" ht="15" customHeight="1" x14ac:dyDescent="0.2">
      <c r="A3100" s="420">
        <v>45854</v>
      </c>
      <c r="B3100" t="s">
        <v>2333</v>
      </c>
      <c r="C3100" t="s">
        <v>6161</v>
      </c>
      <c r="D3100" t="s">
        <v>6189</v>
      </c>
      <c r="E3100" t="s">
        <v>6190</v>
      </c>
      <c r="F3100">
        <v>3640</v>
      </c>
      <c r="H3100">
        <v>0.15</v>
      </c>
      <c r="J3100" t="s">
        <v>2603</v>
      </c>
    </row>
    <row r="3101" spans="1:10" ht="15" customHeight="1" x14ac:dyDescent="0.2">
      <c r="A3101" s="420">
        <v>45854</v>
      </c>
      <c r="B3101" t="s">
        <v>2517</v>
      </c>
      <c r="C3101" t="s">
        <v>6161</v>
      </c>
      <c r="D3101" t="s">
        <v>6191</v>
      </c>
      <c r="E3101" t="s">
        <v>827</v>
      </c>
      <c r="G3101">
        <v>0.15</v>
      </c>
      <c r="J3101" t="s">
        <v>2603</v>
      </c>
    </row>
    <row r="3102" spans="1:10" ht="15" customHeight="1" x14ac:dyDescent="0.2">
      <c r="A3102" s="420">
        <v>45869</v>
      </c>
      <c r="B3102" t="s">
        <v>6077</v>
      </c>
      <c r="C3102" t="s">
        <v>6161</v>
      </c>
      <c r="D3102" t="s">
        <v>6107</v>
      </c>
      <c r="E3102" t="s">
        <v>1001</v>
      </c>
      <c r="G3102">
        <v>4529.88</v>
      </c>
      <c r="I3102">
        <v>4529.88</v>
      </c>
      <c r="J3102" t="s">
        <v>2604</v>
      </c>
    </row>
    <row r="3103" spans="1:10" ht="15" customHeight="1" x14ac:dyDescent="0.2">
      <c r="A3103" s="420">
        <v>45888</v>
      </c>
      <c r="B3103" t="s">
        <v>2333</v>
      </c>
      <c r="C3103" t="s">
        <v>6161</v>
      </c>
      <c r="D3103" t="s">
        <v>6192</v>
      </c>
      <c r="E3103" t="s">
        <v>6193</v>
      </c>
      <c r="F3103">
        <v>4531</v>
      </c>
      <c r="H3103">
        <v>1.1200000000000001</v>
      </c>
      <c r="J3103" t="s">
        <v>2604</v>
      </c>
    </row>
    <row r="3104" spans="1:10" ht="15" customHeight="1" x14ac:dyDescent="0.2">
      <c r="A3104" s="420">
        <v>45888</v>
      </c>
      <c r="B3104" t="s">
        <v>2517</v>
      </c>
      <c r="C3104" t="s">
        <v>6161</v>
      </c>
      <c r="D3104" t="s">
        <v>6194</v>
      </c>
      <c r="E3104" t="s">
        <v>827</v>
      </c>
      <c r="G3104">
        <v>1.1200000000000001</v>
      </c>
      <c r="J3104" t="s">
        <v>2604</v>
      </c>
    </row>
    <row r="3105" spans="1:10" ht="15" customHeight="1" x14ac:dyDescent="0.2">
      <c r="A3105" s="420">
        <v>45900</v>
      </c>
      <c r="B3105" t="s">
        <v>6077</v>
      </c>
      <c r="C3105" t="s">
        <v>6161</v>
      </c>
      <c r="D3105" t="s">
        <v>6112</v>
      </c>
      <c r="E3105" t="s">
        <v>1012</v>
      </c>
      <c r="G3105">
        <v>4427.2700000000004</v>
      </c>
      <c r="I3105">
        <v>4427.2700000000004</v>
      </c>
      <c r="J3105" t="s">
        <v>2599</v>
      </c>
    </row>
    <row r="3106" spans="1:10" ht="15" customHeight="1" x14ac:dyDescent="0.2">
      <c r="A3106" s="420">
        <v>45916</v>
      </c>
      <c r="B3106" t="s">
        <v>2333</v>
      </c>
      <c r="C3106" t="s">
        <v>6161</v>
      </c>
      <c r="D3106" t="s">
        <v>6195</v>
      </c>
      <c r="E3106" t="s">
        <v>6196</v>
      </c>
      <c r="F3106">
        <v>4428</v>
      </c>
      <c r="H3106">
        <v>0.73</v>
      </c>
      <c r="J3106" t="s">
        <v>2599</v>
      </c>
    </row>
    <row r="3107" spans="1:10" ht="15" customHeight="1" x14ac:dyDescent="0.2">
      <c r="A3107" s="420">
        <v>45916</v>
      </c>
      <c r="B3107" t="s">
        <v>2517</v>
      </c>
      <c r="C3107" t="s">
        <v>6161</v>
      </c>
      <c r="D3107" t="s">
        <v>6197</v>
      </c>
      <c r="E3107" t="s">
        <v>827</v>
      </c>
      <c r="G3107">
        <v>0.73</v>
      </c>
      <c r="J3107" t="s">
        <v>2599</v>
      </c>
    </row>
    <row r="3108" spans="1:10" ht="15" customHeight="1" x14ac:dyDescent="0.2">
      <c r="A3108" s="420">
        <v>45930</v>
      </c>
      <c r="B3108" t="s">
        <v>6077</v>
      </c>
      <c r="C3108" t="s">
        <v>6161</v>
      </c>
      <c r="D3108" t="s">
        <v>6119</v>
      </c>
      <c r="E3108" t="s">
        <v>1021</v>
      </c>
      <c r="G3108">
        <v>4460.8999999999996</v>
      </c>
      <c r="I3108">
        <v>4460.8999999999996</v>
      </c>
      <c r="J3108" t="s">
        <v>2600</v>
      </c>
    </row>
    <row r="3109" spans="1:10" ht="15" customHeight="1" x14ac:dyDescent="0.2">
      <c r="A3109" s="420">
        <v>45946</v>
      </c>
      <c r="B3109" t="s">
        <v>2333</v>
      </c>
      <c r="C3109" t="s">
        <v>6161</v>
      </c>
      <c r="D3109" t="s">
        <v>6198</v>
      </c>
      <c r="E3109" t="s">
        <v>6199</v>
      </c>
      <c r="F3109">
        <v>4462</v>
      </c>
      <c r="H3109">
        <v>1.1000000000000001</v>
      </c>
      <c r="J3109" t="s">
        <v>2600</v>
      </c>
    </row>
    <row r="3110" spans="1:10" ht="15" customHeight="1" x14ac:dyDescent="0.2">
      <c r="A3110" s="420">
        <v>45946</v>
      </c>
      <c r="B3110" t="s">
        <v>2517</v>
      </c>
      <c r="C3110" t="s">
        <v>6161</v>
      </c>
      <c r="D3110" t="s">
        <v>6200</v>
      </c>
      <c r="E3110" t="s">
        <v>827</v>
      </c>
      <c r="G3110">
        <v>1.1000000000000001</v>
      </c>
      <c r="J3110" t="s">
        <v>2600</v>
      </c>
    </row>
    <row r="3111" spans="1:10" ht="15" customHeight="1" x14ac:dyDescent="0.2">
      <c r="A3111" s="420">
        <v>45961</v>
      </c>
      <c r="B3111" t="s">
        <v>6077</v>
      </c>
      <c r="C3111" t="s">
        <v>6161</v>
      </c>
      <c r="D3111" t="s">
        <v>6128</v>
      </c>
      <c r="E3111" t="s">
        <v>1033</v>
      </c>
      <c r="G3111">
        <v>5373.38</v>
      </c>
      <c r="I3111">
        <v>5373.38</v>
      </c>
      <c r="J3111" t="s">
        <v>2601</v>
      </c>
    </row>
    <row r="3112" spans="1:10" ht="15" customHeight="1" x14ac:dyDescent="0.2">
      <c r="A3112" s="420">
        <v>45979</v>
      </c>
      <c r="B3112" t="s">
        <v>2333</v>
      </c>
      <c r="C3112" t="s">
        <v>6161</v>
      </c>
      <c r="D3112" t="s">
        <v>6201</v>
      </c>
      <c r="E3112" t="s">
        <v>6202</v>
      </c>
      <c r="F3112">
        <v>5374</v>
      </c>
      <c r="H3112">
        <v>0.62</v>
      </c>
      <c r="J3112" t="s">
        <v>2601</v>
      </c>
    </row>
    <row r="3113" spans="1:10" ht="15" customHeight="1" x14ac:dyDescent="0.2">
      <c r="A3113" s="420">
        <v>45991</v>
      </c>
      <c r="B3113" t="s">
        <v>6077</v>
      </c>
      <c r="C3113" t="s">
        <v>6161</v>
      </c>
      <c r="D3113" t="s">
        <v>6137</v>
      </c>
      <c r="E3113" t="s">
        <v>1042</v>
      </c>
      <c r="G3113">
        <v>5176.84</v>
      </c>
      <c r="I3113">
        <v>5176.22</v>
      </c>
      <c r="J3113" t="s">
        <v>2601</v>
      </c>
    </row>
    <row r="3114" spans="1:10" ht="15" customHeight="1" x14ac:dyDescent="0.2">
      <c r="A3114" s="420">
        <v>46007</v>
      </c>
      <c r="B3114" t="s">
        <v>2333</v>
      </c>
      <c r="C3114" t="s">
        <v>6161</v>
      </c>
      <c r="D3114" t="s">
        <v>6203</v>
      </c>
      <c r="E3114" t="s">
        <v>6204</v>
      </c>
      <c r="F3114">
        <v>5177</v>
      </c>
      <c r="H3114">
        <v>0.78</v>
      </c>
      <c r="J3114" t="s">
        <v>2601</v>
      </c>
    </row>
    <row r="3115" spans="1:10" ht="15" customHeight="1" x14ac:dyDescent="0.2">
      <c r="A3115" s="420">
        <v>46007</v>
      </c>
      <c r="B3115" t="s">
        <v>2517</v>
      </c>
      <c r="C3115" t="s">
        <v>6161</v>
      </c>
      <c r="D3115" t="s">
        <v>6205</v>
      </c>
      <c r="E3115" t="s">
        <v>827</v>
      </c>
      <c r="G3115">
        <v>0.78</v>
      </c>
      <c r="J3115" t="s">
        <v>2601</v>
      </c>
    </row>
    <row r="3116" spans="1:10" ht="15" customHeight="1" x14ac:dyDescent="0.2">
      <c r="A3116" s="420">
        <v>46022</v>
      </c>
      <c r="B3116" t="s">
        <v>6077</v>
      </c>
      <c r="C3116" t="s">
        <v>6161</v>
      </c>
      <c r="D3116" t="s">
        <v>6144</v>
      </c>
      <c r="E3116" t="s">
        <v>1053</v>
      </c>
      <c r="G3116">
        <v>2421.61</v>
      </c>
      <c r="I3116">
        <v>2421.61</v>
      </c>
      <c r="J3116" t="s">
        <v>2511</v>
      </c>
    </row>
    <row r="3117" spans="1:10" ht="15" customHeight="1" x14ac:dyDescent="0.2">
      <c r="A3117" t="s">
        <v>6161</v>
      </c>
      <c r="E3117" t="s">
        <v>349</v>
      </c>
      <c r="F3117">
        <v>48284.46</v>
      </c>
      <c r="G3117">
        <v>50706.07</v>
      </c>
      <c r="I3117">
        <v>2421.61</v>
      </c>
    </row>
    <row r="3119" spans="1:10" ht="15" customHeight="1" x14ac:dyDescent="0.2">
      <c r="A3119" t="s">
        <v>6206</v>
      </c>
      <c r="B3119" t="s">
        <v>6207</v>
      </c>
      <c r="F3119" t="s">
        <v>2430</v>
      </c>
      <c r="G3119" t="s">
        <v>2431</v>
      </c>
      <c r="H3119" t="s">
        <v>2432</v>
      </c>
      <c r="I3119" t="s">
        <v>2433</v>
      </c>
      <c r="J3119" t="s">
        <v>2434</v>
      </c>
    </row>
    <row r="3120" spans="1:10" ht="15" customHeight="1" x14ac:dyDescent="0.2">
      <c r="A3120" s="420">
        <v>45658</v>
      </c>
      <c r="B3120" t="s">
        <v>2435</v>
      </c>
      <c r="C3120" t="s">
        <v>6206</v>
      </c>
      <c r="D3120" t="s">
        <v>2436</v>
      </c>
      <c r="E3120" t="s">
        <v>6208</v>
      </c>
      <c r="G3120">
        <v>88.09</v>
      </c>
      <c r="I3120">
        <v>88.09</v>
      </c>
      <c r="J3120" t="s">
        <v>2511</v>
      </c>
    </row>
    <row r="3121" spans="1:10" ht="15" customHeight="1" x14ac:dyDescent="0.2">
      <c r="A3121" s="420">
        <v>45658</v>
      </c>
      <c r="B3121" t="s">
        <v>2435</v>
      </c>
      <c r="C3121" t="s">
        <v>6206</v>
      </c>
      <c r="D3121" t="s">
        <v>2436</v>
      </c>
      <c r="E3121" t="s">
        <v>6209</v>
      </c>
      <c r="G3121">
        <v>80.81</v>
      </c>
      <c r="I3121">
        <v>168.9</v>
      </c>
      <c r="J3121" t="s">
        <v>2511</v>
      </c>
    </row>
    <row r="3122" spans="1:10" ht="15" customHeight="1" x14ac:dyDescent="0.2">
      <c r="A3122" s="420">
        <v>45658</v>
      </c>
      <c r="B3122" t="s">
        <v>2435</v>
      </c>
      <c r="C3122" t="s">
        <v>6206</v>
      </c>
      <c r="D3122" t="s">
        <v>2436</v>
      </c>
      <c r="E3122" t="s">
        <v>6071</v>
      </c>
      <c r="G3122">
        <v>39.08</v>
      </c>
      <c r="I3122">
        <v>207.98</v>
      </c>
      <c r="J3122" t="s">
        <v>2511</v>
      </c>
    </row>
    <row r="3123" spans="1:10" ht="15" customHeight="1" x14ac:dyDescent="0.2">
      <c r="A3123" s="420">
        <v>45658</v>
      </c>
      <c r="B3123" t="s">
        <v>2435</v>
      </c>
      <c r="C3123" t="s">
        <v>6206</v>
      </c>
      <c r="D3123" t="s">
        <v>2436</v>
      </c>
      <c r="E3123" t="s">
        <v>6210</v>
      </c>
      <c r="G3123">
        <v>43.21</v>
      </c>
      <c r="I3123">
        <v>251.19</v>
      </c>
      <c r="J3123" t="s">
        <v>2511</v>
      </c>
    </row>
    <row r="3124" spans="1:10" ht="15" customHeight="1" x14ac:dyDescent="0.2">
      <c r="A3124" s="420">
        <v>45680</v>
      </c>
      <c r="B3124" t="s">
        <v>2333</v>
      </c>
      <c r="C3124" t="s">
        <v>6206</v>
      </c>
      <c r="D3124" t="s">
        <v>6211</v>
      </c>
      <c r="E3124" t="s">
        <v>6212</v>
      </c>
      <c r="F3124">
        <v>251.19</v>
      </c>
      <c r="J3124" t="s">
        <v>2511</v>
      </c>
    </row>
    <row r="3125" spans="1:10" ht="15" customHeight="1" x14ac:dyDescent="0.2">
      <c r="A3125" s="420">
        <v>45688</v>
      </c>
      <c r="B3125" t="s">
        <v>6077</v>
      </c>
      <c r="C3125" t="s">
        <v>6206</v>
      </c>
      <c r="E3125" t="s">
        <v>951</v>
      </c>
      <c r="G3125">
        <v>41.64</v>
      </c>
      <c r="I3125">
        <v>41.64</v>
      </c>
      <c r="J3125" t="s">
        <v>2509</v>
      </c>
    </row>
    <row r="3126" spans="1:10" ht="15" customHeight="1" x14ac:dyDescent="0.2">
      <c r="A3126" s="420">
        <v>45716</v>
      </c>
      <c r="B3126" t="s">
        <v>6077</v>
      </c>
      <c r="C3126" t="s">
        <v>6206</v>
      </c>
      <c r="D3126" t="s">
        <v>6082</v>
      </c>
      <c r="E3126" t="s">
        <v>6213</v>
      </c>
      <c r="G3126">
        <v>31.92</v>
      </c>
      <c r="I3126">
        <v>73.56</v>
      </c>
      <c r="J3126" t="s">
        <v>2509</v>
      </c>
    </row>
    <row r="3127" spans="1:10" ht="15" customHeight="1" x14ac:dyDescent="0.2">
      <c r="A3127" s="420">
        <v>45747</v>
      </c>
      <c r="B3127" t="s">
        <v>6077</v>
      </c>
      <c r="C3127" t="s">
        <v>6206</v>
      </c>
      <c r="D3127" t="s">
        <v>6087</v>
      </c>
      <c r="E3127" t="s">
        <v>964</v>
      </c>
      <c r="G3127">
        <v>67.7</v>
      </c>
      <c r="I3127">
        <v>141.26</v>
      </c>
      <c r="J3127" t="s">
        <v>2509</v>
      </c>
    </row>
    <row r="3128" spans="1:10" ht="15" customHeight="1" x14ac:dyDescent="0.2">
      <c r="A3128" s="420">
        <v>45771</v>
      </c>
      <c r="B3128" t="s">
        <v>2333</v>
      </c>
      <c r="C3128" t="s">
        <v>6206</v>
      </c>
      <c r="D3128" t="s">
        <v>6214</v>
      </c>
      <c r="E3128" t="s">
        <v>6215</v>
      </c>
      <c r="F3128">
        <v>141.26</v>
      </c>
      <c r="J3128" t="s">
        <v>2509</v>
      </c>
    </row>
    <row r="3129" spans="1:10" ht="15" customHeight="1" x14ac:dyDescent="0.2">
      <c r="A3129" s="420">
        <v>45777</v>
      </c>
      <c r="B3129" t="s">
        <v>6077</v>
      </c>
      <c r="C3129" t="s">
        <v>6206</v>
      </c>
      <c r="D3129" t="s">
        <v>6092</v>
      </c>
      <c r="E3129" t="s">
        <v>971</v>
      </c>
      <c r="G3129">
        <v>80</v>
      </c>
      <c r="I3129">
        <v>80</v>
      </c>
      <c r="J3129" t="s">
        <v>2513</v>
      </c>
    </row>
    <row r="3130" spans="1:10" ht="15" customHeight="1" x14ac:dyDescent="0.2">
      <c r="A3130" s="420">
        <v>45808</v>
      </c>
      <c r="B3130" t="s">
        <v>6077</v>
      </c>
      <c r="C3130" t="s">
        <v>6206</v>
      </c>
      <c r="D3130" t="s">
        <v>6097</v>
      </c>
      <c r="E3130" t="s">
        <v>979</v>
      </c>
      <c r="G3130">
        <v>51.06</v>
      </c>
      <c r="I3130">
        <v>131.06</v>
      </c>
      <c r="J3130" t="s">
        <v>2513</v>
      </c>
    </row>
    <row r="3131" spans="1:10" ht="15" customHeight="1" x14ac:dyDescent="0.2">
      <c r="A3131" s="420">
        <v>45838</v>
      </c>
      <c r="B3131" t="s">
        <v>6077</v>
      </c>
      <c r="C3131" t="s">
        <v>6206</v>
      </c>
      <c r="D3131" t="s">
        <v>6102</v>
      </c>
      <c r="E3131" t="s">
        <v>989</v>
      </c>
      <c r="G3131">
        <v>59.7</v>
      </c>
      <c r="I3131">
        <v>190.76</v>
      </c>
      <c r="J3131" t="s">
        <v>2513</v>
      </c>
    </row>
    <row r="3132" spans="1:10" ht="15" customHeight="1" x14ac:dyDescent="0.2">
      <c r="A3132" s="420">
        <v>45860</v>
      </c>
      <c r="B3132" t="s">
        <v>2333</v>
      </c>
      <c r="C3132" t="s">
        <v>6206</v>
      </c>
      <c r="D3132" t="s">
        <v>6216</v>
      </c>
      <c r="E3132" t="s">
        <v>6217</v>
      </c>
      <c r="F3132">
        <v>190.76</v>
      </c>
      <c r="J3132" t="s">
        <v>2513</v>
      </c>
    </row>
    <row r="3133" spans="1:10" ht="15" customHeight="1" x14ac:dyDescent="0.2">
      <c r="A3133" s="420">
        <v>45869</v>
      </c>
      <c r="B3133" t="s">
        <v>6077</v>
      </c>
      <c r="C3133" t="s">
        <v>6206</v>
      </c>
      <c r="D3133" t="s">
        <v>6107</v>
      </c>
      <c r="E3133" t="s">
        <v>989</v>
      </c>
      <c r="G3133">
        <v>87.52</v>
      </c>
      <c r="I3133">
        <v>87.52</v>
      </c>
      <c r="J3133" t="s">
        <v>2585</v>
      </c>
    </row>
    <row r="3134" spans="1:10" ht="15" customHeight="1" x14ac:dyDescent="0.2">
      <c r="A3134" s="420">
        <v>45900</v>
      </c>
      <c r="B3134" t="s">
        <v>6077</v>
      </c>
      <c r="C3134" t="s">
        <v>6206</v>
      </c>
      <c r="D3134" t="s">
        <v>6112</v>
      </c>
      <c r="E3134" t="s">
        <v>6218</v>
      </c>
      <c r="G3134">
        <v>71.62</v>
      </c>
      <c r="I3134">
        <v>159.13999999999999</v>
      </c>
      <c r="J3134" t="s">
        <v>2585</v>
      </c>
    </row>
    <row r="3135" spans="1:10" ht="15" customHeight="1" x14ac:dyDescent="0.2">
      <c r="A3135" s="420">
        <v>45930</v>
      </c>
      <c r="B3135" t="s">
        <v>6077</v>
      </c>
      <c r="C3135" t="s">
        <v>6206</v>
      </c>
      <c r="D3135" t="s">
        <v>6119</v>
      </c>
      <c r="E3135" t="s">
        <v>6219</v>
      </c>
      <c r="G3135">
        <v>84.96</v>
      </c>
      <c r="I3135">
        <v>244.1</v>
      </c>
      <c r="J3135" t="s">
        <v>2585</v>
      </c>
    </row>
    <row r="3136" spans="1:10" ht="15" customHeight="1" x14ac:dyDescent="0.2">
      <c r="A3136" s="420">
        <v>45953</v>
      </c>
      <c r="B3136" t="s">
        <v>2333</v>
      </c>
      <c r="C3136" t="s">
        <v>6206</v>
      </c>
      <c r="D3136" t="s">
        <v>6220</v>
      </c>
      <c r="E3136" t="s">
        <v>6221</v>
      </c>
      <c r="F3136">
        <v>244.1</v>
      </c>
      <c r="J3136" t="s">
        <v>2585</v>
      </c>
    </row>
    <row r="3137" spans="1:10" ht="15" customHeight="1" x14ac:dyDescent="0.2">
      <c r="A3137" s="420">
        <v>45961</v>
      </c>
      <c r="B3137" t="s">
        <v>6077</v>
      </c>
      <c r="C3137" t="s">
        <v>6206</v>
      </c>
      <c r="D3137" t="s">
        <v>6128</v>
      </c>
      <c r="E3137" t="s">
        <v>1035</v>
      </c>
      <c r="G3137">
        <v>81.099999999999994</v>
      </c>
      <c r="I3137">
        <v>81.099999999999994</v>
      </c>
      <c r="J3137" t="s">
        <v>2511</v>
      </c>
    </row>
    <row r="3138" spans="1:10" ht="15" customHeight="1" x14ac:dyDescent="0.2">
      <c r="A3138" s="420">
        <v>45991</v>
      </c>
      <c r="B3138" t="s">
        <v>6077</v>
      </c>
      <c r="C3138" t="s">
        <v>6206</v>
      </c>
      <c r="D3138" t="s">
        <v>6137</v>
      </c>
      <c r="E3138" t="s">
        <v>1044</v>
      </c>
      <c r="G3138">
        <v>58.5</v>
      </c>
      <c r="I3138">
        <v>139.6</v>
      </c>
      <c r="J3138" t="s">
        <v>2511</v>
      </c>
    </row>
    <row r="3139" spans="1:10" ht="15" customHeight="1" x14ac:dyDescent="0.2">
      <c r="A3139" s="420">
        <v>46022</v>
      </c>
      <c r="B3139" t="s">
        <v>6077</v>
      </c>
      <c r="C3139" t="s">
        <v>6206</v>
      </c>
      <c r="D3139" t="s">
        <v>6144</v>
      </c>
      <c r="E3139" t="s">
        <v>1055</v>
      </c>
      <c r="G3139">
        <v>52.28</v>
      </c>
      <c r="I3139">
        <v>191.88</v>
      </c>
      <c r="J3139" t="s">
        <v>2511</v>
      </c>
    </row>
    <row r="3140" spans="1:10" ht="15" customHeight="1" x14ac:dyDescent="0.2">
      <c r="A3140" t="s">
        <v>6206</v>
      </c>
      <c r="E3140" t="s">
        <v>349</v>
      </c>
      <c r="F3140">
        <v>827.31</v>
      </c>
      <c r="G3140">
        <v>1019.19</v>
      </c>
      <c r="I3140">
        <v>191.88</v>
      </c>
    </row>
    <row r="3142" spans="1:10" ht="15" customHeight="1" x14ac:dyDescent="0.2">
      <c r="A3142" t="s">
        <v>6222</v>
      </c>
      <c r="B3142" t="s">
        <v>6223</v>
      </c>
      <c r="F3142" t="s">
        <v>2430</v>
      </c>
      <c r="G3142" t="s">
        <v>2431</v>
      </c>
      <c r="H3142" t="s">
        <v>2432</v>
      </c>
      <c r="I3142" t="s">
        <v>2433</v>
      </c>
      <c r="J3142" t="s">
        <v>2434</v>
      </c>
    </row>
    <row r="3143" spans="1:10" ht="15" customHeight="1" x14ac:dyDescent="0.2">
      <c r="A3143" s="420">
        <v>45808</v>
      </c>
      <c r="B3143" t="s">
        <v>6077</v>
      </c>
      <c r="C3143" t="s">
        <v>6222</v>
      </c>
      <c r="D3143" t="s">
        <v>6097</v>
      </c>
      <c r="E3143" t="s">
        <v>981</v>
      </c>
      <c r="G3143">
        <v>59</v>
      </c>
      <c r="I3143">
        <v>59</v>
      </c>
      <c r="J3143" t="s">
        <v>2509</v>
      </c>
    </row>
    <row r="3144" spans="1:10" ht="15" customHeight="1" x14ac:dyDescent="0.2">
      <c r="A3144" s="420">
        <v>45838</v>
      </c>
      <c r="B3144" t="s">
        <v>6077</v>
      </c>
      <c r="C3144" t="s">
        <v>6222</v>
      </c>
      <c r="D3144" t="s">
        <v>6102</v>
      </c>
      <c r="E3144" t="s">
        <v>991</v>
      </c>
      <c r="G3144">
        <v>59</v>
      </c>
      <c r="I3144">
        <v>118</v>
      </c>
      <c r="J3144" t="s">
        <v>2509</v>
      </c>
    </row>
    <row r="3145" spans="1:10" ht="15" customHeight="1" x14ac:dyDescent="0.2">
      <c r="A3145" s="420">
        <v>45869</v>
      </c>
      <c r="B3145" t="s">
        <v>6077</v>
      </c>
      <c r="C3145" t="s">
        <v>6222</v>
      </c>
      <c r="D3145" t="s">
        <v>6107</v>
      </c>
      <c r="E3145" t="s">
        <v>991</v>
      </c>
      <c r="G3145">
        <v>59</v>
      </c>
      <c r="I3145">
        <v>177</v>
      </c>
      <c r="J3145" t="s">
        <v>2509</v>
      </c>
    </row>
    <row r="3146" spans="1:10" ht="15" customHeight="1" x14ac:dyDescent="0.2">
      <c r="A3146" s="420">
        <v>45900</v>
      </c>
      <c r="B3146" t="s">
        <v>6077</v>
      </c>
      <c r="C3146" t="s">
        <v>6222</v>
      </c>
      <c r="D3146" t="s">
        <v>6112</v>
      </c>
      <c r="E3146" t="s">
        <v>1016</v>
      </c>
      <c r="G3146">
        <v>118</v>
      </c>
      <c r="I3146">
        <v>295</v>
      </c>
      <c r="J3146" t="s">
        <v>2509</v>
      </c>
    </row>
    <row r="3147" spans="1:10" ht="15" customHeight="1" x14ac:dyDescent="0.2">
      <c r="A3147" s="420">
        <v>45930</v>
      </c>
      <c r="B3147" t="s">
        <v>6077</v>
      </c>
      <c r="C3147" t="s">
        <v>6222</v>
      </c>
      <c r="D3147" t="s">
        <v>6119</v>
      </c>
      <c r="E3147" t="s">
        <v>1025</v>
      </c>
      <c r="G3147">
        <v>118</v>
      </c>
      <c r="I3147">
        <v>413</v>
      </c>
      <c r="J3147" t="s">
        <v>2509</v>
      </c>
    </row>
    <row r="3148" spans="1:10" ht="15" customHeight="1" x14ac:dyDescent="0.2">
      <c r="A3148" s="420">
        <v>45951</v>
      </c>
      <c r="B3148" t="s">
        <v>2333</v>
      </c>
      <c r="C3148" t="s">
        <v>6222</v>
      </c>
      <c r="D3148" t="s">
        <v>6224</v>
      </c>
      <c r="E3148" t="s">
        <v>6225</v>
      </c>
      <c r="F3148">
        <v>413</v>
      </c>
      <c r="J3148" t="s">
        <v>2509</v>
      </c>
    </row>
    <row r="3149" spans="1:10" ht="15" customHeight="1" x14ac:dyDescent="0.2">
      <c r="A3149" s="420">
        <v>45961</v>
      </c>
      <c r="B3149" t="s">
        <v>6077</v>
      </c>
      <c r="C3149" t="s">
        <v>6222</v>
      </c>
      <c r="D3149" t="s">
        <v>6128</v>
      </c>
      <c r="E3149" t="s">
        <v>1037</v>
      </c>
      <c r="G3149">
        <v>118</v>
      </c>
      <c r="I3149">
        <v>118</v>
      </c>
      <c r="J3149" t="s">
        <v>2509</v>
      </c>
    </row>
    <row r="3150" spans="1:10" ht="15" customHeight="1" x14ac:dyDescent="0.2">
      <c r="A3150" s="420">
        <v>45991</v>
      </c>
      <c r="B3150" t="s">
        <v>6077</v>
      </c>
      <c r="C3150" t="s">
        <v>6222</v>
      </c>
      <c r="D3150" t="s">
        <v>6137</v>
      </c>
      <c r="E3150" t="s">
        <v>1046</v>
      </c>
      <c r="G3150">
        <v>118</v>
      </c>
      <c r="I3150">
        <v>236</v>
      </c>
      <c r="J3150" t="s">
        <v>2511</v>
      </c>
    </row>
    <row r="3151" spans="1:10" ht="15" customHeight="1" x14ac:dyDescent="0.2">
      <c r="A3151" s="420">
        <v>46020</v>
      </c>
      <c r="B3151" t="s">
        <v>2333</v>
      </c>
      <c r="C3151" t="s">
        <v>6222</v>
      </c>
      <c r="D3151" t="s">
        <v>6226</v>
      </c>
      <c r="E3151" t="s">
        <v>6227</v>
      </c>
      <c r="F3151">
        <v>118</v>
      </c>
      <c r="I3151">
        <v>118</v>
      </c>
      <c r="J3151" t="s">
        <v>2511</v>
      </c>
    </row>
    <row r="3152" spans="1:10" ht="15" customHeight="1" x14ac:dyDescent="0.2">
      <c r="A3152" s="420">
        <v>46022</v>
      </c>
      <c r="B3152" t="s">
        <v>6077</v>
      </c>
      <c r="C3152" t="s">
        <v>6222</v>
      </c>
      <c r="D3152" t="s">
        <v>6144</v>
      </c>
      <c r="E3152" t="s">
        <v>1057</v>
      </c>
      <c r="G3152">
        <v>118</v>
      </c>
      <c r="I3152">
        <v>236</v>
      </c>
      <c r="J3152" t="s">
        <v>2511</v>
      </c>
    </row>
    <row r="3153" spans="1:10" ht="15" customHeight="1" x14ac:dyDescent="0.2">
      <c r="A3153" t="s">
        <v>6222</v>
      </c>
      <c r="E3153" t="s">
        <v>349</v>
      </c>
      <c r="F3153">
        <v>531</v>
      </c>
      <c r="G3153">
        <v>767</v>
      </c>
      <c r="I3153">
        <v>236</v>
      </c>
    </row>
    <row r="3155" spans="1:10" ht="15" customHeight="1" x14ac:dyDescent="0.2">
      <c r="A3155" t="s">
        <v>6228</v>
      </c>
      <c r="B3155" t="s">
        <v>6229</v>
      </c>
      <c r="F3155" t="s">
        <v>2430</v>
      </c>
      <c r="G3155" t="s">
        <v>2431</v>
      </c>
      <c r="H3155" t="s">
        <v>2432</v>
      </c>
      <c r="I3155" t="s">
        <v>2433</v>
      </c>
      <c r="J3155" t="s">
        <v>2434</v>
      </c>
    </row>
    <row r="3156" spans="1:10" ht="15" customHeight="1" x14ac:dyDescent="0.2">
      <c r="A3156" s="420">
        <v>45688</v>
      </c>
      <c r="B3156" t="s">
        <v>6077</v>
      </c>
      <c r="C3156" t="s">
        <v>6228</v>
      </c>
      <c r="E3156" t="s">
        <v>951</v>
      </c>
      <c r="G3156">
        <v>1.1299999999999999</v>
      </c>
      <c r="I3156">
        <v>1.1299999999999999</v>
      </c>
    </row>
    <row r="3157" spans="1:10" ht="15" customHeight="1" x14ac:dyDescent="0.2">
      <c r="A3157" s="420">
        <v>45716</v>
      </c>
      <c r="B3157" t="s">
        <v>6077</v>
      </c>
      <c r="C3157" t="s">
        <v>6228</v>
      </c>
      <c r="D3157" t="s">
        <v>6082</v>
      </c>
      <c r="E3157" t="s">
        <v>6230</v>
      </c>
      <c r="G3157">
        <v>0.86</v>
      </c>
      <c r="I3157">
        <v>1.99</v>
      </c>
    </row>
    <row r="3158" spans="1:10" ht="15" customHeight="1" x14ac:dyDescent="0.2">
      <c r="A3158" s="420">
        <v>45747</v>
      </c>
      <c r="B3158" t="s">
        <v>6077</v>
      </c>
      <c r="C3158" t="s">
        <v>6228</v>
      </c>
      <c r="D3158" t="s">
        <v>6087</v>
      </c>
      <c r="E3158" t="s">
        <v>964</v>
      </c>
      <c r="G3158">
        <v>1.83</v>
      </c>
      <c r="I3158">
        <v>3.82</v>
      </c>
    </row>
    <row r="3159" spans="1:10" ht="15" customHeight="1" x14ac:dyDescent="0.2">
      <c r="A3159" s="420">
        <v>45777</v>
      </c>
      <c r="B3159" t="s">
        <v>6077</v>
      </c>
      <c r="C3159" t="s">
        <v>6228</v>
      </c>
      <c r="D3159" t="s">
        <v>6092</v>
      </c>
      <c r="E3159" t="s">
        <v>972</v>
      </c>
      <c r="G3159">
        <v>1.97</v>
      </c>
      <c r="I3159">
        <v>5.79</v>
      </c>
    </row>
    <row r="3160" spans="1:10" ht="15" customHeight="1" x14ac:dyDescent="0.2">
      <c r="A3160" s="420">
        <v>45808</v>
      </c>
      <c r="B3160" t="s">
        <v>6077</v>
      </c>
      <c r="C3160" t="s">
        <v>6228</v>
      </c>
      <c r="D3160" t="s">
        <v>6097</v>
      </c>
      <c r="E3160" t="s">
        <v>980</v>
      </c>
      <c r="G3160">
        <v>1.47</v>
      </c>
      <c r="I3160">
        <v>7.26</v>
      </c>
    </row>
    <row r="3161" spans="1:10" ht="15" customHeight="1" x14ac:dyDescent="0.2">
      <c r="A3161" s="420">
        <v>45838</v>
      </c>
      <c r="B3161" t="s">
        <v>6077</v>
      </c>
      <c r="C3161" t="s">
        <v>6228</v>
      </c>
      <c r="D3161" t="s">
        <v>6102</v>
      </c>
      <c r="E3161" t="s">
        <v>990</v>
      </c>
      <c r="G3161">
        <v>1.55</v>
      </c>
      <c r="I3161">
        <v>8.81</v>
      </c>
    </row>
    <row r="3162" spans="1:10" ht="15" customHeight="1" x14ac:dyDescent="0.2">
      <c r="A3162" s="420">
        <v>45839</v>
      </c>
      <c r="B3162" t="s">
        <v>2517</v>
      </c>
      <c r="C3162" t="s">
        <v>6228</v>
      </c>
      <c r="D3162" t="s">
        <v>6231</v>
      </c>
      <c r="E3162" t="s">
        <v>995</v>
      </c>
      <c r="F3162">
        <v>8.81</v>
      </c>
    </row>
    <row r="3163" spans="1:10" ht="15" customHeight="1" x14ac:dyDescent="0.2">
      <c r="A3163" t="s">
        <v>6228</v>
      </c>
      <c r="E3163" t="s">
        <v>349</v>
      </c>
      <c r="F3163">
        <v>8.81</v>
      </c>
      <c r="G3163">
        <v>8.81</v>
      </c>
    </row>
    <row r="3165" spans="1:10" ht="15" customHeight="1" x14ac:dyDescent="0.2">
      <c r="A3165" t="s">
        <v>6232</v>
      </c>
      <c r="B3165" t="s">
        <v>6233</v>
      </c>
      <c r="F3165" t="s">
        <v>2430</v>
      </c>
      <c r="G3165" t="s">
        <v>2431</v>
      </c>
      <c r="H3165" t="s">
        <v>2432</v>
      </c>
      <c r="I3165" t="s">
        <v>2433</v>
      </c>
      <c r="J3165" t="s">
        <v>2434</v>
      </c>
    </row>
    <row r="3166" spans="1:10" ht="15" customHeight="1" x14ac:dyDescent="0.2">
      <c r="A3166" s="420">
        <v>45658</v>
      </c>
      <c r="B3166" t="s">
        <v>2435</v>
      </c>
      <c r="C3166" t="s">
        <v>6232</v>
      </c>
      <c r="D3166" t="s">
        <v>2436</v>
      </c>
      <c r="E3166" t="s">
        <v>6071</v>
      </c>
      <c r="G3166">
        <v>731.02</v>
      </c>
      <c r="I3166">
        <v>731.02</v>
      </c>
      <c r="J3166" t="s">
        <v>2511</v>
      </c>
    </row>
    <row r="3167" spans="1:10" ht="15" customHeight="1" x14ac:dyDescent="0.2">
      <c r="A3167" s="420">
        <v>45684</v>
      </c>
      <c r="B3167" t="s">
        <v>2333</v>
      </c>
      <c r="C3167" t="s">
        <v>6232</v>
      </c>
      <c r="D3167" t="s">
        <v>6234</v>
      </c>
      <c r="E3167" t="s">
        <v>6235</v>
      </c>
      <c r="F3167">
        <v>731.02</v>
      </c>
      <c r="J3167" t="s">
        <v>2511</v>
      </c>
    </row>
    <row r="3168" spans="1:10" ht="15" customHeight="1" x14ac:dyDescent="0.2">
      <c r="A3168" s="420">
        <v>45688</v>
      </c>
      <c r="B3168" t="s">
        <v>6077</v>
      </c>
      <c r="C3168" t="s">
        <v>6232</v>
      </c>
      <c r="E3168" t="s">
        <v>951</v>
      </c>
      <c r="G3168">
        <v>523.14</v>
      </c>
      <c r="I3168">
        <v>523.14</v>
      </c>
      <c r="J3168" t="s">
        <v>2509</v>
      </c>
    </row>
    <row r="3169" spans="1:10" ht="15" customHeight="1" x14ac:dyDescent="0.2">
      <c r="A3169" s="420">
        <v>45713</v>
      </c>
      <c r="B3169" t="s">
        <v>2333</v>
      </c>
      <c r="C3169" t="s">
        <v>6232</v>
      </c>
      <c r="D3169" t="s">
        <v>6236</v>
      </c>
      <c r="E3169" t="s">
        <v>6237</v>
      </c>
      <c r="F3169">
        <v>523.14</v>
      </c>
      <c r="J3169" t="s">
        <v>2509</v>
      </c>
    </row>
    <row r="3170" spans="1:10" ht="15" customHeight="1" x14ac:dyDescent="0.2">
      <c r="A3170" s="420">
        <v>45716</v>
      </c>
      <c r="B3170" t="s">
        <v>6077</v>
      </c>
      <c r="C3170" t="s">
        <v>6232</v>
      </c>
      <c r="D3170" t="s">
        <v>6082</v>
      </c>
      <c r="E3170" t="s">
        <v>6238</v>
      </c>
      <c r="G3170">
        <v>323.94</v>
      </c>
      <c r="I3170">
        <v>323.94</v>
      </c>
      <c r="J3170" t="s">
        <v>2509</v>
      </c>
    </row>
    <row r="3171" spans="1:10" ht="15" customHeight="1" x14ac:dyDescent="0.2">
      <c r="A3171" s="420">
        <v>45741</v>
      </c>
      <c r="B3171" t="s">
        <v>2333</v>
      </c>
      <c r="C3171" t="s">
        <v>6232</v>
      </c>
      <c r="D3171" t="s">
        <v>6239</v>
      </c>
      <c r="E3171" t="s">
        <v>6240</v>
      </c>
      <c r="F3171">
        <v>323.94</v>
      </c>
      <c r="J3171" t="s">
        <v>2509</v>
      </c>
    </row>
    <row r="3172" spans="1:10" ht="15" customHeight="1" x14ac:dyDescent="0.2">
      <c r="A3172" s="420">
        <v>45747</v>
      </c>
      <c r="B3172" t="s">
        <v>6077</v>
      </c>
      <c r="C3172" t="s">
        <v>6232</v>
      </c>
      <c r="D3172" t="s">
        <v>6087</v>
      </c>
      <c r="E3172" t="s">
        <v>964</v>
      </c>
      <c r="G3172">
        <v>1008.57</v>
      </c>
      <c r="I3172">
        <v>1008.57</v>
      </c>
      <c r="J3172" t="s">
        <v>2513</v>
      </c>
    </row>
    <row r="3173" spans="1:10" ht="15" customHeight="1" x14ac:dyDescent="0.2">
      <c r="A3173" s="420">
        <v>45772</v>
      </c>
      <c r="B3173" t="s">
        <v>2333</v>
      </c>
      <c r="C3173" t="s">
        <v>6232</v>
      </c>
      <c r="D3173" t="s">
        <v>6241</v>
      </c>
      <c r="E3173" t="s">
        <v>6242</v>
      </c>
      <c r="F3173">
        <v>1008.57</v>
      </c>
      <c r="J3173" t="s">
        <v>2513</v>
      </c>
    </row>
    <row r="3174" spans="1:10" ht="15" customHeight="1" x14ac:dyDescent="0.2">
      <c r="A3174" s="420">
        <v>45777</v>
      </c>
      <c r="B3174" t="s">
        <v>6077</v>
      </c>
      <c r="C3174" t="s">
        <v>6232</v>
      </c>
      <c r="D3174" t="s">
        <v>6092</v>
      </c>
      <c r="E3174" t="s">
        <v>970</v>
      </c>
      <c r="G3174">
        <v>1368.6</v>
      </c>
      <c r="I3174">
        <v>1368.6</v>
      </c>
      <c r="J3174" t="s">
        <v>2585</v>
      </c>
    </row>
    <row r="3175" spans="1:10" ht="15" customHeight="1" x14ac:dyDescent="0.2">
      <c r="A3175" s="420">
        <v>45803</v>
      </c>
      <c r="B3175" t="s">
        <v>2333</v>
      </c>
      <c r="C3175" t="s">
        <v>6232</v>
      </c>
      <c r="D3175" t="s">
        <v>6243</v>
      </c>
      <c r="E3175" t="s">
        <v>6244</v>
      </c>
      <c r="F3175">
        <v>1368.6</v>
      </c>
      <c r="J3175" t="s">
        <v>2585</v>
      </c>
    </row>
    <row r="3176" spans="1:10" ht="15" customHeight="1" x14ac:dyDescent="0.2">
      <c r="A3176" s="420">
        <v>45808</v>
      </c>
      <c r="B3176" t="s">
        <v>6077</v>
      </c>
      <c r="C3176" t="s">
        <v>6232</v>
      </c>
      <c r="D3176" t="s">
        <v>6097</v>
      </c>
      <c r="E3176" t="s">
        <v>978</v>
      </c>
      <c r="G3176">
        <v>620.55999999999995</v>
      </c>
      <c r="I3176">
        <v>620.55999999999995</v>
      </c>
      <c r="J3176" t="s">
        <v>2586</v>
      </c>
    </row>
    <row r="3177" spans="1:10" ht="15" customHeight="1" x14ac:dyDescent="0.2">
      <c r="A3177" s="420">
        <v>45833</v>
      </c>
      <c r="B3177" t="s">
        <v>2333</v>
      </c>
      <c r="C3177" t="s">
        <v>6232</v>
      </c>
      <c r="D3177" t="s">
        <v>6245</v>
      </c>
      <c r="E3177" t="s">
        <v>6246</v>
      </c>
      <c r="F3177">
        <v>620.55999999999995</v>
      </c>
      <c r="J3177" t="s">
        <v>2586</v>
      </c>
    </row>
    <row r="3178" spans="1:10" ht="15" customHeight="1" x14ac:dyDescent="0.2">
      <c r="A3178" s="420">
        <v>45838</v>
      </c>
      <c r="B3178" t="s">
        <v>6077</v>
      </c>
      <c r="C3178" t="s">
        <v>6232</v>
      </c>
      <c r="D3178" t="s">
        <v>6102</v>
      </c>
      <c r="E3178" t="s">
        <v>988</v>
      </c>
      <c r="G3178">
        <v>877.47</v>
      </c>
      <c r="I3178">
        <v>877.47</v>
      </c>
      <c r="J3178" t="s">
        <v>2587</v>
      </c>
    </row>
    <row r="3179" spans="1:10" ht="15" customHeight="1" x14ac:dyDescent="0.2">
      <c r="A3179" s="420">
        <v>45863</v>
      </c>
      <c r="B3179" t="s">
        <v>2333</v>
      </c>
      <c r="C3179" t="s">
        <v>6232</v>
      </c>
      <c r="D3179" t="s">
        <v>6247</v>
      </c>
      <c r="E3179" t="s">
        <v>6248</v>
      </c>
      <c r="F3179">
        <v>877.47</v>
      </c>
      <c r="J3179" t="s">
        <v>2587</v>
      </c>
    </row>
    <row r="3180" spans="1:10" ht="15" customHeight="1" x14ac:dyDescent="0.2">
      <c r="A3180" s="420">
        <v>45869</v>
      </c>
      <c r="B3180" t="s">
        <v>6077</v>
      </c>
      <c r="C3180" t="s">
        <v>6232</v>
      </c>
      <c r="D3180" t="s">
        <v>6107</v>
      </c>
      <c r="E3180" t="s">
        <v>1002</v>
      </c>
      <c r="G3180">
        <v>1476</v>
      </c>
      <c r="I3180">
        <v>1476</v>
      </c>
      <c r="J3180" t="s">
        <v>2587</v>
      </c>
    </row>
    <row r="3181" spans="1:10" ht="15" customHeight="1" x14ac:dyDescent="0.2">
      <c r="A3181" s="420">
        <v>45894</v>
      </c>
      <c r="B3181" t="s">
        <v>2333</v>
      </c>
      <c r="C3181" t="s">
        <v>6232</v>
      </c>
      <c r="D3181" t="s">
        <v>6249</v>
      </c>
      <c r="E3181" t="s">
        <v>6250</v>
      </c>
      <c r="F3181">
        <v>1476</v>
      </c>
      <c r="J3181" t="s">
        <v>2587</v>
      </c>
    </row>
    <row r="3182" spans="1:10" ht="15" customHeight="1" x14ac:dyDescent="0.2">
      <c r="A3182" s="420">
        <v>45900</v>
      </c>
      <c r="B3182" t="s">
        <v>6077</v>
      </c>
      <c r="C3182" t="s">
        <v>6232</v>
      </c>
      <c r="D3182" t="s">
        <v>6112</v>
      </c>
      <c r="E3182" t="s">
        <v>1013</v>
      </c>
      <c r="G3182">
        <v>778.61</v>
      </c>
      <c r="I3182">
        <v>778.61</v>
      </c>
      <c r="J3182" t="s">
        <v>2587</v>
      </c>
    </row>
    <row r="3183" spans="1:10" ht="15" customHeight="1" x14ac:dyDescent="0.2">
      <c r="A3183" s="420">
        <v>45925</v>
      </c>
      <c r="B3183" t="s">
        <v>2333</v>
      </c>
      <c r="C3183" t="s">
        <v>6232</v>
      </c>
      <c r="D3183" t="s">
        <v>6251</v>
      </c>
      <c r="E3183" t="s">
        <v>6252</v>
      </c>
      <c r="F3183">
        <v>778.61</v>
      </c>
      <c r="J3183" t="s">
        <v>2587</v>
      </c>
    </row>
    <row r="3184" spans="1:10" ht="15" customHeight="1" x14ac:dyDescent="0.2">
      <c r="A3184" s="420">
        <v>45930</v>
      </c>
      <c r="B3184" t="s">
        <v>6077</v>
      </c>
      <c r="C3184" t="s">
        <v>6232</v>
      </c>
      <c r="D3184" t="s">
        <v>6119</v>
      </c>
      <c r="E3184" t="s">
        <v>1022</v>
      </c>
      <c r="G3184">
        <v>890.2</v>
      </c>
      <c r="I3184">
        <v>890.2</v>
      </c>
      <c r="J3184" t="s">
        <v>2603</v>
      </c>
    </row>
    <row r="3185" spans="1:10" ht="15" customHeight="1" x14ac:dyDescent="0.2">
      <c r="A3185" s="420">
        <v>45957</v>
      </c>
      <c r="B3185" t="s">
        <v>2333</v>
      </c>
      <c r="C3185" t="s">
        <v>6232</v>
      </c>
      <c r="D3185" t="s">
        <v>6253</v>
      </c>
      <c r="E3185" t="s">
        <v>6254</v>
      </c>
      <c r="F3185">
        <v>890.2</v>
      </c>
      <c r="J3185" t="s">
        <v>2603</v>
      </c>
    </row>
    <row r="3186" spans="1:10" ht="15" customHeight="1" x14ac:dyDescent="0.2">
      <c r="A3186" s="420">
        <v>45961</v>
      </c>
      <c r="B3186" t="s">
        <v>6077</v>
      </c>
      <c r="C3186" t="s">
        <v>6232</v>
      </c>
      <c r="D3186" t="s">
        <v>6128</v>
      </c>
      <c r="E3186" t="s">
        <v>1034</v>
      </c>
      <c r="G3186">
        <v>772.1</v>
      </c>
      <c r="I3186">
        <v>772.1</v>
      </c>
      <c r="J3186" t="s">
        <v>2603</v>
      </c>
    </row>
    <row r="3187" spans="1:10" ht="15" customHeight="1" x14ac:dyDescent="0.2">
      <c r="A3187" s="420">
        <v>45986</v>
      </c>
      <c r="B3187" t="s">
        <v>2333</v>
      </c>
      <c r="C3187" t="s">
        <v>6232</v>
      </c>
      <c r="D3187" t="s">
        <v>6255</v>
      </c>
      <c r="E3187" t="s">
        <v>6256</v>
      </c>
      <c r="F3187">
        <v>772.1</v>
      </c>
      <c r="J3187" t="s">
        <v>2603</v>
      </c>
    </row>
    <row r="3188" spans="1:10" ht="15" customHeight="1" x14ac:dyDescent="0.2">
      <c r="A3188" s="420">
        <v>45991</v>
      </c>
      <c r="B3188" t="s">
        <v>6077</v>
      </c>
      <c r="C3188" t="s">
        <v>6232</v>
      </c>
      <c r="D3188" t="s">
        <v>6137</v>
      </c>
      <c r="E3188" t="s">
        <v>1043</v>
      </c>
      <c r="G3188">
        <v>585.86</v>
      </c>
      <c r="I3188">
        <v>585.86</v>
      </c>
      <c r="J3188" t="s">
        <v>2603</v>
      </c>
    </row>
    <row r="3189" spans="1:10" ht="15" customHeight="1" x14ac:dyDescent="0.2">
      <c r="A3189" s="420">
        <v>46020</v>
      </c>
      <c r="B3189" t="s">
        <v>2333</v>
      </c>
      <c r="C3189" t="s">
        <v>6232</v>
      </c>
      <c r="D3189" t="s">
        <v>6257</v>
      </c>
      <c r="E3189" t="s">
        <v>6258</v>
      </c>
      <c r="F3189">
        <v>585.86</v>
      </c>
      <c r="J3189" t="s">
        <v>2603</v>
      </c>
    </row>
    <row r="3190" spans="1:10" ht="15" customHeight="1" x14ac:dyDescent="0.2">
      <c r="A3190" s="420">
        <v>46022</v>
      </c>
      <c r="B3190" t="s">
        <v>6077</v>
      </c>
      <c r="C3190" t="s">
        <v>6232</v>
      </c>
      <c r="D3190" t="s">
        <v>6144</v>
      </c>
      <c r="E3190" t="s">
        <v>6259</v>
      </c>
      <c r="G3190">
        <v>491.94</v>
      </c>
      <c r="I3190">
        <v>491.94</v>
      </c>
      <c r="J3190" t="s">
        <v>2511</v>
      </c>
    </row>
    <row r="3191" spans="1:10" ht="15" customHeight="1" x14ac:dyDescent="0.2">
      <c r="A3191" t="s">
        <v>6232</v>
      </c>
      <c r="E3191" t="s">
        <v>349</v>
      </c>
      <c r="F3191">
        <v>9956.07</v>
      </c>
      <c r="G3191">
        <v>10448.01</v>
      </c>
      <c r="I3191">
        <v>491.94</v>
      </c>
    </row>
    <row r="3193" spans="1:10" ht="15" customHeight="1" x14ac:dyDescent="0.2">
      <c r="A3193" t="s">
        <v>6260</v>
      </c>
      <c r="B3193" t="s">
        <v>6156</v>
      </c>
      <c r="F3193" t="s">
        <v>2430</v>
      </c>
      <c r="G3193" t="s">
        <v>2431</v>
      </c>
      <c r="H3193" t="s">
        <v>2432</v>
      </c>
      <c r="I3193" t="s">
        <v>2433</v>
      </c>
      <c r="J3193" t="s">
        <v>2434</v>
      </c>
    </row>
    <row r="3194" spans="1:10" ht="15" customHeight="1" x14ac:dyDescent="0.2">
      <c r="A3194" s="420">
        <v>45658</v>
      </c>
      <c r="B3194" t="s">
        <v>2435</v>
      </c>
      <c r="C3194" t="s">
        <v>6260</v>
      </c>
      <c r="D3194" t="s">
        <v>2436</v>
      </c>
      <c r="E3194" t="s">
        <v>6157</v>
      </c>
      <c r="G3194">
        <v>861.08</v>
      </c>
      <c r="I3194">
        <v>861.08</v>
      </c>
    </row>
    <row r="3195" spans="1:10" ht="15" customHeight="1" x14ac:dyDescent="0.2">
      <c r="A3195" s="420">
        <v>45658</v>
      </c>
      <c r="B3195" t="s">
        <v>2517</v>
      </c>
      <c r="C3195" t="s">
        <v>6260</v>
      </c>
      <c r="D3195" t="s">
        <v>6158</v>
      </c>
      <c r="E3195" t="s">
        <v>938</v>
      </c>
      <c r="F3195">
        <v>861.08</v>
      </c>
    </row>
    <row r="3196" spans="1:10" ht="15" customHeight="1" x14ac:dyDescent="0.2">
      <c r="A3196" s="420">
        <v>45838</v>
      </c>
      <c r="B3196" t="s">
        <v>2507</v>
      </c>
      <c r="C3196" t="s">
        <v>6260</v>
      </c>
      <c r="D3196" t="s">
        <v>6159</v>
      </c>
      <c r="E3196" t="s">
        <v>986</v>
      </c>
      <c r="G3196">
        <v>1533.58</v>
      </c>
      <c r="I3196">
        <v>1533.58</v>
      </c>
      <c r="J3196" t="s">
        <v>2511</v>
      </c>
    </row>
    <row r="3197" spans="1:10" ht="15" customHeight="1" x14ac:dyDescent="0.2">
      <c r="A3197" s="420">
        <v>45839</v>
      </c>
      <c r="B3197" t="s">
        <v>2507</v>
      </c>
      <c r="C3197" t="s">
        <v>6260</v>
      </c>
      <c r="D3197" t="s">
        <v>6159</v>
      </c>
      <c r="E3197" t="s">
        <v>994</v>
      </c>
      <c r="F3197">
        <v>1533.58</v>
      </c>
      <c r="J3197" t="s">
        <v>2511</v>
      </c>
    </row>
    <row r="3198" spans="1:10" ht="15" customHeight="1" x14ac:dyDescent="0.2">
      <c r="A3198" s="420">
        <v>46022</v>
      </c>
      <c r="B3198" t="s">
        <v>2507</v>
      </c>
      <c r="C3198" t="s">
        <v>6260</v>
      </c>
      <c r="D3198" t="s">
        <v>6160</v>
      </c>
      <c r="E3198" t="s">
        <v>1052</v>
      </c>
      <c r="G3198">
        <v>737.87</v>
      </c>
      <c r="I3198">
        <v>737.87</v>
      </c>
    </row>
    <row r="3199" spans="1:10" ht="15" customHeight="1" x14ac:dyDescent="0.2">
      <c r="A3199" t="s">
        <v>6260</v>
      </c>
      <c r="E3199" t="s">
        <v>349</v>
      </c>
      <c r="F3199">
        <v>2394.66</v>
      </c>
      <c r="G3199">
        <v>3132.53</v>
      </c>
      <c r="I3199">
        <v>737.87</v>
      </c>
    </row>
    <row r="3201" spans="1:10" ht="15" customHeight="1" x14ac:dyDescent="0.2">
      <c r="A3201" t="s">
        <v>6261</v>
      </c>
      <c r="B3201" t="s">
        <v>6262</v>
      </c>
      <c r="F3201" t="s">
        <v>2430</v>
      </c>
      <c r="G3201" t="s">
        <v>2431</v>
      </c>
      <c r="H3201" t="s">
        <v>2432</v>
      </c>
      <c r="I3201" t="s">
        <v>2433</v>
      </c>
      <c r="J3201" t="s">
        <v>2434</v>
      </c>
    </row>
    <row r="3202" spans="1:10" ht="15" customHeight="1" x14ac:dyDescent="0.2">
      <c r="A3202" s="420">
        <v>45658</v>
      </c>
      <c r="B3202" t="s">
        <v>2435</v>
      </c>
      <c r="C3202" t="s">
        <v>6261</v>
      </c>
      <c r="D3202" t="s">
        <v>2436</v>
      </c>
      <c r="E3202" t="s">
        <v>6071</v>
      </c>
      <c r="G3202">
        <v>217.85</v>
      </c>
      <c r="I3202">
        <v>217.85</v>
      </c>
      <c r="J3202" t="s">
        <v>2511</v>
      </c>
    </row>
    <row r="3203" spans="1:10" ht="15" customHeight="1" x14ac:dyDescent="0.2">
      <c r="A3203" s="420">
        <v>45679</v>
      </c>
      <c r="B3203" t="s">
        <v>2333</v>
      </c>
      <c r="C3203" t="s">
        <v>6261</v>
      </c>
      <c r="D3203" t="s">
        <v>6263</v>
      </c>
      <c r="E3203" t="s">
        <v>6264</v>
      </c>
      <c r="F3203">
        <v>218</v>
      </c>
      <c r="H3203">
        <v>0.15</v>
      </c>
      <c r="J3203" t="s">
        <v>2511</v>
      </c>
    </row>
    <row r="3204" spans="1:10" ht="15" customHeight="1" x14ac:dyDescent="0.2">
      <c r="A3204" s="420">
        <v>45679</v>
      </c>
      <c r="B3204" t="s">
        <v>2517</v>
      </c>
      <c r="C3204" t="s">
        <v>6261</v>
      </c>
      <c r="D3204" t="s">
        <v>6265</v>
      </c>
      <c r="E3204" t="s">
        <v>818</v>
      </c>
      <c r="G3204">
        <v>0.15</v>
      </c>
      <c r="J3204" t="s">
        <v>2511</v>
      </c>
    </row>
    <row r="3205" spans="1:10" ht="15" customHeight="1" x14ac:dyDescent="0.2">
      <c r="A3205" s="420">
        <v>45688</v>
      </c>
      <c r="B3205" t="s">
        <v>6077</v>
      </c>
      <c r="C3205" t="s">
        <v>6261</v>
      </c>
      <c r="E3205" t="s">
        <v>951</v>
      </c>
      <c r="G3205">
        <v>141.41</v>
      </c>
      <c r="I3205">
        <v>141.41</v>
      </c>
      <c r="J3205" t="s">
        <v>2509</v>
      </c>
    </row>
    <row r="3206" spans="1:10" ht="15" customHeight="1" x14ac:dyDescent="0.2">
      <c r="A3206" s="420">
        <v>45713</v>
      </c>
      <c r="B3206" t="s">
        <v>2333</v>
      </c>
      <c r="C3206" t="s">
        <v>6261</v>
      </c>
      <c r="D3206" t="s">
        <v>6266</v>
      </c>
      <c r="E3206" t="s">
        <v>6267</v>
      </c>
      <c r="F3206">
        <v>141</v>
      </c>
      <c r="I3206">
        <v>0.41</v>
      </c>
      <c r="J3206" t="s">
        <v>2509</v>
      </c>
    </row>
    <row r="3207" spans="1:10" ht="15" customHeight="1" x14ac:dyDescent="0.2">
      <c r="A3207" s="420">
        <v>45716</v>
      </c>
      <c r="B3207" t="s">
        <v>6077</v>
      </c>
      <c r="C3207" t="s">
        <v>6261</v>
      </c>
      <c r="D3207" t="s">
        <v>6082</v>
      </c>
      <c r="E3207" t="s">
        <v>960</v>
      </c>
      <c r="G3207">
        <v>112.74</v>
      </c>
      <c r="I3207">
        <v>113.15</v>
      </c>
      <c r="J3207" t="s">
        <v>2509</v>
      </c>
    </row>
    <row r="3208" spans="1:10" ht="15" customHeight="1" x14ac:dyDescent="0.2">
      <c r="A3208" s="420">
        <v>45741</v>
      </c>
      <c r="B3208" t="s">
        <v>2333</v>
      </c>
      <c r="C3208" t="s">
        <v>6261</v>
      </c>
      <c r="D3208" t="s">
        <v>6268</v>
      </c>
      <c r="E3208" t="s">
        <v>6269</v>
      </c>
      <c r="F3208">
        <v>113</v>
      </c>
      <c r="I3208">
        <v>0.15</v>
      </c>
      <c r="J3208" t="s">
        <v>2509</v>
      </c>
    </row>
    <row r="3209" spans="1:10" ht="15" customHeight="1" x14ac:dyDescent="0.2">
      <c r="A3209" s="420">
        <v>45741</v>
      </c>
      <c r="B3209" t="s">
        <v>2517</v>
      </c>
      <c r="C3209" t="s">
        <v>6261</v>
      </c>
      <c r="D3209" t="s">
        <v>6270</v>
      </c>
      <c r="E3209" t="s">
        <v>818</v>
      </c>
      <c r="F3209">
        <v>0.15</v>
      </c>
      <c r="J3209" t="s">
        <v>2509</v>
      </c>
    </row>
    <row r="3210" spans="1:10" ht="15" customHeight="1" x14ac:dyDescent="0.2">
      <c r="A3210" s="420">
        <v>45747</v>
      </c>
      <c r="B3210" t="s">
        <v>6077</v>
      </c>
      <c r="C3210" t="s">
        <v>6261</v>
      </c>
      <c r="D3210" t="s">
        <v>6087</v>
      </c>
      <c r="E3210" t="s">
        <v>964</v>
      </c>
      <c r="G3210">
        <v>239.91</v>
      </c>
      <c r="I3210">
        <v>239.91</v>
      </c>
      <c r="J3210" t="s">
        <v>2513</v>
      </c>
    </row>
    <row r="3211" spans="1:10" ht="15" customHeight="1" x14ac:dyDescent="0.2">
      <c r="A3211" s="420">
        <v>45771</v>
      </c>
      <c r="B3211" t="s">
        <v>2333</v>
      </c>
      <c r="C3211" t="s">
        <v>6261</v>
      </c>
      <c r="D3211" t="s">
        <v>6271</v>
      </c>
      <c r="E3211" t="s">
        <v>6272</v>
      </c>
      <c r="F3211">
        <v>240</v>
      </c>
      <c r="H3211">
        <v>0.09</v>
      </c>
      <c r="J3211" t="s">
        <v>2513</v>
      </c>
    </row>
    <row r="3212" spans="1:10" ht="15" customHeight="1" x14ac:dyDescent="0.2">
      <c r="A3212" s="420">
        <v>45771</v>
      </c>
      <c r="B3212" t="s">
        <v>2517</v>
      </c>
      <c r="C3212" t="s">
        <v>6261</v>
      </c>
      <c r="D3212" t="s">
        <v>6273</v>
      </c>
      <c r="E3212" t="s">
        <v>818</v>
      </c>
      <c r="G3212">
        <v>0.09</v>
      </c>
      <c r="J3212" t="s">
        <v>2513</v>
      </c>
    </row>
    <row r="3213" spans="1:10" ht="15" customHeight="1" x14ac:dyDescent="0.2">
      <c r="A3213" s="420">
        <v>45777</v>
      </c>
      <c r="B3213" t="s">
        <v>6077</v>
      </c>
      <c r="C3213" t="s">
        <v>6261</v>
      </c>
      <c r="D3213" t="s">
        <v>6092</v>
      </c>
      <c r="E3213" t="s">
        <v>968</v>
      </c>
      <c r="G3213">
        <v>293.8</v>
      </c>
      <c r="I3213">
        <v>293.8</v>
      </c>
      <c r="J3213" t="s">
        <v>2585</v>
      </c>
    </row>
    <row r="3214" spans="1:10" ht="15" customHeight="1" x14ac:dyDescent="0.2">
      <c r="A3214" s="420">
        <v>45798</v>
      </c>
      <c r="B3214" t="s">
        <v>2333</v>
      </c>
      <c r="C3214" t="s">
        <v>6261</v>
      </c>
      <c r="D3214" t="s">
        <v>6274</v>
      </c>
      <c r="E3214" t="s">
        <v>6275</v>
      </c>
      <c r="F3214">
        <v>294</v>
      </c>
      <c r="H3214">
        <v>0.2</v>
      </c>
      <c r="J3214" t="s">
        <v>2585</v>
      </c>
    </row>
    <row r="3215" spans="1:10" ht="15" customHeight="1" x14ac:dyDescent="0.2">
      <c r="A3215" s="420">
        <v>45798</v>
      </c>
      <c r="B3215" t="s">
        <v>2517</v>
      </c>
      <c r="C3215" t="s">
        <v>6261</v>
      </c>
      <c r="D3215" t="s">
        <v>6276</v>
      </c>
      <c r="E3215" t="s">
        <v>818</v>
      </c>
      <c r="G3215">
        <v>0.2</v>
      </c>
      <c r="J3215" t="s">
        <v>2585</v>
      </c>
    </row>
    <row r="3216" spans="1:10" ht="15" customHeight="1" x14ac:dyDescent="0.2">
      <c r="A3216" s="420">
        <v>45808</v>
      </c>
      <c r="B3216" t="s">
        <v>6077</v>
      </c>
      <c r="C3216" t="s">
        <v>6261</v>
      </c>
      <c r="D3216" t="s">
        <v>6097</v>
      </c>
      <c r="E3216" t="s">
        <v>976</v>
      </c>
      <c r="G3216">
        <v>241.47</v>
      </c>
      <c r="I3216">
        <v>241.47</v>
      </c>
      <c r="J3216" t="s">
        <v>2586</v>
      </c>
    </row>
    <row r="3217" spans="1:10" ht="15" customHeight="1" x14ac:dyDescent="0.2">
      <c r="A3217" s="420">
        <v>45832</v>
      </c>
      <c r="B3217" t="s">
        <v>2333</v>
      </c>
      <c r="C3217" t="s">
        <v>6261</v>
      </c>
      <c r="D3217" t="s">
        <v>6277</v>
      </c>
      <c r="E3217" t="s">
        <v>6278</v>
      </c>
      <c r="F3217">
        <v>241</v>
      </c>
      <c r="I3217">
        <v>0.47</v>
      </c>
      <c r="J3217" t="s">
        <v>2586</v>
      </c>
    </row>
    <row r="3218" spans="1:10" ht="15" customHeight="1" x14ac:dyDescent="0.2">
      <c r="A3218" s="420">
        <v>45832</v>
      </c>
      <c r="B3218" t="s">
        <v>2517</v>
      </c>
      <c r="C3218" t="s">
        <v>6261</v>
      </c>
      <c r="D3218" t="s">
        <v>6279</v>
      </c>
      <c r="E3218" t="s">
        <v>818</v>
      </c>
      <c r="F3218">
        <v>0.47</v>
      </c>
      <c r="J3218" t="s">
        <v>2586</v>
      </c>
    </row>
    <row r="3219" spans="1:10" ht="15" customHeight="1" x14ac:dyDescent="0.2">
      <c r="A3219" s="420">
        <v>45838</v>
      </c>
      <c r="B3219" t="s">
        <v>6077</v>
      </c>
      <c r="C3219" t="s">
        <v>6261</v>
      </c>
      <c r="D3219" t="s">
        <v>6102</v>
      </c>
      <c r="E3219" t="s">
        <v>985</v>
      </c>
      <c r="G3219">
        <v>282.01</v>
      </c>
      <c r="I3219">
        <v>282.01</v>
      </c>
      <c r="J3219" t="s">
        <v>2587</v>
      </c>
    </row>
    <row r="3220" spans="1:10" ht="15" customHeight="1" x14ac:dyDescent="0.2">
      <c r="A3220" s="420">
        <v>45861</v>
      </c>
      <c r="B3220" t="s">
        <v>2333</v>
      </c>
      <c r="C3220" t="s">
        <v>6261</v>
      </c>
      <c r="D3220" t="s">
        <v>6280</v>
      </c>
      <c r="E3220" t="s">
        <v>6281</v>
      </c>
      <c r="F3220">
        <v>282</v>
      </c>
      <c r="I3220">
        <v>0.01</v>
      </c>
      <c r="J3220" t="s">
        <v>2587</v>
      </c>
    </row>
    <row r="3221" spans="1:10" ht="15" customHeight="1" x14ac:dyDescent="0.2">
      <c r="A3221" s="420">
        <v>45869</v>
      </c>
      <c r="B3221" t="s">
        <v>6077</v>
      </c>
      <c r="C3221" t="s">
        <v>6261</v>
      </c>
      <c r="D3221" t="s">
        <v>6107</v>
      </c>
      <c r="E3221" t="s">
        <v>1000</v>
      </c>
      <c r="G3221">
        <v>392.95</v>
      </c>
      <c r="I3221">
        <v>392.96</v>
      </c>
      <c r="J3221" t="s">
        <v>2587</v>
      </c>
    </row>
    <row r="3222" spans="1:10" ht="15" customHeight="1" x14ac:dyDescent="0.2">
      <c r="A3222" s="420">
        <v>45895</v>
      </c>
      <c r="B3222" t="s">
        <v>2333</v>
      </c>
      <c r="C3222" t="s">
        <v>6261</v>
      </c>
      <c r="D3222" t="s">
        <v>6282</v>
      </c>
      <c r="E3222" t="s">
        <v>6283</v>
      </c>
      <c r="F3222">
        <v>393</v>
      </c>
      <c r="H3222">
        <v>0.04</v>
      </c>
      <c r="J3222" t="s">
        <v>2587</v>
      </c>
    </row>
    <row r="3223" spans="1:10" ht="15" customHeight="1" x14ac:dyDescent="0.2">
      <c r="A3223" s="420">
        <v>45900</v>
      </c>
      <c r="B3223" t="s">
        <v>6077</v>
      </c>
      <c r="C3223" t="s">
        <v>6261</v>
      </c>
      <c r="D3223" t="s">
        <v>6112</v>
      </c>
      <c r="E3223" t="s">
        <v>1011</v>
      </c>
      <c r="G3223">
        <v>264.3</v>
      </c>
      <c r="I3223">
        <v>264.26</v>
      </c>
      <c r="J3223" t="s">
        <v>2587</v>
      </c>
    </row>
    <row r="3224" spans="1:10" ht="15" customHeight="1" x14ac:dyDescent="0.2">
      <c r="A3224" s="420">
        <v>45923</v>
      </c>
      <c r="B3224" t="s">
        <v>2333</v>
      </c>
      <c r="C3224" t="s">
        <v>6261</v>
      </c>
      <c r="D3224" t="s">
        <v>6284</v>
      </c>
      <c r="E3224" t="s">
        <v>6285</v>
      </c>
      <c r="F3224">
        <v>264</v>
      </c>
      <c r="I3224">
        <v>0.26</v>
      </c>
      <c r="J3224" t="s">
        <v>2587</v>
      </c>
    </row>
    <row r="3225" spans="1:10" ht="15" customHeight="1" x14ac:dyDescent="0.2">
      <c r="A3225" s="420">
        <v>45930</v>
      </c>
      <c r="B3225" t="s">
        <v>6077</v>
      </c>
      <c r="C3225" t="s">
        <v>6261</v>
      </c>
      <c r="D3225" t="s">
        <v>6119</v>
      </c>
      <c r="E3225" t="s">
        <v>1020</v>
      </c>
      <c r="G3225">
        <v>276.16000000000003</v>
      </c>
      <c r="I3225">
        <v>276.42</v>
      </c>
      <c r="J3225" t="s">
        <v>2587</v>
      </c>
    </row>
    <row r="3226" spans="1:10" ht="15" customHeight="1" x14ac:dyDescent="0.2">
      <c r="A3226" s="420">
        <v>45952</v>
      </c>
      <c r="B3226" t="s">
        <v>2333</v>
      </c>
      <c r="C3226" t="s">
        <v>6261</v>
      </c>
      <c r="D3226" t="s">
        <v>6286</v>
      </c>
      <c r="E3226" t="s">
        <v>6287</v>
      </c>
      <c r="F3226">
        <v>276</v>
      </c>
      <c r="I3226">
        <v>0.42</v>
      </c>
      <c r="J3226" t="s">
        <v>2587</v>
      </c>
    </row>
    <row r="3227" spans="1:10" ht="15" customHeight="1" x14ac:dyDescent="0.2">
      <c r="A3227" s="420">
        <v>45952</v>
      </c>
      <c r="B3227" t="s">
        <v>2517</v>
      </c>
      <c r="C3227" t="s">
        <v>6261</v>
      </c>
      <c r="D3227" t="s">
        <v>6288</v>
      </c>
      <c r="E3227" t="s">
        <v>818</v>
      </c>
      <c r="F3227">
        <v>0.42</v>
      </c>
      <c r="J3227" t="s">
        <v>2587</v>
      </c>
    </row>
    <row r="3228" spans="1:10" ht="15" customHeight="1" x14ac:dyDescent="0.2">
      <c r="A3228" s="420">
        <v>45961</v>
      </c>
      <c r="B3228" t="s">
        <v>6077</v>
      </c>
      <c r="C3228" t="s">
        <v>6261</v>
      </c>
      <c r="D3228" t="s">
        <v>6128</v>
      </c>
      <c r="E3228" t="s">
        <v>1029</v>
      </c>
      <c r="G3228">
        <v>251.12</v>
      </c>
      <c r="I3228">
        <v>251.12</v>
      </c>
      <c r="J3228" t="s">
        <v>2603</v>
      </c>
    </row>
    <row r="3229" spans="1:10" ht="15" customHeight="1" x14ac:dyDescent="0.2">
      <c r="A3229" s="420">
        <v>45986</v>
      </c>
      <c r="B3229" t="s">
        <v>2333</v>
      </c>
      <c r="C3229" t="s">
        <v>6261</v>
      </c>
      <c r="D3229" t="s">
        <v>6289</v>
      </c>
      <c r="E3229" t="s">
        <v>6290</v>
      </c>
      <c r="F3229">
        <v>251</v>
      </c>
      <c r="I3229">
        <v>0.12</v>
      </c>
      <c r="J3229" t="s">
        <v>2603</v>
      </c>
    </row>
    <row r="3230" spans="1:10" ht="15" customHeight="1" x14ac:dyDescent="0.2">
      <c r="A3230" s="420">
        <v>45991</v>
      </c>
      <c r="B3230" t="s">
        <v>6077</v>
      </c>
      <c r="C3230" t="s">
        <v>6261</v>
      </c>
      <c r="D3230" t="s">
        <v>6137</v>
      </c>
      <c r="E3230" t="s">
        <v>1041</v>
      </c>
      <c r="G3230">
        <v>104.66</v>
      </c>
      <c r="I3230">
        <v>104.78</v>
      </c>
      <c r="J3230" t="s">
        <v>2603</v>
      </c>
    </row>
    <row r="3231" spans="1:10" ht="15" customHeight="1" x14ac:dyDescent="0.2">
      <c r="A3231" s="420">
        <v>46014</v>
      </c>
      <c r="B3231" t="s">
        <v>2333</v>
      </c>
      <c r="C3231" t="s">
        <v>6261</v>
      </c>
      <c r="D3231" t="s">
        <v>6291</v>
      </c>
      <c r="E3231" t="s">
        <v>6292</v>
      </c>
      <c r="F3231">
        <v>105</v>
      </c>
      <c r="H3231">
        <v>0.22</v>
      </c>
      <c r="J3231" t="s">
        <v>2603</v>
      </c>
    </row>
    <row r="3232" spans="1:10" ht="15" customHeight="1" x14ac:dyDescent="0.2">
      <c r="A3232" s="420">
        <v>46014</v>
      </c>
      <c r="B3232" t="s">
        <v>2517</v>
      </c>
      <c r="C3232" t="s">
        <v>6261</v>
      </c>
      <c r="D3232" t="s">
        <v>6293</v>
      </c>
      <c r="E3232" t="s">
        <v>818</v>
      </c>
      <c r="G3232">
        <v>0.22</v>
      </c>
      <c r="J3232" t="s">
        <v>2603</v>
      </c>
    </row>
    <row r="3233" spans="1:10" ht="15" customHeight="1" x14ac:dyDescent="0.2">
      <c r="A3233" s="420">
        <v>46022</v>
      </c>
      <c r="B3233" t="s">
        <v>6077</v>
      </c>
      <c r="C3233" t="s">
        <v>6261</v>
      </c>
      <c r="D3233" t="s">
        <v>6144</v>
      </c>
      <c r="E3233" t="s">
        <v>1051</v>
      </c>
      <c r="G3233">
        <v>86.57</v>
      </c>
      <c r="I3233">
        <v>86.57</v>
      </c>
      <c r="J3233" t="s">
        <v>2511</v>
      </c>
    </row>
    <row r="3234" spans="1:10" ht="15" customHeight="1" x14ac:dyDescent="0.2">
      <c r="A3234" t="s">
        <v>6261</v>
      </c>
      <c r="E3234" t="s">
        <v>349</v>
      </c>
      <c r="F3234">
        <v>2819.04</v>
      </c>
      <c r="G3234">
        <v>2905.61</v>
      </c>
      <c r="I3234">
        <v>86.57</v>
      </c>
    </row>
    <row r="3236" spans="1:10" ht="15" customHeight="1" x14ac:dyDescent="0.2">
      <c r="A3236" t="s">
        <v>6294</v>
      </c>
      <c r="B3236" t="s">
        <v>6295</v>
      </c>
      <c r="F3236" t="s">
        <v>2430</v>
      </c>
      <c r="G3236" t="s">
        <v>2431</v>
      </c>
      <c r="H3236" t="s">
        <v>2432</v>
      </c>
      <c r="I3236" t="s">
        <v>2433</v>
      </c>
      <c r="J3236" t="s">
        <v>2434</v>
      </c>
    </row>
    <row r="3237" spans="1:10" ht="15" customHeight="1" x14ac:dyDescent="0.2">
      <c r="A3237" s="420">
        <v>45658</v>
      </c>
      <c r="B3237" t="s">
        <v>2435</v>
      </c>
      <c r="C3237" t="s">
        <v>6294</v>
      </c>
      <c r="D3237" t="s">
        <v>2436</v>
      </c>
      <c r="E3237" t="s">
        <v>6296</v>
      </c>
      <c r="F3237">
        <v>1230</v>
      </c>
      <c r="H3237">
        <v>1230</v>
      </c>
      <c r="J3237" t="s">
        <v>2511</v>
      </c>
    </row>
    <row r="3238" spans="1:10" ht="15" customHeight="1" x14ac:dyDescent="0.2">
      <c r="A3238" s="420">
        <v>45658</v>
      </c>
      <c r="B3238" t="s">
        <v>2435</v>
      </c>
      <c r="C3238" t="s">
        <v>6294</v>
      </c>
      <c r="D3238" t="s">
        <v>2436</v>
      </c>
      <c r="E3238" t="s">
        <v>6297</v>
      </c>
      <c r="G3238">
        <v>2178</v>
      </c>
      <c r="I3238">
        <v>948</v>
      </c>
      <c r="J3238" t="s">
        <v>2511</v>
      </c>
    </row>
    <row r="3239" spans="1:10" ht="15" customHeight="1" x14ac:dyDescent="0.2">
      <c r="A3239" s="420">
        <v>45792</v>
      </c>
      <c r="B3239" t="s">
        <v>2333</v>
      </c>
      <c r="C3239" t="s">
        <v>6294</v>
      </c>
      <c r="D3239" t="s">
        <v>6298</v>
      </c>
      <c r="E3239" t="s">
        <v>6299</v>
      </c>
      <c r="F3239">
        <v>948</v>
      </c>
      <c r="J3239" t="s">
        <v>2511</v>
      </c>
    </row>
    <row r="3240" spans="1:10" ht="15" customHeight="1" x14ac:dyDescent="0.2">
      <c r="A3240" s="420">
        <v>45838</v>
      </c>
      <c r="B3240" t="s">
        <v>2535</v>
      </c>
      <c r="C3240" t="s">
        <v>6294</v>
      </c>
      <c r="D3240" t="s">
        <v>6300</v>
      </c>
      <c r="E3240" t="s">
        <v>849</v>
      </c>
      <c r="F3240">
        <v>1200</v>
      </c>
      <c r="H3240">
        <v>1200</v>
      </c>
      <c r="J3240" t="s">
        <v>2509</v>
      </c>
    </row>
    <row r="3241" spans="1:10" ht="15" customHeight="1" x14ac:dyDescent="0.2">
      <c r="A3241" s="420">
        <v>45839</v>
      </c>
      <c r="B3241" t="s">
        <v>2517</v>
      </c>
      <c r="C3241" t="s">
        <v>6294</v>
      </c>
      <c r="D3241" t="s">
        <v>6300</v>
      </c>
      <c r="E3241" t="s">
        <v>856</v>
      </c>
      <c r="G3241">
        <v>1200</v>
      </c>
      <c r="J3241" t="s">
        <v>2509</v>
      </c>
    </row>
    <row r="3242" spans="1:10" ht="15" customHeight="1" x14ac:dyDescent="0.2">
      <c r="A3242" s="420">
        <v>46022</v>
      </c>
      <c r="B3242" t="s">
        <v>2517</v>
      </c>
      <c r="C3242" t="s">
        <v>6294</v>
      </c>
      <c r="D3242" t="s">
        <v>6301</v>
      </c>
      <c r="E3242" t="s">
        <v>869</v>
      </c>
      <c r="F3242">
        <v>1800</v>
      </c>
      <c r="H3242">
        <v>1800</v>
      </c>
    </row>
    <row r="3243" spans="1:10" ht="15" customHeight="1" x14ac:dyDescent="0.2">
      <c r="A3243" s="420">
        <v>46022</v>
      </c>
      <c r="B3243" t="s">
        <v>2439</v>
      </c>
      <c r="C3243" t="s">
        <v>6294</v>
      </c>
      <c r="D3243" t="s">
        <v>6302</v>
      </c>
      <c r="E3243" t="s">
        <v>1193</v>
      </c>
      <c r="G3243">
        <v>9509</v>
      </c>
      <c r="I3243">
        <v>7709</v>
      </c>
    </row>
    <row r="3244" spans="1:10" ht="15" customHeight="1" x14ac:dyDescent="0.2">
      <c r="A3244" t="s">
        <v>6294</v>
      </c>
      <c r="E3244" t="s">
        <v>349</v>
      </c>
      <c r="F3244">
        <v>5178</v>
      </c>
      <c r="G3244">
        <v>12887</v>
      </c>
      <c r="I3244">
        <v>7709</v>
      </c>
    </row>
    <row r="3246" spans="1:10" ht="15" customHeight="1" x14ac:dyDescent="0.2">
      <c r="A3246" t="s">
        <v>6303</v>
      </c>
      <c r="B3246" t="s">
        <v>6304</v>
      </c>
      <c r="F3246" t="s">
        <v>2430</v>
      </c>
      <c r="G3246" t="s">
        <v>2431</v>
      </c>
      <c r="H3246" t="s">
        <v>2432</v>
      </c>
      <c r="I3246" t="s">
        <v>2433</v>
      </c>
      <c r="J3246" t="s">
        <v>2434</v>
      </c>
    </row>
    <row r="3247" spans="1:10" ht="15" customHeight="1" x14ac:dyDescent="0.2">
      <c r="A3247" s="420">
        <v>45658</v>
      </c>
      <c r="B3247" t="s">
        <v>2435</v>
      </c>
      <c r="C3247" t="s">
        <v>6303</v>
      </c>
      <c r="D3247" t="s">
        <v>2436</v>
      </c>
      <c r="E3247" t="s">
        <v>3451</v>
      </c>
      <c r="G3247">
        <v>19.170000000000002</v>
      </c>
      <c r="I3247">
        <v>19.170000000000002</v>
      </c>
      <c r="J3247" t="s">
        <v>2511</v>
      </c>
    </row>
    <row r="3248" spans="1:10" ht="15" customHeight="1" x14ac:dyDescent="0.2">
      <c r="A3248" s="420">
        <v>45658</v>
      </c>
      <c r="B3248" t="s">
        <v>2435</v>
      </c>
      <c r="C3248" t="s">
        <v>6303</v>
      </c>
      <c r="D3248" t="s">
        <v>2436</v>
      </c>
      <c r="E3248" t="s">
        <v>6305</v>
      </c>
      <c r="F3248">
        <v>31.96</v>
      </c>
      <c r="H3248">
        <v>12.79</v>
      </c>
      <c r="J3248" t="s">
        <v>2511</v>
      </c>
    </row>
    <row r="3249" spans="1:10" ht="15" customHeight="1" x14ac:dyDescent="0.2">
      <c r="A3249" s="420">
        <v>45659</v>
      </c>
      <c r="B3249" t="s">
        <v>2532</v>
      </c>
      <c r="C3249" t="s">
        <v>6303</v>
      </c>
      <c r="D3249" t="s">
        <v>3693</v>
      </c>
      <c r="E3249" t="s">
        <v>1729</v>
      </c>
      <c r="G3249">
        <v>190.08</v>
      </c>
      <c r="I3249">
        <v>177.29</v>
      </c>
      <c r="J3249" t="s">
        <v>2511</v>
      </c>
    </row>
    <row r="3250" spans="1:10" ht="15" customHeight="1" x14ac:dyDescent="0.2">
      <c r="A3250" s="420">
        <v>45672</v>
      </c>
      <c r="B3250" t="s">
        <v>2532</v>
      </c>
      <c r="C3250" t="s">
        <v>6303</v>
      </c>
      <c r="D3250" t="s">
        <v>3454</v>
      </c>
      <c r="E3250" t="s">
        <v>3455</v>
      </c>
      <c r="G3250">
        <v>71.069999999999993</v>
      </c>
      <c r="I3250">
        <v>248.36</v>
      </c>
      <c r="J3250" t="s">
        <v>2511</v>
      </c>
    </row>
    <row r="3251" spans="1:10" ht="15" customHeight="1" x14ac:dyDescent="0.2">
      <c r="A3251" s="420">
        <v>45673</v>
      </c>
      <c r="B3251" t="s">
        <v>2532</v>
      </c>
      <c r="C3251" t="s">
        <v>6303</v>
      </c>
      <c r="D3251" t="s">
        <v>3977</v>
      </c>
      <c r="E3251" t="s">
        <v>1300</v>
      </c>
      <c r="G3251">
        <v>7.81</v>
      </c>
      <c r="I3251">
        <v>256.17</v>
      </c>
      <c r="J3251" t="s">
        <v>2511</v>
      </c>
    </row>
    <row r="3252" spans="1:10" ht="15" customHeight="1" x14ac:dyDescent="0.2">
      <c r="A3252" s="420">
        <v>45686</v>
      </c>
      <c r="B3252" t="s">
        <v>2547</v>
      </c>
      <c r="C3252" t="s">
        <v>6303</v>
      </c>
      <c r="D3252" t="s">
        <v>4676</v>
      </c>
      <c r="E3252" t="s">
        <v>1304</v>
      </c>
      <c r="G3252">
        <v>3.36</v>
      </c>
      <c r="I3252">
        <v>259.52999999999997</v>
      </c>
      <c r="J3252" t="s">
        <v>2511</v>
      </c>
    </row>
    <row r="3253" spans="1:10" ht="15" customHeight="1" x14ac:dyDescent="0.2">
      <c r="A3253" s="420">
        <v>45688</v>
      </c>
      <c r="B3253" t="s">
        <v>2547</v>
      </c>
      <c r="C3253" t="s">
        <v>6303</v>
      </c>
      <c r="D3253" t="s">
        <v>3459</v>
      </c>
      <c r="E3253" t="s">
        <v>1746</v>
      </c>
      <c r="G3253">
        <v>31.09</v>
      </c>
      <c r="I3253">
        <v>290.62</v>
      </c>
      <c r="J3253" t="s">
        <v>2511</v>
      </c>
    </row>
    <row r="3254" spans="1:10" ht="15" customHeight="1" x14ac:dyDescent="0.2">
      <c r="A3254" s="420">
        <v>45688</v>
      </c>
      <c r="B3254" t="s">
        <v>2532</v>
      </c>
      <c r="C3254" t="s">
        <v>6303</v>
      </c>
      <c r="D3254" t="s">
        <v>4699</v>
      </c>
      <c r="E3254" t="s">
        <v>1305</v>
      </c>
      <c r="G3254">
        <v>3.86</v>
      </c>
      <c r="I3254">
        <v>294.48</v>
      </c>
      <c r="J3254" t="s">
        <v>2511</v>
      </c>
    </row>
    <row r="3255" spans="1:10" ht="15" customHeight="1" x14ac:dyDescent="0.2">
      <c r="A3255" s="420">
        <v>45688</v>
      </c>
      <c r="B3255" t="s">
        <v>2517</v>
      </c>
      <c r="C3255" t="s">
        <v>6303</v>
      </c>
      <c r="D3255" t="s">
        <v>6306</v>
      </c>
      <c r="E3255" t="s">
        <v>6307</v>
      </c>
      <c r="F3255">
        <v>90</v>
      </c>
      <c r="I3255">
        <v>204.48</v>
      </c>
      <c r="J3255" t="s">
        <v>2511</v>
      </c>
    </row>
    <row r="3256" spans="1:10" ht="15" customHeight="1" x14ac:dyDescent="0.2">
      <c r="A3256" s="420">
        <v>45700</v>
      </c>
      <c r="B3256" t="s">
        <v>2532</v>
      </c>
      <c r="C3256" t="s">
        <v>6303</v>
      </c>
      <c r="D3256" t="s">
        <v>6308</v>
      </c>
      <c r="E3256" t="s">
        <v>1315</v>
      </c>
      <c r="G3256">
        <v>1.6</v>
      </c>
      <c r="I3256">
        <v>206.08</v>
      </c>
      <c r="J3256" t="s">
        <v>2511</v>
      </c>
    </row>
    <row r="3257" spans="1:10" ht="15" customHeight="1" x14ac:dyDescent="0.2">
      <c r="A3257" s="420">
        <v>45703</v>
      </c>
      <c r="B3257" t="s">
        <v>2532</v>
      </c>
      <c r="C3257" t="s">
        <v>6303</v>
      </c>
      <c r="D3257" t="s">
        <v>3462</v>
      </c>
      <c r="E3257" t="s">
        <v>1778</v>
      </c>
      <c r="G3257">
        <v>19.920000000000002</v>
      </c>
      <c r="I3257">
        <v>226</v>
      </c>
      <c r="J3257" t="s">
        <v>2511</v>
      </c>
    </row>
    <row r="3258" spans="1:10" ht="15" customHeight="1" x14ac:dyDescent="0.2">
      <c r="A3258" s="420">
        <v>45704</v>
      </c>
      <c r="B3258" t="s">
        <v>2532</v>
      </c>
      <c r="C3258" t="s">
        <v>6303</v>
      </c>
      <c r="D3258" t="s">
        <v>3980</v>
      </c>
      <c r="E3258" t="s">
        <v>1317</v>
      </c>
      <c r="G3258">
        <v>7.81</v>
      </c>
      <c r="I3258">
        <v>233.81</v>
      </c>
      <c r="J3258" t="s">
        <v>2511</v>
      </c>
    </row>
    <row r="3259" spans="1:10" ht="15" customHeight="1" x14ac:dyDescent="0.2">
      <c r="A3259" s="420">
        <v>45711</v>
      </c>
      <c r="B3259" t="s">
        <v>2532</v>
      </c>
      <c r="C3259" t="s">
        <v>6303</v>
      </c>
      <c r="D3259" t="s">
        <v>2801</v>
      </c>
      <c r="E3259" t="s">
        <v>1320</v>
      </c>
      <c r="G3259">
        <v>6.99</v>
      </c>
      <c r="I3259">
        <v>240.8</v>
      </c>
      <c r="J3259" t="s">
        <v>2511</v>
      </c>
    </row>
    <row r="3260" spans="1:10" ht="15" customHeight="1" x14ac:dyDescent="0.2">
      <c r="A3260" s="420">
        <v>45716</v>
      </c>
      <c r="B3260" t="s">
        <v>2517</v>
      </c>
      <c r="C3260" t="s">
        <v>6303</v>
      </c>
      <c r="D3260" t="s">
        <v>6309</v>
      </c>
      <c r="E3260" t="s">
        <v>6310</v>
      </c>
      <c r="F3260">
        <v>240.8</v>
      </c>
      <c r="J3260" t="s">
        <v>2511</v>
      </c>
    </row>
    <row r="3261" spans="1:10" ht="15" customHeight="1" x14ac:dyDescent="0.2">
      <c r="A3261" s="420">
        <v>45717</v>
      </c>
      <c r="B3261" t="s">
        <v>2532</v>
      </c>
      <c r="C3261" t="s">
        <v>6303</v>
      </c>
      <c r="D3261" t="s">
        <v>4679</v>
      </c>
      <c r="E3261" t="s">
        <v>1323</v>
      </c>
      <c r="G3261">
        <v>3.36</v>
      </c>
      <c r="I3261">
        <v>3.36</v>
      </c>
      <c r="J3261" t="s">
        <v>2509</v>
      </c>
    </row>
    <row r="3262" spans="1:10" ht="15" customHeight="1" x14ac:dyDescent="0.2">
      <c r="A3262" s="420">
        <v>45723</v>
      </c>
      <c r="B3262" t="s">
        <v>2532</v>
      </c>
      <c r="C3262" t="s">
        <v>6303</v>
      </c>
      <c r="D3262" t="s">
        <v>2803</v>
      </c>
      <c r="E3262" t="s">
        <v>2804</v>
      </c>
      <c r="G3262">
        <v>0.2</v>
      </c>
      <c r="I3262">
        <v>3.56</v>
      </c>
      <c r="J3262" t="s">
        <v>2509</v>
      </c>
    </row>
    <row r="3263" spans="1:10" ht="15" customHeight="1" x14ac:dyDescent="0.2">
      <c r="A3263" s="420">
        <v>45731</v>
      </c>
      <c r="B3263" t="s">
        <v>2547</v>
      </c>
      <c r="C3263" t="s">
        <v>6303</v>
      </c>
      <c r="D3263" t="s">
        <v>3467</v>
      </c>
      <c r="E3263" t="s">
        <v>1797</v>
      </c>
      <c r="G3263">
        <v>10.25</v>
      </c>
      <c r="I3263">
        <v>13.81</v>
      </c>
      <c r="J3263" t="s">
        <v>2509</v>
      </c>
    </row>
    <row r="3264" spans="1:10" ht="15" customHeight="1" x14ac:dyDescent="0.2">
      <c r="A3264" s="420">
        <v>45739</v>
      </c>
      <c r="B3264" t="s">
        <v>2532</v>
      </c>
      <c r="C3264" t="s">
        <v>6303</v>
      </c>
      <c r="D3264" t="s">
        <v>2806</v>
      </c>
      <c r="E3264" t="s">
        <v>1334</v>
      </c>
      <c r="G3264">
        <v>6.99</v>
      </c>
      <c r="I3264">
        <v>20.8</v>
      </c>
      <c r="J3264" t="s">
        <v>2509</v>
      </c>
    </row>
    <row r="3265" spans="1:10" ht="15" customHeight="1" x14ac:dyDescent="0.2">
      <c r="A3265" s="420">
        <v>45747</v>
      </c>
      <c r="B3265" t="s">
        <v>2547</v>
      </c>
      <c r="C3265" t="s">
        <v>6303</v>
      </c>
      <c r="D3265" t="s">
        <v>3471</v>
      </c>
      <c r="E3265" t="s">
        <v>1797</v>
      </c>
      <c r="G3265">
        <v>27.24</v>
      </c>
      <c r="I3265">
        <v>48.04</v>
      </c>
      <c r="J3265" t="s">
        <v>2509</v>
      </c>
    </row>
    <row r="3266" spans="1:10" ht="15" customHeight="1" x14ac:dyDescent="0.2">
      <c r="A3266" s="420">
        <v>45747</v>
      </c>
      <c r="B3266" t="s">
        <v>2517</v>
      </c>
      <c r="C3266" t="s">
        <v>6303</v>
      </c>
      <c r="D3266" t="s">
        <v>6311</v>
      </c>
      <c r="E3266" t="s">
        <v>6312</v>
      </c>
      <c r="F3266">
        <v>48.04</v>
      </c>
      <c r="J3266" t="s">
        <v>2509</v>
      </c>
    </row>
    <row r="3267" spans="1:10" ht="15" customHeight="1" x14ac:dyDescent="0.2">
      <c r="A3267" s="420">
        <v>45755</v>
      </c>
      <c r="B3267" t="s">
        <v>2532</v>
      </c>
      <c r="C3267" t="s">
        <v>6303</v>
      </c>
      <c r="D3267" t="s">
        <v>2809</v>
      </c>
      <c r="E3267" t="s">
        <v>2810</v>
      </c>
      <c r="G3267">
        <v>0.2</v>
      </c>
      <c r="I3267">
        <v>0.2</v>
      </c>
      <c r="J3267" t="s">
        <v>2585</v>
      </c>
    </row>
    <row r="3268" spans="1:10" ht="15" customHeight="1" x14ac:dyDescent="0.2">
      <c r="A3268" s="420">
        <v>45762</v>
      </c>
      <c r="B3268" t="s">
        <v>2532</v>
      </c>
      <c r="C3268" t="s">
        <v>6303</v>
      </c>
      <c r="D3268" t="s">
        <v>3474</v>
      </c>
      <c r="E3268" t="s">
        <v>1825</v>
      </c>
      <c r="G3268">
        <v>9.17</v>
      </c>
      <c r="I3268">
        <v>9.3699999999999992</v>
      </c>
      <c r="J3268" t="s">
        <v>2513</v>
      </c>
    </row>
    <row r="3269" spans="1:10" ht="15" customHeight="1" x14ac:dyDescent="0.2">
      <c r="A3269" s="420">
        <v>45770</v>
      </c>
      <c r="B3269" t="s">
        <v>2532</v>
      </c>
      <c r="C3269" t="s">
        <v>6303</v>
      </c>
      <c r="D3269" t="s">
        <v>2811</v>
      </c>
      <c r="E3269" t="s">
        <v>1373</v>
      </c>
      <c r="G3269">
        <v>6.99</v>
      </c>
      <c r="I3269">
        <v>16.36</v>
      </c>
      <c r="J3269" t="s">
        <v>2585</v>
      </c>
    </row>
    <row r="3270" spans="1:10" ht="15" customHeight="1" x14ac:dyDescent="0.2">
      <c r="A3270" s="420">
        <v>45777</v>
      </c>
      <c r="B3270" t="s">
        <v>2517</v>
      </c>
      <c r="C3270" t="s">
        <v>6303</v>
      </c>
      <c r="D3270" t="s">
        <v>6313</v>
      </c>
      <c r="E3270" t="s">
        <v>6314</v>
      </c>
      <c r="F3270">
        <v>9.17</v>
      </c>
      <c r="I3270">
        <v>7.19</v>
      </c>
      <c r="J3270" t="s">
        <v>2513</v>
      </c>
    </row>
    <row r="3271" spans="1:10" ht="15" customHeight="1" x14ac:dyDescent="0.2">
      <c r="A3271" s="420">
        <v>45777</v>
      </c>
      <c r="B3271" t="s">
        <v>2532</v>
      </c>
      <c r="C3271" t="s">
        <v>6303</v>
      </c>
      <c r="D3271" t="s">
        <v>3478</v>
      </c>
      <c r="E3271" t="s">
        <v>6315</v>
      </c>
      <c r="G3271">
        <v>8.2899999999999991</v>
      </c>
      <c r="I3271">
        <v>15.48</v>
      </c>
      <c r="J3271" t="s">
        <v>2585</v>
      </c>
    </row>
    <row r="3272" spans="1:10" ht="15" customHeight="1" x14ac:dyDescent="0.2">
      <c r="A3272" s="420">
        <v>45777</v>
      </c>
      <c r="B3272" t="s">
        <v>2532</v>
      </c>
      <c r="C3272" t="s">
        <v>6303</v>
      </c>
      <c r="D3272" t="s">
        <v>4787</v>
      </c>
      <c r="E3272" t="s">
        <v>4788</v>
      </c>
      <c r="G3272">
        <v>39.28</v>
      </c>
      <c r="I3272">
        <v>54.76</v>
      </c>
      <c r="J3272" t="s">
        <v>2585</v>
      </c>
    </row>
    <row r="3273" spans="1:10" ht="15" customHeight="1" x14ac:dyDescent="0.2">
      <c r="A3273" s="420">
        <v>45784</v>
      </c>
      <c r="B3273" t="s">
        <v>2532</v>
      </c>
      <c r="C3273" t="s">
        <v>6303</v>
      </c>
      <c r="D3273" t="s">
        <v>2813</v>
      </c>
      <c r="E3273" t="s">
        <v>1352</v>
      </c>
      <c r="G3273">
        <v>0.2</v>
      </c>
      <c r="I3273">
        <v>54.96</v>
      </c>
      <c r="J3273" t="s">
        <v>2585</v>
      </c>
    </row>
    <row r="3274" spans="1:10" ht="15" customHeight="1" x14ac:dyDescent="0.2">
      <c r="A3274" s="420">
        <v>45786</v>
      </c>
      <c r="B3274" t="s">
        <v>2547</v>
      </c>
      <c r="C3274" t="s">
        <v>6303</v>
      </c>
      <c r="D3274" t="s">
        <v>2548</v>
      </c>
      <c r="E3274" t="s">
        <v>2549</v>
      </c>
      <c r="G3274">
        <v>100.18</v>
      </c>
      <c r="I3274">
        <v>155.13999999999999</v>
      </c>
      <c r="J3274" t="s">
        <v>2585</v>
      </c>
    </row>
    <row r="3275" spans="1:10" ht="15" customHeight="1" x14ac:dyDescent="0.2">
      <c r="A3275" s="420">
        <v>45792</v>
      </c>
      <c r="B3275" t="s">
        <v>2532</v>
      </c>
      <c r="C3275" t="s">
        <v>6303</v>
      </c>
      <c r="D3275" t="s">
        <v>3482</v>
      </c>
      <c r="E3275" t="s">
        <v>1846</v>
      </c>
      <c r="G3275">
        <v>21.88</v>
      </c>
      <c r="I3275">
        <v>177.02</v>
      </c>
      <c r="J3275" t="s">
        <v>2585</v>
      </c>
    </row>
    <row r="3276" spans="1:10" ht="15" customHeight="1" x14ac:dyDescent="0.2">
      <c r="A3276" s="420">
        <v>45800</v>
      </c>
      <c r="B3276" t="s">
        <v>2532</v>
      </c>
      <c r="C3276" t="s">
        <v>6303</v>
      </c>
      <c r="D3276" t="s">
        <v>2815</v>
      </c>
      <c r="E3276" t="s">
        <v>1358</v>
      </c>
      <c r="G3276">
        <v>6.99</v>
      </c>
      <c r="I3276">
        <v>184.01</v>
      </c>
      <c r="J3276" t="s">
        <v>2585</v>
      </c>
    </row>
    <row r="3277" spans="1:10" ht="15" customHeight="1" x14ac:dyDescent="0.2">
      <c r="A3277" s="420">
        <v>45808</v>
      </c>
      <c r="B3277" t="s">
        <v>2532</v>
      </c>
      <c r="C3277" t="s">
        <v>6303</v>
      </c>
      <c r="D3277" t="s">
        <v>3486</v>
      </c>
      <c r="E3277" t="s">
        <v>6316</v>
      </c>
      <c r="G3277">
        <v>24.16</v>
      </c>
      <c r="I3277">
        <v>208.17</v>
      </c>
      <c r="J3277" t="s">
        <v>2585</v>
      </c>
    </row>
    <row r="3278" spans="1:10" ht="15" customHeight="1" x14ac:dyDescent="0.2">
      <c r="A3278" s="420">
        <v>45808</v>
      </c>
      <c r="B3278" t="s">
        <v>2517</v>
      </c>
      <c r="C3278" t="s">
        <v>6303</v>
      </c>
      <c r="D3278" t="s">
        <v>6317</v>
      </c>
      <c r="E3278" t="s">
        <v>6318</v>
      </c>
      <c r="F3278">
        <v>208.17</v>
      </c>
      <c r="J3278" t="s">
        <v>2585</v>
      </c>
    </row>
    <row r="3279" spans="1:10" ht="15" customHeight="1" x14ac:dyDescent="0.2">
      <c r="A3279" s="420">
        <v>45815</v>
      </c>
      <c r="B3279" t="s">
        <v>2532</v>
      </c>
      <c r="C3279" t="s">
        <v>6303</v>
      </c>
      <c r="D3279" t="s">
        <v>2817</v>
      </c>
      <c r="E3279" t="s">
        <v>1352</v>
      </c>
      <c r="G3279">
        <v>0.2</v>
      </c>
      <c r="I3279">
        <v>0.2</v>
      </c>
      <c r="J3279" t="s">
        <v>2587</v>
      </c>
    </row>
    <row r="3280" spans="1:10" ht="15" customHeight="1" x14ac:dyDescent="0.2">
      <c r="A3280" s="420">
        <v>45823</v>
      </c>
      <c r="B3280" t="s">
        <v>2532</v>
      </c>
      <c r="C3280" t="s">
        <v>6303</v>
      </c>
      <c r="D3280" t="s">
        <v>3490</v>
      </c>
      <c r="E3280" t="s">
        <v>1881</v>
      </c>
      <c r="G3280">
        <v>23.18</v>
      </c>
      <c r="I3280">
        <v>23.38</v>
      </c>
      <c r="J3280" t="s">
        <v>2586</v>
      </c>
    </row>
    <row r="3281" spans="1:10" ht="15" customHeight="1" x14ac:dyDescent="0.2">
      <c r="A3281" s="420">
        <v>45831</v>
      </c>
      <c r="B3281" t="s">
        <v>2532</v>
      </c>
      <c r="C3281" t="s">
        <v>6303</v>
      </c>
      <c r="D3281" t="s">
        <v>2819</v>
      </c>
      <c r="E3281" t="s">
        <v>1373</v>
      </c>
      <c r="G3281">
        <v>6.99</v>
      </c>
      <c r="I3281">
        <v>30.37</v>
      </c>
      <c r="J3281" t="s">
        <v>2586</v>
      </c>
    </row>
    <row r="3282" spans="1:10" ht="15" customHeight="1" x14ac:dyDescent="0.2">
      <c r="A3282" s="420">
        <v>45838</v>
      </c>
      <c r="B3282" t="s">
        <v>2532</v>
      </c>
      <c r="C3282" t="s">
        <v>6303</v>
      </c>
      <c r="D3282" t="s">
        <v>4121</v>
      </c>
      <c r="E3282" t="s">
        <v>1514</v>
      </c>
      <c r="G3282">
        <v>2.8</v>
      </c>
      <c r="I3282">
        <v>33.17</v>
      </c>
      <c r="J3282" t="s">
        <v>2586</v>
      </c>
    </row>
    <row r="3283" spans="1:10" ht="15" customHeight="1" x14ac:dyDescent="0.2">
      <c r="A3283" s="420">
        <v>45838</v>
      </c>
      <c r="B3283" t="s">
        <v>2532</v>
      </c>
      <c r="C3283" t="s">
        <v>6303</v>
      </c>
      <c r="D3283" t="s">
        <v>3494</v>
      </c>
      <c r="E3283" t="s">
        <v>1885</v>
      </c>
      <c r="G3283">
        <v>26.47</v>
      </c>
      <c r="I3283">
        <v>59.64</v>
      </c>
      <c r="J3283" t="s">
        <v>2586</v>
      </c>
    </row>
    <row r="3284" spans="1:10" ht="15" customHeight="1" x14ac:dyDescent="0.2">
      <c r="A3284" s="420">
        <v>45838</v>
      </c>
      <c r="B3284" t="s">
        <v>2517</v>
      </c>
      <c r="C3284" t="s">
        <v>6303</v>
      </c>
      <c r="D3284" t="s">
        <v>6319</v>
      </c>
      <c r="E3284" t="s">
        <v>6320</v>
      </c>
      <c r="F3284">
        <v>59.44</v>
      </c>
      <c r="I3284">
        <v>0.2</v>
      </c>
      <c r="J3284" t="s">
        <v>2586</v>
      </c>
    </row>
    <row r="3285" spans="1:10" ht="15" customHeight="1" x14ac:dyDescent="0.2">
      <c r="A3285" s="420">
        <v>45839</v>
      </c>
      <c r="B3285" t="s">
        <v>2532</v>
      </c>
      <c r="C3285" t="s">
        <v>6303</v>
      </c>
      <c r="D3285" t="s">
        <v>4124</v>
      </c>
      <c r="E3285" t="s">
        <v>1514</v>
      </c>
      <c r="G3285">
        <v>2.8</v>
      </c>
      <c r="I3285">
        <v>3</v>
      </c>
      <c r="J3285" t="s">
        <v>2604</v>
      </c>
    </row>
    <row r="3286" spans="1:10" ht="15" customHeight="1" x14ac:dyDescent="0.2">
      <c r="A3286" s="420">
        <v>45839</v>
      </c>
      <c r="B3286" t="s">
        <v>2547</v>
      </c>
      <c r="C3286" t="s">
        <v>6303</v>
      </c>
      <c r="D3286" t="s">
        <v>5207</v>
      </c>
      <c r="E3286" t="s">
        <v>1752</v>
      </c>
      <c r="G3286">
        <v>25.89</v>
      </c>
      <c r="I3286">
        <v>28.89</v>
      </c>
      <c r="J3286" t="s">
        <v>2511</v>
      </c>
    </row>
    <row r="3287" spans="1:10" ht="15" customHeight="1" x14ac:dyDescent="0.2">
      <c r="A3287" s="420">
        <v>45843</v>
      </c>
      <c r="B3287" t="s">
        <v>2532</v>
      </c>
      <c r="C3287" t="s">
        <v>6303</v>
      </c>
      <c r="D3287" t="s">
        <v>4125</v>
      </c>
      <c r="E3287" t="s">
        <v>1532</v>
      </c>
      <c r="G3287">
        <v>3.96</v>
      </c>
      <c r="I3287">
        <v>32.85</v>
      </c>
      <c r="J3287" t="s">
        <v>2603</v>
      </c>
    </row>
    <row r="3288" spans="1:10" ht="15" customHeight="1" x14ac:dyDescent="0.2">
      <c r="A3288" s="420">
        <v>45843</v>
      </c>
      <c r="B3288" t="s">
        <v>2547</v>
      </c>
      <c r="C3288" t="s">
        <v>6303</v>
      </c>
      <c r="D3288" t="s">
        <v>4126</v>
      </c>
      <c r="E3288" t="s">
        <v>1533</v>
      </c>
      <c r="G3288">
        <v>0.24</v>
      </c>
      <c r="I3288">
        <v>33.090000000000003</v>
      </c>
      <c r="J3288" t="s">
        <v>2603</v>
      </c>
    </row>
    <row r="3289" spans="1:10" ht="15" customHeight="1" x14ac:dyDescent="0.2">
      <c r="A3289" s="420">
        <v>45845</v>
      </c>
      <c r="B3289" t="s">
        <v>2547</v>
      </c>
      <c r="C3289" t="s">
        <v>6303</v>
      </c>
      <c r="D3289" t="s">
        <v>2821</v>
      </c>
      <c r="E3289" t="s">
        <v>1381</v>
      </c>
      <c r="G3289">
        <v>0.2</v>
      </c>
      <c r="I3289">
        <v>33.29</v>
      </c>
      <c r="J3289" t="s">
        <v>2603</v>
      </c>
    </row>
    <row r="3290" spans="1:10" ht="15" customHeight="1" x14ac:dyDescent="0.2">
      <c r="A3290" s="420">
        <v>45853</v>
      </c>
      <c r="B3290" t="s">
        <v>2532</v>
      </c>
      <c r="C3290" t="s">
        <v>6303</v>
      </c>
      <c r="D3290" t="s">
        <v>3497</v>
      </c>
      <c r="E3290" t="s">
        <v>1901</v>
      </c>
      <c r="G3290">
        <v>10.71</v>
      </c>
      <c r="I3290">
        <v>44</v>
      </c>
      <c r="J3290" t="s">
        <v>2587</v>
      </c>
    </row>
    <row r="3291" spans="1:10" ht="15" customHeight="1" x14ac:dyDescent="0.2">
      <c r="A3291" s="420">
        <v>45861</v>
      </c>
      <c r="B3291" t="s">
        <v>2547</v>
      </c>
      <c r="C3291" t="s">
        <v>6303</v>
      </c>
      <c r="D3291" t="s">
        <v>2823</v>
      </c>
      <c r="E3291" t="s">
        <v>1383</v>
      </c>
      <c r="G3291">
        <v>6.99</v>
      </c>
      <c r="I3291">
        <v>50.99</v>
      </c>
      <c r="J3291" t="s">
        <v>2603</v>
      </c>
    </row>
    <row r="3292" spans="1:10" ht="15" customHeight="1" x14ac:dyDescent="0.2">
      <c r="A3292" s="420">
        <v>45869</v>
      </c>
      <c r="B3292" t="s">
        <v>2532</v>
      </c>
      <c r="C3292" t="s">
        <v>6303</v>
      </c>
      <c r="D3292" t="s">
        <v>3502</v>
      </c>
      <c r="E3292" t="s">
        <v>1910</v>
      </c>
      <c r="G3292">
        <v>22.88</v>
      </c>
      <c r="I3292">
        <v>73.87</v>
      </c>
      <c r="J3292" t="s">
        <v>2587</v>
      </c>
    </row>
    <row r="3293" spans="1:10" ht="15" customHeight="1" x14ac:dyDescent="0.2">
      <c r="A3293" s="420">
        <v>45869</v>
      </c>
      <c r="B3293" t="s">
        <v>2547</v>
      </c>
      <c r="C3293" t="s">
        <v>6303</v>
      </c>
      <c r="D3293" t="s">
        <v>3438</v>
      </c>
      <c r="E3293" t="s">
        <v>529</v>
      </c>
      <c r="G3293">
        <v>8.09</v>
      </c>
      <c r="I3293">
        <v>81.96</v>
      </c>
      <c r="J3293" t="s">
        <v>2603</v>
      </c>
    </row>
    <row r="3294" spans="1:10" ht="15" customHeight="1" x14ac:dyDescent="0.2">
      <c r="A3294" s="420">
        <v>45876</v>
      </c>
      <c r="B3294" t="s">
        <v>2532</v>
      </c>
      <c r="C3294" t="s">
        <v>6303</v>
      </c>
      <c r="D3294" t="s">
        <v>2825</v>
      </c>
      <c r="E3294" t="s">
        <v>1381</v>
      </c>
      <c r="G3294">
        <v>0.2</v>
      </c>
      <c r="I3294">
        <v>82.16</v>
      </c>
      <c r="J3294" t="s">
        <v>2603</v>
      </c>
    </row>
    <row r="3295" spans="1:10" ht="15" customHeight="1" x14ac:dyDescent="0.2">
      <c r="A3295" s="420">
        <v>45884</v>
      </c>
      <c r="B3295" t="s">
        <v>2532</v>
      </c>
      <c r="C3295" t="s">
        <v>6303</v>
      </c>
      <c r="D3295" t="s">
        <v>3505</v>
      </c>
      <c r="E3295" t="s">
        <v>1916</v>
      </c>
      <c r="G3295">
        <v>43.23</v>
      </c>
      <c r="I3295">
        <v>125.39</v>
      </c>
      <c r="J3295" t="s">
        <v>2587</v>
      </c>
    </row>
    <row r="3296" spans="1:10" ht="15" customHeight="1" x14ac:dyDescent="0.2">
      <c r="A3296" s="420">
        <v>45892</v>
      </c>
      <c r="B3296" t="s">
        <v>2532</v>
      </c>
      <c r="C3296" t="s">
        <v>6303</v>
      </c>
      <c r="D3296" t="s">
        <v>2827</v>
      </c>
      <c r="E3296" t="s">
        <v>1373</v>
      </c>
      <c r="G3296">
        <v>6.99</v>
      </c>
      <c r="I3296">
        <v>132.38</v>
      </c>
      <c r="J3296" t="s">
        <v>2603</v>
      </c>
    </row>
    <row r="3297" spans="1:10" ht="15" customHeight="1" x14ac:dyDescent="0.2">
      <c r="A3297" s="420">
        <v>45899</v>
      </c>
      <c r="B3297" t="s">
        <v>2532</v>
      </c>
      <c r="C3297" t="s">
        <v>6303</v>
      </c>
      <c r="D3297" t="s">
        <v>4132</v>
      </c>
      <c r="E3297" t="s">
        <v>1555</v>
      </c>
      <c r="G3297">
        <v>2.8</v>
      </c>
      <c r="I3297">
        <v>135.18</v>
      </c>
      <c r="J3297" t="s">
        <v>2603</v>
      </c>
    </row>
    <row r="3298" spans="1:10" ht="15" customHeight="1" x14ac:dyDescent="0.2">
      <c r="A3298" s="420">
        <v>45900</v>
      </c>
      <c r="B3298" t="s">
        <v>2517</v>
      </c>
      <c r="C3298" t="s">
        <v>6303</v>
      </c>
      <c r="D3298" t="s">
        <v>6321</v>
      </c>
      <c r="E3298" t="s">
        <v>6322</v>
      </c>
      <c r="F3298">
        <v>77.02</v>
      </c>
      <c r="I3298">
        <v>58.16</v>
      </c>
      <c r="J3298" t="s">
        <v>2587</v>
      </c>
    </row>
    <row r="3299" spans="1:10" ht="15" customHeight="1" x14ac:dyDescent="0.2">
      <c r="A3299" s="420">
        <v>45900</v>
      </c>
      <c r="B3299" t="s">
        <v>2532</v>
      </c>
      <c r="C3299" t="s">
        <v>6303</v>
      </c>
      <c r="D3299" t="s">
        <v>3440</v>
      </c>
      <c r="E3299" t="s">
        <v>537</v>
      </c>
      <c r="G3299">
        <v>9.82</v>
      </c>
      <c r="I3299">
        <v>67.98</v>
      </c>
      <c r="J3299" t="s">
        <v>2603</v>
      </c>
    </row>
    <row r="3300" spans="1:10" ht="15" customHeight="1" x14ac:dyDescent="0.2">
      <c r="A3300" s="420">
        <v>45900</v>
      </c>
      <c r="B3300" t="s">
        <v>2532</v>
      </c>
      <c r="C3300" t="s">
        <v>6303</v>
      </c>
      <c r="D3300" t="s">
        <v>3509</v>
      </c>
      <c r="E3300" t="s">
        <v>1923</v>
      </c>
      <c r="G3300">
        <v>24.06</v>
      </c>
      <c r="I3300">
        <v>92.04</v>
      </c>
      <c r="J3300" t="s">
        <v>2603</v>
      </c>
    </row>
    <row r="3301" spans="1:10" ht="15" customHeight="1" x14ac:dyDescent="0.2">
      <c r="A3301" s="420">
        <v>45915</v>
      </c>
      <c r="B3301" t="s">
        <v>2532</v>
      </c>
      <c r="C3301" t="s">
        <v>6303</v>
      </c>
      <c r="D3301" t="s">
        <v>3512</v>
      </c>
      <c r="E3301" t="s">
        <v>1937</v>
      </c>
      <c r="G3301">
        <v>35.5</v>
      </c>
      <c r="I3301">
        <v>127.54</v>
      </c>
      <c r="J3301" t="s">
        <v>2603</v>
      </c>
    </row>
    <row r="3302" spans="1:10" ht="15" customHeight="1" x14ac:dyDescent="0.2">
      <c r="A3302" s="420">
        <v>45923</v>
      </c>
      <c r="B3302" t="s">
        <v>2547</v>
      </c>
      <c r="C3302" t="s">
        <v>6303</v>
      </c>
      <c r="D3302" t="s">
        <v>2830</v>
      </c>
      <c r="E3302" t="s">
        <v>1381</v>
      </c>
      <c r="G3302">
        <v>6.99</v>
      </c>
      <c r="I3302">
        <v>134.53</v>
      </c>
      <c r="J3302" t="s">
        <v>2603</v>
      </c>
    </row>
    <row r="3303" spans="1:10" ht="15" customHeight="1" x14ac:dyDescent="0.2">
      <c r="A3303" s="420">
        <v>45929</v>
      </c>
      <c r="B3303" t="s">
        <v>2532</v>
      </c>
      <c r="C3303" t="s">
        <v>6303</v>
      </c>
      <c r="D3303" t="s">
        <v>2539</v>
      </c>
      <c r="E3303" t="s">
        <v>2540</v>
      </c>
      <c r="G3303">
        <v>313.60000000000002</v>
      </c>
      <c r="I3303">
        <v>448.13</v>
      </c>
      <c r="J3303" t="s">
        <v>2603</v>
      </c>
    </row>
    <row r="3304" spans="1:10" ht="15" customHeight="1" x14ac:dyDescent="0.2">
      <c r="A3304" s="420">
        <v>45930</v>
      </c>
      <c r="B3304" t="s">
        <v>2532</v>
      </c>
      <c r="C3304" t="s">
        <v>6303</v>
      </c>
      <c r="D3304" t="s">
        <v>3516</v>
      </c>
      <c r="E3304" t="s">
        <v>1940</v>
      </c>
      <c r="G3304">
        <v>24.17</v>
      </c>
      <c r="I3304">
        <v>472.3</v>
      </c>
      <c r="J3304" t="s">
        <v>2603</v>
      </c>
    </row>
    <row r="3305" spans="1:10" ht="15" customHeight="1" x14ac:dyDescent="0.2">
      <c r="A3305" s="420">
        <v>45930</v>
      </c>
      <c r="B3305" t="s">
        <v>2532</v>
      </c>
      <c r="C3305" t="s">
        <v>6303</v>
      </c>
      <c r="D3305" t="s">
        <v>3443</v>
      </c>
      <c r="E3305" t="s">
        <v>550</v>
      </c>
      <c r="G3305">
        <v>10.67</v>
      </c>
      <c r="I3305">
        <v>482.97</v>
      </c>
      <c r="J3305" t="s">
        <v>2603</v>
      </c>
    </row>
    <row r="3306" spans="1:10" ht="15" customHeight="1" x14ac:dyDescent="0.2">
      <c r="A3306" s="420">
        <v>45930</v>
      </c>
      <c r="B3306" t="s">
        <v>2517</v>
      </c>
      <c r="C3306" t="s">
        <v>6303</v>
      </c>
      <c r="D3306" t="s">
        <v>6323</v>
      </c>
      <c r="E3306" t="s">
        <v>6324</v>
      </c>
      <c r="F3306">
        <v>145.37</v>
      </c>
      <c r="I3306">
        <v>337.6</v>
      </c>
      <c r="J3306" t="s">
        <v>2603</v>
      </c>
    </row>
    <row r="3307" spans="1:10" ht="15" customHeight="1" x14ac:dyDescent="0.2">
      <c r="A3307" s="420">
        <v>45930</v>
      </c>
      <c r="B3307" t="s">
        <v>2532</v>
      </c>
      <c r="C3307" t="s">
        <v>6303</v>
      </c>
      <c r="D3307" t="s">
        <v>4136</v>
      </c>
      <c r="E3307" t="s">
        <v>1576</v>
      </c>
      <c r="G3307">
        <v>2.8</v>
      </c>
      <c r="I3307">
        <v>340.4</v>
      </c>
      <c r="J3307" t="s">
        <v>2603</v>
      </c>
    </row>
    <row r="3308" spans="1:10" ht="15" customHeight="1" x14ac:dyDescent="0.2">
      <c r="A3308" s="420">
        <v>45937</v>
      </c>
      <c r="B3308" t="s">
        <v>2532</v>
      </c>
      <c r="C3308" t="s">
        <v>6303</v>
      </c>
      <c r="D3308" t="s">
        <v>2835</v>
      </c>
      <c r="E3308" t="s">
        <v>1405</v>
      </c>
      <c r="G3308">
        <v>0.2</v>
      </c>
      <c r="I3308">
        <v>340.6</v>
      </c>
      <c r="J3308" t="s">
        <v>2603</v>
      </c>
    </row>
    <row r="3309" spans="1:10" ht="15" customHeight="1" x14ac:dyDescent="0.2">
      <c r="A3309" s="420">
        <v>45940</v>
      </c>
      <c r="B3309" t="s">
        <v>2532</v>
      </c>
      <c r="C3309" t="s">
        <v>6303</v>
      </c>
      <c r="D3309" t="s">
        <v>2837</v>
      </c>
      <c r="E3309" t="s">
        <v>1407</v>
      </c>
      <c r="G3309">
        <v>19.8</v>
      </c>
      <c r="I3309">
        <v>360.4</v>
      </c>
      <c r="J3309" t="s">
        <v>2603</v>
      </c>
    </row>
    <row r="3310" spans="1:10" ht="15" customHeight="1" x14ac:dyDescent="0.2">
      <c r="A3310" s="420">
        <v>45945</v>
      </c>
      <c r="B3310" t="s">
        <v>2532</v>
      </c>
      <c r="C3310" t="s">
        <v>6303</v>
      </c>
      <c r="D3310" t="s">
        <v>3519</v>
      </c>
      <c r="E3310" t="s">
        <v>1955</v>
      </c>
      <c r="G3310">
        <v>33.06</v>
      </c>
      <c r="I3310">
        <v>393.46</v>
      </c>
      <c r="J3310" t="s">
        <v>2603</v>
      </c>
    </row>
    <row r="3311" spans="1:10" ht="15" customHeight="1" x14ac:dyDescent="0.2">
      <c r="A3311" s="420">
        <v>45953</v>
      </c>
      <c r="B3311" t="s">
        <v>2532</v>
      </c>
      <c r="C3311" t="s">
        <v>6303</v>
      </c>
      <c r="D3311" t="s">
        <v>2839</v>
      </c>
      <c r="E3311" t="s">
        <v>1411</v>
      </c>
      <c r="G3311">
        <v>6.99</v>
      </c>
      <c r="I3311">
        <v>400.45</v>
      </c>
      <c r="J3311" t="s">
        <v>2603</v>
      </c>
    </row>
    <row r="3312" spans="1:10" ht="15" customHeight="1" x14ac:dyDescent="0.2">
      <c r="A3312" s="420">
        <v>45960</v>
      </c>
      <c r="B3312" t="s">
        <v>2532</v>
      </c>
      <c r="C3312" t="s">
        <v>6303</v>
      </c>
      <c r="D3312" t="s">
        <v>4138</v>
      </c>
      <c r="E3312" t="s">
        <v>1586</v>
      </c>
      <c r="G3312">
        <v>2.8</v>
      </c>
      <c r="I3312">
        <v>403.25</v>
      </c>
      <c r="J3312" t="s">
        <v>2603</v>
      </c>
    </row>
    <row r="3313" spans="1:10" ht="15" customHeight="1" x14ac:dyDescent="0.2">
      <c r="A3313" s="420">
        <v>45961</v>
      </c>
      <c r="B3313" t="s">
        <v>2532</v>
      </c>
      <c r="C3313" t="s">
        <v>6303</v>
      </c>
      <c r="D3313" t="s">
        <v>3523</v>
      </c>
      <c r="E3313" t="s">
        <v>1963</v>
      </c>
      <c r="G3313">
        <v>33.61</v>
      </c>
      <c r="I3313">
        <v>436.86</v>
      </c>
      <c r="J3313" t="s">
        <v>2603</v>
      </c>
    </row>
    <row r="3314" spans="1:10" ht="15" customHeight="1" x14ac:dyDescent="0.2">
      <c r="A3314" s="420">
        <v>45961</v>
      </c>
      <c r="B3314" t="s">
        <v>2532</v>
      </c>
      <c r="C3314" t="s">
        <v>6303</v>
      </c>
      <c r="D3314" t="s">
        <v>3445</v>
      </c>
      <c r="E3314" t="s">
        <v>564</v>
      </c>
      <c r="G3314">
        <v>14.75</v>
      </c>
      <c r="I3314">
        <v>451.61</v>
      </c>
      <c r="J3314" t="s">
        <v>2603</v>
      </c>
    </row>
    <row r="3315" spans="1:10" ht="15" customHeight="1" x14ac:dyDescent="0.2">
      <c r="A3315" s="420">
        <v>45961</v>
      </c>
      <c r="B3315" t="s">
        <v>2517</v>
      </c>
      <c r="C3315" t="s">
        <v>6303</v>
      </c>
      <c r="D3315" t="s">
        <v>6325</v>
      </c>
      <c r="E3315" t="s">
        <v>6326</v>
      </c>
      <c r="F3315">
        <v>422.92</v>
      </c>
      <c r="I3315">
        <v>28.69</v>
      </c>
      <c r="J3315" t="s">
        <v>2603</v>
      </c>
    </row>
    <row r="3316" spans="1:10" ht="15" customHeight="1" x14ac:dyDescent="0.2">
      <c r="A3316" s="420">
        <v>45971</v>
      </c>
      <c r="B3316" t="s">
        <v>2547</v>
      </c>
      <c r="C3316" t="s">
        <v>6303</v>
      </c>
      <c r="D3316" t="s">
        <v>2842</v>
      </c>
      <c r="E3316" t="s">
        <v>1418</v>
      </c>
      <c r="G3316">
        <v>0.2</v>
      </c>
      <c r="I3316">
        <v>28.89</v>
      </c>
      <c r="J3316" t="s">
        <v>2604</v>
      </c>
    </row>
    <row r="3317" spans="1:10" ht="15" customHeight="1" x14ac:dyDescent="0.2">
      <c r="A3317" s="420">
        <v>45972</v>
      </c>
      <c r="B3317" t="s">
        <v>2532</v>
      </c>
      <c r="C3317" t="s">
        <v>6303</v>
      </c>
      <c r="D3317" t="s">
        <v>2843</v>
      </c>
      <c r="E3317" t="s">
        <v>1419</v>
      </c>
      <c r="G3317">
        <v>0.2</v>
      </c>
      <c r="I3317">
        <v>29.09</v>
      </c>
      <c r="J3317" t="s">
        <v>2604</v>
      </c>
    </row>
    <row r="3318" spans="1:10" ht="15" customHeight="1" x14ac:dyDescent="0.2">
      <c r="A3318" s="420">
        <v>45976</v>
      </c>
      <c r="B3318" t="s">
        <v>2532</v>
      </c>
      <c r="C3318" t="s">
        <v>6303</v>
      </c>
      <c r="D3318" t="s">
        <v>3526</v>
      </c>
      <c r="E3318" t="s">
        <v>1974</v>
      </c>
      <c r="G3318">
        <v>18.02</v>
      </c>
      <c r="I3318">
        <v>47.11</v>
      </c>
      <c r="J3318" t="s">
        <v>2604</v>
      </c>
    </row>
    <row r="3319" spans="1:10" ht="15" customHeight="1" x14ac:dyDescent="0.2">
      <c r="A3319" s="420">
        <v>45984</v>
      </c>
      <c r="B3319" t="s">
        <v>2532</v>
      </c>
      <c r="C3319" t="s">
        <v>6303</v>
      </c>
      <c r="D3319" t="s">
        <v>2844</v>
      </c>
      <c r="E3319" t="s">
        <v>1424</v>
      </c>
      <c r="G3319">
        <v>6.99</v>
      </c>
      <c r="I3319">
        <v>54.1</v>
      </c>
      <c r="J3319" t="s">
        <v>2604</v>
      </c>
    </row>
    <row r="3320" spans="1:10" ht="15" customHeight="1" x14ac:dyDescent="0.2">
      <c r="A3320" s="420">
        <v>45991</v>
      </c>
      <c r="B3320" t="s">
        <v>2532</v>
      </c>
      <c r="C3320" t="s">
        <v>6303</v>
      </c>
      <c r="D3320" t="s">
        <v>3530</v>
      </c>
      <c r="E3320" t="s">
        <v>1983</v>
      </c>
      <c r="G3320">
        <v>33.08</v>
      </c>
      <c r="I3320">
        <v>87.18</v>
      </c>
      <c r="J3320" t="s">
        <v>2604</v>
      </c>
    </row>
    <row r="3321" spans="1:10" ht="15" customHeight="1" x14ac:dyDescent="0.2">
      <c r="A3321" s="420">
        <v>45991</v>
      </c>
      <c r="B3321" t="s">
        <v>2532</v>
      </c>
      <c r="C3321" t="s">
        <v>6303</v>
      </c>
      <c r="D3321" t="s">
        <v>3447</v>
      </c>
      <c r="E3321" t="s">
        <v>572</v>
      </c>
      <c r="G3321">
        <v>10.15</v>
      </c>
      <c r="I3321">
        <v>97.33</v>
      </c>
      <c r="J3321" t="s">
        <v>2604</v>
      </c>
    </row>
    <row r="3322" spans="1:10" ht="15" customHeight="1" x14ac:dyDescent="0.2">
      <c r="A3322" s="420">
        <v>45991</v>
      </c>
      <c r="B3322" t="s">
        <v>2517</v>
      </c>
      <c r="C3322" t="s">
        <v>6303</v>
      </c>
      <c r="D3322" t="s">
        <v>6327</v>
      </c>
      <c r="E3322" t="s">
        <v>6328</v>
      </c>
      <c r="F3322">
        <v>71.44</v>
      </c>
      <c r="I3322">
        <v>25.89</v>
      </c>
      <c r="J3322" t="s">
        <v>2604</v>
      </c>
    </row>
    <row r="3323" spans="1:10" ht="15" customHeight="1" x14ac:dyDescent="0.2">
      <c r="A3323" s="420">
        <v>45999</v>
      </c>
      <c r="B3323" t="s">
        <v>2532</v>
      </c>
      <c r="C3323" t="s">
        <v>6303</v>
      </c>
      <c r="D3323" t="s">
        <v>2847</v>
      </c>
      <c r="E3323" t="s">
        <v>1427</v>
      </c>
      <c r="G3323">
        <v>0.2</v>
      </c>
      <c r="I3323">
        <v>26.09</v>
      </c>
      <c r="J3323" t="s">
        <v>2599</v>
      </c>
    </row>
    <row r="3324" spans="1:10" ht="15" customHeight="1" x14ac:dyDescent="0.2">
      <c r="A3324" s="420">
        <v>46006</v>
      </c>
      <c r="B3324" t="s">
        <v>2547</v>
      </c>
      <c r="C3324" t="s">
        <v>6303</v>
      </c>
      <c r="D3324" t="s">
        <v>3533</v>
      </c>
      <c r="E3324" t="s">
        <v>1797</v>
      </c>
      <c r="G3324">
        <v>37.299999999999997</v>
      </c>
      <c r="I3324">
        <v>63.39</v>
      </c>
      <c r="J3324" t="s">
        <v>2599</v>
      </c>
    </row>
    <row r="3325" spans="1:10" ht="15" customHeight="1" x14ac:dyDescent="0.2">
      <c r="A3325" s="420">
        <v>46014</v>
      </c>
      <c r="B3325" t="s">
        <v>2532</v>
      </c>
      <c r="C3325" t="s">
        <v>6303</v>
      </c>
      <c r="D3325" t="s">
        <v>2848</v>
      </c>
      <c r="E3325" t="s">
        <v>1381</v>
      </c>
      <c r="G3325">
        <v>6.99</v>
      </c>
      <c r="I3325">
        <v>70.38</v>
      </c>
      <c r="J3325" t="s">
        <v>2599</v>
      </c>
    </row>
    <row r="3326" spans="1:10" ht="15" customHeight="1" x14ac:dyDescent="0.2">
      <c r="A3326" s="420">
        <v>46022</v>
      </c>
      <c r="B3326" t="s">
        <v>2517</v>
      </c>
      <c r="C3326" t="s">
        <v>6303</v>
      </c>
      <c r="D3326" t="s">
        <v>6329</v>
      </c>
      <c r="E3326" t="s">
        <v>6330</v>
      </c>
      <c r="F3326">
        <v>44.49</v>
      </c>
      <c r="I3326">
        <v>25.89</v>
      </c>
      <c r="J3326" t="s">
        <v>2599</v>
      </c>
    </row>
    <row r="3327" spans="1:10" ht="15" customHeight="1" x14ac:dyDescent="0.2">
      <c r="A3327" s="420">
        <v>46022</v>
      </c>
      <c r="B3327" t="s">
        <v>2547</v>
      </c>
      <c r="C3327" t="s">
        <v>6303</v>
      </c>
      <c r="D3327" t="s">
        <v>3449</v>
      </c>
      <c r="E3327" t="s">
        <v>529</v>
      </c>
      <c r="G3327">
        <v>22.38</v>
      </c>
      <c r="I3327">
        <v>48.27</v>
      </c>
      <c r="J3327" t="s">
        <v>2511</v>
      </c>
    </row>
    <row r="3328" spans="1:10" ht="15" customHeight="1" x14ac:dyDescent="0.2">
      <c r="A3328" s="420">
        <v>46022</v>
      </c>
      <c r="B3328" t="s">
        <v>2547</v>
      </c>
      <c r="C3328" t="s">
        <v>6303</v>
      </c>
      <c r="D3328" t="s">
        <v>3537</v>
      </c>
      <c r="E3328" t="s">
        <v>1797</v>
      </c>
      <c r="G3328">
        <v>21.84</v>
      </c>
      <c r="I3328">
        <v>70.11</v>
      </c>
      <c r="J3328" t="s">
        <v>2511</v>
      </c>
    </row>
    <row r="3329" spans="1:10" ht="15" customHeight="1" x14ac:dyDescent="0.2">
      <c r="A3329" t="s">
        <v>6303</v>
      </c>
      <c r="E3329" t="s">
        <v>349</v>
      </c>
      <c r="F3329">
        <v>1448.82</v>
      </c>
      <c r="G3329">
        <v>1518.93</v>
      </c>
      <c r="I3329">
        <v>70.11</v>
      </c>
    </row>
    <row r="3331" spans="1:10" ht="15" customHeight="1" x14ac:dyDescent="0.2">
      <c r="A3331" t="s">
        <v>6331</v>
      </c>
      <c r="B3331" t="s">
        <v>6332</v>
      </c>
      <c r="F3331" t="s">
        <v>2430</v>
      </c>
      <c r="G3331" t="s">
        <v>2431</v>
      </c>
      <c r="H3331" t="s">
        <v>2432</v>
      </c>
      <c r="I3331" t="s">
        <v>2433</v>
      </c>
      <c r="J3331" t="s">
        <v>2434</v>
      </c>
    </row>
    <row r="3332" spans="1:10" ht="15" customHeight="1" x14ac:dyDescent="0.2">
      <c r="A3332" s="420">
        <v>45660</v>
      </c>
      <c r="B3332" t="s">
        <v>2532</v>
      </c>
      <c r="C3332" t="s">
        <v>6331</v>
      </c>
      <c r="D3332" t="s">
        <v>4295</v>
      </c>
      <c r="E3332" t="s">
        <v>4296</v>
      </c>
      <c r="G3332">
        <v>13738.34</v>
      </c>
      <c r="I3332">
        <v>13738.34</v>
      </c>
      <c r="J3332" t="s">
        <v>2511</v>
      </c>
    </row>
    <row r="3333" spans="1:10" ht="15" customHeight="1" x14ac:dyDescent="0.2">
      <c r="A3333" s="420">
        <v>45688</v>
      </c>
      <c r="B3333" t="s">
        <v>2517</v>
      </c>
      <c r="C3333" t="s">
        <v>6331</v>
      </c>
      <c r="D3333" t="s">
        <v>6306</v>
      </c>
      <c r="E3333" t="s">
        <v>6333</v>
      </c>
      <c r="F3333">
        <v>13738.34</v>
      </c>
      <c r="J3333" t="s">
        <v>2511</v>
      </c>
    </row>
    <row r="3334" spans="1:10" ht="15" customHeight="1" x14ac:dyDescent="0.2">
      <c r="A3334" s="420">
        <v>45698</v>
      </c>
      <c r="B3334" t="s">
        <v>2532</v>
      </c>
      <c r="C3334" t="s">
        <v>6331</v>
      </c>
      <c r="D3334" t="s">
        <v>4318</v>
      </c>
      <c r="E3334" t="s">
        <v>4319</v>
      </c>
      <c r="G3334">
        <v>15004.2</v>
      </c>
      <c r="I3334">
        <v>15004.2</v>
      </c>
      <c r="J3334" t="s">
        <v>2509</v>
      </c>
    </row>
    <row r="3335" spans="1:10" ht="15" customHeight="1" x14ac:dyDescent="0.2">
      <c r="A3335" s="420">
        <v>45698</v>
      </c>
      <c r="B3335" t="s">
        <v>2532</v>
      </c>
      <c r="C3335" t="s">
        <v>6331</v>
      </c>
      <c r="D3335" t="s">
        <v>4320</v>
      </c>
      <c r="E3335" t="s">
        <v>4321</v>
      </c>
      <c r="G3335">
        <v>1520.03</v>
      </c>
      <c r="I3335">
        <v>16524.23</v>
      </c>
      <c r="J3335" t="s">
        <v>2509</v>
      </c>
    </row>
    <row r="3336" spans="1:10" ht="15" customHeight="1" x14ac:dyDescent="0.2">
      <c r="A3336" s="420">
        <v>45716</v>
      </c>
      <c r="B3336" t="s">
        <v>2517</v>
      </c>
      <c r="C3336" t="s">
        <v>6331</v>
      </c>
      <c r="D3336" t="s">
        <v>6309</v>
      </c>
      <c r="E3336" t="s">
        <v>6334</v>
      </c>
      <c r="F3336">
        <v>16254.23</v>
      </c>
      <c r="I3336">
        <v>270</v>
      </c>
      <c r="J3336" t="s">
        <v>2509</v>
      </c>
    </row>
    <row r="3337" spans="1:10" ht="15" customHeight="1" x14ac:dyDescent="0.2">
      <c r="A3337" s="420">
        <v>45733</v>
      </c>
      <c r="B3337" t="s">
        <v>2532</v>
      </c>
      <c r="C3337" t="s">
        <v>6331</v>
      </c>
      <c r="D3337" t="s">
        <v>4306</v>
      </c>
      <c r="E3337" t="s">
        <v>4307</v>
      </c>
      <c r="G3337">
        <v>1520.03</v>
      </c>
      <c r="I3337">
        <v>1790.03</v>
      </c>
      <c r="J3337" t="s">
        <v>2509</v>
      </c>
    </row>
    <row r="3338" spans="1:10" ht="15" customHeight="1" x14ac:dyDescent="0.2">
      <c r="A3338" s="420">
        <v>45733</v>
      </c>
      <c r="B3338" t="s">
        <v>2532</v>
      </c>
      <c r="C3338" t="s">
        <v>6331</v>
      </c>
      <c r="D3338" t="s">
        <v>4308</v>
      </c>
      <c r="E3338" t="s">
        <v>4307</v>
      </c>
      <c r="G3338">
        <v>14127.02</v>
      </c>
      <c r="I3338">
        <v>15917.05</v>
      </c>
      <c r="J3338" t="s">
        <v>2509</v>
      </c>
    </row>
    <row r="3339" spans="1:10" ht="15" customHeight="1" x14ac:dyDescent="0.2">
      <c r="A3339" s="420">
        <v>45747</v>
      </c>
      <c r="B3339" t="s">
        <v>2517</v>
      </c>
      <c r="C3339" t="s">
        <v>6331</v>
      </c>
      <c r="D3339" t="s">
        <v>6311</v>
      </c>
      <c r="E3339" t="s">
        <v>6335</v>
      </c>
      <c r="F3339">
        <v>15917.05</v>
      </c>
      <c r="J3339" t="s">
        <v>2509</v>
      </c>
    </row>
    <row r="3340" spans="1:10" ht="15" customHeight="1" x14ac:dyDescent="0.2">
      <c r="A3340" t="s">
        <v>6331</v>
      </c>
      <c r="E3340" t="s">
        <v>349</v>
      </c>
      <c r="F3340">
        <v>45909.62</v>
      </c>
      <c r="G3340">
        <v>45909.62</v>
      </c>
    </row>
    <row r="3342" spans="1:10" ht="15" customHeight="1" x14ac:dyDescent="0.2">
      <c r="A3342" t="s">
        <v>6336</v>
      </c>
      <c r="B3342" t="s">
        <v>6337</v>
      </c>
      <c r="F3342" t="s">
        <v>2430</v>
      </c>
      <c r="G3342" t="s">
        <v>2431</v>
      </c>
      <c r="H3342" t="s">
        <v>2432</v>
      </c>
      <c r="I3342" t="s">
        <v>2433</v>
      </c>
      <c r="J3342" t="s">
        <v>2434</v>
      </c>
    </row>
    <row r="3343" spans="1:10" ht="15" customHeight="1" x14ac:dyDescent="0.2">
      <c r="A3343" s="420">
        <v>45658</v>
      </c>
      <c r="B3343" t="s">
        <v>2435</v>
      </c>
      <c r="C3343" t="s">
        <v>6336</v>
      </c>
      <c r="D3343" t="s">
        <v>2436</v>
      </c>
      <c r="E3343" t="s">
        <v>6338</v>
      </c>
      <c r="G3343">
        <v>3.36</v>
      </c>
      <c r="I3343">
        <v>3.36</v>
      </c>
    </row>
    <row r="3344" spans="1:10" ht="15" customHeight="1" x14ac:dyDescent="0.2">
      <c r="A3344" s="420">
        <v>45658</v>
      </c>
      <c r="B3344" t="s">
        <v>2435</v>
      </c>
      <c r="C3344" t="s">
        <v>6336</v>
      </c>
      <c r="D3344" t="s">
        <v>2436</v>
      </c>
      <c r="E3344" t="s">
        <v>6339</v>
      </c>
      <c r="G3344">
        <v>3.36</v>
      </c>
      <c r="I3344">
        <v>6.72</v>
      </c>
    </row>
    <row r="3345" spans="1:9" ht="15" customHeight="1" x14ac:dyDescent="0.2">
      <c r="A3345" s="420">
        <v>45658</v>
      </c>
      <c r="B3345" t="s">
        <v>2435</v>
      </c>
      <c r="C3345" t="s">
        <v>6336</v>
      </c>
      <c r="D3345" t="s">
        <v>2436</v>
      </c>
      <c r="E3345" t="s">
        <v>6340</v>
      </c>
      <c r="G3345">
        <v>4</v>
      </c>
      <c r="I3345">
        <v>10.72</v>
      </c>
    </row>
    <row r="3346" spans="1:9" ht="15" customHeight="1" x14ac:dyDescent="0.2">
      <c r="A3346" s="420">
        <v>45658</v>
      </c>
      <c r="B3346" t="s">
        <v>2435</v>
      </c>
      <c r="C3346" t="s">
        <v>6336</v>
      </c>
      <c r="D3346" t="s">
        <v>2436</v>
      </c>
      <c r="E3346" t="s">
        <v>6341</v>
      </c>
      <c r="G3346">
        <v>2.8</v>
      </c>
      <c r="I3346">
        <v>13.52</v>
      </c>
    </row>
    <row r="3347" spans="1:9" ht="15" customHeight="1" x14ac:dyDescent="0.2">
      <c r="A3347" s="420">
        <v>45658</v>
      </c>
      <c r="B3347" t="s">
        <v>2435</v>
      </c>
      <c r="C3347" t="s">
        <v>6336</v>
      </c>
      <c r="D3347" t="s">
        <v>2436</v>
      </c>
      <c r="E3347" t="s">
        <v>6341</v>
      </c>
      <c r="G3347">
        <v>14.39</v>
      </c>
      <c r="I3347">
        <v>27.91</v>
      </c>
    </row>
    <row r="3348" spans="1:9" ht="15" customHeight="1" x14ac:dyDescent="0.2">
      <c r="A3348" s="420">
        <v>45658</v>
      </c>
      <c r="B3348" t="s">
        <v>2435</v>
      </c>
      <c r="C3348" t="s">
        <v>6336</v>
      </c>
      <c r="D3348" t="s">
        <v>2436</v>
      </c>
      <c r="E3348" t="s">
        <v>6342</v>
      </c>
      <c r="G3348">
        <v>10.71</v>
      </c>
      <c r="I3348">
        <v>38.619999999999997</v>
      </c>
    </row>
    <row r="3349" spans="1:9" ht="15" customHeight="1" x14ac:dyDescent="0.2">
      <c r="A3349" s="420">
        <v>45658</v>
      </c>
      <c r="B3349" t="s">
        <v>2435</v>
      </c>
      <c r="C3349" t="s">
        <v>6336</v>
      </c>
      <c r="D3349" t="s">
        <v>2436</v>
      </c>
      <c r="E3349" t="s">
        <v>6343</v>
      </c>
      <c r="G3349">
        <v>3.36</v>
      </c>
      <c r="I3349">
        <v>41.98</v>
      </c>
    </row>
    <row r="3350" spans="1:9" ht="15" customHeight="1" x14ac:dyDescent="0.2">
      <c r="A3350" s="420">
        <v>45658</v>
      </c>
      <c r="B3350" t="s">
        <v>2435</v>
      </c>
      <c r="C3350" t="s">
        <v>6336</v>
      </c>
      <c r="D3350" t="s">
        <v>2436</v>
      </c>
      <c r="E3350" t="s">
        <v>6344</v>
      </c>
      <c r="G3350">
        <v>2.4</v>
      </c>
      <c r="I3350">
        <v>44.38</v>
      </c>
    </row>
    <row r="3351" spans="1:9" ht="15" customHeight="1" x14ac:dyDescent="0.2">
      <c r="A3351" s="420">
        <v>45658</v>
      </c>
      <c r="B3351" t="s">
        <v>2435</v>
      </c>
      <c r="C3351" t="s">
        <v>6336</v>
      </c>
      <c r="D3351" t="s">
        <v>2436</v>
      </c>
      <c r="E3351" t="s">
        <v>6345</v>
      </c>
      <c r="G3351">
        <v>3.36</v>
      </c>
      <c r="I3351">
        <v>47.74</v>
      </c>
    </row>
    <row r="3352" spans="1:9" ht="15" customHeight="1" x14ac:dyDescent="0.2">
      <c r="A3352" s="420">
        <v>45658</v>
      </c>
      <c r="B3352" t="s">
        <v>2435</v>
      </c>
      <c r="C3352" t="s">
        <v>6336</v>
      </c>
      <c r="D3352" t="s">
        <v>2436</v>
      </c>
      <c r="E3352" t="s">
        <v>6346</v>
      </c>
      <c r="G3352">
        <v>4</v>
      </c>
      <c r="I3352">
        <v>51.74</v>
      </c>
    </row>
    <row r="3353" spans="1:9" ht="15" customHeight="1" x14ac:dyDescent="0.2">
      <c r="A3353" s="420">
        <v>45658</v>
      </c>
      <c r="B3353" t="s">
        <v>2435</v>
      </c>
      <c r="C3353" t="s">
        <v>6336</v>
      </c>
      <c r="D3353" t="s">
        <v>2436</v>
      </c>
      <c r="E3353" t="s">
        <v>6347</v>
      </c>
      <c r="G3353">
        <v>3.36</v>
      </c>
      <c r="I3353">
        <v>55.1</v>
      </c>
    </row>
    <row r="3354" spans="1:9" ht="15" customHeight="1" x14ac:dyDescent="0.2">
      <c r="A3354" s="420">
        <v>45658</v>
      </c>
      <c r="B3354" t="s">
        <v>2435</v>
      </c>
      <c r="C3354" t="s">
        <v>6336</v>
      </c>
      <c r="D3354" t="s">
        <v>2436</v>
      </c>
      <c r="E3354" t="s">
        <v>6348</v>
      </c>
      <c r="F3354">
        <v>15.84</v>
      </c>
      <c r="I3354">
        <v>39.26</v>
      </c>
    </row>
    <row r="3355" spans="1:9" ht="15" customHeight="1" x14ac:dyDescent="0.2">
      <c r="A3355" s="420">
        <v>45658</v>
      </c>
      <c r="B3355" t="s">
        <v>2435</v>
      </c>
      <c r="C3355" t="s">
        <v>6336</v>
      </c>
      <c r="D3355" t="s">
        <v>2436</v>
      </c>
      <c r="E3355" t="s">
        <v>6349</v>
      </c>
      <c r="F3355">
        <v>101.46</v>
      </c>
      <c r="H3355">
        <v>62.2</v>
      </c>
    </row>
    <row r="3356" spans="1:9" ht="15" customHeight="1" x14ac:dyDescent="0.2">
      <c r="A3356" s="420">
        <v>45667</v>
      </c>
      <c r="B3356" t="s">
        <v>2532</v>
      </c>
      <c r="C3356" t="s">
        <v>6336</v>
      </c>
      <c r="D3356" t="s">
        <v>3079</v>
      </c>
      <c r="E3356" t="s">
        <v>1298</v>
      </c>
      <c r="G3356">
        <v>2.4</v>
      </c>
      <c r="H3356">
        <v>59.8</v>
      </c>
    </row>
    <row r="3357" spans="1:9" ht="15" customHeight="1" x14ac:dyDescent="0.2">
      <c r="A3357" s="420">
        <v>45698</v>
      </c>
      <c r="B3357" t="s">
        <v>2532</v>
      </c>
      <c r="C3357" t="s">
        <v>6336</v>
      </c>
      <c r="D3357" t="s">
        <v>3082</v>
      </c>
      <c r="E3357" t="s">
        <v>1313</v>
      </c>
      <c r="G3357">
        <v>2.4</v>
      </c>
      <c r="H3357">
        <v>57.4</v>
      </c>
    </row>
    <row r="3358" spans="1:9" ht="15" customHeight="1" x14ac:dyDescent="0.2">
      <c r="A3358" s="420">
        <v>45726</v>
      </c>
      <c r="B3358" t="s">
        <v>2532</v>
      </c>
      <c r="C3358" t="s">
        <v>6336</v>
      </c>
      <c r="D3358" t="s">
        <v>3085</v>
      </c>
      <c r="E3358" t="s">
        <v>1330</v>
      </c>
      <c r="G3358">
        <v>2.4</v>
      </c>
      <c r="H3358">
        <v>55</v>
      </c>
    </row>
    <row r="3359" spans="1:9" ht="15" customHeight="1" x14ac:dyDescent="0.2">
      <c r="A3359" s="420">
        <v>45757</v>
      </c>
      <c r="B3359" t="s">
        <v>2532</v>
      </c>
      <c r="C3359" t="s">
        <v>6336</v>
      </c>
      <c r="D3359" t="s">
        <v>3088</v>
      </c>
      <c r="E3359" t="s">
        <v>1345</v>
      </c>
      <c r="G3359">
        <v>2.4</v>
      </c>
      <c r="H3359">
        <v>52.6</v>
      </c>
    </row>
    <row r="3360" spans="1:9" ht="15" customHeight="1" x14ac:dyDescent="0.2">
      <c r="A3360" s="420">
        <v>45787</v>
      </c>
      <c r="B3360" t="s">
        <v>2532</v>
      </c>
      <c r="C3360" t="s">
        <v>6336</v>
      </c>
      <c r="D3360" t="s">
        <v>3091</v>
      </c>
      <c r="E3360" t="s">
        <v>1355</v>
      </c>
      <c r="G3360">
        <v>2.4</v>
      </c>
      <c r="H3360">
        <v>50.2</v>
      </c>
    </row>
    <row r="3361" spans="1:10" ht="15" customHeight="1" x14ac:dyDescent="0.2">
      <c r="A3361" s="420">
        <v>45818</v>
      </c>
      <c r="B3361" t="s">
        <v>2532</v>
      </c>
      <c r="C3361" t="s">
        <v>6336</v>
      </c>
      <c r="D3361" t="s">
        <v>3094</v>
      </c>
      <c r="E3361" t="s">
        <v>1369</v>
      </c>
      <c r="G3361">
        <v>2.4</v>
      </c>
      <c r="H3361">
        <v>47.8</v>
      </c>
    </row>
    <row r="3362" spans="1:10" ht="15" customHeight="1" x14ac:dyDescent="0.2">
      <c r="A3362" s="420">
        <v>45848</v>
      </c>
      <c r="B3362" t="s">
        <v>2532</v>
      </c>
      <c r="C3362" t="s">
        <v>6336</v>
      </c>
      <c r="D3362" t="s">
        <v>3097</v>
      </c>
      <c r="E3362" t="s">
        <v>1382</v>
      </c>
      <c r="G3362">
        <v>2.4</v>
      </c>
      <c r="H3362">
        <v>45.4</v>
      </c>
    </row>
    <row r="3363" spans="1:10" ht="15" customHeight="1" x14ac:dyDescent="0.2">
      <c r="A3363" s="420">
        <v>45879</v>
      </c>
      <c r="B3363" t="s">
        <v>2532</v>
      </c>
      <c r="C3363" t="s">
        <v>6336</v>
      </c>
      <c r="D3363" t="s">
        <v>3100</v>
      </c>
      <c r="E3363" t="s">
        <v>1391</v>
      </c>
      <c r="G3363">
        <v>2.4</v>
      </c>
      <c r="H3363">
        <v>43</v>
      </c>
    </row>
    <row r="3364" spans="1:10" ht="15" customHeight="1" x14ac:dyDescent="0.2">
      <c r="A3364" s="420">
        <v>45910</v>
      </c>
      <c r="B3364" t="s">
        <v>2532</v>
      </c>
      <c r="C3364" t="s">
        <v>6336</v>
      </c>
      <c r="D3364" t="s">
        <v>3103</v>
      </c>
      <c r="E3364" t="s">
        <v>1397</v>
      </c>
      <c r="G3364">
        <v>2.4</v>
      </c>
      <c r="H3364">
        <v>40.6</v>
      </c>
    </row>
    <row r="3365" spans="1:10" ht="15" customHeight="1" x14ac:dyDescent="0.2">
      <c r="A3365" s="420">
        <v>45940</v>
      </c>
      <c r="B3365" t="s">
        <v>2532</v>
      </c>
      <c r="C3365" t="s">
        <v>6336</v>
      </c>
      <c r="D3365" t="s">
        <v>3106</v>
      </c>
      <c r="E3365" t="s">
        <v>1406</v>
      </c>
      <c r="G3365">
        <v>2.4</v>
      </c>
      <c r="H3365">
        <v>38.200000000000003</v>
      </c>
    </row>
    <row r="3366" spans="1:10" ht="15" customHeight="1" x14ac:dyDescent="0.2">
      <c r="A3366" s="420">
        <v>45971</v>
      </c>
      <c r="B3366" t="s">
        <v>2532</v>
      </c>
      <c r="C3366" t="s">
        <v>6336</v>
      </c>
      <c r="D3366" t="s">
        <v>3109</v>
      </c>
      <c r="E3366" t="s">
        <v>1417</v>
      </c>
      <c r="G3366">
        <v>2.4</v>
      </c>
      <c r="H3366">
        <v>35.799999999999997</v>
      </c>
    </row>
    <row r="3367" spans="1:10" ht="15" customHeight="1" x14ac:dyDescent="0.2">
      <c r="A3367" s="420">
        <v>46001</v>
      </c>
      <c r="B3367" t="s">
        <v>2532</v>
      </c>
      <c r="C3367" t="s">
        <v>6336</v>
      </c>
      <c r="D3367" t="s">
        <v>3112</v>
      </c>
      <c r="E3367" t="s">
        <v>1429</v>
      </c>
      <c r="G3367">
        <v>2.4</v>
      </c>
      <c r="H3367">
        <v>33.4</v>
      </c>
    </row>
    <row r="3368" spans="1:10" ht="15" customHeight="1" x14ac:dyDescent="0.2">
      <c r="A3368" t="s">
        <v>6336</v>
      </c>
      <c r="E3368" t="s">
        <v>349</v>
      </c>
      <c r="F3368">
        <v>117.3</v>
      </c>
      <c r="G3368">
        <v>83.9</v>
      </c>
      <c r="H3368">
        <v>33.4</v>
      </c>
    </row>
    <row r="3370" spans="1:10" ht="15" customHeight="1" x14ac:dyDescent="0.2">
      <c r="A3370" t="s">
        <v>6350</v>
      </c>
      <c r="B3370" t="s">
        <v>6351</v>
      </c>
      <c r="F3370" t="s">
        <v>2430</v>
      </c>
      <c r="G3370" t="s">
        <v>2431</v>
      </c>
      <c r="H3370" t="s">
        <v>2432</v>
      </c>
      <c r="I3370" t="s">
        <v>2433</v>
      </c>
      <c r="J3370" t="s">
        <v>2434</v>
      </c>
    </row>
    <row r="3371" spans="1:10" ht="15" customHeight="1" x14ac:dyDescent="0.2">
      <c r="A3371" s="420">
        <v>45658</v>
      </c>
      <c r="B3371" t="s">
        <v>2435</v>
      </c>
      <c r="C3371" t="s">
        <v>6350</v>
      </c>
      <c r="D3371" t="s">
        <v>2436</v>
      </c>
      <c r="E3371" t="s">
        <v>6352</v>
      </c>
      <c r="G3371">
        <v>19097</v>
      </c>
      <c r="I3371">
        <v>19097</v>
      </c>
      <c r="J3371" t="s">
        <v>2509</v>
      </c>
    </row>
    <row r="3372" spans="1:10" ht="15" customHeight="1" x14ac:dyDescent="0.2">
      <c r="A3372" s="420">
        <v>45684</v>
      </c>
      <c r="B3372" t="s">
        <v>2333</v>
      </c>
      <c r="C3372" t="s">
        <v>6350</v>
      </c>
      <c r="D3372" t="s">
        <v>6353</v>
      </c>
      <c r="E3372" t="s">
        <v>6354</v>
      </c>
      <c r="F3372">
        <v>19097</v>
      </c>
      <c r="J3372" t="s">
        <v>2509</v>
      </c>
    </row>
    <row r="3373" spans="1:10" ht="15" customHeight="1" x14ac:dyDescent="0.2">
      <c r="A3373" s="420">
        <v>45684</v>
      </c>
      <c r="B3373" t="s">
        <v>2333</v>
      </c>
      <c r="C3373" t="s">
        <v>6350</v>
      </c>
      <c r="D3373" t="s">
        <v>6355</v>
      </c>
      <c r="E3373" t="s">
        <v>6356</v>
      </c>
      <c r="F3373">
        <v>19510</v>
      </c>
      <c r="H3373">
        <v>19510</v>
      </c>
      <c r="J3373" t="s">
        <v>2511</v>
      </c>
    </row>
    <row r="3374" spans="1:10" ht="15" customHeight="1" x14ac:dyDescent="0.2">
      <c r="A3374" s="420">
        <v>45688</v>
      </c>
      <c r="B3374" t="s">
        <v>2333</v>
      </c>
      <c r="C3374" t="s">
        <v>6350</v>
      </c>
      <c r="D3374" t="s">
        <v>6357</v>
      </c>
      <c r="E3374" t="s">
        <v>6358</v>
      </c>
      <c r="G3374">
        <v>19510</v>
      </c>
      <c r="J3374" t="s">
        <v>2511</v>
      </c>
    </row>
    <row r="3375" spans="1:10" ht="15" customHeight="1" x14ac:dyDescent="0.2">
      <c r="A3375" s="420">
        <v>45688</v>
      </c>
      <c r="B3375" t="s">
        <v>2517</v>
      </c>
      <c r="C3375" t="s">
        <v>6350</v>
      </c>
      <c r="D3375" t="s">
        <v>6306</v>
      </c>
      <c r="E3375" t="s">
        <v>6359</v>
      </c>
      <c r="G3375">
        <v>15452</v>
      </c>
      <c r="I3375">
        <v>15452</v>
      </c>
      <c r="J3375" t="s">
        <v>2513</v>
      </c>
    </row>
    <row r="3376" spans="1:10" ht="15" customHeight="1" x14ac:dyDescent="0.2">
      <c r="A3376" s="420">
        <v>45715</v>
      </c>
      <c r="B3376" t="s">
        <v>2333</v>
      </c>
      <c r="C3376" t="s">
        <v>6350</v>
      </c>
      <c r="D3376" t="s">
        <v>6360</v>
      </c>
      <c r="E3376" t="s">
        <v>6361</v>
      </c>
      <c r="F3376">
        <v>15452</v>
      </c>
      <c r="J3376" t="s">
        <v>2513</v>
      </c>
    </row>
    <row r="3377" spans="1:10" ht="15" customHeight="1" x14ac:dyDescent="0.2">
      <c r="A3377" s="420">
        <v>45716</v>
      </c>
      <c r="B3377" t="s">
        <v>2517</v>
      </c>
      <c r="C3377" t="s">
        <v>6350</v>
      </c>
      <c r="D3377" t="s">
        <v>6309</v>
      </c>
      <c r="E3377" t="s">
        <v>6362</v>
      </c>
      <c r="G3377">
        <v>16182</v>
      </c>
      <c r="I3377">
        <v>16182</v>
      </c>
      <c r="J3377" t="s">
        <v>2585</v>
      </c>
    </row>
    <row r="3378" spans="1:10" ht="15" customHeight="1" x14ac:dyDescent="0.2">
      <c r="A3378" s="420">
        <v>45742</v>
      </c>
      <c r="B3378" t="s">
        <v>2333</v>
      </c>
      <c r="C3378" t="s">
        <v>6350</v>
      </c>
      <c r="D3378" t="s">
        <v>6363</v>
      </c>
      <c r="E3378" t="s">
        <v>6364</v>
      </c>
      <c r="F3378">
        <v>16182</v>
      </c>
      <c r="J3378" t="s">
        <v>2585</v>
      </c>
    </row>
    <row r="3379" spans="1:10" ht="15" customHeight="1" x14ac:dyDescent="0.2">
      <c r="A3379" s="420">
        <v>45747</v>
      </c>
      <c r="B3379" t="s">
        <v>2517</v>
      </c>
      <c r="C3379" t="s">
        <v>6350</v>
      </c>
      <c r="D3379" t="s">
        <v>6311</v>
      </c>
      <c r="E3379" t="s">
        <v>6365</v>
      </c>
      <c r="G3379">
        <v>17228</v>
      </c>
      <c r="I3379">
        <v>17228</v>
      </c>
      <c r="J3379" t="s">
        <v>2586</v>
      </c>
    </row>
    <row r="3380" spans="1:10" ht="15" customHeight="1" x14ac:dyDescent="0.2">
      <c r="A3380" s="420">
        <v>45772</v>
      </c>
      <c r="B3380" t="s">
        <v>2333</v>
      </c>
      <c r="C3380" t="s">
        <v>6350</v>
      </c>
      <c r="D3380" t="s">
        <v>6366</v>
      </c>
      <c r="E3380" t="s">
        <v>6367</v>
      </c>
      <c r="F3380">
        <v>17228</v>
      </c>
      <c r="J3380" t="s">
        <v>2586</v>
      </c>
    </row>
    <row r="3381" spans="1:10" ht="15" customHeight="1" x14ac:dyDescent="0.2">
      <c r="A3381" s="420">
        <v>45777</v>
      </c>
      <c r="B3381" t="s">
        <v>2517</v>
      </c>
      <c r="C3381" t="s">
        <v>6350</v>
      </c>
      <c r="D3381" t="s">
        <v>6313</v>
      </c>
      <c r="E3381" t="s">
        <v>6368</v>
      </c>
      <c r="G3381">
        <v>35402</v>
      </c>
      <c r="I3381">
        <v>35402</v>
      </c>
      <c r="J3381" t="s">
        <v>2587</v>
      </c>
    </row>
    <row r="3382" spans="1:10" ht="15" customHeight="1" x14ac:dyDescent="0.2">
      <c r="A3382" s="420">
        <v>45805</v>
      </c>
      <c r="B3382" t="s">
        <v>2333</v>
      </c>
      <c r="C3382" t="s">
        <v>6350</v>
      </c>
      <c r="D3382" t="s">
        <v>6369</v>
      </c>
      <c r="E3382" t="s">
        <v>6370</v>
      </c>
      <c r="F3382">
        <v>35402</v>
      </c>
      <c r="J3382" t="s">
        <v>2587</v>
      </c>
    </row>
    <row r="3383" spans="1:10" ht="15" customHeight="1" x14ac:dyDescent="0.2">
      <c r="A3383" s="420">
        <v>45808</v>
      </c>
      <c r="B3383" t="s">
        <v>2517</v>
      </c>
      <c r="C3383" t="s">
        <v>6350</v>
      </c>
      <c r="D3383" t="s">
        <v>6317</v>
      </c>
      <c r="E3383" t="s">
        <v>844</v>
      </c>
      <c r="G3383">
        <v>31430</v>
      </c>
      <c r="I3383">
        <v>31430</v>
      </c>
      <c r="J3383" t="s">
        <v>2603</v>
      </c>
    </row>
    <row r="3384" spans="1:10" ht="15" customHeight="1" x14ac:dyDescent="0.2">
      <c r="A3384" s="420">
        <v>45835</v>
      </c>
      <c r="B3384" t="s">
        <v>2333</v>
      </c>
      <c r="C3384" t="s">
        <v>6350</v>
      </c>
      <c r="D3384" t="s">
        <v>6371</v>
      </c>
      <c r="E3384" t="s">
        <v>6372</v>
      </c>
      <c r="F3384">
        <v>31430</v>
      </c>
      <c r="J3384" t="s">
        <v>2603</v>
      </c>
    </row>
    <row r="3385" spans="1:10" ht="15" customHeight="1" x14ac:dyDescent="0.2">
      <c r="A3385" s="420">
        <v>45838</v>
      </c>
      <c r="B3385" t="s">
        <v>2517</v>
      </c>
      <c r="C3385" t="s">
        <v>6350</v>
      </c>
      <c r="D3385" t="s">
        <v>6319</v>
      </c>
      <c r="E3385" t="s">
        <v>846</v>
      </c>
      <c r="G3385">
        <v>53615</v>
      </c>
      <c r="I3385">
        <v>53615</v>
      </c>
      <c r="J3385" t="s">
        <v>2604</v>
      </c>
    </row>
    <row r="3386" spans="1:10" ht="15" customHeight="1" x14ac:dyDescent="0.2">
      <c r="A3386" s="420">
        <v>45862</v>
      </c>
      <c r="B3386" t="s">
        <v>2333</v>
      </c>
      <c r="C3386" t="s">
        <v>6350</v>
      </c>
      <c r="D3386" t="s">
        <v>6373</v>
      </c>
      <c r="E3386" t="s">
        <v>6374</v>
      </c>
      <c r="F3386">
        <v>53614</v>
      </c>
      <c r="I3386">
        <v>1</v>
      </c>
      <c r="J3386" t="s">
        <v>2604</v>
      </c>
    </row>
    <row r="3387" spans="1:10" ht="15" customHeight="1" x14ac:dyDescent="0.2">
      <c r="A3387" s="420">
        <v>45862</v>
      </c>
      <c r="B3387" t="s">
        <v>2517</v>
      </c>
      <c r="C3387" t="s">
        <v>6350</v>
      </c>
      <c r="D3387" t="s">
        <v>6375</v>
      </c>
      <c r="E3387" t="s">
        <v>6376</v>
      </c>
      <c r="F3387">
        <v>1</v>
      </c>
      <c r="J3387" t="s">
        <v>2604</v>
      </c>
    </row>
    <row r="3388" spans="1:10" ht="15" customHeight="1" x14ac:dyDescent="0.2">
      <c r="A3388" s="420">
        <v>45869</v>
      </c>
      <c r="B3388" t="s">
        <v>2517</v>
      </c>
      <c r="C3388" t="s">
        <v>6350</v>
      </c>
      <c r="D3388" t="s">
        <v>6377</v>
      </c>
      <c r="E3388" t="s">
        <v>6378</v>
      </c>
      <c r="G3388">
        <v>42891</v>
      </c>
      <c r="I3388">
        <v>42891</v>
      </c>
      <c r="J3388" t="s">
        <v>2599</v>
      </c>
    </row>
    <row r="3389" spans="1:10" ht="15" customHeight="1" x14ac:dyDescent="0.2">
      <c r="A3389" s="420">
        <v>45896</v>
      </c>
      <c r="B3389" t="s">
        <v>2333</v>
      </c>
      <c r="C3389" t="s">
        <v>6350</v>
      </c>
      <c r="D3389" t="s">
        <v>6379</v>
      </c>
      <c r="E3389" t="s">
        <v>6380</v>
      </c>
      <c r="F3389">
        <v>42891</v>
      </c>
      <c r="J3389" t="s">
        <v>2599</v>
      </c>
    </row>
    <row r="3390" spans="1:10" ht="15" customHeight="1" x14ac:dyDescent="0.2">
      <c r="A3390" s="420">
        <v>45900</v>
      </c>
      <c r="B3390" t="s">
        <v>2517</v>
      </c>
      <c r="C3390" t="s">
        <v>6350</v>
      </c>
      <c r="D3390" t="s">
        <v>6321</v>
      </c>
      <c r="E3390" t="s">
        <v>6381</v>
      </c>
      <c r="G3390">
        <v>9402</v>
      </c>
      <c r="I3390">
        <v>9402</v>
      </c>
      <c r="J3390" t="s">
        <v>2600</v>
      </c>
    </row>
    <row r="3391" spans="1:10" ht="15" customHeight="1" x14ac:dyDescent="0.2">
      <c r="A3391" s="420">
        <v>45929</v>
      </c>
      <c r="B3391" t="s">
        <v>2333</v>
      </c>
      <c r="C3391" t="s">
        <v>6350</v>
      </c>
      <c r="D3391" t="s">
        <v>6382</v>
      </c>
      <c r="E3391" t="s">
        <v>6383</v>
      </c>
      <c r="F3391">
        <v>9402</v>
      </c>
      <c r="J3391" t="s">
        <v>2600</v>
      </c>
    </row>
    <row r="3392" spans="1:10" ht="15" customHeight="1" x14ac:dyDescent="0.2">
      <c r="A3392" s="420">
        <v>45930</v>
      </c>
      <c r="B3392" t="s">
        <v>2517</v>
      </c>
      <c r="C3392" t="s">
        <v>6350</v>
      </c>
      <c r="D3392" t="s">
        <v>6323</v>
      </c>
      <c r="E3392" t="s">
        <v>6384</v>
      </c>
      <c r="G3392">
        <v>5816</v>
      </c>
      <c r="I3392">
        <v>5816</v>
      </c>
      <c r="J3392" t="s">
        <v>2601</v>
      </c>
    </row>
    <row r="3393" spans="1:10" ht="15" customHeight="1" x14ac:dyDescent="0.2">
      <c r="A3393" s="420">
        <v>45959</v>
      </c>
      <c r="B3393" t="s">
        <v>2333</v>
      </c>
      <c r="C3393" t="s">
        <v>6350</v>
      </c>
      <c r="D3393" t="s">
        <v>6385</v>
      </c>
      <c r="E3393" t="s">
        <v>6386</v>
      </c>
      <c r="F3393">
        <v>5816</v>
      </c>
      <c r="J3393" t="s">
        <v>2601</v>
      </c>
    </row>
    <row r="3394" spans="1:10" ht="15" customHeight="1" x14ac:dyDescent="0.2">
      <c r="A3394" s="420">
        <v>45961</v>
      </c>
      <c r="B3394" t="s">
        <v>2517</v>
      </c>
      <c r="C3394" t="s">
        <v>6350</v>
      </c>
      <c r="D3394" t="s">
        <v>6325</v>
      </c>
      <c r="E3394" t="s">
        <v>6387</v>
      </c>
      <c r="G3394">
        <v>54764</v>
      </c>
      <c r="I3394">
        <v>54764</v>
      </c>
      <c r="J3394" t="s">
        <v>2602</v>
      </c>
    </row>
    <row r="3395" spans="1:10" ht="15" customHeight="1" x14ac:dyDescent="0.2">
      <c r="A3395" s="420">
        <v>45988</v>
      </c>
      <c r="B3395" t="s">
        <v>2333</v>
      </c>
      <c r="C3395" t="s">
        <v>6350</v>
      </c>
      <c r="D3395" t="s">
        <v>6388</v>
      </c>
      <c r="E3395" t="s">
        <v>6389</v>
      </c>
      <c r="F3395">
        <v>54764</v>
      </c>
      <c r="J3395" t="s">
        <v>2602</v>
      </c>
    </row>
    <row r="3396" spans="1:10" ht="15" customHeight="1" x14ac:dyDescent="0.2">
      <c r="A3396" s="420">
        <v>45991</v>
      </c>
      <c r="B3396" t="s">
        <v>2517</v>
      </c>
      <c r="C3396" t="s">
        <v>6350</v>
      </c>
      <c r="D3396" t="s">
        <v>6327</v>
      </c>
      <c r="E3396" t="s">
        <v>6390</v>
      </c>
      <c r="G3396">
        <v>33680</v>
      </c>
      <c r="I3396">
        <v>33680</v>
      </c>
      <c r="J3396" t="s">
        <v>2605</v>
      </c>
    </row>
    <row r="3397" spans="1:10" ht="15" customHeight="1" x14ac:dyDescent="0.2">
      <c r="A3397" s="420">
        <v>46015</v>
      </c>
      <c r="B3397" t="s">
        <v>2333</v>
      </c>
      <c r="C3397" t="s">
        <v>6350</v>
      </c>
      <c r="D3397" t="s">
        <v>6391</v>
      </c>
      <c r="E3397" t="s">
        <v>6392</v>
      </c>
      <c r="F3397">
        <v>33680</v>
      </c>
      <c r="J3397" t="s">
        <v>2605</v>
      </c>
    </row>
    <row r="3398" spans="1:10" ht="15" customHeight="1" x14ac:dyDescent="0.2">
      <c r="A3398" s="420">
        <v>46022</v>
      </c>
      <c r="B3398" t="s">
        <v>2517</v>
      </c>
      <c r="C3398" t="s">
        <v>6350</v>
      </c>
      <c r="D3398" t="s">
        <v>6329</v>
      </c>
      <c r="E3398" t="s">
        <v>6393</v>
      </c>
      <c r="G3398">
        <v>25683</v>
      </c>
      <c r="I3398">
        <v>25683</v>
      </c>
      <c r="J3398" t="s">
        <v>2511</v>
      </c>
    </row>
    <row r="3399" spans="1:10" ht="15" customHeight="1" x14ac:dyDescent="0.2">
      <c r="A3399" s="420">
        <v>46022</v>
      </c>
      <c r="B3399" t="s">
        <v>2517</v>
      </c>
      <c r="C3399" t="s">
        <v>6350</v>
      </c>
      <c r="D3399" t="s">
        <v>6329</v>
      </c>
      <c r="E3399" t="s">
        <v>1190</v>
      </c>
      <c r="G3399">
        <v>1009</v>
      </c>
      <c r="I3399">
        <v>26692</v>
      </c>
      <c r="J3399" t="s">
        <v>2511</v>
      </c>
    </row>
    <row r="3400" spans="1:10" ht="15" customHeight="1" x14ac:dyDescent="0.2">
      <c r="A3400" t="s">
        <v>6350</v>
      </c>
      <c r="E3400" t="s">
        <v>349</v>
      </c>
      <c r="F3400">
        <v>354469</v>
      </c>
      <c r="G3400">
        <v>381161</v>
      </c>
      <c r="I3400">
        <v>26692</v>
      </c>
    </row>
    <row r="3402" spans="1:10" ht="15" customHeight="1" x14ac:dyDescent="0.2">
      <c r="A3402" t="s">
        <v>6394</v>
      </c>
      <c r="B3402" t="s">
        <v>6395</v>
      </c>
      <c r="F3402" t="s">
        <v>2430</v>
      </c>
      <c r="G3402" t="s">
        <v>2431</v>
      </c>
      <c r="H3402" t="s">
        <v>2432</v>
      </c>
      <c r="I3402" t="s">
        <v>2433</v>
      </c>
      <c r="J3402" t="s">
        <v>2434</v>
      </c>
    </row>
    <row r="3403" spans="1:10" ht="15" customHeight="1" x14ac:dyDescent="0.2">
      <c r="A3403" s="420">
        <v>45658</v>
      </c>
      <c r="B3403" t="s">
        <v>2435</v>
      </c>
      <c r="C3403" t="s">
        <v>6394</v>
      </c>
      <c r="D3403" t="s">
        <v>2436</v>
      </c>
      <c r="E3403" t="s">
        <v>6396</v>
      </c>
      <c r="G3403">
        <v>413</v>
      </c>
      <c r="I3403">
        <v>413</v>
      </c>
      <c r="J3403" t="s">
        <v>2511</v>
      </c>
    </row>
    <row r="3404" spans="1:10" ht="15" customHeight="1" x14ac:dyDescent="0.2">
      <c r="A3404" s="420">
        <v>45684</v>
      </c>
      <c r="B3404" t="s">
        <v>2333</v>
      </c>
      <c r="C3404" t="s">
        <v>6394</v>
      </c>
      <c r="D3404" t="s">
        <v>6353</v>
      </c>
      <c r="E3404" t="s">
        <v>6354</v>
      </c>
      <c r="F3404">
        <v>413</v>
      </c>
      <c r="J3404" t="s">
        <v>2511</v>
      </c>
    </row>
    <row r="3405" spans="1:10" ht="15" customHeight="1" x14ac:dyDescent="0.2">
      <c r="A3405" t="s">
        <v>6394</v>
      </c>
      <c r="E3405" t="s">
        <v>349</v>
      </c>
      <c r="F3405">
        <v>413</v>
      </c>
      <c r="G3405">
        <v>413</v>
      </c>
    </row>
    <row r="3407" spans="1:10" ht="15" customHeight="1" x14ac:dyDescent="0.2">
      <c r="A3407" t="s">
        <v>6397</v>
      </c>
      <c r="B3407" t="s">
        <v>6398</v>
      </c>
      <c r="F3407" t="s">
        <v>2430</v>
      </c>
      <c r="G3407" t="s">
        <v>2431</v>
      </c>
      <c r="H3407" t="s">
        <v>2432</v>
      </c>
      <c r="I3407" t="s">
        <v>2433</v>
      </c>
      <c r="J3407" t="s">
        <v>2434</v>
      </c>
    </row>
    <row r="3408" spans="1:10" ht="15" customHeight="1" x14ac:dyDescent="0.2">
      <c r="A3408" s="420">
        <v>45675</v>
      </c>
      <c r="B3408" t="s">
        <v>2532</v>
      </c>
      <c r="C3408" t="s">
        <v>6397</v>
      </c>
      <c r="D3408" t="s">
        <v>2533</v>
      </c>
      <c r="E3408" t="s">
        <v>2534</v>
      </c>
      <c r="F3408">
        <v>291.5</v>
      </c>
      <c r="H3408">
        <v>291.5</v>
      </c>
      <c r="J3408" t="s">
        <v>2511</v>
      </c>
    </row>
    <row r="3409" spans="1:10" ht="15" customHeight="1" x14ac:dyDescent="0.2">
      <c r="A3409" s="420">
        <v>45688</v>
      </c>
      <c r="B3409" t="s">
        <v>2517</v>
      </c>
      <c r="C3409" t="s">
        <v>6397</v>
      </c>
      <c r="D3409" t="s">
        <v>6306</v>
      </c>
      <c r="E3409" t="s">
        <v>6399</v>
      </c>
      <c r="G3409">
        <v>292</v>
      </c>
      <c r="I3409">
        <v>0.5</v>
      </c>
      <c r="J3409" t="s">
        <v>2511</v>
      </c>
    </row>
    <row r="3410" spans="1:10" ht="15" customHeight="1" x14ac:dyDescent="0.2">
      <c r="A3410" s="420">
        <v>45688</v>
      </c>
      <c r="B3410" t="s">
        <v>2517</v>
      </c>
      <c r="C3410" t="s">
        <v>6397</v>
      </c>
      <c r="D3410" t="s">
        <v>6400</v>
      </c>
      <c r="E3410" t="s">
        <v>6401</v>
      </c>
      <c r="F3410">
        <v>0.5</v>
      </c>
      <c r="J3410" t="s">
        <v>2511</v>
      </c>
    </row>
    <row r="3411" spans="1:10" ht="15" customHeight="1" x14ac:dyDescent="0.2">
      <c r="A3411" t="s">
        <v>6397</v>
      </c>
      <c r="E3411" t="s">
        <v>349</v>
      </c>
      <c r="F3411">
        <v>292</v>
      </c>
      <c r="G3411">
        <v>292</v>
      </c>
    </row>
    <row r="3413" spans="1:10" ht="15" customHeight="1" x14ac:dyDescent="0.2">
      <c r="A3413" t="s">
        <v>6402</v>
      </c>
      <c r="B3413" t="s">
        <v>6403</v>
      </c>
      <c r="F3413" t="s">
        <v>2430</v>
      </c>
      <c r="G3413" t="s">
        <v>2431</v>
      </c>
      <c r="H3413" t="s">
        <v>2432</v>
      </c>
      <c r="I3413" t="s">
        <v>2433</v>
      </c>
      <c r="J3413" t="s">
        <v>2434</v>
      </c>
    </row>
    <row r="3414" spans="1:10" ht="15" customHeight="1" x14ac:dyDescent="0.2">
      <c r="A3414" s="420">
        <v>45658</v>
      </c>
      <c r="B3414" t="s">
        <v>2532</v>
      </c>
      <c r="C3414" t="s">
        <v>6402</v>
      </c>
      <c r="D3414" t="s">
        <v>5446</v>
      </c>
      <c r="E3414" t="s">
        <v>1234</v>
      </c>
      <c r="F3414">
        <v>10.96</v>
      </c>
      <c r="H3414">
        <v>10.96</v>
      </c>
      <c r="J3414" t="s">
        <v>2511</v>
      </c>
    </row>
    <row r="3415" spans="1:10" ht="15" customHeight="1" x14ac:dyDescent="0.2">
      <c r="A3415" s="420">
        <v>45658</v>
      </c>
      <c r="B3415" t="s">
        <v>2532</v>
      </c>
      <c r="C3415" t="s">
        <v>6402</v>
      </c>
      <c r="D3415" t="s">
        <v>5376</v>
      </c>
      <c r="E3415" t="s">
        <v>1725</v>
      </c>
      <c r="F3415">
        <v>24.07</v>
      </c>
      <c r="H3415">
        <v>35.03</v>
      </c>
      <c r="J3415" t="s">
        <v>2511</v>
      </c>
    </row>
    <row r="3416" spans="1:10" ht="15" customHeight="1" x14ac:dyDescent="0.2">
      <c r="A3416" s="420">
        <v>45658</v>
      </c>
      <c r="B3416" t="s">
        <v>2532</v>
      </c>
      <c r="C3416" t="s">
        <v>6402</v>
      </c>
      <c r="D3416" t="s">
        <v>4042</v>
      </c>
      <c r="E3416" t="s">
        <v>4043</v>
      </c>
      <c r="F3416">
        <v>200</v>
      </c>
      <c r="H3416">
        <v>235.03</v>
      </c>
      <c r="J3416" t="s">
        <v>2511</v>
      </c>
    </row>
    <row r="3417" spans="1:10" ht="15" customHeight="1" x14ac:dyDescent="0.2">
      <c r="A3417" s="420">
        <v>45658</v>
      </c>
      <c r="B3417" t="s">
        <v>2435</v>
      </c>
      <c r="C3417" t="s">
        <v>6402</v>
      </c>
      <c r="D3417" t="s">
        <v>2436</v>
      </c>
      <c r="E3417" t="s">
        <v>6404</v>
      </c>
      <c r="F3417">
        <v>200</v>
      </c>
      <c r="H3417">
        <v>435.03</v>
      </c>
      <c r="J3417" t="s">
        <v>2511</v>
      </c>
    </row>
    <row r="3418" spans="1:10" ht="15" customHeight="1" x14ac:dyDescent="0.2">
      <c r="A3418" s="420">
        <v>45658</v>
      </c>
      <c r="B3418" t="s">
        <v>2435</v>
      </c>
      <c r="C3418" t="s">
        <v>6402</v>
      </c>
      <c r="D3418" t="s">
        <v>2436</v>
      </c>
      <c r="E3418" t="s">
        <v>6405</v>
      </c>
      <c r="F3418">
        <v>10.199999999999999</v>
      </c>
      <c r="H3418">
        <v>445.23</v>
      </c>
      <c r="J3418" t="s">
        <v>2511</v>
      </c>
    </row>
    <row r="3419" spans="1:10" ht="15" customHeight="1" x14ac:dyDescent="0.2">
      <c r="A3419" s="420">
        <v>45658</v>
      </c>
      <c r="B3419" t="s">
        <v>2435</v>
      </c>
      <c r="C3419" t="s">
        <v>6402</v>
      </c>
      <c r="D3419" t="s">
        <v>2436</v>
      </c>
      <c r="E3419" t="s">
        <v>6406</v>
      </c>
      <c r="F3419">
        <v>6.81</v>
      </c>
      <c r="H3419">
        <v>452.04</v>
      </c>
      <c r="J3419" t="s">
        <v>2511</v>
      </c>
    </row>
    <row r="3420" spans="1:10" ht="15" customHeight="1" x14ac:dyDescent="0.2">
      <c r="A3420" s="420">
        <v>45658</v>
      </c>
      <c r="B3420" t="s">
        <v>2435</v>
      </c>
      <c r="C3420" t="s">
        <v>6402</v>
      </c>
      <c r="D3420" t="s">
        <v>2436</v>
      </c>
      <c r="E3420" t="s">
        <v>6407</v>
      </c>
      <c r="F3420">
        <v>9.4700000000000006</v>
      </c>
      <c r="H3420">
        <v>461.51</v>
      </c>
      <c r="J3420" t="s">
        <v>2511</v>
      </c>
    </row>
    <row r="3421" spans="1:10" ht="15" customHeight="1" x14ac:dyDescent="0.2">
      <c r="A3421" s="420">
        <v>45658</v>
      </c>
      <c r="B3421" t="s">
        <v>2435</v>
      </c>
      <c r="C3421" t="s">
        <v>6402</v>
      </c>
      <c r="D3421" t="s">
        <v>2436</v>
      </c>
      <c r="E3421" t="s">
        <v>6408</v>
      </c>
      <c r="F3421">
        <v>342</v>
      </c>
      <c r="H3421">
        <v>803.51</v>
      </c>
      <c r="J3421" t="s">
        <v>2511</v>
      </c>
    </row>
    <row r="3422" spans="1:10" ht="15" customHeight="1" x14ac:dyDescent="0.2">
      <c r="A3422" s="420">
        <v>45658</v>
      </c>
      <c r="B3422" t="s">
        <v>2435</v>
      </c>
      <c r="C3422" t="s">
        <v>6402</v>
      </c>
      <c r="D3422" t="s">
        <v>2436</v>
      </c>
      <c r="E3422" t="s">
        <v>6409</v>
      </c>
      <c r="F3422">
        <v>288</v>
      </c>
      <c r="H3422">
        <v>1091.51</v>
      </c>
      <c r="J3422" t="s">
        <v>2511</v>
      </c>
    </row>
    <row r="3423" spans="1:10" ht="15" customHeight="1" x14ac:dyDescent="0.2">
      <c r="A3423" s="420">
        <v>45658</v>
      </c>
      <c r="B3423" t="s">
        <v>2435</v>
      </c>
      <c r="C3423" t="s">
        <v>6402</v>
      </c>
      <c r="D3423" t="s">
        <v>2436</v>
      </c>
      <c r="E3423" t="s">
        <v>6410</v>
      </c>
      <c r="F3423">
        <v>40</v>
      </c>
      <c r="H3423">
        <v>1131.51</v>
      </c>
      <c r="J3423" t="s">
        <v>2511</v>
      </c>
    </row>
    <row r="3424" spans="1:10" ht="15" customHeight="1" x14ac:dyDescent="0.2">
      <c r="A3424" s="420">
        <v>45658</v>
      </c>
      <c r="B3424" t="s">
        <v>2435</v>
      </c>
      <c r="C3424" t="s">
        <v>6402</v>
      </c>
      <c r="D3424" t="s">
        <v>2436</v>
      </c>
      <c r="E3424" t="s">
        <v>6411</v>
      </c>
      <c r="F3424">
        <v>9</v>
      </c>
      <c r="H3424">
        <v>1140.51</v>
      </c>
      <c r="J3424" t="s">
        <v>2511</v>
      </c>
    </row>
    <row r="3425" spans="1:10" ht="15" customHeight="1" x14ac:dyDescent="0.2">
      <c r="A3425" s="420">
        <v>45658</v>
      </c>
      <c r="B3425" t="s">
        <v>2435</v>
      </c>
      <c r="C3425" t="s">
        <v>6402</v>
      </c>
      <c r="D3425" t="s">
        <v>2436</v>
      </c>
      <c r="E3425" t="s">
        <v>6412</v>
      </c>
      <c r="F3425">
        <v>12</v>
      </c>
      <c r="H3425">
        <v>1152.51</v>
      </c>
      <c r="J3425" t="s">
        <v>2511</v>
      </c>
    </row>
    <row r="3426" spans="1:10" ht="15" customHeight="1" x14ac:dyDescent="0.2">
      <c r="A3426" s="420">
        <v>45658</v>
      </c>
      <c r="B3426" t="s">
        <v>2435</v>
      </c>
      <c r="C3426" t="s">
        <v>6402</v>
      </c>
      <c r="D3426" t="s">
        <v>2436</v>
      </c>
      <c r="E3426" t="s">
        <v>6412</v>
      </c>
      <c r="F3426">
        <v>9</v>
      </c>
      <c r="H3426">
        <v>1161.51</v>
      </c>
      <c r="J3426" t="s">
        <v>2511</v>
      </c>
    </row>
    <row r="3427" spans="1:10" ht="15" customHeight="1" x14ac:dyDescent="0.2">
      <c r="A3427" s="420">
        <v>45658</v>
      </c>
      <c r="B3427" t="s">
        <v>2435</v>
      </c>
      <c r="C3427" t="s">
        <v>6402</v>
      </c>
      <c r="D3427" t="s">
        <v>2436</v>
      </c>
      <c r="E3427" t="s">
        <v>6412</v>
      </c>
      <c r="F3427">
        <v>21.2</v>
      </c>
      <c r="H3427">
        <v>1182.71</v>
      </c>
      <c r="J3427" t="s">
        <v>2511</v>
      </c>
    </row>
    <row r="3428" spans="1:10" ht="15" customHeight="1" x14ac:dyDescent="0.2">
      <c r="A3428" s="420">
        <v>45658</v>
      </c>
      <c r="B3428" t="s">
        <v>2435</v>
      </c>
      <c r="C3428" t="s">
        <v>6402</v>
      </c>
      <c r="D3428" t="s">
        <v>2436</v>
      </c>
      <c r="E3428" t="s">
        <v>6413</v>
      </c>
      <c r="F3428">
        <v>130.63999999999999</v>
      </c>
      <c r="H3428">
        <v>1313.35</v>
      </c>
      <c r="J3428" t="s">
        <v>2511</v>
      </c>
    </row>
    <row r="3429" spans="1:10" ht="15" customHeight="1" x14ac:dyDescent="0.2">
      <c r="A3429" s="420">
        <v>45658</v>
      </c>
      <c r="B3429" t="s">
        <v>2435</v>
      </c>
      <c r="C3429" t="s">
        <v>6402</v>
      </c>
      <c r="D3429" t="s">
        <v>2436</v>
      </c>
      <c r="E3429" t="s">
        <v>6413</v>
      </c>
      <c r="F3429">
        <v>130.63999999999999</v>
      </c>
      <c r="H3429">
        <v>1443.99</v>
      </c>
      <c r="J3429" t="s">
        <v>2511</v>
      </c>
    </row>
    <row r="3430" spans="1:10" ht="15" customHeight="1" x14ac:dyDescent="0.2">
      <c r="A3430" s="420">
        <v>45658</v>
      </c>
      <c r="B3430" t="s">
        <v>2435</v>
      </c>
      <c r="C3430" t="s">
        <v>6402</v>
      </c>
      <c r="D3430" t="s">
        <v>2436</v>
      </c>
      <c r="E3430" t="s">
        <v>6414</v>
      </c>
      <c r="F3430">
        <v>130.63999999999999</v>
      </c>
      <c r="H3430">
        <v>1574.63</v>
      </c>
      <c r="J3430" t="s">
        <v>2511</v>
      </c>
    </row>
    <row r="3431" spans="1:10" ht="15" customHeight="1" x14ac:dyDescent="0.2">
      <c r="A3431" s="420">
        <v>45658</v>
      </c>
      <c r="B3431" t="s">
        <v>2435</v>
      </c>
      <c r="C3431" t="s">
        <v>6402</v>
      </c>
      <c r="D3431" t="s">
        <v>2436</v>
      </c>
      <c r="E3431" t="s">
        <v>6415</v>
      </c>
      <c r="F3431">
        <v>130.63999999999999</v>
      </c>
      <c r="H3431">
        <v>1705.27</v>
      </c>
      <c r="J3431" t="s">
        <v>2511</v>
      </c>
    </row>
    <row r="3432" spans="1:10" ht="15" customHeight="1" x14ac:dyDescent="0.2">
      <c r="A3432" s="420">
        <v>45658</v>
      </c>
      <c r="B3432" t="s">
        <v>2435</v>
      </c>
      <c r="C3432" t="s">
        <v>6402</v>
      </c>
      <c r="D3432" t="s">
        <v>2436</v>
      </c>
      <c r="E3432" t="s">
        <v>6411</v>
      </c>
      <c r="F3432">
        <v>12</v>
      </c>
      <c r="H3432">
        <v>1717.27</v>
      </c>
      <c r="J3432" t="s">
        <v>2511</v>
      </c>
    </row>
    <row r="3433" spans="1:10" ht="15" customHeight="1" x14ac:dyDescent="0.2">
      <c r="A3433" s="420">
        <v>45658</v>
      </c>
      <c r="B3433" t="s">
        <v>2435</v>
      </c>
      <c r="C3433" t="s">
        <v>6402</v>
      </c>
      <c r="D3433" t="s">
        <v>2436</v>
      </c>
      <c r="E3433" t="s">
        <v>6416</v>
      </c>
      <c r="F3433">
        <v>11.34</v>
      </c>
      <c r="H3433">
        <v>1728.61</v>
      </c>
      <c r="J3433" t="s">
        <v>2511</v>
      </c>
    </row>
    <row r="3434" spans="1:10" ht="15" customHeight="1" x14ac:dyDescent="0.2">
      <c r="A3434" s="420">
        <v>45658</v>
      </c>
      <c r="B3434" t="s">
        <v>2435</v>
      </c>
      <c r="C3434" t="s">
        <v>6402</v>
      </c>
      <c r="D3434" t="s">
        <v>2436</v>
      </c>
      <c r="E3434" t="s">
        <v>6417</v>
      </c>
      <c r="F3434">
        <v>11.81</v>
      </c>
      <c r="H3434">
        <v>1740.42</v>
      </c>
      <c r="J3434" t="s">
        <v>2511</v>
      </c>
    </row>
    <row r="3435" spans="1:10" ht="15" customHeight="1" x14ac:dyDescent="0.2">
      <c r="A3435" s="420">
        <v>45658</v>
      </c>
      <c r="B3435" t="s">
        <v>2435</v>
      </c>
      <c r="C3435" t="s">
        <v>6402</v>
      </c>
      <c r="D3435" t="s">
        <v>2436</v>
      </c>
      <c r="E3435" t="s">
        <v>6418</v>
      </c>
      <c r="F3435">
        <v>84.21</v>
      </c>
      <c r="H3435">
        <v>1824.63</v>
      </c>
      <c r="J3435" t="s">
        <v>2511</v>
      </c>
    </row>
    <row r="3436" spans="1:10" ht="15" customHeight="1" x14ac:dyDescent="0.2">
      <c r="A3436" s="420">
        <v>45658</v>
      </c>
      <c r="B3436" t="s">
        <v>2435</v>
      </c>
      <c r="C3436" t="s">
        <v>6402</v>
      </c>
      <c r="D3436" t="s">
        <v>2436</v>
      </c>
      <c r="E3436" t="s">
        <v>6419</v>
      </c>
      <c r="G3436">
        <v>29.8</v>
      </c>
      <c r="H3436">
        <v>1794.83</v>
      </c>
      <c r="J3436" t="s">
        <v>2511</v>
      </c>
    </row>
    <row r="3437" spans="1:10" ht="15" customHeight="1" x14ac:dyDescent="0.2">
      <c r="A3437" s="420">
        <v>45658</v>
      </c>
      <c r="B3437" t="s">
        <v>2435</v>
      </c>
      <c r="C3437" t="s">
        <v>6402</v>
      </c>
      <c r="D3437" t="s">
        <v>2436</v>
      </c>
      <c r="E3437" t="s">
        <v>6420</v>
      </c>
      <c r="F3437">
        <v>3.89</v>
      </c>
      <c r="H3437">
        <v>1798.72</v>
      </c>
      <c r="J3437" t="s">
        <v>2511</v>
      </c>
    </row>
    <row r="3438" spans="1:10" ht="15" customHeight="1" x14ac:dyDescent="0.2">
      <c r="A3438" s="420">
        <v>45658</v>
      </c>
      <c r="B3438" t="s">
        <v>2435</v>
      </c>
      <c r="C3438" t="s">
        <v>6402</v>
      </c>
      <c r="D3438" t="s">
        <v>2436</v>
      </c>
      <c r="E3438" t="s">
        <v>6421</v>
      </c>
      <c r="F3438">
        <v>20.76</v>
      </c>
      <c r="H3438">
        <v>1819.48</v>
      </c>
      <c r="J3438" t="s">
        <v>2511</v>
      </c>
    </row>
    <row r="3439" spans="1:10" ht="15" customHeight="1" x14ac:dyDescent="0.2">
      <c r="A3439" s="420">
        <v>45658</v>
      </c>
      <c r="B3439" t="s">
        <v>2435</v>
      </c>
      <c r="C3439" t="s">
        <v>6402</v>
      </c>
      <c r="D3439" t="s">
        <v>2436</v>
      </c>
      <c r="E3439" t="s">
        <v>6422</v>
      </c>
      <c r="F3439">
        <v>26.16</v>
      </c>
      <c r="H3439">
        <v>1845.64</v>
      </c>
      <c r="J3439" t="s">
        <v>2511</v>
      </c>
    </row>
    <row r="3440" spans="1:10" ht="15" customHeight="1" x14ac:dyDescent="0.2">
      <c r="A3440" s="420">
        <v>45658</v>
      </c>
      <c r="B3440" t="s">
        <v>2435</v>
      </c>
      <c r="C3440" t="s">
        <v>6402</v>
      </c>
      <c r="D3440" t="s">
        <v>2436</v>
      </c>
      <c r="E3440" t="s">
        <v>6423</v>
      </c>
      <c r="F3440">
        <v>3.44</v>
      </c>
      <c r="H3440">
        <v>1849.08</v>
      </c>
      <c r="J3440" t="s">
        <v>2511</v>
      </c>
    </row>
    <row r="3441" spans="1:10" ht="15" customHeight="1" x14ac:dyDescent="0.2">
      <c r="A3441" s="420">
        <v>45658</v>
      </c>
      <c r="B3441" t="s">
        <v>2435</v>
      </c>
      <c r="C3441" t="s">
        <v>6402</v>
      </c>
      <c r="D3441" t="s">
        <v>2436</v>
      </c>
      <c r="E3441" t="s">
        <v>6423</v>
      </c>
      <c r="F3441">
        <v>2.42</v>
      </c>
      <c r="H3441">
        <v>1851.5</v>
      </c>
      <c r="J3441" t="s">
        <v>2511</v>
      </c>
    </row>
    <row r="3442" spans="1:10" ht="15" customHeight="1" x14ac:dyDescent="0.2">
      <c r="A3442" s="420">
        <v>45658</v>
      </c>
      <c r="B3442" t="s">
        <v>2435</v>
      </c>
      <c r="C3442" t="s">
        <v>6402</v>
      </c>
      <c r="D3442" t="s">
        <v>2436</v>
      </c>
      <c r="E3442" t="s">
        <v>6424</v>
      </c>
      <c r="F3442">
        <v>3.64</v>
      </c>
      <c r="H3442">
        <v>1855.14</v>
      </c>
      <c r="J3442" t="s">
        <v>2511</v>
      </c>
    </row>
    <row r="3443" spans="1:10" ht="15" customHeight="1" x14ac:dyDescent="0.2">
      <c r="A3443" s="420">
        <v>45658</v>
      </c>
      <c r="B3443" t="s">
        <v>2435</v>
      </c>
      <c r="C3443" t="s">
        <v>6402</v>
      </c>
      <c r="D3443" t="s">
        <v>2436</v>
      </c>
      <c r="E3443" t="s">
        <v>6425</v>
      </c>
      <c r="F3443">
        <v>54.82</v>
      </c>
      <c r="H3443">
        <v>1909.96</v>
      </c>
      <c r="J3443" t="s">
        <v>2511</v>
      </c>
    </row>
    <row r="3444" spans="1:10" ht="15" customHeight="1" x14ac:dyDescent="0.2">
      <c r="A3444" s="420">
        <v>45658</v>
      </c>
      <c r="B3444" t="s">
        <v>2435</v>
      </c>
      <c r="C3444" t="s">
        <v>6402</v>
      </c>
      <c r="D3444" t="s">
        <v>2436</v>
      </c>
      <c r="E3444" t="s">
        <v>6426</v>
      </c>
      <c r="F3444">
        <v>3.68</v>
      </c>
      <c r="H3444">
        <v>1913.64</v>
      </c>
      <c r="J3444" t="s">
        <v>2511</v>
      </c>
    </row>
    <row r="3445" spans="1:10" ht="15" customHeight="1" x14ac:dyDescent="0.2">
      <c r="A3445" s="420">
        <v>45658</v>
      </c>
      <c r="B3445" t="s">
        <v>2435</v>
      </c>
      <c r="C3445" t="s">
        <v>6402</v>
      </c>
      <c r="D3445" t="s">
        <v>2436</v>
      </c>
      <c r="E3445" t="s">
        <v>6427</v>
      </c>
      <c r="F3445">
        <v>11.2</v>
      </c>
      <c r="H3445">
        <v>1924.84</v>
      </c>
      <c r="J3445" t="s">
        <v>2511</v>
      </c>
    </row>
    <row r="3446" spans="1:10" ht="15" customHeight="1" x14ac:dyDescent="0.2">
      <c r="A3446" s="420">
        <v>45658</v>
      </c>
      <c r="B3446" t="s">
        <v>2435</v>
      </c>
      <c r="C3446" t="s">
        <v>6402</v>
      </c>
      <c r="D3446" t="s">
        <v>2436</v>
      </c>
      <c r="E3446" t="s">
        <v>6428</v>
      </c>
      <c r="F3446">
        <v>1.2</v>
      </c>
      <c r="H3446">
        <v>1926.04</v>
      </c>
      <c r="J3446" t="s">
        <v>2511</v>
      </c>
    </row>
    <row r="3447" spans="1:10" ht="15" customHeight="1" x14ac:dyDescent="0.2">
      <c r="A3447" s="420">
        <v>45658</v>
      </c>
      <c r="B3447" t="s">
        <v>2435</v>
      </c>
      <c r="C3447" t="s">
        <v>6402</v>
      </c>
      <c r="D3447" t="s">
        <v>2436</v>
      </c>
      <c r="E3447" t="s">
        <v>6429</v>
      </c>
      <c r="F3447">
        <v>1.2</v>
      </c>
      <c r="H3447">
        <v>1927.24</v>
      </c>
      <c r="J3447" t="s">
        <v>2511</v>
      </c>
    </row>
    <row r="3448" spans="1:10" ht="15" customHeight="1" x14ac:dyDescent="0.2">
      <c r="A3448" s="420">
        <v>45658</v>
      </c>
      <c r="B3448" t="s">
        <v>2435</v>
      </c>
      <c r="C3448" t="s">
        <v>6402</v>
      </c>
      <c r="D3448" t="s">
        <v>2436</v>
      </c>
      <c r="E3448" t="s">
        <v>6430</v>
      </c>
      <c r="F3448">
        <v>15.81</v>
      </c>
      <c r="H3448">
        <v>1943.05</v>
      </c>
      <c r="J3448" t="s">
        <v>2511</v>
      </c>
    </row>
    <row r="3449" spans="1:10" ht="15" customHeight="1" x14ac:dyDescent="0.2">
      <c r="A3449" s="420">
        <v>45658</v>
      </c>
      <c r="B3449" t="s">
        <v>2435</v>
      </c>
      <c r="C3449" t="s">
        <v>6402</v>
      </c>
      <c r="D3449" t="s">
        <v>2436</v>
      </c>
      <c r="E3449" t="s">
        <v>6431</v>
      </c>
      <c r="F3449">
        <v>12.32</v>
      </c>
      <c r="H3449">
        <v>1955.37</v>
      </c>
      <c r="J3449" t="s">
        <v>2511</v>
      </c>
    </row>
    <row r="3450" spans="1:10" ht="15" customHeight="1" x14ac:dyDescent="0.2">
      <c r="A3450" s="420">
        <v>45658</v>
      </c>
      <c r="B3450" t="s">
        <v>2435</v>
      </c>
      <c r="C3450" t="s">
        <v>6402</v>
      </c>
      <c r="D3450" t="s">
        <v>2436</v>
      </c>
      <c r="E3450" t="s">
        <v>6432</v>
      </c>
      <c r="F3450">
        <v>6.25</v>
      </c>
      <c r="H3450">
        <v>1961.62</v>
      </c>
      <c r="J3450" t="s">
        <v>2511</v>
      </c>
    </row>
    <row r="3451" spans="1:10" ht="15" customHeight="1" x14ac:dyDescent="0.2">
      <c r="A3451" s="420">
        <v>45658</v>
      </c>
      <c r="B3451" t="s">
        <v>2435</v>
      </c>
      <c r="C3451" t="s">
        <v>6402</v>
      </c>
      <c r="D3451" t="s">
        <v>2436</v>
      </c>
      <c r="E3451" t="s">
        <v>6433</v>
      </c>
      <c r="F3451">
        <v>5.82</v>
      </c>
      <c r="H3451">
        <v>1967.44</v>
      </c>
      <c r="J3451" t="s">
        <v>2511</v>
      </c>
    </row>
    <row r="3452" spans="1:10" ht="15" customHeight="1" x14ac:dyDescent="0.2">
      <c r="A3452" s="420">
        <v>45658</v>
      </c>
      <c r="B3452" t="s">
        <v>2435</v>
      </c>
      <c r="C3452" t="s">
        <v>6402</v>
      </c>
      <c r="D3452" t="s">
        <v>2436</v>
      </c>
      <c r="E3452" t="s">
        <v>6434</v>
      </c>
      <c r="F3452">
        <v>2.66</v>
      </c>
      <c r="H3452">
        <v>1970.1</v>
      </c>
      <c r="J3452" t="s">
        <v>2511</v>
      </c>
    </row>
    <row r="3453" spans="1:10" ht="15" customHeight="1" x14ac:dyDescent="0.2">
      <c r="A3453" s="420">
        <v>45658</v>
      </c>
      <c r="B3453" t="s">
        <v>2435</v>
      </c>
      <c r="C3453" t="s">
        <v>6402</v>
      </c>
      <c r="D3453" t="s">
        <v>2436</v>
      </c>
      <c r="E3453" t="s">
        <v>6435</v>
      </c>
      <c r="F3453">
        <v>3.79</v>
      </c>
      <c r="H3453">
        <v>1973.89</v>
      </c>
      <c r="J3453" t="s">
        <v>2511</v>
      </c>
    </row>
    <row r="3454" spans="1:10" ht="15" customHeight="1" x14ac:dyDescent="0.2">
      <c r="A3454" s="420">
        <v>45658</v>
      </c>
      <c r="B3454" t="s">
        <v>2435</v>
      </c>
      <c r="C3454" t="s">
        <v>6402</v>
      </c>
      <c r="D3454" t="s">
        <v>2436</v>
      </c>
      <c r="E3454" t="s">
        <v>6435</v>
      </c>
      <c r="F3454">
        <v>2.25</v>
      </c>
      <c r="H3454">
        <v>1976.14</v>
      </c>
      <c r="J3454" t="s">
        <v>2511</v>
      </c>
    </row>
    <row r="3455" spans="1:10" ht="15" customHeight="1" x14ac:dyDescent="0.2">
      <c r="A3455" s="420">
        <v>45658</v>
      </c>
      <c r="B3455" t="s">
        <v>2435</v>
      </c>
      <c r="C3455" t="s">
        <v>6402</v>
      </c>
      <c r="D3455" t="s">
        <v>2436</v>
      </c>
      <c r="E3455" t="s">
        <v>6436</v>
      </c>
      <c r="F3455">
        <v>16.66</v>
      </c>
      <c r="H3455">
        <v>1992.8</v>
      </c>
      <c r="J3455" t="s">
        <v>2511</v>
      </c>
    </row>
    <row r="3456" spans="1:10" ht="15" customHeight="1" x14ac:dyDescent="0.2">
      <c r="A3456" s="420">
        <v>45658</v>
      </c>
      <c r="B3456" t="s">
        <v>2435</v>
      </c>
      <c r="C3456" t="s">
        <v>6402</v>
      </c>
      <c r="D3456" t="s">
        <v>2436</v>
      </c>
      <c r="E3456" t="s">
        <v>6437</v>
      </c>
      <c r="F3456">
        <v>5.86</v>
      </c>
      <c r="H3456">
        <v>1998.66</v>
      </c>
      <c r="J3456" t="s">
        <v>2511</v>
      </c>
    </row>
    <row r="3457" spans="1:10" ht="15" customHeight="1" x14ac:dyDescent="0.2">
      <c r="A3457" s="420">
        <v>45658</v>
      </c>
      <c r="B3457" t="s">
        <v>2435</v>
      </c>
      <c r="C3457" t="s">
        <v>6402</v>
      </c>
      <c r="D3457" t="s">
        <v>2436</v>
      </c>
      <c r="E3457" t="s">
        <v>6437</v>
      </c>
      <c r="F3457">
        <v>4.53</v>
      </c>
      <c r="H3457">
        <v>2003.19</v>
      </c>
      <c r="J3457" t="s">
        <v>2511</v>
      </c>
    </row>
    <row r="3458" spans="1:10" ht="15" customHeight="1" x14ac:dyDescent="0.2">
      <c r="A3458" s="420">
        <v>45658</v>
      </c>
      <c r="B3458" t="s">
        <v>2435</v>
      </c>
      <c r="C3458" t="s">
        <v>6402</v>
      </c>
      <c r="D3458" t="s">
        <v>2436</v>
      </c>
      <c r="E3458" t="s">
        <v>6438</v>
      </c>
      <c r="F3458">
        <v>10.94</v>
      </c>
      <c r="H3458">
        <v>2014.13</v>
      </c>
      <c r="J3458" t="s">
        <v>2511</v>
      </c>
    </row>
    <row r="3459" spans="1:10" ht="15" customHeight="1" x14ac:dyDescent="0.2">
      <c r="A3459" s="420">
        <v>45658</v>
      </c>
      <c r="B3459" t="s">
        <v>2435</v>
      </c>
      <c r="C3459" t="s">
        <v>6402</v>
      </c>
      <c r="D3459" t="s">
        <v>2436</v>
      </c>
      <c r="E3459" t="s">
        <v>6439</v>
      </c>
      <c r="F3459">
        <v>10.82</v>
      </c>
      <c r="H3459">
        <v>2024.95</v>
      </c>
      <c r="J3459" t="s">
        <v>2511</v>
      </c>
    </row>
    <row r="3460" spans="1:10" ht="15" customHeight="1" x14ac:dyDescent="0.2">
      <c r="A3460" s="420">
        <v>45658</v>
      </c>
      <c r="B3460" t="s">
        <v>2435</v>
      </c>
      <c r="C3460" t="s">
        <v>6402</v>
      </c>
      <c r="D3460" t="s">
        <v>2436</v>
      </c>
      <c r="E3460" t="s">
        <v>6439</v>
      </c>
      <c r="F3460">
        <v>1.08</v>
      </c>
      <c r="H3460">
        <v>2026.03</v>
      </c>
      <c r="J3460" t="s">
        <v>2511</v>
      </c>
    </row>
    <row r="3461" spans="1:10" ht="15" customHeight="1" x14ac:dyDescent="0.2">
      <c r="A3461" s="420">
        <v>45658</v>
      </c>
      <c r="B3461" t="s">
        <v>2435</v>
      </c>
      <c r="C3461" t="s">
        <v>6402</v>
      </c>
      <c r="D3461" t="s">
        <v>2436</v>
      </c>
      <c r="E3461" t="s">
        <v>6440</v>
      </c>
      <c r="F3461">
        <v>15</v>
      </c>
      <c r="H3461">
        <v>2041.03</v>
      </c>
      <c r="J3461" t="s">
        <v>2511</v>
      </c>
    </row>
    <row r="3462" spans="1:10" ht="15" customHeight="1" x14ac:dyDescent="0.2">
      <c r="A3462" s="420">
        <v>45658</v>
      </c>
      <c r="B3462" t="s">
        <v>2435</v>
      </c>
      <c r="C3462" t="s">
        <v>6402</v>
      </c>
      <c r="D3462" t="s">
        <v>2436</v>
      </c>
      <c r="E3462" t="s">
        <v>6441</v>
      </c>
      <c r="F3462">
        <v>10</v>
      </c>
      <c r="H3462">
        <v>2051.0300000000002</v>
      </c>
      <c r="J3462" t="s">
        <v>2511</v>
      </c>
    </row>
    <row r="3463" spans="1:10" ht="15" customHeight="1" x14ac:dyDescent="0.2">
      <c r="A3463" s="420">
        <v>45658</v>
      </c>
      <c r="B3463" t="s">
        <v>2435</v>
      </c>
      <c r="C3463" t="s">
        <v>6402</v>
      </c>
      <c r="D3463" t="s">
        <v>2436</v>
      </c>
      <c r="E3463" t="s">
        <v>6442</v>
      </c>
      <c r="F3463">
        <v>41.67</v>
      </c>
      <c r="H3463">
        <v>2092.6999999999998</v>
      </c>
      <c r="J3463" t="s">
        <v>2511</v>
      </c>
    </row>
    <row r="3464" spans="1:10" ht="15" customHeight="1" x14ac:dyDescent="0.2">
      <c r="A3464" s="420">
        <v>45658</v>
      </c>
      <c r="B3464" t="s">
        <v>2435</v>
      </c>
      <c r="C3464" t="s">
        <v>6402</v>
      </c>
      <c r="D3464" t="s">
        <v>2436</v>
      </c>
      <c r="E3464" t="s">
        <v>6443</v>
      </c>
      <c r="F3464">
        <v>69.8</v>
      </c>
      <c r="H3464">
        <v>2162.5</v>
      </c>
      <c r="J3464" t="s">
        <v>2511</v>
      </c>
    </row>
    <row r="3465" spans="1:10" ht="15" customHeight="1" x14ac:dyDescent="0.2">
      <c r="A3465" s="420">
        <v>45658</v>
      </c>
      <c r="B3465" t="s">
        <v>2435</v>
      </c>
      <c r="C3465" t="s">
        <v>6402</v>
      </c>
      <c r="D3465" t="s">
        <v>2436</v>
      </c>
      <c r="E3465" t="s">
        <v>6444</v>
      </c>
      <c r="F3465">
        <v>3.36</v>
      </c>
      <c r="H3465">
        <v>2165.86</v>
      </c>
      <c r="J3465" t="s">
        <v>2511</v>
      </c>
    </row>
    <row r="3466" spans="1:10" ht="15" customHeight="1" x14ac:dyDescent="0.2">
      <c r="A3466" s="420">
        <v>45658</v>
      </c>
      <c r="B3466" t="s">
        <v>2435</v>
      </c>
      <c r="C3466" t="s">
        <v>6402</v>
      </c>
      <c r="D3466" t="s">
        <v>2436</v>
      </c>
      <c r="E3466" t="s">
        <v>6445</v>
      </c>
      <c r="F3466">
        <v>30</v>
      </c>
      <c r="H3466">
        <v>2195.86</v>
      </c>
      <c r="J3466" t="s">
        <v>2511</v>
      </c>
    </row>
    <row r="3467" spans="1:10" ht="15" customHeight="1" x14ac:dyDescent="0.2">
      <c r="A3467" s="420">
        <v>45658</v>
      </c>
      <c r="B3467" t="s">
        <v>2435</v>
      </c>
      <c r="C3467" t="s">
        <v>6402</v>
      </c>
      <c r="D3467" t="s">
        <v>2436</v>
      </c>
      <c r="E3467" t="s">
        <v>6446</v>
      </c>
      <c r="F3467">
        <v>30</v>
      </c>
      <c r="H3467">
        <v>2225.86</v>
      </c>
      <c r="J3467" t="s">
        <v>2511</v>
      </c>
    </row>
    <row r="3468" spans="1:10" ht="15" customHeight="1" x14ac:dyDescent="0.2">
      <c r="A3468" s="420">
        <v>45658</v>
      </c>
      <c r="B3468" t="s">
        <v>2435</v>
      </c>
      <c r="C3468" t="s">
        <v>6402</v>
      </c>
      <c r="D3468" t="s">
        <v>2436</v>
      </c>
      <c r="E3468" t="s">
        <v>6447</v>
      </c>
      <c r="F3468">
        <v>30</v>
      </c>
      <c r="H3468">
        <v>2255.86</v>
      </c>
      <c r="J3468" t="s">
        <v>2511</v>
      </c>
    </row>
    <row r="3469" spans="1:10" ht="15" customHeight="1" x14ac:dyDescent="0.2">
      <c r="A3469" s="420">
        <v>45658</v>
      </c>
      <c r="B3469" t="s">
        <v>2435</v>
      </c>
      <c r="C3469" t="s">
        <v>6402</v>
      </c>
      <c r="D3469" t="s">
        <v>2436</v>
      </c>
      <c r="E3469" t="s">
        <v>6448</v>
      </c>
      <c r="F3469">
        <v>0.7</v>
      </c>
      <c r="H3469">
        <v>2256.56</v>
      </c>
      <c r="J3469" t="s">
        <v>2511</v>
      </c>
    </row>
    <row r="3470" spans="1:10" ht="15" customHeight="1" x14ac:dyDescent="0.2">
      <c r="A3470" s="420">
        <v>45658</v>
      </c>
      <c r="B3470" t="s">
        <v>2435</v>
      </c>
      <c r="C3470" t="s">
        <v>6402</v>
      </c>
      <c r="D3470" t="s">
        <v>2436</v>
      </c>
      <c r="E3470" t="s">
        <v>6449</v>
      </c>
      <c r="F3470">
        <v>1.03</v>
      </c>
      <c r="H3470">
        <v>2257.59</v>
      </c>
      <c r="J3470" t="s">
        <v>2511</v>
      </c>
    </row>
    <row r="3471" spans="1:10" ht="15" customHeight="1" x14ac:dyDescent="0.2">
      <c r="A3471" s="420">
        <v>45658</v>
      </c>
      <c r="B3471" t="s">
        <v>2435</v>
      </c>
      <c r="C3471" t="s">
        <v>6402</v>
      </c>
      <c r="D3471" t="s">
        <v>2436</v>
      </c>
      <c r="E3471" t="s">
        <v>6449</v>
      </c>
      <c r="F3471">
        <v>2.52</v>
      </c>
      <c r="H3471">
        <v>2260.11</v>
      </c>
      <c r="J3471" t="s">
        <v>2511</v>
      </c>
    </row>
    <row r="3472" spans="1:10" ht="15" customHeight="1" x14ac:dyDescent="0.2">
      <c r="A3472" s="420">
        <v>45658</v>
      </c>
      <c r="B3472" t="s">
        <v>2435</v>
      </c>
      <c r="C3472" t="s">
        <v>6402</v>
      </c>
      <c r="D3472" t="s">
        <v>2436</v>
      </c>
      <c r="E3472" t="s">
        <v>6450</v>
      </c>
      <c r="F3472">
        <v>9.34</v>
      </c>
      <c r="H3472">
        <v>2269.4499999999998</v>
      </c>
      <c r="J3472" t="s">
        <v>2511</v>
      </c>
    </row>
    <row r="3473" spans="1:10" ht="15" customHeight="1" x14ac:dyDescent="0.2">
      <c r="A3473" s="420">
        <v>45658</v>
      </c>
      <c r="B3473" t="s">
        <v>2435</v>
      </c>
      <c r="C3473" t="s">
        <v>6402</v>
      </c>
      <c r="D3473" t="s">
        <v>2436</v>
      </c>
      <c r="E3473" t="s">
        <v>6451</v>
      </c>
      <c r="F3473">
        <v>8.8000000000000007</v>
      </c>
      <c r="H3473">
        <v>2278.25</v>
      </c>
      <c r="J3473" t="s">
        <v>2511</v>
      </c>
    </row>
    <row r="3474" spans="1:10" ht="15" customHeight="1" x14ac:dyDescent="0.2">
      <c r="A3474" s="420">
        <v>45658</v>
      </c>
      <c r="B3474" t="s">
        <v>2435</v>
      </c>
      <c r="C3474" t="s">
        <v>6402</v>
      </c>
      <c r="D3474" t="s">
        <v>2436</v>
      </c>
      <c r="E3474" t="s">
        <v>6452</v>
      </c>
      <c r="F3474">
        <v>0.93</v>
      </c>
      <c r="H3474">
        <v>2279.1799999999998</v>
      </c>
      <c r="J3474" t="s">
        <v>2511</v>
      </c>
    </row>
    <row r="3475" spans="1:10" ht="15" customHeight="1" x14ac:dyDescent="0.2">
      <c r="A3475" s="420">
        <v>45658</v>
      </c>
      <c r="B3475" t="s">
        <v>2435</v>
      </c>
      <c r="C3475" t="s">
        <v>6402</v>
      </c>
      <c r="D3475" t="s">
        <v>2436</v>
      </c>
      <c r="E3475" t="s">
        <v>5086</v>
      </c>
      <c r="F3475">
        <v>19.96</v>
      </c>
      <c r="H3475">
        <v>2299.14</v>
      </c>
      <c r="J3475" t="s">
        <v>2511</v>
      </c>
    </row>
    <row r="3476" spans="1:10" ht="15" customHeight="1" x14ac:dyDescent="0.2">
      <c r="A3476" s="420">
        <v>45658</v>
      </c>
      <c r="B3476" t="s">
        <v>2435</v>
      </c>
      <c r="C3476" t="s">
        <v>6402</v>
      </c>
      <c r="D3476" t="s">
        <v>2436</v>
      </c>
      <c r="E3476" t="s">
        <v>6453</v>
      </c>
      <c r="F3476">
        <v>0.7</v>
      </c>
      <c r="H3476">
        <v>2299.84</v>
      </c>
      <c r="J3476" t="s">
        <v>2511</v>
      </c>
    </row>
    <row r="3477" spans="1:10" ht="15" customHeight="1" x14ac:dyDescent="0.2">
      <c r="A3477" s="420">
        <v>45658</v>
      </c>
      <c r="B3477" t="s">
        <v>2435</v>
      </c>
      <c r="C3477" t="s">
        <v>6402</v>
      </c>
      <c r="D3477" t="s">
        <v>2436</v>
      </c>
      <c r="E3477" t="s">
        <v>6454</v>
      </c>
      <c r="F3477">
        <v>1</v>
      </c>
      <c r="H3477">
        <v>2300.84</v>
      </c>
      <c r="J3477" t="s">
        <v>2511</v>
      </c>
    </row>
    <row r="3478" spans="1:10" ht="15" customHeight="1" x14ac:dyDescent="0.2">
      <c r="A3478" s="420">
        <v>45658</v>
      </c>
      <c r="B3478" t="s">
        <v>2435</v>
      </c>
      <c r="C3478" t="s">
        <v>6402</v>
      </c>
      <c r="D3478" t="s">
        <v>2436</v>
      </c>
      <c r="E3478" t="s">
        <v>6455</v>
      </c>
      <c r="F3478">
        <v>6.66</v>
      </c>
      <c r="H3478">
        <v>2307.5</v>
      </c>
      <c r="J3478" t="s">
        <v>2511</v>
      </c>
    </row>
    <row r="3479" spans="1:10" ht="15" customHeight="1" x14ac:dyDescent="0.2">
      <c r="A3479" s="420">
        <v>45658</v>
      </c>
      <c r="B3479" t="s">
        <v>2435</v>
      </c>
      <c r="C3479" t="s">
        <v>6402</v>
      </c>
      <c r="D3479" t="s">
        <v>2436</v>
      </c>
      <c r="E3479" t="s">
        <v>6456</v>
      </c>
      <c r="F3479">
        <v>11.2</v>
      </c>
      <c r="H3479">
        <v>2318.6999999999998</v>
      </c>
      <c r="J3479" t="s">
        <v>2511</v>
      </c>
    </row>
    <row r="3480" spans="1:10" ht="15" customHeight="1" x14ac:dyDescent="0.2">
      <c r="A3480" s="420">
        <v>45658</v>
      </c>
      <c r="B3480" t="s">
        <v>2435</v>
      </c>
      <c r="C3480" t="s">
        <v>6402</v>
      </c>
      <c r="D3480" t="s">
        <v>2436</v>
      </c>
      <c r="E3480" t="s">
        <v>6457</v>
      </c>
      <c r="F3480">
        <v>7.42</v>
      </c>
      <c r="H3480">
        <v>2326.12</v>
      </c>
      <c r="J3480" t="s">
        <v>2511</v>
      </c>
    </row>
    <row r="3481" spans="1:10" ht="15" customHeight="1" x14ac:dyDescent="0.2">
      <c r="A3481" s="420">
        <v>45658</v>
      </c>
      <c r="B3481" t="s">
        <v>2435</v>
      </c>
      <c r="C3481" t="s">
        <v>6402</v>
      </c>
      <c r="D3481" t="s">
        <v>2436</v>
      </c>
      <c r="E3481" t="s">
        <v>6458</v>
      </c>
      <c r="F3481">
        <v>4.05</v>
      </c>
      <c r="H3481">
        <v>2330.17</v>
      </c>
      <c r="J3481" t="s">
        <v>2511</v>
      </c>
    </row>
    <row r="3482" spans="1:10" ht="15" customHeight="1" x14ac:dyDescent="0.2">
      <c r="A3482" s="420">
        <v>45658</v>
      </c>
      <c r="B3482" t="s">
        <v>2435</v>
      </c>
      <c r="C3482" t="s">
        <v>6402</v>
      </c>
      <c r="D3482" t="s">
        <v>2436</v>
      </c>
      <c r="E3482" t="s">
        <v>6459</v>
      </c>
      <c r="F3482">
        <v>3.64</v>
      </c>
      <c r="H3482">
        <v>2333.81</v>
      </c>
      <c r="J3482" t="s">
        <v>2511</v>
      </c>
    </row>
    <row r="3483" spans="1:10" ht="15" customHeight="1" x14ac:dyDescent="0.2">
      <c r="A3483" s="420">
        <v>45658</v>
      </c>
      <c r="B3483" t="s">
        <v>2435</v>
      </c>
      <c r="C3483" t="s">
        <v>6402</v>
      </c>
      <c r="D3483" t="s">
        <v>2436</v>
      </c>
      <c r="E3483" t="s">
        <v>6460</v>
      </c>
      <c r="F3483">
        <v>297.39999999999998</v>
      </c>
      <c r="H3483">
        <v>2631.21</v>
      </c>
      <c r="J3483" t="s">
        <v>2511</v>
      </c>
    </row>
    <row r="3484" spans="1:10" ht="15" customHeight="1" x14ac:dyDescent="0.2">
      <c r="A3484" s="420">
        <v>45658</v>
      </c>
      <c r="B3484" t="s">
        <v>2435</v>
      </c>
      <c r="C3484" t="s">
        <v>6402</v>
      </c>
      <c r="D3484" t="s">
        <v>2436</v>
      </c>
      <c r="E3484" t="s">
        <v>6461</v>
      </c>
      <c r="F3484">
        <v>56</v>
      </c>
      <c r="H3484">
        <v>2687.21</v>
      </c>
      <c r="J3484" t="s">
        <v>2511</v>
      </c>
    </row>
    <row r="3485" spans="1:10" ht="15" customHeight="1" x14ac:dyDescent="0.2">
      <c r="A3485" s="420">
        <v>45658</v>
      </c>
      <c r="B3485" t="s">
        <v>2435</v>
      </c>
      <c r="C3485" t="s">
        <v>6402</v>
      </c>
      <c r="D3485" t="s">
        <v>2436</v>
      </c>
      <c r="E3485" t="s">
        <v>6462</v>
      </c>
      <c r="F3485">
        <v>130.63999999999999</v>
      </c>
      <c r="H3485">
        <v>2817.85</v>
      </c>
      <c r="J3485" t="s">
        <v>2511</v>
      </c>
    </row>
    <row r="3486" spans="1:10" ht="15" customHeight="1" x14ac:dyDescent="0.2">
      <c r="A3486" s="420">
        <v>45658</v>
      </c>
      <c r="B3486" t="s">
        <v>2435</v>
      </c>
      <c r="C3486" t="s">
        <v>6402</v>
      </c>
      <c r="D3486" t="s">
        <v>2436</v>
      </c>
      <c r="E3486" t="s">
        <v>6463</v>
      </c>
      <c r="F3486">
        <v>1427.5</v>
      </c>
      <c r="H3486">
        <v>4245.3500000000004</v>
      </c>
      <c r="J3486" t="s">
        <v>2511</v>
      </c>
    </row>
    <row r="3487" spans="1:10" ht="15" customHeight="1" x14ac:dyDescent="0.2">
      <c r="A3487" s="420">
        <v>45658</v>
      </c>
      <c r="B3487" t="s">
        <v>2435</v>
      </c>
      <c r="C3487" t="s">
        <v>6402</v>
      </c>
      <c r="D3487" t="s">
        <v>2436</v>
      </c>
      <c r="E3487" t="s">
        <v>6464</v>
      </c>
      <c r="F3487">
        <v>220</v>
      </c>
      <c r="H3487">
        <v>4465.3500000000004</v>
      </c>
      <c r="J3487" t="s">
        <v>2511</v>
      </c>
    </row>
    <row r="3488" spans="1:10" ht="15" customHeight="1" x14ac:dyDescent="0.2">
      <c r="A3488" s="420">
        <v>45658</v>
      </c>
      <c r="B3488" t="s">
        <v>2435</v>
      </c>
      <c r="C3488" t="s">
        <v>6402</v>
      </c>
      <c r="D3488" t="s">
        <v>2436</v>
      </c>
      <c r="E3488" t="s">
        <v>6465</v>
      </c>
      <c r="F3488">
        <v>200</v>
      </c>
      <c r="H3488">
        <v>4665.3500000000004</v>
      </c>
      <c r="J3488" t="s">
        <v>2511</v>
      </c>
    </row>
    <row r="3489" spans="1:10" ht="15" customHeight="1" x14ac:dyDescent="0.2">
      <c r="A3489" s="420">
        <v>45658</v>
      </c>
      <c r="B3489" t="s">
        <v>2435</v>
      </c>
      <c r="C3489" t="s">
        <v>6402</v>
      </c>
      <c r="D3489" t="s">
        <v>2436</v>
      </c>
      <c r="E3489" t="s">
        <v>6466</v>
      </c>
      <c r="F3489">
        <v>10.199999999999999</v>
      </c>
      <c r="H3489">
        <v>4675.55</v>
      </c>
      <c r="J3489" t="s">
        <v>2511</v>
      </c>
    </row>
    <row r="3490" spans="1:10" ht="15" customHeight="1" x14ac:dyDescent="0.2">
      <c r="A3490" s="420">
        <v>45658</v>
      </c>
      <c r="B3490" t="s">
        <v>2435</v>
      </c>
      <c r="C3490" t="s">
        <v>6402</v>
      </c>
      <c r="D3490" t="s">
        <v>2436</v>
      </c>
      <c r="E3490" t="s">
        <v>6467</v>
      </c>
      <c r="F3490">
        <v>11.47</v>
      </c>
      <c r="H3490">
        <v>4687.0200000000004</v>
      </c>
      <c r="J3490" t="s">
        <v>2511</v>
      </c>
    </row>
    <row r="3491" spans="1:10" ht="15" customHeight="1" x14ac:dyDescent="0.2">
      <c r="A3491" s="420">
        <v>45658</v>
      </c>
      <c r="B3491" t="s">
        <v>2435</v>
      </c>
      <c r="C3491" t="s">
        <v>6402</v>
      </c>
      <c r="D3491" t="s">
        <v>2436</v>
      </c>
      <c r="E3491" t="s">
        <v>6468</v>
      </c>
      <c r="F3491">
        <v>2.17</v>
      </c>
      <c r="H3491">
        <v>4689.1899999999996</v>
      </c>
      <c r="J3491" t="s">
        <v>2511</v>
      </c>
    </row>
    <row r="3492" spans="1:10" ht="15" customHeight="1" x14ac:dyDescent="0.2">
      <c r="A3492" s="420">
        <v>45658</v>
      </c>
      <c r="B3492" t="s">
        <v>2435</v>
      </c>
      <c r="C3492" t="s">
        <v>6402</v>
      </c>
      <c r="D3492" t="s">
        <v>2436</v>
      </c>
      <c r="E3492" t="s">
        <v>6469</v>
      </c>
      <c r="F3492">
        <v>32.29</v>
      </c>
      <c r="H3492">
        <v>4721.4799999999996</v>
      </c>
      <c r="J3492" t="s">
        <v>2511</v>
      </c>
    </row>
    <row r="3493" spans="1:10" ht="15" customHeight="1" x14ac:dyDescent="0.2">
      <c r="A3493" s="420">
        <v>45658</v>
      </c>
      <c r="B3493" t="s">
        <v>2435</v>
      </c>
      <c r="C3493" t="s">
        <v>6402</v>
      </c>
      <c r="D3493" t="s">
        <v>2436</v>
      </c>
      <c r="E3493" t="s">
        <v>6470</v>
      </c>
      <c r="F3493">
        <v>199.41</v>
      </c>
      <c r="H3493">
        <v>4920.8900000000003</v>
      </c>
      <c r="J3493" t="s">
        <v>2511</v>
      </c>
    </row>
    <row r="3494" spans="1:10" ht="15" customHeight="1" x14ac:dyDescent="0.2">
      <c r="A3494" s="420">
        <v>45658</v>
      </c>
      <c r="B3494" t="s">
        <v>2435</v>
      </c>
      <c r="C3494" t="s">
        <v>6402</v>
      </c>
      <c r="D3494" t="s">
        <v>2436</v>
      </c>
      <c r="E3494" t="s">
        <v>6471</v>
      </c>
      <c r="F3494">
        <v>2.16</v>
      </c>
      <c r="H3494">
        <v>4923.05</v>
      </c>
      <c r="J3494" t="s">
        <v>2511</v>
      </c>
    </row>
    <row r="3495" spans="1:10" ht="15" customHeight="1" x14ac:dyDescent="0.2">
      <c r="A3495" s="420">
        <v>45658</v>
      </c>
      <c r="B3495" t="s">
        <v>2435</v>
      </c>
      <c r="C3495" t="s">
        <v>6402</v>
      </c>
      <c r="D3495" t="s">
        <v>2436</v>
      </c>
      <c r="E3495" t="s">
        <v>6471</v>
      </c>
      <c r="F3495">
        <v>1.8</v>
      </c>
      <c r="H3495">
        <v>4924.8500000000004</v>
      </c>
      <c r="J3495" t="s">
        <v>2511</v>
      </c>
    </row>
    <row r="3496" spans="1:10" ht="15" customHeight="1" x14ac:dyDescent="0.2">
      <c r="A3496" s="420">
        <v>45658</v>
      </c>
      <c r="B3496" t="s">
        <v>2435</v>
      </c>
      <c r="C3496" t="s">
        <v>6402</v>
      </c>
      <c r="D3496" t="s">
        <v>2436</v>
      </c>
      <c r="E3496" t="s">
        <v>6472</v>
      </c>
      <c r="F3496">
        <v>22.4</v>
      </c>
      <c r="H3496">
        <v>4947.25</v>
      </c>
      <c r="J3496" t="s">
        <v>2511</v>
      </c>
    </row>
    <row r="3497" spans="1:10" ht="15" customHeight="1" x14ac:dyDescent="0.2">
      <c r="A3497" s="420">
        <v>45658</v>
      </c>
      <c r="B3497" t="s">
        <v>2435</v>
      </c>
      <c r="C3497" t="s">
        <v>6402</v>
      </c>
      <c r="D3497" t="s">
        <v>2436</v>
      </c>
      <c r="E3497" t="s">
        <v>6473</v>
      </c>
      <c r="F3497">
        <v>4.49</v>
      </c>
      <c r="H3497">
        <v>4951.74</v>
      </c>
      <c r="J3497" t="s">
        <v>2511</v>
      </c>
    </row>
    <row r="3498" spans="1:10" ht="15" customHeight="1" x14ac:dyDescent="0.2">
      <c r="A3498" s="420">
        <v>45658</v>
      </c>
      <c r="B3498" t="s">
        <v>2435</v>
      </c>
      <c r="C3498" t="s">
        <v>6402</v>
      </c>
      <c r="D3498" t="s">
        <v>2436</v>
      </c>
      <c r="E3498" t="s">
        <v>6473</v>
      </c>
      <c r="F3498">
        <v>4.95</v>
      </c>
      <c r="H3498">
        <v>4956.6899999999996</v>
      </c>
      <c r="J3498" t="s">
        <v>2511</v>
      </c>
    </row>
    <row r="3499" spans="1:10" ht="15" customHeight="1" x14ac:dyDescent="0.2">
      <c r="A3499" s="420">
        <v>45658</v>
      </c>
      <c r="B3499" t="s">
        <v>2435</v>
      </c>
      <c r="C3499" t="s">
        <v>6402</v>
      </c>
      <c r="D3499" t="s">
        <v>2436</v>
      </c>
      <c r="E3499" t="s">
        <v>6474</v>
      </c>
      <c r="F3499">
        <v>38.17</v>
      </c>
      <c r="H3499">
        <v>4994.8599999999997</v>
      </c>
      <c r="J3499" t="s">
        <v>2511</v>
      </c>
    </row>
    <row r="3500" spans="1:10" ht="15" customHeight="1" x14ac:dyDescent="0.2">
      <c r="A3500" s="420">
        <v>45658</v>
      </c>
      <c r="B3500" t="s">
        <v>2435</v>
      </c>
      <c r="C3500" t="s">
        <v>6402</v>
      </c>
      <c r="D3500" t="s">
        <v>2436</v>
      </c>
      <c r="E3500" t="s">
        <v>6475</v>
      </c>
      <c r="F3500">
        <v>15.8</v>
      </c>
      <c r="H3500">
        <v>5010.66</v>
      </c>
      <c r="J3500" t="s">
        <v>2511</v>
      </c>
    </row>
    <row r="3501" spans="1:10" ht="15" customHeight="1" x14ac:dyDescent="0.2">
      <c r="A3501" s="420">
        <v>45658</v>
      </c>
      <c r="B3501" t="s">
        <v>2435</v>
      </c>
      <c r="C3501" t="s">
        <v>6402</v>
      </c>
      <c r="D3501" t="s">
        <v>2436</v>
      </c>
      <c r="E3501" t="s">
        <v>6476</v>
      </c>
      <c r="F3501">
        <v>11.6</v>
      </c>
      <c r="H3501">
        <v>5022.26</v>
      </c>
      <c r="J3501" t="s">
        <v>2511</v>
      </c>
    </row>
    <row r="3502" spans="1:10" ht="15" customHeight="1" x14ac:dyDescent="0.2">
      <c r="A3502" s="420">
        <v>45658</v>
      </c>
      <c r="B3502" t="s">
        <v>2435</v>
      </c>
      <c r="C3502" t="s">
        <v>6402</v>
      </c>
      <c r="D3502" t="s">
        <v>2436</v>
      </c>
      <c r="E3502" t="s">
        <v>6477</v>
      </c>
      <c r="F3502">
        <v>5.39</v>
      </c>
      <c r="H3502">
        <v>5027.6499999999996</v>
      </c>
      <c r="J3502" t="s">
        <v>2511</v>
      </c>
    </row>
    <row r="3503" spans="1:10" ht="15" customHeight="1" x14ac:dyDescent="0.2">
      <c r="A3503" s="420">
        <v>45658</v>
      </c>
      <c r="B3503" t="s">
        <v>2435</v>
      </c>
      <c r="C3503" t="s">
        <v>6402</v>
      </c>
      <c r="D3503" t="s">
        <v>2436</v>
      </c>
      <c r="E3503" t="s">
        <v>6478</v>
      </c>
      <c r="F3503">
        <v>12.71</v>
      </c>
      <c r="H3503">
        <v>5040.3599999999997</v>
      </c>
      <c r="J3503" t="s">
        <v>2511</v>
      </c>
    </row>
    <row r="3504" spans="1:10" ht="15" customHeight="1" x14ac:dyDescent="0.2">
      <c r="A3504" s="420">
        <v>45658</v>
      </c>
      <c r="B3504" t="s">
        <v>2435</v>
      </c>
      <c r="C3504" t="s">
        <v>6402</v>
      </c>
      <c r="D3504" t="s">
        <v>2436</v>
      </c>
      <c r="E3504" t="s">
        <v>6479</v>
      </c>
      <c r="F3504">
        <v>11.28</v>
      </c>
      <c r="H3504">
        <v>5051.6400000000003</v>
      </c>
      <c r="J3504" t="s">
        <v>2511</v>
      </c>
    </row>
    <row r="3505" spans="1:10" ht="15" customHeight="1" x14ac:dyDescent="0.2">
      <c r="A3505" s="420">
        <v>45658</v>
      </c>
      <c r="B3505" t="s">
        <v>2435</v>
      </c>
      <c r="C3505" t="s">
        <v>6402</v>
      </c>
      <c r="D3505" t="s">
        <v>2436</v>
      </c>
      <c r="E3505" t="s">
        <v>6480</v>
      </c>
      <c r="F3505">
        <v>1.41</v>
      </c>
      <c r="H3505">
        <v>5053.05</v>
      </c>
      <c r="J3505" t="s">
        <v>2511</v>
      </c>
    </row>
    <row r="3506" spans="1:10" ht="15" customHeight="1" x14ac:dyDescent="0.2">
      <c r="A3506" s="420">
        <v>45658</v>
      </c>
      <c r="B3506" t="s">
        <v>2435</v>
      </c>
      <c r="C3506" t="s">
        <v>6402</v>
      </c>
      <c r="D3506" t="s">
        <v>2436</v>
      </c>
      <c r="E3506" t="s">
        <v>6481</v>
      </c>
      <c r="F3506">
        <v>30</v>
      </c>
      <c r="H3506">
        <v>5083.05</v>
      </c>
      <c r="J3506" t="s">
        <v>2511</v>
      </c>
    </row>
    <row r="3507" spans="1:10" ht="15" customHeight="1" x14ac:dyDescent="0.2">
      <c r="A3507" s="420">
        <v>45658</v>
      </c>
      <c r="B3507" t="s">
        <v>2435</v>
      </c>
      <c r="C3507" t="s">
        <v>6402</v>
      </c>
      <c r="D3507" t="s">
        <v>2436</v>
      </c>
      <c r="E3507" t="s">
        <v>6482</v>
      </c>
      <c r="F3507">
        <v>69.8</v>
      </c>
      <c r="H3507">
        <v>5152.8500000000004</v>
      </c>
      <c r="J3507" t="s">
        <v>2511</v>
      </c>
    </row>
    <row r="3508" spans="1:10" ht="15" customHeight="1" x14ac:dyDescent="0.2">
      <c r="A3508" s="420">
        <v>45658</v>
      </c>
      <c r="B3508" t="s">
        <v>2435</v>
      </c>
      <c r="C3508" t="s">
        <v>6402</v>
      </c>
      <c r="D3508" t="s">
        <v>2436</v>
      </c>
      <c r="E3508" t="s">
        <v>6483</v>
      </c>
      <c r="F3508">
        <v>2.64</v>
      </c>
      <c r="H3508">
        <v>5155.49</v>
      </c>
      <c r="J3508" t="s">
        <v>2511</v>
      </c>
    </row>
    <row r="3509" spans="1:10" ht="15" customHeight="1" x14ac:dyDescent="0.2">
      <c r="A3509" s="420">
        <v>45658</v>
      </c>
      <c r="B3509" t="s">
        <v>2435</v>
      </c>
      <c r="C3509" t="s">
        <v>6402</v>
      </c>
      <c r="D3509" t="s">
        <v>2436</v>
      </c>
      <c r="E3509" t="s">
        <v>6483</v>
      </c>
      <c r="F3509">
        <v>3.67</v>
      </c>
      <c r="H3509">
        <v>5159.16</v>
      </c>
      <c r="J3509" t="s">
        <v>2511</v>
      </c>
    </row>
    <row r="3510" spans="1:10" ht="15" customHeight="1" x14ac:dyDescent="0.2">
      <c r="A3510" s="420">
        <v>45658</v>
      </c>
      <c r="B3510" t="s">
        <v>2435</v>
      </c>
      <c r="C3510" t="s">
        <v>6402</v>
      </c>
      <c r="D3510" t="s">
        <v>2436</v>
      </c>
      <c r="E3510" t="s">
        <v>6484</v>
      </c>
      <c r="F3510">
        <v>7.17</v>
      </c>
      <c r="H3510">
        <v>5166.33</v>
      </c>
      <c r="J3510" t="s">
        <v>2511</v>
      </c>
    </row>
    <row r="3511" spans="1:10" ht="15" customHeight="1" x14ac:dyDescent="0.2">
      <c r="A3511" s="420">
        <v>45658</v>
      </c>
      <c r="B3511" t="s">
        <v>2435</v>
      </c>
      <c r="C3511" t="s">
        <v>6402</v>
      </c>
      <c r="D3511" t="s">
        <v>2436</v>
      </c>
      <c r="E3511" t="s">
        <v>6485</v>
      </c>
      <c r="F3511">
        <v>5.27</v>
      </c>
      <c r="H3511">
        <v>5171.6000000000004</v>
      </c>
      <c r="J3511" t="s">
        <v>2511</v>
      </c>
    </row>
    <row r="3512" spans="1:10" ht="15" customHeight="1" x14ac:dyDescent="0.2">
      <c r="A3512" s="420">
        <v>45658</v>
      </c>
      <c r="B3512" t="s">
        <v>2435</v>
      </c>
      <c r="C3512" t="s">
        <v>6402</v>
      </c>
      <c r="D3512" t="s">
        <v>2436</v>
      </c>
      <c r="E3512" t="s">
        <v>6485</v>
      </c>
      <c r="F3512">
        <v>3</v>
      </c>
      <c r="H3512">
        <v>5174.6000000000004</v>
      </c>
      <c r="J3512" t="s">
        <v>2511</v>
      </c>
    </row>
    <row r="3513" spans="1:10" ht="15" customHeight="1" x14ac:dyDescent="0.2">
      <c r="A3513" s="420">
        <v>45658</v>
      </c>
      <c r="B3513" t="s">
        <v>2435</v>
      </c>
      <c r="C3513" t="s">
        <v>6402</v>
      </c>
      <c r="D3513" t="s">
        <v>2436</v>
      </c>
      <c r="E3513" t="s">
        <v>6486</v>
      </c>
      <c r="F3513">
        <v>3.63</v>
      </c>
      <c r="H3513">
        <v>5178.2299999999996</v>
      </c>
      <c r="J3513" t="s">
        <v>2511</v>
      </c>
    </row>
    <row r="3514" spans="1:10" ht="15" customHeight="1" x14ac:dyDescent="0.2">
      <c r="A3514" s="420">
        <v>45658</v>
      </c>
      <c r="B3514" t="s">
        <v>2435</v>
      </c>
      <c r="C3514" t="s">
        <v>6402</v>
      </c>
      <c r="D3514" t="s">
        <v>2436</v>
      </c>
      <c r="E3514" t="s">
        <v>6487</v>
      </c>
      <c r="F3514">
        <v>8.8000000000000007</v>
      </c>
      <c r="H3514">
        <v>5187.03</v>
      </c>
      <c r="J3514" t="s">
        <v>2511</v>
      </c>
    </row>
    <row r="3515" spans="1:10" ht="15" customHeight="1" x14ac:dyDescent="0.2">
      <c r="A3515" s="420">
        <v>45658</v>
      </c>
      <c r="B3515" t="s">
        <v>2435</v>
      </c>
      <c r="C3515" t="s">
        <v>6402</v>
      </c>
      <c r="D3515" t="s">
        <v>2436</v>
      </c>
      <c r="E3515" t="s">
        <v>6488</v>
      </c>
      <c r="F3515">
        <v>3.63</v>
      </c>
      <c r="H3515">
        <v>5190.66</v>
      </c>
      <c r="J3515" t="s">
        <v>2511</v>
      </c>
    </row>
    <row r="3516" spans="1:10" ht="15" customHeight="1" x14ac:dyDescent="0.2">
      <c r="A3516" s="420">
        <v>45658</v>
      </c>
      <c r="B3516" t="s">
        <v>2435</v>
      </c>
      <c r="C3516" t="s">
        <v>6402</v>
      </c>
      <c r="D3516" t="s">
        <v>2436</v>
      </c>
      <c r="E3516" t="s">
        <v>6489</v>
      </c>
      <c r="F3516">
        <v>45.24</v>
      </c>
      <c r="H3516">
        <v>5235.8999999999996</v>
      </c>
      <c r="J3516" t="s">
        <v>2511</v>
      </c>
    </row>
    <row r="3517" spans="1:10" ht="15" customHeight="1" x14ac:dyDescent="0.2">
      <c r="A3517" s="420">
        <v>45658</v>
      </c>
      <c r="B3517" t="s">
        <v>2435</v>
      </c>
      <c r="C3517" t="s">
        <v>6402</v>
      </c>
      <c r="D3517" t="s">
        <v>2436</v>
      </c>
      <c r="E3517" t="s">
        <v>6490</v>
      </c>
      <c r="F3517">
        <v>0.56999999999999995</v>
      </c>
      <c r="H3517">
        <v>5236.47</v>
      </c>
      <c r="J3517" t="s">
        <v>2511</v>
      </c>
    </row>
    <row r="3518" spans="1:10" ht="15" customHeight="1" x14ac:dyDescent="0.2">
      <c r="A3518" s="420">
        <v>45658</v>
      </c>
      <c r="B3518" t="s">
        <v>2435</v>
      </c>
      <c r="C3518" t="s">
        <v>6402</v>
      </c>
      <c r="D3518" t="s">
        <v>2436</v>
      </c>
      <c r="E3518" t="s">
        <v>6490</v>
      </c>
      <c r="F3518">
        <v>0.56999999999999995</v>
      </c>
      <c r="H3518">
        <v>5237.04</v>
      </c>
      <c r="J3518" t="s">
        <v>2511</v>
      </c>
    </row>
    <row r="3519" spans="1:10" ht="15" customHeight="1" x14ac:dyDescent="0.2">
      <c r="A3519" s="420">
        <v>45658</v>
      </c>
      <c r="B3519" t="s">
        <v>2435</v>
      </c>
      <c r="C3519" t="s">
        <v>6402</v>
      </c>
      <c r="D3519" t="s">
        <v>2436</v>
      </c>
      <c r="E3519" t="s">
        <v>6490</v>
      </c>
      <c r="F3519">
        <v>1.72</v>
      </c>
      <c r="H3519">
        <v>5238.76</v>
      </c>
      <c r="J3519" t="s">
        <v>2511</v>
      </c>
    </row>
    <row r="3520" spans="1:10" ht="15" customHeight="1" x14ac:dyDescent="0.2">
      <c r="A3520" s="420">
        <v>45658</v>
      </c>
      <c r="B3520" t="s">
        <v>2435</v>
      </c>
      <c r="C3520" t="s">
        <v>6402</v>
      </c>
      <c r="D3520" t="s">
        <v>2436</v>
      </c>
      <c r="E3520" t="s">
        <v>6490</v>
      </c>
      <c r="F3520">
        <v>1.72</v>
      </c>
      <c r="H3520">
        <v>5240.4799999999996</v>
      </c>
      <c r="J3520" t="s">
        <v>2511</v>
      </c>
    </row>
    <row r="3521" spans="1:10" ht="15" customHeight="1" x14ac:dyDescent="0.2">
      <c r="A3521" s="420">
        <v>45658</v>
      </c>
      <c r="B3521" t="s">
        <v>2435</v>
      </c>
      <c r="C3521" t="s">
        <v>6402</v>
      </c>
      <c r="D3521" t="s">
        <v>2436</v>
      </c>
      <c r="E3521" t="s">
        <v>6491</v>
      </c>
      <c r="F3521">
        <v>4.9000000000000004</v>
      </c>
      <c r="H3521">
        <v>5245.38</v>
      </c>
      <c r="J3521" t="s">
        <v>2511</v>
      </c>
    </row>
    <row r="3522" spans="1:10" ht="15" customHeight="1" x14ac:dyDescent="0.2">
      <c r="A3522" s="420">
        <v>45658</v>
      </c>
      <c r="B3522" t="s">
        <v>2435</v>
      </c>
      <c r="C3522" t="s">
        <v>6402</v>
      </c>
      <c r="D3522" t="s">
        <v>2436</v>
      </c>
      <c r="E3522" t="s">
        <v>6492</v>
      </c>
      <c r="F3522">
        <v>56</v>
      </c>
      <c r="H3522">
        <v>5301.38</v>
      </c>
      <c r="J3522" t="s">
        <v>2511</v>
      </c>
    </row>
    <row r="3523" spans="1:10" ht="15" customHeight="1" x14ac:dyDescent="0.2">
      <c r="A3523" s="420">
        <v>45658</v>
      </c>
      <c r="B3523" t="s">
        <v>2435</v>
      </c>
      <c r="C3523" t="s">
        <v>6402</v>
      </c>
      <c r="D3523" t="s">
        <v>2436</v>
      </c>
      <c r="E3523" t="s">
        <v>6493</v>
      </c>
      <c r="F3523">
        <v>295.24</v>
      </c>
      <c r="H3523">
        <v>5596.62</v>
      </c>
      <c r="J3523" t="s">
        <v>2511</v>
      </c>
    </row>
    <row r="3524" spans="1:10" ht="15" customHeight="1" x14ac:dyDescent="0.2">
      <c r="A3524" s="420">
        <v>45658</v>
      </c>
      <c r="B3524" t="s">
        <v>2435</v>
      </c>
      <c r="C3524" t="s">
        <v>6402</v>
      </c>
      <c r="D3524" t="s">
        <v>2436</v>
      </c>
      <c r="E3524" t="s">
        <v>6494</v>
      </c>
      <c r="F3524">
        <v>1417.14</v>
      </c>
      <c r="H3524">
        <v>7013.76</v>
      </c>
      <c r="J3524" t="s">
        <v>2511</v>
      </c>
    </row>
    <row r="3525" spans="1:10" ht="15" customHeight="1" x14ac:dyDescent="0.2">
      <c r="A3525" s="420">
        <v>45658</v>
      </c>
      <c r="B3525" t="s">
        <v>2435</v>
      </c>
      <c r="C3525" t="s">
        <v>6402</v>
      </c>
      <c r="D3525" t="s">
        <v>2436</v>
      </c>
      <c r="E3525" t="s">
        <v>6495</v>
      </c>
      <c r="F3525">
        <v>63.94</v>
      </c>
      <c r="H3525">
        <v>7077.7</v>
      </c>
      <c r="J3525" t="s">
        <v>2511</v>
      </c>
    </row>
    <row r="3526" spans="1:10" ht="15" customHeight="1" x14ac:dyDescent="0.2">
      <c r="A3526" s="420">
        <v>45658</v>
      </c>
      <c r="B3526" t="s">
        <v>2435</v>
      </c>
      <c r="C3526" t="s">
        <v>6402</v>
      </c>
      <c r="D3526" t="s">
        <v>2436</v>
      </c>
      <c r="E3526" t="s">
        <v>6492</v>
      </c>
      <c r="F3526">
        <v>52</v>
      </c>
      <c r="H3526">
        <v>7129.7</v>
      </c>
      <c r="J3526" t="s">
        <v>2511</v>
      </c>
    </row>
    <row r="3527" spans="1:10" ht="15" customHeight="1" x14ac:dyDescent="0.2">
      <c r="A3527" s="420">
        <v>45658</v>
      </c>
      <c r="B3527" t="s">
        <v>2435</v>
      </c>
      <c r="C3527" t="s">
        <v>6402</v>
      </c>
      <c r="D3527" t="s">
        <v>2436</v>
      </c>
      <c r="E3527" t="s">
        <v>6496</v>
      </c>
      <c r="F3527">
        <v>134.05000000000001</v>
      </c>
      <c r="H3527">
        <v>7263.75</v>
      </c>
      <c r="J3527" t="s">
        <v>2511</v>
      </c>
    </row>
    <row r="3528" spans="1:10" ht="15" customHeight="1" x14ac:dyDescent="0.2">
      <c r="A3528" s="420">
        <v>45658</v>
      </c>
      <c r="B3528" t="s">
        <v>2435</v>
      </c>
      <c r="C3528" t="s">
        <v>6402</v>
      </c>
      <c r="D3528" t="s">
        <v>2436</v>
      </c>
      <c r="E3528" t="s">
        <v>6497</v>
      </c>
      <c r="F3528">
        <v>200</v>
      </c>
      <c r="H3528">
        <v>7463.75</v>
      </c>
      <c r="J3528" t="s">
        <v>2511</v>
      </c>
    </row>
    <row r="3529" spans="1:10" ht="15" customHeight="1" x14ac:dyDescent="0.2">
      <c r="A3529" s="420">
        <v>45658</v>
      </c>
      <c r="B3529" t="s">
        <v>2435</v>
      </c>
      <c r="C3529" t="s">
        <v>6402</v>
      </c>
      <c r="D3529" t="s">
        <v>2436</v>
      </c>
      <c r="E3529" t="s">
        <v>6498</v>
      </c>
      <c r="F3529">
        <v>0.82</v>
      </c>
      <c r="H3529">
        <v>7464.57</v>
      </c>
      <c r="J3529" t="s">
        <v>2511</v>
      </c>
    </row>
    <row r="3530" spans="1:10" ht="15" customHeight="1" x14ac:dyDescent="0.2">
      <c r="A3530" s="420">
        <v>45658</v>
      </c>
      <c r="B3530" t="s">
        <v>2435</v>
      </c>
      <c r="C3530" t="s">
        <v>6402</v>
      </c>
      <c r="D3530" t="s">
        <v>2436</v>
      </c>
      <c r="E3530" t="s">
        <v>6499</v>
      </c>
      <c r="F3530">
        <v>10.199999999999999</v>
      </c>
      <c r="H3530">
        <v>7474.77</v>
      </c>
      <c r="J3530" t="s">
        <v>2511</v>
      </c>
    </row>
    <row r="3531" spans="1:10" ht="15" customHeight="1" x14ac:dyDescent="0.2">
      <c r="A3531" s="420">
        <v>45658</v>
      </c>
      <c r="B3531" t="s">
        <v>2435</v>
      </c>
      <c r="C3531" t="s">
        <v>6402</v>
      </c>
      <c r="D3531" t="s">
        <v>2436</v>
      </c>
      <c r="E3531" t="s">
        <v>6500</v>
      </c>
      <c r="F3531">
        <v>220</v>
      </c>
      <c r="H3531">
        <v>7694.77</v>
      </c>
      <c r="J3531" t="s">
        <v>2511</v>
      </c>
    </row>
    <row r="3532" spans="1:10" ht="15" customHeight="1" x14ac:dyDescent="0.2">
      <c r="A3532" s="420">
        <v>45658</v>
      </c>
      <c r="B3532" t="s">
        <v>2435</v>
      </c>
      <c r="C3532" t="s">
        <v>6402</v>
      </c>
      <c r="D3532" t="s">
        <v>2436</v>
      </c>
      <c r="E3532" t="s">
        <v>6501</v>
      </c>
      <c r="F3532">
        <v>3.48</v>
      </c>
      <c r="H3532">
        <v>7698.25</v>
      </c>
      <c r="J3532" t="s">
        <v>2511</v>
      </c>
    </row>
    <row r="3533" spans="1:10" ht="15" customHeight="1" x14ac:dyDescent="0.2">
      <c r="A3533" s="420">
        <v>45658</v>
      </c>
      <c r="B3533" t="s">
        <v>2435</v>
      </c>
      <c r="C3533" t="s">
        <v>6402</v>
      </c>
      <c r="D3533" t="s">
        <v>2436</v>
      </c>
      <c r="E3533" t="s">
        <v>6502</v>
      </c>
      <c r="F3533">
        <v>3.63</v>
      </c>
      <c r="H3533">
        <v>7701.88</v>
      </c>
      <c r="J3533" t="s">
        <v>2511</v>
      </c>
    </row>
    <row r="3534" spans="1:10" ht="15" customHeight="1" x14ac:dyDescent="0.2">
      <c r="A3534" s="420">
        <v>45658</v>
      </c>
      <c r="B3534" t="s">
        <v>2435</v>
      </c>
      <c r="C3534" t="s">
        <v>6402</v>
      </c>
      <c r="D3534" t="s">
        <v>2436</v>
      </c>
      <c r="E3534" t="s">
        <v>6503</v>
      </c>
      <c r="F3534">
        <v>6.67</v>
      </c>
      <c r="H3534">
        <v>7708.55</v>
      </c>
      <c r="J3534" t="s">
        <v>2511</v>
      </c>
    </row>
    <row r="3535" spans="1:10" ht="15" customHeight="1" x14ac:dyDescent="0.2">
      <c r="A3535" s="420">
        <v>45658</v>
      </c>
      <c r="B3535" t="s">
        <v>2435</v>
      </c>
      <c r="C3535" t="s">
        <v>6402</v>
      </c>
      <c r="D3535" t="s">
        <v>2436</v>
      </c>
      <c r="E3535" t="s">
        <v>6502</v>
      </c>
      <c r="F3535">
        <v>3.63</v>
      </c>
      <c r="H3535">
        <v>7712.18</v>
      </c>
      <c r="J3535" t="s">
        <v>2511</v>
      </c>
    </row>
    <row r="3536" spans="1:10" ht="15" customHeight="1" x14ac:dyDescent="0.2">
      <c r="A3536" s="420">
        <v>45658</v>
      </c>
      <c r="B3536" t="s">
        <v>2435</v>
      </c>
      <c r="C3536" t="s">
        <v>6402</v>
      </c>
      <c r="D3536" t="s">
        <v>2436</v>
      </c>
      <c r="E3536" t="s">
        <v>6504</v>
      </c>
      <c r="F3536">
        <v>5.23</v>
      </c>
      <c r="H3536">
        <v>7717.41</v>
      </c>
      <c r="J3536" t="s">
        <v>2511</v>
      </c>
    </row>
    <row r="3537" spans="1:10" ht="15" customHeight="1" x14ac:dyDescent="0.2">
      <c r="A3537" s="420">
        <v>45658</v>
      </c>
      <c r="B3537" t="s">
        <v>2435</v>
      </c>
      <c r="C3537" t="s">
        <v>6402</v>
      </c>
      <c r="D3537" t="s">
        <v>2436</v>
      </c>
      <c r="E3537" t="s">
        <v>6505</v>
      </c>
      <c r="F3537">
        <v>229.88</v>
      </c>
      <c r="H3537">
        <v>7947.29</v>
      </c>
      <c r="J3537" t="s">
        <v>2511</v>
      </c>
    </row>
    <row r="3538" spans="1:10" ht="15" customHeight="1" x14ac:dyDescent="0.2">
      <c r="A3538" s="420">
        <v>45658</v>
      </c>
      <c r="B3538" t="s">
        <v>2435</v>
      </c>
      <c r="C3538" t="s">
        <v>6402</v>
      </c>
      <c r="D3538" t="s">
        <v>2436</v>
      </c>
      <c r="E3538" t="s">
        <v>6506</v>
      </c>
      <c r="F3538">
        <v>1.41</v>
      </c>
      <c r="H3538">
        <v>7948.7</v>
      </c>
      <c r="J3538" t="s">
        <v>2511</v>
      </c>
    </row>
    <row r="3539" spans="1:10" ht="15" customHeight="1" x14ac:dyDescent="0.2">
      <c r="A3539" s="420">
        <v>45658</v>
      </c>
      <c r="B3539" t="s">
        <v>2435</v>
      </c>
      <c r="C3539" t="s">
        <v>6402</v>
      </c>
      <c r="D3539" t="s">
        <v>2436</v>
      </c>
      <c r="E3539" t="s">
        <v>6507</v>
      </c>
      <c r="F3539">
        <v>2</v>
      </c>
      <c r="H3539">
        <v>7950.7</v>
      </c>
      <c r="J3539" t="s">
        <v>2511</v>
      </c>
    </row>
    <row r="3540" spans="1:10" ht="15" customHeight="1" x14ac:dyDescent="0.2">
      <c r="A3540" s="420">
        <v>45658</v>
      </c>
      <c r="B3540" t="s">
        <v>2435</v>
      </c>
      <c r="C3540" t="s">
        <v>6402</v>
      </c>
      <c r="D3540" t="s">
        <v>2436</v>
      </c>
      <c r="E3540" t="s">
        <v>6508</v>
      </c>
      <c r="F3540">
        <v>2.16</v>
      </c>
      <c r="H3540">
        <v>7952.86</v>
      </c>
      <c r="J3540" t="s">
        <v>2511</v>
      </c>
    </row>
    <row r="3541" spans="1:10" ht="15" customHeight="1" x14ac:dyDescent="0.2">
      <c r="A3541" s="420">
        <v>45658</v>
      </c>
      <c r="B3541" t="s">
        <v>2435</v>
      </c>
      <c r="C3541" t="s">
        <v>6402</v>
      </c>
      <c r="D3541" t="s">
        <v>2436</v>
      </c>
      <c r="E3541" t="s">
        <v>6508</v>
      </c>
      <c r="F3541">
        <v>1.74</v>
      </c>
      <c r="H3541">
        <v>7954.6</v>
      </c>
      <c r="J3541" t="s">
        <v>2511</v>
      </c>
    </row>
    <row r="3542" spans="1:10" ht="15" customHeight="1" x14ac:dyDescent="0.2">
      <c r="A3542" s="420">
        <v>45658</v>
      </c>
      <c r="B3542" t="s">
        <v>2435</v>
      </c>
      <c r="C3542" t="s">
        <v>6402</v>
      </c>
      <c r="D3542" t="s">
        <v>2436</v>
      </c>
      <c r="E3542" t="s">
        <v>6509</v>
      </c>
      <c r="F3542">
        <v>4.68</v>
      </c>
      <c r="H3542">
        <v>7959.28</v>
      </c>
      <c r="J3542" t="s">
        <v>2511</v>
      </c>
    </row>
    <row r="3543" spans="1:10" ht="15" customHeight="1" x14ac:dyDescent="0.2">
      <c r="A3543" s="420">
        <v>45658</v>
      </c>
      <c r="B3543" t="s">
        <v>2435</v>
      </c>
      <c r="C3543" t="s">
        <v>6402</v>
      </c>
      <c r="D3543" t="s">
        <v>2436</v>
      </c>
      <c r="E3543" t="s">
        <v>6510</v>
      </c>
      <c r="F3543">
        <v>24.88</v>
      </c>
      <c r="H3543">
        <v>7984.16</v>
      </c>
      <c r="J3543" t="s">
        <v>2511</v>
      </c>
    </row>
    <row r="3544" spans="1:10" ht="15" customHeight="1" x14ac:dyDescent="0.2">
      <c r="A3544" s="420">
        <v>45658</v>
      </c>
      <c r="B3544" t="s">
        <v>2435</v>
      </c>
      <c r="C3544" t="s">
        <v>6402</v>
      </c>
      <c r="D3544" t="s">
        <v>2436</v>
      </c>
      <c r="E3544" t="s">
        <v>6511</v>
      </c>
      <c r="F3544">
        <v>15.64</v>
      </c>
      <c r="H3544">
        <v>7999.8</v>
      </c>
      <c r="J3544" t="s">
        <v>2511</v>
      </c>
    </row>
    <row r="3545" spans="1:10" ht="15" customHeight="1" x14ac:dyDescent="0.2">
      <c r="A3545" s="420">
        <v>45658</v>
      </c>
      <c r="B3545" t="s">
        <v>2435</v>
      </c>
      <c r="C3545" t="s">
        <v>6402</v>
      </c>
      <c r="D3545" t="s">
        <v>2436</v>
      </c>
      <c r="E3545" t="s">
        <v>6512</v>
      </c>
      <c r="F3545">
        <v>1.72</v>
      </c>
      <c r="H3545">
        <v>8001.52</v>
      </c>
      <c r="J3545" t="s">
        <v>2511</v>
      </c>
    </row>
    <row r="3546" spans="1:10" ht="15" customHeight="1" x14ac:dyDescent="0.2">
      <c r="A3546" s="420">
        <v>45658</v>
      </c>
      <c r="B3546" t="s">
        <v>2435</v>
      </c>
      <c r="C3546" t="s">
        <v>6402</v>
      </c>
      <c r="D3546" t="s">
        <v>2436</v>
      </c>
      <c r="E3546" t="s">
        <v>6512</v>
      </c>
      <c r="F3546">
        <v>1.21</v>
      </c>
      <c r="H3546">
        <v>8002.73</v>
      </c>
      <c r="J3546" t="s">
        <v>2511</v>
      </c>
    </row>
    <row r="3547" spans="1:10" ht="15" customHeight="1" x14ac:dyDescent="0.2">
      <c r="A3547" s="420">
        <v>45658</v>
      </c>
      <c r="B3547" t="s">
        <v>2435</v>
      </c>
      <c r="C3547" t="s">
        <v>6402</v>
      </c>
      <c r="D3547" t="s">
        <v>2436</v>
      </c>
      <c r="E3547" t="s">
        <v>6513</v>
      </c>
      <c r="F3547">
        <v>15.8</v>
      </c>
      <c r="H3547">
        <v>8018.53</v>
      </c>
      <c r="J3547" t="s">
        <v>2511</v>
      </c>
    </row>
    <row r="3548" spans="1:10" ht="15" customHeight="1" x14ac:dyDescent="0.2">
      <c r="A3548" s="420">
        <v>45658</v>
      </c>
      <c r="B3548" t="s">
        <v>2435</v>
      </c>
      <c r="C3548" t="s">
        <v>6402</v>
      </c>
      <c r="D3548" t="s">
        <v>2436</v>
      </c>
      <c r="E3548" t="s">
        <v>6514</v>
      </c>
      <c r="F3548">
        <v>4.3499999999999996</v>
      </c>
      <c r="H3548">
        <v>8022.88</v>
      </c>
      <c r="J3548" t="s">
        <v>2511</v>
      </c>
    </row>
    <row r="3549" spans="1:10" ht="15" customHeight="1" x14ac:dyDescent="0.2">
      <c r="A3549" s="420">
        <v>45658</v>
      </c>
      <c r="B3549" t="s">
        <v>2435</v>
      </c>
      <c r="C3549" t="s">
        <v>6402</v>
      </c>
      <c r="D3549" t="s">
        <v>2436</v>
      </c>
      <c r="E3549" t="s">
        <v>6514</v>
      </c>
      <c r="F3549">
        <v>1.5</v>
      </c>
      <c r="H3549">
        <v>8024.38</v>
      </c>
      <c r="J3549" t="s">
        <v>2511</v>
      </c>
    </row>
    <row r="3550" spans="1:10" ht="15" customHeight="1" x14ac:dyDescent="0.2">
      <c r="A3550" s="420">
        <v>45658</v>
      </c>
      <c r="B3550" t="s">
        <v>2435</v>
      </c>
      <c r="C3550" t="s">
        <v>6402</v>
      </c>
      <c r="D3550" t="s">
        <v>2436</v>
      </c>
      <c r="E3550" t="s">
        <v>6515</v>
      </c>
      <c r="F3550">
        <v>4.17</v>
      </c>
      <c r="H3550">
        <v>8028.55</v>
      </c>
      <c r="J3550" t="s">
        <v>2511</v>
      </c>
    </row>
    <row r="3551" spans="1:10" ht="15" customHeight="1" x14ac:dyDescent="0.2">
      <c r="A3551" s="420">
        <v>45658</v>
      </c>
      <c r="B3551" t="s">
        <v>2435</v>
      </c>
      <c r="C3551" t="s">
        <v>6402</v>
      </c>
      <c r="D3551" t="s">
        <v>2436</v>
      </c>
      <c r="E3551" t="s">
        <v>6516</v>
      </c>
      <c r="F3551">
        <v>4.37</v>
      </c>
      <c r="H3551">
        <v>8032.92</v>
      </c>
      <c r="J3551" t="s">
        <v>2511</v>
      </c>
    </row>
    <row r="3552" spans="1:10" ht="15" customHeight="1" x14ac:dyDescent="0.2">
      <c r="A3552" s="420">
        <v>45658</v>
      </c>
      <c r="B3552" t="s">
        <v>2435</v>
      </c>
      <c r="C3552" t="s">
        <v>6402</v>
      </c>
      <c r="D3552" t="s">
        <v>2436</v>
      </c>
      <c r="E3552" t="s">
        <v>6517</v>
      </c>
      <c r="F3552">
        <v>66.650000000000006</v>
      </c>
      <c r="H3552">
        <v>8099.57</v>
      </c>
      <c r="J3552" t="s">
        <v>2511</v>
      </c>
    </row>
    <row r="3553" spans="1:10" ht="15" customHeight="1" x14ac:dyDescent="0.2">
      <c r="A3553" s="420">
        <v>45658</v>
      </c>
      <c r="B3553" t="s">
        <v>2435</v>
      </c>
      <c r="C3553" t="s">
        <v>6402</v>
      </c>
      <c r="D3553" t="s">
        <v>2436</v>
      </c>
      <c r="E3553" t="s">
        <v>6518</v>
      </c>
      <c r="F3553">
        <v>30</v>
      </c>
      <c r="H3553">
        <v>8129.57</v>
      </c>
      <c r="J3553" t="s">
        <v>2511</v>
      </c>
    </row>
    <row r="3554" spans="1:10" ht="15" customHeight="1" x14ac:dyDescent="0.2">
      <c r="A3554" s="420">
        <v>45658</v>
      </c>
      <c r="B3554" t="s">
        <v>2435</v>
      </c>
      <c r="C3554" t="s">
        <v>6402</v>
      </c>
      <c r="D3554" t="s">
        <v>2436</v>
      </c>
      <c r="E3554" t="s">
        <v>6519</v>
      </c>
      <c r="F3554">
        <v>6.66</v>
      </c>
      <c r="H3554">
        <v>8136.23</v>
      </c>
      <c r="J3554" t="s">
        <v>2511</v>
      </c>
    </row>
    <row r="3555" spans="1:10" ht="15" customHeight="1" x14ac:dyDescent="0.2">
      <c r="A3555" s="420">
        <v>45658</v>
      </c>
      <c r="B3555" t="s">
        <v>2435</v>
      </c>
      <c r="C3555" t="s">
        <v>6402</v>
      </c>
      <c r="D3555" t="s">
        <v>2436</v>
      </c>
      <c r="E3555" t="s">
        <v>6520</v>
      </c>
      <c r="F3555">
        <v>9.9</v>
      </c>
      <c r="H3555">
        <v>8146.13</v>
      </c>
      <c r="J3555" t="s">
        <v>2511</v>
      </c>
    </row>
    <row r="3556" spans="1:10" ht="15" customHeight="1" x14ac:dyDescent="0.2">
      <c r="A3556" s="420">
        <v>45658</v>
      </c>
      <c r="B3556" t="s">
        <v>2435</v>
      </c>
      <c r="C3556" t="s">
        <v>6402</v>
      </c>
      <c r="D3556" t="s">
        <v>2436</v>
      </c>
      <c r="E3556" t="s">
        <v>6520</v>
      </c>
      <c r="F3556">
        <v>1.08</v>
      </c>
      <c r="H3556">
        <v>8147.21</v>
      </c>
      <c r="J3556" t="s">
        <v>2511</v>
      </c>
    </row>
    <row r="3557" spans="1:10" ht="15" customHeight="1" x14ac:dyDescent="0.2">
      <c r="A3557" s="420">
        <v>45658</v>
      </c>
      <c r="B3557" t="s">
        <v>2435</v>
      </c>
      <c r="C3557" t="s">
        <v>6402</v>
      </c>
      <c r="D3557" t="s">
        <v>2436</v>
      </c>
      <c r="E3557" t="s">
        <v>6521</v>
      </c>
      <c r="F3557">
        <v>12.17</v>
      </c>
      <c r="H3557">
        <v>8159.38</v>
      </c>
      <c r="J3557" t="s">
        <v>2511</v>
      </c>
    </row>
    <row r="3558" spans="1:10" ht="15" customHeight="1" x14ac:dyDescent="0.2">
      <c r="A3558" s="420">
        <v>45658</v>
      </c>
      <c r="B3558" t="s">
        <v>2435</v>
      </c>
      <c r="C3558" t="s">
        <v>6402</v>
      </c>
      <c r="D3558" t="s">
        <v>2436</v>
      </c>
      <c r="E3558" t="s">
        <v>6522</v>
      </c>
      <c r="F3558">
        <v>3.7</v>
      </c>
      <c r="H3558">
        <v>8163.08</v>
      </c>
      <c r="J3558" t="s">
        <v>2511</v>
      </c>
    </row>
    <row r="3559" spans="1:10" ht="15" customHeight="1" x14ac:dyDescent="0.2">
      <c r="A3559" s="420">
        <v>45658</v>
      </c>
      <c r="B3559" t="s">
        <v>2435</v>
      </c>
      <c r="C3559" t="s">
        <v>6402</v>
      </c>
      <c r="D3559" t="s">
        <v>2436</v>
      </c>
      <c r="E3559" t="s">
        <v>6522</v>
      </c>
      <c r="F3559">
        <v>1.8</v>
      </c>
      <c r="H3559">
        <v>8164.88</v>
      </c>
      <c r="J3559" t="s">
        <v>2511</v>
      </c>
    </row>
    <row r="3560" spans="1:10" ht="15" customHeight="1" x14ac:dyDescent="0.2">
      <c r="A3560" s="420">
        <v>45658</v>
      </c>
      <c r="B3560" t="s">
        <v>2435</v>
      </c>
      <c r="C3560" t="s">
        <v>6402</v>
      </c>
      <c r="D3560" t="s">
        <v>2436</v>
      </c>
      <c r="E3560" t="s">
        <v>6523</v>
      </c>
      <c r="F3560">
        <v>2.2200000000000002</v>
      </c>
      <c r="H3560">
        <v>8167.1</v>
      </c>
      <c r="J3560" t="s">
        <v>2511</v>
      </c>
    </row>
    <row r="3561" spans="1:10" ht="15" customHeight="1" x14ac:dyDescent="0.2">
      <c r="A3561" s="420">
        <v>45658</v>
      </c>
      <c r="B3561" t="s">
        <v>2435</v>
      </c>
      <c r="C3561" t="s">
        <v>6402</v>
      </c>
      <c r="D3561" t="s">
        <v>2436</v>
      </c>
      <c r="E3561" t="s">
        <v>6524</v>
      </c>
      <c r="F3561">
        <v>69.8</v>
      </c>
      <c r="H3561">
        <v>8236.9</v>
      </c>
      <c r="J3561" t="s">
        <v>2511</v>
      </c>
    </row>
    <row r="3562" spans="1:10" ht="15" customHeight="1" x14ac:dyDescent="0.2">
      <c r="A3562" s="420">
        <v>45658</v>
      </c>
      <c r="B3562" t="s">
        <v>2435</v>
      </c>
      <c r="C3562" t="s">
        <v>6402</v>
      </c>
      <c r="D3562" t="s">
        <v>2436</v>
      </c>
      <c r="E3562" t="s">
        <v>6525</v>
      </c>
      <c r="F3562">
        <v>5.58</v>
      </c>
      <c r="H3562">
        <v>8242.48</v>
      </c>
      <c r="J3562" t="s">
        <v>2511</v>
      </c>
    </row>
    <row r="3563" spans="1:10" ht="15" customHeight="1" x14ac:dyDescent="0.2">
      <c r="A3563" s="420">
        <v>45658</v>
      </c>
      <c r="B3563" t="s">
        <v>2435</v>
      </c>
      <c r="C3563" t="s">
        <v>6402</v>
      </c>
      <c r="D3563" t="s">
        <v>2436</v>
      </c>
      <c r="E3563" t="s">
        <v>6526</v>
      </c>
      <c r="F3563">
        <v>4.7</v>
      </c>
      <c r="H3563">
        <v>8247.18</v>
      </c>
      <c r="J3563" t="s">
        <v>2511</v>
      </c>
    </row>
    <row r="3564" spans="1:10" ht="15" customHeight="1" x14ac:dyDescent="0.2">
      <c r="A3564" s="420">
        <v>45658</v>
      </c>
      <c r="B3564" t="s">
        <v>2435</v>
      </c>
      <c r="C3564" t="s">
        <v>6402</v>
      </c>
      <c r="D3564" t="s">
        <v>2436</v>
      </c>
      <c r="E3564" t="s">
        <v>6527</v>
      </c>
      <c r="F3564">
        <v>12.54</v>
      </c>
      <c r="H3564">
        <v>8259.7199999999993</v>
      </c>
      <c r="J3564" t="s">
        <v>2511</v>
      </c>
    </row>
    <row r="3565" spans="1:10" ht="15" customHeight="1" x14ac:dyDescent="0.2">
      <c r="A3565" s="420">
        <v>45658</v>
      </c>
      <c r="B3565" t="s">
        <v>2435</v>
      </c>
      <c r="C3565" t="s">
        <v>6402</v>
      </c>
      <c r="D3565" t="s">
        <v>2436</v>
      </c>
      <c r="E3565" t="s">
        <v>6528</v>
      </c>
      <c r="F3565">
        <v>105.81</v>
      </c>
      <c r="H3565">
        <v>8365.5300000000007</v>
      </c>
      <c r="J3565" t="s">
        <v>2511</v>
      </c>
    </row>
    <row r="3566" spans="1:10" ht="15" customHeight="1" x14ac:dyDescent="0.2">
      <c r="A3566" s="420">
        <v>45658</v>
      </c>
      <c r="B3566" t="s">
        <v>2435</v>
      </c>
      <c r="C3566" t="s">
        <v>6402</v>
      </c>
      <c r="D3566" t="s">
        <v>2436</v>
      </c>
      <c r="E3566" t="s">
        <v>6529</v>
      </c>
      <c r="F3566">
        <v>11</v>
      </c>
      <c r="H3566">
        <v>8376.5300000000007</v>
      </c>
      <c r="J3566" t="s">
        <v>2511</v>
      </c>
    </row>
    <row r="3567" spans="1:10" ht="15" customHeight="1" x14ac:dyDescent="0.2">
      <c r="A3567" s="420">
        <v>45658</v>
      </c>
      <c r="B3567" t="s">
        <v>2435</v>
      </c>
      <c r="C3567" t="s">
        <v>6402</v>
      </c>
      <c r="D3567" t="s">
        <v>2436</v>
      </c>
      <c r="E3567" t="s">
        <v>6530</v>
      </c>
      <c r="F3567">
        <v>1434.07</v>
      </c>
      <c r="H3567">
        <v>9810.6</v>
      </c>
      <c r="J3567" t="s">
        <v>2511</v>
      </c>
    </row>
    <row r="3568" spans="1:10" ht="15" customHeight="1" x14ac:dyDescent="0.2">
      <c r="A3568" s="420">
        <v>45658</v>
      </c>
      <c r="B3568" t="s">
        <v>2435</v>
      </c>
      <c r="C3568" t="s">
        <v>6402</v>
      </c>
      <c r="D3568" t="s">
        <v>2436</v>
      </c>
      <c r="E3568" t="s">
        <v>6531</v>
      </c>
      <c r="F3568">
        <v>1366.82</v>
      </c>
      <c r="H3568">
        <v>11177.42</v>
      </c>
      <c r="J3568" t="s">
        <v>2511</v>
      </c>
    </row>
    <row r="3569" spans="1:10" ht="15" customHeight="1" x14ac:dyDescent="0.2">
      <c r="A3569" s="420">
        <v>45658</v>
      </c>
      <c r="B3569" t="s">
        <v>2435</v>
      </c>
      <c r="C3569" t="s">
        <v>6402</v>
      </c>
      <c r="D3569" t="s">
        <v>2436</v>
      </c>
      <c r="E3569" t="s">
        <v>6532</v>
      </c>
      <c r="F3569">
        <v>284.75</v>
      </c>
      <c r="H3569">
        <v>11462.17</v>
      </c>
      <c r="J3569" t="s">
        <v>2511</v>
      </c>
    </row>
    <row r="3570" spans="1:10" ht="15" customHeight="1" x14ac:dyDescent="0.2">
      <c r="A3570" s="420">
        <v>45658</v>
      </c>
      <c r="B3570" t="s">
        <v>2435</v>
      </c>
      <c r="C3570" t="s">
        <v>6402</v>
      </c>
      <c r="D3570" t="s">
        <v>2436</v>
      </c>
      <c r="E3570" t="s">
        <v>6533</v>
      </c>
      <c r="F3570">
        <v>298.76</v>
      </c>
      <c r="H3570">
        <v>11760.93</v>
      </c>
      <c r="J3570" t="s">
        <v>2511</v>
      </c>
    </row>
    <row r="3571" spans="1:10" ht="15" customHeight="1" x14ac:dyDescent="0.2">
      <c r="A3571" s="420">
        <v>45658</v>
      </c>
      <c r="B3571" t="s">
        <v>2435</v>
      </c>
      <c r="C3571" t="s">
        <v>6402</v>
      </c>
      <c r="D3571" t="s">
        <v>2436</v>
      </c>
      <c r="E3571" t="s">
        <v>6534</v>
      </c>
      <c r="F3571">
        <v>54</v>
      </c>
      <c r="H3571">
        <v>11814.93</v>
      </c>
      <c r="J3571" t="s">
        <v>2511</v>
      </c>
    </row>
    <row r="3572" spans="1:10" ht="15" customHeight="1" x14ac:dyDescent="0.2">
      <c r="A3572" s="420">
        <v>45658</v>
      </c>
      <c r="B3572" t="s">
        <v>2435</v>
      </c>
      <c r="C3572" t="s">
        <v>6402</v>
      </c>
      <c r="D3572" t="s">
        <v>2436</v>
      </c>
      <c r="E3572" t="s">
        <v>6535</v>
      </c>
      <c r="F3572">
        <v>28.64</v>
      </c>
      <c r="H3572">
        <v>11843.57</v>
      </c>
      <c r="J3572" t="s">
        <v>2511</v>
      </c>
    </row>
    <row r="3573" spans="1:10" ht="15" customHeight="1" x14ac:dyDescent="0.2">
      <c r="A3573" s="420">
        <v>45658</v>
      </c>
      <c r="B3573" t="s">
        <v>2435</v>
      </c>
      <c r="C3573" t="s">
        <v>6402</v>
      </c>
      <c r="D3573" t="s">
        <v>2436</v>
      </c>
      <c r="E3573" t="s">
        <v>6536</v>
      </c>
      <c r="F3573">
        <v>134.05000000000001</v>
      </c>
      <c r="H3573">
        <v>11977.62</v>
      </c>
      <c r="J3573" t="s">
        <v>2511</v>
      </c>
    </row>
    <row r="3574" spans="1:10" ht="15" customHeight="1" x14ac:dyDescent="0.2">
      <c r="A3574" s="420">
        <v>45658</v>
      </c>
      <c r="B3574" t="s">
        <v>2435</v>
      </c>
      <c r="C3574" t="s">
        <v>6402</v>
      </c>
      <c r="D3574" t="s">
        <v>2436</v>
      </c>
      <c r="E3574" t="s">
        <v>6537</v>
      </c>
      <c r="F3574">
        <v>134.05000000000001</v>
      </c>
      <c r="H3574">
        <v>12111.67</v>
      </c>
      <c r="J3574" t="s">
        <v>2511</v>
      </c>
    </row>
    <row r="3575" spans="1:10" ht="15" customHeight="1" x14ac:dyDescent="0.2">
      <c r="A3575" s="420">
        <v>45658</v>
      </c>
      <c r="B3575" t="s">
        <v>2435</v>
      </c>
      <c r="C3575" t="s">
        <v>6402</v>
      </c>
      <c r="D3575" t="s">
        <v>2436</v>
      </c>
      <c r="E3575" t="s">
        <v>6538</v>
      </c>
      <c r="F3575">
        <v>134.05000000000001</v>
      </c>
      <c r="H3575">
        <v>12245.72</v>
      </c>
      <c r="J3575" t="s">
        <v>2511</v>
      </c>
    </row>
    <row r="3576" spans="1:10" ht="15" customHeight="1" x14ac:dyDescent="0.2">
      <c r="A3576" s="420">
        <v>45658</v>
      </c>
      <c r="B3576" t="s">
        <v>2435</v>
      </c>
      <c r="C3576" t="s">
        <v>6402</v>
      </c>
      <c r="D3576" t="s">
        <v>2436</v>
      </c>
      <c r="E3576" t="s">
        <v>6539</v>
      </c>
      <c r="F3576">
        <v>200</v>
      </c>
      <c r="H3576">
        <v>12445.72</v>
      </c>
      <c r="J3576" t="s">
        <v>2511</v>
      </c>
    </row>
    <row r="3577" spans="1:10" ht="15" customHeight="1" x14ac:dyDescent="0.2">
      <c r="A3577" s="420">
        <v>45658</v>
      </c>
      <c r="B3577" t="s">
        <v>2435</v>
      </c>
      <c r="C3577" t="s">
        <v>6402</v>
      </c>
      <c r="D3577" t="s">
        <v>2436</v>
      </c>
      <c r="E3577" t="s">
        <v>6540</v>
      </c>
      <c r="F3577">
        <v>10.199999999999999</v>
      </c>
      <c r="H3577">
        <v>12455.92</v>
      </c>
      <c r="J3577" t="s">
        <v>2511</v>
      </c>
    </row>
    <row r="3578" spans="1:10" ht="15" customHeight="1" x14ac:dyDescent="0.2">
      <c r="A3578" s="420">
        <v>45658</v>
      </c>
      <c r="B3578" t="s">
        <v>2435</v>
      </c>
      <c r="C3578" t="s">
        <v>6402</v>
      </c>
      <c r="D3578" t="s">
        <v>2436</v>
      </c>
      <c r="E3578" t="s">
        <v>6541</v>
      </c>
      <c r="F3578">
        <v>30.34</v>
      </c>
      <c r="H3578">
        <v>12486.26</v>
      </c>
      <c r="J3578" t="s">
        <v>2511</v>
      </c>
    </row>
    <row r="3579" spans="1:10" ht="15" customHeight="1" x14ac:dyDescent="0.2">
      <c r="A3579" s="420">
        <v>45658</v>
      </c>
      <c r="B3579" t="s">
        <v>2435</v>
      </c>
      <c r="C3579" t="s">
        <v>6402</v>
      </c>
      <c r="D3579" t="s">
        <v>2436</v>
      </c>
      <c r="E3579" t="s">
        <v>6542</v>
      </c>
      <c r="F3579">
        <v>15</v>
      </c>
      <c r="H3579">
        <v>12501.26</v>
      </c>
      <c r="J3579" t="s">
        <v>2511</v>
      </c>
    </row>
    <row r="3580" spans="1:10" ht="15" customHeight="1" x14ac:dyDescent="0.2">
      <c r="A3580" s="420">
        <v>45658</v>
      </c>
      <c r="B3580" t="s">
        <v>2435</v>
      </c>
      <c r="C3580" t="s">
        <v>6402</v>
      </c>
      <c r="D3580" t="s">
        <v>2436</v>
      </c>
      <c r="E3580" t="s">
        <v>6543</v>
      </c>
      <c r="F3580">
        <v>220</v>
      </c>
      <c r="H3580">
        <v>12721.26</v>
      </c>
      <c r="J3580" t="s">
        <v>2511</v>
      </c>
    </row>
    <row r="3581" spans="1:10" ht="15" customHeight="1" x14ac:dyDescent="0.2">
      <c r="A3581" s="420">
        <v>45658</v>
      </c>
      <c r="B3581" t="s">
        <v>2435</v>
      </c>
      <c r="C3581" t="s">
        <v>6402</v>
      </c>
      <c r="D3581" t="s">
        <v>2436</v>
      </c>
      <c r="E3581" t="s">
        <v>6544</v>
      </c>
      <c r="F3581">
        <v>257.22000000000003</v>
      </c>
      <c r="H3581">
        <v>12978.48</v>
      </c>
      <c r="J3581" t="s">
        <v>2511</v>
      </c>
    </row>
    <row r="3582" spans="1:10" ht="15" customHeight="1" x14ac:dyDescent="0.2">
      <c r="A3582" s="420">
        <v>45658</v>
      </c>
      <c r="B3582" t="s">
        <v>2435</v>
      </c>
      <c r="C3582" t="s">
        <v>6402</v>
      </c>
      <c r="D3582" t="s">
        <v>2436</v>
      </c>
      <c r="E3582" t="s">
        <v>6545</v>
      </c>
      <c r="F3582">
        <v>21.48</v>
      </c>
      <c r="H3582">
        <v>12999.96</v>
      </c>
      <c r="J3582" t="s">
        <v>2511</v>
      </c>
    </row>
    <row r="3583" spans="1:10" ht="15" customHeight="1" x14ac:dyDescent="0.2">
      <c r="A3583" s="420">
        <v>45658</v>
      </c>
      <c r="B3583" t="s">
        <v>2435</v>
      </c>
      <c r="C3583" t="s">
        <v>6402</v>
      </c>
      <c r="D3583" t="s">
        <v>2436</v>
      </c>
      <c r="E3583" t="s">
        <v>6546</v>
      </c>
      <c r="F3583">
        <v>0.68</v>
      </c>
      <c r="H3583">
        <v>13000.64</v>
      </c>
      <c r="J3583" t="s">
        <v>2511</v>
      </c>
    </row>
    <row r="3584" spans="1:10" ht="15" customHeight="1" x14ac:dyDescent="0.2">
      <c r="A3584" s="420">
        <v>45658</v>
      </c>
      <c r="B3584" t="s">
        <v>2435</v>
      </c>
      <c r="C3584" t="s">
        <v>6402</v>
      </c>
      <c r="D3584" t="s">
        <v>2436</v>
      </c>
      <c r="E3584" t="s">
        <v>6547</v>
      </c>
      <c r="F3584">
        <v>4.67</v>
      </c>
      <c r="H3584">
        <v>13005.31</v>
      </c>
      <c r="J3584" t="s">
        <v>2511</v>
      </c>
    </row>
    <row r="3585" spans="1:10" ht="15" customHeight="1" x14ac:dyDescent="0.2">
      <c r="A3585" s="420">
        <v>45658</v>
      </c>
      <c r="B3585" t="s">
        <v>2435</v>
      </c>
      <c r="C3585" t="s">
        <v>6402</v>
      </c>
      <c r="D3585" t="s">
        <v>2436</v>
      </c>
      <c r="E3585" t="s">
        <v>6548</v>
      </c>
      <c r="F3585">
        <v>96.81</v>
      </c>
      <c r="H3585">
        <v>13102.12</v>
      </c>
      <c r="J3585" t="s">
        <v>2511</v>
      </c>
    </row>
    <row r="3586" spans="1:10" ht="15" customHeight="1" x14ac:dyDescent="0.2">
      <c r="A3586" s="420">
        <v>45658</v>
      </c>
      <c r="B3586" t="s">
        <v>2435</v>
      </c>
      <c r="C3586" t="s">
        <v>6402</v>
      </c>
      <c r="D3586" t="s">
        <v>2436</v>
      </c>
      <c r="E3586" t="s">
        <v>6549</v>
      </c>
      <c r="F3586">
        <v>26.02</v>
      </c>
      <c r="H3586">
        <v>13128.14</v>
      </c>
      <c r="J3586" t="s">
        <v>2511</v>
      </c>
    </row>
    <row r="3587" spans="1:10" ht="15" customHeight="1" x14ac:dyDescent="0.2">
      <c r="A3587" s="420">
        <v>45658</v>
      </c>
      <c r="B3587" t="s">
        <v>2435</v>
      </c>
      <c r="C3587" t="s">
        <v>6402</v>
      </c>
      <c r="D3587" t="s">
        <v>2436</v>
      </c>
      <c r="E3587" t="s">
        <v>6550</v>
      </c>
      <c r="F3587">
        <v>2.17</v>
      </c>
      <c r="H3587">
        <v>13130.31</v>
      </c>
      <c r="J3587" t="s">
        <v>2511</v>
      </c>
    </row>
    <row r="3588" spans="1:10" ht="15" customHeight="1" x14ac:dyDescent="0.2">
      <c r="A3588" s="420">
        <v>45658</v>
      </c>
      <c r="B3588" t="s">
        <v>2435</v>
      </c>
      <c r="C3588" t="s">
        <v>6402</v>
      </c>
      <c r="D3588" t="s">
        <v>2436</v>
      </c>
      <c r="E3588" t="s">
        <v>6550</v>
      </c>
      <c r="F3588">
        <v>1.45</v>
      </c>
      <c r="H3588">
        <v>13131.76</v>
      </c>
      <c r="J3588" t="s">
        <v>2511</v>
      </c>
    </row>
    <row r="3589" spans="1:10" ht="15" customHeight="1" x14ac:dyDescent="0.2">
      <c r="A3589" s="420">
        <v>45658</v>
      </c>
      <c r="B3589" t="s">
        <v>2435</v>
      </c>
      <c r="C3589" t="s">
        <v>6402</v>
      </c>
      <c r="D3589" t="s">
        <v>2436</v>
      </c>
      <c r="E3589" t="s">
        <v>6551</v>
      </c>
      <c r="F3589">
        <v>54.82</v>
      </c>
      <c r="H3589">
        <v>13186.58</v>
      </c>
      <c r="J3589" t="s">
        <v>2511</v>
      </c>
    </row>
    <row r="3590" spans="1:10" ht="15" customHeight="1" x14ac:dyDescent="0.2">
      <c r="A3590" s="420">
        <v>45658</v>
      </c>
      <c r="B3590" t="s">
        <v>2435</v>
      </c>
      <c r="C3590" t="s">
        <v>6402</v>
      </c>
      <c r="D3590" t="s">
        <v>2436</v>
      </c>
      <c r="E3590" t="s">
        <v>6552</v>
      </c>
      <c r="F3590">
        <v>5.66</v>
      </c>
      <c r="H3590">
        <v>13192.24</v>
      </c>
      <c r="J3590" t="s">
        <v>2511</v>
      </c>
    </row>
    <row r="3591" spans="1:10" ht="15" customHeight="1" x14ac:dyDescent="0.2">
      <c r="A3591" s="420">
        <v>45658</v>
      </c>
      <c r="B3591" t="s">
        <v>2435</v>
      </c>
      <c r="C3591" t="s">
        <v>6402</v>
      </c>
      <c r="D3591" t="s">
        <v>2436</v>
      </c>
      <c r="E3591" t="s">
        <v>6553</v>
      </c>
      <c r="F3591">
        <v>23.45</v>
      </c>
      <c r="H3591">
        <v>13215.69</v>
      </c>
      <c r="J3591" t="s">
        <v>2511</v>
      </c>
    </row>
    <row r="3592" spans="1:10" ht="15" customHeight="1" x14ac:dyDescent="0.2">
      <c r="A3592" s="420">
        <v>45658</v>
      </c>
      <c r="B3592" t="s">
        <v>2435</v>
      </c>
      <c r="C3592" t="s">
        <v>6402</v>
      </c>
      <c r="D3592" t="s">
        <v>2436</v>
      </c>
      <c r="E3592" t="s">
        <v>6554</v>
      </c>
      <c r="F3592">
        <v>7.2</v>
      </c>
      <c r="H3592">
        <v>13222.89</v>
      </c>
      <c r="J3592" t="s">
        <v>2511</v>
      </c>
    </row>
    <row r="3593" spans="1:10" ht="15" customHeight="1" x14ac:dyDescent="0.2">
      <c r="A3593" s="420">
        <v>45658</v>
      </c>
      <c r="B3593" t="s">
        <v>2435</v>
      </c>
      <c r="C3593" t="s">
        <v>6402</v>
      </c>
      <c r="D3593" t="s">
        <v>2436</v>
      </c>
      <c r="E3593" t="s">
        <v>6555</v>
      </c>
      <c r="G3593">
        <v>17</v>
      </c>
      <c r="H3593">
        <v>13205.89</v>
      </c>
      <c r="J3593" t="s">
        <v>2511</v>
      </c>
    </row>
    <row r="3594" spans="1:10" ht="15" customHeight="1" x14ac:dyDescent="0.2">
      <c r="A3594" s="420">
        <v>45658</v>
      </c>
      <c r="B3594" t="s">
        <v>2435</v>
      </c>
      <c r="C3594" t="s">
        <v>6402</v>
      </c>
      <c r="D3594" t="s">
        <v>2436</v>
      </c>
      <c r="E3594" t="s">
        <v>6555</v>
      </c>
      <c r="F3594">
        <v>17</v>
      </c>
      <c r="H3594">
        <v>13222.89</v>
      </c>
      <c r="J3594" t="s">
        <v>2511</v>
      </c>
    </row>
    <row r="3595" spans="1:10" ht="15" customHeight="1" x14ac:dyDescent="0.2">
      <c r="A3595" s="420">
        <v>45658</v>
      </c>
      <c r="B3595" t="s">
        <v>2435</v>
      </c>
      <c r="C3595" t="s">
        <v>6402</v>
      </c>
      <c r="D3595" t="s">
        <v>2436</v>
      </c>
      <c r="E3595" t="s">
        <v>6556</v>
      </c>
      <c r="F3595">
        <v>1.41</v>
      </c>
      <c r="H3595">
        <v>13224.3</v>
      </c>
      <c r="J3595" t="s">
        <v>2511</v>
      </c>
    </row>
    <row r="3596" spans="1:10" ht="15" customHeight="1" x14ac:dyDescent="0.2">
      <c r="A3596" s="420">
        <v>45658</v>
      </c>
      <c r="B3596" t="s">
        <v>2435</v>
      </c>
      <c r="C3596" t="s">
        <v>6402</v>
      </c>
      <c r="D3596" t="s">
        <v>2436</v>
      </c>
      <c r="E3596" t="s">
        <v>6556</v>
      </c>
      <c r="F3596">
        <v>0.92</v>
      </c>
      <c r="H3596">
        <v>13225.22</v>
      </c>
      <c r="J3596" t="s">
        <v>2511</v>
      </c>
    </row>
    <row r="3597" spans="1:10" ht="15" customHeight="1" x14ac:dyDescent="0.2">
      <c r="A3597" s="420">
        <v>45658</v>
      </c>
      <c r="B3597" t="s">
        <v>2435</v>
      </c>
      <c r="C3597" t="s">
        <v>6402</v>
      </c>
      <c r="D3597" t="s">
        <v>2436</v>
      </c>
      <c r="E3597" t="s">
        <v>6557</v>
      </c>
      <c r="F3597">
        <v>17.34</v>
      </c>
      <c r="H3597">
        <v>13242.56</v>
      </c>
      <c r="J3597" t="s">
        <v>2511</v>
      </c>
    </row>
    <row r="3598" spans="1:10" ht="15" customHeight="1" x14ac:dyDescent="0.2">
      <c r="A3598" s="420">
        <v>45658</v>
      </c>
      <c r="B3598" t="s">
        <v>2435</v>
      </c>
      <c r="C3598" t="s">
        <v>6402</v>
      </c>
      <c r="D3598" t="s">
        <v>2436</v>
      </c>
      <c r="E3598" t="s">
        <v>6555</v>
      </c>
      <c r="F3598">
        <v>17</v>
      </c>
      <c r="H3598">
        <v>13259.56</v>
      </c>
      <c r="J3598" t="s">
        <v>2511</v>
      </c>
    </row>
    <row r="3599" spans="1:10" ht="15" customHeight="1" x14ac:dyDescent="0.2">
      <c r="A3599" s="420">
        <v>45658</v>
      </c>
      <c r="B3599" t="s">
        <v>2435</v>
      </c>
      <c r="C3599" t="s">
        <v>6402</v>
      </c>
      <c r="D3599" t="s">
        <v>2436</v>
      </c>
      <c r="E3599" t="s">
        <v>6558</v>
      </c>
      <c r="F3599">
        <v>20</v>
      </c>
      <c r="H3599">
        <v>13279.56</v>
      </c>
      <c r="J3599" t="s">
        <v>2511</v>
      </c>
    </row>
    <row r="3600" spans="1:10" ht="15" customHeight="1" x14ac:dyDescent="0.2">
      <c r="A3600" s="420">
        <v>45658</v>
      </c>
      <c r="B3600" t="s">
        <v>2435</v>
      </c>
      <c r="C3600" t="s">
        <v>6402</v>
      </c>
      <c r="D3600" t="s">
        <v>2436</v>
      </c>
      <c r="E3600" t="s">
        <v>6559</v>
      </c>
      <c r="F3600">
        <v>4.3499999999999996</v>
      </c>
      <c r="H3600">
        <v>13283.91</v>
      </c>
      <c r="J3600" t="s">
        <v>2511</v>
      </c>
    </row>
    <row r="3601" spans="1:10" ht="15" customHeight="1" x14ac:dyDescent="0.2">
      <c r="A3601" s="420">
        <v>45658</v>
      </c>
      <c r="B3601" t="s">
        <v>2435</v>
      </c>
      <c r="C3601" t="s">
        <v>6402</v>
      </c>
      <c r="D3601" t="s">
        <v>2436</v>
      </c>
      <c r="E3601" t="s">
        <v>6559</v>
      </c>
      <c r="F3601">
        <v>1.45</v>
      </c>
      <c r="H3601">
        <v>13285.36</v>
      </c>
      <c r="J3601" t="s">
        <v>2511</v>
      </c>
    </row>
    <row r="3602" spans="1:10" ht="15" customHeight="1" x14ac:dyDescent="0.2">
      <c r="A3602" s="420">
        <v>45658</v>
      </c>
      <c r="B3602" t="s">
        <v>2435</v>
      </c>
      <c r="C3602" t="s">
        <v>6402</v>
      </c>
      <c r="D3602" t="s">
        <v>2436</v>
      </c>
      <c r="E3602" t="s">
        <v>6560</v>
      </c>
      <c r="F3602">
        <v>16</v>
      </c>
      <c r="H3602">
        <v>13301.36</v>
      </c>
      <c r="J3602" t="s">
        <v>2511</v>
      </c>
    </row>
    <row r="3603" spans="1:10" ht="15" customHeight="1" x14ac:dyDescent="0.2">
      <c r="A3603" s="420">
        <v>45658</v>
      </c>
      <c r="B3603" t="s">
        <v>2435</v>
      </c>
      <c r="C3603" t="s">
        <v>6402</v>
      </c>
      <c r="D3603" t="s">
        <v>2436</v>
      </c>
      <c r="E3603" t="s">
        <v>6561</v>
      </c>
      <c r="F3603">
        <v>2.95</v>
      </c>
      <c r="H3603">
        <v>13304.31</v>
      </c>
      <c r="J3603" t="s">
        <v>2511</v>
      </c>
    </row>
    <row r="3604" spans="1:10" ht="15" customHeight="1" x14ac:dyDescent="0.2">
      <c r="A3604" s="420">
        <v>45658</v>
      </c>
      <c r="B3604" t="s">
        <v>2435</v>
      </c>
      <c r="C3604" t="s">
        <v>6402</v>
      </c>
      <c r="D3604" t="s">
        <v>2436</v>
      </c>
      <c r="E3604" t="s">
        <v>6562</v>
      </c>
      <c r="F3604">
        <v>4</v>
      </c>
      <c r="H3604">
        <v>13308.31</v>
      </c>
      <c r="J3604" t="s">
        <v>2511</v>
      </c>
    </row>
    <row r="3605" spans="1:10" ht="15" customHeight="1" x14ac:dyDescent="0.2">
      <c r="A3605" s="420">
        <v>45658</v>
      </c>
      <c r="B3605" t="s">
        <v>2435</v>
      </c>
      <c r="C3605" t="s">
        <v>6402</v>
      </c>
      <c r="D3605" t="s">
        <v>2436</v>
      </c>
      <c r="E3605" t="s">
        <v>6563</v>
      </c>
      <c r="F3605">
        <v>9.6</v>
      </c>
      <c r="H3605">
        <v>13317.91</v>
      </c>
      <c r="J3605" t="s">
        <v>2511</v>
      </c>
    </row>
    <row r="3606" spans="1:10" ht="15" customHeight="1" x14ac:dyDescent="0.2">
      <c r="A3606" s="420">
        <v>45658</v>
      </c>
      <c r="B3606" t="s">
        <v>2435</v>
      </c>
      <c r="C3606" t="s">
        <v>6402</v>
      </c>
      <c r="D3606" t="s">
        <v>2436</v>
      </c>
      <c r="E3606" t="s">
        <v>6563</v>
      </c>
      <c r="F3606">
        <v>1.08</v>
      </c>
      <c r="H3606">
        <v>13318.99</v>
      </c>
      <c r="J3606" t="s">
        <v>2511</v>
      </c>
    </row>
    <row r="3607" spans="1:10" ht="15" customHeight="1" x14ac:dyDescent="0.2">
      <c r="A3607" s="420">
        <v>45658</v>
      </c>
      <c r="B3607" t="s">
        <v>2435</v>
      </c>
      <c r="C3607" t="s">
        <v>6402</v>
      </c>
      <c r="D3607" t="s">
        <v>2436</v>
      </c>
      <c r="E3607" t="s">
        <v>6564</v>
      </c>
      <c r="F3607">
        <v>4.29</v>
      </c>
      <c r="H3607">
        <v>13323.28</v>
      </c>
      <c r="J3607" t="s">
        <v>2511</v>
      </c>
    </row>
    <row r="3608" spans="1:10" ht="15" customHeight="1" x14ac:dyDescent="0.2">
      <c r="A3608" s="420">
        <v>45658</v>
      </c>
      <c r="B3608" t="s">
        <v>2435</v>
      </c>
      <c r="C3608" t="s">
        <v>6402</v>
      </c>
      <c r="D3608" t="s">
        <v>2436</v>
      </c>
      <c r="E3608" t="s">
        <v>6564</v>
      </c>
      <c r="F3608">
        <v>2.11</v>
      </c>
      <c r="H3608">
        <v>13325.39</v>
      </c>
      <c r="J3608" t="s">
        <v>2511</v>
      </c>
    </row>
    <row r="3609" spans="1:10" ht="15" customHeight="1" x14ac:dyDescent="0.2">
      <c r="A3609" s="420">
        <v>45658</v>
      </c>
      <c r="B3609" t="s">
        <v>2435</v>
      </c>
      <c r="C3609" t="s">
        <v>6402</v>
      </c>
      <c r="D3609" t="s">
        <v>2436</v>
      </c>
      <c r="E3609" t="s">
        <v>6565</v>
      </c>
      <c r="F3609">
        <v>69.8</v>
      </c>
      <c r="H3609">
        <v>13395.19</v>
      </c>
      <c r="J3609" t="s">
        <v>2511</v>
      </c>
    </row>
    <row r="3610" spans="1:10" ht="15" customHeight="1" x14ac:dyDescent="0.2">
      <c r="A3610" s="420">
        <v>45658</v>
      </c>
      <c r="B3610" t="s">
        <v>2435</v>
      </c>
      <c r="C3610" t="s">
        <v>6402</v>
      </c>
      <c r="D3610" t="s">
        <v>2436</v>
      </c>
      <c r="E3610" t="s">
        <v>6566</v>
      </c>
      <c r="F3610">
        <v>1.66</v>
      </c>
      <c r="H3610">
        <v>13396.85</v>
      </c>
      <c r="J3610" t="s">
        <v>2511</v>
      </c>
    </row>
    <row r="3611" spans="1:10" ht="15" customHeight="1" x14ac:dyDescent="0.2">
      <c r="A3611" s="420">
        <v>45658</v>
      </c>
      <c r="B3611" t="s">
        <v>2435</v>
      </c>
      <c r="C3611" t="s">
        <v>6402</v>
      </c>
      <c r="D3611" t="s">
        <v>2436</v>
      </c>
      <c r="E3611" t="s">
        <v>6567</v>
      </c>
      <c r="F3611">
        <v>6.41</v>
      </c>
      <c r="H3611">
        <v>13403.26</v>
      </c>
      <c r="J3611" t="s">
        <v>2511</v>
      </c>
    </row>
    <row r="3612" spans="1:10" ht="15" customHeight="1" x14ac:dyDescent="0.2">
      <c r="A3612" s="420">
        <v>45658</v>
      </c>
      <c r="B3612" t="s">
        <v>2435</v>
      </c>
      <c r="C3612" t="s">
        <v>6402</v>
      </c>
      <c r="D3612" t="s">
        <v>2436</v>
      </c>
      <c r="E3612" t="s">
        <v>6567</v>
      </c>
      <c r="F3612">
        <v>5.83</v>
      </c>
      <c r="H3612">
        <v>13409.09</v>
      </c>
      <c r="J3612" t="s">
        <v>2511</v>
      </c>
    </row>
    <row r="3613" spans="1:10" ht="15" customHeight="1" x14ac:dyDescent="0.2">
      <c r="A3613" s="420">
        <v>45658</v>
      </c>
      <c r="B3613" t="s">
        <v>2435</v>
      </c>
      <c r="C3613" t="s">
        <v>6402</v>
      </c>
      <c r="D3613" t="s">
        <v>2436</v>
      </c>
      <c r="E3613" t="s">
        <v>6568</v>
      </c>
      <c r="F3613">
        <v>5.17</v>
      </c>
      <c r="H3613">
        <v>13414.26</v>
      </c>
      <c r="J3613" t="s">
        <v>2511</v>
      </c>
    </row>
    <row r="3614" spans="1:10" ht="15" customHeight="1" x14ac:dyDescent="0.2">
      <c r="A3614" s="420">
        <v>45658</v>
      </c>
      <c r="B3614" t="s">
        <v>2435</v>
      </c>
      <c r="C3614" t="s">
        <v>6402</v>
      </c>
      <c r="D3614" t="s">
        <v>2436</v>
      </c>
      <c r="E3614" t="s">
        <v>6569</v>
      </c>
      <c r="F3614">
        <v>2.8</v>
      </c>
      <c r="H3614">
        <v>13417.06</v>
      </c>
      <c r="J3614" t="s">
        <v>2511</v>
      </c>
    </row>
    <row r="3615" spans="1:10" ht="15" customHeight="1" x14ac:dyDescent="0.2">
      <c r="A3615" s="420">
        <v>45658</v>
      </c>
      <c r="B3615" t="s">
        <v>2435</v>
      </c>
      <c r="C3615" t="s">
        <v>6402</v>
      </c>
      <c r="D3615" t="s">
        <v>2436</v>
      </c>
      <c r="E3615" t="s">
        <v>6570</v>
      </c>
      <c r="F3615">
        <v>13.67</v>
      </c>
      <c r="H3615">
        <v>13430.73</v>
      </c>
      <c r="J3615" t="s">
        <v>2511</v>
      </c>
    </row>
    <row r="3616" spans="1:10" ht="15" customHeight="1" x14ac:dyDescent="0.2">
      <c r="A3616" s="420">
        <v>45658</v>
      </c>
      <c r="B3616" t="s">
        <v>2435</v>
      </c>
      <c r="C3616" t="s">
        <v>6402</v>
      </c>
      <c r="D3616" t="s">
        <v>2436</v>
      </c>
      <c r="E3616" t="s">
        <v>6571</v>
      </c>
      <c r="F3616">
        <v>56</v>
      </c>
      <c r="H3616">
        <v>13486.73</v>
      </c>
      <c r="J3616" t="s">
        <v>2511</v>
      </c>
    </row>
    <row r="3617" spans="1:10" ht="15" customHeight="1" x14ac:dyDescent="0.2">
      <c r="A3617" s="420">
        <v>45658</v>
      </c>
      <c r="B3617" t="s">
        <v>2435</v>
      </c>
      <c r="C3617" t="s">
        <v>6402</v>
      </c>
      <c r="D3617" t="s">
        <v>2436</v>
      </c>
      <c r="E3617" t="s">
        <v>6572</v>
      </c>
      <c r="F3617">
        <v>298.72000000000003</v>
      </c>
      <c r="H3617">
        <v>13785.45</v>
      </c>
      <c r="J3617" t="s">
        <v>2511</v>
      </c>
    </row>
    <row r="3618" spans="1:10" ht="15" customHeight="1" x14ac:dyDescent="0.2">
      <c r="A3618" s="420">
        <v>45658</v>
      </c>
      <c r="B3618" t="s">
        <v>2435</v>
      </c>
      <c r="C3618" t="s">
        <v>6402</v>
      </c>
      <c r="D3618" t="s">
        <v>2436</v>
      </c>
      <c r="E3618" t="s">
        <v>6573</v>
      </c>
      <c r="F3618">
        <v>1613.14</v>
      </c>
      <c r="H3618">
        <v>15398.59</v>
      </c>
      <c r="J3618" t="s">
        <v>2511</v>
      </c>
    </row>
    <row r="3619" spans="1:10" ht="15" customHeight="1" x14ac:dyDescent="0.2">
      <c r="A3619" s="420">
        <v>45658</v>
      </c>
      <c r="B3619" t="s">
        <v>2435</v>
      </c>
      <c r="C3619" t="s">
        <v>6402</v>
      </c>
      <c r="D3619" t="s">
        <v>2436</v>
      </c>
      <c r="E3619" t="s">
        <v>6574</v>
      </c>
      <c r="F3619">
        <v>336.07</v>
      </c>
      <c r="H3619">
        <v>15734.66</v>
      </c>
      <c r="J3619" t="s">
        <v>2511</v>
      </c>
    </row>
    <row r="3620" spans="1:10" ht="15" customHeight="1" x14ac:dyDescent="0.2">
      <c r="A3620" s="420">
        <v>45658</v>
      </c>
      <c r="B3620" t="s">
        <v>2435</v>
      </c>
      <c r="C3620" t="s">
        <v>6402</v>
      </c>
      <c r="D3620" t="s">
        <v>2436</v>
      </c>
      <c r="E3620" t="s">
        <v>6575</v>
      </c>
      <c r="F3620">
        <v>1433.88</v>
      </c>
      <c r="H3620">
        <v>17168.54</v>
      </c>
      <c r="J3620" t="s">
        <v>2511</v>
      </c>
    </row>
    <row r="3621" spans="1:10" ht="15" customHeight="1" x14ac:dyDescent="0.2">
      <c r="A3621" s="420">
        <v>45658</v>
      </c>
      <c r="B3621" t="s">
        <v>2435</v>
      </c>
      <c r="C3621" t="s">
        <v>6402</v>
      </c>
      <c r="D3621" t="s">
        <v>2436</v>
      </c>
      <c r="E3621" t="s">
        <v>6576</v>
      </c>
      <c r="F3621">
        <v>10.199999999999999</v>
      </c>
      <c r="H3621">
        <v>17178.740000000002</v>
      </c>
      <c r="J3621" t="s">
        <v>2511</v>
      </c>
    </row>
    <row r="3622" spans="1:10" ht="15" customHeight="1" x14ac:dyDescent="0.2">
      <c r="A3622" s="420">
        <v>45658</v>
      </c>
      <c r="B3622" t="s">
        <v>2435</v>
      </c>
      <c r="C3622" t="s">
        <v>6402</v>
      </c>
      <c r="D3622" t="s">
        <v>2436</v>
      </c>
      <c r="E3622" t="s">
        <v>6577</v>
      </c>
      <c r="F3622">
        <v>200</v>
      </c>
      <c r="H3622">
        <v>17378.740000000002</v>
      </c>
      <c r="J3622" t="s">
        <v>2511</v>
      </c>
    </row>
    <row r="3623" spans="1:10" ht="15" customHeight="1" x14ac:dyDescent="0.2">
      <c r="A3623" s="420">
        <v>45658</v>
      </c>
      <c r="B3623" t="s">
        <v>2435</v>
      </c>
      <c r="C3623" t="s">
        <v>6402</v>
      </c>
      <c r="D3623" t="s">
        <v>2436</v>
      </c>
      <c r="E3623" t="s">
        <v>6578</v>
      </c>
      <c r="F3623">
        <v>220</v>
      </c>
      <c r="H3623">
        <v>17598.740000000002</v>
      </c>
      <c r="J3623" t="s">
        <v>2511</v>
      </c>
    </row>
    <row r="3624" spans="1:10" ht="15" customHeight="1" x14ac:dyDescent="0.2">
      <c r="A3624" s="420">
        <v>45658</v>
      </c>
      <c r="B3624" t="s">
        <v>2435</v>
      </c>
      <c r="C3624" t="s">
        <v>6402</v>
      </c>
      <c r="D3624" t="s">
        <v>2436</v>
      </c>
      <c r="E3624" t="s">
        <v>6579</v>
      </c>
      <c r="F3624">
        <v>2.21</v>
      </c>
      <c r="H3624">
        <v>17600.95</v>
      </c>
      <c r="J3624" t="s">
        <v>2511</v>
      </c>
    </row>
    <row r="3625" spans="1:10" ht="15" customHeight="1" x14ac:dyDescent="0.2">
      <c r="A3625" s="420">
        <v>45658</v>
      </c>
      <c r="B3625" t="s">
        <v>2435</v>
      </c>
      <c r="C3625" t="s">
        <v>6402</v>
      </c>
      <c r="D3625" t="s">
        <v>2436</v>
      </c>
      <c r="E3625" t="s">
        <v>6580</v>
      </c>
      <c r="F3625">
        <v>2.5</v>
      </c>
      <c r="H3625">
        <v>17603.45</v>
      </c>
      <c r="J3625" t="s">
        <v>2511</v>
      </c>
    </row>
    <row r="3626" spans="1:10" ht="15" customHeight="1" x14ac:dyDescent="0.2">
      <c r="A3626" s="420">
        <v>45658</v>
      </c>
      <c r="B3626" t="s">
        <v>2435</v>
      </c>
      <c r="C3626" t="s">
        <v>6402</v>
      </c>
      <c r="D3626" t="s">
        <v>2436</v>
      </c>
      <c r="E3626" t="s">
        <v>6581</v>
      </c>
      <c r="F3626">
        <v>45.96</v>
      </c>
      <c r="H3626">
        <v>17649.41</v>
      </c>
      <c r="J3626" t="s">
        <v>2511</v>
      </c>
    </row>
    <row r="3627" spans="1:10" ht="15" customHeight="1" x14ac:dyDescent="0.2">
      <c r="A3627" s="420">
        <v>45658</v>
      </c>
      <c r="B3627" t="s">
        <v>2435</v>
      </c>
      <c r="C3627" t="s">
        <v>6402</v>
      </c>
      <c r="D3627" t="s">
        <v>2436</v>
      </c>
      <c r="E3627" t="s">
        <v>6582</v>
      </c>
      <c r="F3627">
        <v>8.75</v>
      </c>
      <c r="H3627">
        <v>17658.16</v>
      </c>
      <c r="J3627" t="s">
        <v>2511</v>
      </c>
    </row>
    <row r="3628" spans="1:10" ht="15" customHeight="1" x14ac:dyDescent="0.2">
      <c r="A3628" s="420">
        <v>45658</v>
      </c>
      <c r="B3628" t="s">
        <v>2435</v>
      </c>
      <c r="C3628" t="s">
        <v>6402</v>
      </c>
      <c r="D3628" t="s">
        <v>2436</v>
      </c>
      <c r="E3628" t="s">
        <v>6583</v>
      </c>
      <c r="F3628">
        <v>21.13</v>
      </c>
      <c r="H3628">
        <v>17679.29</v>
      </c>
      <c r="J3628" t="s">
        <v>2511</v>
      </c>
    </row>
    <row r="3629" spans="1:10" ht="15" customHeight="1" x14ac:dyDescent="0.2">
      <c r="A3629" s="420">
        <v>45658</v>
      </c>
      <c r="B3629" t="s">
        <v>2435</v>
      </c>
      <c r="C3629" t="s">
        <v>6402</v>
      </c>
      <c r="D3629" t="s">
        <v>2436</v>
      </c>
      <c r="E3629" t="s">
        <v>6584</v>
      </c>
      <c r="F3629">
        <v>22.4</v>
      </c>
      <c r="H3629">
        <v>17701.689999999999</v>
      </c>
      <c r="J3629" t="s">
        <v>2511</v>
      </c>
    </row>
    <row r="3630" spans="1:10" ht="15" customHeight="1" x14ac:dyDescent="0.2">
      <c r="A3630" s="420">
        <v>45658</v>
      </c>
      <c r="B3630" t="s">
        <v>2435</v>
      </c>
      <c r="C3630" t="s">
        <v>6402</v>
      </c>
      <c r="D3630" t="s">
        <v>2436</v>
      </c>
      <c r="E3630" t="s">
        <v>6585</v>
      </c>
      <c r="F3630">
        <v>9.69</v>
      </c>
      <c r="H3630">
        <v>17711.38</v>
      </c>
      <c r="J3630" t="s">
        <v>2511</v>
      </c>
    </row>
    <row r="3631" spans="1:10" ht="15" customHeight="1" x14ac:dyDescent="0.2">
      <c r="A3631" s="420">
        <v>45658</v>
      </c>
      <c r="B3631" t="s">
        <v>2435</v>
      </c>
      <c r="C3631" t="s">
        <v>6402</v>
      </c>
      <c r="D3631" t="s">
        <v>2436</v>
      </c>
      <c r="E3631" t="s">
        <v>6586</v>
      </c>
      <c r="F3631">
        <v>7.61</v>
      </c>
      <c r="H3631">
        <v>17718.990000000002</v>
      </c>
      <c r="J3631" t="s">
        <v>2511</v>
      </c>
    </row>
    <row r="3632" spans="1:10" ht="15" customHeight="1" x14ac:dyDescent="0.2">
      <c r="A3632" s="420">
        <v>45658</v>
      </c>
      <c r="B3632" t="s">
        <v>2435</v>
      </c>
      <c r="C3632" t="s">
        <v>6402</v>
      </c>
      <c r="D3632" t="s">
        <v>2436</v>
      </c>
      <c r="E3632" t="s">
        <v>6587</v>
      </c>
      <c r="F3632">
        <v>1.17</v>
      </c>
      <c r="H3632">
        <v>17720.16</v>
      </c>
      <c r="J3632" t="s">
        <v>2511</v>
      </c>
    </row>
    <row r="3633" spans="1:10" ht="15" customHeight="1" x14ac:dyDescent="0.2">
      <c r="A3633" s="420">
        <v>45658</v>
      </c>
      <c r="B3633" t="s">
        <v>2435</v>
      </c>
      <c r="C3633" t="s">
        <v>6402</v>
      </c>
      <c r="D3633" t="s">
        <v>2436</v>
      </c>
      <c r="E3633" t="s">
        <v>6588</v>
      </c>
      <c r="F3633">
        <v>19.5</v>
      </c>
      <c r="H3633">
        <v>17739.66</v>
      </c>
      <c r="J3633" t="s">
        <v>2511</v>
      </c>
    </row>
    <row r="3634" spans="1:10" ht="15" customHeight="1" x14ac:dyDescent="0.2">
      <c r="A3634" s="420">
        <v>45658</v>
      </c>
      <c r="B3634" t="s">
        <v>2435</v>
      </c>
      <c r="C3634" t="s">
        <v>6402</v>
      </c>
      <c r="D3634" t="s">
        <v>2436</v>
      </c>
      <c r="E3634" t="s">
        <v>6589</v>
      </c>
      <c r="F3634">
        <v>11.41</v>
      </c>
      <c r="H3634">
        <v>17751.07</v>
      </c>
      <c r="J3634" t="s">
        <v>2511</v>
      </c>
    </row>
    <row r="3635" spans="1:10" ht="15" customHeight="1" x14ac:dyDescent="0.2">
      <c r="A3635" s="420">
        <v>45658</v>
      </c>
      <c r="B3635" t="s">
        <v>2435</v>
      </c>
      <c r="C3635" t="s">
        <v>6402</v>
      </c>
      <c r="D3635" t="s">
        <v>2436</v>
      </c>
      <c r="E3635" t="s">
        <v>6589</v>
      </c>
      <c r="F3635">
        <v>6.67</v>
      </c>
      <c r="H3635">
        <v>17757.740000000002</v>
      </c>
      <c r="J3635" t="s">
        <v>2511</v>
      </c>
    </row>
    <row r="3636" spans="1:10" ht="15" customHeight="1" x14ac:dyDescent="0.2">
      <c r="A3636" s="420">
        <v>45658</v>
      </c>
      <c r="B3636" t="s">
        <v>2435</v>
      </c>
      <c r="C3636" t="s">
        <v>6402</v>
      </c>
      <c r="D3636" t="s">
        <v>2436</v>
      </c>
      <c r="E3636" t="s">
        <v>6590</v>
      </c>
      <c r="F3636">
        <v>15</v>
      </c>
      <c r="H3636">
        <v>17772.740000000002</v>
      </c>
      <c r="J3636" t="s">
        <v>2511</v>
      </c>
    </row>
    <row r="3637" spans="1:10" ht="15" customHeight="1" x14ac:dyDescent="0.2">
      <c r="A3637" s="420">
        <v>45658</v>
      </c>
      <c r="B3637" t="s">
        <v>2435</v>
      </c>
      <c r="C3637" t="s">
        <v>6402</v>
      </c>
      <c r="D3637" t="s">
        <v>2436</v>
      </c>
      <c r="E3637" t="s">
        <v>6591</v>
      </c>
      <c r="F3637">
        <v>25.57</v>
      </c>
      <c r="H3637">
        <v>17798.310000000001</v>
      </c>
      <c r="J3637" t="s">
        <v>2511</v>
      </c>
    </row>
    <row r="3638" spans="1:10" ht="15" customHeight="1" x14ac:dyDescent="0.2">
      <c r="A3638" s="420">
        <v>45658</v>
      </c>
      <c r="B3638" t="s">
        <v>2435</v>
      </c>
      <c r="C3638" t="s">
        <v>6402</v>
      </c>
      <c r="D3638" t="s">
        <v>2436</v>
      </c>
      <c r="E3638" t="s">
        <v>6592</v>
      </c>
      <c r="F3638">
        <v>1.62</v>
      </c>
      <c r="H3638">
        <v>17799.93</v>
      </c>
      <c r="J3638" t="s">
        <v>2511</v>
      </c>
    </row>
    <row r="3639" spans="1:10" ht="15" customHeight="1" x14ac:dyDescent="0.2">
      <c r="A3639" s="420">
        <v>45658</v>
      </c>
      <c r="B3639" t="s">
        <v>2435</v>
      </c>
      <c r="C3639" t="s">
        <v>6402</v>
      </c>
      <c r="D3639" t="s">
        <v>2436</v>
      </c>
      <c r="E3639" t="s">
        <v>6593</v>
      </c>
      <c r="F3639">
        <v>6.58</v>
      </c>
      <c r="H3639">
        <v>17806.509999999998</v>
      </c>
      <c r="J3639" t="s">
        <v>2511</v>
      </c>
    </row>
    <row r="3640" spans="1:10" ht="15" customHeight="1" x14ac:dyDescent="0.2">
      <c r="A3640" s="420">
        <v>45658</v>
      </c>
      <c r="B3640" t="s">
        <v>2435</v>
      </c>
      <c r="C3640" t="s">
        <v>6402</v>
      </c>
      <c r="D3640" t="s">
        <v>2436</v>
      </c>
      <c r="E3640" t="s">
        <v>6594</v>
      </c>
      <c r="F3640">
        <v>15.8</v>
      </c>
      <c r="H3640">
        <v>17822.310000000001</v>
      </c>
      <c r="J3640" t="s">
        <v>2511</v>
      </c>
    </row>
    <row r="3641" spans="1:10" ht="15" customHeight="1" x14ac:dyDescent="0.2">
      <c r="A3641" s="420">
        <v>45658</v>
      </c>
      <c r="B3641" t="s">
        <v>2435</v>
      </c>
      <c r="C3641" t="s">
        <v>6402</v>
      </c>
      <c r="D3641" t="s">
        <v>2436</v>
      </c>
      <c r="E3641" t="s">
        <v>6595</v>
      </c>
      <c r="F3641">
        <v>4.42</v>
      </c>
      <c r="H3641">
        <v>17826.73</v>
      </c>
      <c r="J3641" t="s">
        <v>2511</v>
      </c>
    </row>
    <row r="3642" spans="1:10" ht="15" customHeight="1" x14ac:dyDescent="0.2">
      <c r="A3642" s="420">
        <v>45658</v>
      </c>
      <c r="B3642" t="s">
        <v>2435</v>
      </c>
      <c r="C3642" t="s">
        <v>6402</v>
      </c>
      <c r="D3642" t="s">
        <v>2436</v>
      </c>
      <c r="E3642" t="s">
        <v>6596</v>
      </c>
      <c r="F3642">
        <v>3.92</v>
      </c>
      <c r="H3642">
        <v>17830.650000000001</v>
      </c>
      <c r="J3642" t="s">
        <v>2511</v>
      </c>
    </row>
    <row r="3643" spans="1:10" ht="15" customHeight="1" x14ac:dyDescent="0.2">
      <c r="A3643" s="420">
        <v>45658</v>
      </c>
      <c r="B3643" t="s">
        <v>2435</v>
      </c>
      <c r="C3643" t="s">
        <v>6402</v>
      </c>
      <c r="D3643" t="s">
        <v>2436</v>
      </c>
      <c r="E3643" t="s">
        <v>6597</v>
      </c>
      <c r="F3643">
        <v>21.23</v>
      </c>
      <c r="H3643">
        <v>17851.88</v>
      </c>
      <c r="J3643" t="s">
        <v>2511</v>
      </c>
    </row>
    <row r="3644" spans="1:10" ht="15" customHeight="1" x14ac:dyDescent="0.2">
      <c r="A3644" s="420">
        <v>45658</v>
      </c>
      <c r="B3644" t="s">
        <v>2435</v>
      </c>
      <c r="C3644" t="s">
        <v>6402</v>
      </c>
      <c r="D3644" t="s">
        <v>2436</v>
      </c>
      <c r="E3644" t="s">
        <v>6597</v>
      </c>
      <c r="F3644">
        <v>4.18</v>
      </c>
      <c r="H3644">
        <v>17856.060000000001</v>
      </c>
      <c r="J3644" t="s">
        <v>2511</v>
      </c>
    </row>
    <row r="3645" spans="1:10" ht="15" customHeight="1" x14ac:dyDescent="0.2">
      <c r="A3645" s="420">
        <v>45658</v>
      </c>
      <c r="B3645" t="s">
        <v>2435</v>
      </c>
      <c r="C3645" t="s">
        <v>6402</v>
      </c>
      <c r="D3645" t="s">
        <v>2436</v>
      </c>
      <c r="E3645" t="s">
        <v>6598</v>
      </c>
      <c r="F3645">
        <v>12.23</v>
      </c>
      <c r="H3645">
        <v>17868.29</v>
      </c>
      <c r="J3645" t="s">
        <v>2511</v>
      </c>
    </row>
    <row r="3646" spans="1:10" ht="15" customHeight="1" x14ac:dyDescent="0.2">
      <c r="A3646" s="420">
        <v>45658</v>
      </c>
      <c r="B3646" t="s">
        <v>2435</v>
      </c>
      <c r="C3646" t="s">
        <v>6402</v>
      </c>
      <c r="D3646" t="s">
        <v>2436</v>
      </c>
      <c r="E3646" t="s">
        <v>6599</v>
      </c>
      <c r="F3646">
        <v>8.08</v>
      </c>
      <c r="H3646">
        <v>17876.37</v>
      </c>
      <c r="J3646" t="s">
        <v>2511</v>
      </c>
    </row>
    <row r="3647" spans="1:10" ht="15" customHeight="1" x14ac:dyDescent="0.2">
      <c r="A3647" s="420">
        <v>45658</v>
      </c>
      <c r="B3647" t="s">
        <v>2435</v>
      </c>
      <c r="C3647" t="s">
        <v>6402</v>
      </c>
      <c r="D3647" t="s">
        <v>2436</v>
      </c>
      <c r="E3647" t="s">
        <v>6599</v>
      </c>
      <c r="F3647">
        <v>1.08</v>
      </c>
      <c r="H3647">
        <v>17877.45</v>
      </c>
      <c r="J3647" t="s">
        <v>2511</v>
      </c>
    </row>
    <row r="3648" spans="1:10" ht="15" customHeight="1" x14ac:dyDescent="0.2">
      <c r="A3648" s="420">
        <v>45658</v>
      </c>
      <c r="B3648" t="s">
        <v>2435</v>
      </c>
      <c r="C3648" t="s">
        <v>6402</v>
      </c>
      <c r="D3648" t="s">
        <v>2436</v>
      </c>
      <c r="E3648" t="s">
        <v>6600</v>
      </c>
      <c r="F3648">
        <v>2.81</v>
      </c>
      <c r="H3648">
        <v>17880.259999999998</v>
      </c>
      <c r="J3648" t="s">
        <v>2511</v>
      </c>
    </row>
    <row r="3649" spans="1:10" ht="15" customHeight="1" x14ac:dyDescent="0.2">
      <c r="A3649" s="420">
        <v>45658</v>
      </c>
      <c r="B3649" t="s">
        <v>2435</v>
      </c>
      <c r="C3649" t="s">
        <v>6402</v>
      </c>
      <c r="D3649" t="s">
        <v>2436</v>
      </c>
      <c r="E3649" t="s">
        <v>6601</v>
      </c>
      <c r="F3649">
        <v>30</v>
      </c>
      <c r="H3649">
        <v>17910.259999999998</v>
      </c>
      <c r="J3649" t="s">
        <v>2511</v>
      </c>
    </row>
    <row r="3650" spans="1:10" ht="15" customHeight="1" x14ac:dyDescent="0.2">
      <c r="A3650" s="420">
        <v>45658</v>
      </c>
      <c r="B3650" t="s">
        <v>2435</v>
      </c>
      <c r="C3650" t="s">
        <v>6402</v>
      </c>
      <c r="D3650" t="s">
        <v>2436</v>
      </c>
      <c r="E3650" t="s">
        <v>6602</v>
      </c>
      <c r="F3650">
        <v>30</v>
      </c>
      <c r="H3650">
        <v>17940.259999999998</v>
      </c>
      <c r="J3650" t="s">
        <v>2511</v>
      </c>
    </row>
    <row r="3651" spans="1:10" ht="15" customHeight="1" x14ac:dyDescent="0.2">
      <c r="A3651" s="420">
        <v>45658</v>
      </c>
      <c r="B3651" t="s">
        <v>2435</v>
      </c>
      <c r="C3651" t="s">
        <v>6402</v>
      </c>
      <c r="D3651" t="s">
        <v>2436</v>
      </c>
      <c r="E3651" t="s">
        <v>6603</v>
      </c>
      <c r="F3651">
        <v>12.62</v>
      </c>
      <c r="H3651">
        <v>17952.88</v>
      </c>
      <c r="J3651" t="s">
        <v>2511</v>
      </c>
    </row>
    <row r="3652" spans="1:10" ht="15" customHeight="1" x14ac:dyDescent="0.2">
      <c r="A3652" s="420">
        <v>45658</v>
      </c>
      <c r="B3652" t="s">
        <v>2435</v>
      </c>
      <c r="C3652" t="s">
        <v>6402</v>
      </c>
      <c r="D3652" t="s">
        <v>2436</v>
      </c>
      <c r="E3652" t="s">
        <v>6604</v>
      </c>
      <c r="F3652">
        <v>2.13</v>
      </c>
      <c r="H3652">
        <v>17955.009999999998</v>
      </c>
      <c r="J3652" t="s">
        <v>2511</v>
      </c>
    </row>
    <row r="3653" spans="1:10" ht="15" customHeight="1" x14ac:dyDescent="0.2">
      <c r="A3653" s="420">
        <v>45658</v>
      </c>
      <c r="B3653" t="s">
        <v>2435</v>
      </c>
      <c r="C3653" t="s">
        <v>6402</v>
      </c>
      <c r="D3653" t="s">
        <v>2436</v>
      </c>
      <c r="E3653" t="s">
        <v>6604</v>
      </c>
      <c r="F3653">
        <v>1.48</v>
      </c>
      <c r="H3653">
        <v>17956.490000000002</v>
      </c>
      <c r="J3653" t="s">
        <v>2511</v>
      </c>
    </row>
    <row r="3654" spans="1:10" ht="15" customHeight="1" x14ac:dyDescent="0.2">
      <c r="A3654" s="420">
        <v>45658</v>
      </c>
      <c r="B3654" t="s">
        <v>2435</v>
      </c>
      <c r="C3654" t="s">
        <v>6402</v>
      </c>
      <c r="D3654" t="s">
        <v>2436</v>
      </c>
      <c r="E3654" t="s">
        <v>6605</v>
      </c>
      <c r="F3654">
        <v>2.17</v>
      </c>
      <c r="H3654">
        <v>17958.66</v>
      </c>
      <c r="J3654" t="s">
        <v>2511</v>
      </c>
    </row>
    <row r="3655" spans="1:10" ht="15" customHeight="1" x14ac:dyDescent="0.2">
      <c r="A3655" s="420">
        <v>45658</v>
      </c>
      <c r="B3655" t="s">
        <v>2435</v>
      </c>
      <c r="C3655" t="s">
        <v>6402</v>
      </c>
      <c r="D3655" t="s">
        <v>2436</v>
      </c>
      <c r="E3655" t="s">
        <v>6605</v>
      </c>
      <c r="F3655">
        <v>1.2</v>
      </c>
      <c r="H3655">
        <v>17959.86</v>
      </c>
      <c r="J3655" t="s">
        <v>2511</v>
      </c>
    </row>
    <row r="3656" spans="1:10" ht="15" customHeight="1" x14ac:dyDescent="0.2">
      <c r="A3656" s="420">
        <v>45658</v>
      </c>
      <c r="B3656" t="s">
        <v>2435</v>
      </c>
      <c r="C3656" t="s">
        <v>6402</v>
      </c>
      <c r="D3656" t="s">
        <v>2436</v>
      </c>
      <c r="E3656" t="s">
        <v>6606</v>
      </c>
      <c r="F3656">
        <v>30</v>
      </c>
      <c r="H3656">
        <v>17989.86</v>
      </c>
      <c r="J3656" t="s">
        <v>2511</v>
      </c>
    </row>
    <row r="3657" spans="1:10" ht="15" customHeight="1" x14ac:dyDescent="0.2">
      <c r="A3657" s="420">
        <v>45658</v>
      </c>
      <c r="B3657" t="s">
        <v>2435</v>
      </c>
      <c r="C3657" t="s">
        <v>6402</v>
      </c>
      <c r="D3657" t="s">
        <v>2436</v>
      </c>
      <c r="E3657" t="s">
        <v>6607</v>
      </c>
      <c r="F3657">
        <v>69.8</v>
      </c>
      <c r="H3657">
        <v>18059.66</v>
      </c>
      <c r="J3657" t="s">
        <v>2511</v>
      </c>
    </row>
    <row r="3658" spans="1:10" ht="15" customHeight="1" x14ac:dyDescent="0.2">
      <c r="A3658" s="420">
        <v>45658</v>
      </c>
      <c r="B3658" t="s">
        <v>2435</v>
      </c>
      <c r="C3658" t="s">
        <v>6402</v>
      </c>
      <c r="D3658" t="s">
        <v>2436</v>
      </c>
      <c r="E3658" t="s">
        <v>6608</v>
      </c>
      <c r="F3658">
        <v>85.8</v>
      </c>
      <c r="H3658">
        <v>18145.46</v>
      </c>
      <c r="J3658" t="s">
        <v>2511</v>
      </c>
    </row>
    <row r="3659" spans="1:10" ht="15" customHeight="1" x14ac:dyDescent="0.2">
      <c r="A3659" s="420">
        <v>45658</v>
      </c>
      <c r="B3659" t="s">
        <v>2435</v>
      </c>
      <c r="C3659" t="s">
        <v>6402</v>
      </c>
      <c r="D3659" t="s">
        <v>2436</v>
      </c>
      <c r="E3659" t="s">
        <v>6609</v>
      </c>
      <c r="F3659">
        <v>8.25</v>
      </c>
      <c r="H3659">
        <v>18153.71</v>
      </c>
      <c r="J3659" t="s">
        <v>2511</v>
      </c>
    </row>
    <row r="3660" spans="1:10" ht="15" customHeight="1" x14ac:dyDescent="0.2">
      <c r="A3660" s="420">
        <v>45658</v>
      </c>
      <c r="B3660" t="s">
        <v>2435</v>
      </c>
      <c r="C3660" t="s">
        <v>6402</v>
      </c>
      <c r="D3660" t="s">
        <v>2436</v>
      </c>
      <c r="E3660" t="s">
        <v>6609</v>
      </c>
      <c r="F3660">
        <v>3.38</v>
      </c>
      <c r="H3660">
        <v>18157.09</v>
      </c>
      <c r="J3660" t="s">
        <v>2511</v>
      </c>
    </row>
    <row r="3661" spans="1:10" ht="15" customHeight="1" x14ac:dyDescent="0.2">
      <c r="A3661" s="420">
        <v>45658</v>
      </c>
      <c r="B3661" t="s">
        <v>2435</v>
      </c>
      <c r="C3661" t="s">
        <v>6402</v>
      </c>
      <c r="D3661" t="s">
        <v>2436</v>
      </c>
      <c r="E3661" t="s">
        <v>6610</v>
      </c>
      <c r="F3661">
        <v>2.8</v>
      </c>
      <c r="H3661">
        <v>18159.89</v>
      </c>
      <c r="J3661" t="s">
        <v>2511</v>
      </c>
    </row>
    <row r="3662" spans="1:10" ht="15" customHeight="1" x14ac:dyDescent="0.2">
      <c r="A3662" s="420">
        <v>45658</v>
      </c>
      <c r="B3662" t="s">
        <v>2435</v>
      </c>
      <c r="C3662" t="s">
        <v>6402</v>
      </c>
      <c r="D3662" t="s">
        <v>2436</v>
      </c>
      <c r="E3662" t="s">
        <v>6611</v>
      </c>
      <c r="F3662">
        <v>1.64</v>
      </c>
      <c r="H3662">
        <v>18161.53</v>
      </c>
      <c r="J3662" t="s">
        <v>2511</v>
      </c>
    </row>
    <row r="3663" spans="1:10" ht="15" customHeight="1" x14ac:dyDescent="0.2">
      <c r="A3663" s="420">
        <v>45658</v>
      </c>
      <c r="B3663" t="s">
        <v>2435</v>
      </c>
      <c r="C3663" t="s">
        <v>6402</v>
      </c>
      <c r="D3663" t="s">
        <v>2436</v>
      </c>
      <c r="E3663" t="s">
        <v>6611</v>
      </c>
      <c r="F3663">
        <v>3</v>
      </c>
      <c r="H3663">
        <v>18164.53</v>
      </c>
      <c r="J3663" t="s">
        <v>2511</v>
      </c>
    </row>
    <row r="3664" spans="1:10" ht="15" customHeight="1" x14ac:dyDescent="0.2">
      <c r="A3664" s="420">
        <v>45658</v>
      </c>
      <c r="B3664" t="s">
        <v>2435</v>
      </c>
      <c r="C3664" t="s">
        <v>6402</v>
      </c>
      <c r="D3664" t="s">
        <v>2436</v>
      </c>
      <c r="E3664" t="s">
        <v>6612</v>
      </c>
      <c r="F3664">
        <v>6.62</v>
      </c>
      <c r="H3664">
        <v>18171.150000000001</v>
      </c>
      <c r="J3664" t="s">
        <v>2511</v>
      </c>
    </row>
    <row r="3665" spans="1:10" ht="15" customHeight="1" x14ac:dyDescent="0.2">
      <c r="A3665" s="420">
        <v>45658</v>
      </c>
      <c r="B3665" t="s">
        <v>2435</v>
      </c>
      <c r="C3665" t="s">
        <v>6402</v>
      </c>
      <c r="D3665" t="s">
        <v>2436</v>
      </c>
      <c r="E3665" t="s">
        <v>6613</v>
      </c>
      <c r="F3665">
        <v>0.25</v>
      </c>
      <c r="H3665">
        <v>18171.400000000001</v>
      </c>
      <c r="J3665" t="s">
        <v>2511</v>
      </c>
    </row>
    <row r="3666" spans="1:10" ht="15" customHeight="1" x14ac:dyDescent="0.2">
      <c r="A3666" s="420">
        <v>45658</v>
      </c>
      <c r="B3666" t="s">
        <v>2435</v>
      </c>
      <c r="C3666" t="s">
        <v>6402</v>
      </c>
      <c r="D3666" t="s">
        <v>2436</v>
      </c>
      <c r="E3666" t="s">
        <v>6614</v>
      </c>
      <c r="F3666">
        <v>2.5</v>
      </c>
      <c r="H3666">
        <v>18173.900000000001</v>
      </c>
      <c r="J3666" t="s">
        <v>2511</v>
      </c>
    </row>
    <row r="3667" spans="1:10" ht="15" customHeight="1" x14ac:dyDescent="0.2">
      <c r="A3667" s="420">
        <v>45658</v>
      </c>
      <c r="B3667" t="s">
        <v>2435</v>
      </c>
      <c r="C3667" t="s">
        <v>6402</v>
      </c>
      <c r="D3667" t="s">
        <v>2436</v>
      </c>
      <c r="E3667" t="s">
        <v>6615</v>
      </c>
      <c r="F3667">
        <v>11.34</v>
      </c>
      <c r="H3667">
        <v>18185.240000000002</v>
      </c>
      <c r="J3667" t="s">
        <v>2511</v>
      </c>
    </row>
    <row r="3668" spans="1:10" ht="15" customHeight="1" x14ac:dyDescent="0.2">
      <c r="A3668" s="420">
        <v>45658</v>
      </c>
      <c r="B3668" t="s">
        <v>2435</v>
      </c>
      <c r="C3668" t="s">
        <v>6402</v>
      </c>
      <c r="D3668" t="s">
        <v>2436</v>
      </c>
      <c r="E3668" t="s">
        <v>6616</v>
      </c>
      <c r="F3668">
        <v>1367.34</v>
      </c>
      <c r="H3668">
        <v>19552.580000000002</v>
      </c>
      <c r="J3668" t="s">
        <v>2511</v>
      </c>
    </row>
    <row r="3669" spans="1:10" ht="15" customHeight="1" x14ac:dyDescent="0.2">
      <c r="A3669" s="420">
        <v>45658</v>
      </c>
      <c r="B3669" t="s">
        <v>2435</v>
      </c>
      <c r="C3669" t="s">
        <v>6402</v>
      </c>
      <c r="D3669" t="s">
        <v>2436</v>
      </c>
      <c r="E3669" t="s">
        <v>6617</v>
      </c>
      <c r="F3669">
        <v>284.86</v>
      </c>
      <c r="H3669">
        <v>19837.439999999999</v>
      </c>
      <c r="J3669" t="s">
        <v>2511</v>
      </c>
    </row>
    <row r="3670" spans="1:10" ht="15" customHeight="1" x14ac:dyDescent="0.2">
      <c r="A3670" s="420">
        <v>45658</v>
      </c>
      <c r="B3670" t="s">
        <v>2435</v>
      </c>
      <c r="C3670" t="s">
        <v>6402</v>
      </c>
      <c r="D3670" t="s">
        <v>2436</v>
      </c>
      <c r="E3670" t="s">
        <v>6618</v>
      </c>
      <c r="F3670">
        <v>3.01</v>
      </c>
      <c r="H3670">
        <v>19840.45</v>
      </c>
      <c r="J3670" t="s">
        <v>2511</v>
      </c>
    </row>
    <row r="3671" spans="1:10" ht="15" customHeight="1" x14ac:dyDescent="0.2">
      <c r="A3671" s="420">
        <v>45658</v>
      </c>
      <c r="B3671" t="s">
        <v>2435</v>
      </c>
      <c r="C3671" t="s">
        <v>6402</v>
      </c>
      <c r="D3671" t="s">
        <v>2436</v>
      </c>
      <c r="E3671" t="s">
        <v>6618</v>
      </c>
      <c r="F3671">
        <v>7.61</v>
      </c>
      <c r="H3671">
        <v>19848.060000000001</v>
      </c>
      <c r="J3671" t="s">
        <v>2511</v>
      </c>
    </row>
    <row r="3672" spans="1:10" ht="15" customHeight="1" x14ac:dyDescent="0.2">
      <c r="A3672" s="420">
        <v>45658</v>
      </c>
      <c r="B3672" t="s">
        <v>2435</v>
      </c>
      <c r="C3672" t="s">
        <v>6402</v>
      </c>
      <c r="D3672" t="s">
        <v>2436</v>
      </c>
      <c r="E3672" t="s">
        <v>6619</v>
      </c>
      <c r="F3672">
        <v>64.33</v>
      </c>
      <c r="H3672">
        <v>19912.39</v>
      </c>
      <c r="J3672" t="s">
        <v>2511</v>
      </c>
    </row>
    <row r="3673" spans="1:10" ht="15" customHeight="1" x14ac:dyDescent="0.2">
      <c r="A3673" s="420">
        <v>45658</v>
      </c>
      <c r="B3673" t="s">
        <v>2435</v>
      </c>
      <c r="C3673" t="s">
        <v>6402</v>
      </c>
      <c r="D3673" t="s">
        <v>2436</v>
      </c>
      <c r="E3673" t="s">
        <v>6620</v>
      </c>
      <c r="F3673">
        <v>200</v>
      </c>
      <c r="H3673">
        <v>20112.39</v>
      </c>
      <c r="J3673" t="s">
        <v>2511</v>
      </c>
    </row>
    <row r="3674" spans="1:10" ht="15" customHeight="1" x14ac:dyDescent="0.2">
      <c r="A3674" s="420">
        <v>45658</v>
      </c>
      <c r="B3674" t="s">
        <v>2435</v>
      </c>
      <c r="C3674" t="s">
        <v>6402</v>
      </c>
      <c r="D3674" t="s">
        <v>2436</v>
      </c>
      <c r="E3674" t="s">
        <v>6621</v>
      </c>
      <c r="F3674">
        <v>10.199999999999999</v>
      </c>
      <c r="H3674">
        <v>20122.59</v>
      </c>
      <c r="J3674" t="s">
        <v>2511</v>
      </c>
    </row>
    <row r="3675" spans="1:10" ht="15" customHeight="1" x14ac:dyDescent="0.2">
      <c r="A3675" s="420">
        <v>45658</v>
      </c>
      <c r="B3675" t="s">
        <v>2435</v>
      </c>
      <c r="C3675" t="s">
        <v>6402</v>
      </c>
      <c r="D3675" t="s">
        <v>2436</v>
      </c>
      <c r="E3675" t="s">
        <v>6622</v>
      </c>
      <c r="F3675">
        <v>29.91</v>
      </c>
      <c r="H3675">
        <v>20152.5</v>
      </c>
      <c r="J3675" t="s">
        <v>2511</v>
      </c>
    </row>
    <row r="3676" spans="1:10" ht="15" customHeight="1" x14ac:dyDescent="0.2">
      <c r="A3676" s="420">
        <v>45658</v>
      </c>
      <c r="B3676" t="s">
        <v>2435</v>
      </c>
      <c r="C3676" t="s">
        <v>6402</v>
      </c>
      <c r="D3676" t="s">
        <v>2436</v>
      </c>
      <c r="E3676" t="s">
        <v>6623</v>
      </c>
      <c r="F3676">
        <v>280</v>
      </c>
      <c r="H3676">
        <v>20432.5</v>
      </c>
      <c r="J3676" t="s">
        <v>2511</v>
      </c>
    </row>
    <row r="3677" spans="1:10" ht="15" customHeight="1" x14ac:dyDescent="0.2">
      <c r="A3677" s="420">
        <v>45658</v>
      </c>
      <c r="B3677" t="s">
        <v>2435</v>
      </c>
      <c r="C3677" t="s">
        <v>6402</v>
      </c>
      <c r="D3677" t="s">
        <v>2436</v>
      </c>
      <c r="E3677" t="s">
        <v>6624</v>
      </c>
      <c r="F3677">
        <v>23.89</v>
      </c>
      <c r="H3677">
        <v>20456.39</v>
      </c>
      <c r="J3677" t="s">
        <v>2511</v>
      </c>
    </row>
    <row r="3678" spans="1:10" ht="15" customHeight="1" x14ac:dyDescent="0.2">
      <c r="A3678" s="420">
        <v>45658</v>
      </c>
      <c r="B3678" t="s">
        <v>2435</v>
      </c>
      <c r="C3678" t="s">
        <v>6402</v>
      </c>
      <c r="D3678" t="s">
        <v>2436</v>
      </c>
      <c r="E3678" t="s">
        <v>6625</v>
      </c>
      <c r="F3678">
        <v>22.4</v>
      </c>
      <c r="H3678">
        <v>20478.79</v>
      </c>
      <c r="J3678" t="s">
        <v>2511</v>
      </c>
    </row>
    <row r="3679" spans="1:10" ht="15" customHeight="1" x14ac:dyDescent="0.2">
      <c r="A3679" s="420">
        <v>45658</v>
      </c>
      <c r="B3679" t="s">
        <v>2435</v>
      </c>
      <c r="C3679" t="s">
        <v>6402</v>
      </c>
      <c r="D3679" t="s">
        <v>2436</v>
      </c>
      <c r="E3679" t="s">
        <v>6626</v>
      </c>
      <c r="F3679">
        <v>11.67</v>
      </c>
      <c r="H3679">
        <v>20490.46</v>
      </c>
      <c r="J3679" t="s">
        <v>2511</v>
      </c>
    </row>
    <row r="3680" spans="1:10" ht="15" customHeight="1" x14ac:dyDescent="0.2">
      <c r="A3680" s="420">
        <v>45658</v>
      </c>
      <c r="B3680" t="s">
        <v>2435</v>
      </c>
      <c r="C3680" t="s">
        <v>6402</v>
      </c>
      <c r="D3680" t="s">
        <v>2436</v>
      </c>
      <c r="E3680" t="s">
        <v>6627</v>
      </c>
      <c r="F3680">
        <v>3.18</v>
      </c>
      <c r="H3680">
        <v>20493.64</v>
      </c>
      <c r="J3680" t="s">
        <v>2511</v>
      </c>
    </row>
    <row r="3681" spans="1:10" ht="15" customHeight="1" x14ac:dyDescent="0.2">
      <c r="A3681" s="420">
        <v>45658</v>
      </c>
      <c r="B3681" t="s">
        <v>2435</v>
      </c>
      <c r="C3681" t="s">
        <v>6402</v>
      </c>
      <c r="D3681" t="s">
        <v>2436</v>
      </c>
      <c r="E3681" t="s">
        <v>6628</v>
      </c>
      <c r="F3681">
        <v>30</v>
      </c>
      <c r="H3681">
        <v>20523.64</v>
      </c>
      <c r="J3681" t="s">
        <v>2511</v>
      </c>
    </row>
    <row r="3682" spans="1:10" ht="15" customHeight="1" x14ac:dyDescent="0.2">
      <c r="A3682" s="420">
        <v>45658</v>
      </c>
      <c r="B3682" t="s">
        <v>2435</v>
      </c>
      <c r="C3682" t="s">
        <v>6402</v>
      </c>
      <c r="D3682" t="s">
        <v>2436</v>
      </c>
      <c r="E3682" t="s">
        <v>6629</v>
      </c>
      <c r="F3682">
        <v>30</v>
      </c>
      <c r="H3682">
        <v>20553.64</v>
      </c>
      <c r="J3682" t="s">
        <v>2511</v>
      </c>
    </row>
    <row r="3683" spans="1:10" ht="15" customHeight="1" x14ac:dyDescent="0.2">
      <c r="A3683" s="420">
        <v>45658</v>
      </c>
      <c r="B3683" t="s">
        <v>2435</v>
      </c>
      <c r="C3683" t="s">
        <v>6402</v>
      </c>
      <c r="D3683" t="s">
        <v>2436</v>
      </c>
      <c r="E3683" t="s">
        <v>6630</v>
      </c>
      <c r="F3683">
        <v>32.33</v>
      </c>
      <c r="H3683">
        <v>20585.97</v>
      </c>
      <c r="J3683" t="s">
        <v>2511</v>
      </c>
    </row>
    <row r="3684" spans="1:10" ht="15" customHeight="1" x14ac:dyDescent="0.2">
      <c r="A3684" s="420">
        <v>45658</v>
      </c>
      <c r="B3684" t="s">
        <v>2435</v>
      </c>
      <c r="C3684" t="s">
        <v>6402</v>
      </c>
      <c r="D3684" t="s">
        <v>2436</v>
      </c>
      <c r="E3684" t="s">
        <v>6631</v>
      </c>
      <c r="F3684">
        <v>4</v>
      </c>
      <c r="H3684">
        <v>20589.97</v>
      </c>
      <c r="J3684" t="s">
        <v>2511</v>
      </c>
    </row>
    <row r="3685" spans="1:10" ht="15" customHeight="1" x14ac:dyDescent="0.2">
      <c r="A3685" s="420">
        <v>45658</v>
      </c>
      <c r="B3685" t="s">
        <v>2435</v>
      </c>
      <c r="C3685" t="s">
        <v>6402</v>
      </c>
      <c r="D3685" t="s">
        <v>2436</v>
      </c>
      <c r="E3685" t="s">
        <v>6632</v>
      </c>
      <c r="F3685">
        <v>53.47</v>
      </c>
      <c r="H3685">
        <v>20643.439999999999</v>
      </c>
      <c r="J3685" t="s">
        <v>2511</v>
      </c>
    </row>
    <row r="3686" spans="1:10" ht="15" customHeight="1" x14ac:dyDescent="0.2">
      <c r="A3686" s="420">
        <v>45658</v>
      </c>
      <c r="B3686" t="s">
        <v>2435</v>
      </c>
      <c r="C3686" t="s">
        <v>6402</v>
      </c>
      <c r="D3686" t="s">
        <v>2436</v>
      </c>
      <c r="E3686" t="s">
        <v>6633</v>
      </c>
      <c r="F3686">
        <v>1.64</v>
      </c>
      <c r="H3686">
        <v>20645.080000000002</v>
      </c>
      <c r="J3686" t="s">
        <v>2511</v>
      </c>
    </row>
    <row r="3687" spans="1:10" ht="15" customHeight="1" x14ac:dyDescent="0.2">
      <c r="A3687" s="420">
        <v>45658</v>
      </c>
      <c r="B3687" t="s">
        <v>2435</v>
      </c>
      <c r="C3687" t="s">
        <v>6402</v>
      </c>
      <c r="D3687" t="s">
        <v>2436</v>
      </c>
      <c r="E3687" t="s">
        <v>6633</v>
      </c>
      <c r="F3687">
        <v>0.13</v>
      </c>
      <c r="H3687">
        <v>20645.21</v>
      </c>
      <c r="J3687" t="s">
        <v>2511</v>
      </c>
    </row>
    <row r="3688" spans="1:10" ht="15" customHeight="1" x14ac:dyDescent="0.2">
      <c r="A3688" s="420">
        <v>45658</v>
      </c>
      <c r="B3688" t="s">
        <v>2435</v>
      </c>
      <c r="C3688" t="s">
        <v>6402</v>
      </c>
      <c r="D3688" t="s">
        <v>2436</v>
      </c>
      <c r="E3688" t="s">
        <v>6634</v>
      </c>
      <c r="F3688">
        <v>2.89</v>
      </c>
      <c r="H3688">
        <v>20648.099999999999</v>
      </c>
      <c r="J3688" t="s">
        <v>2511</v>
      </c>
    </row>
    <row r="3689" spans="1:10" ht="15" customHeight="1" x14ac:dyDescent="0.2">
      <c r="A3689" s="420">
        <v>45658</v>
      </c>
      <c r="B3689" t="s">
        <v>2435</v>
      </c>
      <c r="C3689" t="s">
        <v>6402</v>
      </c>
      <c r="D3689" t="s">
        <v>2436</v>
      </c>
      <c r="E3689" t="s">
        <v>6635</v>
      </c>
      <c r="F3689">
        <v>18.48</v>
      </c>
      <c r="H3689">
        <v>20666.580000000002</v>
      </c>
      <c r="J3689" t="s">
        <v>2511</v>
      </c>
    </row>
    <row r="3690" spans="1:10" ht="15" customHeight="1" x14ac:dyDescent="0.2">
      <c r="A3690" s="420">
        <v>45658</v>
      </c>
      <c r="B3690" t="s">
        <v>2435</v>
      </c>
      <c r="C3690" t="s">
        <v>6402</v>
      </c>
      <c r="D3690" t="s">
        <v>2436</v>
      </c>
      <c r="E3690" t="s">
        <v>6636</v>
      </c>
      <c r="F3690">
        <v>16.02</v>
      </c>
      <c r="H3690">
        <v>20682.599999999999</v>
      </c>
      <c r="J3690" t="s">
        <v>2511</v>
      </c>
    </row>
    <row r="3691" spans="1:10" ht="15" customHeight="1" x14ac:dyDescent="0.2">
      <c r="A3691" s="420">
        <v>45658</v>
      </c>
      <c r="B3691" t="s">
        <v>2435</v>
      </c>
      <c r="C3691" t="s">
        <v>6402</v>
      </c>
      <c r="D3691" t="s">
        <v>2436</v>
      </c>
      <c r="E3691" t="s">
        <v>6637</v>
      </c>
      <c r="F3691">
        <v>5.68</v>
      </c>
      <c r="H3691">
        <v>20688.28</v>
      </c>
      <c r="J3691" t="s">
        <v>2511</v>
      </c>
    </row>
    <row r="3692" spans="1:10" ht="15" customHeight="1" x14ac:dyDescent="0.2">
      <c r="A3692" s="420">
        <v>45658</v>
      </c>
      <c r="B3692" t="s">
        <v>2435</v>
      </c>
      <c r="C3692" t="s">
        <v>6402</v>
      </c>
      <c r="D3692" t="s">
        <v>2436</v>
      </c>
      <c r="E3692" t="s">
        <v>6638</v>
      </c>
      <c r="F3692">
        <v>1.99</v>
      </c>
      <c r="H3692">
        <v>20690.27</v>
      </c>
      <c r="J3692" t="s">
        <v>2511</v>
      </c>
    </row>
    <row r="3693" spans="1:10" ht="15" customHeight="1" x14ac:dyDescent="0.2">
      <c r="A3693" s="420">
        <v>45658</v>
      </c>
      <c r="B3693" t="s">
        <v>2435</v>
      </c>
      <c r="C3693" t="s">
        <v>6402</v>
      </c>
      <c r="D3693" t="s">
        <v>2436</v>
      </c>
      <c r="E3693" t="s">
        <v>6638</v>
      </c>
      <c r="F3693">
        <v>1.59</v>
      </c>
      <c r="H3693">
        <v>20691.86</v>
      </c>
      <c r="J3693" t="s">
        <v>2511</v>
      </c>
    </row>
    <row r="3694" spans="1:10" ht="15" customHeight="1" x14ac:dyDescent="0.2">
      <c r="A3694" s="420">
        <v>45658</v>
      </c>
      <c r="B3694" t="s">
        <v>2435</v>
      </c>
      <c r="C3694" t="s">
        <v>6402</v>
      </c>
      <c r="D3694" t="s">
        <v>2436</v>
      </c>
      <c r="E3694" t="s">
        <v>6639</v>
      </c>
      <c r="F3694">
        <v>9.48</v>
      </c>
      <c r="H3694">
        <v>20701.34</v>
      </c>
      <c r="J3694" t="s">
        <v>2511</v>
      </c>
    </row>
    <row r="3695" spans="1:10" ht="15" customHeight="1" x14ac:dyDescent="0.2">
      <c r="A3695" s="420">
        <v>45658</v>
      </c>
      <c r="B3695" t="s">
        <v>2435</v>
      </c>
      <c r="C3695" t="s">
        <v>6402</v>
      </c>
      <c r="D3695" t="s">
        <v>2436</v>
      </c>
      <c r="E3695" t="s">
        <v>6639</v>
      </c>
      <c r="F3695">
        <v>1.05</v>
      </c>
      <c r="H3695">
        <v>20702.39</v>
      </c>
      <c r="J3695" t="s">
        <v>2511</v>
      </c>
    </row>
    <row r="3696" spans="1:10" ht="15" customHeight="1" x14ac:dyDescent="0.2">
      <c r="A3696" s="420">
        <v>45658</v>
      </c>
      <c r="B3696" t="s">
        <v>2435</v>
      </c>
      <c r="C3696" t="s">
        <v>6402</v>
      </c>
      <c r="D3696" t="s">
        <v>2436</v>
      </c>
      <c r="E3696" t="s">
        <v>6640</v>
      </c>
      <c r="F3696">
        <v>55.4</v>
      </c>
      <c r="H3696">
        <v>20757.79</v>
      </c>
      <c r="J3696" t="s">
        <v>2511</v>
      </c>
    </row>
    <row r="3697" spans="1:10" ht="15" customHeight="1" x14ac:dyDescent="0.2">
      <c r="A3697" s="420">
        <v>45658</v>
      </c>
      <c r="B3697" t="s">
        <v>2435</v>
      </c>
      <c r="C3697" t="s">
        <v>6402</v>
      </c>
      <c r="D3697" t="s">
        <v>2436</v>
      </c>
      <c r="E3697" t="s">
        <v>6641</v>
      </c>
      <c r="F3697">
        <v>56.6</v>
      </c>
      <c r="H3697">
        <v>20814.39</v>
      </c>
      <c r="J3697" t="s">
        <v>2511</v>
      </c>
    </row>
    <row r="3698" spans="1:10" ht="15" customHeight="1" x14ac:dyDescent="0.2">
      <c r="A3698" s="420">
        <v>45658</v>
      </c>
      <c r="B3698" t="s">
        <v>2435</v>
      </c>
      <c r="C3698" t="s">
        <v>6402</v>
      </c>
      <c r="D3698" t="s">
        <v>2436</v>
      </c>
      <c r="E3698" t="s">
        <v>6642</v>
      </c>
      <c r="F3698">
        <v>5.21</v>
      </c>
      <c r="H3698">
        <v>20819.599999999999</v>
      </c>
      <c r="J3698" t="s">
        <v>2511</v>
      </c>
    </row>
    <row r="3699" spans="1:10" ht="15" customHeight="1" x14ac:dyDescent="0.2">
      <c r="A3699" s="420">
        <v>45658</v>
      </c>
      <c r="B3699" t="s">
        <v>2435</v>
      </c>
      <c r="C3699" t="s">
        <v>6402</v>
      </c>
      <c r="D3699" t="s">
        <v>2436</v>
      </c>
      <c r="E3699" t="s">
        <v>6643</v>
      </c>
      <c r="F3699">
        <v>0.6</v>
      </c>
      <c r="H3699">
        <v>20820.2</v>
      </c>
      <c r="J3699" t="s">
        <v>2511</v>
      </c>
    </row>
    <row r="3700" spans="1:10" ht="15" customHeight="1" x14ac:dyDescent="0.2">
      <c r="A3700" s="420">
        <v>45658</v>
      </c>
      <c r="B3700" t="s">
        <v>2435</v>
      </c>
      <c r="C3700" t="s">
        <v>6402</v>
      </c>
      <c r="D3700" t="s">
        <v>2436</v>
      </c>
      <c r="E3700" t="s">
        <v>6644</v>
      </c>
      <c r="F3700">
        <v>2.1800000000000002</v>
      </c>
      <c r="H3700">
        <v>20822.38</v>
      </c>
      <c r="J3700" t="s">
        <v>2511</v>
      </c>
    </row>
    <row r="3701" spans="1:10" ht="15" customHeight="1" x14ac:dyDescent="0.2">
      <c r="A3701" s="420">
        <v>45658</v>
      </c>
      <c r="B3701" t="s">
        <v>2435</v>
      </c>
      <c r="C3701" t="s">
        <v>6402</v>
      </c>
      <c r="D3701" t="s">
        <v>2436</v>
      </c>
      <c r="E3701" t="s">
        <v>6644</v>
      </c>
      <c r="F3701">
        <v>1.58</v>
      </c>
      <c r="H3701">
        <v>20823.96</v>
      </c>
      <c r="J3701" t="s">
        <v>2511</v>
      </c>
    </row>
    <row r="3702" spans="1:10" ht="15" customHeight="1" x14ac:dyDescent="0.2">
      <c r="A3702" s="420">
        <v>45658</v>
      </c>
      <c r="B3702" t="s">
        <v>2435</v>
      </c>
      <c r="C3702" t="s">
        <v>6402</v>
      </c>
      <c r="D3702" t="s">
        <v>2436</v>
      </c>
      <c r="E3702" t="s">
        <v>6645</v>
      </c>
      <c r="F3702">
        <v>69.8</v>
      </c>
      <c r="H3702">
        <v>20893.759999999998</v>
      </c>
      <c r="J3702" t="s">
        <v>2511</v>
      </c>
    </row>
    <row r="3703" spans="1:10" ht="15" customHeight="1" x14ac:dyDescent="0.2">
      <c r="A3703" s="420">
        <v>45658</v>
      </c>
      <c r="B3703" t="s">
        <v>2435</v>
      </c>
      <c r="C3703" t="s">
        <v>6402</v>
      </c>
      <c r="D3703" t="s">
        <v>2436</v>
      </c>
      <c r="E3703" t="s">
        <v>6646</v>
      </c>
      <c r="F3703">
        <v>1.55</v>
      </c>
      <c r="H3703">
        <v>20895.310000000001</v>
      </c>
      <c r="J3703" t="s">
        <v>2511</v>
      </c>
    </row>
    <row r="3704" spans="1:10" ht="15" customHeight="1" x14ac:dyDescent="0.2">
      <c r="A3704" s="420">
        <v>45658</v>
      </c>
      <c r="B3704" t="s">
        <v>2435</v>
      </c>
      <c r="C3704" t="s">
        <v>6402</v>
      </c>
      <c r="D3704" t="s">
        <v>2436</v>
      </c>
      <c r="E3704" t="s">
        <v>6647</v>
      </c>
      <c r="F3704">
        <v>9.83</v>
      </c>
      <c r="H3704">
        <v>20905.14</v>
      </c>
      <c r="J3704" t="s">
        <v>2511</v>
      </c>
    </row>
    <row r="3705" spans="1:10" ht="15" customHeight="1" x14ac:dyDescent="0.2">
      <c r="A3705" s="420">
        <v>45658</v>
      </c>
      <c r="B3705" t="s">
        <v>2435</v>
      </c>
      <c r="C3705" t="s">
        <v>6402</v>
      </c>
      <c r="D3705" t="s">
        <v>2436</v>
      </c>
      <c r="E3705" t="s">
        <v>6648</v>
      </c>
      <c r="F3705">
        <v>3.55</v>
      </c>
      <c r="H3705">
        <v>20908.689999999999</v>
      </c>
      <c r="J3705" t="s">
        <v>2511</v>
      </c>
    </row>
    <row r="3706" spans="1:10" ht="15" customHeight="1" x14ac:dyDescent="0.2">
      <c r="A3706" s="420">
        <v>45658</v>
      </c>
      <c r="B3706" t="s">
        <v>2435</v>
      </c>
      <c r="C3706" t="s">
        <v>6402</v>
      </c>
      <c r="D3706" t="s">
        <v>2436</v>
      </c>
      <c r="E3706" t="s">
        <v>6648</v>
      </c>
      <c r="F3706">
        <v>2.33</v>
      </c>
      <c r="H3706">
        <v>20911.02</v>
      </c>
      <c r="J3706" t="s">
        <v>2511</v>
      </c>
    </row>
    <row r="3707" spans="1:10" ht="15" customHeight="1" x14ac:dyDescent="0.2">
      <c r="A3707" s="420">
        <v>45658</v>
      </c>
      <c r="B3707" t="s">
        <v>2435</v>
      </c>
      <c r="C3707" t="s">
        <v>6402</v>
      </c>
      <c r="D3707" t="s">
        <v>2436</v>
      </c>
      <c r="E3707" t="s">
        <v>6649</v>
      </c>
      <c r="F3707">
        <v>39.6</v>
      </c>
      <c r="H3707">
        <v>20950.62</v>
      </c>
      <c r="J3707" t="s">
        <v>2511</v>
      </c>
    </row>
    <row r="3708" spans="1:10" ht="15" customHeight="1" x14ac:dyDescent="0.2">
      <c r="A3708" s="420">
        <v>45658</v>
      </c>
      <c r="B3708" t="s">
        <v>2435</v>
      </c>
      <c r="C3708" t="s">
        <v>6402</v>
      </c>
      <c r="D3708" t="s">
        <v>2436</v>
      </c>
      <c r="E3708" t="s">
        <v>6650</v>
      </c>
      <c r="F3708">
        <v>2.8</v>
      </c>
      <c r="H3708">
        <v>20953.419999999998</v>
      </c>
      <c r="J3708" t="s">
        <v>2511</v>
      </c>
    </row>
    <row r="3709" spans="1:10" ht="15" customHeight="1" x14ac:dyDescent="0.2">
      <c r="A3709" s="420">
        <v>45658</v>
      </c>
      <c r="B3709" t="s">
        <v>2435</v>
      </c>
      <c r="C3709" t="s">
        <v>6402</v>
      </c>
      <c r="D3709" t="s">
        <v>2436</v>
      </c>
      <c r="E3709" t="s">
        <v>6651</v>
      </c>
      <c r="F3709">
        <v>1360.3</v>
      </c>
      <c r="H3709">
        <v>22313.72</v>
      </c>
      <c r="J3709" t="s">
        <v>2511</v>
      </c>
    </row>
    <row r="3710" spans="1:10" ht="15" customHeight="1" x14ac:dyDescent="0.2">
      <c r="A3710" s="420">
        <v>45658</v>
      </c>
      <c r="B3710" t="s">
        <v>2435</v>
      </c>
      <c r="C3710" t="s">
        <v>6402</v>
      </c>
      <c r="D3710" t="s">
        <v>2436</v>
      </c>
      <c r="E3710" t="s">
        <v>4294</v>
      </c>
      <c r="F3710">
        <v>283.39999999999998</v>
      </c>
      <c r="H3710">
        <v>22597.119999999999</v>
      </c>
      <c r="J3710" t="s">
        <v>2511</v>
      </c>
    </row>
    <row r="3711" spans="1:10" ht="15" customHeight="1" x14ac:dyDescent="0.2">
      <c r="A3711" s="420">
        <v>45658</v>
      </c>
      <c r="B3711" t="s">
        <v>2435</v>
      </c>
      <c r="C3711" t="s">
        <v>6402</v>
      </c>
      <c r="D3711" t="s">
        <v>2436</v>
      </c>
      <c r="E3711" t="s">
        <v>6652</v>
      </c>
      <c r="F3711">
        <v>64.33</v>
      </c>
      <c r="H3711">
        <v>22661.45</v>
      </c>
      <c r="J3711" t="s">
        <v>2511</v>
      </c>
    </row>
    <row r="3712" spans="1:10" ht="15" customHeight="1" x14ac:dyDescent="0.2">
      <c r="A3712" s="420">
        <v>45658</v>
      </c>
      <c r="B3712" t="s">
        <v>2435</v>
      </c>
      <c r="C3712" t="s">
        <v>6402</v>
      </c>
      <c r="D3712" t="s">
        <v>2436</v>
      </c>
      <c r="E3712" t="s">
        <v>6653</v>
      </c>
      <c r="F3712">
        <v>56.96</v>
      </c>
      <c r="H3712">
        <v>22718.41</v>
      </c>
      <c r="J3712" t="s">
        <v>2511</v>
      </c>
    </row>
    <row r="3713" spans="1:10" ht="15" customHeight="1" x14ac:dyDescent="0.2">
      <c r="A3713" s="420">
        <v>45658</v>
      </c>
      <c r="B3713" t="s">
        <v>2435</v>
      </c>
      <c r="C3713" t="s">
        <v>6402</v>
      </c>
      <c r="D3713" t="s">
        <v>2436</v>
      </c>
      <c r="E3713" t="s">
        <v>6654</v>
      </c>
      <c r="F3713">
        <v>342</v>
      </c>
      <c r="H3713">
        <v>23060.41</v>
      </c>
      <c r="J3713" t="s">
        <v>2511</v>
      </c>
    </row>
    <row r="3714" spans="1:10" ht="15" customHeight="1" x14ac:dyDescent="0.2">
      <c r="A3714" s="420">
        <v>45658</v>
      </c>
      <c r="B3714" t="s">
        <v>2435</v>
      </c>
      <c r="C3714" t="s">
        <v>6402</v>
      </c>
      <c r="D3714" t="s">
        <v>2436</v>
      </c>
      <c r="E3714" t="s">
        <v>6655</v>
      </c>
      <c r="F3714">
        <v>60</v>
      </c>
      <c r="H3714">
        <v>23120.41</v>
      </c>
      <c r="J3714" t="s">
        <v>2511</v>
      </c>
    </row>
    <row r="3715" spans="1:10" ht="15" customHeight="1" x14ac:dyDescent="0.2">
      <c r="A3715" s="420">
        <v>45658</v>
      </c>
      <c r="B3715" t="s">
        <v>2435</v>
      </c>
      <c r="C3715" t="s">
        <v>6402</v>
      </c>
      <c r="D3715" t="s">
        <v>2436</v>
      </c>
      <c r="E3715" t="s">
        <v>6656</v>
      </c>
      <c r="F3715">
        <v>200</v>
      </c>
      <c r="H3715">
        <v>23320.41</v>
      </c>
      <c r="J3715" t="s">
        <v>2511</v>
      </c>
    </row>
    <row r="3716" spans="1:10" ht="15" customHeight="1" x14ac:dyDescent="0.2">
      <c r="A3716" s="420">
        <v>45658</v>
      </c>
      <c r="B3716" t="s">
        <v>2435</v>
      </c>
      <c r="C3716" t="s">
        <v>6402</v>
      </c>
      <c r="D3716" t="s">
        <v>2436</v>
      </c>
      <c r="E3716" t="s">
        <v>6657</v>
      </c>
      <c r="F3716">
        <v>10.199999999999999</v>
      </c>
      <c r="H3716">
        <v>23330.61</v>
      </c>
      <c r="J3716" t="s">
        <v>2511</v>
      </c>
    </row>
    <row r="3717" spans="1:10" ht="15" customHeight="1" x14ac:dyDescent="0.2">
      <c r="A3717" s="420">
        <v>45658</v>
      </c>
      <c r="B3717" t="s">
        <v>2435</v>
      </c>
      <c r="C3717" t="s">
        <v>6402</v>
      </c>
      <c r="D3717" t="s">
        <v>2436</v>
      </c>
      <c r="E3717" t="s">
        <v>6658</v>
      </c>
      <c r="F3717">
        <v>7.71</v>
      </c>
      <c r="H3717">
        <v>23338.32</v>
      </c>
      <c r="J3717" t="s">
        <v>2511</v>
      </c>
    </row>
    <row r="3718" spans="1:10" ht="15" customHeight="1" x14ac:dyDescent="0.2">
      <c r="A3718" s="420">
        <v>45658</v>
      </c>
      <c r="B3718" t="s">
        <v>2435</v>
      </c>
      <c r="C3718" t="s">
        <v>6402</v>
      </c>
      <c r="D3718" t="s">
        <v>2436</v>
      </c>
      <c r="E3718" t="s">
        <v>6659</v>
      </c>
      <c r="F3718">
        <v>4</v>
      </c>
      <c r="H3718">
        <v>23342.32</v>
      </c>
      <c r="J3718" t="s">
        <v>2511</v>
      </c>
    </row>
    <row r="3719" spans="1:10" ht="15" customHeight="1" x14ac:dyDescent="0.2">
      <c r="A3719" s="420">
        <v>45658</v>
      </c>
      <c r="B3719" t="s">
        <v>2435</v>
      </c>
      <c r="C3719" t="s">
        <v>6402</v>
      </c>
      <c r="D3719" t="s">
        <v>2436</v>
      </c>
      <c r="E3719" t="s">
        <v>6660</v>
      </c>
      <c r="F3719">
        <v>220</v>
      </c>
      <c r="H3719">
        <v>23562.32</v>
      </c>
      <c r="J3719" t="s">
        <v>2511</v>
      </c>
    </row>
    <row r="3720" spans="1:10" ht="15" customHeight="1" x14ac:dyDescent="0.2">
      <c r="A3720" s="420">
        <v>45658</v>
      </c>
      <c r="B3720" t="s">
        <v>2435</v>
      </c>
      <c r="C3720" t="s">
        <v>6402</v>
      </c>
      <c r="D3720" t="s">
        <v>2436</v>
      </c>
      <c r="E3720" t="s">
        <v>4833</v>
      </c>
      <c r="F3720">
        <v>50</v>
      </c>
      <c r="H3720">
        <v>23612.32</v>
      </c>
      <c r="J3720" t="s">
        <v>2511</v>
      </c>
    </row>
    <row r="3721" spans="1:10" ht="15" customHeight="1" x14ac:dyDescent="0.2">
      <c r="A3721" s="420">
        <v>45658</v>
      </c>
      <c r="B3721" t="s">
        <v>2435</v>
      </c>
      <c r="C3721" t="s">
        <v>6402</v>
      </c>
      <c r="D3721" t="s">
        <v>2436</v>
      </c>
      <c r="E3721" t="s">
        <v>4833</v>
      </c>
      <c r="G3721">
        <v>50</v>
      </c>
      <c r="H3721">
        <v>23562.32</v>
      </c>
      <c r="J3721" t="s">
        <v>2511</v>
      </c>
    </row>
    <row r="3722" spans="1:10" ht="15" customHeight="1" x14ac:dyDescent="0.2">
      <c r="A3722" s="420">
        <v>45658</v>
      </c>
      <c r="B3722" t="s">
        <v>2435</v>
      </c>
      <c r="C3722" t="s">
        <v>6402</v>
      </c>
      <c r="D3722" t="s">
        <v>2436</v>
      </c>
      <c r="E3722" t="s">
        <v>6661</v>
      </c>
      <c r="F3722">
        <v>12.6</v>
      </c>
      <c r="H3722">
        <v>23574.92</v>
      </c>
      <c r="J3722" t="s">
        <v>2511</v>
      </c>
    </row>
    <row r="3723" spans="1:10" ht="15" customHeight="1" x14ac:dyDescent="0.2">
      <c r="A3723" s="420">
        <v>45658</v>
      </c>
      <c r="B3723" t="s">
        <v>2435</v>
      </c>
      <c r="C3723" t="s">
        <v>6402</v>
      </c>
      <c r="D3723" t="s">
        <v>2436</v>
      </c>
      <c r="E3723" t="s">
        <v>6662</v>
      </c>
      <c r="F3723">
        <v>354.84</v>
      </c>
      <c r="H3723">
        <v>23929.759999999998</v>
      </c>
      <c r="J3723" t="s">
        <v>2511</v>
      </c>
    </row>
    <row r="3724" spans="1:10" ht="15" customHeight="1" x14ac:dyDescent="0.2">
      <c r="A3724" s="420">
        <v>45658</v>
      </c>
      <c r="B3724" t="s">
        <v>2435</v>
      </c>
      <c r="C3724" t="s">
        <v>6402</v>
      </c>
      <c r="D3724" t="s">
        <v>2436</v>
      </c>
      <c r="E3724" t="s">
        <v>6663</v>
      </c>
      <c r="F3724">
        <v>14.3</v>
      </c>
      <c r="H3724">
        <v>23944.06</v>
      </c>
      <c r="J3724" t="s">
        <v>2511</v>
      </c>
    </row>
    <row r="3725" spans="1:10" ht="15" customHeight="1" x14ac:dyDescent="0.2">
      <c r="A3725" s="420">
        <v>45658</v>
      </c>
      <c r="B3725" t="s">
        <v>2435</v>
      </c>
      <c r="C3725" t="s">
        <v>6402</v>
      </c>
      <c r="D3725" t="s">
        <v>2436</v>
      </c>
      <c r="E3725" t="s">
        <v>6664</v>
      </c>
      <c r="F3725">
        <v>19.829999999999998</v>
      </c>
      <c r="H3725">
        <v>23963.89</v>
      </c>
      <c r="J3725" t="s">
        <v>2511</v>
      </c>
    </row>
    <row r="3726" spans="1:10" ht="15" customHeight="1" x14ac:dyDescent="0.2">
      <c r="A3726" s="420">
        <v>45658</v>
      </c>
      <c r="B3726" t="s">
        <v>2435</v>
      </c>
      <c r="C3726" t="s">
        <v>6402</v>
      </c>
      <c r="D3726" t="s">
        <v>2436</v>
      </c>
      <c r="E3726" t="s">
        <v>6665</v>
      </c>
      <c r="F3726">
        <v>32.61</v>
      </c>
      <c r="H3726">
        <v>23996.5</v>
      </c>
      <c r="J3726" t="s">
        <v>2511</v>
      </c>
    </row>
    <row r="3727" spans="1:10" ht="15" customHeight="1" x14ac:dyDescent="0.2">
      <c r="A3727" s="420">
        <v>45658</v>
      </c>
      <c r="B3727" t="s">
        <v>2435</v>
      </c>
      <c r="C3727" t="s">
        <v>6402</v>
      </c>
      <c r="D3727" t="s">
        <v>2436</v>
      </c>
      <c r="E3727" t="s">
        <v>6666</v>
      </c>
      <c r="F3727">
        <v>17.52</v>
      </c>
      <c r="H3727">
        <v>24014.02</v>
      </c>
      <c r="J3727" t="s">
        <v>2511</v>
      </c>
    </row>
    <row r="3728" spans="1:10" ht="15" customHeight="1" x14ac:dyDescent="0.2">
      <c r="A3728" s="420">
        <v>45658</v>
      </c>
      <c r="B3728" t="s">
        <v>2435</v>
      </c>
      <c r="C3728" t="s">
        <v>6402</v>
      </c>
      <c r="D3728" t="s">
        <v>2436</v>
      </c>
      <c r="E3728" t="s">
        <v>6667</v>
      </c>
      <c r="F3728">
        <v>54.82</v>
      </c>
      <c r="H3728">
        <v>24068.84</v>
      </c>
      <c r="J3728" t="s">
        <v>2511</v>
      </c>
    </row>
    <row r="3729" spans="1:10" ht="15" customHeight="1" x14ac:dyDescent="0.2">
      <c r="A3729" s="420">
        <v>45658</v>
      </c>
      <c r="B3729" t="s">
        <v>2435</v>
      </c>
      <c r="C3729" t="s">
        <v>6402</v>
      </c>
      <c r="D3729" t="s">
        <v>2436</v>
      </c>
      <c r="E3729" t="s">
        <v>6668</v>
      </c>
      <c r="F3729">
        <v>15.8</v>
      </c>
      <c r="H3729">
        <v>24084.639999999999</v>
      </c>
      <c r="J3729" t="s">
        <v>2511</v>
      </c>
    </row>
    <row r="3730" spans="1:10" ht="15" customHeight="1" x14ac:dyDescent="0.2">
      <c r="A3730" s="420">
        <v>45658</v>
      </c>
      <c r="B3730" t="s">
        <v>2435</v>
      </c>
      <c r="C3730" t="s">
        <v>6402</v>
      </c>
      <c r="D3730" t="s">
        <v>2436</v>
      </c>
      <c r="E3730" t="s">
        <v>6669</v>
      </c>
      <c r="F3730">
        <v>44.19</v>
      </c>
      <c r="H3730">
        <v>24128.83</v>
      </c>
      <c r="J3730" t="s">
        <v>2511</v>
      </c>
    </row>
    <row r="3731" spans="1:10" ht="15" customHeight="1" x14ac:dyDescent="0.2">
      <c r="A3731" s="420">
        <v>45658</v>
      </c>
      <c r="B3731" t="s">
        <v>2435</v>
      </c>
      <c r="C3731" t="s">
        <v>6402</v>
      </c>
      <c r="D3731" t="s">
        <v>2436</v>
      </c>
      <c r="E3731" t="s">
        <v>6670</v>
      </c>
      <c r="F3731">
        <v>21.09</v>
      </c>
      <c r="H3731">
        <v>24149.919999999998</v>
      </c>
      <c r="J3731" t="s">
        <v>2511</v>
      </c>
    </row>
    <row r="3732" spans="1:10" ht="15" customHeight="1" x14ac:dyDescent="0.2">
      <c r="A3732" s="420">
        <v>45658</v>
      </c>
      <c r="B3732" t="s">
        <v>2435</v>
      </c>
      <c r="C3732" t="s">
        <v>6402</v>
      </c>
      <c r="D3732" t="s">
        <v>2436</v>
      </c>
      <c r="E3732" t="s">
        <v>6671</v>
      </c>
      <c r="F3732">
        <v>2.5</v>
      </c>
      <c r="H3732">
        <v>24152.42</v>
      </c>
      <c r="J3732" t="s">
        <v>2511</v>
      </c>
    </row>
    <row r="3733" spans="1:10" ht="15" customHeight="1" x14ac:dyDescent="0.2">
      <c r="A3733" s="420">
        <v>45658</v>
      </c>
      <c r="B3733" t="s">
        <v>2435</v>
      </c>
      <c r="C3733" t="s">
        <v>6402</v>
      </c>
      <c r="D3733" t="s">
        <v>2436</v>
      </c>
      <c r="E3733" t="s">
        <v>6672</v>
      </c>
      <c r="F3733">
        <v>4.8499999999999996</v>
      </c>
      <c r="H3733">
        <v>24157.27</v>
      </c>
      <c r="J3733" t="s">
        <v>2511</v>
      </c>
    </row>
    <row r="3734" spans="1:10" ht="15" customHeight="1" x14ac:dyDescent="0.2">
      <c r="A3734" s="420">
        <v>45658</v>
      </c>
      <c r="B3734" t="s">
        <v>2435</v>
      </c>
      <c r="C3734" t="s">
        <v>6402</v>
      </c>
      <c r="D3734" t="s">
        <v>2436</v>
      </c>
      <c r="E3734" t="s">
        <v>6672</v>
      </c>
      <c r="F3734">
        <v>2.65</v>
      </c>
      <c r="H3734">
        <v>24159.919999999998</v>
      </c>
      <c r="J3734" t="s">
        <v>2511</v>
      </c>
    </row>
    <row r="3735" spans="1:10" ht="15" customHeight="1" x14ac:dyDescent="0.2">
      <c r="A3735" s="420">
        <v>45658</v>
      </c>
      <c r="B3735" t="s">
        <v>2435</v>
      </c>
      <c r="C3735" t="s">
        <v>6402</v>
      </c>
      <c r="D3735" t="s">
        <v>2436</v>
      </c>
      <c r="E3735" t="s">
        <v>6673</v>
      </c>
      <c r="F3735">
        <v>2.67</v>
      </c>
      <c r="H3735">
        <v>24162.59</v>
      </c>
      <c r="J3735" t="s">
        <v>2511</v>
      </c>
    </row>
    <row r="3736" spans="1:10" ht="15" customHeight="1" x14ac:dyDescent="0.2">
      <c r="A3736" s="420">
        <v>45658</v>
      </c>
      <c r="B3736" t="s">
        <v>2435</v>
      </c>
      <c r="C3736" t="s">
        <v>6402</v>
      </c>
      <c r="D3736" t="s">
        <v>2436</v>
      </c>
      <c r="E3736" t="s">
        <v>6674</v>
      </c>
      <c r="F3736">
        <v>5.73</v>
      </c>
      <c r="H3736">
        <v>24168.32</v>
      </c>
      <c r="J3736" t="s">
        <v>2511</v>
      </c>
    </row>
    <row r="3737" spans="1:10" ht="15" customHeight="1" x14ac:dyDescent="0.2">
      <c r="A3737" s="420">
        <v>45658</v>
      </c>
      <c r="B3737" t="s">
        <v>2435</v>
      </c>
      <c r="C3737" t="s">
        <v>6402</v>
      </c>
      <c r="D3737" t="s">
        <v>2436</v>
      </c>
      <c r="E3737" t="s">
        <v>6674</v>
      </c>
      <c r="F3737">
        <v>1.05</v>
      </c>
      <c r="H3737">
        <v>24169.37</v>
      </c>
      <c r="J3737" t="s">
        <v>2511</v>
      </c>
    </row>
    <row r="3738" spans="1:10" ht="15" customHeight="1" x14ac:dyDescent="0.2">
      <c r="A3738" s="420">
        <v>45658</v>
      </c>
      <c r="B3738" t="s">
        <v>2435</v>
      </c>
      <c r="C3738" t="s">
        <v>6402</v>
      </c>
      <c r="D3738" t="s">
        <v>2436</v>
      </c>
      <c r="E3738" t="s">
        <v>6675</v>
      </c>
      <c r="F3738">
        <v>133.96</v>
      </c>
      <c r="H3738">
        <v>24303.33</v>
      </c>
      <c r="J3738" t="s">
        <v>2511</v>
      </c>
    </row>
    <row r="3739" spans="1:10" ht="15" customHeight="1" x14ac:dyDescent="0.2">
      <c r="A3739" s="420">
        <v>45658</v>
      </c>
      <c r="B3739" t="s">
        <v>2435</v>
      </c>
      <c r="C3739" t="s">
        <v>6402</v>
      </c>
      <c r="D3739" t="s">
        <v>2436</v>
      </c>
      <c r="E3739" t="s">
        <v>6676</v>
      </c>
      <c r="F3739">
        <v>4.74</v>
      </c>
      <c r="H3739">
        <v>24308.07</v>
      </c>
      <c r="J3739" t="s">
        <v>2511</v>
      </c>
    </row>
    <row r="3740" spans="1:10" ht="15" customHeight="1" x14ac:dyDescent="0.2">
      <c r="A3740" s="420">
        <v>45658</v>
      </c>
      <c r="B3740" t="s">
        <v>2435</v>
      </c>
      <c r="C3740" t="s">
        <v>6402</v>
      </c>
      <c r="D3740" t="s">
        <v>2436</v>
      </c>
      <c r="E3740" t="s">
        <v>6677</v>
      </c>
      <c r="F3740">
        <v>55.4</v>
      </c>
      <c r="H3740">
        <v>24363.47</v>
      </c>
      <c r="J3740" t="s">
        <v>2511</v>
      </c>
    </row>
    <row r="3741" spans="1:10" ht="15" customHeight="1" x14ac:dyDescent="0.2">
      <c r="A3741" s="420">
        <v>45658</v>
      </c>
      <c r="B3741" t="s">
        <v>2435</v>
      </c>
      <c r="C3741" t="s">
        <v>6402</v>
      </c>
      <c r="D3741" t="s">
        <v>2436</v>
      </c>
      <c r="E3741" t="s">
        <v>6678</v>
      </c>
      <c r="F3741">
        <v>5.98</v>
      </c>
      <c r="H3741">
        <v>24369.45</v>
      </c>
      <c r="J3741" t="s">
        <v>2511</v>
      </c>
    </row>
    <row r="3742" spans="1:10" ht="15" customHeight="1" x14ac:dyDescent="0.2">
      <c r="A3742" s="420">
        <v>45658</v>
      </c>
      <c r="B3742" t="s">
        <v>2435</v>
      </c>
      <c r="C3742" t="s">
        <v>6402</v>
      </c>
      <c r="D3742" t="s">
        <v>2436</v>
      </c>
      <c r="E3742" t="s">
        <v>6679</v>
      </c>
      <c r="F3742">
        <v>30</v>
      </c>
      <c r="H3742">
        <v>24399.45</v>
      </c>
      <c r="J3742" t="s">
        <v>2511</v>
      </c>
    </row>
    <row r="3743" spans="1:10" ht="15" customHeight="1" x14ac:dyDescent="0.2">
      <c r="A3743" s="420">
        <v>45658</v>
      </c>
      <c r="B3743" t="s">
        <v>2435</v>
      </c>
      <c r="C3743" t="s">
        <v>6402</v>
      </c>
      <c r="D3743" t="s">
        <v>2436</v>
      </c>
      <c r="E3743" t="s">
        <v>6680</v>
      </c>
      <c r="F3743">
        <v>10.91</v>
      </c>
      <c r="H3743">
        <v>24410.36</v>
      </c>
      <c r="J3743" t="s">
        <v>2511</v>
      </c>
    </row>
    <row r="3744" spans="1:10" ht="15" customHeight="1" x14ac:dyDescent="0.2">
      <c r="A3744" s="420">
        <v>45658</v>
      </c>
      <c r="B3744" t="s">
        <v>2435</v>
      </c>
      <c r="C3744" t="s">
        <v>6402</v>
      </c>
      <c r="D3744" t="s">
        <v>2436</v>
      </c>
      <c r="E3744" t="s">
        <v>6681</v>
      </c>
      <c r="F3744">
        <v>2.38</v>
      </c>
      <c r="H3744">
        <v>24412.74</v>
      </c>
      <c r="J3744" t="s">
        <v>2511</v>
      </c>
    </row>
    <row r="3745" spans="1:10" ht="15" customHeight="1" x14ac:dyDescent="0.2">
      <c r="A3745" s="420">
        <v>45658</v>
      </c>
      <c r="B3745" t="s">
        <v>2435</v>
      </c>
      <c r="C3745" t="s">
        <v>6402</v>
      </c>
      <c r="D3745" t="s">
        <v>2436</v>
      </c>
      <c r="E3745" t="s">
        <v>6682</v>
      </c>
      <c r="F3745">
        <v>40.340000000000003</v>
      </c>
      <c r="H3745">
        <v>24453.08</v>
      </c>
      <c r="J3745" t="s">
        <v>2511</v>
      </c>
    </row>
    <row r="3746" spans="1:10" ht="15" customHeight="1" x14ac:dyDescent="0.2">
      <c r="A3746" s="420">
        <v>45658</v>
      </c>
      <c r="B3746" t="s">
        <v>2435</v>
      </c>
      <c r="C3746" t="s">
        <v>6402</v>
      </c>
      <c r="D3746" t="s">
        <v>2436</v>
      </c>
      <c r="E3746" t="s">
        <v>6683</v>
      </c>
      <c r="F3746">
        <v>64.33</v>
      </c>
      <c r="H3746">
        <v>24517.41</v>
      </c>
      <c r="J3746" t="s">
        <v>2511</v>
      </c>
    </row>
    <row r="3747" spans="1:10" ht="15" customHeight="1" x14ac:dyDescent="0.2">
      <c r="A3747" s="420">
        <v>45658</v>
      </c>
      <c r="B3747" t="s">
        <v>2435</v>
      </c>
      <c r="C3747" t="s">
        <v>6402</v>
      </c>
      <c r="D3747" t="s">
        <v>2436</v>
      </c>
      <c r="E3747" t="s">
        <v>6683</v>
      </c>
      <c r="F3747">
        <v>250</v>
      </c>
      <c r="H3747">
        <v>24767.41</v>
      </c>
      <c r="J3747" t="s">
        <v>2511</v>
      </c>
    </row>
    <row r="3748" spans="1:10" ht="15" customHeight="1" x14ac:dyDescent="0.2">
      <c r="A3748" s="420">
        <v>45658</v>
      </c>
      <c r="B3748" t="s">
        <v>2435</v>
      </c>
      <c r="C3748" t="s">
        <v>6402</v>
      </c>
      <c r="D3748" t="s">
        <v>2436</v>
      </c>
      <c r="E3748" t="s">
        <v>6684</v>
      </c>
      <c r="F3748">
        <v>70.239999999999995</v>
      </c>
      <c r="H3748">
        <v>24837.65</v>
      </c>
      <c r="J3748" t="s">
        <v>2511</v>
      </c>
    </row>
    <row r="3749" spans="1:10" ht="15" customHeight="1" x14ac:dyDescent="0.2">
      <c r="A3749" s="420">
        <v>45658</v>
      </c>
      <c r="B3749" t="s">
        <v>2435</v>
      </c>
      <c r="C3749" t="s">
        <v>6402</v>
      </c>
      <c r="D3749" t="s">
        <v>2436</v>
      </c>
      <c r="E3749" t="s">
        <v>6685</v>
      </c>
      <c r="F3749">
        <v>130</v>
      </c>
      <c r="H3749">
        <v>24967.65</v>
      </c>
      <c r="J3749" t="s">
        <v>2511</v>
      </c>
    </row>
    <row r="3750" spans="1:10" ht="15" customHeight="1" x14ac:dyDescent="0.2">
      <c r="A3750" s="420">
        <v>45658</v>
      </c>
      <c r="B3750" t="s">
        <v>2435</v>
      </c>
      <c r="C3750" t="s">
        <v>6402</v>
      </c>
      <c r="D3750" t="s">
        <v>2436</v>
      </c>
      <c r="E3750" t="s">
        <v>6686</v>
      </c>
      <c r="F3750">
        <v>200</v>
      </c>
      <c r="H3750">
        <v>25167.65</v>
      </c>
      <c r="J3750" t="s">
        <v>2511</v>
      </c>
    </row>
    <row r="3751" spans="1:10" ht="15" customHeight="1" x14ac:dyDescent="0.2">
      <c r="A3751" s="420">
        <v>45658</v>
      </c>
      <c r="B3751" t="s">
        <v>2435</v>
      </c>
      <c r="C3751" t="s">
        <v>6402</v>
      </c>
      <c r="D3751" t="s">
        <v>2436</v>
      </c>
      <c r="E3751" t="s">
        <v>6687</v>
      </c>
      <c r="F3751">
        <v>10.199999999999999</v>
      </c>
      <c r="H3751">
        <v>25177.85</v>
      </c>
      <c r="J3751" t="s">
        <v>2511</v>
      </c>
    </row>
    <row r="3752" spans="1:10" ht="15" customHeight="1" x14ac:dyDescent="0.2">
      <c r="A3752" s="420">
        <v>45658</v>
      </c>
      <c r="B3752" t="s">
        <v>2435</v>
      </c>
      <c r="C3752" t="s">
        <v>6402</v>
      </c>
      <c r="D3752" t="s">
        <v>2436</v>
      </c>
      <c r="E3752" t="s">
        <v>6688</v>
      </c>
      <c r="F3752">
        <v>4.8899999999999997</v>
      </c>
      <c r="H3752">
        <v>25182.74</v>
      </c>
      <c r="J3752" t="s">
        <v>2511</v>
      </c>
    </row>
    <row r="3753" spans="1:10" ht="15" customHeight="1" x14ac:dyDescent="0.2">
      <c r="A3753" s="420">
        <v>45658</v>
      </c>
      <c r="B3753" t="s">
        <v>2435</v>
      </c>
      <c r="C3753" t="s">
        <v>6402</v>
      </c>
      <c r="D3753" t="s">
        <v>2436</v>
      </c>
      <c r="E3753" t="s">
        <v>6688</v>
      </c>
      <c r="F3753">
        <v>1.63</v>
      </c>
      <c r="H3753">
        <v>25184.37</v>
      </c>
      <c r="J3753" t="s">
        <v>2511</v>
      </c>
    </row>
    <row r="3754" spans="1:10" ht="15" customHeight="1" x14ac:dyDescent="0.2">
      <c r="A3754" s="420">
        <v>45658</v>
      </c>
      <c r="B3754" t="s">
        <v>2435</v>
      </c>
      <c r="C3754" t="s">
        <v>6402</v>
      </c>
      <c r="D3754" t="s">
        <v>2436</v>
      </c>
      <c r="E3754" t="s">
        <v>6689</v>
      </c>
      <c r="F3754">
        <v>10</v>
      </c>
      <c r="H3754">
        <v>25194.37</v>
      </c>
      <c r="J3754" t="s">
        <v>2511</v>
      </c>
    </row>
    <row r="3755" spans="1:10" ht="15" customHeight="1" x14ac:dyDescent="0.2">
      <c r="A3755" s="420">
        <v>45658</v>
      </c>
      <c r="B3755" t="s">
        <v>2435</v>
      </c>
      <c r="C3755" t="s">
        <v>6402</v>
      </c>
      <c r="D3755" t="s">
        <v>2436</v>
      </c>
      <c r="E3755" t="s">
        <v>6690</v>
      </c>
      <c r="F3755">
        <v>4</v>
      </c>
      <c r="H3755">
        <v>25198.37</v>
      </c>
      <c r="J3755" t="s">
        <v>2511</v>
      </c>
    </row>
    <row r="3756" spans="1:10" ht="15" customHeight="1" x14ac:dyDescent="0.2">
      <c r="A3756" s="420">
        <v>45658</v>
      </c>
      <c r="B3756" t="s">
        <v>2435</v>
      </c>
      <c r="C3756" t="s">
        <v>6402</v>
      </c>
      <c r="D3756" t="s">
        <v>2436</v>
      </c>
      <c r="E3756" t="s">
        <v>6691</v>
      </c>
      <c r="F3756">
        <v>373.1</v>
      </c>
      <c r="H3756">
        <v>25571.47</v>
      </c>
      <c r="J3756" t="s">
        <v>2511</v>
      </c>
    </row>
    <row r="3757" spans="1:10" ht="15" customHeight="1" x14ac:dyDescent="0.2">
      <c r="A3757" s="420">
        <v>45658</v>
      </c>
      <c r="B3757" t="s">
        <v>2435</v>
      </c>
      <c r="C3757" t="s">
        <v>6402</v>
      </c>
      <c r="D3757" t="s">
        <v>2436</v>
      </c>
      <c r="E3757" t="s">
        <v>6692</v>
      </c>
      <c r="F3757">
        <v>3.25</v>
      </c>
      <c r="H3757">
        <v>25574.720000000001</v>
      </c>
      <c r="J3757" t="s">
        <v>2511</v>
      </c>
    </row>
    <row r="3758" spans="1:10" ht="15" customHeight="1" x14ac:dyDescent="0.2">
      <c r="A3758" s="420">
        <v>45658</v>
      </c>
      <c r="B3758" t="s">
        <v>2435</v>
      </c>
      <c r="C3758" t="s">
        <v>6402</v>
      </c>
      <c r="D3758" t="s">
        <v>2436</v>
      </c>
      <c r="E3758" t="s">
        <v>6692</v>
      </c>
      <c r="F3758">
        <v>2.97</v>
      </c>
      <c r="H3758">
        <v>25577.69</v>
      </c>
      <c r="J3758" t="s">
        <v>2511</v>
      </c>
    </row>
    <row r="3759" spans="1:10" ht="15" customHeight="1" x14ac:dyDescent="0.2">
      <c r="A3759" s="420">
        <v>45658</v>
      </c>
      <c r="B3759" t="s">
        <v>2435</v>
      </c>
      <c r="C3759" t="s">
        <v>6402</v>
      </c>
      <c r="D3759" t="s">
        <v>2436</v>
      </c>
      <c r="E3759" t="s">
        <v>6693</v>
      </c>
      <c r="F3759">
        <v>9.41</v>
      </c>
      <c r="H3759">
        <v>25587.1</v>
      </c>
      <c r="J3759" t="s">
        <v>2511</v>
      </c>
    </row>
    <row r="3760" spans="1:10" ht="15" customHeight="1" x14ac:dyDescent="0.2">
      <c r="A3760" s="420">
        <v>45658</v>
      </c>
      <c r="B3760" t="s">
        <v>2435</v>
      </c>
      <c r="C3760" t="s">
        <v>6402</v>
      </c>
      <c r="D3760" t="s">
        <v>2436</v>
      </c>
      <c r="E3760" t="s">
        <v>6694</v>
      </c>
      <c r="F3760">
        <v>27.2</v>
      </c>
      <c r="H3760">
        <v>25614.3</v>
      </c>
      <c r="J3760" t="s">
        <v>2511</v>
      </c>
    </row>
    <row r="3761" spans="1:10" ht="15" customHeight="1" x14ac:dyDescent="0.2">
      <c r="A3761" s="420">
        <v>45658</v>
      </c>
      <c r="B3761" t="s">
        <v>2435</v>
      </c>
      <c r="C3761" t="s">
        <v>6402</v>
      </c>
      <c r="D3761" t="s">
        <v>2436</v>
      </c>
      <c r="E3761" t="s">
        <v>6695</v>
      </c>
      <c r="F3761">
        <v>9.0399999999999991</v>
      </c>
      <c r="H3761">
        <v>25623.34</v>
      </c>
      <c r="J3761" t="s">
        <v>2511</v>
      </c>
    </row>
    <row r="3762" spans="1:10" ht="15" customHeight="1" x14ac:dyDescent="0.2">
      <c r="A3762" s="420">
        <v>45658</v>
      </c>
      <c r="B3762" t="s">
        <v>2435</v>
      </c>
      <c r="C3762" t="s">
        <v>6402</v>
      </c>
      <c r="D3762" t="s">
        <v>2436</v>
      </c>
      <c r="E3762" t="s">
        <v>6696</v>
      </c>
      <c r="F3762">
        <v>0.97</v>
      </c>
      <c r="H3762">
        <v>25624.31</v>
      </c>
      <c r="J3762" t="s">
        <v>2511</v>
      </c>
    </row>
    <row r="3763" spans="1:10" ht="15" customHeight="1" x14ac:dyDescent="0.2">
      <c r="A3763" s="420">
        <v>45658</v>
      </c>
      <c r="B3763" t="s">
        <v>2435</v>
      </c>
      <c r="C3763" t="s">
        <v>6402</v>
      </c>
      <c r="D3763" t="s">
        <v>2436</v>
      </c>
      <c r="E3763" t="s">
        <v>6697</v>
      </c>
      <c r="F3763">
        <v>1.72</v>
      </c>
      <c r="H3763">
        <v>25626.03</v>
      </c>
      <c r="J3763" t="s">
        <v>2511</v>
      </c>
    </row>
    <row r="3764" spans="1:10" ht="15" customHeight="1" x14ac:dyDescent="0.2">
      <c r="A3764" s="420">
        <v>45658</v>
      </c>
      <c r="B3764" t="s">
        <v>2435</v>
      </c>
      <c r="C3764" t="s">
        <v>6402</v>
      </c>
      <c r="D3764" t="s">
        <v>2436</v>
      </c>
      <c r="E3764" t="s">
        <v>6698</v>
      </c>
      <c r="F3764">
        <v>0.71</v>
      </c>
      <c r="H3764">
        <v>25626.74</v>
      </c>
      <c r="J3764" t="s">
        <v>2511</v>
      </c>
    </row>
    <row r="3765" spans="1:10" ht="15" customHeight="1" x14ac:dyDescent="0.2">
      <c r="A3765" s="420">
        <v>45658</v>
      </c>
      <c r="B3765" t="s">
        <v>2435</v>
      </c>
      <c r="C3765" t="s">
        <v>6402</v>
      </c>
      <c r="D3765" t="s">
        <v>2436</v>
      </c>
      <c r="E3765" t="s">
        <v>6698</v>
      </c>
      <c r="F3765">
        <v>1.4</v>
      </c>
      <c r="H3765">
        <v>25628.14</v>
      </c>
      <c r="J3765" t="s">
        <v>2511</v>
      </c>
    </row>
    <row r="3766" spans="1:10" ht="15" customHeight="1" x14ac:dyDescent="0.2">
      <c r="A3766" s="420">
        <v>45658</v>
      </c>
      <c r="B3766" t="s">
        <v>2435</v>
      </c>
      <c r="C3766" t="s">
        <v>6402</v>
      </c>
      <c r="D3766" t="s">
        <v>2436</v>
      </c>
      <c r="E3766" t="s">
        <v>6699</v>
      </c>
      <c r="F3766">
        <v>6.13</v>
      </c>
      <c r="H3766">
        <v>25634.27</v>
      </c>
      <c r="J3766" t="s">
        <v>2511</v>
      </c>
    </row>
    <row r="3767" spans="1:10" ht="15" customHeight="1" x14ac:dyDescent="0.2">
      <c r="A3767" s="420">
        <v>45658</v>
      </c>
      <c r="B3767" t="s">
        <v>2435</v>
      </c>
      <c r="C3767" t="s">
        <v>6402</v>
      </c>
      <c r="D3767" t="s">
        <v>2436</v>
      </c>
      <c r="E3767" t="s">
        <v>6700</v>
      </c>
      <c r="F3767">
        <v>15.94</v>
      </c>
      <c r="H3767">
        <v>25650.21</v>
      </c>
      <c r="J3767" t="s">
        <v>2511</v>
      </c>
    </row>
    <row r="3768" spans="1:10" ht="15" customHeight="1" x14ac:dyDescent="0.2">
      <c r="A3768" s="420">
        <v>45658</v>
      </c>
      <c r="B3768" t="s">
        <v>2435</v>
      </c>
      <c r="C3768" t="s">
        <v>6402</v>
      </c>
      <c r="D3768" t="s">
        <v>2436</v>
      </c>
      <c r="E3768" t="s">
        <v>6701</v>
      </c>
      <c r="F3768">
        <v>6.05</v>
      </c>
      <c r="H3768">
        <v>25656.26</v>
      </c>
      <c r="J3768" t="s">
        <v>2511</v>
      </c>
    </row>
    <row r="3769" spans="1:10" ht="15" customHeight="1" x14ac:dyDescent="0.2">
      <c r="A3769" s="420">
        <v>45658</v>
      </c>
      <c r="B3769" t="s">
        <v>2435</v>
      </c>
      <c r="C3769" t="s">
        <v>6402</v>
      </c>
      <c r="D3769" t="s">
        <v>2436</v>
      </c>
      <c r="E3769" t="s">
        <v>6701</v>
      </c>
      <c r="F3769">
        <v>1.05</v>
      </c>
      <c r="H3769">
        <v>25657.31</v>
      </c>
      <c r="J3769" t="s">
        <v>2511</v>
      </c>
    </row>
    <row r="3770" spans="1:10" ht="15" customHeight="1" x14ac:dyDescent="0.2">
      <c r="A3770" s="420">
        <v>45658</v>
      </c>
      <c r="B3770" t="s">
        <v>2435</v>
      </c>
      <c r="C3770" t="s">
        <v>6402</v>
      </c>
      <c r="D3770" t="s">
        <v>2436</v>
      </c>
      <c r="E3770" t="s">
        <v>6702</v>
      </c>
      <c r="F3770">
        <v>55.4</v>
      </c>
      <c r="H3770">
        <v>25712.71</v>
      </c>
      <c r="J3770" t="s">
        <v>2511</v>
      </c>
    </row>
    <row r="3771" spans="1:10" ht="15" customHeight="1" x14ac:dyDescent="0.2">
      <c r="A3771" s="420">
        <v>45658</v>
      </c>
      <c r="B3771" t="s">
        <v>2435</v>
      </c>
      <c r="C3771" t="s">
        <v>6402</v>
      </c>
      <c r="D3771" t="s">
        <v>2436</v>
      </c>
      <c r="E3771" t="s">
        <v>6703</v>
      </c>
      <c r="F3771">
        <v>1.17</v>
      </c>
      <c r="H3771">
        <v>25713.88</v>
      </c>
      <c r="J3771" t="s">
        <v>2511</v>
      </c>
    </row>
    <row r="3772" spans="1:10" ht="15" customHeight="1" x14ac:dyDescent="0.2">
      <c r="A3772" s="420">
        <v>45658</v>
      </c>
      <c r="B3772" t="s">
        <v>2435</v>
      </c>
      <c r="C3772" t="s">
        <v>6402</v>
      </c>
      <c r="D3772" t="s">
        <v>2436</v>
      </c>
      <c r="E3772" t="s">
        <v>6704</v>
      </c>
      <c r="F3772">
        <v>69.8</v>
      </c>
      <c r="H3772">
        <v>25783.68</v>
      </c>
      <c r="J3772" t="s">
        <v>2511</v>
      </c>
    </row>
    <row r="3773" spans="1:10" ht="15" customHeight="1" x14ac:dyDescent="0.2">
      <c r="A3773" s="420">
        <v>45658</v>
      </c>
      <c r="B3773" t="s">
        <v>2435</v>
      </c>
      <c r="C3773" t="s">
        <v>6402</v>
      </c>
      <c r="D3773" t="s">
        <v>2436</v>
      </c>
      <c r="E3773" t="s">
        <v>6705</v>
      </c>
      <c r="F3773">
        <v>2.59</v>
      </c>
      <c r="H3773">
        <v>25786.27</v>
      </c>
      <c r="J3773" t="s">
        <v>2511</v>
      </c>
    </row>
    <row r="3774" spans="1:10" ht="15" customHeight="1" x14ac:dyDescent="0.2">
      <c r="A3774" s="420">
        <v>45658</v>
      </c>
      <c r="B3774" t="s">
        <v>2435</v>
      </c>
      <c r="C3774" t="s">
        <v>6402</v>
      </c>
      <c r="D3774" t="s">
        <v>2436</v>
      </c>
      <c r="E3774" t="s">
        <v>6706</v>
      </c>
      <c r="F3774">
        <v>64.33</v>
      </c>
      <c r="H3774">
        <v>25850.6</v>
      </c>
      <c r="J3774" t="s">
        <v>2511</v>
      </c>
    </row>
    <row r="3775" spans="1:10" ht="15" customHeight="1" x14ac:dyDescent="0.2">
      <c r="A3775" s="420">
        <v>45658</v>
      </c>
      <c r="B3775" t="s">
        <v>2435</v>
      </c>
      <c r="C3775" t="s">
        <v>6402</v>
      </c>
      <c r="D3775" t="s">
        <v>2436</v>
      </c>
      <c r="E3775" t="s">
        <v>4317</v>
      </c>
      <c r="F3775">
        <v>284.27999999999997</v>
      </c>
      <c r="H3775">
        <v>26134.880000000001</v>
      </c>
      <c r="J3775" t="s">
        <v>2511</v>
      </c>
    </row>
    <row r="3776" spans="1:10" ht="15" customHeight="1" x14ac:dyDescent="0.2">
      <c r="A3776" s="420">
        <v>45658</v>
      </c>
      <c r="B3776" t="s">
        <v>2435</v>
      </c>
      <c r="C3776" t="s">
        <v>6402</v>
      </c>
      <c r="D3776" t="s">
        <v>2436</v>
      </c>
      <c r="E3776" t="s">
        <v>6707</v>
      </c>
      <c r="F3776">
        <v>1364.52</v>
      </c>
      <c r="H3776">
        <v>27499.4</v>
      </c>
      <c r="J3776" t="s">
        <v>2511</v>
      </c>
    </row>
    <row r="3777" spans="1:10" ht="15" customHeight="1" x14ac:dyDescent="0.2">
      <c r="A3777" s="420">
        <v>45658</v>
      </c>
      <c r="B3777" t="s">
        <v>2435</v>
      </c>
      <c r="C3777" t="s">
        <v>6402</v>
      </c>
      <c r="D3777" t="s">
        <v>2436</v>
      </c>
      <c r="E3777" t="s">
        <v>6708</v>
      </c>
      <c r="F3777">
        <v>1387.03</v>
      </c>
      <c r="H3777">
        <v>28886.43</v>
      </c>
      <c r="J3777" t="s">
        <v>2511</v>
      </c>
    </row>
    <row r="3778" spans="1:10" ht="15" customHeight="1" x14ac:dyDescent="0.2">
      <c r="A3778" s="420">
        <v>45658</v>
      </c>
      <c r="B3778" t="s">
        <v>2435</v>
      </c>
      <c r="C3778" t="s">
        <v>6402</v>
      </c>
      <c r="D3778" t="s">
        <v>2436</v>
      </c>
      <c r="E3778" t="s">
        <v>4305</v>
      </c>
      <c r="F3778">
        <v>288.95999999999998</v>
      </c>
      <c r="H3778">
        <v>29175.39</v>
      </c>
      <c r="J3778" t="s">
        <v>2511</v>
      </c>
    </row>
    <row r="3779" spans="1:10" ht="15" customHeight="1" x14ac:dyDescent="0.2">
      <c r="A3779" s="420">
        <v>45658</v>
      </c>
      <c r="B3779" t="s">
        <v>2435</v>
      </c>
      <c r="C3779" t="s">
        <v>6402</v>
      </c>
      <c r="D3779" t="s">
        <v>2436</v>
      </c>
      <c r="E3779" t="s">
        <v>6709</v>
      </c>
      <c r="F3779">
        <v>200</v>
      </c>
      <c r="H3779">
        <v>29375.39</v>
      </c>
      <c r="J3779" t="s">
        <v>2511</v>
      </c>
    </row>
    <row r="3780" spans="1:10" ht="15" customHeight="1" x14ac:dyDescent="0.2">
      <c r="A3780" s="420">
        <v>45658</v>
      </c>
      <c r="B3780" t="s">
        <v>2435</v>
      </c>
      <c r="C3780" t="s">
        <v>6402</v>
      </c>
      <c r="D3780" t="s">
        <v>2436</v>
      </c>
      <c r="E3780" t="s">
        <v>6710</v>
      </c>
      <c r="F3780">
        <v>10.199999999999999</v>
      </c>
      <c r="H3780">
        <v>29385.59</v>
      </c>
      <c r="J3780" t="s">
        <v>2511</v>
      </c>
    </row>
    <row r="3781" spans="1:10" ht="15" customHeight="1" x14ac:dyDescent="0.2">
      <c r="A3781" s="420">
        <v>45658</v>
      </c>
      <c r="B3781" t="s">
        <v>2435</v>
      </c>
      <c r="C3781" t="s">
        <v>6402</v>
      </c>
      <c r="D3781" t="s">
        <v>2436</v>
      </c>
      <c r="E3781" t="s">
        <v>6711</v>
      </c>
      <c r="F3781">
        <v>13.43</v>
      </c>
      <c r="H3781">
        <v>29399.02</v>
      </c>
      <c r="J3781" t="s">
        <v>2511</v>
      </c>
    </row>
    <row r="3782" spans="1:10" ht="15" customHeight="1" x14ac:dyDescent="0.2">
      <c r="A3782" s="420">
        <v>45658</v>
      </c>
      <c r="B3782" t="s">
        <v>2435</v>
      </c>
      <c r="C3782" t="s">
        <v>6402</v>
      </c>
      <c r="D3782" t="s">
        <v>2436</v>
      </c>
      <c r="E3782" t="s">
        <v>6712</v>
      </c>
      <c r="F3782">
        <v>130</v>
      </c>
      <c r="H3782">
        <v>29529.02</v>
      </c>
      <c r="J3782" t="s">
        <v>2511</v>
      </c>
    </row>
    <row r="3783" spans="1:10" ht="15" customHeight="1" x14ac:dyDescent="0.2">
      <c r="A3783" s="420">
        <v>45658</v>
      </c>
      <c r="B3783" t="s">
        <v>2435</v>
      </c>
      <c r="C3783" t="s">
        <v>6402</v>
      </c>
      <c r="D3783" t="s">
        <v>2436</v>
      </c>
      <c r="E3783" t="s">
        <v>6713</v>
      </c>
      <c r="F3783">
        <v>4</v>
      </c>
      <c r="H3783">
        <v>29533.02</v>
      </c>
      <c r="J3783" t="s">
        <v>2511</v>
      </c>
    </row>
    <row r="3784" spans="1:10" ht="15" customHeight="1" x14ac:dyDescent="0.2">
      <c r="A3784" s="420">
        <v>45658</v>
      </c>
      <c r="B3784" t="s">
        <v>2435</v>
      </c>
      <c r="C3784" t="s">
        <v>6402</v>
      </c>
      <c r="D3784" t="s">
        <v>2436</v>
      </c>
      <c r="E3784" t="s">
        <v>6714</v>
      </c>
      <c r="F3784">
        <v>3.63</v>
      </c>
      <c r="H3784">
        <v>29536.65</v>
      </c>
      <c r="J3784" t="s">
        <v>2511</v>
      </c>
    </row>
    <row r="3785" spans="1:10" ht="15" customHeight="1" x14ac:dyDescent="0.2">
      <c r="A3785" s="420">
        <v>45658</v>
      </c>
      <c r="B3785" t="s">
        <v>2435</v>
      </c>
      <c r="C3785" t="s">
        <v>6402</v>
      </c>
      <c r="D3785" t="s">
        <v>2436</v>
      </c>
      <c r="E3785" t="s">
        <v>6715</v>
      </c>
      <c r="F3785">
        <v>2.98</v>
      </c>
      <c r="H3785">
        <v>29539.63</v>
      </c>
      <c r="J3785" t="s">
        <v>2511</v>
      </c>
    </row>
    <row r="3786" spans="1:10" ht="15" customHeight="1" x14ac:dyDescent="0.2">
      <c r="A3786" s="420">
        <v>45658</v>
      </c>
      <c r="B3786" t="s">
        <v>2435</v>
      </c>
      <c r="C3786" t="s">
        <v>6402</v>
      </c>
      <c r="D3786" t="s">
        <v>2436</v>
      </c>
      <c r="E3786" t="s">
        <v>6715</v>
      </c>
      <c r="F3786">
        <v>1.1499999999999999</v>
      </c>
      <c r="H3786">
        <v>29540.78</v>
      </c>
      <c r="J3786" t="s">
        <v>2511</v>
      </c>
    </row>
    <row r="3787" spans="1:10" ht="15" customHeight="1" x14ac:dyDescent="0.2">
      <c r="A3787" s="420">
        <v>45658</v>
      </c>
      <c r="B3787" t="s">
        <v>2435</v>
      </c>
      <c r="C3787" t="s">
        <v>6402</v>
      </c>
      <c r="D3787" t="s">
        <v>2436</v>
      </c>
      <c r="E3787" t="s">
        <v>6716</v>
      </c>
      <c r="F3787">
        <v>17.489999999999998</v>
      </c>
      <c r="H3787">
        <v>29558.27</v>
      </c>
      <c r="J3787" t="s">
        <v>2511</v>
      </c>
    </row>
    <row r="3788" spans="1:10" ht="15" customHeight="1" x14ac:dyDescent="0.2">
      <c r="A3788" s="420">
        <v>45658</v>
      </c>
      <c r="B3788" t="s">
        <v>2435</v>
      </c>
      <c r="C3788" t="s">
        <v>6402</v>
      </c>
      <c r="D3788" t="s">
        <v>2436</v>
      </c>
      <c r="E3788" t="s">
        <v>6717</v>
      </c>
      <c r="F3788">
        <v>30</v>
      </c>
      <c r="H3788">
        <v>29588.27</v>
      </c>
      <c r="J3788" t="s">
        <v>2511</v>
      </c>
    </row>
    <row r="3789" spans="1:10" ht="15" customHeight="1" x14ac:dyDescent="0.2">
      <c r="A3789" s="420">
        <v>45658</v>
      </c>
      <c r="B3789" t="s">
        <v>2435</v>
      </c>
      <c r="C3789" t="s">
        <v>6402</v>
      </c>
      <c r="D3789" t="s">
        <v>2436</v>
      </c>
      <c r="E3789" t="s">
        <v>6718</v>
      </c>
      <c r="F3789">
        <v>371.26</v>
      </c>
      <c r="H3789">
        <v>29959.53</v>
      </c>
      <c r="J3789" t="s">
        <v>2511</v>
      </c>
    </row>
    <row r="3790" spans="1:10" ht="15" customHeight="1" x14ac:dyDescent="0.2">
      <c r="A3790" s="420">
        <v>45658</v>
      </c>
      <c r="B3790" t="s">
        <v>2435</v>
      </c>
      <c r="C3790" t="s">
        <v>6402</v>
      </c>
      <c r="D3790" t="s">
        <v>2436</v>
      </c>
      <c r="E3790" t="s">
        <v>6719</v>
      </c>
      <c r="F3790">
        <v>3.21</v>
      </c>
      <c r="H3790">
        <v>29962.74</v>
      </c>
      <c r="J3790" t="s">
        <v>2511</v>
      </c>
    </row>
    <row r="3791" spans="1:10" ht="15" customHeight="1" x14ac:dyDescent="0.2">
      <c r="A3791" s="420">
        <v>45658</v>
      </c>
      <c r="B3791" t="s">
        <v>2435</v>
      </c>
      <c r="C3791" t="s">
        <v>6402</v>
      </c>
      <c r="D3791" t="s">
        <v>2436</v>
      </c>
      <c r="E3791" t="s">
        <v>6720</v>
      </c>
      <c r="F3791">
        <v>26.33</v>
      </c>
      <c r="H3791">
        <v>29989.07</v>
      </c>
      <c r="J3791" t="s">
        <v>2511</v>
      </c>
    </row>
    <row r="3792" spans="1:10" ht="15" customHeight="1" x14ac:dyDescent="0.2">
      <c r="A3792" s="420">
        <v>45658</v>
      </c>
      <c r="B3792" t="s">
        <v>2435</v>
      </c>
      <c r="C3792" t="s">
        <v>6402</v>
      </c>
      <c r="D3792" t="s">
        <v>2436</v>
      </c>
      <c r="E3792" t="s">
        <v>6721</v>
      </c>
      <c r="F3792">
        <v>14.45</v>
      </c>
      <c r="H3792">
        <v>30003.52</v>
      </c>
      <c r="J3792" t="s">
        <v>2511</v>
      </c>
    </row>
    <row r="3793" spans="1:10" ht="15" customHeight="1" x14ac:dyDescent="0.2">
      <c r="A3793" s="420">
        <v>45658</v>
      </c>
      <c r="B3793" t="s">
        <v>2435</v>
      </c>
      <c r="C3793" t="s">
        <v>6402</v>
      </c>
      <c r="D3793" t="s">
        <v>2436</v>
      </c>
      <c r="E3793" t="s">
        <v>6722</v>
      </c>
      <c r="F3793">
        <v>3.45</v>
      </c>
      <c r="H3793">
        <v>30006.97</v>
      </c>
      <c r="J3793" t="s">
        <v>2511</v>
      </c>
    </row>
    <row r="3794" spans="1:10" ht="15" customHeight="1" x14ac:dyDescent="0.2">
      <c r="A3794" s="420">
        <v>45658</v>
      </c>
      <c r="B3794" t="s">
        <v>2435</v>
      </c>
      <c r="C3794" t="s">
        <v>6402</v>
      </c>
      <c r="D3794" t="s">
        <v>2436</v>
      </c>
      <c r="E3794" t="s">
        <v>6723</v>
      </c>
      <c r="F3794">
        <v>27.2</v>
      </c>
      <c r="H3794">
        <v>30034.17</v>
      </c>
      <c r="J3794" t="s">
        <v>2511</v>
      </c>
    </row>
    <row r="3795" spans="1:10" ht="15" customHeight="1" x14ac:dyDescent="0.2">
      <c r="A3795" s="420">
        <v>45658</v>
      </c>
      <c r="B3795" t="s">
        <v>2435</v>
      </c>
      <c r="C3795" t="s">
        <v>6402</v>
      </c>
      <c r="D3795" t="s">
        <v>2436</v>
      </c>
      <c r="E3795" t="s">
        <v>6724</v>
      </c>
      <c r="F3795">
        <v>3.64</v>
      </c>
      <c r="H3795">
        <v>30037.81</v>
      </c>
      <c r="J3795" t="s">
        <v>2511</v>
      </c>
    </row>
    <row r="3796" spans="1:10" ht="15" customHeight="1" x14ac:dyDescent="0.2">
      <c r="A3796" s="420">
        <v>45658</v>
      </c>
      <c r="B3796" t="s">
        <v>2435</v>
      </c>
      <c r="C3796" t="s">
        <v>6402</v>
      </c>
      <c r="D3796" t="s">
        <v>2436</v>
      </c>
      <c r="E3796" t="s">
        <v>6725</v>
      </c>
      <c r="F3796">
        <v>3.32</v>
      </c>
      <c r="H3796">
        <v>30041.13</v>
      </c>
      <c r="J3796" t="s">
        <v>2511</v>
      </c>
    </row>
    <row r="3797" spans="1:10" ht="15" customHeight="1" x14ac:dyDescent="0.2">
      <c r="A3797" s="420">
        <v>45658</v>
      </c>
      <c r="B3797" t="s">
        <v>2435</v>
      </c>
      <c r="C3797" t="s">
        <v>6402</v>
      </c>
      <c r="D3797" t="s">
        <v>2436</v>
      </c>
      <c r="E3797" t="s">
        <v>6726</v>
      </c>
      <c r="F3797">
        <v>1.34</v>
      </c>
      <c r="H3797">
        <v>30042.47</v>
      </c>
      <c r="J3797" t="s">
        <v>2511</v>
      </c>
    </row>
    <row r="3798" spans="1:10" ht="15" customHeight="1" x14ac:dyDescent="0.2">
      <c r="A3798" s="420">
        <v>45658</v>
      </c>
      <c r="B3798" t="s">
        <v>2435</v>
      </c>
      <c r="C3798" t="s">
        <v>6402</v>
      </c>
      <c r="D3798" t="s">
        <v>2436</v>
      </c>
      <c r="E3798" t="s">
        <v>6726</v>
      </c>
      <c r="F3798">
        <v>0.74</v>
      </c>
      <c r="H3798">
        <v>30043.21</v>
      </c>
      <c r="J3798" t="s">
        <v>2511</v>
      </c>
    </row>
    <row r="3799" spans="1:10" ht="15" customHeight="1" x14ac:dyDescent="0.2">
      <c r="A3799" s="420">
        <v>45658</v>
      </c>
      <c r="B3799" t="s">
        <v>2435</v>
      </c>
      <c r="C3799" t="s">
        <v>6402</v>
      </c>
      <c r="D3799" t="s">
        <v>2436</v>
      </c>
      <c r="E3799" t="s">
        <v>6727</v>
      </c>
      <c r="F3799">
        <v>15.8</v>
      </c>
      <c r="H3799">
        <v>30059.01</v>
      </c>
      <c r="J3799" t="s">
        <v>2511</v>
      </c>
    </row>
    <row r="3800" spans="1:10" ht="15" customHeight="1" x14ac:dyDescent="0.2">
      <c r="A3800" s="420">
        <v>45658</v>
      </c>
      <c r="B3800" t="s">
        <v>2435</v>
      </c>
      <c r="C3800" t="s">
        <v>6402</v>
      </c>
      <c r="D3800" t="s">
        <v>2436</v>
      </c>
      <c r="E3800" t="s">
        <v>6728</v>
      </c>
      <c r="F3800">
        <v>2.59</v>
      </c>
      <c r="H3800">
        <v>30061.599999999999</v>
      </c>
      <c r="J3800" t="s">
        <v>2511</v>
      </c>
    </row>
    <row r="3801" spans="1:10" ht="15" customHeight="1" x14ac:dyDescent="0.2">
      <c r="A3801" s="420">
        <v>45658</v>
      </c>
      <c r="B3801" t="s">
        <v>2435</v>
      </c>
      <c r="C3801" t="s">
        <v>6402</v>
      </c>
      <c r="D3801" t="s">
        <v>2436</v>
      </c>
      <c r="E3801" t="s">
        <v>6729</v>
      </c>
      <c r="F3801">
        <v>49.92</v>
      </c>
      <c r="H3801">
        <v>30111.52</v>
      </c>
      <c r="J3801" t="s">
        <v>2511</v>
      </c>
    </row>
    <row r="3802" spans="1:10" ht="15" customHeight="1" x14ac:dyDescent="0.2">
      <c r="A3802" s="420">
        <v>45658</v>
      </c>
      <c r="B3802" t="s">
        <v>2435</v>
      </c>
      <c r="C3802" t="s">
        <v>6402</v>
      </c>
      <c r="D3802" t="s">
        <v>2436</v>
      </c>
      <c r="E3802" t="s">
        <v>6730</v>
      </c>
      <c r="F3802">
        <v>30</v>
      </c>
      <c r="H3802">
        <v>30141.52</v>
      </c>
      <c r="J3802" t="s">
        <v>2511</v>
      </c>
    </row>
    <row r="3803" spans="1:10" ht="15" customHeight="1" x14ac:dyDescent="0.2">
      <c r="A3803" s="420">
        <v>45658</v>
      </c>
      <c r="B3803" t="s">
        <v>2435</v>
      </c>
      <c r="C3803" t="s">
        <v>6402</v>
      </c>
      <c r="D3803" t="s">
        <v>2436</v>
      </c>
      <c r="E3803" t="s">
        <v>6731</v>
      </c>
      <c r="F3803">
        <v>30</v>
      </c>
      <c r="H3803">
        <v>30171.52</v>
      </c>
      <c r="J3803" t="s">
        <v>2511</v>
      </c>
    </row>
    <row r="3804" spans="1:10" ht="15" customHeight="1" x14ac:dyDescent="0.2">
      <c r="A3804" s="420">
        <v>45658</v>
      </c>
      <c r="B3804" t="s">
        <v>2435</v>
      </c>
      <c r="C3804" t="s">
        <v>6402</v>
      </c>
      <c r="D3804" t="s">
        <v>2436</v>
      </c>
      <c r="E3804" t="s">
        <v>6732</v>
      </c>
      <c r="F3804">
        <v>30</v>
      </c>
      <c r="H3804">
        <v>30201.52</v>
      </c>
      <c r="J3804" t="s">
        <v>2511</v>
      </c>
    </row>
    <row r="3805" spans="1:10" ht="15" customHeight="1" x14ac:dyDescent="0.2">
      <c r="A3805" s="420">
        <v>45658</v>
      </c>
      <c r="B3805" t="s">
        <v>2435</v>
      </c>
      <c r="C3805" t="s">
        <v>6402</v>
      </c>
      <c r="D3805" t="s">
        <v>2436</v>
      </c>
      <c r="E3805" t="s">
        <v>6733</v>
      </c>
      <c r="F3805">
        <v>30</v>
      </c>
      <c r="H3805">
        <v>30231.52</v>
      </c>
      <c r="J3805" t="s">
        <v>2511</v>
      </c>
    </row>
    <row r="3806" spans="1:10" ht="15" customHeight="1" x14ac:dyDescent="0.2">
      <c r="A3806" s="420">
        <v>45658</v>
      </c>
      <c r="B3806" t="s">
        <v>2435</v>
      </c>
      <c r="C3806" t="s">
        <v>6402</v>
      </c>
      <c r="D3806" t="s">
        <v>2436</v>
      </c>
      <c r="E3806" t="s">
        <v>6734</v>
      </c>
      <c r="F3806">
        <v>30</v>
      </c>
      <c r="H3806">
        <v>30261.52</v>
      </c>
      <c r="J3806" t="s">
        <v>2511</v>
      </c>
    </row>
    <row r="3807" spans="1:10" ht="15" customHeight="1" x14ac:dyDescent="0.2">
      <c r="A3807" s="420">
        <v>45658</v>
      </c>
      <c r="B3807" t="s">
        <v>2435</v>
      </c>
      <c r="C3807" t="s">
        <v>6402</v>
      </c>
      <c r="D3807" t="s">
        <v>2436</v>
      </c>
      <c r="E3807" t="s">
        <v>6735</v>
      </c>
      <c r="F3807">
        <v>30</v>
      </c>
      <c r="H3807">
        <v>30291.52</v>
      </c>
      <c r="J3807" t="s">
        <v>2511</v>
      </c>
    </row>
    <row r="3808" spans="1:10" ht="15" customHeight="1" x14ac:dyDescent="0.2">
      <c r="A3808" s="420">
        <v>45658</v>
      </c>
      <c r="B3808" t="s">
        <v>2435</v>
      </c>
      <c r="C3808" t="s">
        <v>6402</v>
      </c>
      <c r="D3808" t="s">
        <v>2436</v>
      </c>
      <c r="E3808" t="s">
        <v>6736</v>
      </c>
      <c r="F3808">
        <v>30</v>
      </c>
      <c r="H3808">
        <v>30321.52</v>
      </c>
      <c r="J3808" t="s">
        <v>2511</v>
      </c>
    </row>
    <row r="3809" spans="1:10" ht="15" customHeight="1" x14ac:dyDescent="0.2">
      <c r="A3809" s="420">
        <v>45658</v>
      </c>
      <c r="B3809" t="s">
        <v>2435</v>
      </c>
      <c r="C3809" t="s">
        <v>6402</v>
      </c>
      <c r="D3809" t="s">
        <v>2436</v>
      </c>
      <c r="E3809" t="s">
        <v>6737</v>
      </c>
      <c r="F3809">
        <v>8.02</v>
      </c>
      <c r="H3809">
        <v>30329.54</v>
      </c>
      <c r="J3809" t="s">
        <v>2511</v>
      </c>
    </row>
    <row r="3810" spans="1:10" ht="15" customHeight="1" x14ac:dyDescent="0.2">
      <c r="A3810" s="420">
        <v>45658</v>
      </c>
      <c r="B3810" t="s">
        <v>2435</v>
      </c>
      <c r="C3810" t="s">
        <v>6402</v>
      </c>
      <c r="D3810" t="s">
        <v>2436</v>
      </c>
      <c r="E3810" t="s">
        <v>6738</v>
      </c>
      <c r="F3810">
        <v>55.4</v>
      </c>
      <c r="H3810">
        <v>30384.94</v>
      </c>
      <c r="J3810" t="s">
        <v>2511</v>
      </c>
    </row>
    <row r="3811" spans="1:10" ht="15" customHeight="1" x14ac:dyDescent="0.2">
      <c r="A3811" s="420">
        <v>45658</v>
      </c>
      <c r="B3811" t="s">
        <v>2435</v>
      </c>
      <c r="C3811" t="s">
        <v>6402</v>
      </c>
      <c r="D3811" t="s">
        <v>2436</v>
      </c>
      <c r="E3811" t="s">
        <v>6739</v>
      </c>
      <c r="F3811">
        <v>3.45</v>
      </c>
      <c r="H3811">
        <v>30388.39</v>
      </c>
      <c r="J3811" t="s">
        <v>2511</v>
      </c>
    </row>
    <row r="3812" spans="1:10" ht="15" customHeight="1" x14ac:dyDescent="0.2">
      <c r="A3812" s="420">
        <v>45658</v>
      </c>
      <c r="B3812" t="s">
        <v>2435</v>
      </c>
      <c r="C3812" t="s">
        <v>6402</v>
      </c>
      <c r="D3812" t="s">
        <v>2436</v>
      </c>
      <c r="E3812" t="s">
        <v>6739</v>
      </c>
      <c r="F3812">
        <v>1.58</v>
      </c>
      <c r="H3812">
        <v>30389.97</v>
      </c>
      <c r="J3812" t="s">
        <v>2511</v>
      </c>
    </row>
    <row r="3813" spans="1:10" ht="15" customHeight="1" x14ac:dyDescent="0.2">
      <c r="A3813" s="420">
        <v>45658</v>
      </c>
      <c r="B3813" t="s">
        <v>2435</v>
      </c>
      <c r="C3813" t="s">
        <v>6402</v>
      </c>
      <c r="D3813" t="s">
        <v>2436</v>
      </c>
      <c r="E3813" t="s">
        <v>6740</v>
      </c>
      <c r="F3813">
        <v>5.73</v>
      </c>
      <c r="H3813">
        <v>30395.7</v>
      </c>
      <c r="J3813" t="s">
        <v>2511</v>
      </c>
    </row>
    <row r="3814" spans="1:10" ht="15" customHeight="1" x14ac:dyDescent="0.2">
      <c r="A3814" s="420">
        <v>45658</v>
      </c>
      <c r="B3814" t="s">
        <v>2435</v>
      </c>
      <c r="C3814" t="s">
        <v>6402</v>
      </c>
      <c r="D3814" t="s">
        <v>2436</v>
      </c>
      <c r="E3814" t="s">
        <v>6740</v>
      </c>
      <c r="F3814">
        <v>1.05</v>
      </c>
      <c r="H3814">
        <v>30396.75</v>
      </c>
      <c r="J3814" t="s">
        <v>2511</v>
      </c>
    </row>
    <row r="3815" spans="1:10" ht="15" customHeight="1" x14ac:dyDescent="0.2">
      <c r="A3815" s="420">
        <v>45658</v>
      </c>
      <c r="B3815" t="s">
        <v>2435</v>
      </c>
      <c r="C3815" t="s">
        <v>6402</v>
      </c>
      <c r="D3815" t="s">
        <v>2436</v>
      </c>
      <c r="E3815" t="s">
        <v>6741</v>
      </c>
      <c r="F3815">
        <v>2.54</v>
      </c>
      <c r="H3815">
        <v>30399.29</v>
      </c>
      <c r="J3815" t="s">
        <v>2511</v>
      </c>
    </row>
    <row r="3816" spans="1:10" ht="15" customHeight="1" x14ac:dyDescent="0.2">
      <c r="A3816" s="420">
        <v>45658</v>
      </c>
      <c r="B3816" t="s">
        <v>2435</v>
      </c>
      <c r="C3816" t="s">
        <v>6402</v>
      </c>
      <c r="D3816" t="s">
        <v>2436</v>
      </c>
      <c r="E3816" t="s">
        <v>6741</v>
      </c>
      <c r="F3816">
        <v>0.82</v>
      </c>
      <c r="H3816">
        <v>30400.11</v>
      </c>
      <c r="J3816" t="s">
        <v>2511</v>
      </c>
    </row>
    <row r="3817" spans="1:10" ht="15" customHeight="1" x14ac:dyDescent="0.2">
      <c r="A3817" s="420">
        <v>45658</v>
      </c>
      <c r="B3817" t="s">
        <v>2435</v>
      </c>
      <c r="C3817" t="s">
        <v>6402</v>
      </c>
      <c r="D3817" t="s">
        <v>2436</v>
      </c>
      <c r="E3817" t="s">
        <v>6742</v>
      </c>
      <c r="F3817">
        <v>10.65</v>
      </c>
      <c r="H3817">
        <v>30410.76</v>
      </c>
      <c r="J3817" t="s">
        <v>2511</v>
      </c>
    </row>
    <row r="3818" spans="1:10" ht="15" customHeight="1" x14ac:dyDescent="0.2">
      <c r="A3818" s="420">
        <v>45658</v>
      </c>
      <c r="B3818" t="s">
        <v>2435</v>
      </c>
      <c r="C3818" t="s">
        <v>6402</v>
      </c>
      <c r="D3818" t="s">
        <v>2436</v>
      </c>
      <c r="E3818" t="s">
        <v>6743</v>
      </c>
      <c r="F3818">
        <v>2</v>
      </c>
      <c r="H3818">
        <v>30412.76</v>
      </c>
      <c r="J3818" t="s">
        <v>2511</v>
      </c>
    </row>
    <row r="3819" spans="1:10" ht="15" customHeight="1" x14ac:dyDescent="0.2">
      <c r="A3819" s="420">
        <v>45658</v>
      </c>
      <c r="B3819" t="s">
        <v>2435</v>
      </c>
      <c r="C3819" t="s">
        <v>6402</v>
      </c>
      <c r="D3819" t="s">
        <v>2436</v>
      </c>
      <c r="E3819" t="s">
        <v>6744</v>
      </c>
      <c r="F3819">
        <v>69.8</v>
      </c>
      <c r="H3819">
        <v>30482.560000000001</v>
      </c>
      <c r="J3819" t="s">
        <v>2511</v>
      </c>
    </row>
    <row r="3820" spans="1:10" ht="15" customHeight="1" x14ac:dyDescent="0.2">
      <c r="A3820" s="420">
        <v>45658</v>
      </c>
      <c r="B3820" t="s">
        <v>2435</v>
      </c>
      <c r="C3820" t="s">
        <v>6402</v>
      </c>
      <c r="D3820" t="s">
        <v>2436</v>
      </c>
      <c r="E3820" t="s">
        <v>6745</v>
      </c>
      <c r="F3820">
        <v>46.5</v>
      </c>
      <c r="H3820">
        <v>30529.06</v>
      </c>
      <c r="J3820" t="s">
        <v>2511</v>
      </c>
    </row>
    <row r="3821" spans="1:10" ht="15" customHeight="1" x14ac:dyDescent="0.2">
      <c r="A3821" s="420">
        <v>45658</v>
      </c>
      <c r="B3821" t="s">
        <v>2435</v>
      </c>
      <c r="C3821" t="s">
        <v>6402</v>
      </c>
      <c r="D3821" t="s">
        <v>2436</v>
      </c>
      <c r="E3821" t="s">
        <v>6746</v>
      </c>
      <c r="F3821">
        <v>2.29</v>
      </c>
      <c r="H3821">
        <v>30531.35</v>
      </c>
      <c r="J3821" t="s">
        <v>2511</v>
      </c>
    </row>
    <row r="3822" spans="1:10" ht="15" customHeight="1" x14ac:dyDescent="0.2">
      <c r="A3822" s="420">
        <v>45658</v>
      </c>
      <c r="B3822" t="s">
        <v>2435</v>
      </c>
      <c r="C3822" t="s">
        <v>6402</v>
      </c>
      <c r="D3822" t="s">
        <v>2436</v>
      </c>
      <c r="E3822" t="s">
        <v>6747</v>
      </c>
      <c r="F3822">
        <v>27.82</v>
      </c>
      <c r="H3822">
        <v>30559.17</v>
      </c>
      <c r="J3822" t="s">
        <v>2511</v>
      </c>
    </row>
    <row r="3823" spans="1:10" ht="15" customHeight="1" x14ac:dyDescent="0.2">
      <c r="A3823" s="420">
        <v>45658</v>
      </c>
      <c r="B3823" t="s">
        <v>2435</v>
      </c>
      <c r="C3823" t="s">
        <v>6402</v>
      </c>
      <c r="D3823" t="s">
        <v>2436</v>
      </c>
      <c r="E3823" t="s">
        <v>6748</v>
      </c>
      <c r="F3823">
        <v>30</v>
      </c>
      <c r="H3823">
        <v>30589.17</v>
      </c>
      <c r="J3823" t="s">
        <v>2511</v>
      </c>
    </row>
    <row r="3824" spans="1:10" ht="15" customHeight="1" x14ac:dyDescent="0.2">
      <c r="A3824" s="420">
        <v>45658</v>
      </c>
      <c r="B3824" t="s">
        <v>2435</v>
      </c>
      <c r="C3824" t="s">
        <v>6402</v>
      </c>
      <c r="D3824" t="s">
        <v>2436</v>
      </c>
      <c r="E3824" t="s">
        <v>6749</v>
      </c>
      <c r="F3824">
        <v>59.19</v>
      </c>
      <c r="H3824">
        <v>30648.36</v>
      </c>
      <c r="J3824" t="s">
        <v>2511</v>
      </c>
    </row>
    <row r="3825" spans="1:10" ht="15" customHeight="1" x14ac:dyDescent="0.2">
      <c r="A3825" s="420">
        <v>45658</v>
      </c>
      <c r="B3825" t="s">
        <v>2435</v>
      </c>
      <c r="C3825" t="s">
        <v>6402</v>
      </c>
      <c r="D3825" t="s">
        <v>2436</v>
      </c>
      <c r="E3825" t="s">
        <v>6750</v>
      </c>
      <c r="F3825">
        <v>2863.33</v>
      </c>
      <c r="H3825">
        <v>33511.69</v>
      </c>
      <c r="J3825" t="s">
        <v>2511</v>
      </c>
    </row>
    <row r="3826" spans="1:10" ht="15" customHeight="1" x14ac:dyDescent="0.2">
      <c r="A3826" s="420">
        <v>45658</v>
      </c>
      <c r="B3826" t="s">
        <v>2435</v>
      </c>
      <c r="C3826" t="s">
        <v>6402</v>
      </c>
      <c r="D3826" t="s">
        <v>2436</v>
      </c>
      <c r="E3826" t="s">
        <v>6751</v>
      </c>
      <c r="F3826">
        <v>0.17</v>
      </c>
      <c r="H3826">
        <v>33511.86</v>
      </c>
      <c r="J3826" t="s">
        <v>2511</v>
      </c>
    </row>
    <row r="3827" spans="1:10" ht="15" customHeight="1" x14ac:dyDescent="0.2">
      <c r="A3827" s="420">
        <v>45658</v>
      </c>
      <c r="B3827" t="s">
        <v>2435</v>
      </c>
      <c r="C3827" t="s">
        <v>6402</v>
      </c>
      <c r="D3827" t="s">
        <v>2436</v>
      </c>
      <c r="E3827" t="s">
        <v>6752</v>
      </c>
      <c r="F3827">
        <v>0.17</v>
      </c>
      <c r="H3827">
        <v>33512.03</v>
      </c>
      <c r="J3827" t="s">
        <v>2511</v>
      </c>
    </row>
    <row r="3828" spans="1:10" ht="15" customHeight="1" x14ac:dyDescent="0.2">
      <c r="A3828" s="420">
        <v>45658</v>
      </c>
      <c r="B3828" t="s">
        <v>2435</v>
      </c>
      <c r="C3828" t="s">
        <v>6402</v>
      </c>
      <c r="D3828" t="s">
        <v>2436</v>
      </c>
      <c r="E3828" t="s">
        <v>6753</v>
      </c>
      <c r="F3828">
        <v>0.17</v>
      </c>
      <c r="H3828">
        <v>33512.199999999997</v>
      </c>
      <c r="J3828" t="s">
        <v>2511</v>
      </c>
    </row>
    <row r="3829" spans="1:10" ht="15" customHeight="1" x14ac:dyDescent="0.2">
      <c r="A3829" s="420">
        <v>45658</v>
      </c>
      <c r="B3829" t="s">
        <v>2435</v>
      </c>
      <c r="C3829" t="s">
        <v>6402</v>
      </c>
      <c r="D3829" t="s">
        <v>2436</v>
      </c>
      <c r="E3829" t="s">
        <v>6754</v>
      </c>
      <c r="F3829">
        <v>0.17</v>
      </c>
      <c r="H3829">
        <v>33512.370000000003</v>
      </c>
      <c r="J3829" t="s">
        <v>2511</v>
      </c>
    </row>
    <row r="3830" spans="1:10" ht="15" customHeight="1" x14ac:dyDescent="0.2">
      <c r="A3830" s="420">
        <v>45658</v>
      </c>
      <c r="B3830" t="s">
        <v>2435</v>
      </c>
      <c r="C3830" t="s">
        <v>6402</v>
      </c>
      <c r="D3830" t="s">
        <v>2436</v>
      </c>
      <c r="E3830" t="s">
        <v>6755</v>
      </c>
      <c r="F3830">
        <v>0.17</v>
      </c>
      <c r="H3830">
        <v>33512.54</v>
      </c>
      <c r="J3830" t="s">
        <v>2511</v>
      </c>
    </row>
    <row r="3831" spans="1:10" ht="15" customHeight="1" x14ac:dyDescent="0.2">
      <c r="A3831" s="420">
        <v>45658</v>
      </c>
      <c r="B3831" t="s">
        <v>2435</v>
      </c>
      <c r="C3831" t="s">
        <v>6402</v>
      </c>
      <c r="D3831" t="s">
        <v>2436</v>
      </c>
      <c r="E3831" t="s">
        <v>6756</v>
      </c>
      <c r="F3831">
        <v>0.17</v>
      </c>
      <c r="H3831">
        <v>33512.71</v>
      </c>
      <c r="J3831" t="s">
        <v>2511</v>
      </c>
    </row>
    <row r="3832" spans="1:10" ht="15" customHeight="1" x14ac:dyDescent="0.2">
      <c r="A3832" s="420">
        <v>45658</v>
      </c>
      <c r="B3832" t="s">
        <v>2435</v>
      </c>
      <c r="C3832" t="s">
        <v>6402</v>
      </c>
      <c r="D3832" t="s">
        <v>2436</v>
      </c>
      <c r="E3832" t="s">
        <v>6757</v>
      </c>
      <c r="F3832">
        <v>0.17</v>
      </c>
      <c r="H3832">
        <v>33512.879999999997</v>
      </c>
      <c r="J3832" t="s">
        <v>2511</v>
      </c>
    </row>
    <row r="3833" spans="1:10" ht="15" customHeight="1" x14ac:dyDescent="0.2">
      <c r="A3833" s="420">
        <v>45658</v>
      </c>
      <c r="B3833" t="s">
        <v>2435</v>
      </c>
      <c r="C3833" t="s">
        <v>6402</v>
      </c>
      <c r="D3833" t="s">
        <v>2436</v>
      </c>
      <c r="E3833" t="s">
        <v>6758</v>
      </c>
      <c r="G3833">
        <v>6662</v>
      </c>
      <c r="H3833">
        <v>26850.880000000001</v>
      </c>
      <c r="J3833" t="s">
        <v>2511</v>
      </c>
    </row>
    <row r="3834" spans="1:10" ht="15" customHeight="1" x14ac:dyDescent="0.2">
      <c r="A3834" s="420">
        <v>45658</v>
      </c>
      <c r="B3834" t="s">
        <v>2435</v>
      </c>
      <c r="C3834" t="s">
        <v>6402</v>
      </c>
      <c r="D3834" t="s">
        <v>2436</v>
      </c>
      <c r="E3834" t="s">
        <v>6759</v>
      </c>
      <c r="G3834">
        <v>7951.98</v>
      </c>
      <c r="H3834">
        <v>18898.900000000001</v>
      </c>
      <c r="J3834" t="s">
        <v>2511</v>
      </c>
    </row>
    <row r="3835" spans="1:10" ht="15" customHeight="1" x14ac:dyDescent="0.2">
      <c r="A3835" s="420">
        <v>45658</v>
      </c>
      <c r="B3835" t="s">
        <v>2435</v>
      </c>
      <c r="C3835" t="s">
        <v>6402</v>
      </c>
      <c r="D3835" t="s">
        <v>2436</v>
      </c>
      <c r="E3835" t="s">
        <v>6759</v>
      </c>
      <c r="F3835">
        <v>7951.98</v>
      </c>
      <c r="H3835">
        <v>26850.880000000001</v>
      </c>
      <c r="J3835" t="s">
        <v>2511</v>
      </c>
    </row>
    <row r="3836" spans="1:10" ht="15" customHeight="1" x14ac:dyDescent="0.2">
      <c r="A3836" s="420">
        <v>45658</v>
      </c>
      <c r="B3836" t="s">
        <v>2435</v>
      </c>
      <c r="C3836" t="s">
        <v>6402</v>
      </c>
      <c r="D3836" t="s">
        <v>2436</v>
      </c>
      <c r="E3836" t="s">
        <v>6760</v>
      </c>
      <c r="F3836">
        <v>2322.85</v>
      </c>
      <c r="H3836">
        <v>29173.73</v>
      </c>
      <c r="J3836" t="s">
        <v>2511</v>
      </c>
    </row>
    <row r="3837" spans="1:10" ht="15" customHeight="1" x14ac:dyDescent="0.2">
      <c r="A3837" s="420">
        <v>45658</v>
      </c>
      <c r="B3837" t="s">
        <v>2435</v>
      </c>
      <c r="C3837" t="s">
        <v>6402</v>
      </c>
      <c r="D3837" t="s">
        <v>2436</v>
      </c>
      <c r="E3837" t="s">
        <v>6760</v>
      </c>
      <c r="G3837">
        <v>2322.85</v>
      </c>
      <c r="H3837">
        <v>26850.880000000001</v>
      </c>
      <c r="J3837" t="s">
        <v>2511</v>
      </c>
    </row>
    <row r="3838" spans="1:10" ht="15" customHeight="1" x14ac:dyDescent="0.2">
      <c r="A3838" s="420">
        <v>45658</v>
      </c>
      <c r="B3838" t="s">
        <v>2435</v>
      </c>
      <c r="C3838" t="s">
        <v>6402</v>
      </c>
      <c r="D3838" t="s">
        <v>2436</v>
      </c>
      <c r="E3838" t="s">
        <v>6761</v>
      </c>
      <c r="G3838">
        <v>2.17</v>
      </c>
      <c r="H3838">
        <v>26848.71</v>
      </c>
      <c r="J3838" t="s">
        <v>2511</v>
      </c>
    </row>
    <row r="3839" spans="1:10" ht="15" customHeight="1" x14ac:dyDescent="0.2">
      <c r="A3839" s="420">
        <v>45658</v>
      </c>
      <c r="B3839" t="s">
        <v>2435</v>
      </c>
      <c r="C3839" t="s">
        <v>6402</v>
      </c>
      <c r="D3839" t="s">
        <v>2436</v>
      </c>
      <c r="E3839" t="s">
        <v>6762</v>
      </c>
      <c r="F3839">
        <v>481</v>
      </c>
      <c r="H3839">
        <v>27329.71</v>
      </c>
      <c r="J3839" t="s">
        <v>2511</v>
      </c>
    </row>
    <row r="3840" spans="1:10" ht="15" customHeight="1" x14ac:dyDescent="0.2">
      <c r="A3840" s="420">
        <v>45658</v>
      </c>
      <c r="B3840" t="s">
        <v>2435</v>
      </c>
      <c r="C3840" t="s">
        <v>6402</v>
      </c>
      <c r="D3840" t="s">
        <v>2436</v>
      </c>
      <c r="E3840" t="s">
        <v>6763</v>
      </c>
      <c r="G3840">
        <v>36.5</v>
      </c>
      <c r="H3840">
        <v>27293.21</v>
      </c>
      <c r="J3840" t="s">
        <v>2511</v>
      </c>
    </row>
    <row r="3841" spans="1:10" ht="15" customHeight="1" x14ac:dyDescent="0.2">
      <c r="A3841" s="420">
        <v>45658</v>
      </c>
      <c r="B3841" t="s">
        <v>2435</v>
      </c>
      <c r="C3841" t="s">
        <v>6402</v>
      </c>
      <c r="D3841" t="s">
        <v>2436</v>
      </c>
      <c r="E3841" t="s">
        <v>6764</v>
      </c>
      <c r="G3841">
        <v>1.08</v>
      </c>
      <c r="H3841">
        <v>27292.13</v>
      </c>
      <c r="J3841" t="s">
        <v>2511</v>
      </c>
    </row>
    <row r="3842" spans="1:10" ht="15" customHeight="1" x14ac:dyDescent="0.2">
      <c r="A3842" s="420">
        <v>45658</v>
      </c>
      <c r="B3842" t="s">
        <v>2435</v>
      </c>
      <c r="C3842" t="s">
        <v>6402</v>
      </c>
      <c r="D3842" t="s">
        <v>2436</v>
      </c>
      <c r="E3842" t="s">
        <v>6765</v>
      </c>
      <c r="G3842">
        <v>162.11000000000001</v>
      </c>
      <c r="H3842">
        <v>27130.02</v>
      </c>
      <c r="J3842" t="s">
        <v>2511</v>
      </c>
    </row>
    <row r="3843" spans="1:10" ht="15" customHeight="1" x14ac:dyDescent="0.2">
      <c r="A3843" s="420">
        <v>45658</v>
      </c>
      <c r="B3843" t="s">
        <v>2435</v>
      </c>
      <c r="C3843" t="s">
        <v>6402</v>
      </c>
      <c r="D3843" t="s">
        <v>2436</v>
      </c>
      <c r="E3843" t="s">
        <v>6766</v>
      </c>
      <c r="G3843">
        <v>16.98</v>
      </c>
      <c r="H3843">
        <v>27113.040000000001</v>
      </c>
      <c r="J3843" t="s">
        <v>2511</v>
      </c>
    </row>
    <row r="3844" spans="1:10" ht="15" customHeight="1" x14ac:dyDescent="0.2">
      <c r="A3844" s="420">
        <v>45658</v>
      </c>
      <c r="B3844" t="s">
        <v>2435</v>
      </c>
      <c r="C3844" t="s">
        <v>6402</v>
      </c>
      <c r="D3844" t="s">
        <v>2436</v>
      </c>
      <c r="E3844" t="s">
        <v>6767</v>
      </c>
      <c r="G3844">
        <v>29.48</v>
      </c>
      <c r="H3844">
        <v>27083.56</v>
      </c>
      <c r="J3844" t="s">
        <v>2511</v>
      </c>
    </row>
    <row r="3845" spans="1:10" ht="15" customHeight="1" x14ac:dyDescent="0.2">
      <c r="A3845" s="420">
        <v>45658</v>
      </c>
      <c r="B3845" t="s">
        <v>2435</v>
      </c>
      <c r="C3845" t="s">
        <v>6402</v>
      </c>
      <c r="D3845" t="s">
        <v>2436</v>
      </c>
      <c r="E3845" t="s">
        <v>6768</v>
      </c>
      <c r="G3845">
        <v>60.56</v>
      </c>
      <c r="H3845">
        <v>27023</v>
      </c>
      <c r="J3845" t="s">
        <v>2511</v>
      </c>
    </row>
    <row r="3846" spans="1:10" ht="15" customHeight="1" x14ac:dyDescent="0.2">
      <c r="A3846" s="420">
        <v>45658</v>
      </c>
      <c r="B3846" t="s">
        <v>2435</v>
      </c>
      <c r="C3846" t="s">
        <v>6402</v>
      </c>
      <c r="D3846" t="s">
        <v>2436</v>
      </c>
      <c r="E3846" t="s">
        <v>6769</v>
      </c>
      <c r="F3846">
        <v>81.44</v>
      </c>
      <c r="H3846">
        <v>27104.44</v>
      </c>
      <c r="J3846" t="s">
        <v>2511</v>
      </c>
    </row>
    <row r="3847" spans="1:10" ht="15" customHeight="1" x14ac:dyDescent="0.2">
      <c r="A3847" s="420">
        <v>45658</v>
      </c>
      <c r="B3847" t="s">
        <v>2435</v>
      </c>
      <c r="C3847" t="s">
        <v>6402</v>
      </c>
      <c r="D3847" t="s">
        <v>2436</v>
      </c>
      <c r="E3847" t="s">
        <v>6770</v>
      </c>
      <c r="G3847">
        <v>8605.11</v>
      </c>
      <c r="H3847">
        <v>18499.330000000002</v>
      </c>
      <c r="J3847" t="s">
        <v>2511</v>
      </c>
    </row>
    <row r="3848" spans="1:10" ht="15" customHeight="1" x14ac:dyDescent="0.2">
      <c r="A3848" s="420">
        <v>45658</v>
      </c>
      <c r="B3848" t="s">
        <v>2435</v>
      </c>
      <c r="C3848" t="s">
        <v>6402</v>
      </c>
      <c r="D3848" t="s">
        <v>2436</v>
      </c>
      <c r="E3848" t="s">
        <v>6771</v>
      </c>
      <c r="G3848">
        <v>10.29</v>
      </c>
      <c r="H3848">
        <v>18489.04</v>
      </c>
      <c r="J3848" t="s">
        <v>2511</v>
      </c>
    </row>
    <row r="3849" spans="1:10" ht="15" customHeight="1" x14ac:dyDescent="0.2">
      <c r="A3849" s="420">
        <v>45658</v>
      </c>
      <c r="B3849" t="s">
        <v>2435</v>
      </c>
      <c r="C3849" t="s">
        <v>6402</v>
      </c>
      <c r="D3849" t="s">
        <v>2436</v>
      </c>
      <c r="E3849" t="s">
        <v>6772</v>
      </c>
      <c r="F3849">
        <v>5572.62</v>
      </c>
      <c r="H3849">
        <v>24061.66</v>
      </c>
      <c r="J3849" t="s">
        <v>2511</v>
      </c>
    </row>
    <row r="3850" spans="1:10" ht="15" customHeight="1" x14ac:dyDescent="0.2">
      <c r="A3850" s="420">
        <v>45658</v>
      </c>
      <c r="B3850" t="s">
        <v>2435</v>
      </c>
      <c r="C3850" t="s">
        <v>6402</v>
      </c>
      <c r="D3850" t="s">
        <v>2436</v>
      </c>
      <c r="E3850" t="s">
        <v>6773</v>
      </c>
      <c r="G3850">
        <v>15.97</v>
      </c>
      <c r="H3850">
        <v>24045.69</v>
      </c>
      <c r="J3850" t="s">
        <v>2511</v>
      </c>
    </row>
    <row r="3851" spans="1:10" ht="15" customHeight="1" x14ac:dyDescent="0.2">
      <c r="A3851" s="420">
        <v>45658</v>
      </c>
      <c r="B3851" t="s">
        <v>2435</v>
      </c>
      <c r="C3851" t="s">
        <v>6402</v>
      </c>
      <c r="D3851" t="s">
        <v>2436</v>
      </c>
      <c r="E3851" t="s">
        <v>6774</v>
      </c>
      <c r="G3851">
        <v>43.68</v>
      </c>
      <c r="H3851">
        <v>24002.01</v>
      </c>
      <c r="J3851" t="s">
        <v>2511</v>
      </c>
    </row>
    <row r="3852" spans="1:10" ht="15" customHeight="1" x14ac:dyDescent="0.2">
      <c r="A3852" s="420">
        <v>45658</v>
      </c>
      <c r="B3852" t="s">
        <v>2435</v>
      </c>
      <c r="C3852" t="s">
        <v>6402</v>
      </c>
      <c r="D3852" t="s">
        <v>2436</v>
      </c>
      <c r="E3852" t="s">
        <v>6775</v>
      </c>
      <c r="G3852">
        <v>12.71</v>
      </c>
      <c r="H3852">
        <v>23989.3</v>
      </c>
      <c r="J3852" t="s">
        <v>2511</v>
      </c>
    </row>
    <row r="3853" spans="1:10" ht="15" customHeight="1" x14ac:dyDescent="0.2">
      <c r="A3853" s="420">
        <v>45658</v>
      </c>
      <c r="B3853" t="s">
        <v>2435</v>
      </c>
      <c r="C3853" t="s">
        <v>6402</v>
      </c>
      <c r="D3853" t="s">
        <v>2436</v>
      </c>
      <c r="E3853" t="s">
        <v>6776</v>
      </c>
      <c r="G3853">
        <v>5539.45</v>
      </c>
      <c r="H3853">
        <v>18449.849999999999</v>
      </c>
      <c r="J3853" t="s">
        <v>2511</v>
      </c>
    </row>
    <row r="3854" spans="1:10" ht="15" customHeight="1" x14ac:dyDescent="0.2">
      <c r="A3854" s="420">
        <v>45658</v>
      </c>
      <c r="B3854" t="s">
        <v>2435</v>
      </c>
      <c r="C3854" t="s">
        <v>6402</v>
      </c>
      <c r="D3854" t="s">
        <v>2436</v>
      </c>
      <c r="E3854" t="s">
        <v>6777</v>
      </c>
      <c r="F3854">
        <v>2322.85</v>
      </c>
      <c r="H3854">
        <v>20772.7</v>
      </c>
      <c r="J3854" t="s">
        <v>2511</v>
      </c>
    </row>
    <row r="3855" spans="1:10" ht="15" customHeight="1" x14ac:dyDescent="0.2">
      <c r="A3855" s="420">
        <v>45658</v>
      </c>
      <c r="B3855" t="s">
        <v>2435</v>
      </c>
      <c r="C3855" t="s">
        <v>6402</v>
      </c>
      <c r="D3855" t="s">
        <v>2436</v>
      </c>
      <c r="E3855" t="s">
        <v>6778</v>
      </c>
      <c r="G3855">
        <v>36.049999999999997</v>
      </c>
      <c r="H3855">
        <v>20736.650000000001</v>
      </c>
      <c r="J3855" t="s">
        <v>2511</v>
      </c>
    </row>
    <row r="3856" spans="1:10" ht="15" customHeight="1" x14ac:dyDescent="0.2">
      <c r="A3856" s="420">
        <v>45658</v>
      </c>
      <c r="B3856" t="s">
        <v>2435</v>
      </c>
      <c r="C3856" t="s">
        <v>6402</v>
      </c>
      <c r="D3856" t="s">
        <v>2436</v>
      </c>
      <c r="E3856" t="s">
        <v>6779</v>
      </c>
      <c r="G3856">
        <v>1.08</v>
      </c>
      <c r="H3856">
        <v>20735.57</v>
      </c>
      <c r="J3856" t="s">
        <v>2511</v>
      </c>
    </row>
    <row r="3857" spans="1:10" ht="15" customHeight="1" x14ac:dyDescent="0.2">
      <c r="A3857" s="420">
        <v>45658</v>
      </c>
      <c r="B3857" t="s">
        <v>2435</v>
      </c>
      <c r="C3857" t="s">
        <v>6402</v>
      </c>
      <c r="D3857" t="s">
        <v>2436</v>
      </c>
      <c r="E3857" t="s">
        <v>6780</v>
      </c>
      <c r="G3857">
        <v>340.1</v>
      </c>
      <c r="H3857">
        <v>20395.47</v>
      </c>
      <c r="J3857" t="s">
        <v>2511</v>
      </c>
    </row>
    <row r="3858" spans="1:10" ht="15" customHeight="1" x14ac:dyDescent="0.2">
      <c r="A3858" s="420">
        <v>45658</v>
      </c>
      <c r="B3858" t="s">
        <v>2435</v>
      </c>
      <c r="C3858" t="s">
        <v>6402</v>
      </c>
      <c r="D3858" t="s">
        <v>2436</v>
      </c>
      <c r="E3858" t="s">
        <v>6781</v>
      </c>
      <c r="G3858">
        <v>24.96</v>
      </c>
      <c r="H3858">
        <v>20370.509999999998</v>
      </c>
      <c r="J3858" t="s">
        <v>2511</v>
      </c>
    </row>
    <row r="3859" spans="1:10" ht="15" customHeight="1" x14ac:dyDescent="0.2">
      <c r="A3859" s="420">
        <v>45658</v>
      </c>
      <c r="B3859" t="s">
        <v>2435</v>
      </c>
      <c r="C3859" t="s">
        <v>6402</v>
      </c>
      <c r="D3859" t="s">
        <v>2436</v>
      </c>
      <c r="E3859" t="s">
        <v>6782</v>
      </c>
      <c r="G3859">
        <v>19.21</v>
      </c>
      <c r="H3859">
        <v>20351.3</v>
      </c>
      <c r="J3859" t="s">
        <v>2511</v>
      </c>
    </row>
    <row r="3860" spans="1:10" ht="15" customHeight="1" x14ac:dyDescent="0.2">
      <c r="A3860" s="420">
        <v>45658</v>
      </c>
      <c r="B3860" t="s">
        <v>2435</v>
      </c>
      <c r="C3860" t="s">
        <v>6402</v>
      </c>
      <c r="D3860" t="s">
        <v>2436</v>
      </c>
      <c r="E3860" t="s">
        <v>6783</v>
      </c>
      <c r="G3860">
        <v>32.29</v>
      </c>
      <c r="H3860">
        <v>20319.009999999998</v>
      </c>
      <c r="J3860" t="s">
        <v>2511</v>
      </c>
    </row>
    <row r="3861" spans="1:10" ht="15" customHeight="1" x14ac:dyDescent="0.2">
      <c r="A3861" s="420">
        <v>45658</v>
      </c>
      <c r="B3861" t="s">
        <v>2435</v>
      </c>
      <c r="C3861" t="s">
        <v>6402</v>
      </c>
      <c r="D3861" t="s">
        <v>2436</v>
      </c>
      <c r="E3861" t="s">
        <v>6784</v>
      </c>
      <c r="F3861">
        <v>3606.62</v>
      </c>
      <c r="H3861">
        <v>23925.63</v>
      </c>
      <c r="J3861" t="s">
        <v>2511</v>
      </c>
    </row>
    <row r="3862" spans="1:10" ht="15" customHeight="1" x14ac:dyDescent="0.2">
      <c r="A3862" s="420">
        <v>45658</v>
      </c>
      <c r="B3862" t="s">
        <v>2435</v>
      </c>
      <c r="C3862" t="s">
        <v>6402</v>
      </c>
      <c r="D3862" t="s">
        <v>2436</v>
      </c>
      <c r="E3862" t="s">
        <v>6785</v>
      </c>
      <c r="G3862">
        <v>36.119999999999997</v>
      </c>
      <c r="H3862">
        <v>23889.51</v>
      </c>
      <c r="J3862" t="s">
        <v>2511</v>
      </c>
    </row>
    <row r="3863" spans="1:10" ht="15" customHeight="1" x14ac:dyDescent="0.2">
      <c r="A3863" s="420">
        <v>45658</v>
      </c>
      <c r="B3863" t="s">
        <v>2435</v>
      </c>
      <c r="C3863" t="s">
        <v>6402</v>
      </c>
      <c r="D3863" t="s">
        <v>2436</v>
      </c>
      <c r="E3863" t="s">
        <v>6786</v>
      </c>
      <c r="G3863">
        <v>1.08</v>
      </c>
      <c r="H3863">
        <v>23888.43</v>
      </c>
      <c r="J3863" t="s">
        <v>2511</v>
      </c>
    </row>
    <row r="3864" spans="1:10" ht="15" customHeight="1" x14ac:dyDescent="0.2">
      <c r="A3864" s="420">
        <v>45658</v>
      </c>
      <c r="B3864" t="s">
        <v>2435</v>
      </c>
      <c r="C3864" t="s">
        <v>6402</v>
      </c>
      <c r="D3864" t="s">
        <v>2436</v>
      </c>
      <c r="E3864" t="s">
        <v>6787</v>
      </c>
      <c r="G3864">
        <v>264.94</v>
      </c>
      <c r="H3864">
        <v>23623.49</v>
      </c>
      <c r="J3864" t="s">
        <v>2511</v>
      </c>
    </row>
    <row r="3865" spans="1:10" ht="15" customHeight="1" x14ac:dyDescent="0.2">
      <c r="A3865" s="420">
        <v>45658</v>
      </c>
      <c r="B3865" t="s">
        <v>2435</v>
      </c>
      <c r="C3865" t="s">
        <v>6402</v>
      </c>
      <c r="D3865" t="s">
        <v>2436</v>
      </c>
      <c r="E3865" t="s">
        <v>6788</v>
      </c>
      <c r="G3865">
        <v>20.29</v>
      </c>
      <c r="H3865">
        <v>23603.200000000001</v>
      </c>
      <c r="J3865" t="s">
        <v>2511</v>
      </c>
    </row>
    <row r="3866" spans="1:10" ht="15" customHeight="1" x14ac:dyDescent="0.2">
      <c r="A3866" s="420">
        <v>45658</v>
      </c>
      <c r="B3866" t="s">
        <v>2435</v>
      </c>
      <c r="C3866" t="s">
        <v>6402</v>
      </c>
      <c r="D3866" t="s">
        <v>2436</v>
      </c>
      <c r="E3866" t="s">
        <v>6789</v>
      </c>
      <c r="G3866">
        <v>17</v>
      </c>
      <c r="H3866">
        <v>23586.2</v>
      </c>
      <c r="J3866" t="s">
        <v>2511</v>
      </c>
    </row>
    <row r="3867" spans="1:10" ht="15" customHeight="1" x14ac:dyDescent="0.2">
      <c r="A3867" s="420">
        <v>45658</v>
      </c>
      <c r="B3867" t="s">
        <v>2435</v>
      </c>
      <c r="C3867" t="s">
        <v>6402</v>
      </c>
      <c r="D3867" t="s">
        <v>2436</v>
      </c>
      <c r="E3867" t="s">
        <v>6790</v>
      </c>
      <c r="G3867">
        <v>2394.73</v>
      </c>
      <c r="H3867">
        <v>21191.47</v>
      </c>
      <c r="J3867" t="s">
        <v>2511</v>
      </c>
    </row>
    <row r="3868" spans="1:10" ht="15" customHeight="1" x14ac:dyDescent="0.2">
      <c r="A3868" s="420">
        <v>45658</v>
      </c>
      <c r="B3868" t="s">
        <v>2435</v>
      </c>
      <c r="C3868" t="s">
        <v>6402</v>
      </c>
      <c r="D3868" t="s">
        <v>2436</v>
      </c>
      <c r="E3868" t="s">
        <v>6791</v>
      </c>
      <c r="G3868">
        <v>15.33</v>
      </c>
      <c r="H3868">
        <v>21176.14</v>
      </c>
      <c r="J3868" t="s">
        <v>2511</v>
      </c>
    </row>
    <row r="3869" spans="1:10" ht="15" customHeight="1" x14ac:dyDescent="0.2">
      <c r="A3869" s="420">
        <v>45658</v>
      </c>
      <c r="B3869" t="s">
        <v>2435</v>
      </c>
      <c r="C3869" t="s">
        <v>6402</v>
      </c>
      <c r="D3869" t="s">
        <v>2436</v>
      </c>
      <c r="E3869" t="s">
        <v>6792</v>
      </c>
      <c r="G3869">
        <v>10.9</v>
      </c>
      <c r="H3869">
        <v>21165.24</v>
      </c>
      <c r="J3869" t="s">
        <v>2511</v>
      </c>
    </row>
    <row r="3870" spans="1:10" ht="15" customHeight="1" x14ac:dyDescent="0.2">
      <c r="A3870" s="420">
        <v>45658</v>
      </c>
      <c r="B3870" t="s">
        <v>2435</v>
      </c>
      <c r="C3870" t="s">
        <v>6402</v>
      </c>
      <c r="D3870" t="s">
        <v>2436</v>
      </c>
      <c r="E3870" t="s">
        <v>6793</v>
      </c>
      <c r="G3870">
        <v>161.08000000000001</v>
      </c>
      <c r="H3870">
        <v>21004.16</v>
      </c>
      <c r="J3870" t="s">
        <v>2511</v>
      </c>
    </row>
    <row r="3871" spans="1:10" ht="15" customHeight="1" x14ac:dyDescent="0.2">
      <c r="A3871" s="420">
        <v>45658</v>
      </c>
      <c r="B3871" t="s">
        <v>2435</v>
      </c>
      <c r="C3871" t="s">
        <v>6402</v>
      </c>
      <c r="D3871" t="s">
        <v>2436</v>
      </c>
      <c r="E3871" t="s">
        <v>6794</v>
      </c>
      <c r="G3871">
        <v>47.12</v>
      </c>
      <c r="H3871">
        <v>20957.04</v>
      </c>
      <c r="J3871" t="s">
        <v>2511</v>
      </c>
    </row>
    <row r="3872" spans="1:10" ht="15" customHeight="1" x14ac:dyDescent="0.2">
      <c r="A3872" s="420">
        <v>45658</v>
      </c>
      <c r="B3872" t="s">
        <v>2435</v>
      </c>
      <c r="C3872" t="s">
        <v>6402</v>
      </c>
      <c r="D3872" t="s">
        <v>2436</v>
      </c>
      <c r="E3872" t="s">
        <v>6795</v>
      </c>
      <c r="G3872">
        <v>53.91</v>
      </c>
      <c r="H3872">
        <v>20903.13</v>
      </c>
      <c r="J3872" t="s">
        <v>2511</v>
      </c>
    </row>
    <row r="3873" spans="1:10" ht="15" customHeight="1" x14ac:dyDescent="0.2">
      <c r="A3873" s="420">
        <v>45658</v>
      </c>
      <c r="B3873" t="s">
        <v>2435</v>
      </c>
      <c r="C3873" t="s">
        <v>6402</v>
      </c>
      <c r="D3873" t="s">
        <v>2436</v>
      </c>
      <c r="E3873" t="s">
        <v>6796</v>
      </c>
      <c r="G3873">
        <v>3691.36</v>
      </c>
      <c r="H3873">
        <v>17211.77</v>
      </c>
      <c r="J3873" t="s">
        <v>2511</v>
      </c>
    </row>
    <row r="3874" spans="1:10" ht="15" customHeight="1" x14ac:dyDescent="0.2">
      <c r="A3874" s="420">
        <v>45658</v>
      </c>
      <c r="B3874" t="s">
        <v>2435</v>
      </c>
      <c r="C3874" t="s">
        <v>6402</v>
      </c>
      <c r="D3874" t="s">
        <v>2436</v>
      </c>
      <c r="E3874" t="s">
        <v>6797</v>
      </c>
      <c r="G3874">
        <v>14.38</v>
      </c>
      <c r="H3874">
        <v>17197.39</v>
      </c>
      <c r="J3874" t="s">
        <v>2511</v>
      </c>
    </row>
    <row r="3875" spans="1:10" ht="15" customHeight="1" x14ac:dyDescent="0.2">
      <c r="A3875" s="420">
        <v>45658</v>
      </c>
      <c r="B3875" t="s">
        <v>2435</v>
      </c>
      <c r="C3875" t="s">
        <v>6402</v>
      </c>
      <c r="D3875" t="s">
        <v>2436</v>
      </c>
      <c r="E3875" t="s">
        <v>6798</v>
      </c>
      <c r="G3875">
        <v>4.1900000000000004</v>
      </c>
      <c r="H3875">
        <v>17193.2</v>
      </c>
      <c r="J3875" t="s">
        <v>2511</v>
      </c>
    </row>
    <row r="3876" spans="1:10" ht="15" customHeight="1" x14ac:dyDescent="0.2">
      <c r="A3876" s="420">
        <v>45658</v>
      </c>
      <c r="B3876" t="s">
        <v>2435</v>
      </c>
      <c r="C3876" t="s">
        <v>6402</v>
      </c>
      <c r="D3876" t="s">
        <v>2436</v>
      </c>
      <c r="E3876" t="s">
        <v>6799</v>
      </c>
      <c r="G3876">
        <v>192.48</v>
      </c>
      <c r="H3876">
        <v>17000.72</v>
      </c>
      <c r="J3876" t="s">
        <v>2511</v>
      </c>
    </row>
    <row r="3877" spans="1:10" ht="15" customHeight="1" x14ac:dyDescent="0.2">
      <c r="A3877" s="420">
        <v>45658</v>
      </c>
      <c r="B3877" t="s">
        <v>2435</v>
      </c>
      <c r="C3877" t="s">
        <v>6402</v>
      </c>
      <c r="D3877" t="s">
        <v>2436</v>
      </c>
      <c r="E3877" t="s">
        <v>6800</v>
      </c>
      <c r="G3877">
        <v>12.54</v>
      </c>
      <c r="H3877">
        <v>16988.18</v>
      </c>
      <c r="J3877" t="s">
        <v>2511</v>
      </c>
    </row>
    <row r="3878" spans="1:10" ht="15" customHeight="1" x14ac:dyDescent="0.2">
      <c r="A3878" s="420">
        <v>45658</v>
      </c>
      <c r="B3878" t="s">
        <v>2435</v>
      </c>
      <c r="C3878" t="s">
        <v>6402</v>
      </c>
      <c r="D3878" t="s">
        <v>2436</v>
      </c>
      <c r="E3878" t="s">
        <v>6801</v>
      </c>
      <c r="F3878">
        <v>17</v>
      </c>
      <c r="H3878">
        <v>17005.18</v>
      </c>
      <c r="J3878" t="s">
        <v>2511</v>
      </c>
    </row>
    <row r="3879" spans="1:10" ht="15" customHeight="1" x14ac:dyDescent="0.2">
      <c r="A3879" s="420">
        <v>45658</v>
      </c>
      <c r="B3879" t="s">
        <v>2435</v>
      </c>
      <c r="C3879" t="s">
        <v>6402</v>
      </c>
      <c r="D3879" t="s">
        <v>2436</v>
      </c>
      <c r="E3879" t="s">
        <v>6802</v>
      </c>
      <c r="G3879">
        <v>3499.33</v>
      </c>
      <c r="H3879">
        <v>13505.85</v>
      </c>
      <c r="J3879" t="s">
        <v>2511</v>
      </c>
    </row>
    <row r="3880" spans="1:10" ht="15" customHeight="1" x14ac:dyDescent="0.2">
      <c r="A3880" s="420">
        <v>45658</v>
      </c>
      <c r="B3880" t="s">
        <v>2435</v>
      </c>
      <c r="C3880" t="s">
        <v>6402</v>
      </c>
      <c r="D3880" t="s">
        <v>2436</v>
      </c>
      <c r="E3880" t="s">
        <v>6803</v>
      </c>
      <c r="G3880">
        <v>64.150000000000006</v>
      </c>
      <c r="H3880">
        <v>13441.7</v>
      </c>
      <c r="J3880" t="s">
        <v>2511</v>
      </c>
    </row>
    <row r="3881" spans="1:10" ht="15" customHeight="1" x14ac:dyDescent="0.2">
      <c r="A3881" s="420">
        <v>45658</v>
      </c>
      <c r="B3881" t="s">
        <v>2435</v>
      </c>
      <c r="C3881" t="s">
        <v>6402</v>
      </c>
      <c r="D3881" t="s">
        <v>2436</v>
      </c>
      <c r="E3881" t="s">
        <v>6804</v>
      </c>
      <c r="G3881">
        <v>4.79</v>
      </c>
      <c r="H3881">
        <v>13436.91</v>
      </c>
      <c r="J3881" t="s">
        <v>2511</v>
      </c>
    </row>
    <row r="3882" spans="1:10" ht="15" customHeight="1" x14ac:dyDescent="0.2">
      <c r="A3882" s="420">
        <v>45658</v>
      </c>
      <c r="B3882" t="s">
        <v>2435</v>
      </c>
      <c r="C3882" t="s">
        <v>6402</v>
      </c>
      <c r="D3882" t="s">
        <v>2436</v>
      </c>
      <c r="E3882" t="s">
        <v>6805</v>
      </c>
      <c r="G3882">
        <v>304.39</v>
      </c>
      <c r="H3882">
        <v>13132.52</v>
      </c>
      <c r="J3882" t="s">
        <v>2511</v>
      </c>
    </row>
    <row r="3883" spans="1:10" ht="15" customHeight="1" x14ac:dyDescent="0.2">
      <c r="A3883" s="420">
        <v>45658</v>
      </c>
      <c r="B3883" t="s">
        <v>2435</v>
      </c>
      <c r="C3883" t="s">
        <v>6402</v>
      </c>
      <c r="D3883" t="s">
        <v>2436</v>
      </c>
      <c r="E3883" t="s">
        <v>6806</v>
      </c>
      <c r="G3883">
        <v>18.670000000000002</v>
      </c>
      <c r="H3883">
        <v>13113.85</v>
      </c>
      <c r="J3883" t="s">
        <v>2511</v>
      </c>
    </row>
    <row r="3884" spans="1:10" ht="15" customHeight="1" x14ac:dyDescent="0.2">
      <c r="A3884" s="420">
        <v>45658</v>
      </c>
      <c r="B3884" t="s">
        <v>2435</v>
      </c>
      <c r="C3884" t="s">
        <v>6402</v>
      </c>
      <c r="D3884" t="s">
        <v>2436</v>
      </c>
      <c r="E3884" t="s">
        <v>6807</v>
      </c>
      <c r="G3884">
        <v>5767.99</v>
      </c>
      <c r="H3884">
        <v>7345.86</v>
      </c>
      <c r="J3884" t="s">
        <v>2511</v>
      </c>
    </row>
    <row r="3885" spans="1:10" ht="15" customHeight="1" x14ac:dyDescent="0.2">
      <c r="A3885" s="420">
        <v>45658</v>
      </c>
      <c r="B3885" t="s">
        <v>2435</v>
      </c>
      <c r="C3885" t="s">
        <v>6402</v>
      </c>
      <c r="D3885" t="s">
        <v>2436</v>
      </c>
      <c r="E3885" t="s">
        <v>6808</v>
      </c>
      <c r="G3885">
        <v>513.41999999999996</v>
      </c>
      <c r="H3885">
        <v>6832.44</v>
      </c>
      <c r="J3885" t="s">
        <v>2511</v>
      </c>
    </row>
    <row r="3886" spans="1:10" ht="15" customHeight="1" x14ac:dyDescent="0.2">
      <c r="A3886" s="420">
        <v>45658</v>
      </c>
      <c r="B3886" t="s">
        <v>2435</v>
      </c>
      <c r="C3886" t="s">
        <v>6402</v>
      </c>
      <c r="D3886" t="s">
        <v>2436</v>
      </c>
      <c r="E3886" t="s">
        <v>6809</v>
      </c>
      <c r="G3886">
        <v>3.34</v>
      </c>
      <c r="H3886">
        <v>6829.1</v>
      </c>
      <c r="J3886" t="s">
        <v>2511</v>
      </c>
    </row>
    <row r="3887" spans="1:10" ht="15" customHeight="1" x14ac:dyDescent="0.2">
      <c r="A3887" s="420">
        <v>45658</v>
      </c>
      <c r="B3887" t="s">
        <v>2435</v>
      </c>
      <c r="C3887" t="s">
        <v>6402</v>
      </c>
      <c r="D3887" t="s">
        <v>2436</v>
      </c>
      <c r="E3887" t="s">
        <v>6810</v>
      </c>
      <c r="G3887">
        <v>202.45</v>
      </c>
      <c r="H3887">
        <v>6626.65</v>
      </c>
      <c r="J3887" t="s">
        <v>2511</v>
      </c>
    </row>
    <row r="3888" spans="1:10" ht="15" customHeight="1" x14ac:dyDescent="0.2">
      <c r="A3888" s="420">
        <v>45658</v>
      </c>
      <c r="B3888" t="s">
        <v>2435</v>
      </c>
      <c r="C3888" t="s">
        <v>6402</v>
      </c>
      <c r="D3888" t="s">
        <v>2436</v>
      </c>
      <c r="E3888" t="s">
        <v>6811</v>
      </c>
      <c r="G3888">
        <v>13.95</v>
      </c>
      <c r="H3888">
        <v>6612.7</v>
      </c>
      <c r="J3888" t="s">
        <v>2511</v>
      </c>
    </row>
    <row r="3889" spans="1:10" ht="15" customHeight="1" x14ac:dyDescent="0.2">
      <c r="A3889" s="420">
        <v>45658</v>
      </c>
      <c r="B3889" t="s">
        <v>2435</v>
      </c>
      <c r="C3889" t="s">
        <v>6402</v>
      </c>
      <c r="D3889" t="s">
        <v>2436</v>
      </c>
      <c r="E3889" t="s">
        <v>6812</v>
      </c>
      <c r="G3889">
        <v>2.59</v>
      </c>
      <c r="H3889">
        <v>6610.11</v>
      </c>
      <c r="J3889" t="s">
        <v>2511</v>
      </c>
    </row>
    <row r="3890" spans="1:10" ht="15" customHeight="1" x14ac:dyDescent="0.2">
      <c r="A3890" s="420">
        <v>45658</v>
      </c>
      <c r="B3890" t="s">
        <v>2435</v>
      </c>
      <c r="C3890" t="s">
        <v>6402</v>
      </c>
      <c r="D3890" t="s">
        <v>2436</v>
      </c>
      <c r="E3890" t="s">
        <v>6813</v>
      </c>
      <c r="G3890">
        <v>2006.11</v>
      </c>
      <c r="H3890">
        <v>4604</v>
      </c>
      <c r="J3890" t="s">
        <v>2511</v>
      </c>
    </row>
    <row r="3891" spans="1:10" ht="15" customHeight="1" x14ac:dyDescent="0.2">
      <c r="A3891" s="420">
        <v>45658</v>
      </c>
      <c r="B3891" t="s">
        <v>2435</v>
      </c>
      <c r="C3891" t="s">
        <v>6402</v>
      </c>
      <c r="D3891" t="s">
        <v>2436</v>
      </c>
      <c r="E3891" t="s">
        <v>6814</v>
      </c>
      <c r="F3891">
        <v>69.8</v>
      </c>
      <c r="H3891">
        <v>4673.8</v>
      </c>
      <c r="J3891" t="s">
        <v>2511</v>
      </c>
    </row>
    <row r="3892" spans="1:10" ht="15" customHeight="1" x14ac:dyDescent="0.2">
      <c r="A3892" s="420">
        <v>45658</v>
      </c>
      <c r="B3892" t="s">
        <v>2435</v>
      </c>
      <c r="C3892" t="s">
        <v>6402</v>
      </c>
      <c r="D3892" t="s">
        <v>2436</v>
      </c>
      <c r="E3892" t="s">
        <v>6815</v>
      </c>
      <c r="F3892">
        <v>130</v>
      </c>
      <c r="H3892">
        <v>4803.8</v>
      </c>
      <c r="J3892" t="s">
        <v>2511</v>
      </c>
    </row>
    <row r="3893" spans="1:10" ht="15" customHeight="1" x14ac:dyDescent="0.2">
      <c r="A3893" s="420">
        <v>45658</v>
      </c>
      <c r="B3893" t="s">
        <v>2435</v>
      </c>
      <c r="C3893" t="s">
        <v>6402</v>
      </c>
      <c r="D3893" t="s">
        <v>2436</v>
      </c>
      <c r="E3893" t="s">
        <v>6816</v>
      </c>
      <c r="F3893">
        <v>463.25</v>
      </c>
      <c r="H3893">
        <v>5267.05</v>
      </c>
      <c r="J3893" t="s">
        <v>2511</v>
      </c>
    </row>
    <row r="3894" spans="1:10" ht="15" customHeight="1" x14ac:dyDescent="0.2">
      <c r="A3894" s="420">
        <v>45658</v>
      </c>
      <c r="B3894" t="s">
        <v>2435</v>
      </c>
      <c r="C3894" t="s">
        <v>6402</v>
      </c>
      <c r="D3894" t="s">
        <v>2436</v>
      </c>
      <c r="E3894" t="s">
        <v>6817</v>
      </c>
      <c r="F3894">
        <v>200</v>
      </c>
      <c r="H3894">
        <v>5467.05</v>
      </c>
      <c r="J3894" t="s">
        <v>2511</v>
      </c>
    </row>
    <row r="3895" spans="1:10" ht="15" customHeight="1" x14ac:dyDescent="0.2">
      <c r="A3895" s="420">
        <v>45658</v>
      </c>
      <c r="B3895" t="s">
        <v>2435</v>
      </c>
      <c r="C3895" t="s">
        <v>6402</v>
      </c>
      <c r="D3895" t="s">
        <v>2436</v>
      </c>
      <c r="E3895" t="s">
        <v>6818</v>
      </c>
      <c r="F3895">
        <v>4.1100000000000003</v>
      </c>
      <c r="H3895">
        <v>5471.16</v>
      </c>
      <c r="J3895" t="s">
        <v>2511</v>
      </c>
    </row>
    <row r="3896" spans="1:10" ht="15" customHeight="1" x14ac:dyDescent="0.2">
      <c r="A3896" s="420">
        <v>45658</v>
      </c>
      <c r="B3896" t="s">
        <v>2435</v>
      </c>
      <c r="C3896" t="s">
        <v>6402</v>
      </c>
      <c r="D3896" t="s">
        <v>2436</v>
      </c>
      <c r="E3896" t="s">
        <v>6819</v>
      </c>
      <c r="F3896">
        <v>55.4</v>
      </c>
      <c r="H3896">
        <v>5526.56</v>
      </c>
      <c r="J3896" t="s">
        <v>2511</v>
      </c>
    </row>
    <row r="3897" spans="1:10" ht="15" customHeight="1" x14ac:dyDescent="0.2">
      <c r="A3897" s="420">
        <v>45658</v>
      </c>
      <c r="B3897" t="s">
        <v>2435</v>
      </c>
      <c r="C3897" t="s">
        <v>6402</v>
      </c>
      <c r="D3897" t="s">
        <v>2436</v>
      </c>
      <c r="E3897" t="s">
        <v>6820</v>
      </c>
      <c r="F3897">
        <v>20</v>
      </c>
      <c r="H3897">
        <v>5546.56</v>
      </c>
      <c r="J3897" t="s">
        <v>2511</v>
      </c>
    </row>
    <row r="3898" spans="1:10" ht="15" customHeight="1" x14ac:dyDescent="0.2">
      <c r="A3898" s="420">
        <v>45658</v>
      </c>
      <c r="B3898" t="s">
        <v>2435</v>
      </c>
      <c r="C3898" t="s">
        <v>6402</v>
      </c>
      <c r="D3898" t="s">
        <v>2436</v>
      </c>
      <c r="E3898" t="s">
        <v>6821</v>
      </c>
      <c r="F3898">
        <v>27.2</v>
      </c>
      <c r="H3898">
        <v>5573.76</v>
      </c>
      <c r="J3898" t="s">
        <v>2511</v>
      </c>
    </row>
    <row r="3899" spans="1:10" ht="15" customHeight="1" x14ac:dyDescent="0.2">
      <c r="A3899" s="420">
        <v>45658</v>
      </c>
      <c r="B3899" t="s">
        <v>2435</v>
      </c>
      <c r="C3899" t="s">
        <v>6402</v>
      </c>
      <c r="D3899" t="s">
        <v>2436</v>
      </c>
      <c r="E3899" t="s">
        <v>6822</v>
      </c>
      <c r="F3899">
        <v>4.01</v>
      </c>
      <c r="H3899">
        <v>5577.77</v>
      </c>
      <c r="J3899" t="s">
        <v>2511</v>
      </c>
    </row>
    <row r="3900" spans="1:10" ht="15" customHeight="1" x14ac:dyDescent="0.2">
      <c r="A3900" s="420">
        <v>45658</v>
      </c>
      <c r="B3900" t="s">
        <v>2435</v>
      </c>
      <c r="C3900" t="s">
        <v>6402</v>
      </c>
      <c r="D3900" t="s">
        <v>2436</v>
      </c>
      <c r="E3900" t="s">
        <v>6823</v>
      </c>
      <c r="F3900">
        <v>10.199999999999999</v>
      </c>
      <c r="H3900">
        <v>5587.97</v>
      </c>
      <c r="J3900" t="s">
        <v>2511</v>
      </c>
    </row>
    <row r="3901" spans="1:10" ht="15" customHeight="1" x14ac:dyDescent="0.2">
      <c r="A3901" s="420">
        <v>45658</v>
      </c>
      <c r="B3901" t="s">
        <v>2435</v>
      </c>
      <c r="C3901" t="s">
        <v>6402</v>
      </c>
      <c r="D3901" t="s">
        <v>2436</v>
      </c>
      <c r="E3901" t="s">
        <v>6824</v>
      </c>
      <c r="F3901">
        <v>21.6</v>
      </c>
      <c r="H3901">
        <v>5609.57</v>
      </c>
      <c r="J3901" t="s">
        <v>2511</v>
      </c>
    </row>
    <row r="3902" spans="1:10" ht="15" customHeight="1" x14ac:dyDescent="0.2">
      <c r="A3902" s="420">
        <v>45658</v>
      </c>
      <c r="B3902" t="s">
        <v>2435</v>
      </c>
      <c r="C3902" t="s">
        <v>6402</v>
      </c>
      <c r="D3902" t="s">
        <v>2436</v>
      </c>
      <c r="E3902" t="s">
        <v>6825</v>
      </c>
      <c r="F3902">
        <v>4</v>
      </c>
      <c r="H3902">
        <v>5613.57</v>
      </c>
      <c r="J3902" t="s">
        <v>2511</v>
      </c>
    </row>
    <row r="3903" spans="1:10" ht="15" customHeight="1" x14ac:dyDescent="0.2">
      <c r="A3903" s="420">
        <v>45658</v>
      </c>
      <c r="B3903" t="s">
        <v>2435</v>
      </c>
      <c r="C3903" t="s">
        <v>6402</v>
      </c>
      <c r="D3903" t="s">
        <v>2436</v>
      </c>
      <c r="E3903" t="s">
        <v>6826</v>
      </c>
      <c r="F3903">
        <v>15.8</v>
      </c>
      <c r="H3903">
        <v>5629.37</v>
      </c>
      <c r="J3903" t="s">
        <v>2511</v>
      </c>
    </row>
    <row r="3904" spans="1:10" ht="15" customHeight="1" x14ac:dyDescent="0.2">
      <c r="A3904" s="420">
        <v>45658</v>
      </c>
      <c r="B3904" t="s">
        <v>2435</v>
      </c>
      <c r="C3904" t="s">
        <v>6402</v>
      </c>
      <c r="D3904" t="s">
        <v>2436</v>
      </c>
      <c r="E3904" t="s">
        <v>6827</v>
      </c>
      <c r="F3904">
        <v>2.76</v>
      </c>
      <c r="H3904">
        <v>5632.13</v>
      </c>
      <c r="J3904" t="s">
        <v>2511</v>
      </c>
    </row>
    <row r="3905" spans="1:10" ht="15" customHeight="1" x14ac:dyDescent="0.2">
      <c r="A3905" s="420">
        <v>45658</v>
      </c>
      <c r="B3905" t="s">
        <v>2435</v>
      </c>
      <c r="C3905" t="s">
        <v>6402</v>
      </c>
      <c r="D3905" t="s">
        <v>2436</v>
      </c>
      <c r="E3905" t="s">
        <v>6828</v>
      </c>
      <c r="F3905">
        <v>4.84</v>
      </c>
      <c r="H3905">
        <v>5636.97</v>
      </c>
      <c r="J3905" t="s">
        <v>2511</v>
      </c>
    </row>
    <row r="3906" spans="1:10" ht="15" customHeight="1" x14ac:dyDescent="0.2">
      <c r="A3906" s="420">
        <v>45658</v>
      </c>
      <c r="B3906" t="s">
        <v>2435</v>
      </c>
      <c r="C3906" t="s">
        <v>6402</v>
      </c>
      <c r="D3906" t="s">
        <v>2436</v>
      </c>
      <c r="E3906" t="s">
        <v>6829</v>
      </c>
      <c r="F3906">
        <v>19.190000000000001</v>
      </c>
      <c r="H3906">
        <v>5656.16</v>
      </c>
      <c r="J3906" t="s">
        <v>2511</v>
      </c>
    </row>
    <row r="3907" spans="1:10" ht="15" customHeight="1" x14ac:dyDescent="0.2">
      <c r="A3907" s="420">
        <v>45658</v>
      </c>
      <c r="B3907" t="s">
        <v>2435</v>
      </c>
      <c r="C3907" t="s">
        <v>6402</v>
      </c>
      <c r="D3907" t="s">
        <v>2436</v>
      </c>
      <c r="E3907" t="s">
        <v>6830</v>
      </c>
      <c r="F3907">
        <v>2.96</v>
      </c>
      <c r="H3907">
        <v>5659.12</v>
      </c>
      <c r="J3907" t="s">
        <v>2511</v>
      </c>
    </row>
    <row r="3908" spans="1:10" ht="15" customHeight="1" x14ac:dyDescent="0.2">
      <c r="A3908" s="420">
        <v>45658</v>
      </c>
      <c r="B3908" t="s">
        <v>2435</v>
      </c>
      <c r="C3908" t="s">
        <v>6402</v>
      </c>
      <c r="D3908" t="s">
        <v>2436</v>
      </c>
      <c r="E3908" t="s">
        <v>6831</v>
      </c>
      <c r="F3908">
        <v>5.5</v>
      </c>
      <c r="H3908">
        <v>5664.62</v>
      </c>
      <c r="J3908" t="s">
        <v>2511</v>
      </c>
    </row>
    <row r="3909" spans="1:10" ht="15" customHeight="1" x14ac:dyDescent="0.2">
      <c r="A3909" s="420">
        <v>45658</v>
      </c>
      <c r="B3909" t="s">
        <v>2435</v>
      </c>
      <c r="C3909" t="s">
        <v>6402</v>
      </c>
      <c r="D3909" t="s">
        <v>2436</v>
      </c>
      <c r="E3909" t="s">
        <v>6831</v>
      </c>
      <c r="F3909">
        <v>1.36</v>
      </c>
      <c r="H3909">
        <v>5665.98</v>
      </c>
      <c r="J3909" t="s">
        <v>2511</v>
      </c>
    </row>
    <row r="3910" spans="1:10" ht="15" customHeight="1" x14ac:dyDescent="0.2">
      <c r="A3910" s="420">
        <v>45658</v>
      </c>
      <c r="B3910" t="s">
        <v>2435</v>
      </c>
      <c r="C3910" t="s">
        <v>6402</v>
      </c>
      <c r="D3910" t="s">
        <v>2436</v>
      </c>
      <c r="E3910" t="s">
        <v>6832</v>
      </c>
      <c r="F3910">
        <v>0.8</v>
      </c>
      <c r="H3910">
        <v>5666.78</v>
      </c>
      <c r="J3910" t="s">
        <v>2511</v>
      </c>
    </row>
    <row r="3911" spans="1:10" ht="15" customHeight="1" x14ac:dyDescent="0.2">
      <c r="A3911" s="420">
        <v>45658</v>
      </c>
      <c r="B3911" t="s">
        <v>2435</v>
      </c>
      <c r="C3911" t="s">
        <v>6402</v>
      </c>
      <c r="D3911" t="s">
        <v>2436</v>
      </c>
      <c r="E3911" t="s">
        <v>6832</v>
      </c>
      <c r="F3911">
        <v>2.0699999999999998</v>
      </c>
      <c r="H3911">
        <v>5668.85</v>
      </c>
      <c r="J3911" t="s">
        <v>2511</v>
      </c>
    </row>
    <row r="3912" spans="1:10" ht="15" customHeight="1" x14ac:dyDescent="0.2">
      <c r="A3912" s="420">
        <v>45658</v>
      </c>
      <c r="B3912" t="s">
        <v>2435</v>
      </c>
      <c r="C3912" t="s">
        <v>6402</v>
      </c>
      <c r="D3912" t="s">
        <v>2436</v>
      </c>
      <c r="E3912" t="s">
        <v>6833</v>
      </c>
      <c r="F3912">
        <v>1.58</v>
      </c>
      <c r="H3912">
        <v>5670.43</v>
      </c>
      <c r="J3912" t="s">
        <v>2511</v>
      </c>
    </row>
    <row r="3913" spans="1:10" ht="15" customHeight="1" x14ac:dyDescent="0.2">
      <c r="A3913" s="420">
        <v>45658</v>
      </c>
      <c r="B3913" t="s">
        <v>2435</v>
      </c>
      <c r="C3913" t="s">
        <v>6402</v>
      </c>
      <c r="D3913" t="s">
        <v>2436</v>
      </c>
      <c r="E3913" t="s">
        <v>6833</v>
      </c>
      <c r="F3913">
        <v>1.84</v>
      </c>
      <c r="H3913">
        <v>5672.27</v>
      </c>
      <c r="J3913" t="s">
        <v>2511</v>
      </c>
    </row>
    <row r="3914" spans="1:10" ht="15" customHeight="1" x14ac:dyDescent="0.2">
      <c r="A3914" s="420">
        <v>45658</v>
      </c>
      <c r="B3914" t="s">
        <v>2435</v>
      </c>
      <c r="C3914" t="s">
        <v>6402</v>
      </c>
      <c r="D3914" t="s">
        <v>2436</v>
      </c>
      <c r="E3914" t="s">
        <v>6834</v>
      </c>
      <c r="F3914">
        <v>7.41</v>
      </c>
      <c r="H3914">
        <v>5679.68</v>
      </c>
      <c r="J3914" t="s">
        <v>2511</v>
      </c>
    </row>
    <row r="3915" spans="1:10" ht="15" customHeight="1" x14ac:dyDescent="0.2">
      <c r="A3915" s="420">
        <v>45658</v>
      </c>
      <c r="B3915" t="s">
        <v>2435</v>
      </c>
      <c r="C3915" t="s">
        <v>6402</v>
      </c>
      <c r="D3915" t="s">
        <v>2436</v>
      </c>
      <c r="E3915" t="s">
        <v>6835</v>
      </c>
      <c r="F3915">
        <v>53.44</v>
      </c>
      <c r="H3915">
        <v>5733.12</v>
      </c>
      <c r="J3915" t="s">
        <v>2511</v>
      </c>
    </row>
    <row r="3916" spans="1:10" ht="15" customHeight="1" x14ac:dyDescent="0.2">
      <c r="A3916" s="420">
        <v>45658</v>
      </c>
      <c r="B3916" t="s">
        <v>2435</v>
      </c>
      <c r="C3916" t="s">
        <v>6402</v>
      </c>
      <c r="D3916" t="s">
        <v>2436</v>
      </c>
      <c r="E3916" t="s">
        <v>6836</v>
      </c>
      <c r="F3916">
        <v>6.42</v>
      </c>
      <c r="H3916">
        <v>5739.54</v>
      </c>
      <c r="J3916" t="s">
        <v>2511</v>
      </c>
    </row>
    <row r="3917" spans="1:10" ht="15" customHeight="1" x14ac:dyDescent="0.2">
      <c r="A3917" s="420">
        <v>45658</v>
      </c>
      <c r="B3917" t="s">
        <v>2435</v>
      </c>
      <c r="C3917" t="s">
        <v>6402</v>
      </c>
      <c r="D3917" t="s">
        <v>2436</v>
      </c>
      <c r="E3917" t="s">
        <v>6836</v>
      </c>
      <c r="F3917">
        <v>4.97</v>
      </c>
      <c r="H3917">
        <v>5744.51</v>
      </c>
      <c r="J3917" t="s">
        <v>2511</v>
      </c>
    </row>
    <row r="3918" spans="1:10" ht="15" customHeight="1" x14ac:dyDescent="0.2">
      <c r="A3918" s="420">
        <v>45658</v>
      </c>
      <c r="B3918" t="s">
        <v>2435</v>
      </c>
      <c r="C3918" t="s">
        <v>6402</v>
      </c>
      <c r="D3918" t="s">
        <v>2436</v>
      </c>
      <c r="E3918" t="s">
        <v>6837</v>
      </c>
      <c r="F3918">
        <v>2.89</v>
      </c>
      <c r="H3918">
        <v>5747.4</v>
      </c>
      <c r="J3918" t="s">
        <v>2511</v>
      </c>
    </row>
    <row r="3919" spans="1:10" ht="15" customHeight="1" x14ac:dyDescent="0.2">
      <c r="A3919" s="420">
        <v>45658</v>
      </c>
      <c r="B3919" t="s">
        <v>2435</v>
      </c>
      <c r="C3919" t="s">
        <v>6402</v>
      </c>
      <c r="D3919" t="s">
        <v>2436</v>
      </c>
      <c r="E3919" t="s">
        <v>6838</v>
      </c>
      <c r="F3919">
        <v>3.64</v>
      </c>
      <c r="H3919">
        <v>5751.04</v>
      </c>
      <c r="J3919" t="s">
        <v>2511</v>
      </c>
    </row>
    <row r="3920" spans="1:10" ht="15" customHeight="1" x14ac:dyDescent="0.2">
      <c r="A3920" s="420">
        <v>45658</v>
      </c>
      <c r="B3920" t="s">
        <v>2435</v>
      </c>
      <c r="C3920" t="s">
        <v>6402</v>
      </c>
      <c r="D3920" t="s">
        <v>2436</v>
      </c>
      <c r="E3920" t="s">
        <v>6839</v>
      </c>
      <c r="F3920">
        <v>17</v>
      </c>
      <c r="H3920">
        <v>5768.04</v>
      </c>
      <c r="J3920" t="s">
        <v>2511</v>
      </c>
    </row>
    <row r="3921" spans="1:10" ht="15" customHeight="1" x14ac:dyDescent="0.2">
      <c r="A3921" s="420">
        <v>45658</v>
      </c>
      <c r="B3921" t="s">
        <v>2435</v>
      </c>
      <c r="C3921" t="s">
        <v>6402</v>
      </c>
      <c r="D3921" t="s">
        <v>2436</v>
      </c>
      <c r="E3921" t="s">
        <v>4339</v>
      </c>
      <c r="F3921">
        <v>327.83</v>
      </c>
      <c r="H3921">
        <v>6095.87</v>
      </c>
      <c r="J3921" t="s">
        <v>2511</v>
      </c>
    </row>
    <row r="3922" spans="1:10" ht="15" customHeight="1" x14ac:dyDescent="0.2">
      <c r="A3922" s="420">
        <v>45658</v>
      </c>
      <c r="B3922" t="s">
        <v>2435</v>
      </c>
      <c r="C3922" t="s">
        <v>6402</v>
      </c>
      <c r="D3922" t="s">
        <v>2436</v>
      </c>
      <c r="E3922" t="s">
        <v>6840</v>
      </c>
      <c r="F3922">
        <v>64.33</v>
      </c>
      <c r="H3922">
        <v>6160.2</v>
      </c>
      <c r="J3922" t="s">
        <v>2511</v>
      </c>
    </row>
    <row r="3923" spans="1:10" ht="15" customHeight="1" x14ac:dyDescent="0.2">
      <c r="A3923" s="420">
        <v>45658</v>
      </c>
      <c r="B3923" t="s">
        <v>2435</v>
      </c>
      <c r="C3923" t="s">
        <v>6402</v>
      </c>
      <c r="D3923" t="s">
        <v>2436</v>
      </c>
      <c r="E3923" t="s">
        <v>6841</v>
      </c>
      <c r="F3923">
        <v>115.12</v>
      </c>
      <c r="H3923">
        <v>6275.32</v>
      </c>
      <c r="J3923" t="s">
        <v>2511</v>
      </c>
    </row>
    <row r="3924" spans="1:10" ht="15" customHeight="1" x14ac:dyDescent="0.2">
      <c r="A3924" s="420">
        <v>45658</v>
      </c>
      <c r="B3924" t="s">
        <v>2435</v>
      </c>
      <c r="C3924" t="s">
        <v>6402</v>
      </c>
      <c r="D3924" t="s">
        <v>2436</v>
      </c>
      <c r="E3924" t="s">
        <v>6842</v>
      </c>
      <c r="F3924">
        <v>12</v>
      </c>
      <c r="H3924">
        <v>6287.32</v>
      </c>
      <c r="J3924" t="s">
        <v>2511</v>
      </c>
    </row>
    <row r="3925" spans="1:10" ht="15" customHeight="1" x14ac:dyDescent="0.2">
      <c r="A3925" s="420">
        <v>45658</v>
      </c>
      <c r="B3925" t="s">
        <v>2435</v>
      </c>
      <c r="C3925" t="s">
        <v>6402</v>
      </c>
      <c r="D3925" t="s">
        <v>2436</v>
      </c>
      <c r="E3925" t="s">
        <v>6843</v>
      </c>
      <c r="F3925">
        <v>134.05000000000001</v>
      </c>
      <c r="H3925">
        <v>6421.37</v>
      </c>
      <c r="J3925" t="s">
        <v>2511</v>
      </c>
    </row>
    <row r="3926" spans="1:10" ht="15" customHeight="1" x14ac:dyDescent="0.2">
      <c r="A3926" s="420">
        <v>45658</v>
      </c>
      <c r="B3926" t="s">
        <v>2435</v>
      </c>
      <c r="C3926" t="s">
        <v>6402</v>
      </c>
      <c r="D3926" t="s">
        <v>2436</v>
      </c>
      <c r="E3926" t="s">
        <v>6844</v>
      </c>
      <c r="F3926">
        <v>12</v>
      </c>
      <c r="H3926">
        <v>6433.37</v>
      </c>
      <c r="J3926" t="s">
        <v>2511</v>
      </c>
    </row>
    <row r="3927" spans="1:10" ht="15" customHeight="1" x14ac:dyDescent="0.2">
      <c r="A3927" s="420">
        <v>45658</v>
      </c>
      <c r="B3927" t="s">
        <v>2435</v>
      </c>
      <c r="C3927" t="s">
        <v>6402</v>
      </c>
      <c r="D3927" t="s">
        <v>2436</v>
      </c>
      <c r="E3927" t="s">
        <v>6845</v>
      </c>
      <c r="F3927">
        <v>134.05000000000001</v>
      </c>
      <c r="H3927">
        <v>6567.42</v>
      </c>
      <c r="J3927" t="s">
        <v>2511</v>
      </c>
    </row>
    <row r="3928" spans="1:10" ht="15" customHeight="1" x14ac:dyDescent="0.2">
      <c r="A3928" s="420">
        <v>45658</v>
      </c>
      <c r="B3928" t="s">
        <v>2435</v>
      </c>
      <c r="C3928" t="s">
        <v>6402</v>
      </c>
      <c r="D3928" t="s">
        <v>2436</v>
      </c>
      <c r="E3928" t="s">
        <v>6846</v>
      </c>
      <c r="F3928">
        <v>134.05000000000001</v>
      </c>
      <c r="H3928">
        <v>6701.47</v>
      </c>
      <c r="J3928" t="s">
        <v>2511</v>
      </c>
    </row>
    <row r="3929" spans="1:10" ht="15" customHeight="1" x14ac:dyDescent="0.2">
      <c r="A3929" s="420">
        <v>45658</v>
      </c>
      <c r="B3929" t="s">
        <v>2435</v>
      </c>
      <c r="C3929" t="s">
        <v>6402</v>
      </c>
      <c r="D3929" t="s">
        <v>2436</v>
      </c>
      <c r="E3929" t="s">
        <v>6847</v>
      </c>
      <c r="F3929">
        <v>134.05000000000001</v>
      </c>
      <c r="H3929">
        <v>6835.52</v>
      </c>
      <c r="J3929" t="s">
        <v>2511</v>
      </c>
    </row>
    <row r="3930" spans="1:10" ht="15" customHeight="1" x14ac:dyDescent="0.2">
      <c r="A3930" s="420">
        <v>45658</v>
      </c>
      <c r="B3930" t="s">
        <v>2435</v>
      </c>
      <c r="C3930" t="s">
        <v>6402</v>
      </c>
      <c r="D3930" t="s">
        <v>2436</v>
      </c>
      <c r="E3930" t="s">
        <v>6848</v>
      </c>
      <c r="F3930">
        <v>134.05000000000001</v>
      </c>
      <c r="H3930">
        <v>6969.57</v>
      </c>
      <c r="J3930" t="s">
        <v>2511</v>
      </c>
    </row>
    <row r="3931" spans="1:10" ht="15" customHeight="1" x14ac:dyDescent="0.2">
      <c r="A3931" s="420">
        <v>45658</v>
      </c>
      <c r="B3931" t="s">
        <v>2435</v>
      </c>
      <c r="C3931" t="s">
        <v>6402</v>
      </c>
      <c r="D3931" t="s">
        <v>2436</v>
      </c>
      <c r="E3931" t="s">
        <v>6849</v>
      </c>
      <c r="F3931">
        <v>9</v>
      </c>
      <c r="H3931">
        <v>6978.57</v>
      </c>
      <c r="J3931" t="s">
        <v>2511</v>
      </c>
    </row>
    <row r="3932" spans="1:10" ht="15" customHeight="1" x14ac:dyDescent="0.2">
      <c r="A3932" s="420">
        <v>45658</v>
      </c>
      <c r="B3932" t="s">
        <v>2435</v>
      </c>
      <c r="C3932" t="s">
        <v>6402</v>
      </c>
      <c r="D3932" t="s">
        <v>2436</v>
      </c>
      <c r="E3932" t="s">
        <v>6850</v>
      </c>
      <c r="F3932">
        <v>12</v>
      </c>
      <c r="H3932">
        <v>6990.57</v>
      </c>
      <c r="J3932" t="s">
        <v>2511</v>
      </c>
    </row>
    <row r="3933" spans="1:10" ht="15" customHeight="1" x14ac:dyDescent="0.2">
      <c r="A3933" s="420">
        <v>45658</v>
      </c>
      <c r="B3933" t="s">
        <v>2435</v>
      </c>
      <c r="C3933" t="s">
        <v>6402</v>
      </c>
      <c r="D3933" t="s">
        <v>2436</v>
      </c>
      <c r="E3933" t="s">
        <v>6851</v>
      </c>
      <c r="F3933">
        <v>12</v>
      </c>
      <c r="H3933">
        <v>7002.57</v>
      </c>
      <c r="J3933" t="s">
        <v>2511</v>
      </c>
    </row>
    <row r="3934" spans="1:10" ht="15" customHeight="1" x14ac:dyDescent="0.2">
      <c r="A3934" s="420">
        <v>45658</v>
      </c>
      <c r="B3934" t="s">
        <v>2435</v>
      </c>
      <c r="C3934" t="s">
        <v>6402</v>
      </c>
      <c r="D3934" t="s">
        <v>2436</v>
      </c>
      <c r="E3934" t="s">
        <v>6852</v>
      </c>
      <c r="F3934">
        <v>9</v>
      </c>
      <c r="H3934">
        <v>7011.57</v>
      </c>
      <c r="J3934" t="s">
        <v>2511</v>
      </c>
    </row>
    <row r="3935" spans="1:10" ht="15" customHeight="1" x14ac:dyDescent="0.2">
      <c r="A3935" s="420">
        <v>45658</v>
      </c>
      <c r="B3935" t="s">
        <v>2435</v>
      </c>
      <c r="C3935" t="s">
        <v>6402</v>
      </c>
      <c r="D3935" t="s">
        <v>2436</v>
      </c>
      <c r="E3935" t="s">
        <v>6853</v>
      </c>
      <c r="F3935">
        <v>134.05000000000001</v>
      </c>
      <c r="H3935">
        <v>7145.62</v>
      </c>
      <c r="J3935" t="s">
        <v>2511</v>
      </c>
    </row>
    <row r="3936" spans="1:10" ht="15" customHeight="1" x14ac:dyDescent="0.2">
      <c r="A3936" s="420">
        <v>45658</v>
      </c>
      <c r="B3936" t="s">
        <v>2435</v>
      </c>
      <c r="C3936" t="s">
        <v>6402</v>
      </c>
      <c r="D3936" t="s">
        <v>2436</v>
      </c>
      <c r="E3936" t="s">
        <v>6854</v>
      </c>
      <c r="F3936">
        <v>134.05000000000001</v>
      </c>
      <c r="H3936">
        <v>7279.67</v>
      </c>
      <c r="J3936" t="s">
        <v>2511</v>
      </c>
    </row>
    <row r="3937" spans="1:10" ht="15" customHeight="1" x14ac:dyDescent="0.2">
      <c r="A3937" s="420">
        <v>45658</v>
      </c>
      <c r="B3937" t="s">
        <v>2435</v>
      </c>
      <c r="C3937" t="s">
        <v>6402</v>
      </c>
      <c r="D3937" t="s">
        <v>2436</v>
      </c>
      <c r="E3937" t="s">
        <v>6855</v>
      </c>
      <c r="F3937">
        <v>134.05000000000001</v>
      </c>
      <c r="H3937">
        <v>7413.72</v>
      </c>
      <c r="J3937" t="s">
        <v>2511</v>
      </c>
    </row>
    <row r="3938" spans="1:10" ht="15" customHeight="1" x14ac:dyDescent="0.2">
      <c r="A3938" s="420">
        <v>45658</v>
      </c>
      <c r="B3938" t="s">
        <v>2435</v>
      </c>
      <c r="C3938" t="s">
        <v>6402</v>
      </c>
      <c r="D3938" t="s">
        <v>2436</v>
      </c>
      <c r="E3938" t="s">
        <v>6856</v>
      </c>
      <c r="F3938">
        <v>134.05000000000001</v>
      </c>
      <c r="H3938">
        <v>7547.77</v>
      </c>
      <c r="J3938" t="s">
        <v>2511</v>
      </c>
    </row>
    <row r="3939" spans="1:10" ht="15" customHeight="1" x14ac:dyDescent="0.2">
      <c r="A3939" s="420">
        <v>45658</v>
      </c>
      <c r="B3939" t="s">
        <v>2435</v>
      </c>
      <c r="C3939" t="s">
        <v>6402</v>
      </c>
      <c r="D3939" t="s">
        <v>2436</v>
      </c>
      <c r="E3939" t="s">
        <v>6857</v>
      </c>
      <c r="F3939">
        <v>19.670000000000002</v>
      </c>
      <c r="H3939">
        <v>7567.44</v>
      </c>
      <c r="J3939" t="s">
        <v>2511</v>
      </c>
    </row>
    <row r="3940" spans="1:10" ht="15" customHeight="1" x14ac:dyDescent="0.2">
      <c r="A3940" s="420">
        <v>45658</v>
      </c>
      <c r="B3940" t="s">
        <v>2435</v>
      </c>
      <c r="C3940" t="s">
        <v>6402</v>
      </c>
      <c r="D3940" t="s">
        <v>2436</v>
      </c>
      <c r="E3940" t="s">
        <v>6858</v>
      </c>
      <c r="F3940">
        <v>18.34</v>
      </c>
      <c r="H3940">
        <v>7585.78</v>
      </c>
      <c r="J3940" t="s">
        <v>2511</v>
      </c>
    </row>
    <row r="3941" spans="1:10" ht="15" customHeight="1" x14ac:dyDescent="0.2">
      <c r="A3941" s="420">
        <v>45658</v>
      </c>
      <c r="B3941" t="s">
        <v>2435</v>
      </c>
      <c r="C3941" t="s">
        <v>6402</v>
      </c>
      <c r="D3941" t="s">
        <v>2436</v>
      </c>
      <c r="E3941" t="s">
        <v>6859</v>
      </c>
      <c r="F3941">
        <v>5.82</v>
      </c>
      <c r="H3941">
        <v>7591.6</v>
      </c>
      <c r="J3941" t="s">
        <v>2511</v>
      </c>
    </row>
    <row r="3942" spans="1:10" ht="15" customHeight="1" x14ac:dyDescent="0.2">
      <c r="A3942" s="420">
        <v>45658</v>
      </c>
      <c r="B3942" t="s">
        <v>2435</v>
      </c>
      <c r="C3942" t="s">
        <v>6402</v>
      </c>
      <c r="D3942" t="s">
        <v>2436</v>
      </c>
      <c r="E3942" t="s">
        <v>6860</v>
      </c>
      <c r="F3942">
        <v>57.82</v>
      </c>
      <c r="H3942">
        <v>7649.42</v>
      </c>
      <c r="J3942" t="s">
        <v>2511</v>
      </c>
    </row>
    <row r="3943" spans="1:10" ht="15" customHeight="1" x14ac:dyDescent="0.2">
      <c r="A3943" s="420">
        <v>45658</v>
      </c>
      <c r="B3943" t="s">
        <v>2435</v>
      </c>
      <c r="C3943" t="s">
        <v>6402</v>
      </c>
      <c r="D3943" t="s">
        <v>2436</v>
      </c>
      <c r="E3943" t="s">
        <v>4326</v>
      </c>
      <c r="F3943">
        <v>319.52999999999997</v>
      </c>
      <c r="H3943">
        <v>7968.95</v>
      </c>
      <c r="J3943" t="s">
        <v>2511</v>
      </c>
    </row>
    <row r="3944" spans="1:10" ht="15" customHeight="1" x14ac:dyDescent="0.2">
      <c r="A3944" s="420">
        <v>45658</v>
      </c>
      <c r="B3944" t="s">
        <v>2435</v>
      </c>
      <c r="C3944" t="s">
        <v>6402</v>
      </c>
      <c r="D3944" t="s">
        <v>2436</v>
      </c>
      <c r="E3944" t="s">
        <v>6861</v>
      </c>
      <c r="G3944">
        <v>1475</v>
      </c>
      <c r="H3944">
        <v>6493.95</v>
      </c>
      <c r="J3944" t="s">
        <v>2511</v>
      </c>
    </row>
    <row r="3945" spans="1:10" ht="15" customHeight="1" x14ac:dyDescent="0.2">
      <c r="A3945" s="420">
        <v>45658</v>
      </c>
      <c r="B3945" t="s">
        <v>2435</v>
      </c>
      <c r="C3945" t="s">
        <v>6402</v>
      </c>
      <c r="D3945" t="s">
        <v>2436</v>
      </c>
      <c r="E3945" t="s">
        <v>6862</v>
      </c>
      <c r="F3945">
        <v>1.05</v>
      </c>
      <c r="H3945">
        <v>6495</v>
      </c>
      <c r="J3945" t="s">
        <v>2511</v>
      </c>
    </row>
    <row r="3946" spans="1:10" ht="15" customHeight="1" x14ac:dyDescent="0.2">
      <c r="A3946" s="420">
        <v>45658</v>
      </c>
      <c r="B3946" t="s">
        <v>2435</v>
      </c>
      <c r="C3946" t="s">
        <v>6402</v>
      </c>
      <c r="D3946" t="s">
        <v>2436</v>
      </c>
      <c r="E3946" t="s">
        <v>6863</v>
      </c>
      <c r="F3946">
        <v>6.78</v>
      </c>
      <c r="H3946">
        <v>6501.78</v>
      </c>
      <c r="J3946" t="s">
        <v>2511</v>
      </c>
    </row>
    <row r="3947" spans="1:10" ht="15" customHeight="1" x14ac:dyDescent="0.2">
      <c r="A3947" s="420">
        <v>45658</v>
      </c>
      <c r="B3947" t="s">
        <v>2435</v>
      </c>
      <c r="C3947" t="s">
        <v>6402</v>
      </c>
      <c r="D3947" t="s">
        <v>2436</v>
      </c>
      <c r="E3947" t="s">
        <v>6864</v>
      </c>
      <c r="F3947">
        <v>30</v>
      </c>
      <c r="H3947">
        <v>6531.78</v>
      </c>
      <c r="J3947" t="s">
        <v>2511</v>
      </c>
    </row>
    <row r="3948" spans="1:10" ht="15" customHeight="1" x14ac:dyDescent="0.2">
      <c r="A3948" s="420">
        <v>45658</v>
      </c>
      <c r="B3948" t="s">
        <v>2435</v>
      </c>
      <c r="C3948" t="s">
        <v>6402</v>
      </c>
      <c r="D3948" t="s">
        <v>2436</v>
      </c>
      <c r="E3948" t="s">
        <v>6865</v>
      </c>
      <c r="F3948">
        <v>30</v>
      </c>
      <c r="H3948">
        <v>6561.78</v>
      </c>
      <c r="J3948" t="s">
        <v>2511</v>
      </c>
    </row>
    <row r="3949" spans="1:10" ht="15" customHeight="1" x14ac:dyDescent="0.2">
      <c r="A3949" s="420">
        <v>45658</v>
      </c>
      <c r="B3949" t="s">
        <v>2435</v>
      </c>
      <c r="C3949" t="s">
        <v>6402</v>
      </c>
      <c r="D3949" t="s">
        <v>2436</v>
      </c>
      <c r="E3949" t="s">
        <v>6866</v>
      </c>
      <c r="F3949">
        <v>30</v>
      </c>
      <c r="H3949">
        <v>6591.78</v>
      </c>
      <c r="J3949" t="s">
        <v>2511</v>
      </c>
    </row>
    <row r="3950" spans="1:10" ht="15" customHeight="1" x14ac:dyDescent="0.2">
      <c r="A3950" s="420">
        <v>45658</v>
      </c>
      <c r="B3950" t="s">
        <v>2435</v>
      </c>
      <c r="C3950" t="s">
        <v>6402</v>
      </c>
      <c r="D3950" t="s">
        <v>2436</v>
      </c>
      <c r="E3950" t="s">
        <v>6867</v>
      </c>
      <c r="F3950">
        <v>30</v>
      </c>
      <c r="H3950">
        <v>6621.78</v>
      </c>
      <c r="J3950" t="s">
        <v>2511</v>
      </c>
    </row>
    <row r="3951" spans="1:10" ht="15" customHeight="1" x14ac:dyDescent="0.2">
      <c r="A3951" s="420">
        <v>45658</v>
      </c>
      <c r="B3951" t="s">
        <v>2435</v>
      </c>
      <c r="C3951" t="s">
        <v>6402</v>
      </c>
      <c r="D3951" t="s">
        <v>2436</v>
      </c>
      <c r="E3951" t="s">
        <v>6868</v>
      </c>
      <c r="F3951">
        <v>90.31</v>
      </c>
      <c r="H3951">
        <v>6712.09</v>
      </c>
      <c r="J3951" t="s">
        <v>2511</v>
      </c>
    </row>
    <row r="3952" spans="1:10" ht="15" customHeight="1" x14ac:dyDescent="0.2">
      <c r="A3952" s="420">
        <v>45658</v>
      </c>
      <c r="B3952" t="s">
        <v>2435</v>
      </c>
      <c r="C3952" t="s">
        <v>6402</v>
      </c>
      <c r="D3952" t="s">
        <v>2436</v>
      </c>
      <c r="E3952" t="s">
        <v>6869</v>
      </c>
      <c r="F3952">
        <v>69.8</v>
      </c>
      <c r="H3952">
        <v>6781.89</v>
      </c>
      <c r="J3952" t="s">
        <v>2511</v>
      </c>
    </row>
    <row r="3953" spans="1:10" ht="15" customHeight="1" x14ac:dyDescent="0.2">
      <c r="A3953" s="420">
        <v>45658</v>
      </c>
      <c r="B3953" t="s">
        <v>2435</v>
      </c>
      <c r="C3953" t="s">
        <v>6402</v>
      </c>
      <c r="D3953" t="s">
        <v>2436</v>
      </c>
      <c r="E3953" t="s">
        <v>6870</v>
      </c>
      <c r="F3953">
        <v>461.5</v>
      </c>
      <c r="H3953">
        <v>7243.39</v>
      </c>
      <c r="J3953" t="s">
        <v>2511</v>
      </c>
    </row>
    <row r="3954" spans="1:10" ht="15" customHeight="1" x14ac:dyDescent="0.2">
      <c r="A3954" s="420">
        <v>45658</v>
      </c>
      <c r="B3954" t="s">
        <v>2435</v>
      </c>
      <c r="C3954" t="s">
        <v>6402</v>
      </c>
      <c r="D3954" t="s">
        <v>2436</v>
      </c>
      <c r="E3954" t="s">
        <v>6871</v>
      </c>
      <c r="F3954">
        <v>200</v>
      </c>
      <c r="H3954">
        <v>7443.39</v>
      </c>
      <c r="J3954" t="s">
        <v>2511</v>
      </c>
    </row>
    <row r="3955" spans="1:10" ht="15" customHeight="1" x14ac:dyDescent="0.2">
      <c r="A3955" s="420">
        <v>45658</v>
      </c>
      <c r="B3955" t="s">
        <v>2435</v>
      </c>
      <c r="C3955" t="s">
        <v>6402</v>
      </c>
      <c r="D3955" t="s">
        <v>2436</v>
      </c>
      <c r="E3955" t="s">
        <v>6872</v>
      </c>
      <c r="F3955">
        <v>55.4</v>
      </c>
      <c r="H3955">
        <v>7498.79</v>
      </c>
      <c r="J3955" t="s">
        <v>2511</v>
      </c>
    </row>
    <row r="3956" spans="1:10" ht="15" customHeight="1" x14ac:dyDescent="0.2">
      <c r="A3956" s="420">
        <v>45658</v>
      </c>
      <c r="B3956" t="s">
        <v>2435</v>
      </c>
      <c r="C3956" t="s">
        <v>6402</v>
      </c>
      <c r="D3956" t="s">
        <v>2436</v>
      </c>
      <c r="E3956" t="s">
        <v>6873</v>
      </c>
      <c r="F3956">
        <v>15.26</v>
      </c>
      <c r="H3956">
        <v>7514.05</v>
      </c>
      <c r="J3956" t="s">
        <v>2511</v>
      </c>
    </row>
    <row r="3957" spans="1:10" ht="15" customHeight="1" x14ac:dyDescent="0.2">
      <c r="A3957" s="420">
        <v>45658</v>
      </c>
      <c r="B3957" t="s">
        <v>2435</v>
      </c>
      <c r="C3957" t="s">
        <v>6402</v>
      </c>
      <c r="D3957" t="s">
        <v>2436</v>
      </c>
      <c r="E3957" t="s">
        <v>6874</v>
      </c>
      <c r="F3957">
        <v>24.83</v>
      </c>
      <c r="H3957">
        <v>7538.88</v>
      </c>
      <c r="J3957" t="s">
        <v>2511</v>
      </c>
    </row>
    <row r="3958" spans="1:10" ht="15" customHeight="1" x14ac:dyDescent="0.2">
      <c r="A3958" s="420">
        <v>45658</v>
      </c>
      <c r="B3958" t="s">
        <v>2435</v>
      </c>
      <c r="C3958" t="s">
        <v>6402</v>
      </c>
      <c r="D3958" t="s">
        <v>2436</v>
      </c>
      <c r="E3958" t="s">
        <v>6875</v>
      </c>
      <c r="F3958">
        <v>9.26</v>
      </c>
      <c r="H3958">
        <v>7548.14</v>
      </c>
      <c r="J3958" t="s">
        <v>2511</v>
      </c>
    </row>
    <row r="3959" spans="1:10" ht="15" customHeight="1" x14ac:dyDescent="0.2">
      <c r="A3959" s="420">
        <v>45658</v>
      </c>
      <c r="B3959" t="s">
        <v>2435</v>
      </c>
      <c r="C3959" t="s">
        <v>6402</v>
      </c>
      <c r="D3959" t="s">
        <v>2436</v>
      </c>
      <c r="E3959" t="s">
        <v>6876</v>
      </c>
      <c r="F3959">
        <v>80</v>
      </c>
      <c r="H3959">
        <v>7628.14</v>
      </c>
      <c r="J3959" t="s">
        <v>2511</v>
      </c>
    </row>
    <row r="3960" spans="1:10" ht="15" customHeight="1" x14ac:dyDescent="0.2">
      <c r="A3960" s="420">
        <v>45658</v>
      </c>
      <c r="B3960" t="s">
        <v>2435</v>
      </c>
      <c r="C3960" t="s">
        <v>6402</v>
      </c>
      <c r="D3960" t="s">
        <v>2436</v>
      </c>
      <c r="E3960" t="s">
        <v>6877</v>
      </c>
      <c r="F3960">
        <v>4</v>
      </c>
      <c r="H3960">
        <v>7632.14</v>
      </c>
      <c r="J3960" t="s">
        <v>2511</v>
      </c>
    </row>
    <row r="3961" spans="1:10" ht="15" customHeight="1" x14ac:dyDescent="0.2">
      <c r="A3961" s="420">
        <v>45658</v>
      </c>
      <c r="B3961" t="s">
        <v>2435</v>
      </c>
      <c r="C3961" t="s">
        <v>6402</v>
      </c>
      <c r="D3961" t="s">
        <v>2436</v>
      </c>
      <c r="E3961" t="s">
        <v>6878</v>
      </c>
      <c r="F3961">
        <v>2.8</v>
      </c>
      <c r="H3961">
        <v>7634.94</v>
      </c>
      <c r="J3961" t="s">
        <v>2511</v>
      </c>
    </row>
    <row r="3962" spans="1:10" ht="15" customHeight="1" x14ac:dyDescent="0.2">
      <c r="A3962" s="420">
        <v>45658</v>
      </c>
      <c r="B3962" t="s">
        <v>2435</v>
      </c>
      <c r="C3962" t="s">
        <v>6402</v>
      </c>
      <c r="D3962" t="s">
        <v>2436</v>
      </c>
      <c r="E3962" t="s">
        <v>6879</v>
      </c>
      <c r="F3962">
        <v>25.79</v>
      </c>
      <c r="H3962">
        <v>7660.73</v>
      </c>
      <c r="J3962" t="s">
        <v>2511</v>
      </c>
    </row>
    <row r="3963" spans="1:10" ht="15" customHeight="1" x14ac:dyDescent="0.2">
      <c r="A3963" s="420">
        <v>45658</v>
      </c>
      <c r="B3963" t="s">
        <v>2435</v>
      </c>
      <c r="C3963" t="s">
        <v>6402</v>
      </c>
      <c r="D3963" t="s">
        <v>2436</v>
      </c>
      <c r="E3963" t="s">
        <v>6880</v>
      </c>
      <c r="F3963">
        <v>24.82</v>
      </c>
      <c r="H3963">
        <v>7685.55</v>
      </c>
      <c r="J3963" t="s">
        <v>2511</v>
      </c>
    </row>
    <row r="3964" spans="1:10" ht="15" customHeight="1" x14ac:dyDescent="0.2">
      <c r="A3964" s="420">
        <v>45658</v>
      </c>
      <c r="B3964" t="s">
        <v>2435</v>
      </c>
      <c r="C3964" t="s">
        <v>6402</v>
      </c>
      <c r="D3964" t="s">
        <v>2436</v>
      </c>
      <c r="E3964" t="s">
        <v>6881</v>
      </c>
      <c r="F3964">
        <v>10.199999999999999</v>
      </c>
      <c r="H3964">
        <v>7695.75</v>
      </c>
      <c r="J3964" t="s">
        <v>2511</v>
      </c>
    </row>
    <row r="3965" spans="1:10" ht="15" customHeight="1" x14ac:dyDescent="0.2">
      <c r="A3965" s="420">
        <v>45658</v>
      </c>
      <c r="B3965" t="s">
        <v>2435</v>
      </c>
      <c r="C3965" t="s">
        <v>6402</v>
      </c>
      <c r="D3965" t="s">
        <v>2436</v>
      </c>
      <c r="E3965" t="s">
        <v>6882</v>
      </c>
      <c r="F3965">
        <v>4</v>
      </c>
      <c r="H3965">
        <v>7699.75</v>
      </c>
      <c r="J3965" t="s">
        <v>2511</v>
      </c>
    </row>
    <row r="3966" spans="1:10" ht="15" customHeight="1" x14ac:dyDescent="0.2">
      <c r="A3966" s="420">
        <v>45658</v>
      </c>
      <c r="B3966" t="s">
        <v>2435</v>
      </c>
      <c r="C3966" t="s">
        <v>6402</v>
      </c>
      <c r="D3966" t="s">
        <v>2436</v>
      </c>
      <c r="E3966" t="s">
        <v>6883</v>
      </c>
      <c r="F3966">
        <v>10.199999999999999</v>
      </c>
      <c r="H3966">
        <v>7709.95</v>
      </c>
      <c r="J3966" t="s">
        <v>2511</v>
      </c>
    </row>
    <row r="3967" spans="1:10" ht="15" customHeight="1" x14ac:dyDescent="0.2">
      <c r="A3967" s="420">
        <v>45658</v>
      </c>
      <c r="B3967" t="s">
        <v>2435</v>
      </c>
      <c r="C3967" t="s">
        <v>6402</v>
      </c>
      <c r="D3967" t="s">
        <v>2436</v>
      </c>
      <c r="E3967" t="s">
        <v>6884</v>
      </c>
      <c r="F3967">
        <v>286.33</v>
      </c>
      <c r="H3967">
        <v>7996.28</v>
      </c>
      <c r="J3967" t="s">
        <v>2511</v>
      </c>
    </row>
    <row r="3968" spans="1:10" ht="15" customHeight="1" x14ac:dyDescent="0.2">
      <c r="A3968" s="420">
        <v>45658</v>
      </c>
      <c r="B3968" t="s">
        <v>2435</v>
      </c>
      <c r="C3968" t="s">
        <v>6402</v>
      </c>
      <c r="D3968" t="s">
        <v>2436</v>
      </c>
      <c r="E3968" t="s">
        <v>6885</v>
      </c>
      <c r="F3968">
        <v>2.6</v>
      </c>
      <c r="H3968">
        <v>7998.88</v>
      </c>
      <c r="J3968" t="s">
        <v>2511</v>
      </c>
    </row>
    <row r="3969" spans="1:10" ht="15" customHeight="1" x14ac:dyDescent="0.2">
      <c r="A3969" s="420">
        <v>45658</v>
      </c>
      <c r="B3969" t="s">
        <v>2435</v>
      </c>
      <c r="C3969" t="s">
        <v>6402</v>
      </c>
      <c r="D3969" t="s">
        <v>2436</v>
      </c>
      <c r="E3969" t="s">
        <v>6886</v>
      </c>
      <c r="F3969">
        <v>5.51</v>
      </c>
      <c r="H3969">
        <v>8004.39</v>
      </c>
      <c r="J3969" t="s">
        <v>2511</v>
      </c>
    </row>
    <row r="3970" spans="1:10" ht="15" customHeight="1" x14ac:dyDescent="0.2">
      <c r="A3970" s="420">
        <v>45658</v>
      </c>
      <c r="B3970" t="s">
        <v>2435</v>
      </c>
      <c r="C3970" t="s">
        <v>6402</v>
      </c>
      <c r="D3970" t="s">
        <v>2436</v>
      </c>
      <c r="E3970" t="s">
        <v>6887</v>
      </c>
      <c r="F3970">
        <v>1.25</v>
      </c>
      <c r="H3970">
        <v>8005.64</v>
      </c>
      <c r="J3970" t="s">
        <v>2511</v>
      </c>
    </row>
    <row r="3971" spans="1:10" ht="15" customHeight="1" x14ac:dyDescent="0.2">
      <c r="A3971" s="420">
        <v>45658</v>
      </c>
      <c r="B3971" t="s">
        <v>2435</v>
      </c>
      <c r="C3971" t="s">
        <v>6402</v>
      </c>
      <c r="D3971" t="s">
        <v>2436</v>
      </c>
      <c r="E3971" t="s">
        <v>6887</v>
      </c>
      <c r="F3971">
        <v>2.67</v>
      </c>
      <c r="H3971">
        <v>8008.31</v>
      </c>
      <c r="J3971" t="s">
        <v>2511</v>
      </c>
    </row>
    <row r="3972" spans="1:10" ht="15" customHeight="1" x14ac:dyDescent="0.2">
      <c r="A3972" s="420">
        <v>45658</v>
      </c>
      <c r="B3972" t="s">
        <v>2435</v>
      </c>
      <c r="C3972" t="s">
        <v>6402</v>
      </c>
      <c r="D3972" t="s">
        <v>2436</v>
      </c>
      <c r="E3972" t="s">
        <v>6888</v>
      </c>
      <c r="F3972">
        <v>3.39</v>
      </c>
      <c r="H3972">
        <v>8011.7</v>
      </c>
      <c r="J3972" t="s">
        <v>2511</v>
      </c>
    </row>
    <row r="3973" spans="1:10" ht="15" customHeight="1" x14ac:dyDescent="0.2">
      <c r="A3973" s="420">
        <v>45658</v>
      </c>
      <c r="B3973" t="s">
        <v>2435</v>
      </c>
      <c r="C3973" t="s">
        <v>6402</v>
      </c>
      <c r="D3973" t="s">
        <v>2436</v>
      </c>
      <c r="E3973" t="s">
        <v>6888</v>
      </c>
      <c r="F3973">
        <v>2.67</v>
      </c>
      <c r="H3973">
        <v>8014.37</v>
      </c>
      <c r="J3973" t="s">
        <v>2511</v>
      </c>
    </row>
    <row r="3974" spans="1:10" ht="15" customHeight="1" x14ac:dyDescent="0.2">
      <c r="A3974" s="420">
        <v>45658</v>
      </c>
      <c r="B3974" t="s">
        <v>2435</v>
      </c>
      <c r="C3974" t="s">
        <v>6402</v>
      </c>
      <c r="D3974" t="s">
        <v>2436</v>
      </c>
      <c r="E3974" t="s">
        <v>6889</v>
      </c>
      <c r="F3974">
        <v>3.04</v>
      </c>
      <c r="H3974">
        <v>8017.41</v>
      </c>
      <c r="J3974" t="s">
        <v>2511</v>
      </c>
    </row>
    <row r="3975" spans="1:10" ht="15" customHeight="1" x14ac:dyDescent="0.2">
      <c r="A3975" s="420">
        <v>45658</v>
      </c>
      <c r="B3975" t="s">
        <v>2435</v>
      </c>
      <c r="C3975" t="s">
        <v>6402</v>
      </c>
      <c r="D3975" t="s">
        <v>2436</v>
      </c>
      <c r="E3975" t="s">
        <v>6890</v>
      </c>
      <c r="F3975">
        <v>1.42</v>
      </c>
      <c r="H3975">
        <v>8018.83</v>
      </c>
      <c r="J3975" t="s">
        <v>2511</v>
      </c>
    </row>
    <row r="3976" spans="1:10" ht="15" customHeight="1" x14ac:dyDescent="0.2">
      <c r="A3976" s="420">
        <v>45658</v>
      </c>
      <c r="B3976" t="s">
        <v>2435</v>
      </c>
      <c r="C3976" t="s">
        <v>6402</v>
      </c>
      <c r="D3976" t="s">
        <v>2436</v>
      </c>
      <c r="E3976" t="s">
        <v>6890</v>
      </c>
      <c r="F3976">
        <v>1.32</v>
      </c>
      <c r="H3976">
        <v>8020.15</v>
      </c>
      <c r="J3976" t="s">
        <v>2511</v>
      </c>
    </row>
    <row r="3977" spans="1:10" ht="15" customHeight="1" x14ac:dyDescent="0.2">
      <c r="A3977" s="420">
        <v>45658</v>
      </c>
      <c r="B3977" t="s">
        <v>2435</v>
      </c>
      <c r="C3977" t="s">
        <v>6402</v>
      </c>
      <c r="D3977" t="s">
        <v>2436</v>
      </c>
      <c r="E3977" t="s">
        <v>6891</v>
      </c>
      <c r="F3977">
        <v>1.08</v>
      </c>
      <c r="H3977">
        <v>8021.23</v>
      </c>
      <c r="J3977" t="s">
        <v>2511</v>
      </c>
    </row>
    <row r="3978" spans="1:10" ht="15" customHeight="1" x14ac:dyDescent="0.2">
      <c r="A3978" s="420">
        <v>45658</v>
      </c>
      <c r="B3978" t="s">
        <v>2435</v>
      </c>
      <c r="C3978" t="s">
        <v>6402</v>
      </c>
      <c r="D3978" t="s">
        <v>2436</v>
      </c>
      <c r="E3978" t="s">
        <v>6891</v>
      </c>
      <c r="F3978">
        <v>1.22</v>
      </c>
      <c r="H3978">
        <v>8022.45</v>
      </c>
      <c r="J3978" t="s">
        <v>2511</v>
      </c>
    </row>
    <row r="3979" spans="1:10" ht="15" customHeight="1" x14ac:dyDescent="0.2">
      <c r="A3979" s="420">
        <v>45658</v>
      </c>
      <c r="B3979" t="s">
        <v>2435</v>
      </c>
      <c r="C3979" t="s">
        <v>6402</v>
      </c>
      <c r="D3979" t="s">
        <v>2436</v>
      </c>
      <c r="E3979" t="s">
        <v>6892</v>
      </c>
      <c r="F3979">
        <v>1.9</v>
      </c>
      <c r="H3979">
        <v>8024.35</v>
      </c>
      <c r="J3979" t="s">
        <v>2511</v>
      </c>
    </row>
    <row r="3980" spans="1:10" ht="15" customHeight="1" x14ac:dyDescent="0.2">
      <c r="A3980" s="420">
        <v>45658</v>
      </c>
      <c r="B3980" t="s">
        <v>2435</v>
      </c>
      <c r="C3980" t="s">
        <v>6402</v>
      </c>
      <c r="D3980" t="s">
        <v>2436</v>
      </c>
      <c r="E3980" t="s">
        <v>6892</v>
      </c>
      <c r="F3980">
        <v>8.0399999999999991</v>
      </c>
      <c r="H3980">
        <v>8032.39</v>
      </c>
      <c r="J3980" t="s">
        <v>2511</v>
      </c>
    </row>
    <row r="3981" spans="1:10" ht="15" customHeight="1" x14ac:dyDescent="0.2">
      <c r="A3981" s="420">
        <v>45658</v>
      </c>
      <c r="B3981" t="s">
        <v>2435</v>
      </c>
      <c r="C3981" t="s">
        <v>6402</v>
      </c>
      <c r="D3981" t="s">
        <v>2436</v>
      </c>
      <c r="E3981" t="s">
        <v>6893</v>
      </c>
      <c r="F3981">
        <v>8.34</v>
      </c>
      <c r="H3981">
        <v>8040.73</v>
      </c>
      <c r="J3981" t="s">
        <v>2511</v>
      </c>
    </row>
    <row r="3982" spans="1:10" ht="15" customHeight="1" x14ac:dyDescent="0.2">
      <c r="A3982" s="420">
        <v>45658</v>
      </c>
      <c r="B3982" t="s">
        <v>2435</v>
      </c>
      <c r="C3982" t="s">
        <v>6402</v>
      </c>
      <c r="D3982" t="s">
        <v>2436</v>
      </c>
      <c r="E3982" t="s">
        <v>6894</v>
      </c>
      <c r="F3982">
        <v>13.83</v>
      </c>
      <c r="H3982">
        <v>8054.56</v>
      </c>
      <c r="J3982" t="s">
        <v>2511</v>
      </c>
    </row>
    <row r="3983" spans="1:10" ht="15" customHeight="1" x14ac:dyDescent="0.2">
      <c r="A3983" s="420">
        <v>45658</v>
      </c>
      <c r="B3983" t="s">
        <v>2435</v>
      </c>
      <c r="C3983" t="s">
        <v>6402</v>
      </c>
      <c r="D3983" t="s">
        <v>2436</v>
      </c>
      <c r="E3983" t="s">
        <v>6895</v>
      </c>
      <c r="F3983">
        <v>5.4</v>
      </c>
      <c r="H3983">
        <v>8059.96</v>
      </c>
      <c r="J3983" t="s">
        <v>2511</v>
      </c>
    </row>
    <row r="3984" spans="1:10" ht="15" customHeight="1" x14ac:dyDescent="0.2">
      <c r="A3984" s="420">
        <v>45658</v>
      </c>
      <c r="B3984" t="s">
        <v>2435</v>
      </c>
      <c r="C3984" t="s">
        <v>6402</v>
      </c>
      <c r="D3984" t="s">
        <v>2436</v>
      </c>
      <c r="E3984" t="s">
        <v>6896</v>
      </c>
      <c r="F3984">
        <v>5.03</v>
      </c>
      <c r="H3984">
        <v>8064.99</v>
      </c>
      <c r="J3984" t="s">
        <v>2511</v>
      </c>
    </row>
    <row r="3985" spans="1:10" ht="15" customHeight="1" x14ac:dyDescent="0.2">
      <c r="A3985" s="420">
        <v>45658</v>
      </c>
      <c r="B3985" t="s">
        <v>2435</v>
      </c>
      <c r="C3985" t="s">
        <v>6402</v>
      </c>
      <c r="D3985" t="s">
        <v>2436</v>
      </c>
      <c r="E3985" t="s">
        <v>6896</v>
      </c>
      <c r="F3985">
        <v>2</v>
      </c>
      <c r="H3985">
        <v>8066.99</v>
      </c>
      <c r="J3985" t="s">
        <v>2511</v>
      </c>
    </row>
    <row r="3986" spans="1:10" ht="15" customHeight="1" x14ac:dyDescent="0.2">
      <c r="A3986" s="420">
        <v>45658</v>
      </c>
      <c r="B3986" t="s">
        <v>2435</v>
      </c>
      <c r="C3986" t="s">
        <v>6402</v>
      </c>
      <c r="D3986" t="s">
        <v>2436</v>
      </c>
      <c r="E3986" t="s">
        <v>6897</v>
      </c>
      <c r="F3986">
        <v>4.75</v>
      </c>
      <c r="H3986">
        <v>8071.74</v>
      </c>
      <c r="J3986" t="s">
        <v>2511</v>
      </c>
    </row>
    <row r="3987" spans="1:10" ht="15" customHeight="1" x14ac:dyDescent="0.2">
      <c r="A3987" s="420">
        <v>45658</v>
      </c>
      <c r="B3987" t="s">
        <v>2435</v>
      </c>
      <c r="C3987" t="s">
        <v>6402</v>
      </c>
      <c r="D3987" t="s">
        <v>2436</v>
      </c>
      <c r="E3987" t="s">
        <v>6897</v>
      </c>
      <c r="F3987">
        <v>2.57</v>
      </c>
      <c r="H3987">
        <v>8074.31</v>
      </c>
      <c r="J3987" t="s">
        <v>2511</v>
      </c>
    </row>
    <row r="3988" spans="1:10" ht="15" customHeight="1" x14ac:dyDescent="0.2">
      <c r="A3988" s="420">
        <v>45658</v>
      </c>
      <c r="B3988" t="s">
        <v>2435</v>
      </c>
      <c r="C3988" t="s">
        <v>6402</v>
      </c>
      <c r="D3988" t="s">
        <v>2436</v>
      </c>
      <c r="E3988" t="s">
        <v>6898</v>
      </c>
      <c r="F3988">
        <v>3.64</v>
      </c>
      <c r="H3988">
        <v>8077.95</v>
      </c>
      <c r="J3988" t="s">
        <v>2511</v>
      </c>
    </row>
    <row r="3989" spans="1:10" ht="15" customHeight="1" x14ac:dyDescent="0.2">
      <c r="A3989" s="420">
        <v>45658</v>
      </c>
      <c r="B3989" t="s">
        <v>2435</v>
      </c>
      <c r="C3989" t="s">
        <v>6402</v>
      </c>
      <c r="D3989" t="s">
        <v>2436</v>
      </c>
      <c r="E3989" t="s">
        <v>6899</v>
      </c>
      <c r="F3989">
        <v>2.16</v>
      </c>
      <c r="H3989">
        <v>8080.11</v>
      </c>
      <c r="J3989" t="s">
        <v>2511</v>
      </c>
    </row>
    <row r="3990" spans="1:10" ht="15" customHeight="1" x14ac:dyDescent="0.2">
      <c r="A3990" s="420">
        <v>45658</v>
      </c>
      <c r="B3990" t="s">
        <v>2435</v>
      </c>
      <c r="C3990" t="s">
        <v>6402</v>
      </c>
      <c r="D3990" t="s">
        <v>2436</v>
      </c>
      <c r="E3990" t="s">
        <v>6899</v>
      </c>
      <c r="F3990">
        <v>56.66</v>
      </c>
      <c r="H3990">
        <v>8136.77</v>
      </c>
      <c r="J3990" t="s">
        <v>2511</v>
      </c>
    </row>
    <row r="3991" spans="1:10" ht="15" customHeight="1" x14ac:dyDescent="0.2">
      <c r="A3991" s="420">
        <v>45658</v>
      </c>
      <c r="B3991" t="s">
        <v>2435</v>
      </c>
      <c r="C3991" t="s">
        <v>6402</v>
      </c>
      <c r="D3991" t="s">
        <v>2436</v>
      </c>
      <c r="E3991" t="s">
        <v>6900</v>
      </c>
      <c r="F3991">
        <v>5.68</v>
      </c>
      <c r="H3991">
        <v>8142.45</v>
      </c>
      <c r="J3991" t="s">
        <v>2511</v>
      </c>
    </row>
    <row r="3992" spans="1:10" ht="15" customHeight="1" x14ac:dyDescent="0.2">
      <c r="A3992" s="420">
        <v>45658</v>
      </c>
      <c r="B3992" t="s">
        <v>2435</v>
      </c>
      <c r="C3992" t="s">
        <v>6402</v>
      </c>
      <c r="D3992" t="s">
        <v>2436</v>
      </c>
      <c r="E3992" t="s">
        <v>6901</v>
      </c>
      <c r="F3992">
        <v>6.32</v>
      </c>
      <c r="H3992">
        <v>8148.77</v>
      </c>
      <c r="J3992" t="s">
        <v>2511</v>
      </c>
    </row>
    <row r="3993" spans="1:10" ht="15" customHeight="1" x14ac:dyDescent="0.2">
      <c r="A3993" s="420">
        <v>45658</v>
      </c>
      <c r="B3993" t="s">
        <v>2435</v>
      </c>
      <c r="C3993" t="s">
        <v>6402</v>
      </c>
      <c r="D3993" t="s">
        <v>2436</v>
      </c>
      <c r="E3993" t="s">
        <v>6902</v>
      </c>
      <c r="F3993">
        <v>22.38</v>
      </c>
      <c r="H3993">
        <v>8171.15</v>
      </c>
      <c r="J3993" t="s">
        <v>2511</v>
      </c>
    </row>
    <row r="3994" spans="1:10" ht="15" customHeight="1" x14ac:dyDescent="0.2">
      <c r="A3994" s="420">
        <v>45658</v>
      </c>
      <c r="B3994" t="s">
        <v>2435</v>
      </c>
      <c r="C3994" t="s">
        <v>6402</v>
      </c>
      <c r="D3994" t="s">
        <v>2436</v>
      </c>
      <c r="E3994" t="s">
        <v>6903</v>
      </c>
      <c r="F3994">
        <v>2.7</v>
      </c>
      <c r="H3994">
        <v>8173.85</v>
      </c>
      <c r="J3994" t="s">
        <v>2511</v>
      </c>
    </row>
    <row r="3995" spans="1:10" ht="15" customHeight="1" x14ac:dyDescent="0.2">
      <c r="A3995" s="420">
        <v>45658</v>
      </c>
      <c r="B3995" t="s">
        <v>2435</v>
      </c>
      <c r="C3995" t="s">
        <v>6402</v>
      </c>
      <c r="D3995" t="s">
        <v>2436</v>
      </c>
      <c r="E3995" t="s">
        <v>6904</v>
      </c>
      <c r="F3995">
        <v>34.82</v>
      </c>
      <c r="H3995">
        <v>8208.67</v>
      </c>
      <c r="J3995" t="s">
        <v>2511</v>
      </c>
    </row>
    <row r="3996" spans="1:10" ht="15" customHeight="1" x14ac:dyDescent="0.2">
      <c r="A3996" s="420">
        <v>45658</v>
      </c>
      <c r="B3996" t="s">
        <v>2435</v>
      </c>
      <c r="C3996" t="s">
        <v>6402</v>
      </c>
      <c r="D3996" t="s">
        <v>2436</v>
      </c>
      <c r="E3996" t="s">
        <v>6905</v>
      </c>
      <c r="F3996">
        <v>64.33</v>
      </c>
      <c r="H3996">
        <v>8273</v>
      </c>
      <c r="J3996" t="s">
        <v>2511</v>
      </c>
    </row>
    <row r="3997" spans="1:10" ht="15" customHeight="1" x14ac:dyDescent="0.2">
      <c r="A3997" s="420">
        <v>45658</v>
      </c>
      <c r="B3997" t="s">
        <v>2435</v>
      </c>
      <c r="C3997" t="s">
        <v>6402</v>
      </c>
      <c r="D3997" t="s">
        <v>2436</v>
      </c>
      <c r="E3997" t="s">
        <v>6906</v>
      </c>
      <c r="F3997">
        <v>91.88</v>
      </c>
      <c r="H3997">
        <v>8364.8799999999992</v>
      </c>
      <c r="J3997" t="s">
        <v>2511</v>
      </c>
    </row>
    <row r="3998" spans="1:10" ht="15" customHeight="1" x14ac:dyDescent="0.2">
      <c r="A3998" s="420">
        <v>45658</v>
      </c>
      <c r="B3998" t="s">
        <v>2435</v>
      </c>
      <c r="C3998" t="s">
        <v>6402</v>
      </c>
      <c r="D3998" t="s">
        <v>2436</v>
      </c>
      <c r="E3998" t="s">
        <v>6907</v>
      </c>
      <c r="F3998">
        <v>1573.58</v>
      </c>
      <c r="H3998">
        <v>9938.4599999999991</v>
      </c>
      <c r="J3998" t="s">
        <v>2511</v>
      </c>
    </row>
    <row r="3999" spans="1:10" ht="15" customHeight="1" x14ac:dyDescent="0.2">
      <c r="A3999" s="420">
        <v>45658</v>
      </c>
      <c r="B3999" t="s">
        <v>2435</v>
      </c>
      <c r="C3999" t="s">
        <v>6402</v>
      </c>
      <c r="D3999" t="s">
        <v>2436</v>
      </c>
      <c r="E3999" t="s">
        <v>6908</v>
      </c>
      <c r="F3999">
        <v>616.79999999999995</v>
      </c>
      <c r="H3999">
        <v>10555.26</v>
      </c>
      <c r="J3999" t="s">
        <v>2511</v>
      </c>
    </row>
    <row r="4000" spans="1:10" ht="15" customHeight="1" x14ac:dyDescent="0.2">
      <c r="A4000" s="420">
        <v>45658</v>
      </c>
      <c r="B4000" t="s">
        <v>2435</v>
      </c>
      <c r="C4000" t="s">
        <v>6402</v>
      </c>
      <c r="D4000" t="s">
        <v>2436</v>
      </c>
      <c r="E4000" t="s">
        <v>6909</v>
      </c>
      <c r="F4000">
        <v>49.72</v>
      </c>
      <c r="H4000">
        <v>10604.98</v>
      </c>
      <c r="J4000" t="s">
        <v>2511</v>
      </c>
    </row>
    <row r="4001" spans="1:10" ht="15" customHeight="1" x14ac:dyDescent="0.2">
      <c r="A4001" s="420">
        <v>45658</v>
      </c>
      <c r="B4001" t="s">
        <v>2435</v>
      </c>
      <c r="C4001" t="s">
        <v>6402</v>
      </c>
      <c r="D4001" t="s">
        <v>2436</v>
      </c>
      <c r="E4001" t="s">
        <v>6910</v>
      </c>
      <c r="F4001">
        <v>27.2</v>
      </c>
      <c r="H4001">
        <v>10632.18</v>
      </c>
      <c r="J4001" t="s">
        <v>2511</v>
      </c>
    </row>
    <row r="4002" spans="1:10" ht="15" customHeight="1" x14ac:dyDescent="0.2">
      <c r="A4002" s="420">
        <v>45658</v>
      </c>
      <c r="B4002" t="s">
        <v>2435</v>
      </c>
      <c r="C4002" t="s">
        <v>6402</v>
      </c>
      <c r="D4002" t="s">
        <v>2436</v>
      </c>
      <c r="E4002" t="s">
        <v>6911</v>
      </c>
      <c r="F4002">
        <v>6.51</v>
      </c>
      <c r="H4002">
        <v>10638.69</v>
      </c>
      <c r="J4002" t="s">
        <v>2511</v>
      </c>
    </row>
    <row r="4003" spans="1:10" ht="15" customHeight="1" x14ac:dyDescent="0.2">
      <c r="A4003" s="420">
        <v>45658</v>
      </c>
      <c r="B4003" t="s">
        <v>2435</v>
      </c>
      <c r="C4003" t="s">
        <v>6402</v>
      </c>
      <c r="D4003" t="s">
        <v>2436</v>
      </c>
      <c r="E4003" t="s">
        <v>6912</v>
      </c>
      <c r="F4003">
        <v>16.13</v>
      </c>
      <c r="H4003">
        <v>10654.82</v>
      </c>
      <c r="J4003" t="s">
        <v>2511</v>
      </c>
    </row>
    <row r="4004" spans="1:10" ht="15" customHeight="1" x14ac:dyDescent="0.2">
      <c r="A4004" s="420">
        <v>45658</v>
      </c>
      <c r="B4004" t="s">
        <v>2435</v>
      </c>
      <c r="C4004" t="s">
        <v>6402</v>
      </c>
      <c r="D4004" t="s">
        <v>2436</v>
      </c>
      <c r="E4004" t="s">
        <v>6913</v>
      </c>
      <c r="F4004">
        <v>5.82</v>
      </c>
      <c r="H4004">
        <v>10660.64</v>
      </c>
      <c r="J4004" t="s">
        <v>2511</v>
      </c>
    </row>
    <row r="4005" spans="1:10" ht="15" customHeight="1" x14ac:dyDescent="0.2">
      <c r="A4005" s="420">
        <v>45658</v>
      </c>
      <c r="B4005" t="s">
        <v>2435</v>
      </c>
      <c r="C4005" t="s">
        <v>6402</v>
      </c>
      <c r="D4005" t="s">
        <v>2436</v>
      </c>
      <c r="E4005" t="s">
        <v>6914</v>
      </c>
      <c r="F4005">
        <v>134.05000000000001</v>
      </c>
      <c r="H4005">
        <v>10794.69</v>
      </c>
      <c r="J4005" t="s">
        <v>2511</v>
      </c>
    </row>
    <row r="4006" spans="1:10" ht="15" customHeight="1" x14ac:dyDescent="0.2">
      <c r="A4006" s="420">
        <v>45658</v>
      </c>
      <c r="B4006" t="s">
        <v>2435</v>
      </c>
      <c r="C4006" t="s">
        <v>6402</v>
      </c>
      <c r="D4006" t="s">
        <v>2436</v>
      </c>
      <c r="E4006" t="s">
        <v>6915</v>
      </c>
      <c r="F4006">
        <v>134.05000000000001</v>
      </c>
      <c r="H4006">
        <v>10928.74</v>
      </c>
      <c r="J4006" t="s">
        <v>2511</v>
      </c>
    </row>
    <row r="4007" spans="1:10" ht="15" customHeight="1" x14ac:dyDescent="0.2">
      <c r="A4007" s="420">
        <v>45658</v>
      </c>
      <c r="B4007" t="s">
        <v>2435</v>
      </c>
      <c r="C4007" t="s">
        <v>6402</v>
      </c>
      <c r="D4007" t="s">
        <v>2436</v>
      </c>
      <c r="E4007" t="s">
        <v>6916</v>
      </c>
      <c r="F4007">
        <v>134.05000000000001</v>
      </c>
      <c r="H4007">
        <v>11062.79</v>
      </c>
      <c r="J4007" t="s">
        <v>2511</v>
      </c>
    </row>
    <row r="4008" spans="1:10" ht="15" customHeight="1" x14ac:dyDescent="0.2">
      <c r="A4008" s="420">
        <v>45658</v>
      </c>
      <c r="B4008" t="s">
        <v>2435</v>
      </c>
      <c r="C4008" t="s">
        <v>6402</v>
      </c>
      <c r="D4008" t="s">
        <v>2436</v>
      </c>
      <c r="E4008" t="s">
        <v>6917</v>
      </c>
      <c r="F4008">
        <v>17</v>
      </c>
      <c r="H4008">
        <v>11079.79</v>
      </c>
      <c r="J4008" t="s">
        <v>2511</v>
      </c>
    </row>
    <row r="4009" spans="1:10" ht="15" customHeight="1" x14ac:dyDescent="0.2">
      <c r="A4009" s="420">
        <v>45658</v>
      </c>
      <c r="B4009" t="s">
        <v>2435</v>
      </c>
      <c r="C4009" t="s">
        <v>6402</v>
      </c>
      <c r="D4009" t="s">
        <v>2436</v>
      </c>
      <c r="E4009" t="s">
        <v>6918</v>
      </c>
      <c r="F4009">
        <v>17</v>
      </c>
      <c r="H4009">
        <v>11096.79</v>
      </c>
      <c r="J4009" t="s">
        <v>2511</v>
      </c>
    </row>
    <row r="4010" spans="1:10" ht="15" customHeight="1" x14ac:dyDescent="0.2">
      <c r="A4010" s="420">
        <v>45658</v>
      </c>
      <c r="B4010" t="s">
        <v>2435</v>
      </c>
      <c r="C4010" t="s">
        <v>6402</v>
      </c>
      <c r="D4010" t="s">
        <v>2436</v>
      </c>
      <c r="E4010" t="s">
        <v>6919</v>
      </c>
      <c r="F4010">
        <v>134.05000000000001</v>
      </c>
      <c r="H4010">
        <v>11230.84</v>
      </c>
      <c r="J4010" t="s">
        <v>2511</v>
      </c>
    </row>
    <row r="4011" spans="1:10" ht="15" customHeight="1" x14ac:dyDescent="0.2">
      <c r="A4011" s="420">
        <v>45658</v>
      </c>
      <c r="B4011" t="s">
        <v>2435</v>
      </c>
      <c r="C4011" t="s">
        <v>6402</v>
      </c>
      <c r="D4011" t="s">
        <v>2436</v>
      </c>
      <c r="E4011" t="s">
        <v>6920</v>
      </c>
      <c r="F4011">
        <v>134.05000000000001</v>
      </c>
      <c r="H4011">
        <v>11364.89</v>
      </c>
      <c r="J4011" t="s">
        <v>2511</v>
      </c>
    </row>
    <row r="4012" spans="1:10" ht="15" customHeight="1" x14ac:dyDescent="0.2">
      <c r="A4012" s="420">
        <v>45658</v>
      </c>
      <c r="B4012" t="s">
        <v>2435</v>
      </c>
      <c r="C4012" t="s">
        <v>6402</v>
      </c>
      <c r="D4012" t="s">
        <v>2436</v>
      </c>
      <c r="E4012" t="s">
        <v>6921</v>
      </c>
      <c r="F4012">
        <v>9</v>
      </c>
      <c r="H4012">
        <v>11373.89</v>
      </c>
      <c r="J4012" t="s">
        <v>2511</v>
      </c>
    </row>
    <row r="4013" spans="1:10" ht="15" customHeight="1" x14ac:dyDescent="0.2">
      <c r="A4013" s="420">
        <v>45658</v>
      </c>
      <c r="B4013" t="s">
        <v>2435</v>
      </c>
      <c r="C4013" t="s">
        <v>6402</v>
      </c>
      <c r="D4013" t="s">
        <v>2436</v>
      </c>
      <c r="E4013" t="s">
        <v>6922</v>
      </c>
      <c r="F4013">
        <v>134.05000000000001</v>
      </c>
      <c r="H4013">
        <v>11507.94</v>
      </c>
      <c r="J4013" t="s">
        <v>2511</v>
      </c>
    </row>
    <row r="4014" spans="1:10" ht="15" customHeight="1" x14ac:dyDescent="0.2">
      <c r="A4014" s="420">
        <v>45658</v>
      </c>
      <c r="B4014" t="s">
        <v>2435</v>
      </c>
      <c r="C4014" t="s">
        <v>6402</v>
      </c>
      <c r="D4014" t="s">
        <v>2436</v>
      </c>
      <c r="E4014" t="s">
        <v>6923</v>
      </c>
      <c r="G4014">
        <v>7574</v>
      </c>
      <c r="H4014">
        <v>3933.94</v>
      </c>
      <c r="J4014" t="s">
        <v>2511</v>
      </c>
    </row>
    <row r="4015" spans="1:10" ht="15" customHeight="1" x14ac:dyDescent="0.2">
      <c r="A4015" s="420">
        <v>45658</v>
      </c>
      <c r="B4015" t="s">
        <v>2435</v>
      </c>
      <c r="C4015" t="s">
        <v>6402</v>
      </c>
      <c r="D4015" t="s">
        <v>2436</v>
      </c>
      <c r="E4015" t="s">
        <v>6924</v>
      </c>
      <c r="G4015">
        <v>8.82</v>
      </c>
      <c r="H4015">
        <v>3925.12</v>
      </c>
      <c r="J4015" t="s">
        <v>2511</v>
      </c>
    </row>
    <row r="4016" spans="1:10" ht="15" customHeight="1" x14ac:dyDescent="0.2">
      <c r="A4016" s="420">
        <v>45658</v>
      </c>
      <c r="B4016" t="s">
        <v>2435</v>
      </c>
      <c r="C4016" t="s">
        <v>6402</v>
      </c>
      <c r="D4016" t="s">
        <v>2436</v>
      </c>
      <c r="E4016" t="s">
        <v>6925</v>
      </c>
      <c r="F4016">
        <v>292</v>
      </c>
      <c r="H4016">
        <v>4217.12</v>
      </c>
      <c r="J4016" t="s">
        <v>2511</v>
      </c>
    </row>
    <row r="4017" spans="1:10" ht="15" customHeight="1" x14ac:dyDescent="0.2">
      <c r="A4017" s="420">
        <v>45658</v>
      </c>
      <c r="B4017" t="s">
        <v>2435</v>
      </c>
      <c r="C4017" t="s">
        <v>6402</v>
      </c>
      <c r="D4017" t="s">
        <v>2436</v>
      </c>
      <c r="E4017" t="s">
        <v>5273</v>
      </c>
      <c r="F4017">
        <v>15.05</v>
      </c>
      <c r="H4017">
        <v>4232.17</v>
      </c>
      <c r="J4017" t="s">
        <v>2511</v>
      </c>
    </row>
    <row r="4018" spans="1:10" ht="15" customHeight="1" x14ac:dyDescent="0.2">
      <c r="A4018" s="420">
        <v>45658</v>
      </c>
      <c r="B4018" t="s">
        <v>2435</v>
      </c>
      <c r="C4018" t="s">
        <v>6402</v>
      </c>
      <c r="D4018" t="s">
        <v>2436</v>
      </c>
      <c r="E4018" t="s">
        <v>6926</v>
      </c>
      <c r="F4018">
        <v>13.55</v>
      </c>
      <c r="H4018">
        <v>4245.72</v>
      </c>
      <c r="J4018" t="s">
        <v>2511</v>
      </c>
    </row>
    <row r="4019" spans="1:10" ht="15" customHeight="1" x14ac:dyDescent="0.2">
      <c r="A4019" s="420">
        <v>45658</v>
      </c>
      <c r="B4019" t="s">
        <v>2435</v>
      </c>
      <c r="C4019" t="s">
        <v>6402</v>
      </c>
      <c r="D4019" t="s">
        <v>2436</v>
      </c>
      <c r="E4019" t="s">
        <v>3838</v>
      </c>
      <c r="F4019">
        <v>55.4</v>
      </c>
      <c r="H4019">
        <v>4301.12</v>
      </c>
      <c r="J4019" t="s">
        <v>2511</v>
      </c>
    </row>
    <row r="4020" spans="1:10" ht="15" customHeight="1" x14ac:dyDescent="0.2">
      <c r="A4020" s="420">
        <v>45658</v>
      </c>
      <c r="B4020" t="s">
        <v>2435</v>
      </c>
      <c r="C4020" t="s">
        <v>6402</v>
      </c>
      <c r="D4020" t="s">
        <v>2436</v>
      </c>
      <c r="E4020" t="s">
        <v>6927</v>
      </c>
      <c r="F4020">
        <v>6.51</v>
      </c>
      <c r="H4020">
        <v>4307.63</v>
      </c>
      <c r="J4020" t="s">
        <v>2511</v>
      </c>
    </row>
    <row r="4021" spans="1:10" ht="15" customHeight="1" x14ac:dyDescent="0.2">
      <c r="A4021" s="420">
        <v>45658</v>
      </c>
      <c r="B4021" t="s">
        <v>2435</v>
      </c>
      <c r="C4021" t="s">
        <v>6402</v>
      </c>
      <c r="D4021" t="s">
        <v>2436</v>
      </c>
      <c r="E4021" t="s">
        <v>6928</v>
      </c>
      <c r="F4021">
        <v>200</v>
      </c>
      <c r="H4021">
        <v>4507.63</v>
      </c>
      <c r="J4021" t="s">
        <v>2511</v>
      </c>
    </row>
    <row r="4022" spans="1:10" ht="15" customHeight="1" x14ac:dyDescent="0.2">
      <c r="A4022" s="420">
        <v>45658</v>
      </c>
      <c r="B4022" t="s">
        <v>2435</v>
      </c>
      <c r="C4022" t="s">
        <v>6402</v>
      </c>
      <c r="D4022" t="s">
        <v>2436</v>
      </c>
      <c r="E4022" t="s">
        <v>6929</v>
      </c>
      <c r="F4022">
        <v>3.9</v>
      </c>
      <c r="H4022">
        <v>4511.53</v>
      </c>
      <c r="J4022" t="s">
        <v>2511</v>
      </c>
    </row>
    <row r="4023" spans="1:10" ht="15" customHeight="1" x14ac:dyDescent="0.2">
      <c r="A4023" s="420">
        <v>45658</v>
      </c>
      <c r="B4023" t="s">
        <v>2435</v>
      </c>
      <c r="C4023" t="s">
        <v>6402</v>
      </c>
      <c r="D4023" t="s">
        <v>2436</v>
      </c>
      <c r="E4023" t="s">
        <v>6930</v>
      </c>
      <c r="F4023">
        <v>15.8</v>
      </c>
      <c r="H4023">
        <v>4527.33</v>
      </c>
      <c r="J4023" t="s">
        <v>2511</v>
      </c>
    </row>
    <row r="4024" spans="1:10" ht="15" customHeight="1" x14ac:dyDescent="0.2">
      <c r="A4024" s="420">
        <v>45658</v>
      </c>
      <c r="B4024" t="s">
        <v>2435</v>
      </c>
      <c r="C4024" t="s">
        <v>6402</v>
      </c>
      <c r="D4024" t="s">
        <v>2436</v>
      </c>
      <c r="E4024" t="s">
        <v>6931</v>
      </c>
      <c r="F4024">
        <v>27.2</v>
      </c>
      <c r="H4024">
        <v>4554.53</v>
      </c>
      <c r="J4024" t="s">
        <v>2511</v>
      </c>
    </row>
    <row r="4025" spans="1:10" ht="15" customHeight="1" x14ac:dyDescent="0.2">
      <c r="A4025" s="420">
        <v>45658</v>
      </c>
      <c r="B4025" t="s">
        <v>2435</v>
      </c>
      <c r="C4025" t="s">
        <v>6402</v>
      </c>
      <c r="D4025" t="s">
        <v>2436</v>
      </c>
      <c r="E4025" t="s">
        <v>6932</v>
      </c>
      <c r="F4025">
        <v>5.83</v>
      </c>
      <c r="H4025">
        <v>4560.3599999999997</v>
      </c>
      <c r="J4025" t="s">
        <v>2511</v>
      </c>
    </row>
    <row r="4026" spans="1:10" ht="15" customHeight="1" x14ac:dyDescent="0.2">
      <c r="A4026" s="420">
        <v>45658</v>
      </c>
      <c r="B4026" t="s">
        <v>2435</v>
      </c>
      <c r="C4026" t="s">
        <v>6402</v>
      </c>
      <c r="D4026" t="s">
        <v>2436</v>
      </c>
      <c r="E4026" t="s">
        <v>6933</v>
      </c>
      <c r="F4026">
        <v>0.94</v>
      </c>
      <c r="H4026">
        <v>4561.3</v>
      </c>
      <c r="J4026" t="s">
        <v>2511</v>
      </c>
    </row>
    <row r="4027" spans="1:10" ht="15" customHeight="1" x14ac:dyDescent="0.2">
      <c r="A4027" s="420">
        <v>45658</v>
      </c>
      <c r="B4027" t="s">
        <v>2435</v>
      </c>
      <c r="C4027" t="s">
        <v>6402</v>
      </c>
      <c r="D4027" t="s">
        <v>2436</v>
      </c>
      <c r="E4027" t="s">
        <v>6933</v>
      </c>
      <c r="F4027">
        <v>0.95</v>
      </c>
      <c r="H4027">
        <v>4562.25</v>
      </c>
      <c r="J4027" t="s">
        <v>2511</v>
      </c>
    </row>
    <row r="4028" spans="1:10" ht="15" customHeight="1" x14ac:dyDescent="0.2">
      <c r="A4028" s="420">
        <v>45658</v>
      </c>
      <c r="B4028" t="s">
        <v>2435</v>
      </c>
      <c r="C4028" t="s">
        <v>6402</v>
      </c>
      <c r="D4028" t="s">
        <v>2436</v>
      </c>
      <c r="E4028" t="s">
        <v>6934</v>
      </c>
      <c r="F4028">
        <v>0.21</v>
      </c>
      <c r="H4028">
        <v>4562.46</v>
      </c>
      <c r="J4028" t="s">
        <v>2511</v>
      </c>
    </row>
    <row r="4029" spans="1:10" ht="15" customHeight="1" x14ac:dyDescent="0.2">
      <c r="A4029" s="420">
        <v>45658</v>
      </c>
      <c r="B4029" t="s">
        <v>2435</v>
      </c>
      <c r="C4029" t="s">
        <v>6402</v>
      </c>
      <c r="D4029" t="s">
        <v>2436</v>
      </c>
      <c r="E4029" t="s">
        <v>6934</v>
      </c>
      <c r="F4029">
        <v>4.79</v>
      </c>
      <c r="H4029">
        <v>4567.25</v>
      </c>
      <c r="J4029" t="s">
        <v>2511</v>
      </c>
    </row>
    <row r="4030" spans="1:10" ht="15" customHeight="1" x14ac:dyDescent="0.2">
      <c r="A4030" s="420">
        <v>45658</v>
      </c>
      <c r="B4030" t="s">
        <v>2435</v>
      </c>
      <c r="C4030" t="s">
        <v>6402</v>
      </c>
      <c r="D4030" t="s">
        <v>2436</v>
      </c>
      <c r="E4030" t="s">
        <v>6935</v>
      </c>
      <c r="F4030">
        <v>2.73</v>
      </c>
      <c r="H4030">
        <v>4569.9799999999996</v>
      </c>
      <c r="J4030" t="s">
        <v>2511</v>
      </c>
    </row>
    <row r="4031" spans="1:10" ht="15" customHeight="1" x14ac:dyDescent="0.2">
      <c r="A4031" s="420">
        <v>45658</v>
      </c>
      <c r="B4031" t="s">
        <v>2435</v>
      </c>
      <c r="C4031" t="s">
        <v>6402</v>
      </c>
      <c r="D4031" t="s">
        <v>2436</v>
      </c>
      <c r="E4031" t="s">
        <v>6936</v>
      </c>
      <c r="F4031">
        <v>43.34</v>
      </c>
      <c r="H4031">
        <v>4613.32</v>
      </c>
      <c r="J4031" t="s">
        <v>2511</v>
      </c>
    </row>
    <row r="4032" spans="1:10" ht="15" customHeight="1" x14ac:dyDescent="0.2">
      <c r="A4032" s="420">
        <v>45658</v>
      </c>
      <c r="B4032" t="s">
        <v>2435</v>
      </c>
      <c r="C4032" t="s">
        <v>6402</v>
      </c>
      <c r="D4032" t="s">
        <v>2436</v>
      </c>
      <c r="E4032" t="s">
        <v>6937</v>
      </c>
      <c r="F4032">
        <v>2.13</v>
      </c>
      <c r="H4032">
        <v>4615.45</v>
      </c>
      <c r="J4032" t="s">
        <v>2511</v>
      </c>
    </row>
    <row r="4033" spans="1:10" ht="15" customHeight="1" x14ac:dyDescent="0.2">
      <c r="A4033" s="420">
        <v>45658</v>
      </c>
      <c r="B4033" t="s">
        <v>2435</v>
      </c>
      <c r="C4033" t="s">
        <v>6402</v>
      </c>
      <c r="D4033" t="s">
        <v>2436</v>
      </c>
      <c r="E4033" t="s">
        <v>6937</v>
      </c>
      <c r="F4033">
        <v>3.35</v>
      </c>
      <c r="H4033">
        <v>4618.8</v>
      </c>
      <c r="J4033" t="s">
        <v>2511</v>
      </c>
    </row>
    <row r="4034" spans="1:10" ht="15" customHeight="1" x14ac:dyDescent="0.2">
      <c r="A4034" s="420">
        <v>45658</v>
      </c>
      <c r="B4034" t="s">
        <v>2435</v>
      </c>
      <c r="C4034" t="s">
        <v>6402</v>
      </c>
      <c r="D4034" t="s">
        <v>2436</v>
      </c>
      <c r="E4034" t="s">
        <v>6938</v>
      </c>
      <c r="F4034">
        <v>5.82</v>
      </c>
      <c r="H4034">
        <v>4624.62</v>
      </c>
      <c r="J4034" t="s">
        <v>2511</v>
      </c>
    </row>
    <row r="4035" spans="1:10" ht="15" customHeight="1" x14ac:dyDescent="0.2">
      <c r="A4035" s="420">
        <v>45658</v>
      </c>
      <c r="B4035" t="s">
        <v>2435</v>
      </c>
      <c r="C4035" t="s">
        <v>6402</v>
      </c>
      <c r="D4035" t="s">
        <v>2436</v>
      </c>
      <c r="E4035" t="s">
        <v>6939</v>
      </c>
      <c r="F4035">
        <v>14.34</v>
      </c>
      <c r="H4035">
        <v>4638.96</v>
      </c>
      <c r="J4035" t="s">
        <v>2511</v>
      </c>
    </row>
    <row r="4036" spans="1:10" ht="15" customHeight="1" x14ac:dyDescent="0.2">
      <c r="A4036" s="420">
        <v>45658</v>
      </c>
      <c r="B4036" t="s">
        <v>2435</v>
      </c>
      <c r="C4036" t="s">
        <v>6402</v>
      </c>
      <c r="D4036" t="s">
        <v>2436</v>
      </c>
      <c r="E4036" t="s">
        <v>6940</v>
      </c>
      <c r="F4036">
        <v>4.17</v>
      </c>
      <c r="H4036">
        <v>4643.13</v>
      </c>
      <c r="J4036" t="s">
        <v>2511</v>
      </c>
    </row>
    <row r="4037" spans="1:10" ht="15" customHeight="1" x14ac:dyDescent="0.2">
      <c r="A4037" s="420">
        <v>45658</v>
      </c>
      <c r="B4037" t="s">
        <v>2435</v>
      </c>
      <c r="C4037" t="s">
        <v>6402</v>
      </c>
      <c r="D4037" t="s">
        <v>2436</v>
      </c>
      <c r="E4037" t="s">
        <v>6941</v>
      </c>
      <c r="F4037">
        <v>7.22</v>
      </c>
      <c r="H4037">
        <v>4650.3500000000004</v>
      </c>
      <c r="J4037" t="s">
        <v>2511</v>
      </c>
    </row>
    <row r="4038" spans="1:10" ht="15" customHeight="1" x14ac:dyDescent="0.2">
      <c r="A4038" s="420">
        <v>45658</v>
      </c>
      <c r="B4038" t="s">
        <v>2435</v>
      </c>
      <c r="C4038" t="s">
        <v>6402</v>
      </c>
      <c r="D4038" t="s">
        <v>2436</v>
      </c>
      <c r="E4038" t="s">
        <v>6942</v>
      </c>
      <c r="F4038">
        <v>69.8</v>
      </c>
      <c r="H4038">
        <v>4720.1499999999996</v>
      </c>
      <c r="J4038" t="s">
        <v>2511</v>
      </c>
    </row>
    <row r="4039" spans="1:10" ht="15" customHeight="1" x14ac:dyDescent="0.2">
      <c r="A4039" s="420">
        <v>45658</v>
      </c>
      <c r="B4039" t="s">
        <v>2435</v>
      </c>
      <c r="C4039" t="s">
        <v>6402</v>
      </c>
      <c r="D4039" t="s">
        <v>2436</v>
      </c>
      <c r="E4039" t="s">
        <v>2963</v>
      </c>
      <c r="F4039">
        <v>292</v>
      </c>
      <c r="H4039">
        <v>5012.1499999999996</v>
      </c>
      <c r="J4039" t="s">
        <v>2511</v>
      </c>
    </row>
    <row r="4040" spans="1:10" ht="15" customHeight="1" x14ac:dyDescent="0.2">
      <c r="A4040" s="420">
        <v>45658</v>
      </c>
      <c r="B4040" t="s">
        <v>2435</v>
      </c>
      <c r="C4040" t="s">
        <v>6402</v>
      </c>
      <c r="D4040" t="s">
        <v>2436</v>
      </c>
      <c r="E4040" t="s">
        <v>4167</v>
      </c>
      <c r="F4040">
        <v>342</v>
      </c>
      <c r="H4040">
        <v>5354.15</v>
      </c>
      <c r="J4040" t="s">
        <v>2511</v>
      </c>
    </row>
    <row r="4041" spans="1:10" ht="15" customHeight="1" x14ac:dyDescent="0.2">
      <c r="A4041" s="420">
        <v>45658</v>
      </c>
      <c r="B4041" t="s">
        <v>2435</v>
      </c>
      <c r="C4041" t="s">
        <v>6402</v>
      </c>
      <c r="D4041" t="s">
        <v>2436</v>
      </c>
      <c r="E4041" t="s">
        <v>6943</v>
      </c>
      <c r="F4041">
        <v>296.74</v>
      </c>
      <c r="H4041">
        <v>5650.89</v>
      </c>
      <c r="J4041" t="s">
        <v>2513</v>
      </c>
    </row>
    <row r="4042" spans="1:10" ht="15" customHeight="1" x14ac:dyDescent="0.2">
      <c r="A4042" s="420">
        <v>45658</v>
      </c>
      <c r="B4042" t="s">
        <v>2435</v>
      </c>
      <c r="C4042" t="s">
        <v>6402</v>
      </c>
      <c r="D4042" t="s">
        <v>2436</v>
      </c>
      <c r="E4042" t="s">
        <v>6944</v>
      </c>
      <c r="F4042">
        <v>1424.33</v>
      </c>
      <c r="H4042">
        <v>7075.22</v>
      </c>
      <c r="J4042" t="s">
        <v>2511</v>
      </c>
    </row>
    <row r="4043" spans="1:10" ht="15" customHeight="1" x14ac:dyDescent="0.2">
      <c r="A4043" s="420">
        <v>45658</v>
      </c>
      <c r="B4043" t="s">
        <v>2435</v>
      </c>
      <c r="C4043" t="s">
        <v>6402</v>
      </c>
      <c r="D4043" t="s">
        <v>2436</v>
      </c>
      <c r="E4043" t="s">
        <v>6945</v>
      </c>
      <c r="F4043">
        <v>284.10000000000002</v>
      </c>
      <c r="H4043">
        <v>7359.32</v>
      </c>
      <c r="J4043" t="s">
        <v>2511</v>
      </c>
    </row>
    <row r="4044" spans="1:10" ht="15" customHeight="1" x14ac:dyDescent="0.2">
      <c r="A4044" s="420">
        <v>45658</v>
      </c>
      <c r="B4044" t="s">
        <v>2435</v>
      </c>
      <c r="C4044" t="s">
        <v>6402</v>
      </c>
      <c r="D4044" t="s">
        <v>2436</v>
      </c>
      <c r="E4044" t="s">
        <v>6946</v>
      </c>
      <c r="F4044">
        <v>1533.74</v>
      </c>
      <c r="H4044">
        <v>8893.06</v>
      </c>
      <c r="J4044" t="s">
        <v>2511</v>
      </c>
    </row>
    <row r="4045" spans="1:10" ht="15" customHeight="1" x14ac:dyDescent="0.2">
      <c r="A4045" s="420">
        <v>45658</v>
      </c>
      <c r="B4045" t="s">
        <v>2435</v>
      </c>
      <c r="C4045" t="s">
        <v>6402</v>
      </c>
      <c r="D4045" t="s">
        <v>2436</v>
      </c>
      <c r="E4045" t="s">
        <v>6947</v>
      </c>
      <c r="F4045">
        <v>70.91</v>
      </c>
      <c r="H4045">
        <v>8963.9699999999993</v>
      </c>
      <c r="J4045" t="s">
        <v>2511</v>
      </c>
    </row>
    <row r="4046" spans="1:10" ht="15" customHeight="1" x14ac:dyDescent="0.2">
      <c r="A4046" s="420">
        <v>45658</v>
      </c>
      <c r="B4046" t="s">
        <v>2435</v>
      </c>
      <c r="C4046" t="s">
        <v>6402</v>
      </c>
      <c r="D4046" t="s">
        <v>2436</v>
      </c>
      <c r="E4046" t="s">
        <v>6948</v>
      </c>
      <c r="F4046">
        <v>130.16999999999999</v>
      </c>
      <c r="H4046">
        <v>9094.14</v>
      </c>
      <c r="J4046" t="s">
        <v>2511</v>
      </c>
    </row>
    <row r="4047" spans="1:10" ht="15" customHeight="1" x14ac:dyDescent="0.2">
      <c r="A4047" s="420">
        <v>45658</v>
      </c>
      <c r="B4047" t="s">
        <v>2435</v>
      </c>
      <c r="C4047" t="s">
        <v>6402</v>
      </c>
      <c r="D4047" t="s">
        <v>2436</v>
      </c>
      <c r="E4047" t="s">
        <v>2668</v>
      </c>
      <c r="F4047">
        <v>64.33</v>
      </c>
      <c r="H4047">
        <v>9158.4699999999993</v>
      </c>
      <c r="J4047" t="s">
        <v>2511</v>
      </c>
    </row>
    <row r="4048" spans="1:10" ht="15" customHeight="1" x14ac:dyDescent="0.2">
      <c r="A4048" s="420">
        <v>45658</v>
      </c>
      <c r="B4048" t="s">
        <v>2435</v>
      </c>
      <c r="C4048" t="s">
        <v>6402</v>
      </c>
      <c r="D4048" t="s">
        <v>2436</v>
      </c>
      <c r="E4048" t="s">
        <v>6949</v>
      </c>
      <c r="F4048">
        <v>310</v>
      </c>
      <c r="H4048">
        <v>9468.4699999999993</v>
      </c>
      <c r="J4048" t="s">
        <v>2511</v>
      </c>
    </row>
    <row r="4049" spans="1:10" ht="15" customHeight="1" x14ac:dyDescent="0.2">
      <c r="A4049" s="420">
        <v>45658</v>
      </c>
      <c r="B4049" t="s">
        <v>2435</v>
      </c>
      <c r="C4049" t="s">
        <v>6402</v>
      </c>
      <c r="D4049" t="s">
        <v>2436</v>
      </c>
      <c r="E4049" t="s">
        <v>6950</v>
      </c>
      <c r="F4049">
        <v>17</v>
      </c>
      <c r="H4049">
        <v>9485.4699999999993</v>
      </c>
      <c r="J4049" t="s">
        <v>2511</v>
      </c>
    </row>
    <row r="4050" spans="1:10" ht="15" customHeight="1" x14ac:dyDescent="0.2">
      <c r="A4050" s="420">
        <v>45658</v>
      </c>
      <c r="B4050" t="s">
        <v>2435</v>
      </c>
      <c r="C4050" t="s">
        <v>6402</v>
      </c>
      <c r="D4050" t="s">
        <v>2436</v>
      </c>
      <c r="E4050" t="s">
        <v>6951</v>
      </c>
      <c r="F4050">
        <v>17</v>
      </c>
      <c r="H4050">
        <v>9502.4699999999993</v>
      </c>
      <c r="J4050" t="s">
        <v>2511</v>
      </c>
    </row>
    <row r="4051" spans="1:10" ht="15" customHeight="1" x14ac:dyDescent="0.2">
      <c r="A4051" s="420">
        <v>45658</v>
      </c>
      <c r="B4051" t="s">
        <v>2435</v>
      </c>
      <c r="C4051" t="s">
        <v>6402</v>
      </c>
      <c r="D4051" t="s">
        <v>2436</v>
      </c>
      <c r="E4051" t="s">
        <v>6952</v>
      </c>
      <c r="F4051">
        <v>17</v>
      </c>
      <c r="H4051">
        <v>9519.4699999999993</v>
      </c>
      <c r="J4051" t="s">
        <v>2511</v>
      </c>
    </row>
    <row r="4052" spans="1:10" ht="15" customHeight="1" x14ac:dyDescent="0.2">
      <c r="A4052" s="420">
        <v>45658</v>
      </c>
      <c r="B4052" t="s">
        <v>2435</v>
      </c>
      <c r="C4052" t="s">
        <v>6402</v>
      </c>
      <c r="D4052" t="s">
        <v>2436</v>
      </c>
      <c r="E4052" t="s">
        <v>6953</v>
      </c>
      <c r="F4052">
        <v>17</v>
      </c>
      <c r="H4052">
        <v>9536.4699999999993</v>
      </c>
      <c r="J4052" t="s">
        <v>2511</v>
      </c>
    </row>
    <row r="4053" spans="1:10" ht="15" customHeight="1" x14ac:dyDescent="0.2">
      <c r="A4053" s="420">
        <v>45658</v>
      </c>
      <c r="B4053" t="s">
        <v>2435</v>
      </c>
      <c r="C4053" t="s">
        <v>6402</v>
      </c>
      <c r="D4053" t="s">
        <v>2436</v>
      </c>
      <c r="E4053" t="s">
        <v>6954</v>
      </c>
      <c r="F4053">
        <v>9</v>
      </c>
      <c r="H4053">
        <v>9545.4699999999993</v>
      </c>
      <c r="J4053" t="s">
        <v>2511</v>
      </c>
    </row>
    <row r="4054" spans="1:10" ht="15" customHeight="1" x14ac:dyDescent="0.2">
      <c r="A4054" s="420">
        <v>45658</v>
      </c>
      <c r="B4054" t="s">
        <v>2435</v>
      </c>
      <c r="C4054" t="s">
        <v>6402</v>
      </c>
      <c r="D4054" t="s">
        <v>2436</v>
      </c>
      <c r="E4054" t="s">
        <v>6955</v>
      </c>
      <c r="F4054">
        <v>50</v>
      </c>
      <c r="H4054">
        <v>9595.4699999999993</v>
      </c>
      <c r="J4054" t="s">
        <v>2511</v>
      </c>
    </row>
    <row r="4055" spans="1:10" ht="15" customHeight="1" x14ac:dyDescent="0.2">
      <c r="A4055" s="420">
        <v>45658</v>
      </c>
      <c r="B4055" t="s">
        <v>2435</v>
      </c>
      <c r="C4055" t="s">
        <v>6402</v>
      </c>
      <c r="D4055" t="s">
        <v>2436</v>
      </c>
      <c r="E4055" t="s">
        <v>6956</v>
      </c>
      <c r="F4055">
        <v>17</v>
      </c>
      <c r="H4055">
        <v>9612.4699999999993</v>
      </c>
      <c r="J4055" t="s">
        <v>2511</v>
      </c>
    </row>
    <row r="4056" spans="1:10" ht="15" customHeight="1" x14ac:dyDescent="0.2">
      <c r="A4056" s="420">
        <v>45658</v>
      </c>
      <c r="B4056" t="s">
        <v>2435</v>
      </c>
      <c r="C4056" t="s">
        <v>6402</v>
      </c>
      <c r="D4056" t="s">
        <v>2436</v>
      </c>
      <c r="E4056" t="s">
        <v>6957</v>
      </c>
      <c r="F4056">
        <v>17</v>
      </c>
      <c r="H4056">
        <v>9629.4699999999993</v>
      </c>
      <c r="J4056" t="s">
        <v>2511</v>
      </c>
    </row>
    <row r="4057" spans="1:10" ht="15" customHeight="1" x14ac:dyDescent="0.2">
      <c r="A4057" s="420">
        <v>45658</v>
      </c>
      <c r="B4057" t="s">
        <v>2435</v>
      </c>
      <c r="C4057" t="s">
        <v>6402</v>
      </c>
      <c r="D4057" t="s">
        <v>2436</v>
      </c>
      <c r="E4057" t="s">
        <v>6958</v>
      </c>
      <c r="F4057">
        <v>9</v>
      </c>
      <c r="H4057">
        <v>9638.4699999999993</v>
      </c>
      <c r="J4057" t="s">
        <v>2511</v>
      </c>
    </row>
    <row r="4058" spans="1:10" ht="15" customHeight="1" x14ac:dyDescent="0.2">
      <c r="A4058" s="420">
        <v>45658</v>
      </c>
      <c r="B4058" t="s">
        <v>2435</v>
      </c>
      <c r="C4058" t="s">
        <v>6402</v>
      </c>
      <c r="D4058" t="s">
        <v>2436</v>
      </c>
      <c r="E4058" t="s">
        <v>6959</v>
      </c>
      <c r="F4058">
        <v>17</v>
      </c>
      <c r="H4058">
        <v>9655.4699999999993</v>
      </c>
      <c r="J4058" t="s">
        <v>2511</v>
      </c>
    </row>
    <row r="4059" spans="1:10" ht="15" customHeight="1" x14ac:dyDescent="0.2">
      <c r="A4059" s="420">
        <v>45658</v>
      </c>
      <c r="B4059" t="s">
        <v>2435</v>
      </c>
      <c r="C4059" t="s">
        <v>6402</v>
      </c>
      <c r="D4059" t="s">
        <v>2436</v>
      </c>
      <c r="E4059" t="s">
        <v>6960</v>
      </c>
      <c r="F4059">
        <v>33.159999999999997</v>
      </c>
      <c r="H4059">
        <v>9688.6299999999992</v>
      </c>
      <c r="J4059" t="s">
        <v>2511</v>
      </c>
    </row>
    <row r="4060" spans="1:10" ht="15" customHeight="1" x14ac:dyDescent="0.2">
      <c r="A4060" s="420">
        <v>45658</v>
      </c>
      <c r="B4060" t="s">
        <v>2435</v>
      </c>
      <c r="C4060" t="s">
        <v>6402</v>
      </c>
      <c r="D4060" t="s">
        <v>2436</v>
      </c>
      <c r="E4060" t="s">
        <v>6960</v>
      </c>
      <c r="F4060">
        <v>6.5</v>
      </c>
      <c r="H4060">
        <v>9695.1299999999992</v>
      </c>
      <c r="J4060" t="s">
        <v>2511</v>
      </c>
    </row>
    <row r="4061" spans="1:10" ht="15" customHeight="1" x14ac:dyDescent="0.2">
      <c r="A4061" s="420">
        <v>45658</v>
      </c>
      <c r="B4061" t="s">
        <v>2435</v>
      </c>
      <c r="C4061" t="s">
        <v>6402</v>
      </c>
      <c r="D4061" t="s">
        <v>2436</v>
      </c>
      <c r="E4061" t="s">
        <v>6961</v>
      </c>
      <c r="F4061">
        <v>1363.68</v>
      </c>
      <c r="H4061">
        <v>11058.81</v>
      </c>
      <c r="J4061" t="s">
        <v>2511</v>
      </c>
    </row>
    <row r="4062" spans="1:10" ht="15" customHeight="1" x14ac:dyDescent="0.2">
      <c r="A4062" s="420">
        <v>45658</v>
      </c>
      <c r="B4062" t="s">
        <v>2435</v>
      </c>
      <c r="C4062" t="s">
        <v>6402</v>
      </c>
      <c r="D4062" t="s">
        <v>2436</v>
      </c>
      <c r="E4062" t="s">
        <v>6962</v>
      </c>
      <c r="G4062">
        <v>5271</v>
      </c>
      <c r="H4062">
        <v>5787.81</v>
      </c>
      <c r="J4062" t="s">
        <v>2511</v>
      </c>
    </row>
    <row r="4063" spans="1:10" ht="15" customHeight="1" x14ac:dyDescent="0.2">
      <c r="A4063" s="420">
        <v>45658</v>
      </c>
      <c r="B4063" t="s">
        <v>2435</v>
      </c>
      <c r="C4063" t="s">
        <v>6402</v>
      </c>
      <c r="D4063" t="s">
        <v>2436</v>
      </c>
      <c r="E4063" t="s">
        <v>4168</v>
      </c>
      <c r="G4063">
        <v>2100</v>
      </c>
      <c r="H4063">
        <v>3687.81</v>
      </c>
      <c r="J4063" t="s">
        <v>2511</v>
      </c>
    </row>
    <row r="4064" spans="1:10" ht="15" customHeight="1" x14ac:dyDescent="0.2">
      <c r="A4064" s="420">
        <v>45658</v>
      </c>
      <c r="B4064" t="s">
        <v>2435</v>
      </c>
      <c r="C4064" t="s">
        <v>6402</v>
      </c>
      <c r="D4064" t="s">
        <v>2436</v>
      </c>
      <c r="E4064" t="s">
        <v>3934</v>
      </c>
      <c r="F4064">
        <v>1.56</v>
      </c>
      <c r="H4064">
        <v>3689.37</v>
      </c>
      <c r="J4064" t="s">
        <v>2511</v>
      </c>
    </row>
    <row r="4065" spans="1:10" ht="15" customHeight="1" x14ac:dyDescent="0.2">
      <c r="A4065" s="420">
        <v>45658</v>
      </c>
      <c r="B4065" t="s">
        <v>2435</v>
      </c>
      <c r="C4065" t="s">
        <v>6402</v>
      </c>
      <c r="D4065" t="s">
        <v>2436</v>
      </c>
      <c r="E4065" t="s">
        <v>4170</v>
      </c>
      <c r="F4065">
        <v>66.05</v>
      </c>
      <c r="H4065">
        <v>3755.42</v>
      </c>
      <c r="J4065" t="s">
        <v>2511</v>
      </c>
    </row>
    <row r="4066" spans="1:10" ht="15" customHeight="1" x14ac:dyDescent="0.2">
      <c r="A4066" s="420">
        <v>45658</v>
      </c>
      <c r="B4066" t="s">
        <v>2435</v>
      </c>
      <c r="C4066" t="s">
        <v>6402</v>
      </c>
      <c r="D4066" t="s">
        <v>2436</v>
      </c>
      <c r="E4066" t="s">
        <v>4171</v>
      </c>
      <c r="F4066">
        <v>26.97</v>
      </c>
      <c r="H4066">
        <v>3782.39</v>
      </c>
      <c r="J4066" t="s">
        <v>2511</v>
      </c>
    </row>
    <row r="4067" spans="1:10" ht="15" customHeight="1" x14ac:dyDescent="0.2">
      <c r="A4067" s="420">
        <v>45658</v>
      </c>
      <c r="B4067" t="s">
        <v>2435</v>
      </c>
      <c r="C4067" t="s">
        <v>6402</v>
      </c>
      <c r="D4067" t="s">
        <v>2436</v>
      </c>
      <c r="E4067" t="s">
        <v>2669</v>
      </c>
      <c r="F4067">
        <v>206.31</v>
      </c>
      <c r="H4067">
        <v>3988.7</v>
      </c>
      <c r="J4067" t="s">
        <v>2511</v>
      </c>
    </row>
    <row r="4068" spans="1:10" ht="15" customHeight="1" x14ac:dyDescent="0.2">
      <c r="A4068" s="420">
        <v>45658</v>
      </c>
      <c r="B4068" t="s">
        <v>2435</v>
      </c>
      <c r="C4068" t="s">
        <v>6402</v>
      </c>
      <c r="D4068" t="s">
        <v>2436</v>
      </c>
      <c r="E4068" t="s">
        <v>4172</v>
      </c>
      <c r="F4068">
        <v>17</v>
      </c>
      <c r="H4068">
        <v>4005.7</v>
      </c>
      <c r="J4068" t="s">
        <v>2511</v>
      </c>
    </row>
    <row r="4069" spans="1:10" ht="15" customHeight="1" x14ac:dyDescent="0.2">
      <c r="A4069" s="420">
        <v>45658</v>
      </c>
      <c r="B4069" t="s">
        <v>2435</v>
      </c>
      <c r="C4069" t="s">
        <v>6402</v>
      </c>
      <c r="D4069" t="s">
        <v>2436</v>
      </c>
      <c r="E4069" t="s">
        <v>4173</v>
      </c>
      <c r="F4069">
        <v>17</v>
      </c>
      <c r="H4069">
        <v>4022.7</v>
      </c>
      <c r="J4069" t="s">
        <v>2511</v>
      </c>
    </row>
    <row r="4070" spans="1:10" ht="15" customHeight="1" x14ac:dyDescent="0.2">
      <c r="A4070" s="420">
        <v>45658</v>
      </c>
      <c r="B4070" t="s">
        <v>2435</v>
      </c>
      <c r="C4070" t="s">
        <v>6402</v>
      </c>
      <c r="D4070" t="s">
        <v>2436</v>
      </c>
      <c r="E4070" t="s">
        <v>4174</v>
      </c>
      <c r="F4070">
        <v>9</v>
      </c>
      <c r="H4070">
        <v>4031.7</v>
      </c>
      <c r="J4070" t="s">
        <v>2511</v>
      </c>
    </row>
    <row r="4071" spans="1:10" ht="15" customHeight="1" x14ac:dyDescent="0.2">
      <c r="A4071" s="420">
        <v>45658</v>
      </c>
      <c r="B4071" t="s">
        <v>2435</v>
      </c>
      <c r="C4071" t="s">
        <v>6402</v>
      </c>
      <c r="D4071" t="s">
        <v>2436</v>
      </c>
      <c r="E4071" t="s">
        <v>4175</v>
      </c>
      <c r="F4071">
        <v>17</v>
      </c>
      <c r="H4071">
        <v>4048.7</v>
      </c>
      <c r="J4071" t="s">
        <v>2511</v>
      </c>
    </row>
    <row r="4072" spans="1:10" ht="15" customHeight="1" x14ac:dyDescent="0.2">
      <c r="A4072" s="420">
        <v>45658</v>
      </c>
      <c r="B4072" t="s">
        <v>2435</v>
      </c>
      <c r="C4072" t="s">
        <v>6402</v>
      </c>
      <c r="D4072" t="s">
        <v>2436</v>
      </c>
      <c r="E4072" t="s">
        <v>4176</v>
      </c>
      <c r="F4072">
        <v>17</v>
      </c>
      <c r="H4072">
        <v>4065.7</v>
      </c>
      <c r="J4072" t="s">
        <v>2511</v>
      </c>
    </row>
    <row r="4073" spans="1:10" ht="15" customHeight="1" x14ac:dyDescent="0.2">
      <c r="A4073" s="420">
        <v>45658</v>
      </c>
      <c r="B4073" t="s">
        <v>2435</v>
      </c>
      <c r="C4073" t="s">
        <v>6402</v>
      </c>
      <c r="D4073" t="s">
        <v>2436</v>
      </c>
      <c r="E4073" t="s">
        <v>4177</v>
      </c>
      <c r="F4073">
        <v>17</v>
      </c>
      <c r="H4073">
        <v>4082.7</v>
      </c>
      <c r="J4073" t="s">
        <v>2511</v>
      </c>
    </row>
    <row r="4074" spans="1:10" ht="15" customHeight="1" x14ac:dyDescent="0.2">
      <c r="A4074" s="420">
        <v>45658</v>
      </c>
      <c r="B4074" t="s">
        <v>2435</v>
      </c>
      <c r="C4074" t="s">
        <v>6402</v>
      </c>
      <c r="D4074" t="s">
        <v>2436</v>
      </c>
      <c r="E4074" t="s">
        <v>4178</v>
      </c>
      <c r="F4074">
        <v>9</v>
      </c>
      <c r="H4074">
        <v>4091.7</v>
      </c>
      <c r="J4074" t="s">
        <v>2511</v>
      </c>
    </row>
    <row r="4075" spans="1:10" ht="15" customHeight="1" x14ac:dyDescent="0.2">
      <c r="A4075" s="420">
        <v>45658</v>
      </c>
      <c r="B4075" t="s">
        <v>2435</v>
      </c>
      <c r="C4075" t="s">
        <v>6402</v>
      </c>
      <c r="D4075" t="s">
        <v>2436</v>
      </c>
      <c r="E4075" t="s">
        <v>4179</v>
      </c>
      <c r="F4075">
        <v>9</v>
      </c>
      <c r="H4075">
        <v>4100.7</v>
      </c>
      <c r="J4075" t="s">
        <v>2511</v>
      </c>
    </row>
    <row r="4076" spans="1:10" ht="15" customHeight="1" x14ac:dyDescent="0.2">
      <c r="A4076" s="420">
        <v>45658</v>
      </c>
      <c r="B4076" t="s">
        <v>2435</v>
      </c>
      <c r="C4076" t="s">
        <v>6402</v>
      </c>
      <c r="D4076" t="s">
        <v>2436</v>
      </c>
      <c r="E4076" t="s">
        <v>2670</v>
      </c>
      <c r="F4076">
        <v>64.62</v>
      </c>
      <c r="H4076">
        <v>4165.32</v>
      </c>
      <c r="J4076" t="s">
        <v>2511</v>
      </c>
    </row>
    <row r="4077" spans="1:10" ht="15" customHeight="1" x14ac:dyDescent="0.2">
      <c r="A4077" s="420">
        <v>45658</v>
      </c>
      <c r="B4077" t="s">
        <v>2435</v>
      </c>
      <c r="C4077" t="s">
        <v>6402</v>
      </c>
      <c r="D4077" t="s">
        <v>2436</v>
      </c>
      <c r="E4077" t="s">
        <v>6963</v>
      </c>
      <c r="F4077">
        <v>64.349999999999994</v>
      </c>
      <c r="H4077">
        <v>4229.67</v>
      </c>
      <c r="J4077" t="s">
        <v>2511</v>
      </c>
    </row>
    <row r="4078" spans="1:10" ht="15" customHeight="1" x14ac:dyDescent="0.2">
      <c r="A4078" s="420">
        <v>45658</v>
      </c>
      <c r="B4078" t="s">
        <v>2435</v>
      </c>
      <c r="C4078" t="s">
        <v>6402</v>
      </c>
      <c r="D4078" t="s">
        <v>2436</v>
      </c>
      <c r="E4078" t="s">
        <v>6964</v>
      </c>
      <c r="G4078">
        <v>4.67</v>
      </c>
      <c r="H4078">
        <v>4225</v>
      </c>
      <c r="J4078" t="s">
        <v>2511</v>
      </c>
    </row>
    <row r="4079" spans="1:10" ht="15" customHeight="1" x14ac:dyDescent="0.2">
      <c r="A4079" s="420">
        <v>45658</v>
      </c>
      <c r="B4079" t="s">
        <v>2435</v>
      </c>
      <c r="C4079" t="s">
        <v>6402</v>
      </c>
      <c r="D4079" t="s">
        <v>2436</v>
      </c>
      <c r="E4079" t="s">
        <v>6965</v>
      </c>
      <c r="F4079">
        <v>130.63999999999999</v>
      </c>
      <c r="H4079">
        <v>4355.6400000000003</v>
      </c>
      <c r="J4079" t="s">
        <v>2511</v>
      </c>
    </row>
    <row r="4080" spans="1:10" ht="15" customHeight="1" x14ac:dyDescent="0.2">
      <c r="A4080" s="420">
        <v>45658</v>
      </c>
      <c r="B4080" t="s">
        <v>2435</v>
      </c>
      <c r="C4080" t="s">
        <v>6402</v>
      </c>
      <c r="D4080" t="s">
        <v>2436</v>
      </c>
      <c r="E4080" t="s">
        <v>6966</v>
      </c>
      <c r="F4080">
        <v>130.63999999999999</v>
      </c>
      <c r="H4080">
        <v>4486.28</v>
      </c>
      <c r="J4080" t="s">
        <v>2511</v>
      </c>
    </row>
    <row r="4081" spans="1:10" ht="15" customHeight="1" x14ac:dyDescent="0.2">
      <c r="A4081" s="420">
        <v>45658</v>
      </c>
      <c r="B4081" t="s">
        <v>2435</v>
      </c>
      <c r="C4081" t="s">
        <v>6402</v>
      </c>
      <c r="D4081" t="s">
        <v>2436</v>
      </c>
      <c r="E4081" t="s">
        <v>5092</v>
      </c>
      <c r="F4081">
        <v>30</v>
      </c>
      <c r="H4081">
        <v>4516.28</v>
      </c>
      <c r="J4081" t="s">
        <v>2511</v>
      </c>
    </row>
    <row r="4082" spans="1:10" ht="15" customHeight="1" x14ac:dyDescent="0.2">
      <c r="A4082" s="420">
        <v>45658</v>
      </c>
      <c r="B4082" t="s">
        <v>2435</v>
      </c>
      <c r="C4082" t="s">
        <v>6402</v>
      </c>
      <c r="D4082" t="s">
        <v>2436</v>
      </c>
      <c r="E4082" t="s">
        <v>6967</v>
      </c>
      <c r="G4082">
        <v>677</v>
      </c>
      <c r="H4082">
        <v>3839.28</v>
      </c>
      <c r="J4082" t="s">
        <v>2511</v>
      </c>
    </row>
    <row r="4083" spans="1:10" ht="15" customHeight="1" x14ac:dyDescent="0.2">
      <c r="A4083" s="420">
        <v>45658</v>
      </c>
      <c r="B4083" t="s">
        <v>2435</v>
      </c>
      <c r="C4083" t="s">
        <v>6402</v>
      </c>
      <c r="D4083" t="s">
        <v>2436</v>
      </c>
      <c r="E4083" t="s">
        <v>3013</v>
      </c>
      <c r="F4083">
        <v>59.19</v>
      </c>
      <c r="H4083">
        <v>3898.47</v>
      </c>
      <c r="J4083" t="s">
        <v>2511</v>
      </c>
    </row>
    <row r="4084" spans="1:10" ht="15" customHeight="1" x14ac:dyDescent="0.2">
      <c r="A4084" s="420">
        <v>45658</v>
      </c>
      <c r="B4084" t="s">
        <v>2547</v>
      </c>
      <c r="C4084" t="s">
        <v>6402</v>
      </c>
      <c r="D4084" t="s">
        <v>2857</v>
      </c>
      <c r="E4084" t="s">
        <v>2858</v>
      </c>
      <c r="F4084">
        <v>4.5</v>
      </c>
      <c r="H4084">
        <v>3902.97</v>
      </c>
      <c r="J4084" t="s">
        <v>2511</v>
      </c>
    </row>
    <row r="4085" spans="1:10" ht="15" customHeight="1" x14ac:dyDescent="0.2">
      <c r="A4085" s="420">
        <v>45658</v>
      </c>
      <c r="B4085" t="s">
        <v>2547</v>
      </c>
      <c r="C4085" t="s">
        <v>6402</v>
      </c>
      <c r="D4085" t="s">
        <v>4180</v>
      </c>
      <c r="E4085" t="s">
        <v>1063</v>
      </c>
      <c r="F4085">
        <v>9</v>
      </c>
      <c r="H4085">
        <v>3911.97</v>
      </c>
      <c r="J4085" t="s">
        <v>2511</v>
      </c>
    </row>
    <row r="4086" spans="1:10" ht="15" customHeight="1" x14ac:dyDescent="0.2">
      <c r="A4086" s="420">
        <v>45658</v>
      </c>
      <c r="B4086" t="s">
        <v>2547</v>
      </c>
      <c r="C4086" t="s">
        <v>6402</v>
      </c>
      <c r="D4086" t="s">
        <v>4181</v>
      </c>
      <c r="E4086" t="s">
        <v>1064</v>
      </c>
      <c r="F4086">
        <v>17</v>
      </c>
      <c r="H4086">
        <v>3928.97</v>
      </c>
      <c r="J4086" t="s">
        <v>2511</v>
      </c>
    </row>
    <row r="4087" spans="1:10" ht="15" customHeight="1" x14ac:dyDescent="0.2">
      <c r="A4087" s="420">
        <v>45658</v>
      </c>
      <c r="B4087" t="s">
        <v>2547</v>
      </c>
      <c r="C4087" t="s">
        <v>6402</v>
      </c>
      <c r="D4087" t="s">
        <v>4182</v>
      </c>
      <c r="E4087" t="s">
        <v>1065</v>
      </c>
      <c r="F4087">
        <v>17</v>
      </c>
      <c r="H4087">
        <v>3945.97</v>
      </c>
      <c r="J4087" t="s">
        <v>2511</v>
      </c>
    </row>
    <row r="4088" spans="1:10" ht="15" customHeight="1" x14ac:dyDescent="0.2">
      <c r="A4088" s="420">
        <v>45659</v>
      </c>
      <c r="B4088" t="s">
        <v>2532</v>
      </c>
      <c r="C4088" t="s">
        <v>6402</v>
      </c>
      <c r="D4088" t="s">
        <v>5332</v>
      </c>
      <c r="E4088" t="s">
        <v>1439</v>
      </c>
      <c r="F4088">
        <v>4</v>
      </c>
      <c r="H4088">
        <v>3949.97</v>
      </c>
      <c r="J4088" t="s">
        <v>2511</v>
      </c>
    </row>
    <row r="4089" spans="1:10" ht="15" customHeight="1" x14ac:dyDescent="0.2">
      <c r="A4089" s="420">
        <v>45660</v>
      </c>
      <c r="B4089" t="s">
        <v>2532</v>
      </c>
      <c r="C4089" t="s">
        <v>6402</v>
      </c>
      <c r="D4089" t="s">
        <v>4183</v>
      </c>
      <c r="E4089" t="s">
        <v>4184</v>
      </c>
      <c r="F4089">
        <v>288</v>
      </c>
      <c r="H4089">
        <v>4237.97</v>
      </c>
      <c r="J4089" t="s">
        <v>2511</v>
      </c>
    </row>
    <row r="4090" spans="1:10" ht="15" customHeight="1" x14ac:dyDescent="0.2">
      <c r="A4090" s="420">
        <v>45662</v>
      </c>
      <c r="B4090" t="s">
        <v>2532</v>
      </c>
      <c r="C4090" t="s">
        <v>6402</v>
      </c>
      <c r="D4090" t="s">
        <v>4140</v>
      </c>
      <c r="E4090" t="s">
        <v>1295</v>
      </c>
      <c r="F4090">
        <v>2.8</v>
      </c>
      <c r="H4090">
        <v>4240.7700000000004</v>
      </c>
      <c r="J4090" t="s">
        <v>2511</v>
      </c>
    </row>
    <row r="4091" spans="1:10" ht="15" customHeight="1" x14ac:dyDescent="0.2">
      <c r="A4091" s="420">
        <v>45663</v>
      </c>
      <c r="B4091" t="s">
        <v>2532</v>
      </c>
      <c r="C4091" t="s">
        <v>6402</v>
      </c>
      <c r="D4091" t="s">
        <v>2873</v>
      </c>
      <c r="E4091" t="s">
        <v>1440</v>
      </c>
      <c r="F4091">
        <v>185.35</v>
      </c>
      <c r="H4091">
        <v>4426.12</v>
      </c>
      <c r="J4091" t="s">
        <v>2511</v>
      </c>
    </row>
    <row r="4092" spans="1:10" ht="15" customHeight="1" x14ac:dyDescent="0.2">
      <c r="A4092" s="420">
        <v>45663</v>
      </c>
      <c r="B4092" t="s">
        <v>2532</v>
      </c>
      <c r="C4092" t="s">
        <v>6402</v>
      </c>
      <c r="D4092" t="s">
        <v>2753</v>
      </c>
      <c r="E4092" t="s">
        <v>437</v>
      </c>
      <c r="F4092">
        <v>2.83</v>
      </c>
      <c r="H4092">
        <v>4428.95</v>
      </c>
      <c r="J4092" t="s">
        <v>2511</v>
      </c>
    </row>
    <row r="4093" spans="1:10" ht="15" customHeight="1" x14ac:dyDescent="0.2">
      <c r="A4093" s="420">
        <v>45663</v>
      </c>
      <c r="B4093" t="s">
        <v>2532</v>
      </c>
      <c r="C4093" t="s">
        <v>6402</v>
      </c>
      <c r="D4093" t="s">
        <v>2753</v>
      </c>
      <c r="E4093" t="s">
        <v>437</v>
      </c>
      <c r="F4093">
        <v>3.88</v>
      </c>
      <c r="H4093">
        <v>4432.83</v>
      </c>
      <c r="J4093" t="s">
        <v>2511</v>
      </c>
    </row>
    <row r="4094" spans="1:10" ht="15" customHeight="1" x14ac:dyDescent="0.2">
      <c r="A4094" s="420">
        <v>45663</v>
      </c>
      <c r="B4094" t="s">
        <v>2547</v>
      </c>
      <c r="C4094" t="s">
        <v>6402</v>
      </c>
      <c r="D4094" t="s">
        <v>3595</v>
      </c>
      <c r="E4094" t="s">
        <v>1737</v>
      </c>
      <c r="F4094">
        <v>4.24</v>
      </c>
      <c r="H4094">
        <v>4437.07</v>
      </c>
      <c r="J4094" t="s">
        <v>2511</v>
      </c>
    </row>
    <row r="4095" spans="1:10" ht="15" customHeight="1" x14ac:dyDescent="0.2">
      <c r="A4095" s="420">
        <v>45663</v>
      </c>
      <c r="B4095" t="s">
        <v>2532</v>
      </c>
      <c r="C4095" t="s">
        <v>6402</v>
      </c>
      <c r="D4095" t="s">
        <v>4117</v>
      </c>
      <c r="E4095" t="s">
        <v>1074</v>
      </c>
      <c r="F4095">
        <v>21.6</v>
      </c>
      <c r="H4095">
        <v>4458.67</v>
      </c>
      <c r="J4095" t="s">
        <v>2511</v>
      </c>
    </row>
    <row r="4096" spans="1:10" ht="15" customHeight="1" x14ac:dyDescent="0.2">
      <c r="A4096" s="420">
        <v>45664</v>
      </c>
      <c r="B4096" t="s">
        <v>2532</v>
      </c>
      <c r="C4096" t="s">
        <v>6402</v>
      </c>
      <c r="D4096" t="s">
        <v>2754</v>
      </c>
      <c r="E4096" t="s">
        <v>446</v>
      </c>
      <c r="F4096">
        <v>5</v>
      </c>
      <c r="H4096">
        <v>4463.67</v>
      </c>
      <c r="J4096" t="s">
        <v>2511</v>
      </c>
    </row>
    <row r="4097" spans="1:10" ht="15" customHeight="1" x14ac:dyDescent="0.2">
      <c r="A4097" s="420">
        <v>45664</v>
      </c>
      <c r="B4097" t="s">
        <v>2532</v>
      </c>
      <c r="C4097" t="s">
        <v>6402</v>
      </c>
      <c r="D4097" t="s">
        <v>2755</v>
      </c>
      <c r="E4097" t="s">
        <v>441</v>
      </c>
      <c r="F4097">
        <v>1.75</v>
      </c>
      <c r="H4097">
        <v>4465.42</v>
      </c>
      <c r="J4097" t="s">
        <v>2511</v>
      </c>
    </row>
    <row r="4098" spans="1:10" ht="15" customHeight="1" x14ac:dyDescent="0.2">
      <c r="A4098" s="420">
        <v>45664</v>
      </c>
      <c r="B4098" t="s">
        <v>2532</v>
      </c>
      <c r="C4098" t="s">
        <v>6402</v>
      </c>
      <c r="D4098" t="s">
        <v>2756</v>
      </c>
      <c r="E4098" t="s">
        <v>442</v>
      </c>
      <c r="F4098">
        <v>9.98</v>
      </c>
      <c r="H4098">
        <v>4475.3999999999996</v>
      </c>
      <c r="J4098" t="s">
        <v>2511</v>
      </c>
    </row>
    <row r="4099" spans="1:10" ht="15" customHeight="1" x14ac:dyDescent="0.2">
      <c r="A4099" s="420">
        <v>45664</v>
      </c>
      <c r="B4099" t="s">
        <v>2532</v>
      </c>
      <c r="C4099" t="s">
        <v>6402</v>
      </c>
      <c r="D4099" t="s">
        <v>2757</v>
      </c>
      <c r="E4099" t="s">
        <v>443</v>
      </c>
      <c r="F4099">
        <v>5.7</v>
      </c>
      <c r="H4099">
        <v>4481.1000000000004</v>
      </c>
      <c r="J4099" t="s">
        <v>2511</v>
      </c>
    </row>
    <row r="4100" spans="1:10" ht="15" customHeight="1" x14ac:dyDescent="0.2">
      <c r="A4100" s="420">
        <v>45664</v>
      </c>
      <c r="B4100" t="s">
        <v>2532</v>
      </c>
      <c r="C4100" t="s">
        <v>6402</v>
      </c>
      <c r="D4100" t="s">
        <v>2758</v>
      </c>
      <c r="E4100" t="s">
        <v>444</v>
      </c>
      <c r="F4100">
        <v>5.62</v>
      </c>
      <c r="H4100">
        <v>4486.72</v>
      </c>
      <c r="J4100" t="s">
        <v>2511</v>
      </c>
    </row>
    <row r="4101" spans="1:10" ht="15" customHeight="1" x14ac:dyDescent="0.2">
      <c r="A4101" s="420">
        <v>45664</v>
      </c>
      <c r="B4101" t="s">
        <v>2532</v>
      </c>
      <c r="C4101" t="s">
        <v>6402</v>
      </c>
      <c r="D4101" t="s">
        <v>2759</v>
      </c>
      <c r="E4101" t="s">
        <v>445</v>
      </c>
      <c r="F4101">
        <v>9.98</v>
      </c>
      <c r="H4101">
        <v>4496.7</v>
      </c>
      <c r="J4101" t="s">
        <v>2511</v>
      </c>
    </row>
    <row r="4102" spans="1:10" ht="15" customHeight="1" x14ac:dyDescent="0.2">
      <c r="A4102" s="420">
        <v>45665</v>
      </c>
      <c r="B4102" t="s">
        <v>2532</v>
      </c>
      <c r="C4102" t="s">
        <v>6402</v>
      </c>
      <c r="D4102" t="s">
        <v>5023</v>
      </c>
      <c r="E4102" t="s">
        <v>1297</v>
      </c>
      <c r="F4102">
        <v>27.2</v>
      </c>
      <c r="H4102">
        <v>4523.8999999999996</v>
      </c>
      <c r="J4102" t="s">
        <v>2511</v>
      </c>
    </row>
    <row r="4103" spans="1:10" ht="15" customHeight="1" x14ac:dyDescent="0.2">
      <c r="A4103" s="420">
        <v>45665</v>
      </c>
      <c r="B4103" t="s">
        <v>2532</v>
      </c>
      <c r="C4103" t="s">
        <v>6402</v>
      </c>
      <c r="D4103" t="s">
        <v>5024</v>
      </c>
      <c r="E4103" t="s">
        <v>1625</v>
      </c>
      <c r="F4103">
        <v>2</v>
      </c>
      <c r="H4103">
        <v>4525.8999999999996</v>
      </c>
      <c r="J4103" t="s">
        <v>2511</v>
      </c>
    </row>
    <row r="4104" spans="1:10" ht="15" customHeight="1" x14ac:dyDescent="0.2">
      <c r="A4104" s="420">
        <v>45665</v>
      </c>
      <c r="B4104" t="s">
        <v>3987</v>
      </c>
      <c r="C4104" t="s">
        <v>6402</v>
      </c>
      <c r="D4104" t="s">
        <v>3992</v>
      </c>
      <c r="E4104" t="s">
        <v>6968</v>
      </c>
      <c r="F4104">
        <v>132.08000000000001</v>
      </c>
      <c r="H4104">
        <v>4657.9799999999996</v>
      </c>
      <c r="J4104" t="s">
        <v>2511</v>
      </c>
    </row>
    <row r="4105" spans="1:10" ht="15" customHeight="1" x14ac:dyDescent="0.2">
      <c r="A4105" s="420">
        <v>45667</v>
      </c>
      <c r="B4105" t="s">
        <v>2532</v>
      </c>
      <c r="C4105" t="s">
        <v>6402</v>
      </c>
      <c r="D4105" t="s">
        <v>3050</v>
      </c>
      <c r="E4105" t="s">
        <v>448</v>
      </c>
      <c r="F4105">
        <v>100.26</v>
      </c>
      <c r="H4105">
        <v>4758.24</v>
      </c>
      <c r="J4105" t="s">
        <v>2511</v>
      </c>
    </row>
    <row r="4106" spans="1:10" ht="15" customHeight="1" x14ac:dyDescent="0.2">
      <c r="A4106" s="420">
        <v>45667</v>
      </c>
      <c r="B4106" t="s">
        <v>2532</v>
      </c>
      <c r="C4106" t="s">
        <v>6402</v>
      </c>
      <c r="D4106" t="s">
        <v>4112</v>
      </c>
      <c r="E4106" t="s">
        <v>1743</v>
      </c>
      <c r="F4106">
        <v>14.33</v>
      </c>
      <c r="H4106">
        <v>4772.57</v>
      </c>
      <c r="J4106" t="s">
        <v>2511</v>
      </c>
    </row>
    <row r="4107" spans="1:10" ht="15" customHeight="1" x14ac:dyDescent="0.2">
      <c r="A4107" s="420">
        <v>45667</v>
      </c>
      <c r="B4107" t="s">
        <v>2532</v>
      </c>
      <c r="C4107" t="s">
        <v>6402</v>
      </c>
      <c r="D4107" t="s">
        <v>5006</v>
      </c>
      <c r="E4107" t="s">
        <v>449</v>
      </c>
      <c r="F4107">
        <v>11.09</v>
      </c>
      <c r="H4107">
        <v>4783.66</v>
      </c>
      <c r="J4107" t="s">
        <v>2511</v>
      </c>
    </row>
    <row r="4108" spans="1:10" ht="15" customHeight="1" x14ac:dyDescent="0.2">
      <c r="A4108" s="420">
        <v>45671</v>
      </c>
      <c r="B4108" t="s">
        <v>2532</v>
      </c>
      <c r="C4108" t="s">
        <v>6402</v>
      </c>
      <c r="D4108" t="s">
        <v>4728</v>
      </c>
      <c r="E4108" t="s">
        <v>1629</v>
      </c>
      <c r="F4108">
        <v>16.13</v>
      </c>
      <c r="H4108">
        <v>4799.79</v>
      </c>
      <c r="J4108" t="s">
        <v>2511</v>
      </c>
    </row>
    <row r="4109" spans="1:10" ht="15" customHeight="1" x14ac:dyDescent="0.2">
      <c r="A4109" s="420">
        <v>45672</v>
      </c>
      <c r="B4109" t="s">
        <v>2532</v>
      </c>
      <c r="C4109" t="s">
        <v>6402</v>
      </c>
      <c r="D4109" t="s">
        <v>5081</v>
      </c>
      <c r="E4109" t="s">
        <v>946</v>
      </c>
      <c r="F4109">
        <v>50.8</v>
      </c>
      <c r="H4109">
        <v>4850.59</v>
      </c>
      <c r="J4109" t="s">
        <v>2511</v>
      </c>
    </row>
    <row r="4110" spans="1:10" ht="15" customHeight="1" x14ac:dyDescent="0.2">
      <c r="A4110" s="420">
        <v>45673</v>
      </c>
      <c r="B4110" t="s">
        <v>2532</v>
      </c>
      <c r="C4110" t="s">
        <v>6402</v>
      </c>
      <c r="D4110" t="s">
        <v>4837</v>
      </c>
      <c r="E4110" t="s">
        <v>1748</v>
      </c>
      <c r="F4110">
        <v>2.6</v>
      </c>
      <c r="H4110">
        <v>4853.1899999999996</v>
      </c>
      <c r="J4110" t="s">
        <v>2511</v>
      </c>
    </row>
    <row r="4111" spans="1:10" ht="15" customHeight="1" x14ac:dyDescent="0.2">
      <c r="A4111" s="420">
        <v>45673</v>
      </c>
      <c r="B4111" t="s">
        <v>2532</v>
      </c>
      <c r="C4111" t="s">
        <v>6402</v>
      </c>
      <c r="D4111" t="s">
        <v>4837</v>
      </c>
      <c r="E4111" t="s">
        <v>1748</v>
      </c>
      <c r="F4111">
        <v>2.0699999999999998</v>
      </c>
      <c r="H4111">
        <v>4855.26</v>
      </c>
      <c r="J4111" t="s">
        <v>2511</v>
      </c>
    </row>
    <row r="4112" spans="1:10" ht="15" customHeight="1" x14ac:dyDescent="0.2">
      <c r="A4112" s="420">
        <v>45673</v>
      </c>
      <c r="B4112" t="s">
        <v>2532</v>
      </c>
      <c r="C4112" t="s">
        <v>6402</v>
      </c>
      <c r="D4112" t="s">
        <v>4838</v>
      </c>
      <c r="E4112" t="s">
        <v>1749</v>
      </c>
      <c r="F4112">
        <v>2.27</v>
      </c>
      <c r="H4112">
        <v>4857.53</v>
      </c>
      <c r="J4112" t="s">
        <v>2511</v>
      </c>
    </row>
    <row r="4113" spans="1:10" ht="15" customHeight="1" x14ac:dyDescent="0.2">
      <c r="A4113" s="420">
        <v>45673</v>
      </c>
      <c r="B4113" t="s">
        <v>2532</v>
      </c>
      <c r="C4113" t="s">
        <v>6402</v>
      </c>
      <c r="D4113" t="s">
        <v>4838</v>
      </c>
      <c r="E4113" t="s">
        <v>1749</v>
      </c>
      <c r="F4113">
        <v>3.5</v>
      </c>
      <c r="H4113">
        <v>4861.03</v>
      </c>
      <c r="J4113" t="s">
        <v>2511</v>
      </c>
    </row>
    <row r="4114" spans="1:10" ht="15" customHeight="1" x14ac:dyDescent="0.2">
      <c r="A4114" s="420">
        <v>45674</v>
      </c>
      <c r="B4114" t="s">
        <v>2547</v>
      </c>
      <c r="C4114" t="s">
        <v>6402</v>
      </c>
      <c r="D4114" t="s">
        <v>5205</v>
      </c>
      <c r="E4114" t="s">
        <v>1752</v>
      </c>
      <c r="F4114">
        <v>21.57</v>
      </c>
      <c r="H4114">
        <v>4882.6000000000004</v>
      </c>
      <c r="J4114" t="s">
        <v>2511</v>
      </c>
    </row>
    <row r="4115" spans="1:10" ht="15" customHeight="1" x14ac:dyDescent="0.2">
      <c r="A4115" s="420">
        <v>45676</v>
      </c>
      <c r="B4115" t="s">
        <v>2532</v>
      </c>
      <c r="C4115" t="s">
        <v>6402</v>
      </c>
      <c r="D4115" t="s">
        <v>4625</v>
      </c>
      <c r="E4115" t="s">
        <v>1755</v>
      </c>
      <c r="F4115">
        <v>5</v>
      </c>
      <c r="H4115">
        <v>4887.6000000000004</v>
      </c>
      <c r="J4115" t="s">
        <v>2511</v>
      </c>
    </row>
    <row r="4116" spans="1:10" ht="15" customHeight="1" x14ac:dyDescent="0.2">
      <c r="A4116" s="420">
        <v>45676</v>
      </c>
      <c r="B4116" t="s">
        <v>2532</v>
      </c>
      <c r="C4116" t="s">
        <v>6402</v>
      </c>
      <c r="D4116" t="s">
        <v>4625</v>
      </c>
      <c r="E4116" t="s">
        <v>1755</v>
      </c>
      <c r="F4116">
        <v>6.81</v>
      </c>
      <c r="H4116">
        <v>4894.41</v>
      </c>
      <c r="J4116" t="s">
        <v>2511</v>
      </c>
    </row>
    <row r="4117" spans="1:10" ht="15" customHeight="1" x14ac:dyDescent="0.2">
      <c r="A4117" s="420">
        <v>45677</v>
      </c>
      <c r="B4117" t="s">
        <v>2532</v>
      </c>
      <c r="C4117" t="s">
        <v>6402</v>
      </c>
      <c r="D4117" t="s">
        <v>5276</v>
      </c>
      <c r="E4117" t="s">
        <v>455</v>
      </c>
      <c r="F4117">
        <v>7.16</v>
      </c>
      <c r="H4117">
        <v>4901.57</v>
      </c>
      <c r="J4117" t="s">
        <v>2511</v>
      </c>
    </row>
    <row r="4118" spans="1:10" ht="15" customHeight="1" x14ac:dyDescent="0.2">
      <c r="A4118" s="420">
        <v>45677</v>
      </c>
      <c r="B4118" t="s">
        <v>2532</v>
      </c>
      <c r="C4118" t="s">
        <v>6402</v>
      </c>
      <c r="D4118" t="s">
        <v>3839</v>
      </c>
      <c r="E4118" t="s">
        <v>1445</v>
      </c>
      <c r="F4118">
        <v>124.94</v>
      </c>
      <c r="H4118">
        <v>5026.51</v>
      </c>
      <c r="J4118" t="s">
        <v>2511</v>
      </c>
    </row>
    <row r="4119" spans="1:10" ht="15" customHeight="1" x14ac:dyDescent="0.2">
      <c r="A4119" s="420">
        <v>45679</v>
      </c>
      <c r="B4119" t="s">
        <v>2532</v>
      </c>
      <c r="C4119" t="s">
        <v>6402</v>
      </c>
      <c r="D4119" t="s">
        <v>4843</v>
      </c>
      <c r="E4119" t="s">
        <v>1759</v>
      </c>
      <c r="F4119">
        <v>1.45</v>
      </c>
      <c r="H4119">
        <v>5027.96</v>
      </c>
      <c r="J4119" t="s">
        <v>2511</v>
      </c>
    </row>
    <row r="4120" spans="1:10" ht="15" customHeight="1" x14ac:dyDescent="0.2">
      <c r="A4120" s="420">
        <v>45679</v>
      </c>
      <c r="B4120" t="s">
        <v>2532</v>
      </c>
      <c r="C4120" t="s">
        <v>6402</v>
      </c>
      <c r="D4120" t="s">
        <v>5029</v>
      </c>
      <c r="E4120" t="s">
        <v>1630</v>
      </c>
      <c r="F4120">
        <v>1.21</v>
      </c>
      <c r="H4120">
        <v>5029.17</v>
      </c>
      <c r="J4120" t="s">
        <v>2511</v>
      </c>
    </row>
    <row r="4121" spans="1:10" ht="15" customHeight="1" x14ac:dyDescent="0.2">
      <c r="A4121" s="420">
        <v>45679</v>
      </c>
      <c r="B4121" t="s">
        <v>2547</v>
      </c>
      <c r="C4121" t="s">
        <v>6402</v>
      </c>
      <c r="D4121" t="s">
        <v>3595</v>
      </c>
      <c r="E4121" t="s">
        <v>1758</v>
      </c>
      <c r="F4121">
        <v>3.03</v>
      </c>
      <c r="H4121">
        <v>5032.2</v>
      </c>
      <c r="J4121" t="s">
        <v>2511</v>
      </c>
    </row>
    <row r="4122" spans="1:10" ht="15" customHeight="1" x14ac:dyDescent="0.2">
      <c r="A4122" s="420">
        <v>45680</v>
      </c>
      <c r="B4122" t="s">
        <v>2532</v>
      </c>
      <c r="C4122" t="s">
        <v>6402</v>
      </c>
      <c r="D4122" t="s">
        <v>2799</v>
      </c>
      <c r="E4122" t="s">
        <v>1302</v>
      </c>
      <c r="F4122">
        <v>5.82</v>
      </c>
      <c r="H4122">
        <v>5038.0200000000004</v>
      </c>
      <c r="J4122" t="s">
        <v>2511</v>
      </c>
    </row>
    <row r="4123" spans="1:10" ht="15" customHeight="1" x14ac:dyDescent="0.2">
      <c r="A4123" s="420">
        <v>45681</v>
      </c>
      <c r="B4123" t="s">
        <v>2532</v>
      </c>
      <c r="C4123" t="s">
        <v>6402</v>
      </c>
      <c r="D4123" t="s">
        <v>4626</v>
      </c>
      <c r="E4123" t="s">
        <v>1764</v>
      </c>
      <c r="F4123">
        <v>4.53</v>
      </c>
      <c r="H4123">
        <v>5042.55</v>
      </c>
      <c r="J4123" t="s">
        <v>2511</v>
      </c>
    </row>
    <row r="4124" spans="1:10" ht="15" customHeight="1" x14ac:dyDescent="0.2">
      <c r="A4124" s="420">
        <v>45681</v>
      </c>
      <c r="B4124" t="s">
        <v>2532</v>
      </c>
      <c r="C4124" t="s">
        <v>6402</v>
      </c>
      <c r="D4124" t="s">
        <v>4626</v>
      </c>
      <c r="E4124" t="s">
        <v>1764</v>
      </c>
      <c r="F4124">
        <v>7.78</v>
      </c>
      <c r="H4124">
        <v>5050.33</v>
      </c>
      <c r="J4124" t="s">
        <v>2511</v>
      </c>
    </row>
    <row r="4125" spans="1:10" ht="15" customHeight="1" x14ac:dyDescent="0.2">
      <c r="A4125" s="420">
        <v>45682</v>
      </c>
      <c r="B4125" t="s">
        <v>2532</v>
      </c>
      <c r="C4125" t="s">
        <v>6402</v>
      </c>
      <c r="D4125" t="s">
        <v>2876</v>
      </c>
      <c r="E4125" t="s">
        <v>1447</v>
      </c>
      <c r="F4125">
        <v>69.8</v>
      </c>
      <c r="H4125">
        <v>5120.13</v>
      </c>
      <c r="J4125" t="s">
        <v>2511</v>
      </c>
    </row>
    <row r="4126" spans="1:10" ht="15" customHeight="1" x14ac:dyDescent="0.2">
      <c r="A4126" s="420">
        <v>45682</v>
      </c>
      <c r="B4126" t="s">
        <v>2532</v>
      </c>
      <c r="C4126" t="s">
        <v>6402</v>
      </c>
      <c r="D4126" t="s">
        <v>4628</v>
      </c>
      <c r="E4126" t="s">
        <v>1765</v>
      </c>
      <c r="F4126">
        <v>21.27</v>
      </c>
      <c r="H4126">
        <v>5141.3999999999996</v>
      </c>
      <c r="J4126" t="s">
        <v>2511</v>
      </c>
    </row>
    <row r="4127" spans="1:10" ht="15" customHeight="1" x14ac:dyDescent="0.2">
      <c r="A4127" s="420">
        <v>45682</v>
      </c>
      <c r="B4127" t="s">
        <v>2532</v>
      </c>
      <c r="C4127" t="s">
        <v>6402</v>
      </c>
      <c r="D4127" t="s">
        <v>4628</v>
      </c>
      <c r="E4127" t="s">
        <v>1765</v>
      </c>
      <c r="F4127">
        <v>16.329999999999998</v>
      </c>
      <c r="H4127">
        <v>5157.7299999999996</v>
      </c>
      <c r="J4127" t="s">
        <v>2511</v>
      </c>
    </row>
    <row r="4128" spans="1:10" ht="15" customHeight="1" x14ac:dyDescent="0.2">
      <c r="A4128" s="420">
        <v>45684</v>
      </c>
      <c r="B4128" t="s">
        <v>2532</v>
      </c>
      <c r="C4128" t="s">
        <v>6402</v>
      </c>
      <c r="D4128" t="s">
        <v>4847</v>
      </c>
      <c r="E4128" t="s">
        <v>1767</v>
      </c>
      <c r="F4128">
        <v>2.2799999999999998</v>
      </c>
      <c r="H4128">
        <v>5160.01</v>
      </c>
      <c r="J4128" t="s">
        <v>2511</v>
      </c>
    </row>
    <row r="4129" spans="1:10" ht="15" customHeight="1" x14ac:dyDescent="0.2">
      <c r="A4129" s="420">
        <v>45685</v>
      </c>
      <c r="B4129" t="s">
        <v>2547</v>
      </c>
      <c r="C4129" t="s">
        <v>6402</v>
      </c>
      <c r="D4129" t="s">
        <v>3595</v>
      </c>
      <c r="E4129" t="s">
        <v>1769</v>
      </c>
      <c r="F4129">
        <v>4.88</v>
      </c>
      <c r="H4129">
        <v>5164.8900000000003</v>
      </c>
      <c r="J4129" t="s">
        <v>2511</v>
      </c>
    </row>
    <row r="4130" spans="1:10" ht="15" customHeight="1" x14ac:dyDescent="0.2">
      <c r="A4130" s="420">
        <v>45688</v>
      </c>
      <c r="B4130" t="s">
        <v>2532</v>
      </c>
      <c r="C4130" t="s">
        <v>6402</v>
      </c>
      <c r="D4130" t="s">
        <v>4849</v>
      </c>
      <c r="E4130" t="s">
        <v>1771</v>
      </c>
      <c r="F4130">
        <v>7.25</v>
      </c>
      <c r="H4130">
        <v>5172.1400000000003</v>
      </c>
      <c r="J4130" t="s">
        <v>2511</v>
      </c>
    </row>
    <row r="4131" spans="1:10" ht="15" customHeight="1" x14ac:dyDescent="0.2">
      <c r="A4131" s="420">
        <v>45688</v>
      </c>
      <c r="B4131" t="s">
        <v>2532</v>
      </c>
      <c r="C4131" t="s">
        <v>6402</v>
      </c>
      <c r="D4131" t="s">
        <v>2966</v>
      </c>
      <c r="E4131" t="s">
        <v>1448</v>
      </c>
      <c r="F4131">
        <v>292</v>
      </c>
      <c r="H4131">
        <v>5464.14</v>
      </c>
      <c r="J4131" t="s">
        <v>2511</v>
      </c>
    </row>
    <row r="4132" spans="1:10" ht="15" customHeight="1" x14ac:dyDescent="0.2">
      <c r="A4132" s="420">
        <v>45688</v>
      </c>
      <c r="B4132" t="s">
        <v>2532</v>
      </c>
      <c r="C4132" t="s">
        <v>6402</v>
      </c>
      <c r="D4132" t="s">
        <v>4386</v>
      </c>
      <c r="E4132" t="s">
        <v>4387</v>
      </c>
      <c r="F4132">
        <v>342.76</v>
      </c>
      <c r="H4132">
        <v>5806.9</v>
      </c>
      <c r="J4132" t="s">
        <v>2511</v>
      </c>
    </row>
    <row r="4133" spans="1:10" ht="15" customHeight="1" x14ac:dyDescent="0.2">
      <c r="A4133" s="420">
        <v>45688</v>
      </c>
      <c r="B4133" t="s">
        <v>2532</v>
      </c>
      <c r="C4133" t="s">
        <v>6402</v>
      </c>
      <c r="D4133" t="s">
        <v>4388</v>
      </c>
      <c r="E4133" t="s">
        <v>4389</v>
      </c>
      <c r="F4133">
        <v>1645.26</v>
      </c>
      <c r="H4133">
        <v>7452.16</v>
      </c>
      <c r="J4133" t="s">
        <v>2511</v>
      </c>
    </row>
    <row r="4134" spans="1:10" ht="15" customHeight="1" x14ac:dyDescent="0.2">
      <c r="A4134" s="420">
        <v>45688</v>
      </c>
      <c r="B4134" t="s">
        <v>2547</v>
      </c>
      <c r="C4134" t="s">
        <v>6402</v>
      </c>
      <c r="D4134" t="s">
        <v>3401</v>
      </c>
      <c r="E4134" t="s">
        <v>948</v>
      </c>
      <c r="F4134">
        <v>1180</v>
      </c>
      <c r="H4134">
        <v>8632.16</v>
      </c>
      <c r="J4134" t="s">
        <v>2511</v>
      </c>
    </row>
    <row r="4135" spans="1:10" ht="15" customHeight="1" x14ac:dyDescent="0.2">
      <c r="A4135" s="420">
        <v>45688</v>
      </c>
      <c r="B4135" t="s">
        <v>2532</v>
      </c>
      <c r="C4135" t="s">
        <v>6402</v>
      </c>
      <c r="D4135" t="s">
        <v>2675</v>
      </c>
      <c r="E4135" t="s">
        <v>1079</v>
      </c>
      <c r="F4135">
        <v>64.33</v>
      </c>
      <c r="H4135">
        <v>8696.49</v>
      </c>
      <c r="J4135" t="s">
        <v>2511</v>
      </c>
    </row>
    <row r="4136" spans="1:10" ht="15" customHeight="1" x14ac:dyDescent="0.2">
      <c r="A4136" s="420">
        <v>45688</v>
      </c>
      <c r="B4136" t="s">
        <v>2517</v>
      </c>
      <c r="C4136" t="s">
        <v>6402</v>
      </c>
      <c r="D4136" t="s">
        <v>6306</v>
      </c>
      <c r="E4136" t="s">
        <v>6969</v>
      </c>
      <c r="G4136">
        <v>97</v>
      </c>
      <c r="H4136">
        <v>8599.49</v>
      </c>
      <c r="J4136" t="s">
        <v>2511</v>
      </c>
    </row>
    <row r="4137" spans="1:10" ht="15" customHeight="1" x14ac:dyDescent="0.2">
      <c r="A4137" s="420">
        <v>45688</v>
      </c>
      <c r="B4137" t="s">
        <v>2517</v>
      </c>
      <c r="C4137" t="s">
        <v>6402</v>
      </c>
      <c r="D4137" t="s">
        <v>6306</v>
      </c>
      <c r="E4137" t="s">
        <v>6970</v>
      </c>
      <c r="F4137">
        <v>97</v>
      </c>
      <c r="H4137">
        <v>8696.49</v>
      </c>
      <c r="J4137" t="s">
        <v>2511</v>
      </c>
    </row>
    <row r="4138" spans="1:10" ht="15" customHeight="1" x14ac:dyDescent="0.2">
      <c r="A4138" s="420">
        <v>45688</v>
      </c>
      <c r="B4138" t="s">
        <v>2517</v>
      </c>
      <c r="C4138" t="s">
        <v>6402</v>
      </c>
      <c r="D4138" t="s">
        <v>6306</v>
      </c>
      <c r="E4138" t="s">
        <v>6971</v>
      </c>
      <c r="G4138">
        <v>5011.66</v>
      </c>
      <c r="H4138">
        <v>3684.83</v>
      </c>
      <c r="J4138" t="s">
        <v>2511</v>
      </c>
    </row>
    <row r="4139" spans="1:10" ht="15" customHeight="1" x14ac:dyDescent="0.2">
      <c r="A4139" s="420">
        <v>45688</v>
      </c>
      <c r="B4139" t="s">
        <v>2532</v>
      </c>
      <c r="C4139" t="s">
        <v>6402</v>
      </c>
      <c r="D4139" t="s">
        <v>4187</v>
      </c>
      <c r="E4139" t="s">
        <v>1075</v>
      </c>
      <c r="F4139">
        <v>50</v>
      </c>
      <c r="H4139">
        <v>3734.83</v>
      </c>
      <c r="J4139" t="s">
        <v>2511</v>
      </c>
    </row>
    <row r="4140" spans="1:10" ht="15" customHeight="1" x14ac:dyDescent="0.2">
      <c r="A4140" s="420">
        <v>45688</v>
      </c>
      <c r="B4140" t="s">
        <v>2532</v>
      </c>
      <c r="C4140" t="s">
        <v>6402</v>
      </c>
      <c r="D4140" t="s">
        <v>4188</v>
      </c>
      <c r="E4140" t="s">
        <v>1076</v>
      </c>
      <c r="F4140">
        <v>134.05000000000001</v>
      </c>
      <c r="H4140">
        <v>3868.88</v>
      </c>
      <c r="J4140" t="s">
        <v>2511</v>
      </c>
    </row>
    <row r="4141" spans="1:10" ht="15" customHeight="1" x14ac:dyDescent="0.2">
      <c r="A4141" s="420">
        <v>45688</v>
      </c>
      <c r="B4141" t="s">
        <v>2532</v>
      </c>
      <c r="C4141" t="s">
        <v>6402</v>
      </c>
      <c r="D4141" t="s">
        <v>4189</v>
      </c>
      <c r="E4141" t="s">
        <v>1077</v>
      </c>
      <c r="F4141">
        <v>80</v>
      </c>
      <c r="H4141">
        <v>3948.88</v>
      </c>
      <c r="J4141" t="s">
        <v>2511</v>
      </c>
    </row>
    <row r="4142" spans="1:10" ht="15" customHeight="1" x14ac:dyDescent="0.2">
      <c r="A4142" s="420">
        <v>45688</v>
      </c>
      <c r="B4142" t="s">
        <v>2532</v>
      </c>
      <c r="C4142" t="s">
        <v>6402</v>
      </c>
      <c r="D4142" t="s">
        <v>4190</v>
      </c>
      <c r="E4142" t="s">
        <v>1078</v>
      </c>
      <c r="F4142">
        <v>50</v>
      </c>
      <c r="H4142">
        <v>3998.88</v>
      </c>
      <c r="J4142" t="s">
        <v>2511</v>
      </c>
    </row>
    <row r="4143" spans="1:10" ht="15" customHeight="1" x14ac:dyDescent="0.2">
      <c r="A4143" s="420">
        <v>45689</v>
      </c>
      <c r="B4143" t="s">
        <v>2532</v>
      </c>
      <c r="C4143" t="s">
        <v>6402</v>
      </c>
      <c r="D4143" t="s">
        <v>5449</v>
      </c>
      <c r="E4143" t="s">
        <v>1238</v>
      </c>
      <c r="F4143">
        <v>10.96</v>
      </c>
      <c r="H4143">
        <v>4009.84</v>
      </c>
      <c r="J4143" t="s">
        <v>2511</v>
      </c>
    </row>
    <row r="4144" spans="1:10" ht="15" customHeight="1" x14ac:dyDescent="0.2">
      <c r="A4144" s="420">
        <v>45689</v>
      </c>
      <c r="B4144" t="s">
        <v>2532</v>
      </c>
      <c r="C4144" t="s">
        <v>6402</v>
      </c>
      <c r="D4144" t="s">
        <v>5379</v>
      </c>
      <c r="E4144" t="s">
        <v>1772</v>
      </c>
      <c r="F4144">
        <v>31.41</v>
      </c>
      <c r="H4144">
        <v>4041.25</v>
      </c>
      <c r="J4144" t="s">
        <v>2511</v>
      </c>
    </row>
    <row r="4145" spans="1:10" ht="15" customHeight="1" x14ac:dyDescent="0.2">
      <c r="A4145" s="420">
        <v>45689</v>
      </c>
      <c r="B4145" t="s">
        <v>2532</v>
      </c>
      <c r="C4145" t="s">
        <v>6402</v>
      </c>
      <c r="D4145" t="s">
        <v>4046</v>
      </c>
      <c r="E4145" t="s">
        <v>1207</v>
      </c>
      <c r="F4145">
        <v>200</v>
      </c>
      <c r="H4145">
        <v>4241.25</v>
      </c>
      <c r="J4145" t="s">
        <v>2511</v>
      </c>
    </row>
    <row r="4146" spans="1:10" ht="15" customHeight="1" x14ac:dyDescent="0.2">
      <c r="A4146" s="420">
        <v>45690</v>
      </c>
      <c r="B4146" t="s">
        <v>2547</v>
      </c>
      <c r="C4146" t="s">
        <v>6402</v>
      </c>
      <c r="D4146" t="s">
        <v>3738</v>
      </c>
      <c r="E4146" t="s">
        <v>3739</v>
      </c>
      <c r="F4146">
        <v>3.34</v>
      </c>
      <c r="H4146">
        <v>4244.59</v>
      </c>
      <c r="J4146" t="s">
        <v>2511</v>
      </c>
    </row>
    <row r="4147" spans="1:10" ht="15" customHeight="1" x14ac:dyDescent="0.2">
      <c r="A4147" s="420">
        <v>45691</v>
      </c>
      <c r="B4147" t="s">
        <v>2532</v>
      </c>
      <c r="C4147" t="s">
        <v>6402</v>
      </c>
      <c r="D4147" t="s">
        <v>5335</v>
      </c>
      <c r="E4147" t="s">
        <v>1449</v>
      </c>
      <c r="F4147">
        <v>4</v>
      </c>
      <c r="H4147">
        <v>4248.59</v>
      </c>
      <c r="J4147" t="s">
        <v>2511</v>
      </c>
    </row>
    <row r="4148" spans="1:10" ht="15" customHeight="1" x14ac:dyDescent="0.2">
      <c r="A4148" s="420">
        <v>45692</v>
      </c>
      <c r="B4148" t="s">
        <v>2532</v>
      </c>
      <c r="C4148" t="s">
        <v>6402</v>
      </c>
      <c r="D4148" t="s">
        <v>3994</v>
      </c>
      <c r="E4148" t="s">
        <v>1636</v>
      </c>
      <c r="F4148">
        <v>8.1999999999999993</v>
      </c>
      <c r="H4148">
        <v>4256.79</v>
      </c>
      <c r="J4148" t="s">
        <v>2511</v>
      </c>
    </row>
    <row r="4149" spans="1:10" ht="15" customHeight="1" x14ac:dyDescent="0.2">
      <c r="A4149" s="420">
        <v>45693</v>
      </c>
      <c r="B4149" t="s">
        <v>2532</v>
      </c>
      <c r="C4149" t="s">
        <v>6402</v>
      </c>
      <c r="D4149" t="s">
        <v>2879</v>
      </c>
      <c r="E4149" t="s">
        <v>1450</v>
      </c>
      <c r="F4149">
        <v>301.37</v>
      </c>
      <c r="H4149">
        <v>4558.16</v>
      </c>
      <c r="J4149" t="s">
        <v>2511</v>
      </c>
    </row>
    <row r="4150" spans="1:10" ht="15" customHeight="1" x14ac:dyDescent="0.2">
      <c r="A4150" s="420">
        <v>45693</v>
      </c>
      <c r="B4150" t="s">
        <v>2532</v>
      </c>
      <c r="C4150" t="s">
        <v>6402</v>
      </c>
      <c r="D4150" t="s">
        <v>4145</v>
      </c>
      <c r="E4150" t="s">
        <v>1310</v>
      </c>
      <c r="F4150">
        <v>2.8</v>
      </c>
      <c r="H4150">
        <v>4560.96</v>
      </c>
      <c r="J4150" t="s">
        <v>2511</v>
      </c>
    </row>
    <row r="4151" spans="1:10" ht="15" customHeight="1" x14ac:dyDescent="0.2">
      <c r="A4151" s="420">
        <v>45693</v>
      </c>
      <c r="B4151" t="s">
        <v>2532</v>
      </c>
      <c r="C4151" t="s">
        <v>6402</v>
      </c>
      <c r="D4151" t="s">
        <v>4852</v>
      </c>
      <c r="E4151" t="s">
        <v>1773</v>
      </c>
      <c r="F4151">
        <v>6.93</v>
      </c>
      <c r="H4151">
        <v>4567.8900000000003</v>
      </c>
      <c r="J4151" t="s">
        <v>2511</v>
      </c>
    </row>
    <row r="4152" spans="1:10" ht="15" customHeight="1" x14ac:dyDescent="0.2">
      <c r="A4152" s="420">
        <v>45696</v>
      </c>
      <c r="B4152" t="s">
        <v>2532</v>
      </c>
      <c r="C4152" t="s">
        <v>6402</v>
      </c>
      <c r="D4152" t="s">
        <v>5032</v>
      </c>
      <c r="E4152" t="s">
        <v>1311</v>
      </c>
      <c r="F4152">
        <v>31.2</v>
      </c>
      <c r="H4152">
        <v>4599.09</v>
      </c>
      <c r="J4152" t="s">
        <v>2511</v>
      </c>
    </row>
    <row r="4153" spans="1:10" ht="15" customHeight="1" x14ac:dyDescent="0.2">
      <c r="A4153" s="420">
        <v>45696</v>
      </c>
      <c r="B4153" t="s">
        <v>2532</v>
      </c>
      <c r="C4153" t="s">
        <v>6402</v>
      </c>
      <c r="D4153" t="s">
        <v>4995</v>
      </c>
      <c r="E4153" t="s">
        <v>1775</v>
      </c>
      <c r="F4153">
        <v>2.17</v>
      </c>
      <c r="H4153">
        <v>4601.26</v>
      </c>
      <c r="J4153" t="s">
        <v>2511</v>
      </c>
    </row>
    <row r="4154" spans="1:10" ht="15" customHeight="1" x14ac:dyDescent="0.2">
      <c r="A4154" s="420">
        <v>45696</v>
      </c>
      <c r="B4154" t="s">
        <v>2532</v>
      </c>
      <c r="C4154" t="s">
        <v>6402</v>
      </c>
      <c r="D4154" t="s">
        <v>4995</v>
      </c>
      <c r="E4154" t="s">
        <v>1775</v>
      </c>
      <c r="F4154">
        <v>11.12</v>
      </c>
      <c r="H4154">
        <v>4612.38</v>
      </c>
      <c r="J4154" t="s">
        <v>2511</v>
      </c>
    </row>
    <row r="4155" spans="1:10" ht="15" customHeight="1" x14ac:dyDescent="0.2">
      <c r="A4155" s="420">
        <v>45696</v>
      </c>
      <c r="B4155" t="s">
        <v>3987</v>
      </c>
      <c r="C4155" t="s">
        <v>6402</v>
      </c>
      <c r="D4155" t="s">
        <v>3992</v>
      </c>
      <c r="E4155" t="s">
        <v>6972</v>
      </c>
      <c r="F4155">
        <v>132.08000000000001</v>
      </c>
      <c r="H4155">
        <v>4744.46</v>
      </c>
      <c r="J4155" t="s">
        <v>2511</v>
      </c>
    </row>
    <row r="4156" spans="1:10" ht="15" customHeight="1" x14ac:dyDescent="0.2">
      <c r="A4156" s="420">
        <v>45699</v>
      </c>
      <c r="B4156" t="s">
        <v>2532</v>
      </c>
      <c r="C4156" t="s">
        <v>6402</v>
      </c>
      <c r="D4156" t="s">
        <v>5279</v>
      </c>
      <c r="E4156" t="s">
        <v>1776</v>
      </c>
      <c r="F4156">
        <v>11.75</v>
      </c>
      <c r="H4156">
        <v>4756.21</v>
      </c>
      <c r="J4156" t="s">
        <v>2511</v>
      </c>
    </row>
    <row r="4157" spans="1:10" ht="15" customHeight="1" x14ac:dyDescent="0.2">
      <c r="A4157" s="420">
        <v>45701</v>
      </c>
      <c r="B4157" t="s">
        <v>2532</v>
      </c>
      <c r="C4157" t="s">
        <v>6402</v>
      </c>
      <c r="D4157" t="s">
        <v>4731</v>
      </c>
      <c r="E4157" t="s">
        <v>1639</v>
      </c>
      <c r="F4157">
        <v>15.8</v>
      </c>
      <c r="H4157">
        <v>4772.01</v>
      </c>
      <c r="J4157" t="s">
        <v>2511</v>
      </c>
    </row>
    <row r="4158" spans="1:10" ht="15" customHeight="1" x14ac:dyDescent="0.2">
      <c r="A4158" s="420">
        <v>45705</v>
      </c>
      <c r="B4158" t="s">
        <v>2532</v>
      </c>
      <c r="C4158" t="s">
        <v>6402</v>
      </c>
      <c r="D4158" t="s">
        <v>5486</v>
      </c>
      <c r="E4158" t="s">
        <v>1455</v>
      </c>
      <c r="F4158">
        <v>17.600000000000001</v>
      </c>
      <c r="H4158">
        <v>4789.6099999999997</v>
      </c>
      <c r="J4158" t="s">
        <v>2511</v>
      </c>
    </row>
    <row r="4159" spans="1:10" ht="15" customHeight="1" x14ac:dyDescent="0.2">
      <c r="A4159" s="420">
        <v>45708</v>
      </c>
      <c r="B4159" t="s">
        <v>2532</v>
      </c>
      <c r="C4159" t="s">
        <v>6402</v>
      </c>
      <c r="D4159" t="s">
        <v>5281</v>
      </c>
      <c r="E4159" t="s">
        <v>458</v>
      </c>
      <c r="F4159">
        <v>10.75</v>
      </c>
      <c r="H4159">
        <v>4800.3599999999997</v>
      </c>
      <c r="J4159" t="s">
        <v>2511</v>
      </c>
    </row>
    <row r="4160" spans="1:10" ht="15" customHeight="1" x14ac:dyDescent="0.2">
      <c r="A4160" s="420">
        <v>45708</v>
      </c>
      <c r="B4160" t="s">
        <v>2532</v>
      </c>
      <c r="C4160" t="s">
        <v>6402</v>
      </c>
      <c r="D4160" t="s">
        <v>3844</v>
      </c>
      <c r="E4160" t="s">
        <v>1460</v>
      </c>
      <c r="F4160">
        <v>124.94</v>
      </c>
      <c r="H4160">
        <v>4925.3</v>
      </c>
      <c r="J4160" t="s">
        <v>2511</v>
      </c>
    </row>
    <row r="4161" spans="1:10" ht="15" customHeight="1" x14ac:dyDescent="0.2">
      <c r="A4161" s="420">
        <v>45708</v>
      </c>
      <c r="B4161" t="s">
        <v>2532</v>
      </c>
      <c r="C4161" t="s">
        <v>6402</v>
      </c>
      <c r="D4161" t="s">
        <v>5095</v>
      </c>
      <c r="E4161" t="s">
        <v>1463</v>
      </c>
      <c r="F4161">
        <v>30</v>
      </c>
      <c r="H4161">
        <v>4955.3</v>
      </c>
      <c r="J4161" t="s">
        <v>2511</v>
      </c>
    </row>
    <row r="4162" spans="1:10" ht="15" customHeight="1" x14ac:dyDescent="0.2">
      <c r="A4162" s="420">
        <v>45709</v>
      </c>
      <c r="B4162" t="s">
        <v>2532</v>
      </c>
      <c r="C4162" t="s">
        <v>6402</v>
      </c>
      <c r="D4162" t="s">
        <v>4998</v>
      </c>
      <c r="E4162" t="s">
        <v>1780</v>
      </c>
      <c r="F4162">
        <v>2.96</v>
      </c>
      <c r="H4162">
        <v>4958.26</v>
      </c>
      <c r="J4162" t="s">
        <v>2511</v>
      </c>
    </row>
    <row r="4163" spans="1:10" ht="15" customHeight="1" x14ac:dyDescent="0.2">
      <c r="A4163" s="420">
        <v>45711</v>
      </c>
      <c r="B4163" t="s">
        <v>2547</v>
      </c>
      <c r="C4163" t="s">
        <v>6402</v>
      </c>
      <c r="D4163" t="s">
        <v>3908</v>
      </c>
      <c r="E4163" t="s">
        <v>1319</v>
      </c>
      <c r="F4163">
        <v>176.17</v>
      </c>
      <c r="H4163">
        <v>5134.43</v>
      </c>
      <c r="J4163" t="s">
        <v>2511</v>
      </c>
    </row>
    <row r="4164" spans="1:10" ht="15" customHeight="1" x14ac:dyDescent="0.2">
      <c r="A4164" s="420">
        <v>45712</v>
      </c>
      <c r="B4164" t="s">
        <v>2532</v>
      </c>
      <c r="C4164" t="s">
        <v>6402</v>
      </c>
      <c r="D4164" t="s">
        <v>2969</v>
      </c>
      <c r="E4164" t="s">
        <v>1464</v>
      </c>
      <c r="F4164">
        <v>98.88</v>
      </c>
      <c r="H4164">
        <v>5233.3100000000004</v>
      </c>
      <c r="J4164" t="s">
        <v>2511</v>
      </c>
    </row>
    <row r="4165" spans="1:10" ht="15" customHeight="1" x14ac:dyDescent="0.2">
      <c r="A4165" s="420">
        <v>45712</v>
      </c>
      <c r="B4165" t="s">
        <v>2547</v>
      </c>
      <c r="C4165" t="s">
        <v>6402</v>
      </c>
      <c r="D4165" t="s">
        <v>3545</v>
      </c>
      <c r="E4165" t="s">
        <v>3546</v>
      </c>
      <c r="F4165">
        <v>5</v>
      </c>
      <c r="H4165">
        <v>5238.3100000000004</v>
      </c>
      <c r="J4165" t="s">
        <v>2511</v>
      </c>
    </row>
    <row r="4166" spans="1:10" ht="15" customHeight="1" x14ac:dyDescent="0.2">
      <c r="A4166" s="420">
        <v>45713</v>
      </c>
      <c r="B4166" t="s">
        <v>2532</v>
      </c>
      <c r="C4166" t="s">
        <v>6402</v>
      </c>
      <c r="D4166" t="s">
        <v>2882</v>
      </c>
      <c r="E4166" t="s">
        <v>1465</v>
      </c>
      <c r="F4166">
        <v>69.8</v>
      </c>
      <c r="H4166">
        <v>5308.11</v>
      </c>
      <c r="J4166" t="s">
        <v>2511</v>
      </c>
    </row>
    <row r="4167" spans="1:10" ht="15" customHeight="1" x14ac:dyDescent="0.2">
      <c r="A4167" s="420">
        <v>45713</v>
      </c>
      <c r="B4167" t="s">
        <v>2532</v>
      </c>
      <c r="C4167" t="s">
        <v>6402</v>
      </c>
      <c r="D4167" t="s">
        <v>2620</v>
      </c>
      <c r="E4167" t="s">
        <v>460</v>
      </c>
      <c r="F4167">
        <v>1.0900000000000001</v>
      </c>
      <c r="H4167">
        <v>5309.2</v>
      </c>
      <c r="J4167" t="s">
        <v>2511</v>
      </c>
    </row>
    <row r="4168" spans="1:10" ht="15" customHeight="1" x14ac:dyDescent="0.2">
      <c r="A4168" s="420">
        <v>45713</v>
      </c>
      <c r="B4168" t="s">
        <v>2547</v>
      </c>
      <c r="C4168" t="s">
        <v>6402</v>
      </c>
      <c r="D4168" t="s">
        <v>4854</v>
      </c>
      <c r="E4168" t="s">
        <v>1781</v>
      </c>
      <c r="F4168">
        <v>2.0499999999999998</v>
      </c>
      <c r="H4168">
        <v>5311.25</v>
      </c>
      <c r="J4168" t="s">
        <v>2511</v>
      </c>
    </row>
    <row r="4169" spans="1:10" ht="15" customHeight="1" x14ac:dyDescent="0.2">
      <c r="A4169" s="420">
        <v>45714</v>
      </c>
      <c r="B4169" t="s">
        <v>2532</v>
      </c>
      <c r="C4169" t="s">
        <v>6402</v>
      </c>
      <c r="D4169" t="s">
        <v>5035</v>
      </c>
      <c r="E4169" t="s">
        <v>1643</v>
      </c>
      <c r="F4169">
        <v>10</v>
      </c>
      <c r="H4169">
        <v>5321.25</v>
      </c>
      <c r="J4169" t="s">
        <v>2511</v>
      </c>
    </row>
    <row r="4170" spans="1:10" ht="15" customHeight="1" x14ac:dyDescent="0.2">
      <c r="A4170" s="420">
        <v>45715</v>
      </c>
      <c r="B4170" t="s">
        <v>2547</v>
      </c>
      <c r="C4170" t="s">
        <v>6402</v>
      </c>
      <c r="D4170" t="s">
        <v>3595</v>
      </c>
      <c r="E4170" t="s">
        <v>1783</v>
      </c>
      <c r="F4170">
        <v>17.61</v>
      </c>
      <c r="H4170">
        <v>5338.86</v>
      </c>
      <c r="J4170" t="s">
        <v>2511</v>
      </c>
    </row>
    <row r="4171" spans="1:10" ht="15" customHeight="1" x14ac:dyDescent="0.2">
      <c r="A4171" s="420">
        <v>45716</v>
      </c>
      <c r="B4171" t="s">
        <v>2532</v>
      </c>
      <c r="C4171" t="s">
        <v>6402</v>
      </c>
      <c r="D4171" t="s">
        <v>2972</v>
      </c>
      <c r="E4171" t="s">
        <v>1466</v>
      </c>
      <c r="F4171">
        <v>292</v>
      </c>
      <c r="H4171">
        <v>5630.86</v>
      </c>
      <c r="J4171" t="s">
        <v>2511</v>
      </c>
    </row>
    <row r="4172" spans="1:10" ht="15" customHeight="1" x14ac:dyDescent="0.2">
      <c r="A4172" s="420">
        <v>45716</v>
      </c>
      <c r="B4172" t="s">
        <v>2547</v>
      </c>
      <c r="C4172" t="s">
        <v>6402</v>
      </c>
      <c r="D4172" t="s">
        <v>3131</v>
      </c>
      <c r="E4172" t="s">
        <v>1469</v>
      </c>
      <c r="F4172">
        <v>91.26</v>
      </c>
      <c r="H4172">
        <v>5722.12</v>
      </c>
      <c r="J4172" t="s">
        <v>2511</v>
      </c>
    </row>
    <row r="4173" spans="1:10" ht="15" customHeight="1" x14ac:dyDescent="0.2">
      <c r="A4173" s="420">
        <v>45716</v>
      </c>
      <c r="B4173" t="s">
        <v>2532</v>
      </c>
      <c r="C4173" t="s">
        <v>6402</v>
      </c>
      <c r="D4173" t="s">
        <v>4856</v>
      </c>
      <c r="E4173" t="s">
        <v>1785</v>
      </c>
      <c r="F4173">
        <v>6.85</v>
      </c>
      <c r="H4173">
        <v>5728.97</v>
      </c>
      <c r="J4173" t="s">
        <v>2511</v>
      </c>
    </row>
    <row r="4174" spans="1:10" ht="15" customHeight="1" x14ac:dyDescent="0.2">
      <c r="A4174" s="420">
        <v>45716</v>
      </c>
      <c r="B4174" t="s">
        <v>2517</v>
      </c>
      <c r="C4174" t="s">
        <v>6402</v>
      </c>
      <c r="D4174" t="s">
        <v>6309</v>
      </c>
      <c r="E4174" t="s">
        <v>6362</v>
      </c>
      <c r="G4174">
        <v>2730.37</v>
      </c>
      <c r="H4174">
        <v>2998.6</v>
      </c>
      <c r="J4174" t="s">
        <v>2511</v>
      </c>
    </row>
    <row r="4175" spans="1:10" ht="15" customHeight="1" x14ac:dyDescent="0.2">
      <c r="A4175" s="420">
        <v>45716</v>
      </c>
      <c r="B4175" t="s">
        <v>2532</v>
      </c>
      <c r="C4175" t="s">
        <v>6402</v>
      </c>
      <c r="D4175" t="s">
        <v>3404</v>
      </c>
      <c r="E4175" t="s">
        <v>958</v>
      </c>
      <c r="F4175">
        <v>1180</v>
      </c>
      <c r="H4175">
        <v>4178.6000000000004</v>
      </c>
      <c r="J4175" t="s">
        <v>2511</v>
      </c>
    </row>
    <row r="4176" spans="1:10" ht="15" customHeight="1" x14ac:dyDescent="0.2">
      <c r="A4176" s="420">
        <v>45716</v>
      </c>
      <c r="B4176" t="s">
        <v>2532</v>
      </c>
      <c r="C4176" t="s">
        <v>6402</v>
      </c>
      <c r="D4176" t="s">
        <v>4400</v>
      </c>
      <c r="E4176" t="s">
        <v>4401</v>
      </c>
      <c r="F4176">
        <v>1472.38</v>
      </c>
      <c r="H4176">
        <v>5650.98</v>
      </c>
      <c r="J4176" t="s">
        <v>2511</v>
      </c>
    </row>
    <row r="4177" spans="1:10" ht="15" customHeight="1" x14ac:dyDescent="0.2">
      <c r="A4177" s="420">
        <v>45716</v>
      </c>
      <c r="B4177" t="s">
        <v>2532</v>
      </c>
      <c r="C4177" t="s">
        <v>6402</v>
      </c>
      <c r="D4177" t="s">
        <v>2680</v>
      </c>
      <c r="E4177" t="s">
        <v>1085</v>
      </c>
      <c r="F4177">
        <v>180</v>
      </c>
      <c r="H4177">
        <v>5830.98</v>
      </c>
      <c r="J4177" t="s">
        <v>2511</v>
      </c>
    </row>
    <row r="4178" spans="1:10" ht="15" customHeight="1" x14ac:dyDescent="0.2">
      <c r="A4178" s="420">
        <v>45716</v>
      </c>
      <c r="B4178" t="s">
        <v>2532</v>
      </c>
      <c r="C4178" t="s">
        <v>6402</v>
      </c>
      <c r="D4178" t="s">
        <v>2681</v>
      </c>
      <c r="E4178" t="s">
        <v>1086</v>
      </c>
      <c r="F4178">
        <v>64.33</v>
      </c>
      <c r="H4178">
        <v>5895.31</v>
      </c>
      <c r="J4178" t="s">
        <v>2511</v>
      </c>
    </row>
    <row r="4179" spans="1:10" ht="15" customHeight="1" x14ac:dyDescent="0.2">
      <c r="A4179" s="420">
        <v>45716</v>
      </c>
      <c r="B4179" t="s">
        <v>2532</v>
      </c>
      <c r="C4179" t="s">
        <v>6402</v>
      </c>
      <c r="D4179" t="s">
        <v>4199</v>
      </c>
      <c r="E4179" t="s">
        <v>1080</v>
      </c>
      <c r="F4179">
        <v>9</v>
      </c>
      <c r="H4179">
        <v>5904.31</v>
      </c>
      <c r="J4179" t="s">
        <v>2511</v>
      </c>
    </row>
    <row r="4180" spans="1:10" ht="15" customHeight="1" x14ac:dyDescent="0.2">
      <c r="A4180" s="420">
        <v>45716</v>
      </c>
      <c r="B4180" t="s">
        <v>2532</v>
      </c>
      <c r="C4180" t="s">
        <v>6402</v>
      </c>
      <c r="D4180" t="s">
        <v>4200</v>
      </c>
      <c r="E4180" t="s">
        <v>1081</v>
      </c>
      <c r="F4180">
        <v>12</v>
      </c>
      <c r="H4180">
        <v>5916.31</v>
      </c>
      <c r="J4180" t="s">
        <v>2511</v>
      </c>
    </row>
    <row r="4181" spans="1:10" ht="15" customHeight="1" x14ac:dyDescent="0.2">
      <c r="A4181" s="420">
        <v>45716</v>
      </c>
      <c r="B4181" t="s">
        <v>2532</v>
      </c>
      <c r="C4181" t="s">
        <v>6402</v>
      </c>
      <c r="D4181" t="s">
        <v>4201</v>
      </c>
      <c r="E4181" t="s">
        <v>1082</v>
      </c>
      <c r="F4181">
        <v>134.05000000000001</v>
      </c>
      <c r="H4181">
        <v>6050.36</v>
      </c>
      <c r="J4181" t="s">
        <v>2511</v>
      </c>
    </row>
    <row r="4182" spans="1:10" ht="15" customHeight="1" x14ac:dyDescent="0.2">
      <c r="A4182" s="420">
        <v>45716</v>
      </c>
      <c r="B4182" t="s">
        <v>2532</v>
      </c>
      <c r="C4182" t="s">
        <v>6402</v>
      </c>
      <c r="D4182" t="s">
        <v>4202</v>
      </c>
      <c r="E4182" t="s">
        <v>1083</v>
      </c>
      <c r="F4182">
        <v>50</v>
      </c>
      <c r="H4182">
        <v>6100.36</v>
      </c>
      <c r="J4182" t="s">
        <v>2511</v>
      </c>
    </row>
    <row r="4183" spans="1:10" ht="15" customHeight="1" x14ac:dyDescent="0.2">
      <c r="A4183" s="420">
        <v>45716</v>
      </c>
      <c r="B4183" t="s">
        <v>2532</v>
      </c>
      <c r="C4183" t="s">
        <v>6402</v>
      </c>
      <c r="D4183" t="s">
        <v>4203</v>
      </c>
      <c r="E4183" t="s">
        <v>1084</v>
      </c>
      <c r="F4183">
        <v>44.03</v>
      </c>
      <c r="H4183">
        <v>6144.39</v>
      </c>
      <c r="J4183" t="s">
        <v>2511</v>
      </c>
    </row>
    <row r="4184" spans="1:10" ht="15" customHeight="1" x14ac:dyDescent="0.2">
      <c r="A4184" s="420">
        <v>45716</v>
      </c>
      <c r="B4184" t="s">
        <v>2532</v>
      </c>
      <c r="C4184" t="s">
        <v>6402</v>
      </c>
      <c r="D4184" t="s">
        <v>2682</v>
      </c>
      <c r="E4184" t="s">
        <v>1087</v>
      </c>
      <c r="F4184">
        <v>53.6</v>
      </c>
      <c r="H4184">
        <v>6197.99</v>
      </c>
      <c r="J4184" t="s">
        <v>2513</v>
      </c>
    </row>
    <row r="4185" spans="1:10" ht="15" customHeight="1" x14ac:dyDescent="0.2">
      <c r="A4185" s="420">
        <v>45717</v>
      </c>
      <c r="B4185" t="s">
        <v>2532</v>
      </c>
      <c r="C4185" t="s">
        <v>6402</v>
      </c>
      <c r="D4185" t="s">
        <v>4048</v>
      </c>
      <c r="E4185" t="s">
        <v>1208</v>
      </c>
      <c r="F4185">
        <v>200</v>
      </c>
      <c r="H4185">
        <v>6397.99</v>
      </c>
      <c r="J4185" t="s">
        <v>2511</v>
      </c>
    </row>
    <row r="4186" spans="1:10" ht="15" customHeight="1" x14ac:dyDescent="0.2">
      <c r="A4186" s="420">
        <v>45717</v>
      </c>
      <c r="B4186" t="s">
        <v>2532</v>
      </c>
      <c r="C4186" t="s">
        <v>6402</v>
      </c>
      <c r="D4186" t="s">
        <v>5452</v>
      </c>
      <c r="E4186" t="s">
        <v>1243</v>
      </c>
      <c r="F4186">
        <v>10.96</v>
      </c>
      <c r="H4186">
        <v>6408.95</v>
      </c>
      <c r="J4186" t="s">
        <v>2511</v>
      </c>
    </row>
    <row r="4187" spans="1:10" ht="15" customHeight="1" x14ac:dyDescent="0.2">
      <c r="A4187" s="420">
        <v>45717</v>
      </c>
      <c r="B4187" t="s">
        <v>2547</v>
      </c>
      <c r="C4187" t="s">
        <v>6402</v>
      </c>
      <c r="D4187" t="s">
        <v>5382</v>
      </c>
      <c r="E4187" t="s">
        <v>1787</v>
      </c>
      <c r="F4187">
        <v>6.26</v>
      </c>
      <c r="H4187">
        <v>6415.21</v>
      </c>
      <c r="J4187" t="s">
        <v>2511</v>
      </c>
    </row>
    <row r="4188" spans="1:10" ht="15" customHeight="1" x14ac:dyDescent="0.2">
      <c r="A4188" s="420">
        <v>45717</v>
      </c>
      <c r="B4188" t="s">
        <v>2547</v>
      </c>
      <c r="C4188" t="s">
        <v>6402</v>
      </c>
      <c r="D4188" t="s">
        <v>3892</v>
      </c>
      <c r="E4188" t="s">
        <v>1786</v>
      </c>
      <c r="F4188">
        <v>5.83</v>
      </c>
      <c r="H4188">
        <v>6421.04</v>
      </c>
      <c r="J4188" t="s">
        <v>2511</v>
      </c>
    </row>
    <row r="4189" spans="1:10" ht="15" customHeight="1" x14ac:dyDescent="0.2">
      <c r="A4189" s="420">
        <v>45718</v>
      </c>
      <c r="B4189" t="s">
        <v>2532</v>
      </c>
      <c r="C4189" t="s">
        <v>6402</v>
      </c>
      <c r="D4189" t="s">
        <v>5338</v>
      </c>
      <c r="E4189" t="s">
        <v>1472</v>
      </c>
      <c r="F4189">
        <v>4</v>
      </c>
      <c r="H4189">
        <v>6425.04</v>
      </c>
      <c r="J4189" t="s">
        <v>2511</v>
      </c>
    </row>
    <row r="4190" spans="1:10" ht="15" customHeight="1" x14ac:dyDescent="0.2">
      <c r="A4190" s="420">
        <v>45719</v>
      </c>
      <c r="B4190" t="s">
        <v>2532</v>
      </c>
      <c r="C4190" t="s">
        <v>6402</v>
      </c>
      <c r="D4190" t="s">
        <v>4402</v>
      </c>
      <c r="E4190" t="s">
        <v>4403</v>
      </c>
      <c r="F4190">
        <v>306.75</v>
      </c>
      <c r="H4190">
        <v>6731.79</v>
      </c>
      <c r="J4190" t="s">
        <v>2511</v>
      </c>
    </row>
    <row r="4191" spans="1:10" ht="15" customHeight="1" x14ac:dyDescent="0.2">
      <c r="A4191" s="420">
        <v>45720</v>
      </c>
      <c r="B4191" t="s">
        <v>2532</v>
      </c>
      <c r="C4191" t="s">
        <v>6402</v>
      </c>
      <c r="D4191" t="s">
        <v>3572</v>
      </c>
      <c r="E4191" t="s">
        <v>1326</v>
      </c>
      <c r="F4191">
        <v>19.5</v>
      </c>
      <c r="H4191">
        <v>6751.29</v>
      </c>
      <c r="J4191" t="s">
        <v>2511</v>
      </c>
    </row>
    <row r="4192" spans="1:10" ht="15" customHeight="1" x14ac:dyDescent="0.2">
      <c r="A4192" s="420">
        <v>45721</v>
      </c>
      <c r="B4192" t="s">
        <v>2532</v>
      </c>
      <c r="C4192" t="s">
        <v>6402</v>
      </c>
      <c r="D4192" t="s">
        <v>5100</v>
      </c>
      <c r="E4192" t="s">
        <v>1474</v>
      </c>
      <c r="F4192">
        <v>30</v>
      </c>
      <c r="H4192">
        <v>6781.29</v>
      </c>
      <c r="J4192" t="s">
        <v>2511</v>
      </c>
    </row>
    <row r="4193" spans="1:10" ht="15" customHeight="1" x14ac:dyDescent="0.2">
      <c r="A4193" s="420">
        <v>45721</v>
      </c>
      <c r="B4193" t="s">
        <v>2532</v>
      </c>
      <c r="C4193" t="s">
        <v>6402</v>
      </c>
      <c r="D4193" t="s">
        <v>2885</v>
      </c>
      <c r="E4193" t="s">
        <v>1473</v>
      </c>
      <c r="F4193">
        <v>447.56</v>
      </c>
      <c r="H4193">
        <v>7228.85</v>
      </c>
      <c r="J4193" t="s">
        <v>2511</v>
      </c>
    </row>
    <row r="4194" spans="1:10" ht="15" customHeight="1" x14ac:dyDescent="0.2">
      <c r="A4194" s="420">
        <v>45721</v>
      </c>
      <c r="B4194" t="s">
        <v>2547</v>
      </c>
      <c r="C4194" t="s">
        <v>6402</v>
      </c>
      <c r="D4194" t="s">
        <v>4858</v>
      </c>
      <c r="E4194" t="s">
        <v>1788</v>
      </c>
      <c r="F4194">
        <v>4.72</v>
      </c>
      <c r="H4194">
        <v>7233.57</v>
      </c>
      <c r="J4194" t="s">
        <v>2511</v>
      </c>
    </row>
    <row r="4195" spans="1:10" ht="15" customHeight="1" x14ac:dyDescent="0.2">
      <c r="A4195" s="420">
        <v>45721</v>
      </c>
      <c r="B4195" t="s">
        <v>2547</v>
      </c>
      <c r="C4195" t="s">
        <v>6402</v>
      </c>
      <c r="D4195" t="s">
        <v>4163</v>
      </c>
      <c r="E4195" t="s">
        <v>1327</v>
      </c>
      <c r="F4195">
        <v>2.8</v>
      </c>
      <c r="H4195">
        <v>7236.37</v>
      </c>
      <c r="J4195" t="s">
        <v>2511</v>
      </c>
    </row>
    <row r="4196" spans="1:10" ht="15" customHeight="1" x14ac:dyDescent="0.2">
      <c r="A4196" s="420">
        <v>45722</v>
      </c>
      <c r="B4196" t="s">
        <v>2532</v>
      </c>
      <c r="C4196" t="s">
        <v>6402</v>
      </c>
      <c r="D4196" t="s">
        <v>5239</v>
      </c>
      <c r="E4196" t="s">
        <v>1789</v>
      </c>
      <c r="F4196">
        <v>14.17</v>
      </c>
      <c r="H4196">
        <v>7250.54</v>
      </c>
      <c r="J4196" t="s">
        <v>2511</v>
      </c>
    </row>
    <row r="4197" spans="1:10" ht="15" customHeight="1" x14ac:dyDescent="0.2">
      <c r="A4197" s="420">
        <v>45722</v>
      </c>
      <c r="B4197" t="s">
        <v>2532</v>
      </c>
      <c r="C4197" t="s">
        <v>6402</v>
      </c>
      <c r="D4197" t="s">
        <v>5101</v>
      </c>
      <c r="E4197" t="s">
        <v>1475</v>
      </c>
      <c r="F4197">
        <v>30</v>
      </c>
      <c r="H4197">
        <v>7280.54</v>
      </c>
      <c r="J4197" t="s">
        <v>2511</v>
      </c>
    </row>
    <row r="4198" spans="1:10" ht="15" customHeight="1" x14ac:dyDescent="0.2">
      <c r="A4198" s="420">
        <v>45723</v>
      </c>
      <c r="B4198" t="s">
        <v>2532</v>
      </c>
      <c r="C4198" t="s">
        <v>6402</v>
      </c>
      <c r="D4198" t="s">
        <v>3614</v>
      </c>
      <c r="E4198" t="s">
        <v>3615</v>
      </c>
      <c r="F4198">
        <v>2.36</v>
      </c>
      <c r="H4198">
        <v>7282.9</v>
      </c>
      <c r="J4198" t="s">
        <v>2511</v>
      </c>
    </row>
    <row r="4199" spans="1:10" ht="15" customHeight="1" x14ac:dyDescent="0.2">
      <c r="A4199" s="420">
        <v>45724</v>
      </c>
      <c r="B4199" t="s">
        <v>2532</v>
      </c>
      <c r="C4199" t="s">
        <v>6402</v>
      </c>
      <c r="D4199" t="s">
        <v>5038</v>
      </c>
      <c r="E4199" t="s">
        <v>1329</v>
      </c>
      <c r="F4199">
        <v>31.2</v>
      </c>
      <c r="H4199">
        <v>7314.1</v>
      </c>
      <c r="J4199" t="s">
        <v>2511</v>
      </c>
    </row>
    <row r="4200" spans="1:10" ht="15" customHeight="1" x14ac:dyDescent="0.2">
      <c r="A4200" s="420">
        <v>45724</v>
      </c>
      <c r="B4200" t="s">
        <v>3987</v>
      </c>
      <c r="C4200" t="s">
        <v>6402</v>
      </c>
      <c r="D4200" t="s">
        <v>3992</v>
      </c>
      <c r="E4200" t="s">
        <v>6973</v>
      </c>
      <c r="F4200">
        <v>132.08000000000001</v>
      </c>
      <c r="H4200">
        <v>7446.18</v>
      </c>
      <c r="J4200" t="s">
        <v>2511</v>
      </c>
    </row>
    <row r="4201" spans="1:10" ht="15" customHeight="1" x14ac:dyDescent="0.2">
      <c r="A4201" s="420">
        <v>45725</v>
      </c>
      <c r="B4201" t="s">
        <v>2532</v>
      </c>
      <c r="C4201" t="s">
        <v>6402</v>
      </c>
      <c r="D4201" t="s">
        <v>2762</v>
      </c>
      <c r="E4201" t="s">
        <v>463</v>
      </c>
      <c r="F4201">
        <v>5.34</v>
      </c>
      <c r="H4201">
        <v>7451.52</v>
      </c>
      <c r="J4201" t="s">
        <v>2511</v>
      </c>
    </row>
    <row r="4202" spans="1:10" ht="15" customHeight="1" x14ac:dyDescent="0.2">
      <c r="A4202" s="420">
        <v>45727</v>
      </c>
      <c r="B4202" t="s">
        <v>2532</v>
      </c>
      <c r="C4202" t="s">
        <v>6402</v>
      </c>
      <c r="D4202" t="s">
        <v>4766</v>
      </c>
      <c r="E4202" t="s">
        <v>1792</v>
      </c>
      <c r="F4202">
        <v>12.17</v>
      </c>
      <c r="H4202">
        <v>7463.69</v>
      </c>
      <c r="J4202" t="s">
        <v>2511</v>
      </c>
    </row>
    <row r="4203" spans="1:10" ht="15" customHeight="1" x14ac:dyDescent="0.2">
      <c r="A4203" s="420">
        <v>45728</v>
      </c>
      <c r="B4203" t="s">
        <v>2547</v>
      </c>
      <c r="C4203" t="s">
        <v>6402</v>
      </c>
      <c r="D4203" t="s">
        <v>2863</v>
      </c>
      <c r="E4203" t="s">
        <v>1793</v>
      </c>
      <c r="F4203">
        <v>0.45</v>
      </c>
      <c r="H4203">
        <v>7464.14</v>
      </c>
      <c r="J4203" t="s">
        <v>2511</v>
      </c>
    </row>
    <row r="4204" spans="1:10" ht="15" customHeight="1" x14ac:dyDescent="0.2">
      <c r="A4204" s="420">
        <v>45729</v>
      </c>
      <c r="B4204" t="s">
        <v>2532</v>
      </c>
      <c r="C4204" t="s">
        <v>6402</v>
      </c>
      <c r="D4204" t="s">
        <v>3700</v>
      </c>
      <c r="E4204" t="s">
        <v>1794</v>
      </c>
      <c r="F4204">
        <v>77.08</v>
      </c>
      <c r="H4204">
        <v>7541.22</v>
      </c>
      <c r="J4204" t="s">
        <v>2511</v>
      </c>
    </row>
    <row r="4205" spans="1:10" ht="15" customHeight="1" x14ac:dyDescent="0.2">
      <c r="A4205" s="420">
        <v>45729</v>
      </c>
      <c r="B4205" t="s">
        <v>2547</v>
      </c>
      <c r="C4205" t="s">
        <v>6402</v>
      </c>
      <c r="D4205" t="s">
        <v>4734</v>
      </c>
      <c r="E4205" t="s">
        <v>1647</v>
      </c>
      <c r="F4205">
        <v>15.8</v>
      </c>
      <c r="H4205">
        <v>7557.02</v>
      </c>
      <c r="J4205" t="s">
        <v>2511</v>
      </c>
    </row>
    <row r="4206" spans="1:10" ht="15" customHeight="1" x14ac:dyDescent="0.2">
      <c r="A4206" s="420">
        <v>45729</v>
      </c>
      <c r="B4206" t="s">
        <v>2532</v>
      </c>
      <c r="C4206" t="s">
        <v>6402</v>
      </c>
      <c r="D4206" t="s">
        <v>3018</v>
      </c>
      <c r="E4206" t="s">
        <v>1248</v>
      </c>
      <c r="F4206">
        <v>59.46</v>
      </c>
      <c r="H4206">
        <v>7616.48</v>
      </c>
      <c r="J4206" t="s">
        <v>2511</v>
      </c>
    </row>
    <row r="4207" spans="1:10" ht="15" customHeight="1" x14ac:dyDescent="0.2">
      <c r="A4207" s="420">
        <v>45730</v>
      </c>
      <c r="B4207" t="s">
        <v>2547</v>
      </c>
      <c r="C4207" t="s">
        <v>6402</v>
      </c>
      <c r="D4207" t="s">
        <v>3784</v>
      </c>
      <c r="E4207" t="s">
        <v>1795</v>
      </c>
      <c r="F4207">
        <v>2.1800000000000002</v>
      </c>
      <c r="H4207">
        <v>7618.66</v>
      </c>
      <c r="J4207" t="s">
        <v>2511</v>
      </c>
    </row>
    <row r="4208" spans="1:10" ht="15" customHeight="1" x14ac:dyDescent="0.2">
      <c r="A4208" s="420">
        <v>45730</v>
      </c>
      <c r="B4208" t="s">
        <v>2532</v>
      </c>
      <c r="C4208" t="s">
        <v>6402</v>
      </c>
      <c r="D4208" t="s">
        <v>3925</v>
      </c>
      <c r="E4208" t="s">
        <v>1477</v>
      </c>
      <c r="F4208">
        <v>212.94</v>
      </c>
      <c r="H4208">
        <v>7831.6</v>
      </c>
      <c r="J4208" t="s">
        <v>2511</v>
      </c>
    </row>
    <row r="4209" spans="1:10" ht="15" customHeight="1" x14ac:dyDescent="0.2">
      <c r="A4209" s="420">
        <v>45731</v>
      </c>
      <c r="B4209" t="s">
        <v>2547</v>
      </c>
      <c r="C4209" t="s">
        <v>6402</v>
      </c>
      <c r="D4209" t="s">
        <v>2863</v>
      </c>
      <c r="E4209" t="s">
        <v>1798</v>
      </c>
      <c r="F4209">
        <v>0.74</v>
      </c>
      <c r="H4209">
        <v>7832.34</v>
      </c>
      <c r="J4209" t="s">
        <v>2511</v>
      </c>
    </row>
    <row r="4210" spans="1:10" ht="15" customHeight="1" x14ac:dyDescent="0.2">
      <c r="A4210" s="420">
        <v>45731</v>
      </c>
      <c r="B4210" t="s">
        <v>2547</v>
      </c>
      <c r="C4210" t="s">
        <v>6402</v>
      </c>
      <c r="D4210" t="s">
        <v>3784</v>
      </c>
      <c r="E4210" t="s">
        <v>1798</v>
      </c>
      <c r="F4210">
        <v>1.06</v>
      </c>
      <c r="H4210">
        <v>7833.4</v>
      </c>
      <c r="J4210" t="s">
        <v>2511</v>
      </c>
    </row>
    <row r="4211" spans="1:10" ht="15" customHeight="1" x14ac:dyDescent="0.2">
      <c r="A4211" s="420">
        <v>45731</v>
      </c>
      <c r="B4211" t="s">
        <v>2547</v>
      </c>
      <c r="C4211" t="s">
        <v>6402</v>
      </c>
      <c r="D4211" t="s">
        <v>4858</v>
      </c>
      <c r="E4211" t="s">
        <v>1799</v>
      </c>
      <c r="F4211">
        <v>18.190000000000001</v>
      </c>
      <c r="H4211">
        <v>7851.59</v>
      </c>
      <c r="J4211" t="s">
        <v>2511</v>
      </c>
    </row>
    <row r="4212" spans="1:10" ht="15" customHeight="1" x14ac:dyDescent="0.2">
      <c r="A4212" s="420">
        <v>45732</v>
      </c>
      <c r="B4212" t="s">
        <v>2547</v>
      </c>
      <c r="C4212" t="s">
        <v>6402</v>
      </c>
      <c r="D4212" t="s">
        <v>2863</v>
      </c>
      <c r="E4212" t="s">
        <v>1798</v>
      </c>
      <c r="F4212">
        <v>1.31</v>
      </c>
      <c r="H4212">
        <v>7852.9</v>
      </c>
      <c r="J4212" t="s">
        <v>2511</v>
      </c>
    </row>
    <row r="4213" spans="1:10" ht="15" customHeight="1" x14ac:dyDescent="0.2">
      <c r="A4213" s="420">
        <v>45732</v>
      </c>
      <c r="B4213" t="s">
        <v>2547</v>
      </c>
      <c r="C4213" t="s">
        <v>6402</v>
      </c>
      <c r="D4213" t="s">
        <v>3784</v>
      </c>
      <c r="E4213" t="s">
        <v>1798</v>
      </c>
      <c r="F4213">
        <v>1.61</v>
      </c>
      <c r="H4213">
        <v>7854.51</v>
      </c>
      <c r="J4213" t="s">
        <v>2511</v>
      </c>
    </row>
    <row r="4214" spans="1:10" ht="15" customHeight="1" x14ac:dyDescent="0.2">
      <c r="A4214" s="420">
        <v>45734</v>
      </c>
      <c r="B4214" t="s">
        <v>2532</v>
      </c>
      <c r="C4214" t="s">
        <v>6402</v>
      </c>
      <c r="D4214" t="s">
        <v>3909</v>
      </c>
      <c r="E4214" t="s">
        <v>1331</v>
      </c>
      <c r="F4214">
        <v>89.2</v>
      </c>
      <c r="H4214">
        <v>7943.71</v>
      </c>
      <c r="J4214" t="s">
        <v>2511</v>
      </c>
    </row>
    <row r="4215" spans="1:10" ht="15" customHeight="1" x14ac:dyDescent="0.2">
      <c r="A4215" s="420">
        <v>45736</v>
      </c>
      <c r="B4215" t="s">
        <v>2532</v>
      </c>
      <c r="C4215" t="s">
        <v>6402</v>
      </c>
      <c r="D4215" t="s">
        <v>3845</v>
      </c>
      <c r="E4215" t="s">
        <v>1478</v>
      </c>
      <c r="F4215">
        <v>124.94</v>
      </c>
      <c r="H4215">
        <v>8068.65</v>
      </c>
      <c r="J4215" t="s">
        <v>2511</v>
      </c>
    </row>
    <row r="4216" spans="1:10" ht="15" customHeight="1" x14ac:dyDescent="0.2">
      <c r="A4216" s="420">
        <v>45736</v>
      </c>
      <c r="B4216" t="s">
        <v>2532</v>
      </c>
      <c r="C4216" t="s">
        <v>6402</v>
      </c>
      <c r="D4216" t="s">
        <v>5284</v>
      </c>
      <c r="E4216" t="s">
        <v>467</v>
      </c>
      <c r="F4216">
        <v>7.85</v>
      </c>
      <c r="H4216">
        <v>8076.5</v>
      </c>
      <c r="J4216" t="s">
        <v>2511</v>
      </c>
    </row>
    <row r="4217" spans="1:10" ht="15" customHeight="1" x14ac:dyDescent="0.2">
      <c r="A4217" s="420">
        <v>45736</v>
      </c>
      <c r="B4217" t="s">
        <v>2532</v>
      </c>
      <c r="C4217" t="s">
        <v>6402</v>
      </c>
      <c r="D4217" t="s">
        <v>3182</v>
      </c>
      <c r="E4217" t="s">
        <v>1803</v>
      </c>
      <c r="F4217">
        <v>0.42</v>
      </c>
      <c r="H4217">
        <v>8076.92</v>
      </c>
      <c r="J4217" t="s">
        <v>2511</v>
      </c>
    </row>
    <row r="4218" spans="1:10" ht="15" customHeight="1" x14ac:dyDescent="0.2">
      <c r="A4218" s="420">
        <v>45736</v>
      </c>
      <c r="B4218" t="s">
        <v>2532</v>
      </c>
      <c r="C4218" t="s">
        <v>6402</v>
      </c>
      <c r="D4218" t="s">
        <v>4860</v>
      </c>
      <c r="E4218" t="s">
        <v>1804</v>
      </c>
      <c r="F4218">
        <v>1.7</v>
      </c>
      <c r="H4218">
        <v>8078.62</v>
      </c>
      <c r="J4218" t="s">
        <v>2511</v>
      </c>
    </row>
    <row r="4219" spans="1:10" ht="15" customHeight="1" x14ac:dyDescent="0.2">
      <c r="A4219" s="420">
        <v>45736</v>
      </c>
      <c r="B4219" t="s">
        <v>2532</v>
      </c>
      <c r="C4219" t="s">
        <v>6402</v>
      </c>
      <c r="D4219" t="s">
        <v>4860</v>
      </c>
      <c r="E4219" t="s">
        <v>1804</v>
      </c>
      <c r="F4219">
        <v>4.45</v>
      </c>
      <c r="H4219">
        <v>8083.07</v>
      </c>
      <c r="J4219" t="s">
        <v>2511</v>
      </c>
    </row>
    <row r="4220" spans="1:10" ht="15" customHeight="1" x14ac:dyDescent="0.2">
      <c r="A4220" s="420">
        <v>45741</v>
      </c>
      <c r="B4220" t="s">
        <v>2532</v>
      </c>
      <c r="C4220" t="s">
        <v>6402</v>
      </c>
      <c r="D4220" t="s">
        <v>2888</v>
      </c>
      <c r="E4220" t="s">
        <v>1479</v>
      </c>
      <c r="F4220">
        <v>69.8</v>
      </c>
      <c r="H4220">
        <v>8152.87</v>
      </c>
      <c r="J4220" t="s">
        <v>2511</v>
      </c>
    </row>
    <row r="4221" spans="1:10" ht="15" customHeight="1" x14ac:dyDescent="0.2">
      <c r="A4221" s="420">
        <v>45741</v>
      </c>
      <c r="B4221" t="s">
        <v>2532</v>
      </c>
      <c r="C4221" t="s">
        <v>6402</v>
      </c>
      <c r="D4221" t="s">
        <v>6974</v>
      </c>
      <c r="E4221" t="s">
        <v>1805</v>
      </c>
      <c r="F4221">
        <v>1.63</v>
      </c>
      <c r="H4221">
        <v>8154.5</v>
      </c>
      <c r="J4221" t="s">
        <v>2511</v>
      </c>
    </row>
    <row r="4222" spans="1:10" ht="15" customHeight="1" x14ac:dyDescent="0.2">
      <c r="A4222" s="420">
        <v>45741</v>
      </c>
      <c r="B4222" t="s">
        <v>2532</v>
      </c>
      <c r="C4222" t="s">
        <v>6402</v>
      </c>
      <c r="D4222" t="s">
        <v>6974</v>
      </c>
      <c r="E4222" t="s">
        <v>1805</v>
      </c>
      <c r="F4222">
        <v>1.67</v>
      </c>
      <c r="H4222">
        <v>8156.17</v>
      </c>
      <c r="J4222" t="s">
        <v>2511</v>
      </c>
    </row>
    <row r="4223" spans="1:10" ht="15" customHeight="1" x14ac:dyDescent="0.2">
      <c r="A4223" s="420">
        <v>45742</v>
      </c>
      <c r="B4223" t="s">
        <v>2532</v>
      </c>
      <c r="C4223" t="s">
        <v>6402</v>
      </c>
      <c r="D4223" t="s">
        <v>5314</v>
      </c>
      <c r="E4223" t="s">
        <v>1807</v>
      </c>
      <c r="F4223">
        <v>4.17</v>
      </c>
      <c r="H4223">
        <v>8160.34</v>
      </c>
      <c r="J4223" t="s">
        <v>2511</v>
      </c>
    </row>
    <row r="4224" spans="1:10" ht="15" customHeight="1" x14ac:dyDescent="0.2">
      <c r="A4224" s="420">
        <v>45743</v>
      </c>
      <c r="B4224" t="s">
        <v>2547</v>
      </c>
      <c r="C4224" t="s">
        <v>6402</v>
      </c>
      <c r="D4224" t="s">
        <v>4858</v>
      </c>
      <c r="E4224" t="s">
        <v>1788</v>
      </c>
      <c r="F4224">
        <v>4.6500000000000004</v>
      </c>
      <c r="H4224">
        <v>8164.99</v>
      </c>
      <c r="J4224" t="s">
        <v>2511</v>
      </c>
    </row>
    <row r="4225" spans="1:10" ht="15" customHeight="1" x14ac:dyDescent="0.2">
      <c r="A4225" s="420">
        <v>45747</v>
      </c>
      <c r="B4225" t="s">
        <v>2532</v>
      </c>
      <c r="C4225" t="s">
        <v>6402</v>
      </c>
      <c r="D4225" t="s">
        <v>3406</v>
      </c>
      <c r="E4225" t="s">
        <v>963</v>
      </c>
      <c r="F4225">
        <v>1180</v>
      </c>
      <c r="H4225">
        <v>9344.99</v>
      </c>
      <c r="J4225" t="s">
        <v>2511</v>
      </c>
    </row>
    <row r="4226" spans="1:10" ht="15" customHeight="1" x14ac:dyDescent="0.2">
      <c r="A4226" s="420">
        <v>45747</v>
      </c>
      <c r="B4226" t="s">
        <v>2532</v>
      </c>
      <c r="C4226" t="s">
        <v>6402</v>
      </c>
      <c r="D4226" t="s">
        <v>2975</v>
      </c>
      <c r="E4226" t="s">
        <v>1480</v>
      </c>
      <c r="F4226">
        <v>292</v>
      </c>
      <c r="H4226">
        <v>9636.99</v>
      </c>
      <c r="J4226" t="s">
        <v>2511</v>
      </c>
    </row>
    <row r="4227" spans="1:10" ht="15" customHeight="1" x14ac:dyDescent="0.2">
      <c r="A4227" s="420">
        <v>45747</v>
      </c>
      <c r="B4227" t="s">
        <v>2532</v>
      </c>
      <c r="C4227" t="s">
        <v>6402</v>
      </c>
      <c r="D4227" t="s">
        <v>4208</v>
      </c>
      <c r="E4227" t="s">
        <v>469</v>
      </c>
      <c r="F4227">
        <v>64</v>
      </c>
      <c r="H4227">
        <v>9700.99</v>
      </c>
      <c r="J4227" t="s">
        <v>2511</v>
      </c>
    </row>
    <row r="4228" spans="1:10" ht="15" customHeight="1" x14ac:dyDescent="0.2">
      <c r="A4228" s="420">
        <v>45747</v>
      </c>
      <c r="B4228" t="s">
        <v>2532</v>
      </c>
      <c r="C4228" t="s">
        <v>6402</v>
      </c>
      <c r="D4228" t="s">
        <v>2689</v>
      </c>
      <c r="E4228" t="s">
        <v>1096</v>
      </c>
      <c r="F4228">
        <v>78.78</v>
      </c>
      <c r="H4228">
        <v>9779.77</v>
      </c>
      <c r="J4228" t="s">
        <v>2511</v>
      </c>
    </row>
    <row r="4229" spans="1:10" ht="15" customHeight="1" x14ac:dyDescent="0.2">
      <c r="A4229" s="420">
        <v>45747</v>
      </c>
      <c r="B4229" t="s">
        <v>2532</v>
      </c>
      <c r="C4229" t="s">
        <v>6402</v>
      </c>
      <c r="D4229" t="s">
        <v>2690</v>
      </c>
      <c r="E4229" t="s">
        <v>1099</v>
      </c>
      <c r="F4229">
        <v>56.17</v>
      </c>
      <c r="H4229">
        <v>9835.94</v>
      </c>
      <c r="J4229" t="s">
        <v>2511</v>
      </c>
    </row>
    <row r="4230" spans="1:10" ht="15" customHeight="1" x14ac:dyDescent="0.2">
      <c r="A4230" s="420">
        <v>45747</v>
      </c>
      <c r="B4230" t="s">
        <v>2532</v>
      </c>
      <c r="C4230" t="s">
        <v>6402</v>
      </c>
      <c r="D4230" t="s">
        <v>2691</v>
      </c>
      <c r="E4230" t="s">
        <v>1093</v>
      </c>
      <c r="F4230">
        <v>64.33</v>
      </c>
      <c r="H4230">
        <v>9900.27</v>
      </c>
      <c r="J4230" t="s">
        <v>2511</v>
      </c>
    </row>
    <row r="4231" spans="1:10" ht="15" customHeight="1" x14ac:dyDescent="0.2">
      <c r="A4231" s="420">
        <v>45747</v>
      </c>
      <c r="B4231" t="s">
        <v>2517</v>
      </c>
      <c r="C4231" t="s">
        <v>6402</v>
      </c>
      <c r="D4231" t="s">
        <v>6311</v>
      </c>
      <c r="E4231" t="s">
        <v>6365</v>
      </c>
      <c r="G4231">
        <v>7380.33</v>
      </c>
      <c r="H4231">
        <v>2519.94</v>
      </c>
      <c r="J4231" t="s">
        <v>2511</v>
      </c>
    </row>
    <row r="4232" spans="1:10" ht="15" customHeight="1" x14ac:dyDescent="0.2">
      <c r="A4232" s="420">
        <v>45747</v>
      </c>
      <c r="B4232" t="s">
        <v>2532</v>
      </c>
      <c r="C4232" t="s">
        <v>6402</v>
      </c>
      <c r="D4232" t="s">
        <v>4418</v>
      </c>
      <c r="E4232" t="s">
        <v>4419</v>
      </c>
      <c r="F4232">
        <v>306.8</v>
      </c>
      <c r="H4232">
        <v>2826.74</v>
      </c>
      <c r="J4232" t="s">
        <v>2511</v>
      </c>
    </row>
    <row r="4233" spans="1:10" ht="15" customHeight="1" x14ac:dyDescent="0.2">
      <c r="A4233" s="420">
        <v>45747</v>
      </c>
      <c r="B4233" t="s">
        <v>2532</v>
      </c>
      <c r="C4233" t="s">
        <v>6402</v>
      </c>
      <c r="D4233" t="s">
        <v>4420</v>
      </c>
      <c r="E4233" t="s">
        <v>4421</v>
      </c>
      <c r="F4233">
        <v>1472.63</v>
      </c>
      <c r="H4233">
        <v>4299.37</v>
      </c>
      <c r="J4233" t="s">
        <v>2511</v>
      </c>
    </row>
    <row r="4234" spans="1:10" ht="15" customHeight="1" x14ac:dyDescent="0.2">
      <c r="A4234" s="420">
        <v>45747</v>
      </c>
      <c r="B4234" t="s">
        <v>2532</v>
      </c>
      <c r="C4234" t="s">
        <v>6402</v>
      </c>
      <c r="D4234" t="s">
        <v>4209</v>
      </c>
      <c r="E4234" t="s">
        <v>1091</v>
      </c>
      <c r="F4234">
        <v>21.2</v>
      </c>
      <c r="H4234">
        <v>4320.57</v>
      </c>
      <c r="J4234" t="s">
        <v>2511</v>
      </c>
    </row>
    <row r="4235" spans="1:10" ht="15" customHeight="1" x14ac:dyDescent="0.2">
      <c r="A4235" s="420">
        <v>45747</v>
      </c>
      <c r="B4235" t="s">
        <v>2532</v>
      </c>
      <c r="C4235" t="s">
        <v>6402</v>
      </c>
      <c r="D4235" t="s">
        <v>4210</v>
      </c>
      <c r="E4235" t="s">
        <v>1092</v>
      </c>
      <c r="F4235">
        <v>134.05000000000001</v>
      </c>
      <c r="H4235">
        <v>4454.62</v>
      </c>
      <c r="J4235" t="s">
        <v>2511</v>
      </c>
    </row>
    <row r="4236" spans="1:10" ht="15" customHeight="1" x14ac:dyDescent="0.2">
      <c r="A4236" s="420">
        <v>45748</v>
      </c>
      <c r="B4236" t="s">
        <v>2532</v>
      </c>
      <c r="C4236" t="s">
        <v>6402</v>
      </c>
      <c r="D4236" t="s">
        <v>5385</v>
      </c>
      <c r="E4236" t="s">
        <v>1813</v>
      </c>
      <c r="F4236">
        <v>28.22</v>
      </c>
      <c r="H4236">
        <v>4482.84</v>
      </c>
      <c r="J4236" t="s">
        <v>2511</v>
      </c>
    </row>
    <row r="4237" spans="1:10" ht="15" customHeight="1" x14ac:dyDescent="0.2">
      <c r="A4237" s="420">
        <v>45748</v>
      </c>
      <c r="B4237" t="s">
        <v>2532</v>
      </c>
      <c r="C4237" t="s">
        <v>6402</v>
      </c>
      <c r="D4237" t="s">
        <v>5455</v>
      </c>
      <c r="E4237" t="s">
        <v>1252</v>
      </c>
      <c r="F4237">
        <v>10.96</v>
      </c>
      <c r="H4237">
        <v>4493.8</v>
      </c>
      <c r="J4237" t="s">
        <v>2511</v>
      </c>
    </row>
    <row r="4238" spans="1:10" ht="15" customHeight="1" x14ac:dyDescent="0.2">
      <c r="A4238" s="420">
        <v>45748</v>
      </c>
      <c r="B4238" t="s">
        <v>2532</v>
      </c>
      <c r="C4238" t="s">
        <v>6402</v>
      </c>
      <c r="D4238" t="s">
        <v>4050</v>
      </c>
      <c r="E4238" t="s">
        <v>1211</v>
      </c>
      <c r="F4238">
        <v>200</v>
      </c>
      <c r="H4238">
        <v>4693.8</v>
      </c>
      <c r="J4238" t="s">
        <v>2511</v>
      </c>
    </row>
    <row r="4239" spans="1:10" ht="15" customHeight="1" x14ac:dyDescent="0.2">
      <c r="A4239" s="420">
        <v>45748</v>
      </c>
      <c r="B4239" t="s">
        <v>2439</v>
      </c>
      <c r="C4239" t="s">
        <v>6402</v>
      </c>
      <c r="D4239" t="s">
        <v>2639</v>
      </c>
      <c r="E4239" t="s">
        <v>693</v>
      </c>
      <c r="F4239">
        <v>212.67</v>
      </c>
      <c r="H4239">
        <v>4906.47</v>
      </c>
      <c r="J4239" t="s">
        <v>2511</v>
      </c>
    </row>
    <row r="4240" spans="1:10" ht="15" customHeight="1" x14ac:dyDescent="0.2">
      <c r="A4240" s="420">
        <v>45749</v>
      </c>
      <c r="B4240" t="s">
        <v>2532</v>
      </c>
      <c r="C4240" t="s">
        <v>6402</v>
      </c>
      <c r="D4240" t="s">
        <v>5341</v>
      </c>
      <c r="E4240" t="s">
        <v>1481</v>
      </c>
      <c r="F4240">
        <v>4</v>
      </c>
      <c r="H4240">
        <v>4910.47</v>
      </c>
      <c r="J4240" t="s">
        <v>2511</v>
      </c>
    </row>
    <row r="4241" spans="1:10" ht="15" customHeight="1" x14ac:dyDescent="0.2">
      <c r="A4241" s="420">
        <v>45751</v>
      </c>
      <c r="B4241" t="s">
        <v>2532</v>
      </c>
      <c r="C4241" t="s">
        <v>6402</v>
      </c>
      <c r="D4241" t="s">
        <v>3381</v>
      </c>
      <c r="E4241" t="s">
        <v>1817</v>
      </c>
      <c r="F4241">
        <v>3.63</v>
      </c>
      <c r="H4241">
        <v>4914.1000000000004</v>
      </c>
      <c r="J4241" t="s">
        <v>2511</v>
      </c>
    </row>
    <row r="4242" spans="1:10" ht="15" customHeight="1" x14ac:dyDescent="0.2">
      <c r="A4242" s="420">
        <v>45752</v>
      </c>
      <c r="B4242" t="s">
        <v>2532</v>
      </c>
      <c r="C4242" t="s">
        <v>6402</v>
      </c>
      <c r="D4242" t="s">
        <v>2891</v>
      </c>
      <c r="E4242" t="s">
        <v>1482</v>
      </c>
      <c r="F4242">
        <v>432.01</v>
      </c>
      <c r="H4242">
        <v>5346.11</v>
      </c>
      <c r="J4242" t="s">
        <v>2511</v>
      </c>
    </row>
    <row r="4243" spans="1:10" ht="15" customHeight="1" x14ac:dyDescent="0.2">
      <c r="A4243" s="420">
        <v>45755</v>
      </c>
      <c r="B4243" t="s">
        <v>2532</v>
      </c>
      <c r="C4243" t="s">
        <v>6402</v>
      </c>
      <c r="D4243" t="s">
        <v>5041</v>
      </c>
      <c r="E4243" t="s">
        <v>1344</v>
      </c>
      <c r="F4243">
        <v>31.2</v>
      </c>
      <c r="H4243">
        <v>5377.31</v>
      </c>
      <c r="J4243" t="s">
        <v>2511</v>
      </c>
    </row>
    <row r="4244" spans="1:10" ht="15" customHeight="1" x14ac:dyDescent="0.2">
      <c r="A4244" s="420">
        <v>45755</v>
      </c>
      <c r="B4244" t="s">
        <v>2532</v>
      </c>
      <c r="C4244" t="s">
        <v>6402</v>
      </c>
      <c r="D4244" t="s">
        <v>5104</v>
      </c>
      <c r="E4244" t="s">
        <v>1483</v>
      </c>
      <c r="F4244">
        <v>30</v>
      </c>
      <c r="H4244">
        <v>5407.31</v>
      </c>
      <c r="J4244" t="s">
        <v>2511</v>
      </c>
    </row>
    <row r="4245" spans="1:10" ht="15" customHeight="1" x14ac:dyDescent="0.2">
      <c r="A4245" s="420">
        <v>45756</v>
      </c>
      <c r="B4245" t="s">
        <v>2532</v>
      </c>
      <c r="C4245" t="s">
        <v>6402</v>
      </c>
      <c r="D4245" t="s">
        <v>4866</v>
      </c>
      <c r="E4245" t="s">
        <v>1820</v>
      </c>
      <c r="F4245">
        <v>2.89</v>
      </c>
      <c r="H4245">
        <v>5410.2</v>
      </c>
      <c r="J4245" t="s">
        <v>2511</v>
      </c>
    </row>
    <row r="4246" spans="1:10" ht="15" customHeight="1" x14ac:dyDescent="0.2">
      <c r="A4246" s="420">
        <v>45756</v>
      </c>
      <c r="B4246" t="s">
        <v>2532</v>
      </c>
      <c r="C4246" t="s">
        <v>6402</v>
      </c>
      <c r="D4246" t="s">
        <v>4866</v>
      </c>
      <c r="E4246" t="s">
        <v>1820</v>
      </c>
      <c r="F4246">
        <v>2.2999999999999998</v>
      </c>
      <c r="H4246">
        <v>5412.5</v>
      </c>
      <c r="J4246" t="s">
        <v>2511</v>
      </c>
    </row>
    <row r="4247" spans="1:10" ht="15" customHeight="1" x14ac:dyDescent="0.2">
      <c r="A4247" s="420">
        <v>45757</v>
      </c>
      <c r="B4247" t="s">
        <v>2532</v>
      </c>
      <c r="C4247" t="s">
        <v>6402</v>
      </c>
      <c r="D4247" t="s">
        <v>3053</v>
      </c>
      <c r="E4247" t="s">
        <v>472</v>
      </c>
      <c r="F4247">
        <v>10.62</v>
      </c>
      <c r="H4247">
        <v>5423.12</v>
      </c>
      <c r="J4247" t="s">
        <v>2511</v>
      </c>
    </row>
    <row r="4248" spans="1:10" ht="15" customHeight="1" x14ac:dyDescent="0.2">
      <c r="A4248" s="420">
        <v>45758</v>
      </c>
      <c r="B4248" t="s">
        <v>2532</v>
      </c>
      <c r="C4248" t="s">
        <v>6402</v>
      </c>
      <c r="D4248" t="s">
        <v>5009</v>
      </c>
      <c r="E4248" t="s">
        <v>474</v>
      </c>
      <c r="F4248">
        <v>15.18</v>
      </c>
      <c r="H4248">
        <v>5438.3</v>
      </c>
      <c r="J4248" t="s">
        <v>2511</v>
      </c>
    </row>
    <row r="4249" spans="1:10" ht="15" customHeight="1" x14ac:dyDescent="0.2">
      <c r="A4249" s="420">
        <v>45761</v>
      </c>
      <c r="B4249" t="s">
        <v>2532</v>
      </c>
      <c r="C4249" t="s">
        <v>6402</v>
      </c>
      <c r="D4249" t="s">
        <v>3365</v>
      </c>
      <c r="E4249" t="s">
        <v>1822</v>
      </c>
      <c r="F4249">
        <v>1.42</v>
      </c>
      <c r="H4249">
        <v>5439.72</v>
      </c>
      <c r="J4249" t="s">
        <v>2511</v>
      </c>
    </row>
    <row r="4250" spans="1:10" ht="15" customHeight="1" x14ac:dyDescent="0.2">
      <c r="A4250" s="420">
        <v>45761</v>
      </c>
      <c r="B4250" t="s">
        <v>2532</v>
      </c>
      <c r="C4250" t="s">
        <v>6402</v>
      </c>
      <c r="D4250" t="s">
        <v>3365</v>
      </c>
      <c r="E4250" t="s">
        <v>1822</v>
      </c>
      <c r="F4250">
        <v>2.82</v>
      </c>
      <c r="H4250">
        <v>5442.54</v>
      </c>
      <c r="J4250" t="s">
        <v>2511</v>
      </c>
    </row>
    <row r="4251" spans="1:10" ht="15" customHeight="1" x14ac:dyDescent="0.2">
      <c r="A4251" s="420">
        <v>45762</v>
      </c>
      <c r="B4251" t="s">
        <v>2547</v>
      </c>
      <c r="C4251" t="s">
        <v>6402</v>
      </c>
      <c r="D4251" t="s">
        <v>4737</v>
      </c>
      <c r="E4251" t="s">
        <v>1647</v>
      </c>
      <c r="F4251">
        <v>16.68</v>
      </c>
      <c r="H4251">
        <v>5459.22</v>
      </c>
      <c r="J4251" t="s">
        <v>2511</v>
      </c>
    </row>
    <row r="4252" spans="1:10" ht="15" customHeight="1" x14ac:dyDescent="0.2">
      <c r="A4252" s="420">
        <v>45764</v>
      </c>
      <c r="B4252" t="s">
        <v>2532</v>
      </c>
      <c r="C4252" t="s">
        <v>6402</v>
      </c>
      <c r="D4252" t="s">
        <v>3368</v>
      </c>
      <c r="E4252" t="s">
        <v>1827</v>
      </c>
      <c r="F4252">
        <v>2.83</v>
      </c>
      <c r="H4252">
        <v>5462.05</v>
      </c>
      <c r="J4252" t="s">
        <v>2511</v>
      </c>
    </row>
    <row r="4253" spans="1:10" ht="15" customHeight="1" x14ac:dyDescent="0.2">
      <c r="A4253" s="420">
        <v>45764</v>
      </c>
      <c r="B4253" t="s">
        <v>2532</v>
      </c>
      <c r="C4253" t="s">
        <v>6402</v>
      </c>
      <c r="D4253" t="s">
        <v>3368</v>
      </c>
      <c r="E4253" t="s">
        <v>1827</v>
      </c>
      <c r="F4253">
        <v>3.15</v>
      </c>
      <c r="H4253">
        <v>5465.2</v>
      </c>
      <c r="J4253" t="s">
        <v>2511</v>
      </c>
    </row>
    <row r="4254" spans="1:10" ht="15" customHeight="1" x14ac:dyDescent="0.2">
      <c r="A4254" s="420">
        <v>45765</v>
      </c>
      <c r="B4254" t="s">
        <v>2532</v>
      </c>
      <c r="C4254" t="s">
        <v>6402</v>
      </c>
      <c r="D4254" t="s">
        <v>3370</v>
      </c>
      <c r="E4254" t="s">
        <v>1830</v>
      </c>
      <c r="F4254">
        <v>1.42</v>
      </c>
      <c r="H4254">
        <v>5466.62</v>
      </c>
      <c r="J4254" t="s">
        <v>2511</v>
      </c>
    </row>
    <row r="4255" spans="1:10" ht="15" customHeight="1" x14ac:dyDescent="0.2">
      <c r="A4255" s="420">
        <v>45765</v>
      </c>
      <c r="B4255" t="s">
        <v>2532</v>
      </c>
      <c r="C4255" t="s">
        <v>6402</v>
      </c>
      <c r="D4255" t="s">
        <v>3370</v>
      </c>
      <c r="E4255" t="s">
        <v>1830</v>
      </c>
      <c r="F4255">
        <v>11.34</v>
      </c>
      <c r="H4255">
        <v>5477.96</v>
      </c>
      <c r="J4255" t="s">
        <v>2511</v>
      </c>
    </row>
    <row r="4256" spans="1:10" ht="15" customHeight="1" x14ac:dyDescent="0.2">
      <c r="A4256" s="420">
        <v>45767</v>
      </c>
      <c r="B4256" t="s">
        <v>2532</v>
      </c>
      <c r="C4256" t="s">
        <v>6402</v>
      </c>
      <c r="D4256" t="s">
        <v>5287</v>
      </c>
      <c r="E4256" t="s">
        <v>476</v>
      </c>
      <c r="F4256">
        <v>7.36</v>
      </c>
      <c r="H4256">
        <v>5485.32</v>
      </c>
      <c r="J4256" t="s">
        <v>2511</v>
      </c>
    </row>
    <row r="4257" spans="1:10" ht="15" customHeight="1" x14ac:dyDescent="0.2">
      <c r="A4257" s="420">
        <v>45768</v>
      </c>
      <c r="B4257" t="s">
        <v>2532</v>
      </c>
      <c r="C4257" t="s">
        <v>6402</v>
      </c>
      <c r="D4257" t="s">
        <v>3848</v>
      </c>
      <c r="E4257" t="s">
        <v>1485</v>
      </c>
      <c r="F4257">
        <v>124.94</v>
      </c>
      <c r="H4257">
        <v>5610.26</v>
      </c>
      <c r="J4257" t="s">
        <v>2511</v>
      </c>
    </row>
    <row r="4258" spans="1:10" ht="15" customHeight="1" x14ac:dyDescent="0.2">
      <c r="A4258" s="420">
        <v>45769</v>
      </c>
      <c r="B4258" t="s">
        <v>2532</v>
      </c>
      <c r="C4258" t="s">
        <v>6402</v>
      </c>
      <c r="D4258" t="s">
        <v>5266</v>
      </c>
      <c r="E4258" t="s">
        <v>1832</v>
      </c>
      <c r="F4258">
        <v>1.17</v>
      </c>
      <c r="H4258">
        <v>5611.43</v>
      </c>
      <c r="J4258" t="s">
        <v>2511</v>
      </c>
    </row>
    <row r="4259" spans="1:10" ht="15" customHeight="1" x14ac:dyDescent="0.2">
      <c r="A4259" s="420">
        <v>45769</v>
      </c>
      <c r="B4259" t="s">
        <v>2532</v>
      </c>
      <c r="C4259" t="s">
        <v>6402</v>
      </c>
      <c r="D4259" t="s">
        <v>5266</v>
      </c>
      <c r="E4259" t="s">
        <v>1832</v>
      </c>
      <c r="F4259">
        <v>2.71</v>
      </c>
      <c r="H4259">
        <v>5614.14</v>
      </c>
      <c r="J4259" t="s">
        <v>2511</v>
      </c>
    </row>
    <row r="4260" spans="1:10" ht="15" customHeight="1" x14ac:dyDescent="0.2">
      <c r="A4260" s="420">
        <v>45770</v>
      </c>
      <c r="B4260" t="s">
        <v>2547</v>
      </c>
      <c r="C4260" t="s">
        <v>6402</v>
      </c>
      <c r="D4260" t="s">
        <v>3950</v>
      </c>
      <c r="E4260" t="s">
        <v>479</v>
      </c>
      <c r="F4260">
        <v>55</v>
      </c>
      <c r="H4260">
        <v>5669.14</v>
      </c>
      <c r="J4260" t="s">
        <v>2513</v>
      </c>
    </row>
    <row r="4261" spans="1:10" ht="15" customHeight="1" x14ac:dyDescent="0.2">
      <c r="A4261" s="420">
        <v>45771</v>
      </c>
      <c r="B4261" t="s">
        <v>2532</v>
      </c>
      <c r="C4261" t="s">
        <v>6402</v>
      </c>
      <c r="D4261" t="s">
        <v>3620</v>
      </c>
      <c r="E4261" t="s">
        <v>1833</v>
      </c>
      <c r="F4261">
        <v>4</v>
      </c>
      <c r="H4261">
        <v>5673.14</v>
      </c>
      <c r="J4261" t="s">
        <v>2511</v>
      </c>
    </row>
    <row r="4262" spans="1:10" ht="15" customHeight="1" x14ac:dyDescent="0.2">
      <c r="A4262" s="420">
        <v>45771</v>
      </c>
      <c r="B4262" t="s">
        <v>2532</v>
      </c>
      <c r="C4262" t="s">
        <v>6402</v>
      </c>
      <c r="D4262" t="s">
        <v>3620</v>
      </c>
      <c r="E4262" t="s">
        <v>1833</v>
      </c>
      <c r="F4262">
        <v>7.27</v>
      </c>
      <c r="H4262">
        <v>5680.41</v>
      </c>
      <c r="J4262" t="s">
        <v>2511</v>
      </c>
    </row>
    <row r="4263" spans="1:10" ht="15" customHeight="1" x14ac:dyDescent="0.2">
      <c r="A4263" s="420">
        <v>45771</v>
      </c>
      <c r="B4263" t="s">
        <v>2532</v>
      </c>
      <c r="C4263" t="s">
        <v>6402</v>
      </c>
      <c r="D4263" t="s">
        <v>4870</v>
      </c>
      <c r="E4263" t="s">
        <v>1834</v>
      </c>
      <c r="F4263">
        <v>2.83</v>
      </c>
      <c r="H4263">
        <v>5683.24</v>
      </c>
      <c r="J4263" t="s">
        <v>2511</v>
      </c>
    </row>
    <row r="4264" spans="1:10" ht="15" customHeight="1" x14ac:dyDescent="0.2">
      <c r="A4264" s="420">
        <v>45771</v>
      </c>
      <c r="B4264" t="s">
        <v>2532</v>
      </c>
      <c r="C4264" t="s">
        <v>6402</v>
      </c>
      <c r="D4264" t="s">
        <v>4870</v>
      </c>
      <c r="E4264" t="s">
        <v>1834</v>
      </c>
      <c r="F4264">
        <v>5.45</v>
      </c>
      <c r="H4264">
        <v>5688.69</v>
      </c>
      <c r="J4264" t="s">
        <v>2511</v>
      </c>
    </row>
    <row r="4265" spans="1:10" ht="15" customHeight="1" x14ac:dyDescent="0.2">
      <c r="A4265" s="420">
        <v>45772</v>
      </c>
      <c r="B4265" t="s">
        <v>2532</v>
      </c>
      <c r="C4265" t="s">
        <v>6402</v>
      </c>
      <c r="D4265" t="s">
        <v>3372</v>
      </c>
      <c r="E4265" t="s">
        <v>1836</v>
      </c>
      <c r="F4265">
        <v>1.46</v>
      </c>
      <c r="H4265">
        <v>5690.15</v>
      </c>
      <c r="J4265" t="s">
        <v>2511</v>
      </c>
    </row>
    <row r="4266" spans="1:10" ht="15" customHeight="1" x14ac:dyDescent="0.2">
      <c r="A4266" s="420">
        <v>45772</v>
      </c>
      <c r="B4266" t="s">
        <v>2532</v>
      </c>
      <c r="C4266" t="s">
        <v>6402</v>
      </c>
      <c r="D4266" t="s">
        <v>3372</v>
      </c>
      <c r="E4266" t="s">
        <v>1836</v>
      </c>
      <c r="F4266">
        <v>1.94</v>
      </c>
      <c r="H4266">
        <v>5692.09</v>
      </c>
      <c r="J4266" t="s">
        <v>2511</v>
      </c>
    </row>
    <row r="4267" spans="1:10" ht="15" customHeight="1" x14ac:dyDescent="0.2">
      <c r="A4267" s="420">
        <v>45772</v>
      </c>
      <c r="B4267" t="s">
        <v>2532</v>
      </c>
      <c r="C4267" t="s">
        <v>6402</v>
      </c>
      <c r="D4267" t="s">
        <v>2894</v>
      </c>
      <c r="E4267" t="s">
        <v>1486</v>
      </c>
      <c r="F4267">
        <v>69.8</v>
      </c>
      <c r="H4267">
        <v>5761.89</v>
      </c>
      <c r="J4267" t="s">
        <v>2511</v>
      </c>
    </row>
    <row r="4268" spans="1:10" ht="15" customHeight="1" x14ac:dyDescent="0.2">
      <c r="A4268" s="420">
        <v>45776</v>
      </c>
      <c r="B4268" t="s">
        <v>2532</v>
      </c>
      <c r="C4268" t="s">
        <v>6402</v>
      </c>
      <c r="D4268" t="s">
        <v>3549</v>
      </c>
      <c r="E4268" t="s">
        <v>1349</v>
      </c>
      <c r="F4268">
        <v>2.67</v>
      </c>
      <c r="H4268">
        <v>5764.56</v>
      </c>
      <c r="J4268" t="s">
        <v>2511</v>
      </c>
    </row>
    <row r="4269" spans="1:10" ht="15" customHeight="1" x14ac:dyDescent="0.2">
      <c r="A4269" s="420">
        <v>45777</v>
      </c>
      <c r="B4269" t="s">
        <v>2532</v>
      </c>
      <c r="C4269" t="s">
        <v>6402</v>
      </c>
      <c r="D4269" t="s">
        <v>3408</v>
      </c>
      <c r="E4269" t="s">
        <v>965</v>
      </c>
      <c r="F4269">
        <v>1180</v>
      </c>
      <c r="H4269">
        <v>6944.56</v>
      </c>
      <c r="J4269" t="s">
        <v>2511</v>
      </c>
    </row>
    <row r="4270" spans="1:10" ht="15" customHeight="1" x14ac:dyDescent="0.2">
      <c r="A4270" s="420">
        <v>45777</v>
      </c>
      <c r="B4270" t="s">
        <v>2532</v>
      </c>
      <c r="C4270" t="s">
        <v>6402</v>
      </c>
      <c r="D4270" t="s">
        <v>4434</v>
      </c>
      <c r="E4270" t="s">
        <v>4435</v>
      </c>
      <c r="F4270">
        <v>253.35</v>
      </c>
      <c r="H4270">
        <v>7197.91</v>
      </c>
      <c r="J4270" t="s">
        <v>2511</v>
      </c>
    </row>
    <row r="4271" spans="1:10" ht="15" customHeight="1" x14ac:dyDescent="0.2">
      <c r="A4271" s="420">
        <v>45777</v>
      </c>
      <c r="B4271" t="s">
        <v>2532</v>
      </c>
      <c r="C4271" t="s">
        <v>6402</v>
      </c>
      <c r="D4271" t="s">
        <v>4436</v>
      </c>
      <c r="E4271" t="s">
        <v>4437</v>
      </c>
      <c r="F4271">
        <v>1216.0899999999999</v>
      </c>
      <c r="H4271">
        <v>8414</v>
      </c>
      <c r="J4271" t="s">
        <v>2511</v>
      </c>
    </row>
    <row r="4272" spans="1:10" ht="15" customHeight="1" x14ac:dyDescent="0.2">
      <c r="A4272" s="420">
        <v>45777</v>
      </c>
      <c r="B4272" t="s">
        <v>2517</v>
      </c>
      <c r="C4272" t="s">
        <v>6402</v>
      </c>
      <c r="D4272" t="s">
        <v>6313</v>
      </c>
      <c r="E4272" t="s">
        <v>6368</v>
      </c>
      <c r="G4272">
        <v>5983.57</v>
      </c>
      <c r="H4272">
        <v>2430.4299999999998</v>
      </c>
      <c r="J4272" t="s">
        <v>2511</v>
      </c>
    </row>
    <row r="4273" spans="1:10" ht="15" customHeight="1" x14ac:dyDescent="0.2">
      <c r="A4273" s="420">
        <v>45777</v>
      </c>
      <c r="B4273" t="s">
        <v>2532</v>
      </c>
      <c r="C4273" t="s">
        <v>6402</v>
      </c>
      <c r="D4273" t="s">
        <v>2978</v>
      </c>
      <c r="E4273" t="s">
        <v>1487</v>
      </c>
      <c r="F4273">
        <v>292</v>
      </c>
      <c r="H4273">
        <v>2722.43</v>
      </c>
      <c r="J4273" t="s">
        <v>2513</v>
      </c>
    </row>
    <row r="4274" spans="1:10" ht="15" customHeight="1" x14ac:dyDescent="0.2">
      <c r="A4274" s="420">
        <v>45777</v>
      </c>
      <c r="B4274" t="s">
        <v>2532</v>
      </c>
      <c r="C4274" t="s">
        <v>6402</v>
      </c>
      <c r="D4274" t="s">
        <v>4872</v>
      </c>
      <c r="E4274" t="s">
        <v>1840</v>
      </c>
      <c r="F4274">
        <v>5.4</v>
      </c>
      <c r="H4274">
        <v>2727.83</v>
      </c>
      <c r="J4274" t="s">
        <v>2511</v>
      </c>
    </row>
    <row r="4275" spans="1:10" ht="15" customHeight="1" x14ac:dyDescent="0.2">
      <c r="A4275" s="420">
        <v>45777</v>
      </c>
      <c r="B4275" t="s">
        <v>2532</v>
      </c>
      <c r="C4275" t="s">
        <v>6402</v>
      </c>
      <c r="D4275" t="s">
        <v>4872</v>
      </c>
      <c r="E4275" t="s">
        <v>1840</v>
      </c>
      <c r="F4275">
        <v>2.74</v>
      </c>
      <c r="H4275">
        <v>2730.57</v>
      </c>
      <c r="J4275" t="s">
        <v>2511</v>
      </c>
    </row>
    <row r="4276" spans="1:10" ht="15" customHeight="1" x14ac:dyDescent="0.2">
      <c r="A4276" s="420">
        <v>45777</v>
      </c>
      <c r="B4276" t="s">
        <v>2532</v>
      </c>
      <c r="C4276" t="s">
        <v>6402</v>
      </c>
      <c r="D4276" t="s">
        <v>4215</v>
      </c>
      <c r="E4276" t="s">
        <v>1100</v>
      </c>
      <c r="F4276">
        <v>134.05000000000001</v>
      </c>
      <c r="H4276">
        <v>2864.62</v>
      </c>
      <c r="J4276" t="s">
        <v>2513</v>
      </c>
    </row>
    <row r="4277" spans="1:10" ht="15" customHeight="1" x14ac:dyDescent="0.2">
      <c r="A4277" s="420">
        <v>45777</v>
      </c>
      <c r="B4277" t="s">
        <v>2532</v>
      </c>
      <c r="C4277" t="s">
        <v>6402</v>
      </c>
      <c r="D4277" t="s">
        <v>4216</v>
      </c>
      <c r="E4277" t="s">
        <v>1101</v>
      </c>
      <c r="F4277">
        <v>44.03</v>
      </c>
      <c r="H4277">
        <v>2908.65</v>
      </c>
      <c r="J4277" t="s">
        <v>2513</v>
      </c>
    </row>
    <row r="4278" spans="1:10" ht="15" customHeight="1" x14ac:dyDescent="0.2">
      <c r="A4278" s="420">
        <v>45777</v>
      </c>
      <c r="B4278" t="s">
        <v>2532</v>
      </c>
      <c r="C4278" t="s">
        <v>6402</v>
      </c>
      <c r="D4278" t="s">
        <v>4217</v>
      </c>
      <c r="E4278" t="s">
        <v>1102</v>
      </c>
      <c r="F4278">
        <v>134.05000000000001</v>
      </c>
      <c r="H4278">
        <v>3042.7</v>
      </c>
      <c r="J4278" t="s">
        <v>2513</v>
      </c>
    </row>
    <row r="4279" spans="1:10" ht="15" customHeight="1" x14ac:dyDescent="0.2">
      <c r="A4279" s="420">
        <v>45777</v>
      </c>
      <c r="B4279" t="s">
        <v>2532</v>
      </c>
      <c r="C4279" t="s">
        <v>6402</v>
      </c>
      <c r="D4279" t="s">
        <v>2698</v>
      </c>
      <c r="E4279" t="s">
        <v>1104</v>
      </c>
      <c r="F4279">
        <v>160</v>
      </c>
      <c r="H4279">
        <v>3202.7</v>
      </c>
      <c r="J4279" t="s">
        <v>2513</v>
      </c>
    </row>
    <row r="4280" spans="1:10" ht="15" customHeight="1" x14ac:dyDescent="0.2">
      <c r="A4280" s="420">
        <v>45777</v>
      </c>
      <c r="B4280" t="s">
        <v>2532</v>
      </c>
      <c r="C4280" t="s">
        <v>6402</v>
      </c>
      <c r="D4280" t="s">
        <v>2699</v>
      </c>
      <c r="E4280" t="s">
        <v>1103</v>
      </c>
      <c r="F4280">
        <v>64.33</v>
      </c>
      <c r="H4280">
        <v>3267.03</v>
      </c>
      <c r="J4280" t="s">
        <v>2513</v>
      </c>
    </row>
    <row r="4281" spans="1:10" ht="15" customHeight="1" x14ac:dyDescent="0.2">
      <c r="A4281" s="420">
        <v>45777</v>
      </c>
      <c r="B4281" t="s">
        <v>2547</v>
      </c>
      <c r="C4281" t="s">
        <v>6402</v>
      </c>
      <c r="D4281" t="s">
        <v>4509</v>
      </c>
      <c r="E4281" t="s">
        <v>4510</v>
      </c>
      <c r="F4281">
        <v>1229.28</v>
      </c>
      <c r="H4281">
        <v>4496.3100000000004</v>
      </c>
      <c r="J4281" t="s">
        <v>2511</v>
      </c>
    </row>
    <row r="4282" spans="1:10" ht="15" customHeight="1" x14ac:dyDescent="0.2">
      <c r="A4282" s="420">
        <v>45777</v>
      </c>
      <c r="B4282" t="s">
        <v>2547</v>
      </c>
      <c r="C4282" t="s">
        <v>6402</v>
      </c>
      <c r="D4282" t="s">
        <v>4511</v>
      </c>
      <c r="E4282" t="s">
        <v>4512</v>
      </c>
      <c r="F4282">
        <v>256.10000000000002</v>
      </c>
      <c r="H4282">
        <v>4752.41</v>
      </c>
      <c r="J4282" t="s">
        <v>2511</v>
      </c>
    </row>
    <row r="4283" spans="1:10" ht="15" customHeight="1" x14ac:dyDescent="0.2">
      <c r="A4283" s="420">
        <v>45777</v>
      </c>
      <c r="B4283" t="s">
        <v>2532</v>
      </c>
      <c r="C4283" t="s">
        <v>6402</v>
      </c>
      <c r="D4283" t="s">
        <v>4218</v>
      </c>
      <c r="E4283" t="s">
        <v>482</v>
      </c>
      <c r="F4283">
        <v>11.23</v>
      </c>
      <c r="H4283">
        <v>4763.6400000000003</v>
      </c>
      <c r="J4283" t="s">
        <v>2511</v>
      </c>
    </row>
    <row r="4284" spans="1:10" ht="15" customHeight="1" x14ac:dyDescent="0.2">
      <c r="A4284" s="420">
        <v>45778</v>
      </c>
      <c r="B4284" t="s">
        <v>2532</v>
      </c>
      <c r="C4284" t="s">
        <v>6402</v>
      </c>
      <c r="D4284" t="s">
        <v>5388</v>
      </c>
      <c r="E4284" t="s">
        <v>1841</v>
      </c>
      <c r="F4284">
        <v>1.57</v>
      </c>
      <c r="H4284">
        <v>4765.21</v>
      </c>
      <c r="J4284" t="s">
        <v>2511</v>
      </c>
    </row>
    <row r="4285" spans="1:10" ht="15" customHeight="1" x14ac:dyDescent="0.2">
      <c r="A4285" s="420">
        <v>45778</v>
      </c>
      <c r="B4285" t="s">
        <v>2532</v>
      </c>
      <c r="C4285" t="s">
        <v>6402</v>
      </c>
      <c r="D4285" t="s">
        <v>4052</v>
      </c>
      <c r="E4285" t="s">
        <v>1214</v>
      </c>
      <c r="F4285">
        <v>200</v>
      </c>
      <c r="H4285">
        <v>4965.21</v>
      </c>
      <c r="J4285" t="s">
        <v>2511</v>
      </c>
    </row>
    <row r="4286" spans="1:10" ht="15" customHeight="1" x14ac:dyDescent="0.2">
      <c r="A4286" s="420">
        <v>45778</v>
      </c>
      <c r="B4286" t="s">
        <v>2532</v>
      </c>
      <c r="C4286" t="s">
        <v>6402</v>
      </c>
      <c r="D4286" t="s">
        <v>5458</v>
      </c>
      <c r="E4286" t="s">
        <v>1257</v>
      </c>
      <c r="F4286">
        <v>10.96</v>
      </c>
      <c r="H4286">
        <v>4976.17</v>
      </c>
      <c r="J4286" t="s">
        <v>2511</v>
      </c>
    </row>
    <row r="4287" spans="1:10" ht="15" customHeight="1" x14ac:dyDescent="0.2">
      <c r="A4287" s="420">
        <v>45778</v>
      </c>
      <c r="B4287" t="s">
        <v>2439</v>
      </c>
      <c r="C4287" t="s">
        <v>6402</v>
      </c>
      <c r="D4287" t="s">
        <v>2640</v>
      </c>
      <c r="E4287" t="s">
        <v>705</v>
      </c>
      <c r="F4287">
        <v>212.67</v>
      </c>
      <c r="H4287">
        <v>5188.84</v>
      </c>
      <c r="J4287" t="s">
        <v>2511</v>
      </c>
    </row>
    <row r="4288" spans="1:10" ht="15" customHeight="1" x14ac:dyDescent="0.2">
      <c r="A4288" s="420">
        <v>45779</v>
      </c>
      <c r="B4288" t="s">
        <v>2532</v>
      </c>
      <c r="C4288" t="s">
        <v>6402</v>
      </c>
      <c r="D4288" t="s">
        <v>5344</v>
      </c>
      <c r="E4288" t="s">
        <v>1488</v>
      </c>
      <c r="F4288">
        <v>4</v>
      </c>
      <c r="H4288">
        <v>5192.84</v>
      </c>
      <c r="J4288" t="s">
        <v>2511</v>
      </c>
    </row>
    <row r="4289" spans="1:10" ht="15" customHeight="1" x14ac:dyDescent="0.2">
      <c r="A4289" s="420">
        <v>45779</v>
      </c>
      <c r="B4289" t="s">
        <v>2532</v>
      </c>
      <c r="C4289" t="s">
        <v>6402</v>
      </c>
      <c r="D4289" t="s">
        <v>3145</v>
      </c>
      <c r="E4289" t="s">
        <v>486</v>
      </c>
      <c r="F4289">
        <v>4.26</v>
      </c>
      <c r="H4289">
        <v>5197.1000000000004</v>
      </c>
      <c r="J4289" t="s">
        <v>2511</v>
      </c>
    </row>
    <row r="4290" spans="1:10" ht="15" customHeight="1" x14ac:dyDescent="0.2">
      <c r="A4290" s="420">
        <v>45779</v>
      </c>
      <c r="B4290" t="s">
        <v>2532</v>
      </c>
      <c r="C4290" t="s">
        <v>6402</v>
      </c>
      <c r="D4290" t="s">
        <v>4456</v>
      </c>
      <c r="E4290" t="s">
        <v>4457</v>
      </c>
      <c r="F4290">
        <v>286.3</v>
      </c>
      <c r="H4290">
        <v>5483.4</v>
      </c>
      <c r="J4290" t="s">
        <v>2511</v>
      </c>
    </row>
    <row r="4291" spans="1:10" ht="15" customHeight="1" x14ac:dyDescent="0.2">
      <c r="A4291" s="420">
        <v>45779</v>
      </c>
      <c r="B4291" t="s">
        <v>2532</v>
      </c>
      <c r="C4291" t="s">
        <v>6402</v>
      </c>
      <c r="D4291" t="s">
        <v>4458</v>
      </c>
      <c r="E4291" t="s">
        <v>4459</v>
      </c>
      <c r="F4291">
        <v>1374.23</v>
      </c>
      <c r="H4291">
        <v>6857.63</v>
      </c>
      <c r="J4291" t="s">
        <v>2513</v>
      </c>
    </row>
    <row r="4292" spans="1:10" ht="15" customHeight="1" x14ac:dyDescent="0.2">
      <c r="A4292" s="420">
        <v>45782</v>
      </c>
      <c r="B4292" t="s">
        <v>2532</v>
      </c>
      <c r="C4292" t="s">
        <v>6402</v>
      </c>
      <c r="D4292" t="s">
        <v>2897</v>
      </c>
      <c r="E4292" t="s">
        <v>1490</v>
      </c>
      <c r="F4292">
        <v>329.38</v>
      </c>
      <c r="H4292">
        <v>7187.01</v>
      </c>
      <c r="J4292" t="s">
        <v>2511</v>
      </c>
    </row>
    <row r="4293" spans="1:10" ht="15" customHeight="1" x14ac:dyDescent="0.2">
      <c r="A4293" s="420">
        <v>45782</v>
      </c>
      <c r="B4293" t="s">
        <v>2532</v>
      </c>
      <c r="C4293" t="s">
        <v>6402</v>
      </c>
      <c r="D4293" t="s">
        <v>3375</v>
      </c>
      <c r="E4293" t="s">
        <v>1843</v>
      </c>
      <c r="F4293">
        <v>1.42</v>
      </c>
      <c r="H4293">
        <v>7188.43</v>
      </c>
      <c r="J4293" t="s">
        <v>2511</v>
      </c>
    </row>
    <row r="4294" spans="1:10" ht="15" customHeight="1" x14ac:dyDescent="0.2">
      <c r="A4294" s="420">
        <v>45782</v>
      </c>
      <c r="B4294" t="s">
        <v>2532</v>
      </c>
      <c r="C4294" t="s">
        <v>6402</v>
      </c>
      <c r="D4294" t="s">
        <v>3375</v>
      </c>
      <c r="E4294" t="s">
        <v>1843</v>
      </c>
      <c r="F4294">
        <v>3.67</v>
      </c>
      <c r="H4294">
        <v>7192.1</v>
      </c>
      <c r="J4294" t="s">
        <v>2511</v>
      </c>
    </row>
    <row r="4295" spans="1:10" ht="15" customHeight="1" x14ac:dyDescent="0.2">
      <c r="A4295" s="420">
        <v>45782</v>
      </c>
      <c r="B4295" t="s">
        <v>2532</v>
      </c>
      <c r="C4295" t="s">
        <v>6402</v>
      </c>
      <c r="D4295" t="s">
        <v>4149</v>
      </c>
      <c r="E4295" t="s">
        <v>4150</v>
      </c>
      <c r="F4295">
        <v>2.8</v>
      </c>
      <c r="H4295">
        <v>7194.9</v>
      </c>
      <c r="J4295" t="s">
        <v>2511</v>
      </c>
    </row>
    <row r="4296" spans="1:10" ht="15" customHeight="1" x14ac:dyDescent="0.2">
      <c r="A4296" s="420">
        <v>45785</v>
      </c>
      <c r="B4296" t="s">
        <v>2532</v>
      </c>
      <c r="C4296" t="s">
        <v>6402</v>
      </c>
      <c r="D4296" t="s">
        <v>5044</v>
      </c>
      <c r="E4296" t="s">
        <v>1353</v>
      </c>
      <c r="F4296">
        <v>32.61</v>
      </c>
      <c r="H4296">
        <v>7227.51</v>
      </c>
      <c r="J4296" t="s">
        <v>2511</v>
      </c>
    </row>
    <row r="4297" spans="1:10" ht="15" customHeight="1" x14ac:dyDescent="0.2">
      <c r="A4297" s="420">
        <v>45785</v>
      </c>
      <c r="B4297" t="s">
        <v>2532</v>
      </c>
      <c r="C4297" t="s">
        <v>6402</v>
      </c>
      <c r="D4297" t="s">
        <v>2764</v>
      </c>
      <c r="E4297" t="s">
        <v>488</v>
      </c>
      <c r="F4297">
        <v>5.34</v>
      </c>
      <c r="H4297">
        <v>7232.85</v>
      </c>
      <c r="J4297" t="s">
        <v>2511</v>
      </c>
    </row>
    <row r="4298" spans="1:10" ht="15" customHeight="1" x14ac:dyDescent="0.2">
      <c r="A4298" s="420">
        <v>45790</v>
      </c>
      <c r="B4298" t="s">
        <v>2532</v>
      </c>
      <c r="C4298" t="s">
        <v>6402</v>
      </c>
      <c r="D4298" t="s">
        <v>4877</v>
      </c>
      <c r="E4298" t="s">
        <v>1845</v>
      </c>
      <c r="F4298">
        <v>2.1800000000000002</v>
      </c>
      <c r="H4298">
        <v>7235.03</v>
      </c>
      <c r="J4298" t="s">
        <v>2511</v>
      </c>
    </row>
    <row r="4299" spans="1:10" ht="15" customHeight="1" x14ac:dyDescent="0.2">
      <c r="A4299" s="420">
        <v>45791</v>
      </c>
      <c r="B4299" t="s">
        <v>2547</v>
      </c>
      <c r="C4299" t="s">
        <v>6402</v>
      </c>
      <c r="D4299" t="s">
        <v>4740</v>
      </c>
      <c r="E4299" t="s">
        <v>1659</v>
      </c>
      <c r="F4299">
        <v>19.02</v>
      </c>
      <c r="H4299">
        <v>7254.05</v>
      </c>
      <c r="J4299" t="s">
        <v>2511</v>
      </c>
    </row>
    <row r="4300" spans="1:10" ht="15" customHeight="1" x14ac:dyDescent="0.2">
      <c r="A4300" s="420">
        <v>45792</v>
      </c>
      <c r="B4300" t="s">
        <v>2532</v>
      </c>
      <c r="C4300" t="s">
        <v>6402</v>
      </c>
      <c r="D4300" t="s">
        <v>5107</v>
      </c>
      <c r="E4300" t="s">
        <v>1492</v>
      </c>
      <c r="F4300">
        <v>30</v>
      </c>
      <c r="H4300">
        <v>7284.05</v>
      </c>
      <c r="J4300" t="s">
        <v>2513</v>
      </c>
    </row>
    <row r="4301" spans="1:10" ht="15" customHeight="1" x14ac:dyDescent="0.2">
      <c r="A4301" s="420">
        <v>45793</v>
      </c>
      <c r="B4301" t="s">
        <v>2532</v>
      </c>
      <c r="C4301" t="s">
        <v>6402</v>
      </c>
      <c r="D4301" t="s">
        <v>4882</v>
      </c>
      <c r="E4301" t="s">
        <v>1850</v>
      </c>
      <c r="F4301">
        <v>2.42</v>
      </c>
      <c r="H4301">
        <v>7286.47</v>
      </c>
      <c r="J4301" t="s">
        <v>2511</v>
      </c>
    </row>
    <row r="4302" spans="1:10" ht="15" customHeight="1" x14ac:dyDescent="0.2">
      <c r="A4302" s="420">
        <v>45793</v>
      </c>
      <c r="B4302" t="s">
        <v>2532</v>
      </c>
      <c r="C4302" t="s">
        <v>6402</v>
      </c>
      <c r="D4302" t="s">
        <v>4882</v>
      </c>
      <c r="E4302" t="s">
        <v>1850</v>
      </c>
      <c r="F4302">
        <v>0.33</v>
      </c>
      <c r="H4302">
        <v>7286.8</v>
      </c>
      <c r="J4302" t="s">
        <v>2511</v>
      </c>
    </row>
    <row r="4303" spans="1:10" ht="15" customHeight="1" x14ac:dyDescent="0.2">
      <c r="A4303" s="420">
        <v>45793</v>
      </c>
      <c r="B4303" t="s">
        <v>2547</v>
      </c>
      <c r="C4303" t="s">
        <v>6402</v>
      </c>
      <c r="D4303" t="s">
        <v>5261</v>
      </c>
      <c r="E4303" t="s">
        <v>1849</v>
      </c>
      <c r="F4303">
        <v>2.64</v>
      </c>
      <c r="H4303">
        <v>7289.44</v>
      </c>
      <c r="J4303" t="s">
        <v>2511</v>
      </c>
    </row>
    <row r="4304" spans="1:10" ht="15" customHeight="1" x14ac:dyDescent="0.2">
      <c r="A4304" s="420">
        <v>45793</v>
      </c>
      <c r="B4304" t="s">
        <v>2547</v>
      </c>
      <c r="C4304" t="s">
        <v>6402</v>
      </c>
      <c r="D4304" t="s">
        <v>3945</v>
      </c>
      <c r="E4304" t="s">
        <v>1493</v>
      </c>
      <c r="F4304">
        <v>5.36</v>
      </c>
      <c r="H4304">
        <v>7294.8</v>
      </c>
      <c r="J4304" t="s">
        <v>2511</v>
      </c>
    </row>
    <row r="4305" spans="1:10" ht="15" customHeight="1" x14ac:dyDescent="0.2">
      <c r="A4305" s="420">
        <v>45794</v>
      </c>
      <c r="B4305" t="s">
        <v>2532</v>
      </c>
      <c r="C4305" t="s">
        <v>6402</v>
      </c>
      <c r="D4305" t="s">
        <v>4883</v>
      </c>
      <c r="E4305" t="s">
        <v>1851</v>
      </c>
      <c r="F4305">
        <v>1.83</v>
      </c>
      <c r="H4305">
        <v>7296.63</v>
      </c>
      <c r="J4305" t="s">
        <v>2511</v>
      </c>
    </row>
    <row r="4306" spans="1:10" ht="15" customHeight="1" x14ac:dyDescent="0.2">
      <c r="A4306" s="420">
        <v>45797</v>
      </c>
      <c r="B4306" t="s">
        <v>2532</v>
      </c>
      <c r="C4306" t="s">
        <v>6402</v>
      </c>
      <c r="D4306" t="s">
        <v>5290</v>
      </c>
      <c r="E4306" t="s">
        <v>490</v>
      </c>
      <c r="F4306">
        <v>6.43</v>
      </c>
      <c r="H4306">
        <v>7303.06</v>
      </c>
      <c r="J4306" t="s">
        <v>2511</v>
      </c>
    </row>
    <row r="4307" spans="1:10" ht="15" customHeight="1" x14ac:dyDescent="0.2">
      <c r="A4307" s="420">
        <v>45797</v>
      </c>
      <c r="B4307" t="s">
        <v>2532</v>
      </c>
      <c r="C4307" t="s">
        <v>6402</v>
      </c>
      <c r="D4307" t="s">
        <v>3851</v>
      </c>
      <c r="E4307" t="s">
        <v>1496</v>
      </c>
      <c r="F4307">
        <v>124.94</v>
      </c>
      <c r="H4307">
        <v>7428</v>
      </c>
      <c r="J4307" t="s">
        <v>2513</v>
      </c>
    </row>
    <row r="4308" spans="1:10" ht="15" customHeight="1" x14ac:dyDescent="0.2">
      <c r="A4308" s="420">
        <v>45798</v>
      </c>
      <c r="B4308" t="s">
        <v>2532</v>
      </c>
      <c r="C4308" t="s">
        <v>6402</v>
      </c>
      <c r="D4308" t="s">
        <v>3760</v>
      </c>
      <c r="E4308" t="s">
        <v>3761</v>
      </c>
      <c r="F4308">
        <v>28.82</v>
      </c>
      <c r="H4308">
        <v>7456.82</v>
      </c>
      <c r="J4308" t="s">
        <v>2513</v>
      </c>
    </row>
    <row r="4309" spans="1:10" ht="15" customHeight="1" x14ac:dyDescent="0.2">
      <c r="A4309" s="420">
        <v>45798</v>
      </c>
      <c r="B4309" t="s">
        <v>2532</v>
      </c>
      <c r="C4309" t="s">
        <v>6402</v>
      </c>
      <c r="D4309" t="s">
        <v>3377</v>
      </c>
      <c r="E4309" t="s">
        <v>1854</v>
      </c>
      <c r="F4309">
        <v>1.42</v>
      </c>
      <c r="H4309">
        <v>7458.24</v>
      </c>
      <c r="J4309" t="s">
        <v>2511</v>
      </c>
    </row>
    <row r="4310" spans="1:10" ht="15" customHeight="1" x14ac:dyDescent="0.2">
      <c r="A4310" s="420">
        <v>45798</v>
      </c>
      <c r="B4310" t="s">
        <v>2532</v>
      </c>
      <c r="C4310" t="s">
        <v>6402</v>
      </c>
      <c r="D4310" t="s">
        <v>3377</v>
      </c>
      <c r="E4310" t="s">
        <v>1854</v>
      </c>
      <c r="F4310">
        <v>2.0099999999999998</v>
      </c>
      <c r="H4310">
        <v>7460.25</v>
      </c>
      <c r="J4310" t="s">
        <v>2511</v>
      </c>
    </row>
    <row r="4311" spans="1:10" ht="15" customHeight="1" x14ac:dyDescent="0.2">
      <c r="A4311" s="420">
        <v>45798</v>
      </c>
      <c r="B4311" t="s">
        <v>2532</v>
      </c>
      <c r="C4311" t="s">
        <v>6402</v>
      </c>
      <c r="D4311" t="s">
        <v>5112</v>
      </c>
      <c r="E4311" t="s">
        <v>1497</v>
      </c>
      <c r="F4311">
        <v>30</v>
      </c>
      <c r="H4311">
        <v>7490.25</v>
      </c>
      <c r="J4311" t="s">
        <v>2511</v>
      </c>
    </row>
    <row r="4312" spans="1:10" ht="15" customHeight="1" x14ac:dyDescent="0.2">
      <c r="A4312" s="420">
        <v>45798</v>
      </c>
      <c r="B4312" t="s">
        <v>2532</v>
      </c>
      <c r="C4312" t="s">
        <v>6402</v>
      </c>
      <c r="D4312" t="s">
        <v>5113</v>
      </c>
      <c r="E4312" t="s">
        <v>1498</v>
      </c>
      <c r="F4312">
        <v>30</v>
      </c>
      <c r="H4312">
        <v>7520.25</v>
      </c>
      <c r="J4312" t="s">
        <v>2511</v>
      </c>
    </row>
    <row r="4313" spans="1:10" ht="15" customHeight="1" x14ac:dyDescent="0.2">
      <c r="A4313" s="420">
        <v>45799</v>
      </c>
      <c r="B4313" t="s">
        <v>2532</v>
      </c>
      <c r="C4313" t="s">
        <v>6402</v>
      </c>
      <c r="D4313" t="s">
        <v>4886</v>
      </c>
      <c r="E4313" t="s">
        <v>1856</v>
      </c>
      <c r="F4313">
        <v>1.57</v>
      </c>
      <c r="H4313">
        <v>7521.82</v>
      </c>
      <c r="J4313" t="s">
        <v>2511</v>
      </c>
    </row>
    <row r="4314" spans="1:10" ht="15" customHeight="1" x14ac:dyDescent="0.2">
      <c r="A4314" s="420">
        <v>45800</v>
      </c>
      <c r="B4314" t="s">
        <v>2532</v>
      </c>
      <c r="C4314" t="s">
        <v>6402</v>
      </c>
      <c r="D4314" t="s">
        <v>3540</v>
      </c>
      <c r="E4314" t="s">
        <v>492</v>
      </c>
      <c r="F4314">
        <v>183</v>
      </c>
      <c r="H4314">
        <v>7704.82</v>
      </c>
      <c r="J4314" t="s">
        <v>2511</v>
      </c>
    </row>
    <row r="4315" spans="1:10" ht="15" customHeight="1" x14ac:dyDescent="0.2">
      <c r="A4315" s="420">
        <v>45800</v>
      </c>
      <c r="B4315" t="s">
        <v>2532</v>
      </c>
      <c r="C4315" t="s">
        <v>6402</v>
      </c>
      <c r="D4315" t="s">
        <v>4889</v>
      </c>
      <c r="E4315" t="s">
        <v>1857</v>
      </c>
      <c r="F4315">
        <v>1.82</v>
      </c>
      <c r="H4315">
        <v>7706.64</v>
      </c>
      <c r="J4315" t="s">
        <v>2511</v>
      </c>
    </row>
    <row r="4316" spans="1:10" ht="15" customHeight="1" x14ac:dyDescent="0.2">
      <c r="A4316" s="420">
        <v>45801</v>
      </c>
      <c r="B4316" t="s">
        <v>2532</v>
      </c>
      <c r="C4316" t="s">
        <v>6402</v>
      </c>
      <c r="D4316" t="s">
        <v>4890</v>
      </c>
      <c r="E4316" t="s">
        <v>1860</v>
      </c>
      <c r="F4316">
        <v>1.08</v>
      </c>
      <c r="H4316">
        <v>7707.72</v>
      </c>
      <c r="J4316" t="s">
        <v>2511</v>
      </c>
    </row>
    <row r="4317" spans="1:10" ht="15" customHeight="1" x14ac:dyDescent="0.2">
      <c r="A4317" s="420">
        <v>45801</v>
      </c>
      <c r="B4317" t="s">
        <v>2532</v>
      </c>
      <c r="C4317" t="s">
        <v>6402</v>
      </c>
      <c r="D4317" t="s">
        <v>4890</v>
      </c>
      <c r="E4317" t="s">
        <v>1860</v>
      </c>
      <c r="F4317">
        <v>2.91</v>
      </c>
      <c r="H4317">
        <v>7710.63</v>
      </c>
      <c r="J4317" t="s">
        <v>2511</v>
      </c>
    </row>
    <row r="4318" spans="1:10" ht="15" customHeight="1" x14ac:dyDescent="0.2">
      <c r="A4318" s="420">
        <v>45802</v>
      </c>
      <c r="B4318" t="s">
        <v>2532</v>
      </c>
      <c r="C4318" t="s">
        <v>6402</v>
      </c>
      <c r="D4318" t="s">
        <v>2900</v>
      </c>
      <c r="E4318" t="s">
        <v>1500</v>
      </c>
      <c r="F4318">
        <v>69.8</v>
      </c>
      <c r="H4318">
        <v>7780.43</v>
      </c>
      <c r="J4318" t="s">
        <v>2511</v>
      </c>
    </row>
    <row r="4319" spans="1:10" ht="15" customHeight="1" x14ac:dyDescent="0.2">
      <c r="A4319" s="420">
        <v>45803</v>
      </c>
      <c r="B4319" t="s">
        <v>2532</v>
      </c>
      <c r="C4319" t="s">
        <v>6402</v>
      </c>
      <c r="D4319" t="s">
        <v>4895</v>
      </c>
      <c r="E4319" t="s">
        <v>1861</v>
      </c>
      <c r="F4319">
        <v>4.5599999999999996</v>
      </c>
      <c r="H4319">
        <v>7784.99</v>
      </c>
      <c r="J4319" t="s">
        <v>2513</v>
      </c>
    </row>
    <row r="4320" spans="1:10" ht="15" customHeight="1" x14ac:dyDescent="0.2">
      <c r="A4320" s="420">
        <v>45804</v>
      </c>
      <c r="B4320" t="s">
        <v>2532</v>
      </c>
      <c r="C4320" t="s">
        <v>6402</v>
      </c>
      <c r="D4320" t="s">
        <v>5047</v>
      </c>
      <c r="E4320" t="s">
        <v>1360</v>
      </c>
      <c r="F4320">
        <v>20</v>
      </c>
      <c r="H4320">
        <v>7804.99</v>
      </c>
      <c r="J4320" t="s">
        <v>2511</v>
      </c>
    </row>
    <row r="4321" spans="1:10" ht="15" customHeight="1" x14ac:dyDescent="0.2">
      <c r="A4321" s="420">
        <v>45805</v>
      </c>
      <c r="B4321" t="s">
        <v>2532</v>
      </c>
      <c r="C4321" t="s">
        <v>6402</v>
      </c>
      <c r="D4321" t="s">
        <v>4896</v>
      </c>
      <c r="E4321" t="s">
        <v>1862</v>
      </c>
      <c r="F4321">
        <v>2.82</v>
      </c>
      <c r="H4321">
        <v>7807.81</v>
      </c>
      <c r="J4321" t="s">
        <v>2511</v>
      </c>
    </row>
    <row r="4322" spans="1:10" ht="15" customHeight="1" x14ac:dyDescent="0.2">
      <c r="A4322" s="420">
        <v>45805</v>
      </c>
      <c r="B4322" t="s">
        <v>2532</v>
      </c>
      <c r="C4322" t="s">
        <v>6402</v>
      </c>
      <c r="D4322" t="s">
        <v>4896</v>
      </c>
      <c r="E4322" t="s">
        <v>1862</v>
      </c>
      <c r="F4322">
        <v>1.08</v>
      </c>
      <c r="H4322">
        <v>7808.89</v>
      </c>
      <c r="J4322" t="s">
        <v>2511</v>
      </c>
    </row>
    <row r="4323" spans="1:10" ht="15" customHeight="1" x14ac:dyDescent="0.2">
      <c r="A4323" s="420">
        <v>45807</v>
      </c>
      <c r="B4323" t="s">
        <v>2532</v>
      </c>
      <c r="C4323" t="s">
        <v>6402</v>
      </c>
      <c r="D4323" t="s">
        <v>3126</v>
      </c>
      <c r="E4323" t="s">
        <v>1363</v>
      </c>
      <c r="F4323">
        <v>14.33</v>
      </c>
      <c r="H4323">
        <v>7823.22</v>
      </c>
      <c r="J4323" t="s">
        <v>2513</v>
      </c>
    </row>
    <row r="4324" spans="1:10" ht="15" customHeight="1" x14ac:dyDescent="0.2">
      <c r="A4324" s="420">
        <v>45807</v>
      </c>
      <c r="B4324" t="s">
        <v>2439</v>
      </c>
      <c r="C4324" t="s">
        <v>6402</v>
      </c>
      <c r="D4324" t="s">
        <v>6975</v>
      </c>
      <c r="E4324" t="s">
        <v>1364</v>
      </c>
      <c r="G4324">
        <v>14.33</v>
      </c>
      <c r="H4324">
        <v>7808.89</v>
      </c>
      <c r="J4324" t="s">
        <v>2511</v>
      </c>
    </row>
    <row r="4325" spans="1:10" ht="15" customHeight="1" x14ac:dyDescent="0.2">
      <c r="A4325" s="420">
        <v>45808</v>
      </c>
      <c r="B4325" t="s">
        <v>2532</v>
      </c>
      <c r="C4325" t="s">
        <v>6402</v>
      </c>
      <c r="D4325" t="s">
        <v>2981</v>
      </c>
      <c r="E4325" t="s">
        <v>1501</v>
      </c>
      <c r="F4325">
        <v>292</v>
      </c>
      <c r="H4325">
        <v>8100.89</v>
      </c>
      <c r="J4325" t="s">
        <v>2511</v>
      </c>
    </row>
    <row r="4326" spans="1:10" ht="15" customHeight="1" x14ac:dyDescent="0.2">
      <c r="A4326" s="420">
        <v>45808</v>
      </c>
      <c r="B4326" t="s">
        <v>2532</v>
      </c>
      <c r="C4326" t="s">
        <v>6402</v>
      </c>
      <c r="D4326" t="s">
        <v>3410</v>
      </c>
      <c r="E4326" t="s">
        <v>973</v>
      </c>
      <c r="F4326">
        <v>1180</v>
      </c>
      <c r="H4326">
        <v>9280.89</v>
      </c>
      <c r="J4326" t="s">
        <v>2513</v>
      </c>
    </row>
    <row r="4327" spans="1:10" ht="15" customHeight="1" x14ac:dyDescent="0.2">
      <c r="A4327" s="420">
        <v>45808</v>
      </c>
      <c r="B4327" t="s">
        <v>2517</v>
      </c>
      <c r="C4327" t="s">
        <v>6402</v>
      </c>
      <c r="D4327" t="s">
        <v>6317</v>
      </c>
      <c r="E4327" t="s">
        <v>844</v>
      </c>
      <c r="G4327">
        <v>670.42</v>
      </c>
      <c r="H4327">
        <v>8610.4699999999993</v>
      </c>
      <c r="J4327" t="s">
        <v>2511</v>
      </c>
    </row>
    <row r="4328" spans="1:10" ht="15" customHeight="1" x14ac:dyDescent="0.2">
      <c r="A4328" s="420">
        <v>45808</v>
      </c>
      <c r="B4328" t="s">
        <v>2517</v>
      </c>
      <c r="C4328" t="s">
        <v>6402</v>
      </c>
      <c r="D4328" t="s">
        <v>6317</v>
      </c>
      <c r="E4328" t="s">
        <v>6976</v>
      </c>
      <c r="G4328">
        <v>4710.8500000000004</v>
      </c>
      <c r="H4328">
        <v>3899.62</v>
      </c>
      <c r="J4328" t="s">
        <v>2513</v>
      </c>
    </row>
    <row r="4329" spans="1:10" ht="15" customHeight="1" x14ac:dyDescent="0.2">
      <c r="A4329" s="420">
        <v>45808</v>
      </c>
      <c r="B4329" t="s">
        <v>2532</v>
      </c>
      <c r="C4329" t="s">
        <v>6402</v>
      </c>
      <c r="D4329" t="s">
        <v>2959</v>
      </c>
      <c r="E4329" t="s">
        <v>1502</v>
      </c>
      <c r="F4329">
        <v>141.66</v>
      </c>
      <c r="H4329">
        <v>4041.28</v>
      </c>
      <c r="J4329" t="s">
        <v>2511</v>
      </c>
    </row>
    <row r="4330" spans="1:10" ht="15" customHeight="1" x14ac:dyDescent="0.2">
      <c r="A4330" s="420">
        <v>45808</v>
      </c>
      <c r="B4330" t="s">
        <v>2532</v>
      </c>
      <c r="C4330" t="s">
        <v>6402</v>
      </c>
      <c r="D4330" t="s">
        <v>4492</v>
      </c>
      <c r="E4330" t="s">
        <v>4493</v>
      </c>
      <c r="F4330">
        <v>1301.95</v>
      </c>
      <c r="H4330">
        <v>5343.23</v>
      </c>
      <c r="J4330" t="s">
        <v>2513</v>
      </c>
    </row>
    <row r="4331" spans="1:10" ht="15" customHeight="1" x14ac:dyDescent="0.2">
      <c r="A4331" s="420">
        <v>45808</v>
      </c>
      <c r="B4331" t="s">
        <v>2547</v>
      </c>
      <c r="C4331" t="s">
        <v>6402</v>
      </c>
      <c r="D4331" t="s">
        <v>4153</v>
      </c>
      <c r="E4331" t="s">
        <v>1366</v>
      </c>
      <c r="F4331">
        <v>2.8</v>
      </c>
      <c r="H4331">
        <v>5346.03</v>
      </c>
      <c r="J4331" t="s">
        <v>2513</v>
      </c>
    </row>
    <row r="4332" spans="1:10" ht="15" customHeight="1" x14ac:dyDescent="0.2">
      <c r="A4332" s="420">
        <v>45808</v>
      </c>
      <c r="B4332" t="s">
        <v>2532</v>
      </c>
      <c r="C4332" t="s">
        <v>6402</v>
      </c>
      <c r="D4332" t="s">
        <v>2702</v>
      </c>
      <c r="E4332" t="s">
        <v>1105</v>
      </c>
      <c r="F4332">
        <v>118.4</v>
      </c>
      <c r="H4332">
        <v>5464.43</v>
      </c>
      <c r="J4332" t="s">
        <v>2513</v>
      </c>
    </row>
    <row r="4333" spans="1:10" ht="15" customHeight="1" x14ac:dyDescent="0.2">
      <c r="A4333" s="420">
        <v>45809</v>
      </c>
      <c r="B4333" t="s">
        <v>2532</v>
      </c>
      <c r="C4333" t="s">
        <v>6402</v>
      </c>
      <c r="D4333" t="s">
        <v>5391</v>
      </c>
      <c r="E4333" t="s">
        <v>1866</v>
      </c>
      <c r="F4333">
        <v>26.84</v>
      </c>
      <c r="H4333">
        <v>5491.27</v>
      </c>
      <c r="J4333" t="s">
        <v>2513</v>
      </c>
    </row>
    <row r="4334" spans="1:10" ht="15" customHeight="1" x14ac:dyDescent="0.2">
      <c r="A4334" s="420">
        <v>45809</v>
      </c>
      <c r="B4334" t="s">
        <v>2532</v>
      </c>
      <c r="C4334" t="s">
        <v>6402</v>
      </c>
      <c r="D4334" t="s">
        <v>4054</v>
      </c>
      <c r="E4334" t="s">
        <v>1215</v>
      </c>
      <c r="F4334">
        <v>200</v>
      </c>
      <c r="H4334">
        <v>5691.27</v>
      </c>
      <c r="J4334" t="s">
        <v>2513</v>
      </c>
    </row>
    <row r="4335" spans="1:10" ht="15" customHeight="1" x14ac:dyDescent="0.2">
      <c r="A4335" s="420">
        <v>45809</v>
      </c>
      <c r="B4335" t="s">
        <v>2532</v>
      </c>
      <c r="C4335" t="s">
        <v>6402</v>
      </c>
      <c r="D4335" t="s">
        <v>5461</v>
      </c>
      <c r="E4335" t="s">
        <v>1260</v>
      </c>
      <c r="F4335">
        <v>10.96</v>
      </c>
      <c r="H4335">
        <v>5702.23</v>
      </c>
      <c r="J4335" t="s">
        <v>2513</v>
      </c>
    </row>
    <row r="4336" spans="1:10" ht="15" customHeight="1" x14ac:dyDescent="0.2">
      <c r="A4336" s="420">
        <v>45809</v>
      </c>
      <c r="B4336" t="s">
        <v>2532</v>
      </c>
      <c r="C4336" t="s">
        <v>6402</v>
      </c>
      <c r="D4336" t="s">
        <v>5422</v>
      </c>
      <c r="E4336" t="s">
        <v>720</v>
      </c>
      <c r="F4336">
        <v>71.37</v>
      </c>
      <c r="H4336">
        <v>5773.6</v>
      </c>
      <c r="J4336" t="s">
        <v>2513</v>
      </c>
    </row>
    <row r="4337" spans="1:10" ht="15" customHeight="1" x14ac:dyDescent="0.2">
      <c r="A4337" s="420">
        <v>45809</v>
      </c>
      <c r="B4337" t="s">
        <v>2532</v>
      </c>
      <c r="C4337" t="s">
        <v>6402</v>
      </c>
      <c r="D4337" t="s">
        <v>5422</v>
      </c>
      <c r="E4337" t="s">
        <v>720</v>
      </c>
      <c r="F4337">
        <v>4.0999999999999996</v>
      </c>
      <c r="H4337">
        <v>5777.7</v>
      </c>
      <c r="J4337" t="s">
        <v>2513</v>
      </c>
    </row>
    <row r="4338" spans="1:10" ht="15" customHeight="1" x14ac:dyDescent="0.2">
      <c r="A4338" s="420">
        <v>45809</v>
      </c>
      <c r="B4338" t="s">
        <v>2439</v>
      </c>
      <c r="C4338" t="s">
        <v>6402</v>
      </c>
      <c r="D4338" t="s">
        <v>2643</v>
      </c>
      <c r="E4338" t="s">
        <v>719</v>
      </c>
      <c r="F4338">
        <v>212.67</v>
      </c>
      <c r="H4338">
        <v>5990.37</v>
      </c>
      <c r="J4338" t="s">
        <v>2511</v>
      </c>
    </row>
    <row r="4339" spans="1:10" ht="15" customHeight="1" x14ac:dyDescent="0.2">
      <c r="A4339" s="420">
        <v>45810</v>
      </c>
      <c r="B4339" t="s">
        <v>2532</v>
      </c>
      <c r="C4339" t="s">
        <v>6402</v>
      </c>
      <c r="D4339" t="s">
        <v>3147</v>
      </c>
      <c r="E4339" t="s">
        <v>501</v>
      </c>
      <c r="F4339">
        <v>9.39</v>
      </c>
      <c r="H4339">
        <v>5999.76</v>
      </c>
      <c r="J4339" t="s">
        <v>2513</v>
      </c>
    </row>
    <row r="4340" spans="1:10" ht="15" customHeight="1" x14ac:dyDescent="0.2">
      <c r="A4340" s="420">
        <v>45810</v>
      </c>
      <c r="B4340" t="s">
        <v>2532</v>
      </c>
      <c r="C4340" t="s">
        <v>6402</v>
      </c>
      <c r="D4340" t="s">
        <v>5347</v>
      </c>
      <c r="E4340" t="s">
        <v>1504</v>
      </c>
      <c r="F4340">
        <v>4</v>
      </c>
      <c r="H4340">
        <v>6003.76</v>
      </c>
      <c r="J4340" t="s">
        <v>2513</v>
      </c>
    </row>
    <row r="4341" spans="1:10" ht="15" customHeight="1" x14ac:dyDescent="0.2">
      <c r="A4341" s="420">
        <v>45810</v>
      </c>
      <c r="B4341" t="s">
        <v>2532</v>
      </c>
      <c r="C4341" t="s">
        <v>6402</v>
      </c>
      <c r="D4341" t="s">
        <v>4474</v>
      </c>
      <c r="E4341" t="s">
        <v>4475</v>
      </c>
      <c r="F4341">
        <v>1589.05</v>
      </c>
      <c r="H4341">
        <v>7592.81</v>
      </c>
      <c r="J4341" t="s">
        <v>2513</v>
      </c>
    </row>
    <row r="4342" spans="1:10" ht="15" customHeight="1" x14ac:dyDescent="0.2">
      <c r="A4342" s="420">
        <v>45810</v>
      </c>
      <c r="B4342" t="s">
        <v>2532</v>
      </c>
      <c r="C4342" t="s">
        <v>6402</v>
      </c>
      <c r="D4342" t="s">
        <v>4476</v>
      </c>
      <c r="E4342" t="s">
        <v>4477</v>
      </c>
      <c r="F4342">
        <v>331.05</v>
      </c>
      <c r="H4342">
        <v>7923.86</v>
      </c>
      <c r="J4342" t="s">
        <v>2511</v>
      </c>
    </row>
    <row r="4343" spans="1:10" ht="15" customHeight="1" x14ac:dyDescent="0.2">
      <c r="A4343" s="420">
        <v>45810</v>
      </c>
      <c r="B4343" t="s">
        <v>2532</v>
      </c>
      <c r="C4343" t="s">
        <v>6402</v>
      </c>
      <c r="D4343" t="s">
        <v>4494</v>
      </c>
      <c r="E4343" t="s">
        <v>4495</v>
      </c>
      <c r="F4343">
        <v>271.24</v>
      </c>
      <c r="H4343">
        <v>8195.1</v>
      </c>
      <c r="J4343" t="s">
        <v>2511</v>
      </c>
    </row>
    <row r="4344" spans="1:10" ht="15" customHeight="1" x14ac:dyDescent="0.2">
      <c r="A4344" s="420">
        <v>45811</v>
      </c>
      <c r="B4344" t="s">
        <v>2532</v>
      </c>
      <c r="C4344" t="s">
        <v>6402</v>
      </c>
      <c r="D4344" t="s">
        <v>4099</v>
      </c>
      <c r="E4344" t="s">
        <v>4100</v>
      </c>
      <c r="F4344">
        <v>43.3</v>
      </c>
      <c r="H4344">
        <v>8238.4</v>
      </c>
      <c r="J4344" t="s">
        <v>2513</v>
      </c>
    </row>
    <row r="4345" spans="1:10" ht="15" customHeight="1" x14ac:dyDescent="0.2">
      <c r="A4345" s="420">
        <v>45811</v>
      </c>
      <c r="B4345" t="s">
        <v>2532</v>
      </c>
      <c r="C4345" t="s">
        <v>6402</v>
      </c>
      <c r="D4345" t="s">
        <v>4779</v>
      </c>
      <c r="E4345" t="s">
        <v>1868</v>
      </c>
      <c r="F4345">
        <v>0.42</v>
      </c>
      <c r="H4345">
        <v>8238.82</v>
      </c>
      <c r="J4345" t="s">
        <v>2513</v>
      </c>
    </row>
    <row r="4346" spans="1:10" ht="15" customHeight="1" x14ac:dyDescent="0.2">
      <c r="A4346" s="420">
        <v>45811</v>
      </c>
      <c r="B4346" t="s">
        <v>2532</v>
      </c>
      <c r="C4346" t="s">
        <v>6402</v>
      </c>
      <c r="D4346" t="s">
        <v>4899</v>
      </c>
      <c r="E4346" t="s">
        <v>1872</v>
      </c>
      <c r="F4346">
        <v>2</v>
      </c>
      <c r="H4346">
        <v>8240.82</v>
      </c>
      <c r="J4346" t="s">
        <v>2513</v>
      </c>
    </row>
    <row r="4347" spans="1:10" ht="15" customHeight="1" x14ac:dyDescent="0.2">
      <c r="A4347" s="420">
        <v>45811</v>
      </c>
      <c r="B4347" t="s">
        <v>2532</v>
      </c>
      <c r="C4347" t="s">
        <v>6402</v>
      </c>
      <c r="D4347" t="s">
        <v>4899</v>
      </c>
      <c r="E4347" t="s">
        <v>1872</v>
      </c>
      <c r="F4347">
        <v>2.36</v>
      </c>
      <c r="H4347">
        <v>8243.18</v>
      </c>
      <c r="J4347" t="s">
        <v>2513</v>
      </c>
    </row>
    <row r="4348" spans="1:10" ht="15" customHeight="1" x14ac:dyDescent="0.2">
      <c r="A4348" s="420">
        <v>45811</v>
      </c>
      <c r="B4348" t="s">
        <v>2532</v>
      </c>
      <c r="C4348" t="s">
        <v>6402</v>
      </c>
      <c r="D4348" t="s">
        <v>4772</v>
      </c>
      <c r="E4348" t="s">
        <v>1869</v>
      </c>
      <c r="F4348">
        <v>15.38</v>
      </c>
      <c r="H4348">
        <v>8258.56</v>
      </c>
      <c r="J4348" t="s">
        <v>2513</v>
      </c>
    </row>
    <row r="4349" spans="1:10" ht="15" customHeight="1" x14ac:dyDescent="0.2">
      <c r="A4349" s="420">
        <v>45811</v>
      </c>
      <c r="B4349" t="s">
        <v>2532</v>
      </c>
      <c r="C4349" t="s">
        <v>6402</v>
      </c>
      <c r="D4349" t="s">
        <v>5234</v>
      </c>
      <c r="E4349" t="s">
        <v>1867</v>
      </c>
      <c r="F4349">
        <v>1.47</v>
      </c>
      <c r="H4349">
        <v>8260.0300000000007</v>
      </c>
      <c r="J4349" t="s">
        <v>2511</v>
      </c>
    </row>
    <row r="4350" spans="1:10" ht="15" customHeight="1" x14ac:dyDescent="0.2">
      <c r="A4350" s="420">
        <v>45811</v>
      </c>
      <c r="B4350" t="s">
        <v>2532</v>
      </c>
      <c r="C4350" t="s">
        <v>6402</v>
      </c>
      <c r="D4350" t="s">
        <v>4780</v>
      </c>
      <c r="E4350" t="s">
        <v>1870</v>
      </c>
      <c r="F4350">
        <v>0.43</v>
      </c>
      <c r="H4350">
        <v>8260.4599999999991</v>
      </c>
      <c r="J4350" t="s">
        <v>2513</v>
      </c>
    </row>
    <row r="4351" spans="1:10" ht="15" customHeight="1" x14ac:dyDescent="0.2">
      <c r="A4351" s="420">
        <v>45811</v>
      </c>
      <c r="B4351" t="s">
        <v>2532</v>
      </c>
      <c r="C4351" t="s">
        <v>6402</v>
      </c>
      <c r="D4351" t="s">
        <v>3134</v>
      </c>
      <c r="E4351" t="s">
        <v>1505</v>
      </c>
      <c r="F4351">
        <v>154.01</v>
      </c>
      <c r="H4351">
        <v>8414.4699999999993</v>
      </c>
      <c r="J4351" t="s">
        <v>2513</v>
      </c>
    </row>
    <row r="4352" spans="1:10" ht="15" customHeight="1" x14ac:dyDescent="0.2">
      <c r="A4352" s="420">
        <v>45813</v>
      </c>
      <c r="B4352" t="s">
        <v>2532</v>
      </c>
      <c r="C4352" t="s">
        <v>6402</v>
      </c>
      <c r="D4352" t="s">
        <v>2903</v>
      </c>
      <c r="E4352" t="s">
        <v>1506</v>
      </c>
      <c r="F4352">
        <v>421.68</v>
      </c>
      <c r="H4352">
        <v>8836.15</v>
      </c>
      <c r="J4352" t="s">
        <v>2513</v>
      </c>
    </row>
    <row r="4353" spans="1:10" ht="15" customHeight="1" x14ac:dyDescent="0.2">
      <c r="A4353" s="420">
        <v>45814</v>
      </c>
      <c r="B4353" t="s">
        <v>2532</v>
      </c>
      <c r="C4353" t="s">
        <v>6402</v>
      </c>
      <c r="D4353" t="s">
        <v>4902</v>
      </c>
      <c r="E4353" t="s">
        <v>1874</v>
      </c>
      <c r="F4353">
        <v>1.32</v>
      </c>
      <c r="H4353">
        <v>8837.4699999999993</v>
      </c>
      <c r="J4353" t="s">
        <v>2513</v>
      </c>
    </row>
    <row r="4354" spans="1:10" ht="15" customHeight="1" x14ac:dyDescent="0.2">
      <c r="A4354" s="420">
        <v>45814</v>
      </c>
      <c r="B4354" t="s">
        <v>2532</v>
      </c>
      <c r="C4354" t="s">
        <v>6402</v>
      </c>
      <c r="D4354" t="s">
        <v>4902</v>
      </c>
      <c r="E4354" t="s">
        <v>1874</v>
      </c>
      <c r="F4354">
        <v>3.45</v>
      </c>
      <c r="H4354">
        <v>8840.92</v>
      </c>
      <c r="J4354" t="s">
        <v>2513</v>
      </c>
    </row>
    <row r="4355" spans="1:10" ht="15" customHeight="1" x14ac:dyDescent="0.2">
      <c r="A4355" s="420">
        <v>45814</v>
      </c>
      <c r="B4355" t="s">
        <v>2532</v>
      </c>
      <c r="C4355" t="s">
        <v>6402</v>
      </c>
      <c r="D4355" t="s">
        <v>3966</v>
      </c>
      <c r="E4355" t="s">
        <v>1875</v>
      </c>
      <c r="F4355">
        <v>30.68</v>
      </c>
      <c r="H4355">
        <v>8871.6</v>
      </c>
      <c r="J4355" t="s">
        <v>2513</v>
      </c>
    </row>
    <row r="4356" spans="1:10" ht="15" customHeight="1" x14ac:dyDescent="0.2">
      <c r="A4356" s="420">
        <v>45814</v>
      </c>
      <c r="B4356" t="s">
        <v>2532</v>
      </c>
      <c r="C4356" t="s">
        <v>6402</v>
      </c>
      <c r="D4356" t="s">
        <v>3966</v>
      </c>
      <c r="E4356" t="s">
        <v>1875</v>
      </c>
      <c r="F4356">
        <v>22.42</v>
      </c>
      <c r="H4356">
        <v>8894.02</v>
      </c>
      <c r="J4356" t="s">
        <v>2513</v>
      </c>
    </row>
    <row r="4357" spans="1:10" ht="15" customHeight="1" x14ac:dyDescent="0.2">
      <c r="A4357" s="420">
        <v>45814</v>
      </c>
      <c r="B4357" t="s">
        <v>2532</v>
      </c>
      <c r="C4357" t="s">
        <v>6402</v>
      </c>
      <c r="D4357" t="s">
        <v>5316</v>
      </c>
      <c r="E4357" t="s">
        <v>1873</v>
      </c>
      <c r="F4357">
        <v>3.45</v>
      </c>
      <c r="H4357">
        <v>8897.4699999999993</v>
      </c>
      <c r="J4357" t="s">
        <v>2513</v>
      </c>
    </row>
    <row r="4358" spans="1:10" ht="15" customHeight="1" x14ac:dyDescent="0.2">
      <c r="A4358" s="420">
        <v>45816</v>
      </c>
      <c r="B4358" t="s">
        <v>2532</v>
      </c>
      <c r="C4358" t="s">
        <v>6402</v>
      </c>
      <c r="D4358" t="s">
        <v>5215</v>
      </c>
      <c r="E4358" t="s">
        <v>1508</v>
      </c>
      <c r="F4358">
        <v>12.3</v>
      </c>
      <c r="H4358">
        <v>8909.77</v>
      </c>
      <c r="J4358" t="s">
        <v>2513</v>
      </c>
    </row>
    <row r="4359" spans="1:10" ht="15" customHeight="1" x14ac:dyDescent="0.2">
      <c r="A4359" s="420">
        <v>45819</v>
      </c>
      <c r="B4359" t="s">
        <v>2532</v>
      </c>
      <c r="C4359" t="s">
        <v>6402</v>
      </c>
      <c r="D4359" t="s">
        <v>4905</v>
      </c>
      <c r="E4359" t="s">
        <v>1876</v>
      </c>
      <c r="F4359">
        <v>1.45</v>
      </c>
      <c r="H4359">
        <v>8911.2199999999993</v>
      </c>
      <c r="J4359" t="s">
        <v>2513</v>
      </c>
    </row>
    <row r="4360" spans="1:10" ht="15" customHeight="1" x14ac:dyDescent="0.2">
      <c r="A4360" s="420">
        <v>45819</v>
      </c>
      <c r="B4360" t="s">
        <v>2532</v>
      </c>
      <c r="C4360" t="s">
        <v>6402</v>
      </c>
      <c r="D4360" t="s">
        <v>4905</v>
      </c>
      <c r="E4360" t="s">
        <v>1876</v>
      </c>
      <c r="F4360">
        <v>6.91</v>
      </c>
      <c r="H4360">
        <v>8918.1299999999992</v>
      </c>
      <c r="J4360" t="s">
        <v>2513</v>
      </c>
    </row>
    <row r="4361" spans="1:10" ht="15" customHeight="1" x14ac:dyDescent="0.2">
      <c r="A4361" s="420">
        <v>45820</v>
      </c>
      <c r="B4361" t="s">
        <v>2532</v>
      </c>
      <c r="C4361" t="s">
        <v>6402</v>
      </c>
      <c r="D4361" t="s">
        <v>3021</v>
      </c>
      <c r="E4361" t="s">
        <v>3022</v>
      </c>
      <c r="F4361">
        <v>59.46</v>
      </c>
      <c r="H4361">
        <v>8977.59</v>
      </c>
      <c r="J4361" t="s">
        <v>2511</v>
      </c>
    </row>
    <row r="4362" spans="1:10" ht="15" customHeight="1" x14ac:dyDescent="0.2">
      <c r="A4362" s="420">
        <v>45821</v>
      </c>
      <c r="B4362" t="s">
        <v>2532</v>
      </c>
      <c r="C4362" t="s">
        <v>6402</v>
      </c>
      <c r="D4362" t="s">
        <v>4907</v>
      </c>
      <c r="E4362" t="s">
        <v>1877</v>
      </c>
      <c r="F4362">
        <v>1.5</v>
      </c>
      <c r="H4362">
        <v>8979.09</v>
      </c>
      <c r="J4362" t="s">
        <v>2513</v>
      </c>
    </row>
    <row r="4363" spans="1:10" ht="15" customHeight="1" x14ac:dyDescent="0.2">
      <c r="A4363" s="420">
        <v>45821</v>
      </c>
      <c r="B4363" t="s">
        <v>2532</v>
      </c>
      <c r="C4363" t="s">
        <v>6402</v>
      </c>
      <c r="D4363" t="s">
        <v>4907</v>
      </c>
      <c r="E4363" t="s">
        <v>1877</v>
      </c>
      <c r="F4363">
        <v>3.53</v>
      </c>
      <c r="H4363">
        <v>8982.6200000000008</v>
      </c>
      <c r="J4363" t="s">
        <v>2513</v>
      </c>
    </row>
    <row r="4364" spans="1:10" ht="15" customHeight="1" x14ac:dyDescent="0.2">
      <c r="A4364" s="420">
        <v>45821</v>
      </c>
      <c r="B4364" t="s">
        <v>2532</v>
      </c>
      <c r="C4364" t="s">
        <v>6402</v>
      </c>
      <c r="D4364" t="s">
        <v>4743</v>
      </c>
      <c r="E4364" t="s">
        <v>1662</v>
      </c>
      <c r="F4364">
        <v>16.13</v>
      </c>
      <c r="H4364">
        <v>8998.75</v>
      </c>
      <c r="J4364" t="s">
        <v>2513</v>
      </c>
    </row>
    <row r="4365" spans="1:10" ht="15" customHeight="1" x14ac:dyDescent="0.2">
      <c r="A4365" s="420">
        <v>45821</v>
      </c>
      <c r="B4365" t="s">
        <v>2532</v>
      </c>
      <c r="C4365" t="s">
        <v>6402</v>
      </c>
      <c r="D4365" t="s">
        <v>5176</v>
      </c>
      <c r="E4365" t="s">
        <v>1663</v>
      </c>
      <c r="F4365">
        <v>1.67</v>
      </c>
      <c r="H4365">
        <v>9000.42</v>
      </c>
      <c r="J4365" t="s">
        <v>2513</v>
      </c>
    </row>
    <row r="4366" spans="1:10" ht="15" customHeight="1" x14ac:dyDescent="0.2">
      <c r="A4366" s="420">
        <v>45822</v>
      </c>
      <c r="B4366" t="s">
        <v>2532</v>
      </c>
      <c r="C4366" t="s">
        <v>6402</v>
      </c>
      <c r="D4366" t="s">
        <v>3972</v>
      </c>
      <c r="E4366" t="s">
        <v>1879</v>
      </c>
      <c r="F4366">
        <v>1.36</v>
      </c>
      <c r="H4366">
        <v>9001.7800000000007</v>
      </c>
      <c r="J4366" t="s">
        <v>2513</v>
      </c>
    </row>
    <row r="4367" spans="1:10" ht="15" customHeight="1" x14ac:dyDescent="0.2">
      <c r="A4367" s="420">
        <v>45822</v>
      </c>
      <c r="B4367" t="s">
        <v>2532</v>
      </c>
      <c r="C4367" t="s">
        <v>6402</v>
      </c>
      <c r="D4367" t="s">
        <v>3972</v>
      </c>
      <c r="E4367" t="s">
        <v>1879</v>
      </c>
      <c r="F4367">
        <v>17.5</v>
      </c>
      <c r="H4367">
        <v>9019.2800000000007</v>
      </c>
      <c r="J4367" t="s">
        <v>2513</v>
      </c>
    </row>
    <row r="4368" spans="1:10" ht="15" customHeight="1" x14ac:dyDescent="0.2">
      <c r="A4368" s="420">
        <v>45824</v>
      </c>
      <c r="B4368" t="s">
        <v>2532</v>
      </c>
      <c r="C4368" t="s">
        <v>6402</v>
      </c>
      <c r="D4368" t="s">
        <v>3577</v>
      </c>
      <c r="E4368" t="s">
        <v>1371</v>
      </c>
      <c r="F4368">
        <v>28.12</v>
      </c>
      <c r="H4368">
        <v>9047.4</v>
      </c>
      <c r="J4368" t="s">
        <v>2513</v>
      </c>
    </row>
    <row r="4369" spans="1:10" ht="15" customHeight="1" x14ac:dyDescent="0.2">
      <c r="A4369" s="420">
        <v>45824</v>
      </c>
      <c r="B4369" t="s">
        <v>2532</v>
      </c>
      <c r="C4369" t="s">
        <v>6402</v>
      </c>
      <c r="D4369" t="s">
        <v>5116</v>
      </c>
      <c r="E4369" t="s">
        <v>1509</v>
      </c>
      <c r="F4369">
        <v>30</v>
      </c>
      <c r="H4369">
        <v>9077.4</v>
      </c>
      <c r="J4369" t="s">
        <v>2513</v>
      </c>
    </row>
    <row r="4370" spans="1:10" ht="15" customHeight="1" x14ac:dyDescent="0.2">
      <c r="A4370" s="420">
        <v>45828</v>
      </c>
      <c r="B4370" t="s">
        <v>2532</v>
      </c>
      <c r="C4370" t="s">
        <v>6402</v>
      </c>
      <c r="D4370" t="s">
        <v>5293</v>
      </c>
      <c r="E4370" t="s">
        <v>506</v>
      </c>
      <c r="F4370">
        <v>6.68</v>
      </c>
      <c r="H4370">
        <v>9084.08</v>
      </c>
      <c r="J4370" t="s">
        <v>2513</v>
      </c>
    </row>
    <row r="4371" spans="1:10" ht="15" customHeight="1" x14ac:dyDescent="0.2">
      <c r="A4371" s="420">
        <v>45828</v>
      </c>
      <c r="B4371" t="s">
        <v>2532</v>
      </c>
      <c r="C4371" t="s">
        <v>6402</v>
      </c>
      <c r="D4371" t="s">
        <v>3856</v>
      </c>
      <c r="E4371" t="s">
        <v>1510</v>
      </c>
      <c r="F4371">
        <v>124.94</v>
      </c>
      <c r="H4371">
        <v>9209.02</v>
      </c>
      <c r="J4371" t="s">
        <v>2511</v>
      </c>
    </row>
    <row r="4372" spans="1:10" ht="15" customHeight="1" x14ac:dyDescent="0.2">
      <c r="A4372" s="420">
        <v>45828</v>
      </c>
      <c r="B4372" t="s">
        <v>2532</v>
      </c>
      <c r="C4372" t="s">
        <v>6402</v>
      </c>
      <c r="D4372" t="s">
        <v>3939</v>
      </c>
      <c r="E4372" t="s">
        <v>509</v>
      </c>
      <c r="F4372">
        <v>1.78</v>
      </c>
      <c r="H4372">
        <v>9210.7999999999993</v>
      </c>
      <c r="J4372" t="s">
        <v>2513</v>
      </c>
    </row>
    <row r="4373" spans="1:10" ht="15" customHeight="1" x14ac:dyDescent="0.2">
      <c r="A4373" s="420">
        <v>45833</v>
      </c>
      <c r="B4373" t="s">
        <v>2532</v>
      </c>
      <c r="C4373" t="s">
        <v>6402</v>
      </c>
      <c r="D4373" t="s">
        <v>2906</v>
      </c>
      <c r="E4373" t="s">
        <v>1512</v>
      </c>
      <c r="F4373">
        <v>69.8</v>
      </c>
      <c r="H4373">
        <v>9280.6</v>
      </c>
      <c r="J4373" t="s">
        <v>2513</v>
      </c>
    </row>
    <row r="4374" spans="1:10" ht="15" customHeight="1" x14ac:dyDescent="0.2">
      <c r="A4374" s="420">
        <v>45834</v>
      </c>
      <c r="B4374" t="s">
        <v>2532</v>
      </c>
      <c r="C4374" t="s">
        <v>6402</v>
      </c>
      <c r="D4374" t="s">
        <v>5119</v>
      </c>
      <c r="E4374" t="s">
        <v>1513</v>
      </c>
      <c r="F4374">
        <v>30</v>
      </c>
      <c r="H4374">
        <v>9310.6</v>
      </c>
      <c r="J4374" t="s">
        <v>2513</v>
      </c>
    </row>
    <row r="4375" spans="1:10" ht="15" customHeight="1" x14ac:dyDescent="0.2">
      <c r="A4375" s="420">
        <v>45838</v>
      </c>
      <c r="B4375" t="s">
        <v>2532</v>
      </c>
      <c r="C4375" t="s">
        <v>6402</v>
      </c>
      <c r="D4375" t="s">
        <v>3412</v>
      </c>
      <c r="E4375" t="s">
        <v>982</v>
      </c>
      <c r="F4375">
        <v>1180</v>
      </c>
      <c r="H4375">
        <v>10490.6</v>
      </c>
      <c r="J4375" t="s">
        <v>2511</v>
      </c>
    </row>
    <row r="4376" spans="1:10" ht="15" customHeight="1" x14ac:dyDescent="0.2">
      <c r="A4376" s="420">
        <v>45838</v>
      </c>
      <c r="B4376" t="s">
        <v>2517</v>
      </c>
      <c r="C4376" t="s">
        <v>6402</v>
      </c>
      <c r="D4376" t="s">
        <v>6319</v>
      </c>
      <c r="E4376" t="s">
        <v>846</v>
      </c>
      <c r="F4376">
        <v>93.85</v>
      </c>
      <c r="H4376">
        <v>10584.45</v>
      </c>
      <c r="J4376" t="s">
        <v>2513</v>
      </c>
    </row>
    <row r="4377" spans="1:10" ht="15" customHeight="1" x14ac:dyDescent="0.2">
      <c r="A4377" s="420">
        <v>45838</v>
      </c>
      <c r="B4377" t="s">
        <v>2517</v>
      </c>
      <c r="C4377" t="s">
        <v>6402</v>
      </c>
      <c r="D4377" t="s">
        <v>6319</v>
      </c>
      <c r="E4377" t="s">
        <v>6977</v>
      </c>
      <c r="G4377">
        <v>3642.17</v>
      </c>
      <c r="H4377">
        <v>6942.28</v>
      </c>
      <c r="J4377" t="s">
        <v>2513</v>
      </c>
    </row>
    <row r="4378" spans="1:10" ht="15" customHeight="1" x14ac:dyDescent="0.2">
      <c r="A4378" s="420">
        <v>45838</v>
      </c>
      <c r="B4378" t="s">
        <v>2547</v>
      </c>
      <c r="C4378" t="s">
        <v>6402</v>
      </c>
      <c r="D4378" t="s">
        <v>2709</v>
      </c>
      <c r="E4378" t="s">
        <v>1108</v>
      </c>
      <c r="F4378">
        <v>58.88</v>
      </c>
      <c r="H4378">
        <v>7001.16</v>
      </c>
      <c r="J4378" t="s">
        <v>2511</v>
      </c>
    </row>
    <row r="4379" spans="1:10" ht="15" customHeight="1" x14ac:dyDescent="0.2">
      <c r="A4379" s="420">
        <v>45838</v>
      </c>
      <c r="B4379" t="s">
        <v>2547</v>
      </c>
      <c r="C4379" t="s">
        <v>6402</v>
      </c>
      <c r="D4379" t="s">
        <v>2711</v>
      </c>
      <c r="E4379" t="s">
        <v>1106</v>
      </c>
      <c r="F4379">
        <v>118.4</v>
      </c>
      <c r="H4379">
        <v>7119.56</v>
      </c>
      <c r="J4379" t="s">
        <v>2511</v>
      </c>
    </row>
    <row r="4380" spans="1:10" ht="15" customHeight="1" x14ac:dyDescent="0.2">
      <c r="A4380" s="420">
        <v>45838</v>
      </c>
      <c r="B4380" t="s">
        <v>2547</v>
      </c>
      <c r="C4380" t="s">
        <v>6402</v>
      </c>
      <c r="D4380" t="s">
        <v>4227</v>
      </c>
      <c r="E4380" t="s">
        <v>4228</v>
      </c>
      <c r="F4380">
        <v>494</v>
      </c>
      <c r="H4380">
        <v>7613.56</v>
      </c>
      <c r="J4380" t="s">
        <v>2511</v>
      </c>
    </row>
    <row r="4381" spans="1:10" ht="15" customHeight="1" x14ac:dyDescent="0.2">
      <c r="A4381" s="420">
        <v>45838</v>
      </c>
      <c r="B4381" t="s">
        <v>2439</v>
      </c>
      <c r="C4381" t="s">
        <v>6402</v>
      </c>
      <c r="D4381" t="s">
        <v>6978</v>
      </c>
      <c r="E4381" t="s">
        <v>1265</v>
      </c>
      <c r="G4381">
        <v>71.37</v>
      </c>
      <c r="H4381">
        <v>7542.19</v>
      </c>
      <c r="J4381" t="s">
        <v>2511</v>
      </c>
    </row>
    <row r="4382" spans="1:10" ht="15" customHeight="1" x14ac:dyDescent="0.2">
      <c r="A4382" s="420">
        <v>45838</v>
      </c>
      <c r="B4382" t="s">
        <v>2439</v>
      </c>
      <c r="C4382" t="s">
        <v>6402</v>
      </c>
      <c r="D4382" t="s">
        <v>6978</v>
      </c>
      <c r="E4382" t="s">
        <v>1265</v>
      </c>
      <c r="G4382">
        <v>4.0999999999999996</v>
      </c>
      <c r="H4382">
        <v>7538.09</v>
      </c>
      <c r="J4382" t="s">
        <v>2511</v>
      </c>
    </row>
    <row r="4383" spans="1:10" ht="15" customHeight="1" x14ac:dyDescent="0.2">
      <c r="A4383" s="420">
        <v>45839</v>
      </c>
      <c r="B4383" t="s">
        <v>2532</v>
      </c>
      <c r="C4383" t="s">
        <v>6402</v>
      </c>
      <c r="D4383" t="s">
        <v>4056</v>
      </c>
      <c r="E4383" t="s">
        <v>1216</v>
      </c>
      <c r="F4383">
        <v>216</v>
      </c>
      <c r="H4383">
        <v>7754.09</v>
      </c>
      <c r="J4383" t="s">
        <v>2585</v>
      </c>
    </row>
    <row r="4384" spans="1:10" ht="15" customHeight="1" x14ac:dyDescent="0.2">
      <c r="A4384" s="420">
        <v>45839</v>
      </c>
      <c r="B4384" t="s">
        <v>2532</v>
      </c>
      <c r="C4384" t="s">
        <v>6402</v>
      </c>
      <c r="D4384" t="s">
        <v>5394</v>
      </c>
      <c r="E4384" t="s">
        <v>1892</v>
      </c>
      <c r="F4384">
        <v>11.59</v>
      </c>
      <c r="H4384">
        <v>7765.68</v>
      </c>
      <c r="J4384" t="s">
        <v>2585</v>
      </c>
    </row>
    <row r="4385" spans="1:10" ht="15" customHeight="1" x14ac:dyDescent="0.2">
      <c r="A4385" s="420">
        <v>45839</v>
      </c>
      <c r="B4385" t="s">
        <v>2532</v>
      </c>
      <c r="C4385" t="s">
        <v>6402</v>
      </c>
      <c r="D4385" t="s">
        <v>5464</v>
      </c>
      <c r="E4385" t="s">
        <v>1269</v>
      </c>
      <c r="F4385">
        <v>10.96</v>
      </c>
      <c r="H4385">
        <v>7776.64</v>
      </c>
      <c r="J4385" t="s">
        <v>2585</v>
      </c>
    </row>
    <row r="4386" spans="1:10" ht="15" customHeight="1" x14ac:dyDescent="0.2">
      <c r="A4386" s="420">
        <v>45839</v>
      </c>
      <c r="B4386" t="s">
        <v>2532</v>
      </c>
      <c r="C4386" t="s">
        <v>6402</v>
      </c>
      <c r="D4386" t="s">
        <v>5427</v>
      </c>
      <c r="E4386" t="s">
        <v>734</v>
      </c>
      <c r="F4386">
        <v>75.47</v>
      </c>
      <c r="H4386">
        <v>7852.11</v>
      </c>
      <c r="J4386" t="s">
        <v>2585</v>
      </c>
    </row>
    <row r="4387" spans="1:10" ht="15" customHeight="1" x14ac:dyDescent="0.2">
      <c r="A4387" s="420">
        <v>45839</v>
      </c>
      <c r="B4387" t="s">
        <v>2532</v>
      </c>
      <c r="C4387" t="s">
        <v>6402</v>
      </c>
      <c r="D4387" t="s">
        <v>4911</v>
      </c>
      <c r="E4387" t="s">
        <v>1894</v>
      </c>
      <c r="F4387">
        <v>2.83</v>
      </c>
      <c r="H4387">
        <v>7854.94</v>
      </c>
      <c r="J4387" t="s">
        <v>2585</v>
      </c>
    </row>
    <row r="4388" spans="1:10" ht="15" customHeight="1" x14ac:dyDescent="0.2">
      <c r="A4388" s="420">
        <v>45839</v>
      </c>
      <c r="B4388" t="s">
        <v>2532</v>
      </c>
      <c r="C4388" t="s">
        <v>6402</v>
      </c>
      <c r="D4388" t="s">
        <v>4911</v>
      </c>
      <c r="E4388" t="s">
        <v>1894</v>
      </c>
      <c r="F4388">
        <v>2.91</v>
      </c>
      <c r="H4388">
        <v>7857.85</v>
      </c>
      <c r="J4388" t="s">
        <v>2585</v>
      </c>
    </row>
    <row r="4389" spans="1:10" ht="15" customHeight="1" x14ac:dyDescent="0.2">
      <c r="A4389" s="420">
        <v>45839</v>
      </c>
      <c r="B4389" t="s">
        <v>2532</v>
      </c>
      <c r="C4389" t="s">
        <v>6402</v>
      </c>
      <c r="D4389" t="s">
        <v>4229</v>
      </c>
      <c r="E4389" t="s">
        <v>1111</v>
      </c>
      <c r="F4389">
        <v>134.05000000000001</v>
      </c>
      <c r="H4389">
        <v>7991.9</v>
      </c>
      <c r="J4389" t="s">
        <v>2585</v>
      </c>
    </row>
    <row r="4390" spans="1:10" ht="15" customHeight="1" x14ac:dyDescent="0.2">
      <c r="A4390" s="420">
        <v>45839</v>
      </c>
      <c r="B4390" t="s">
        <v>2547</v>
      </c>
      <c r="C4390" t="s">
        <v>6402</v>
      </c>
      <c r="D4390" t="s">
        <v>4230</v>
      </c>
      <c r="E4390" t="s">
        <v>1111</v>
      </c>
      <c r="F4390">
        <v>9</v>
      </c>
      <c r="H4390">
        <v>8000.9</v>
      </c>
      <c r="J4390" t="s">
        <v>2585</v>
      </c>
    </row>
    <row r="4391" spans="1:10" ht="15" customHeight="1" x14ac:dyDescent="0.2">
      <c r="A4391" s="420">
        <v>45839</v>
      </c>
      <c r="B4391" t="s">
        <v>2547</v>
      </c>
      <c r="C4391" t="s">
        <v>6402</v>
      </c>
      <c r="D4391" t="s">
        <v>4231</v>
      </c>
      <c r="E4391" t="s">
        <v>1111</v>
      </c>
      <c r="F4391">
        <v>12</v>
      </c>
      <c r="H4391">
        <v>8012.9</v>
      </c>
      <c r="J4391" t="s">
        <v>2585</v>
      </c>
    </row>
    <row r="4392" spans="1:10" ht="15" customHeight="1" x14ac:dyDescent="0.2">
      <c r="A4392" s="420">
        <v>45839</v>
      </c>
      <c r="B4392" t="s">
        <v>2547</v>
      </c>
      <c r="C4392" t="s">
        <v>6402</v>
      </c>
      <c r="D4392" t="s">
        <v>4232</v>
      </c>
      <c r="E4392" t="s">
        <v>1111</v>
      </c>
      <c r="F4392">
        <v>134.05000000000001</v>
      </c>
      <c r="H4392">
        <v>8146.95</v>
      </c>
      <c r="J4392" t="s">
        <v>2585</v>
      </c>
    </row>
    <row r="4393" spans="1:10" ht="15" customHeight="1" x14ac:dyDescent="0.2">
      <c r="A4393" s="420">
        <v>45839</v>
      </c>
      <c r="B4393" t="s">
        <v>2547</v>
      </c>
      <c r="C4393" t="s">
        <v>6402</v>
      </c>
      <c r="D4393" t="s">
        <v>4233</v>
      </c>
      <c r="E4393" t="s">
        <v>1111</v>
      </c>
      <c r="F4393">
        <v>134.05000000000001</v>
      </c>
      <c r="H4393">
        <v>8281</v>
      </c>
      <c r="J4393" t="s">
        <v>2585</v>
      </c>
    </row>
    <row r="4394" spans="1:10" ht="15" customHeight="1" x14ac:dyDescent="0.2">
      <c r="A4394" s="420">
        <v>45839</v>
      </c>
      <c r="B4394" t="s">
        <v>2547</v>
      </c>
      <c r="C4394" t="s">
        <v>6402</v>
      </c>
      <c r="D4394" t="s">
        <v>4234</v>
      </c>
      <c r="E4394" t="s">
        <v>1111</v>
      </c>
      <c r="F4394">
        <v>134.05000000000001</v>
      </c>
      <c r="H4394">
        <v>8415.0499999999993</v>
      </c>
      <c r="J4394" t="s">
        <v>2585</v>
      </c>
    </row>
    <row r="4395" spans="1:10" ht="15" customHeight="1" x14ac:dyDescent="0.2">
      <c r="A4395" s="420">
        <v>45839</v>
      </c>
      <c r="B4395" t="s">
        <v>2547</v>
      </c>
      <c r="C4395" t="s">
        <v>6402</v>
      </c>
      <c r="D4395" t="s">
        <v>4235</v>
      </c>
      <c r="E4395" t="s">
        <v>1111</v>
      </c>
      <c r="F4395">
        <v>134.05000000000001</v>
      </c>
      <c r="H4395">
        <v>8549.1</v>
      </c>
      <c r="J4395" t="s">
        <v>2585</v>
      </c>
    </row>
    <row r="4396" spans="1:10" ht="15" customHeight="1" x14ac:dyDescent="0.2">
      <c r="A4396" s="420">
        <v>45839</v>
      </c>
      <c r="B4396" t="s">
        <v>2547</v>
      </c>
      <c r="C4396" t="s">
        <v>6402</v>
      </c>
      <c r="D4396" t="s">
        <v>4236</v>
      </c>
      <c r="E4396" t="s">
        <v>1111</v>
      </c>
      <c r="F4396">
        <v>134.05000000000001</v>
      </c>
      <c r="H4396">
        <v>8683.15</v>
      </c>
      <c r="J4396" t="s">
        <v>2585</v>
      </c>
    </row>
    <row r="4397" spans="1:10" ht="15" customHeight="1" x14ac:dyDescent="0.2">
      <c r="A4397" s="420">
        <v>45839</v>
      </c>
      <c r="B4397" t="s">
        <v>2547</v>
      </c>
      <c r="C4397" t="s">
        <v>6402</v>
      </c>
      <c r="D4397" t="s">
        <v>4237</v>
      </c>
      <c r="E4397" t="s">
        <v>1111</v>
      </c>
      <c r="F4397">
        <v>134.05000000000001</v>
      </c>
      <c r="H4397">
        <v>8817.2000000000007</v>
      </c>
      <c r="J4397" t="s">
        <v>2585</v>
      </c>
    </row>
    <row r="4398" spans="1:10" ht="15" customHeight="1" x14ac:dyDescent="0.2">
      <c r="A4398" s="420">
        <v>45839</v>
      </c>
      <c r="B4398" t="s">
        <v>2547</v>
      </c>
      <c r="C4398" t="s">
        <v>6402</v>
      </c>
      <c r="D4398" t="s">
        <v>4822</v>
      </c>
      <c r="E4398" t="s">
        <v>852</v>
      </c>
      <c r="F4398">
        <v>400</v>
      </c>
      <c r="H4398">
        <v>9217.2000000000007</v>
      </c>
      <c r="J4398" t="s">
        <v>2585</v>
      </c>
    </row>
    <row r="4399" spans="1:10" ht="15" customHeight="1" x14ac:dyDescent="0.2">
      <c r="A4399" s="420">
        <v>45839</v>
      </c>
      <c r="B4399" t="s">
        <v>2547</v>
      </c>
      <c r="C4399" t="s">
        <v>6402</v>
      </c>
      <c r="D4399" t="s">
        <v>4525</v>
      </c>
      <c r="E4399" t="s">
        <v>4526</v>
      </c>
      <c r="F4399">
        <v>341.16</v>
      </c>
      <c r="H4399">
        <v>9558.36</v>
      </c>
      <c r="J4399" t="s">
        <v>2585</v>
      </c>
    </row>
    <row r="4400" spans="1:10" ht="15" customHeight="1" x14ac:dyDescent="0.2">
      <c r="A4400" s="420">
        <v>45839</v>
      </c>
      <c r="B4400" t="s">
        <v>2547</v>
      </c>
      <c r="C4400" t="s">
        <v>6402</v>
      </c>
      <c r="D4400" t="s">
        <v>4527</v>
      </c>
      <c r="E4400" t="s">
        <v>4528</v>
      </c>
      <c r="F4400">
        <v>1637.55</v>
      </c>
      <c r="H4400">
        <v>11195.91</v>
      </c>
      <c r="J4400" t="s">
        <v>2585</v>
      </c>
    </row>
    <row r="4401" spans="1:10" ht="15" customHeight="1" x14ac:dyDescent="0.2">
      <c r="A4401" s="420">
        <v>45839</v>
      </c>
      <c r="B4401" t="s">
        <v>2439</v>
      </c>
      <c r="C4401" t="s">
        <v>6402</v>
      </c>
      <c r="D4401" t="s">
        <v>2646</v>
      </c>
      <c r="E4401" t="s">
        <v>719</v>
      </c>
      <c r="F4401">
        <v>212.67</v>
      </c>
      <c r="H4401">
        <v>11408.58</v>
      </c>
      <c r="J4401" t="s">
        <v>2585</v>
      </c>
    </row>
    <row r="4402" spans="1:10" ht="15" customHeight="1" x14ac:dyDescent="0.2">
      <c r="A4402" s="420">
        <v>45839</v>
      </c>
      <c r="B4402" t="s">
        <v>2532</v>
      </c>
      <c r="C4402" t="s">
        <v>6402</v>
      </c>
      <c r="D4402" t="s">
        <v>3137</v>
      </c>
      <c r="E4402" t="s">
        <v>1525</v>
      </c>
      <c r="F4402">
        <v>424.09</v>
      </c>
      <c r="H4402">
        <v>11832.67</v>
      </c>
      <c r="J4402" t="s">
        <v>2585</v>
      </c>
    </row>
    <row r="4403" spans="1:10" ht="15" customHeight="1" x14ac:dyDescent="0.2">
      <c r="A4403" s="420">
        <v>45839</v>
      </c>
      <c r="B4403" t="s">
        <v>2532</v>
      </c>
      <c r="C4403" t="s">
        <v>6402</v>
      </c>
      <c r="D4403" t="s">
        <v>4823</v>
      </c>
      <c r="E4403" t="s">
        <v>1378</v>
      </c>
      <c r="F4403">
        <v>300</v>
      </c>
      <c r="H4403">
        <v>12132.67</v>
      </c>
      <c r="J4403" t="s">
        <v>2585</v>
      </c>
    </row>
    <row r="4404" spans="1:10" ht="15" customHeight="1" x14ac:dyDescent="0.2">
      <c r="A4404" s="420">
        <v>45839</v>
      </c>
      <c r="B4404" t="s">
        <v>2547</v>
      </c>
      <c r="C4404" t="s">
        <v>6402</v>
      </c>
      <c r="D4404" t="s">
        <v>2767</v>
      </c>
      <c r="E4404" t="s">
        <v>515</v>
      </c>
      <c r="F4404">
        <v>16.5</v>
      </c>
      <c r="H4404">
        <v>12149.17</v>
      </c>
      <c r="J4404" t="s">
        <v>2585</v>
      </c>
    </row>
    <row r="4405" spans="1:10" ht="15" customHeight="1" x14ac:dyDescent="0.2">
      <c r="A4405" s="420">
        <v>45839</v>
      </c>
      <c r="B4405" t="s">
        <v>2547</v>
      </c>
      <c r="C4405" t="s">
        <v>6402</v>
      </c>
      <c r="D4405" t="s">
        <v>2984</v>
      </c>
      <c r="E4405" t="s">
        <v>1520</v>
      </c>
      <c r="F4405">
        <v>292</v>
      </c>
      <c r="H4405">
        <v>12441.17</v>
      </c>
      <c r="J4405" t="s">
        <v>2585</v>
      </c>
    </row>
    <row r="4406" spans="1:10" ht="15" customHeight="1" x14ac:dyDescent="0.2">
      <c r="A4406" s="420">
        <v>45839</v>
      </c>
      <c r="B4406" t="s">
        <v>2547</v>
      </c>
      <c r="C4406" t="s">
        <v>6402</v>
      </c>
      <c r="D4406" t="s">
        <v>4238</v>
      </c>
      <c r="E4406" t="s">
        <v>1112</v>
      </c>
      <c r="F4406">
        <v>21.2</v>
      </c>
      <c r="H4406">
        <v>12462.37</v>
      </c>
      <c r="J4406" t="s">
        <v>2585</v>
      </c>
    </row>
    <row r="4407" spans="1:10" ht="15" customHeight="1" x14ac:dyDescent="0.2">
      <c r="A4407" s="420">
        <v>45839</v>
      </c>
      <c r="B4407" t="s">
        <v>2547</v>
      </c>
      <c r="C4407" t="s">
        <v>6402</v>
      </c>
      <c r="D4407" t="s">
        <v>4239</v>
      </c>
      <c r="E4407" t="s">
        <v>1113</v>
      </c>
      <c r="F4407">
        <v>50</v>
      </c>
      <c r="H4407">
        <v>12512.37</v>
      </c>
      <c r="J4407" t="s">
        <v>2585</v>
      </c>
    </row>
    <row r="4408" spans="1:10" ht="15" customHeight="1" x14ac:dyDescent="0.2">
      <c r="A4408" s="420">
        <v>45839</v>
      </c>
      <c r="B4408" t="s">
        <v>2547</v>
      </c>
      <c r="C4408" t="s">
        <v>6402</v>
      </c>
      <c r="D4408" t="s">
        <v>4240</v>
      </c>
      <c r="E4408" t="s">
        <v>1114</v>
      </c>
      <c r="F4408">
        <v>134.05000000000001</v>
      </c>
      <c r="H4408">
        <v>12646.42</v>
      </c>
      <c r="J4408" t="s">
        <v>2585</v>
      </c>
    </row>
    <row r="4409" spans="1:10" ht="15" customHeight="1" x14ac:dyDescent="0.2">
      <c r="A4409" s="420">
        <v>45839</v>
      </c>
      <c r="B4409" t="s">
        <v>2547</v>
      </c>
      <c r="C4409" t="s">
        <v>6402</v>
      </c>
      <c r="D4409" t="s">
        <v>4241</v>
      </c>
      <c r="E4409" t="s">
        <v>1115</v>
      </c>
      <c r="F4409">
        <v>21.2</v>
      </c>
      <c r="H4409">
        <v>12667.62</v>
      </c>
      <c r="J4409" t="s">
        <v>2585</v>
      </c>
    </row>
    <row r="4410" spans="1:10" ht="15" customHeight="1" x14ac:dyDescent="0.2">
      <c r="A4410" s="420">
        <v>45839</v>
      </c>
      <c r="B4410" t="s">
        <v>2547</v>
      </c>
      <c r="C4410" t="s">
        <v>6402</v>
      </c>
      <c r="D4410" t="s">
        <v>4242</v>
      </c>
      <c r="E4410" t="s">
        <v>1116</v>
      </c>
      <c r="F4410">
        <v>134.05000000000001</v>
      </c>
      <c r="H4410">
        <v>12801.67</v>
      </c>
      <c r="J4410" t="s">
        <v>2585</v>
      </c>
    </row>
    <row r="4411" spans="1:10" ht="15" customHeight="1" x14ac:dyDescent="0.2">
      <c r="A4411" s="420">
        <v>45839</v>
      </c>
      <c r="B4411" t="s">
        <v>2547</v>
      </c>
      <c r="C4411" t="s">
        <v>6402</v>
      </c>
      <c r="D4411" t="s">
        <v>4243</v>
      </c>
      <c r="E4411" t="s">
        <v>1117</v>
      </c>
      <c r="F4411">
        <v>9</v>
      </c>
      <c r="H4411">
        <v>12810.67</v>
      </c>
      <c r="J4411" t="s">
        <v>2585</v>
      </c>
    </row>
    <row r="4412" spans="1:10" ht="15" customHeight="1" x14ac:dyDescent="0.2">
      <c r="A4412" s="420">
        <v>45839</v>
      </c>
      <c r="B4412" t="s">
        <v>2532</v>
      </c>
      <c r="C4412" t="s">
        <v>6402</v>
      </c>
      <c r="D4412" t="s">
        <v>5051</v>
      </c>
      <c r="E4412" t="s">
        <v>1669</v>
      </c>
      <c r="F4412">
        <v>31.2</v>
      </c>
      <c r="H4412">
        <v>12841.87</v>
      </c>
      <c r="J4412" t="s">
        <v>2585</v>
      </c>
    </row>
    <row r="4413" spans="1:10" ht="15" customHeight="1" x14ac:dyDescent="0.2">
      <c r="A4413" s="420">
        <v>45839</v>
      </c>
      <c r="B4413" t="s">
        <v>2547</v>
      </c>
      <c r="C4413" t="s">
        <v>6402</v>
      </c>
      <c r="D4413" t="s">
        <v>4824</v>
      </c>
      <c r="E4413" t="s">
        <v>853</v>
      </c>
      <c r="F4413">
        <v>600</v>
      </c>
      <c r="H4413">
        <v>13441.87</v>
      </c>
      <c r="J4413" t="s">
        <v>2585</v>
      </c>
    </row>
    <row r="4414" spans="1:10" ht="15" customHeight="1" x14ac:dyDescent="0.2">
      <c r="A4414" s="420">
        <v>45839</v>
      </c>
      <c r="B4414" t="s">
        <v>2517</v>
      </c>
      <c r="C4414" t="s">
        <v>6402</v>
      </c>
      <c r="D4414" t="s">
        <v>6979</v>
      </c>
      <c r="E4414" t="s">
        <v>6980</v>
      </c>
      <c r="G4414">
        <v>7538.09</v>
      </c>
      <c r="H4414">
        <v>5903.78</v>
      </c>
      <c r="J4414" t="s">
        <v>2511</v>
      </c>
    </row>
    <row r="4415" spans="1:10" ht="15" customHeight="1" x14ac:dyDescent="0.2">
      <c r="A4415" s="420">
        <v>45839</v>
      </c>
      <c r="B4415" t="s">
        <v>2517</v>
      </c>
      <c r="C4415" t="s">
        <v>6402</v>
      </c>
      <c r="D4415" t="s">
        <v>6979</v>
      </c>
      <c r="E4415" t="s">
        <v>6980</v>
      </c>
      <c r="F4415">
        <v>7538.09</v>
      </c>
      <c r="H4415">
        <v>13441.87</v>
      </c>
      <c r="J4415" t="s">
        <v>2585</v>
      </c>
    </row>
    <row r="4416" spans="1:10" ht="15" customHeight="1" x14ac:dyDescent="0.2">
      <c r="A4416" s="420">
        <v>45839</v>
      </c>
      <c r="B4416" t="s">
        <v>2517</v>
      </c>
      <c r="C4416" t="s">
        <v>6402</v>
      </c>
      <c r="D4416" t="s">
        <v>5205</v>
      </c>
      <c r="E4416" t="s">
        <v>516</v>
      </c>
      <c r="G4416">
        <v>21.57</v>
      </c>
      <c r="H4416">
        <v>13420.3</v>
      </c>
      <c r="J4416" t="s">
        <v>2585</v>
      </c>
    </row>
    <row r="4417" spans="1:10" ht="15" customHeight="1" x14ac:dyDescent="0.2">
      <c r="A4417" s="420">
        <v>45839</v>
      </c>
      <c r="B4417" t="s">
        <v>2517</v>
      </c>
      <c r="C4417" t="s">
        <v>6402</v>
      </c>
      <c r="D4417" t="s">
        <v>2959</v>
      </c>
      <c r="E4417" t="s">
        <v>1526</v>
      </c>
      <c r="G4417">
        <v>141.66</v>
      </c>
      <c r="H4417">
        <v>13278.64</v>
      </c>
      <c r="J4417" t="s">
        <v>2585</v>
      </c>
    </row>
    <row r="4418" spans="1:10" ht="15" customHeight="1" x14ac:dyDescent="0.2">
      <c r="A4418" s="420">
        <v>45840</v>
      </c>
      <c r="B4418" t="s">
        <v>2532</v>
      </c>
      <c r="C4418" t="s">
        <v>6402</v>
      </c>
      <c r="D4418" t="s">
        <v>3149</v>
      </c>
      <c r="E4418" t="s">
        <v>518</v>
      </c>
      <c r="F4418">
        <v>4.21</v>
      </c>
      <c r="H4418">
        <v>13282.85</v>
      </c>
      <c r="J4418" t="s">
        <v>2585</v>
      </c>
    </row>
    <row r="4419" spans="1:10" ht="15" customHeight="1" x14ac:dyDescent="0.2">
      <c r="A4419" s="420">
        <v>45840</v>
      </c>
      <c r="B4419" t="s">
        <v>2532</v>
      </c>
      <c r="C4419" t="s">
        <v>6402</v>
      </c>
      <c r="D4419" t="s">
        <v>5350</v>
      </c>
      <c r="E4419" t="s">
        <v>1527</v>
      </c>
      <c r="F4419">
        <v>4</v>
      </c>
      <c r="H4419">
        <v>13286.85</v>
      </c>
      <c r="J4419" t="s">
        <v>2585</v>
      </c>
    </row>
    <row r="4420" spans="1:10" ht="15" customHeight="1" x14ac:dyDescent="0.2">
      <c r="A4420" s="420">
        <v>45840</v>
      </c>
      <c r="B4420" t="s">
        <v>2532</v>
      </c>
      <c r="C4420" t="s">
        <v>6402</v>
      </c>
      <c r="D4420" t="s">
        <v>4916</v>
      </c>
      <c r="E4420" t="s">
        <v>1898</v>
      </c>
      <c r="F4420">
        <v>1.1299999999999999</v>
      </c>
      <c r="H4420">
        <v>13287.98</v>
      </c>
      <c r="J4420" t="s">
        <v>2585</v>
      </c>
    </row>
    <row r="4421" spans="1:10" ht="15" customHeight="1" x14ac:dyDescent="0.2">
      <c r="A4421" s="420">
        <v>45840</v>
      </c>
      <c r="B4421" t="s">
        <v>2532</v>
      </c>
      <c r="C4421" t="s">
        <v>6402</v>
      </c>
      <c r="D4421" t="s">
        <v>4916</v>
      </c>
      <c r="E4421" t="s">
        <v>1898</v>
      </c>
      <c r="F4421">
        <v>2.19</v>
      </c>
      <c r="H4421">
        <v>13290.17</v>
      </c>
      <c r="J4421" t="s">
        <v>2585</v>
      </c>
    </row>
    <row r="4422" spans="1:10" ht="15" customHeight="1" x14ac:dyDescent="0.2">
      <c r="A4422" s="420">
        <v>45841</v>
      </c>
      <c r="B4422" t="s">
        <v>2532</v>
      </c>
      <c r="C4422" t="s">
        <v>6402</v>
      </c>
      <c r="D4422" t="s">
        <v>5218</v>
      </c>
      <c r="E4422" t="s">
        <v>1529</v>
      </c>
      <c r="F4422">
        <v>16.47</v>
      </c>
      <c r="H4422">
        <v>13306.64</v>
      </c>
      <c r="J4422" t="s">
        <v>2585</v>
      </c>
    </row>
    <row r="4423" spans="1:10" ht="15" customHeight="1" x14ac:dyDescent="0.2">
      <c r="A4423" s="420">
        <v>45841</v>
      </c>
      <c r="B4423" t="s">
        <v>2532</v>
      </c>
      <c r="C4423" t="s">
        <v>6402</v>
      </c>
      <c r="D4423" t="s">
        <v>5124</v>
      </c>
      <c r="E4423" t="s">
        <v>1530</v>
      </c>
      <c r="F4423">
        <v>30</v>
      </c>
      <c r="H4423">
        <v>13336.64</v>
      </c>
      <c r="J4423" t="s">
        <v>2585</v>
      </c>
    </row>
    <row r="4424" spans="1:10" ht="15" customHeight="1" x14ac:dyDescent="0.2">
      <c r="A4424" s="420">
        <v>45841</v>
      </c>
      <c r="B4424" t="s">
        <v>2532</v>
      </c>
      <c r="C4424" t="s">
        <v>6402</v>
      </c>
      <c r="D4424" t="s">
        <v>5125</v>
      </c>
      <c r="E4424" t="s">
        <v>1531</v>
      </c>
      <c r="F4424">
        <v>30</v>
      </c>
      <c r="H4424">
        <v>13366.64</v>
      </c>
      <c r="J4424" t="s">
        <v>2585</v>
      </c>
    </row>
    <row r="4425" spans="1:10" ht="15" customHeight="1" x14ac:dyDescent="0.2">
      <c r="A4425" s="420">
        <v>45843</v>
      </c>
      <c r="B4425" t="s">
        <v>2532</v>
      </c>
      <c r="C4425" t="s">
        <v>6402</v>
      </c>
      <c r="D4425" t="s">
        <v>2909</v>
      </c>
      <c r="E4425" t="s">
        <v>1534</v>
      </c>
      <c r="F4425">
        <v>348.62</v>
      </c>
      <c r="H4425">
        <v>13715.26</v>
      </c>
      <c r="J4425" t="s">
        <v>2585</v>
      </c>
    </row>
    <row r="4426" spans="1:10" ht="15" customHeight="1" x14ac:dyDescent="0.2">
      <c r="A4426" s="420">
        <v>45846</v>
      </c>
      <c r="B4426" t="s">
        <v>2532</v>
      </c>
      <c r="C4426" t="s">
        <v>6402</v>
      </c>
      <c r="D4426" t="s">
        <v>5052</v>
      </c>
      <c r="E4426" t="s">
        <v>1669</v>
      </c>
      <c r="F4426">
        <v>31.2</v>
      </c>
      <c r="H4426">
        <v>13746.46</v>
      </c>
      <c r="J4426" t="s">
        <v>2585</v>
      </c>
    </row>
    <row r="4427" spans="1:10" ht="15" customHeight="1" x14ac:dyDescent="0.2">
      <c r="A4427" s="420">
        <v>45846</v>
      </c>
      <c r="B4427" t="s">
        <v>2532</v>
      </c>
      <c r="C4427" t="s">
        <v>6402</v>
      </c>
      <c r="D4427" t="s">
        <v>2768</v>
      </c>
      <c r="E4427" t="s">
        <v>520</v>
      </c>
      <c r="F4427">
        <v>5.34</v>
      </c>
      <c r="H4427">
        <v>13751.8</v>
      </c>
      <c r="J4427" t="s">
        <v>2585</v>
      </c>
    </row>
    <row r="4428" spans="1:10" ht="15" customHeight="1" x14ac:dyDescent="0.2">
      <c r="A4428" s="420">
        <v>45846</v>
      </c>
      <c r="B4428" t="s">
        <v>2532</v>
      </c>
      <c r="C4428" t="s">
        <v>6402</v>
      </c>
      <c r="D4428" t="s">
        <v>2608</v>
      </c>
      <c r="E4428" t="s">
        <v>1121</v>
      </c>
      <c r="F4428">
        <v>120</v>
      </c>
      <c r="H4428">
        <v>13871.8</v>
      </c>
      <c r="J4428" t="s">
        <v>2585</v>
      </c>
    </row>
    <row r="4429" spans="1:10" ht="15" customHeight="1" x14ac:dyDescent="0.2">
      <c r="A4429" s="420">
        <v>45848</v>
      </c>
      <c r="B4429" t="s">
        <v>2532</v>
      </c>
      <c r="C4429" t="s">
        <v>6402</v>
      </c>
      <c r="D4429" t="s">
        <v>5128</v>
      </c>
      <c r="E4429" t="s">
        <v>1535</v>
      </c>
      <c r="F4429">
        <v>30</v>
      </c>
      <c r="H4429">
        <v>13901.8</v>
      </c>
      <c r="J4429" t="s">
        <v>2585</v>
      </c>
    </row>
    <row r="4430" spans="1:10" ht="15" customHeight="1" x14ac:dyDescent="0.2">
      <c r="A4430" s="420">
        <v>45848</v>
      </c>
      <c r="B4430" t="s">
        <v>2547</v>
      </c>
      <c r="C4430" t="s">
        <v>6402</v>
      </c>
      <c r="D4430" t="s">
        <v>4919</v>
      </c>
      <c r="E4430" t="s">
        <v>1899</v>
      </c>
      <c r="F4430">
        <v>6.37</v>
      </c>
      <c r="H4430">
        <v>13908.17</v>
      </c>
      <c r="J4430" t="s">
        <v>2585</v>
      </c>
    </row>
    <row r="4431" spans="1:10" ht="15" customHeight="1" x14ac:dyDescent="0.2">
      <c r="A4431" s="420">
        <v>45849</v>
      </c>
      <c r="B4431" t="s">
        <v>2532</v>
      </c>
      <c r="C4431" t="s">
        <v>6402</v>
      </c>
      <c r="D4431" t="s">
        <v>5012</v>
      </c>
      <c r="E4431" t="s">
        <v>522</v>
      </c>
      <c r="F4431">
        <v>18.47</v>
      </c>
      <c r="H4431">
        <v>13926.64</v>
      </c>
      <c r="J4431" t="s">
        <v>2585</v>
      </c>
    </row>
    <row r="4432" spans="1:10" ht="15" customHeight="1" x14ac:dyDescent="0.2">
      <c r="A4432" s="420">
        <v>45851</v>
      </c>
      <c r="B4432" t="s">
        <v>2532</v>
      </c>
      <c r="C4432" t="s">
        <v>6402</v>
      </c>
      <c r="D4432" t="s">
        <v>5182</v>
      </c>
      <c r="E4432" t="s">
        <v>1670</v>
      </c>
      <c r="F4432">
        <v>0.83</v>
      </c>
      <c r="H4432">
        <v>13927.47</v>
      </c>
      <c r="J4432" t="s">
        <v>2585</v>
      </c>
    </row>
    <row r="4433" spans="1:10" ht="15" customHeight="1" x14ac:dyDescent="0.2">
      <c r="A4433" s="420">
        <v>45851</v>
      </c>
      <c r="B4433" t="s">
        <v>2532</v>
      </c>
      <c r="C4433" t="s">
        <v>6402</v>
      </c>
      <c r="D4433" t="s">
        <v>2770</v>
      </c>
      <c r="E4433" t="s">
        <v>524</v>
      </c>
      <c r="G4433">
        <v>5.34</v>
      </c>
      <c r="H4433">
        <v>13922.13</v>
      </c>
      <c r="J4433" t="s">
        <v>2585</v>
      </c>
    </row>
    <row r="4434" spans="1:10" ht="15" customHeight="1" x14ac:dyDescent="0.2">
      <c r="A4434" s="420">
        <v>45853</v>
      </c>
      <c r="B4434" t="s">
        <v>2532</v>
      </c>
      <c r="C4434" t="s">
        <v>6402</v>
      </c>
      <c r="D4434" t="s">
        <v>4922</v>
      </c>
      <c r="E4434" t="s">
        <v>1902</v>
      </c>
      <c r="F4434">
        <v>9.08</v>
      </c>
      <c r="H4434">
        <v>13931.21</v>
      </c>
      <c r="J4434" t="s">
        <v>2585</v>
      </c>
    </row>
    <row r="4435" spans="1:10" ht="15" customHeight="1" x14ac:dyDescent="0.2">
      <c r="A4435" s="420">
        <v>45853</v>
      </c>
      <c r="B4435" t="s">
        <v>2532</v>
      </c>
      <c r="C4435" t="s">
        <v>6402</v>
      </c>
      <c r="D4435" t="s">
        <v>4922</v>
      </c>
      <c r="E4435" t="s">
        <v>1902</v>
      </c>
      <c r="F4435">
        <v>3.61</v>
      </c>
      <c r="H4435">
        <v>13934.82</v>
      </c>
      <c r="J4435" t="s">
        <v>2585</v>
      </c>
    </row>
    <row r="4436" spans="1:10" ht="15" customHeight="1" x14ac:dyDescent="0.2">
      <c r="A4436" s="420">
        <v>45853</v>
      </c>
      <c r="B4436" t="s">
        <v>2532</v>
      </c>
      <c r="C4436" t="s">
        <v>6402</v>
      </c>
      <c r="D4436" t="s">
        <v>4923</v>
      </c>
      <c r="E4436" t="s">
        <v>1903</v>
      </c>
      <c r="F4436">
        <v>0.93</v>
      </c>
      <c r="H4436">
        <v>13935.75</v>
      </c>
      <c r="J4436" t="s">
        <v>2585</v>
      </c>
    </row>
    <row r="4437" spans="1:10" ht="15" customHeight="1" x14ac:dyDescent="0.2">
      <c r="A4437" s="420">
        <v>45853</v>
      </c>
      <c r="B4437" t="s">
        <v>2532</v>
      </c>
      <c r="C4437" t="s">
        <v>6402</v>
      </c>
      <c r="D4437" t="s">
        <v>4923</v>
      </c>
      <c r="E4437" t="s">
        <v>1903</v>
      </c>
      <c r="F4437">
        <v>0.17</v>
      </c>
      <c r="H4437">
        <v>13935.92</v>
      </c>
      <c r="J4437" t="s">
        <v>2585</v>
      </c>
    </row>
    <row r="4438" spans="1:10" ht="15" customHeight="1" x14ac:dyDescent="0.2">
      <c r="A4438" s="420">
        <v>45853</v>
      </c>
      <c r="B4438" t="s">
        <v>2532</v>
      </c>
      <c r="C4438" t="s">
        <v>6402</v>
      </c>
      <c r="D4438" t="s">
        <v>4746</v>
      </c>
      <c r="E4438" t="s">
        <v>1672</v>
      </c>
      <c r="F4438">
        <v>15.8</v>
      </c>
      <c r="H4438">
        <v>13951.72</v>
      </c>
      <c r="J4438" t="s">
        <v>2585</v>
      </c>
    </row>
    <row r="4439" spans="1:10" ht="15" customHeight="1" x14ac:dyDescent="0.2">
      <c r="A4439" s="420">
        <v>45854</v>
      </c>
      <c r="B4439" t="s">
        <v>2532</v>
      </c>
      <c r="C4439" t="s">
        <v>6402</v>
      </c>
      <c r="D4439" t="s">
        <v>5131</v>
      </c>
      <c r="E4439" t="s">
        <v>1537</v>
      </c>
      <c r="F4439">
        <v>30</v>
      </c>
      <c r="H4439">
        <v>13981.72</v>
      </c>
      <c r="J4439" t="s">
        <v>2585</v>
      </c>
    </row>
    <row r="4440" spans="1:10" ht="15" customHeight="1" x14ac:dyDescent="0.2">
      <c r="A4440" s="420">
        <v>45854</v>
      </c>
      <c r="B4440" t="s">
        <v>2532</v>
      </c>
      <c r="C4440" t="s">
        <v>6402</v>
      </c>
      <c r="D4440" t="s">
        <v>5132</v>
      </c>
      <c r="E4440" t="s">
        <v>1538</v>
      </c>
      <c r="F4440">
        <v>30</v>
      </c>
      <c r="H4440">
        <v>14011.72</v>
      </c>
      <c r="J4440" t="s">
        <v>2585</v>
      </c>
    </row>
    <row r="4441" spans="1:10" ht="15" customHeight="1" x14ac:dyDescent="0.2">
      <c r="A4441" s="420">
        <v>45858</v>
      </c>
      <c r="B4441" t="s">
        <v>2532</v>
      </c>
      <c r="C4441" t="s">
        <v>6402</v>
      </c>
      <c r="D4441" t="s">
        <v>5296</v>
      </c>
      <c r="E4441" t="s">
        <v>526</v>
      </c>
      <c r="F4441">
        <v>6.56</v>
      </c>
      <c r="H4441">
        <v>14018.28</v>
      </c>
      <c r="J4441" t="s">
        <v>2585</v>
      </c>
    </row>
    <row r="4442" spans="1:10" ht="15" customHeight="1" x14ac:dyDescent="0.2">
      <c r="A4442" s="420">
        <v>45858</v>
      </c>
      <c r="B4442" t="s">
        <v>2532</v>
      </c>
      <c r="C4442" t="s">
        <v>6402</v>
      </c>
      <c r="D4442" t="s">
        <v>3961</v>
      </c>
      <c r="E4442" t="s">
        <v>527</v>
      </c>
      <c r="F4442">
        <v>42.39</v>
      </c>
      <c r="H4442">
        <v>14060.67</v>
      </c>
      <c r="J4442" t="s">
        <v>2585</v>
      </c>
    </row>
    <row r="4443" spans="1:10" ht="15" customHeight="1" x14ac:dyDescent="0.2">
      <c r="A4443" s="420">
        <v>45859</v>
      </c>
      <c r="B4443" t="s">
        <v>2532</v>
      </c>
      <c r="C4443" t="s">
        <v>6402</v>
      </c>
      <c r="D4443" t="s">
        <v>3859</v>
      </c>
      <c r="E4443" t="s">
        <v>1540</v>
      </c>
      <c r="F4443">
        <v>124.94</v>
      </c>
      <c r="H4443">
        <v>14185.61</v>
      </c>
      <c r="J4443" t="s">
        <v>2585</v>
      </c>
    </row>
    <row r="4444" spans="1:10" ht="15" customHeight="1" x14ac:dyDescent="0.2">
      <c r="A4444" s="420">
        <v>45861</v>
      </c>
      <c r="B4444" t="s">
        <v>2532</v>
      </c>
      <c r="C4444" t="s">
        <v>6402</v>
      </c>
      <c r="D4444" t="s">
        <v>3708</v>
      </c>
      <c r="E4444" t="s">
        <v>1905</v>
      </c>
      <c r="F4444">
        <v>129.82</v>
      </c>
      <c r="H4444">
        <v>14315.43</v>
      </c>
      <c r="J4444" t="s">
        <v>2585</v>
      </c>
    </row>
    <row r="4445" spans="1:10" ht="15" customHeight="1" x14ac:dyDescent="0.2">
      <c r="A4445" s="420">
        <v>45861</v>
      </c>
      <c r="B4445" t="s">
        <v>2532</v>
      </c>
      <c r="C4445" t="s">
        <v>6402</v>
      </c>
      <c r="D4445" t="s">
        <v>3708</v>
      </c>
      <c r="E4445" t="s">
        <v>1905</v>
      </c>
      <c r="F4445">
        <v>60</v>
      </c>
      <c r="H4445">
        <v>14375.43</v>
      </c>
      <c r="J4445" t="s">
        <v>2585</v>
      </c>
    </row>
    <row r="4446" spans="1:10" ht="15" customHeight="1" x14ac:dyDescent="0.2">
      <c r="A4446" s="420">
        <v>45862</v>
      </c>
      <c r="B4446" t="s">
        <v>2532</v>
      </c>
      <c r="C4446" t="s">
        <v>6402</v>
      </c>
      <c r="D4446" t="s">
        <v>2912</v>
      </c>
      <c r="E4446" t="s">
        <v>1543</v>
      </c>
      <c r="F4446">
        <v>69.8</v>
      </c>
      <c r="H4446">
        <v>14445.23</v>
      </c>
      <c r="J4446" t="s">
        <v>2585</v>
      </c>
    </row>
    <row r="4447" spans="1:10" ht="15" customHeight="1" x14ac:dyDescent="0.2">
      <c r="A4447" s="420">
        <v>45866</v>
      </c>
      <c r="B4447" t="s">
        <v>2532</v>
      </c>
      <c r="C4447" t="s">
        <v>6402</v>
      </c>
      <c r="D4447" t="s">
        <v>4930</v>
      </c>
      <c r="E4447" t="s">
        <v>1907</v>
      </c>
      <c r="F4447">
        <v>2.83</v>
      </c>
      <c r="H4447">
        <v>14448.06</v>
      </c>
      <c r="J4447" t="s">
        <v>2585</v>
      </c>
    </row>
    <row r="4448" spans="1:10" ht="15" customHeight="1" x14ac:dyDescent="0.2">
      <c r="A4448" s="420">
        <v>45866</v>
      </c>
      <c r="B4448" t="s">
        <v>2532</v>
      </c>
      <c r="C4448" t="s">
        <v>6402</v>
      </c>
      <c r="D4448" t="s">
        <v>4930</v>
      </c>
      <c r="E4448" t="s">
        <v>1907</v>
      </c>
      <c r="F4448">
        <v>3.17</v>
      </c>
      <c r="H4448">
        <v>14451.23</v>
      </c>
      <c r="J4448" t="s">
        <v>2585</v>
      </c>
    </row>
    <row r="4449" spans="1:10" ht="15" customHeight="1" x14ac:dyDescent="0.2">
      <c r="A4449" s="420">
        <v>45867</v>
      </c>
      <c r="B4449" t="s">
        <v>2532</v>
      </c>
      <c r="C4449" t="s">
        <v>6402</v>
      </c>
      <c r="D4449" t="s">
        <v>4687</v>
      </c>
      <c r="E4449" t="s">
        <v>1122</v>
      </c>
      <c r="F4449">
        <v>120</v>
      </c>
      <c r="H4449">
        <v>14571.23</v>
      </c>
      <c r="J4449" t="s">
        <v>2585</v>
      </c>
    </row>
    <row r="4450" spans="1:10" ht="15" customHeight="1" x14ac:dyDescent="0.2">
      <c r="A4450" s="420">
        <v>45868</v>
      </c>
      <c r="B4450" t="s">
        <v>2532</v>
      </c>
      <c r="C4450" t="s">
        <v>6402</v>
      </c>
      <c r="D4450" t="s">
        <v>5135</v>
      </c>
      <c r="E4450" t="s">
        <v>1544</v>
      </c>
      <c r="F4450">
        <v>30</v>
      </c>
      <c r="H4450">
        <v>14601.23</v>
      </c>
      <c r="J4450" t="s">
        <v>2585</v>
      </c>
    </row>
    <row r="4451" spans="1:10" ht="15" customHeight="1" x14ac:dyDescent="0.2">
      <c r="A4451" s="420">
        <v>45868</v>
      </c>
      <c r="B4451" t="s">
        <v>2532</v>
      </c>
      <c r="C4451" t="s">
        <v>6402</v>
      </c>
      <c r="D4451" t="s">
        <v>3552</v>
      </c>
      <c r="E4451" t="s">
        <v>1387</v>
      </c>
      <c r="F4451">
        <v>2.84</v>
      </c>
      <c r="H4451">
        <v>14604.07</v>
      </c>
      <c r="J4451" t="s">
        <v>2585</v>
      </c>
    </row>
    <row r="4452" spans="1:10" ht="15" customHeight="1" x14ac:dyDescent="0.2">
      <c r="A4452" s="420">
        <v>45868</v>
      </c>
      <c r="B4452" t="s">
        <v>2532</v>
      </c>
      <c r="C4452" t="s">
        <v>6402</v>
      </c>
      <c r="D4452" t="s">
        <v>4932</v>
      </c>
      <c r="E4452" t="s">
        <v>1909</v>
      </c>
      <c r="F4452">
        <v>1.2</v>
      </c>
      <c r="H4452">
        <v>14605.27</v>
      </c>
      <c r="J4452" t="s">
        <v>2585</v>
      </c>
    </row>
    <row r="4453" spans="1:10" ht="15" customHeight="1" x14ac:dyDescent="0.2">
      <c r="A4453" s="420">
        <v>45868</v>
      </c>
      <c r="B4453" t="s">
        <v>2532</v>
      </c>
      <c r="C4453" t="s">
        <v>6402</v>
      </c>
      <c r="D4453" t="s">
        <v>4932</v>
      </c>
      <c r="E4453" t="s">
        <v>1909</v>
      </c>
      <c r="F4453">
        <v>2.7</v>
      </c>
      <c r="H4453">
        <v>14607.97</v>
      </c>
      <c r="J4453" t="s">
        <v>2585</v>
      </c>
    </row>
    <row r="4454" spans="1:10" ht="15" customHeight="1" x14ac:dyDescent="0.2">
      <c r="A4454" s="420">
        <v>45869</v>
      </c>
      <c r="B4454" t="s">
        <v>2532</v>
      </c>
      <c r="C4454" t="s">
        <v>6402</v>
      </c>
      <c r="D4454" t="s">
        <v>3414</v>
      </c>
      <c r="E4454" t="s">
        <v>997</v>
      </c>
      <c r="F4454">
        <v>1180</v>
      </c>
      <c r="H4454">
        <v>15787.97</v>
      </c>
      <c r="J4454" t="s">
        <v>2585</v>
      </c>
    </row>
    <row r="4455" spans="1:10" ht="15" customHeight="1" x14ac:dyDescent="0.2">
      <c r="A4455" s="420">
        <v>45869</v>
      </c>
      <c r="B4455" t="s">
        <v>2532</v>
      </c>
      <c r="C4455" t="s">
        <v>6402</v>
      </c>
      <c r="D4455" t="s">
        <v>4533</v>
      </c>
      <c r="E4455" t="s">
        <v>4534</v>
      </c>
      <c r="F4455">
        <v>684.06</v>
      </c>
      <c r="H4455">
        <v>16472.03</v>
      </c>
      <c r="J4455" t="s">
        <v>2585</v>
      </c>
    </row>
    <row r="4456" spans="1:10" ht="15" customHeight="1" x14ac:dyDescent="0.2">
      <c r="A4456" s="420">
        <v>45869</v>
      </c>
      <c r="B4456" t="s">
        <v>2532</v>
      </c>
      <c r="C4456" t="s">
        <v>6402</v>
      </c>
      <c r="D4456" t="s">
        <v>4535</v>
      </c>
      <c r="E4456" t="s">
        <v>4536</v>
      </c>
      <c r="F4456">
        <v>1641.74</v>
      </c>
      <c r="H4456">
        <v>18113.77</v>
      </c>
      <c r="J4456" t="s">
        <v>2585</v>
      </c>
    </row>
    <row r="4457" spans="1:10" ht="15" customHeight="1" x14ac:dyDescent="0.2">
      <c r="A4457" s="420">
        <v>45869</v>
      </c>
      <c r="B4457" t="s">
        <v>2532</v>
      </c>
      <c r="C4457" t="s">
        <v>6402</v>
      </c>
      <c r="D4457" t="s">
        <v>4541</v>
      </c>
      <c r="E4457" t="s">
        <v>4542</v>
      </c>
      <c r="F4457">
        <v>590.95000000000005</v>
      </c>
      <c r="H4457">
        <v>18704.72</v>
      </c>
      <c r="J4457" t="s">
        <v>2585</v>
      </c>
    </row>
    <row r="4458" spans="1:10" ht="15" customHeight="1" x14ac:dyDescent="0.2">
      <c r="A4458" s="420">
        <v>45869</v>
      </c>
      <c r="B4458" t="s">
        <v>2532</v>
      </c>
      <c r="C4458" t="s">
        <v>6402</v>
      </c>
      <c r="D4458" t="s">
        <v>4543</v>
      </c>
      <c r="E4458" t="s">
        <v>4544</v>
      </c>
      <c r="F4458">
        <v>1418.29</v>
      </c>
      <c r="H4458">
        <v>20123.009999999998</v>
      </c>
      <c r="J4458" t="s">
        <v>2585</v>
      </c>
    </row>
    <row r="4459" spans="1:10" ht="15" customHeight="1" x14ac:dyDescent="0.2">
      <c r="A4459" s="420">
        <v>45869</v>
      </c>
      <c r="B4459" t="s">
        <v>2532</v>
      </c>
      <c r="C4459" t="s">
        <v>6402</v>
      </c>
      <c r="D4459" t="s">
        <v>2714</v>
      </c>
      <c r="E4459" t="s">
        <v>1133</v>
      </c>
      <c r="F4459">
        <v>118.4</v>
      </c>
      <c r="H4459">
        <v>20241.41</v>
      </c>
      <c r="J4459" t="s">
        <v>2585</v>
      </c>
    </row>
    <row r="4460" spans="1:10" ht="15" customHeight="1" x14ac:dyDescent="0.2">
      <c r="A4460" s="420">
        <v>45869</v>
      </c>
      <c r="B4460" t="s">
        <v>2532</v>
      </c>
      <c r="C4460" t="s">
        <v>6402</v>
      </c>
      <c r="D4460" t="s">
        <v>2987</v>
      </c>
      <c r="E4460" t="s">
        <v>1545</v>
      </c>
      <c r="F4460">
        <v>292</v>
      </c>
      <c r="H4460">
        <v>20533.41</v>
      </c>
      <c r="J4460" t="s">
        <v>2585</v>
      </c>
    </row>
    <row r="4461" spans="1:10" ht="15" customHeight="1" x14ac:dyDescent="0.2">
      <c r="A4461" s="420">
        <v>45869</v>
      </c>
      <c r="B4461" t="s">
        <v>2532</v>
      </c>
      <c r="C4461" t="s">
        <v>6402</v>
      </c>
      <c r="D4461" t="s">
        <v>5138</v>
      </c>
      <c r="E4461" t="s">
        <v>1546</v>
      </c>
      <c r="F4461">
        <v>30</v>
      </c>
      <c r="H4461">
        <v>20563.41</v>
      </c>
      <c r="J4461" t="s">
        <v>2585</v>
      </c>
    </row>
    <row r="4462" spans="1:10" ht="15" customHeight="1" x14ac:dyDescent="0.2">
      <c r="A4462" s="420">
        <v>45869</v>
      </c>
      <c r="B4462" t="s">
        <v>2532</v>
      </c>
      <c r="C4462" t="s">
        <v>6402</v>
      </c>
      <c r="D4462" t="s">
        <v>4246</v>
      </c>
      <c r="E4462" t="s">
        <v>1123</v>
      </c>
      <c r="F4462">
        <v>134.05000000000001</v>
      </c>
      <c r="H4462">
        <v>20697.46</v>
      </c>
      <c r="J4462" t="s">
        <v>2585</v>
      </c>
    </row>
    <row r="4463" spans="1:10" ht="15" customHeight="1" x14ac:dyDescent="0.2">
      <c r="A4463" s="420">
        <v>45869</v>
      </c>
      <c r="B4463" t="s">
        <v>2532</v>
      </c>
      <c r="C4463" t="s">
        <v>6402</v>
      </c>
      <c r="D4463" t="s">
        <v>4247</v>
      </c>
      <c r="E4463" t="s">
        <v>1124</v>
      </c>
      <c r="F4463">
        <v>9</v>
      </c>
      <c r="H4463">
        <v>20706.46</v>
      </c>
      <c r="J4463" t="s">
        <v>2585</v>
      </c>
    </row>
    <row r="4464" spans="1:10" ht="15" customHeight="1" x14ac:dyDescent="0.2">
      <c r="A4464" s="420">
        <v>45869</v>
      </c>
      <c r="B4464" t="s">
        <v>2532</v>
      </c>
      <c r="C4464" t="s">
        <v>6402</v>
      </c>
      <c r="D4464" t="s">
        <v>4248</v>
      </c>
      <c r="E4464" t="s">
        <v>1125</v>
      </c>
      <c r="F4464">
        <v>134.05000000000001</v>
      </c>
      <c r="H4464">
        <v>20840.509999999998</v>
      </c>
      <c r="J4464" t="s">
        <v>2585</v>
      </c>
    </row>
    <row r="4465" spans="1:10" ht="15" customHeight="1" x14ac:dyDescent="0.2">
      <c r="A4465" s="420">
        <v>45869</v>
      </c>
      <c r="B4465" t="s">
        <v>2532</v>
      </c>
      <c r="C4465" t="s">
        <v>6402</v>
      </c>
      <c r="D4465" t="s">
        <v>4249</v>
      </c>
      <c r="E4465" t="s">
        <v>1126</v>
      </c>
      <c r="F4465">
        <v>134.05000000000001</v>
      </c>
      <c r="H4465">
        <v>20974.560000000001</v>
      </c>
      <c r="J4465" t="s">
        <v>2585</v>
      </c>
    </row>
    <row r="4466" spans="1:10" ht="15" customHeight="1" x14ac:dyDescent="0.2">
      <c r="A4466" s="420">
        <v>45869</v>
      </c>
      <c r="B4466" t="s">
        <v>2532</v>
      </c>
      <c r="C4466" t="s">
        <v>6402</v>
      </c>
      <c r="D4466" t="s">
        <v>4250</v>
      </c>
      <c r="E4466" t="s">
        <v>1127</v>
      </c>
      <c r="F4466">
        <v>9</v>
      </c>
      <c r="H4466">
        <v>20983.56</v>
      </c>
      <c r="J4466" t="s">
        <v>2585</v>
      </c>
    </row>
    <row r="4467" spans="1:10" ht="15" customHeight="1" x14ac:dyDescent="0.2">
      <c r="A4467" s="420">
        <v>45869</v>
      </c>
      <c r="B4467" t="s">
        <v>2532</v>
      </c>
      <c r="C4467" t="s">
        <v>6402</v>
      </c>
      <c r="D4467" t="s">
        <v>4251</v>
      </c>
      <c r="E4467" t="s">
        <v>1128</v>
      </c>
      <c r="F4467">
        <v>9</v>
      </c>
      <c r="H4467">
        <v>20992.560000000001</v>
      </c>
      <c r="J4467" t="s">
        <v>2585</v>
      </c>
    </row>
    <row r="4468" spans="1:10" ht="15" customHeight="1" x14ac:dyDescent="0.2">
      <c r="A4468" s="420">
        <v>45869</v>
      </c>
      <c r="B4468" t="s">
        <v>2532</v>
      </c>
      <c r="C4468" t="s">
        <v>6402</v>
      </c>
      <c r="D4468" t="s">
        <v>4252</v>
      </c>
      <c r="E4468" t="s">
        <v>1129</v>
      </c>
      <c r="F4468">
        <v>21.2</v>
      </c>
      <c r="H4468">
        <v>21013.759999999998</v>
      </c>
      <c r="J4468" t="s">
        <v>2585</v>
      </c>
    </row>
    <row r="4469" spans="1:10" ht="15" customHeight="1" x14ac:dyDescent="0.2">
      <c r="A4469" s="420">
        <v>45869</v>
      </c>
      <c r="B4469" t="s">
        <v>2532</v>
      </c>
      <c r="C4469" t="s">
        <v>6402</v>
      </c>
      <c r="D4469" t="s">
        <v>4253</v>
      </c>
      <c r="E4469" t="s">
        <v>1130</v>
      </c>
      <c r="F4469">
        <v>21.2</v>
      </c>
      <c r="H4469">
        <v>21034.959999999999</v>
      </c>
      <c r="J4469" t="s">
        <v>2585</v>
      </c>
    </row>
    <row r="4470" spans="1:10" ht="15" customHeight="1" x14ac:dyDescent="0.2">
      <c r="A4470" s="420">
        <v>45869</v>
      </c>
      <c r="B4470" t="s">
        <v>2532</v>
      </c>
      <c r="C4470" t="s">
        <v>6402</v>
      </c>
      <c r="D4470" t="s">
        <v>4254</v>
      </c>
      <c r="E4470" t="s">
        <v>1131</v>
      </c>
      <c r="F4470">
        <v>134.05000000000001</v>
      </c>
      <c r="H4470">
        <v>21169.01</v>
      </c>
      <c r="J4470" t="s">
        <v>2585</v>
      </c>
    </row>
    <row r="4471" spans="1:10" ht="15" customHeight="1" x14ac:dyDescent="0.2">
      <c r="A4471" s="420">
        <v>45869</v>
      </c>
      <c r="B4471" t="s">
        <v>2532</v>
      </c>
      <c r="C4471" t="s">
        <v>6402</v>
      </c>
      <c r="D4471" t="s">
        <v>4255</v>
      </c>
      <c r="E4471" t="s">
        <v>1132</v>
      </c>
      <c r="F4471">
        <v>21.2</v>
      </c>
      <c r="H4471">
        <v>21190.21</v>
      </c>
      <c r="J4471" t="s">
        <v>2585</v>
      </c>
    </row>
    <row r="4472" spans="1:10" ht="15" customHeight="1" x14ac:dyDescent="0.2">
      <c r="A4472" s="420">
        <v>45869</v>
      </c>
      <c r="B4472" t="s">
        <v>2532</v>
      </c>
      <c r="C4472" t="s">
        <v>6402</v>
      </c>
      <c r="D4472" t="s">
        <v>4564</v>
      </c>
      <c r="E4472" t="s">
        <v>4565</v>
      </c>
      <c r="F4472">
        <v>1675.4</v>
      </c>
      <c r="H4472">
        <v>22865.61</v>
      </c>
      <c r="J4472" t="s">
        <v>2585</v>
      </c>
    </row>
    <row r="4473" spans="1:10" ht="15" customHeight="1" x14ac:dyDescent="0.2">
      <c r="A4473" s="420">
        <v>45869</v>
      </c>
      <c r="B4473" t="s">
        <v>2532</v>
      </c>
      <c r="C4473" t="s">
        <v>6402</v>
      </c>
      <c r="D4473" t="s">
        <v>4566</v>
      </c>
      <c r="E4473" t="s">
        <v>4567</v>
      </c>
      <c r="F4473">
        <v>698.08</v>
      </c>
      <c r="H4473">
        <v>23563.69</v>
      </c>
      <c r="J4473" t="s">
        <v>2585</v>
      </c>
    </row>
    <row r="4474" spans="1:10" ht="15" customHeight="1" x14ac:dyDescent="0.2">
      <c r="A4474" s="420">
        <v>45870</v>
      </c>
      <c r="B4474" t="s">
        <v>2532</v>
      </c>
      <c r="C4474" t="s">
        <v>6402</v>
      </c>
      <c r="D4474" t="s">
        <v>4059</v>
      </c>
      <c r="E4474" t="s">
        <v>1217</v>
      </c>
      <c r="F4474">
        <v>216</v>
      </c>
      <c r="H4474">
        <v>23779.69</v>
      </c>
      <c r="J4474" t="s">
        <v>2585</v>
      </c>
    </row>
    <row r="4475" spans="1:10" ht="15" customHeight="1" x14ac:dyDescent="0.2">
      <c r="A4475" s="420">
        <v>45870</v>
      </c>
      <c r="B4475" t="s">
        <v>2532</v>
      </c>
      <c r="C4475" t="s">
        <v>6402</v>
      </c>
      <c r="D4475" t="s">
        <v>5397</v>
      </c>
      <c r="E4475" t="s">
        <v>1912</v>
      </c>
      <c r="F4475">
        <v>9.7899999999999991</v>
      </c>
      <c r="H4475">
        <v>23789.48</v>
      </c>
      <c r="J4475" t="s">
        <v>2585</v>
      </c>
    </row>
    <row r="4476" spans="1:10" ht="15" customHeight="1" x14ac:dyDescent="0.2">
      <c r="A4476" s="420">
        <v>45870</v>
      </c>
      <c r="B4476" t="s">
        <v>2532</v>
      </c>
      <c r="C4476" t="s">
        <v>6402</v>
      </c>
      <c r="D4476" t="s">
        <v>5467</v>
      </c>
      <c r="E4476" t="s">
        <v>1272</v>
      </c>
      <c r="F4476">
        <v>10.96</v>
      </c>
      <c r="H4476">
        <v>23800.44</v>
      </c>
      <c r="J4476" t="s">
        <v>2585</v>
      </c>
    </row>
    <row r="4477" spans="1:10" ht="15" customHeight="1" x14ac:dyDescent="0.2">
      <c r="A4477" s="420">
        <v>45870</v>
      </c>
      <c r="B4477" t="s">
        <v>2439</v>
      </c>
      <c r="C4477" t="s">
        <v>6402</v>
      </c>
      <c r="D4477" t="s">
        <v>2649</v>
      </c>
      <c r="E4477" t="s">
        <v>719</v>
      </c>
      <c r="F4477">
        <v>212.67</v>
      </c>
      <c r="H4477">
        <v>24013.11</v>
      </c>
      <c r="J4477" t="s">
        <v>2585</v>
      </c>
    </row>
    <row r="4478" spans="1:10" ht="15" customHeight="1" x14ac:dyDescent="0.2">
      <c r="A4478" s="420">
        <v>45870</v>
      </c>
      <c r="B4478" t="s">
        <v>2532</v>
      </c>
      <c r="C4478" t="s">
        <v>6402</v>
      </c>
      <c r="D4478" t="s">
        <v>5430</v>
      </c>
      <c r="E4478" t="s">
        <v>734</v>
      </c>
      <c r="F4478">
        <v>75.47</v>
      </c>
      <c r="H4478">
        <v>24088.58</v>
      </c>
      <c r="J4478" t="s">
        <v>2585</v>
      </c>
    </row>
    <row r="4479" spans="1:10" ht="15" customHeight="1" x14ac:dyDescent="0.2">
      <c r="A4479" s="420">
        <v>45870</v>
      </c>
      <c r="B4479" t="s">
        <v>2532</v>
      </c>
      <c r="C4479" t="s">
        <v>6402</v>
      </c>
      <c r="D4479" t="s">
        <v>3733</v>
      </c>
      <c r="E4479" t="s">
        <v>1388</v>
      </c>
      <c r="F4479">
        <v>8</v>
      </c>
      <c r="H4479">
        <v>24096.58</v>
      </c>
      <c r="J4479" t="s">
        <v>2585</v>
      </c>
    </row>
    <row r="4480" spans="1:10" ht="15" customHeight="1" x14ac:dyDescent="0.2">
      <c r="A4480" s="420">
        <v>45871</v>
      </c>
      <c r="B4480" t="s">
        <v>2532</v>
      </c>
      <c r="C4480" t="s">
        <v>6402</v>
      </c>
      <c r="D4480" t="s">
        <v>3151</v>
      </c>
      <c r="E4480" t="s">
        <v>532</v>
      </c>
      <c r="F4480">
        <v>10.86</v>
      </c>
      <c r="H4480">
        <v>24107.439999999999</v>
      </c>
      <c r="J4480" t="s">
        <v>2585</v>
      </c>
    </row>
    <row r="4481" spans="1:10" ht="15" customHeight="1" x14ac:dyDescent="0.2">
      <c r="A4481" s="420">
        <v>45873</v>
      </c>
      <c r="B4481" t="s">
        <v>2532</v>
      </c>
      <c r="C4481" t="s">
        <v>6402</v>
      </c>
      <c r="D4481" t="s">
        <v>5353</v>
      </c>
      <c r="E4481" t="s">
        <v>1547</v>
      </c>
      <c r="F4481">
        <v>4</v>
      </c>
      <c r="H4481">
        <v>24111.439999999999</v>
      </c>
      <c r="J4481" t="s">
        <v>2585</v>
      </c>
    </row>
    <row r="4482" spans="1:10" ht="15" customHeight="1" x14ac:dyDescent="0.2">
      <c r="A4482" s="420">
        <v>45874</v>
      </c>
      <c r="B4482" t="s">
        <v>2532</v>
      </c>
      <c r="C4482" t="s">
        <v>6402</v>
      </c>
      <c r="D4482" t="s">
        <v>2915</v>
      </c>
      <c r="E4482" t="s">
        <v>1548</v>
      </c>
      <c r="F4482">
        <v>674.73</v>
      </c>
      <c r="H4482">
        <v>24786.17</v>
      </c>
      <c r="J4482" t="s">
        <v>2585</v>
      </c>
    </row>
    <row r="4483" spans="1:10" ht="15" customHeight="1" x14ac:dyDescent="0.2">
      <c r="A4483" s="420">
        <v>45875</v>
      </c>
      <c r="B4483" t="s">
        <v>2532</v>
      </c>
      <c r="C4483" t="s">
        <v>6402</v>
      </c>
      <c r="D4483" t="s">
        <v>4934</v>
      </c>
      <c r="E4483" t="s">
        <v>1913</v>
      </c>
      <c r="F4483">
        <v>2.83</v>
      </c>
      <c r="H4483">
        <v>24789</v>
      </c>
      <c r="J4483" t="s">
        <v>2585</v>
      </c>
    </row>
    <row r="4484" spans="1:10" ht="15" customHeight="1" x14ac:dyDescent="0.2">
      <c r="A4484" s="420">
        <v>45875</v>
      </c>
      <c r="B4484" t="s">
        <v>2532</v>
      </c>
      <c r="C4484" t="s">
        <v>6402</v>
      </c>
      <c r="D4484" t="s">
        <v>4934</v>
      </c>
      <c r="E4484" t="s">
        <v>1913</v>
      </c>
      <c r="F4484">
        <v>5.08</v>
      </c>
      <c r="H4484">
        <v>24794.080000000002</v>
      </c>
      <c r="J4484" t="s">
        <v>2585</v>
      </c>
    </row>
    <row r="4485" spans="1:10" ht="15" customHeight="1" x14ac:dyDescent="0.2">
      <c r="A4485" s="420">
        <v>45876</v>
      </c>
      <c r="B4485" t="s">
        <v>2532</v>
      </c>
      <c r="C4485" t="s">
        <v>6402</v>
      </c>
      <c r="D4485" t="s">
        <v>3427</v>
      </c>
      <c r="E4485" t="s">
        <v>1549</v>
      </c>
      <c r="F4485">
        <v>199.83</v>
      </c>
      <c r="H4485">
        <v>24993.91</v>
      </c>
      <c r="J4485" t="s">
        <v>2585</v>
      </c>
    </row>
    <row r="4486" spans="1:10" ht="15" customHeight="1" x14ac:dyDescent="0.2">
      <c r="A4486" s="420">
        <v>45877</v>
      </c>
      <c r="B4486" t="s">
        <v>2532</v>
      </c>
      <c r="C4486" t="s">
        <v>6402</v>
      </c>
      <c r="D4486" t="s">
        <v>5055</v>
      </c>
      <c r="E4486" t="s">
        <v>1674</v>
      </c>
      <c r="F4486">
        <v>32.99</v>
      </c>
      <c r="H4486">
        <v>25026.9</v>
      </c>
      <c r="J4486" t="s">
        <v>2585</v>
      </c>
    </row>
    <row r="4487" spans="1:10" ht="15" customHeight="1" x14ac:dyDescent="0.2">
      <c r="A4487" s="420">
        <v>45877</v>
      </c>
      <c r="B4487" t="s">
        <v>2532</v>
      </c>
      <c r="C4487" t="s">
        <v>6402</v>
      </c>
      <c r="D4487" t="s">
        <v>5164</v>
      </c>
      <c r="E4487" t="s">
        <v>860</v>
      </c>
      <c r="F4487">
        <v>18.38</v>
      </c>
      <c r="H4487">
        <v>25045.279999999999</v>
      </c>
      <c r="J4487" t="s">
        <v>2585</v>
      </c>
    </row>
    <row r="4488" spans="1:10" ht="15" customHeight="1" x14ac:dyDescent="0.2">
      <c r="A4488" s="420">
        <v>45881</v>
      </c>
      <c r="B4488" t="s">
        <v>2532</v>
      </c>
      <c r="C4488" t="s">
        <v>6402</v>
      </c>
      <c r="D4488" t="s">
        <v>4749</v>
      </c>
      <c r="E4488" t="s">
        <v>1677</v>
      </c>
      <c r="F4488">
        <v>16.170000000000002</v>
      </c>
      <c r="H4488">
        <v>25061.45</v>
      </c>
      <c r="J4488" t="s">
        <v>2585</v>
      </c>
    </row>
    <row r="4489" spans="1:10" ht="15" customHeight="1" x14ac:dyDescent="0.2">
      <c r="A4489" s="420">
        <v>45882</v>
      </c>
      <c r="B4489" t="s">
        <v>2532</v>
      </c>
      <c r="C4489" t="s">
        <v>6402</v>
      </c>
      <c r="D4489" t="s">
        <v>4666</v>
      </c>
      <c r="E4489" t="s">
        <v>1914</v>
      </c>
      <c r="F4489">
        <v>5.54</v>
      </c>
      <c r="H4489">
        <v>25066.99</v>
      </c>
      <c r="J4489" t="s">
        <v>2585</v>
      </c>
    </row>
    <row r="4490" spans="1:10" ht="15" customHeight="1" x14ac:dyDescent="0.2">
      <c r="A4490" s="420">
        <v>45882</v>
      </c>
      <c r="B4490" t="s">
        <v>2532</v>
      </c>
      <c r="C4490" t="s">
        <v>6402</v>
      </c>
      <c r="D4490" t="s">
        <v>5185</v>
      </c>
      <c r="E4490" t="s">
        <v>5186</v>
      </c>
      <c r="F4490">
        <v>0.83</v>
      </c>
      <c r="H4490">
        <v>25067.82</v>
      </c>
      <c r="J4490" t="s">
        <v>2585</v>
      </c>
    </row>
    <row r="4491" spans="1:10" ht="15" customHeight="1" x14ac:dyDescent="0.2">
      <c r="A4491" s="420">
        <v>45887</v>
      </c>
      <c r="B4491" t="s">
        <v>2532</v>
      </c>
      <c r="C4491" t="s">
        <v>6402</v>
      </c>
      <c r="D4491" t="s">
        <v>3928</v>
      </c>
      <c r="E4491" t="s">
        <v>3929</v>
      </c>
      <c r="F4491">
        <v>2.92</v>
      </c>
      <c r="H4491">
        <v>25070.74</v>
      </c>
      <c r="J4491" t="s">
        <v>2585</v>
      </c>
    </row>
    <row r="4492" spans="1:10" ht="15" customHeight="1" x14ac:dyDescent="0.2">
      <c r="A4492" s="420">
        <v>45888</v>
      </c>
      <c r="B4492" t="s">
        <v>2532</v>
      </c>
      <c r="C4492" t="s">
        <v>6402</v>
      </c>
      <c r="D4492" t="s">
        <v>3834</v>
      </c>
      <c r="E4492" t="s">
        <v>1550</v>
      </c>
      <c r="F4492">
        <v>4.55</v>
      </c>
      <c r="H4492">
        <v>25075.29</v>
      </c>
      <c r="J4492" t="s">
        <v>2585</v>
      </c>
    </row>
    <row r="4493" spans="1:10" ht="15" customHeight="1" x14ac:dyDescent="0.2">
      <c r="A4493" s="420">
        <v>45889</v>
      </c>
      <c r="B4493" t="s">
        <v>2532</v>
      </c>
      <c r="C4493" t="s">
        <v>6402</v>
      </c>
      <c r="D4493" t="s">
        <v>5297</v>
      </c>
      <c r="E4493" t="s">
        <v>534</v>
      </c>
      <c r="F4493">
        <v>9.81</v>
      </c>
      <c r="H4493">
        <v>25085.1</v>
      </c>
      <c r="J4493" t="s">
        <v>2585</v>
      </c>
    </row>
    <row r="4494" spans="1:10" ht="15" customHeight="1" x14ac:dyDescent="0.2">
      <c r="A4494" s="420">
        <v>45889</v>
      </c>
      <c r="B4494" t="s">
        <v>2547</v>
      </c>
      <c r="C4494" t="s">
        <v>6402</v>
      </c>
      <c r="D4494" t="s">
        <v>3862</v>
      </c>
      <c r="E4494" t="s">
        <v>1551</v>
      </c>
      <c r="F4494">
        <v>124.94</v>
      </c>
      <c r="H4494">
        <v>25210.04</v>
      </c>
      <c r="J4494" t="s">
        <v>2585</v>
      </c>
    </row>
    <row r="4495" spans="1:10" ht="15" customHeight="1" x14ac:dyDescent="0.2">
      <c r="A4495" s="420">
        <v>45889</v>
      </c>
      <c r="B4495" t="s">
        <v>2532</v>
      </c>
      <c r="C4495" t="s">
        <v>6402</v>
      </c>
      <c r="D4495" t="s">
        <v>4692</v>
      </c>
      <c r="E4495" t="s">
        <v>535</v>
      </c>
      <c r="F4495">
        <v>85</v>
      </c>
      <c r="H4495">
        <v>25295.040000000001</v>
      </c>
      <c r="J4495" t="s">
        <v>2585</v>
      </c>
    </row>
    <row r="4496" spans="1:10" ht="15" customHeight="1" x14ac:dyDescent="0.2">
      <c r="A4496" s="420">
        <v>45890</v>
      </c>
      <c r="B4496" t="s">
        <v>2532</v>
      </c>
      <c r="C4496" t="s">
        <v>6402</v>
      </c>
      <c r="D4496" t="s">
        <v>5058</v>
      </c>
      <c r="E4496" t="s">
        <v>1681</v>
      </c>
      <c r="F4496">
        <v>20</v>
      </c>
      <c r="H4496">
        <v>25315.040000000001</v>
      </c>
      <c r="J4496" t="s">
        <v>2585</v>
      </c>
    </row>
    <row r="4497" spans="1:10" ht="15" customHeight="1" x14ac:dyDescent="0.2">
      <c r="A4497" s="420">
        <v>45891</v>
      </c>
      <c r="B4497" t="s">
        <v>2532</v>
      </c>
      <c r="C4497" t="s">
        <v>6402</v>
      </c>
      <c r="D4497" t="s">
        <v>5244</v>
      </c>
      <c r="E4497" t="s">
        <v>1920</v>
      </c>
      <c r="F4497">
        <v>5.05</v>
      </c>
      <c r="H4497">
        <v>25320.09</v>
      </c>
      <c r="J4497" t="s">
        <v>2585</v>
      </c>
    </row>
    <row r="4498" spans="1:10" ht="15" customHeight="1" x14ac:dyDescent="0.2">
      <c r="A4498" s="420">
        <v>45891</v>
      </c>
      <c r="B4498" t="s">
        <v>2532</v>
      </c>
      <c r="C4498" t="s">
        <v>6402</v>
      </c>
      <c r="D4498" t="s">
        <v>4935</v>
      </c>
      <c r="E4498" t="s">
        <v>1921</v>
      </c>
      <c r="F4498">
        <v>1.42</v>
      </c>
      <c r="H4498">
        <v>25321.51</v>
      </c>
      <c r="J4498" t="s">
        <v>2585</v>
      </c>
    </row>
    <row r="4499" spans="1:10" ht="15" customHeight="1" x14ac:dyDescent="0.2">
      <c r="A4499" s="420">
        <v>45891</v>
      </c>
      <c r="B4499" t="s">
        <v>2532</v>
      </c>
      <c r="C4499" t="s">
        <v>6402</v>
      </c>
      <c r="D4499" t="s">
        <v>4935</v>
      </c>
      <c r="E4499" t="s">
        <v>1921</v>
      </c>
      <c r="F4499">
        <v>7.02</v>
      </c>
      <c r="H4499">
        <v>25328.53</v>
      </c>
      <c r="J4499" t="s">
        <v>2585</v>
      </c>
    </row>
    <row r="4500" spans="1:10" ht="15" customHeight="1" x14ac:dyDescent="0.2">
      <c r="A4500" s="420">
        <v>45894</v>
      </c>
      <c r="B4500" t="s">
        <v>2532</v>
      </c>
      <c r="C4500" t="s">
        <v>6402</v>
      </c>
      <c r="D4500" t="s">
        <v>2918</v>
      </c>
      <c r="E4500" t="s">
        <v>1553</v>
      </c>
      <c r="F4500">
        <v>69.8</v>
      </c>
      <c r="H4500">
        <v>25398.33</v>
      </c>
      <c r="J4500" t="s">
        <v>2585</v>
      </c>
    </row>
    <row r="4501" spans="1:10" ht="15" customHeight="1" x14ac:dyDescent="0.2">
      <c r="A4501" s="420">
        <v>45900</v>
      </c>
      <c r="B4501" t="s">
        <v>2532</v>
      </c>
      <c r="C4501" t="s">
        <v>6402</v>
      </c>
      <c r="D4501" t="s">
        <v>3416</v>
      </c>
      <c r="E4501" t="s">
        <v>1008</v>
      </c>
      <c r="F4501">
        <v>1180</v>
      </c>
      <c r="H4501">
        <v>26578.33</v>
      </c>
      <c r="J4501" t="s">
        <v>2585</v>
      </c>
    </row>
    <row r="4502" spans="1:10" ht="15" customHeight="1" x14ac:dyDescent="0.2">
      <c r="A4502" s="420">
        <v>45900</v>
      </c>
      <c r="B4502" t="s">
        <v>2517</v>
      </c>
      <c r="C4502" t="s">
        <v>6402</v>
      </c>
      <c r="D4502" t="s">
        <v>6321</v>
      </c>
      <c r="E4502" t="s">
        <v>6981</v>
      </c>
      <c r="G4502">
        <v>16591.5</v>
      </c>
      <c r="H4502">
        <v>9986.83</v>
      </c>
      <c r="J4502" t="s">
        <v>2585</v>
      </c>
    </row>
    <row r="4503" spans="1:10" ht="15" customHeight="1" x14ac:dyDescent="0.2">
      <c r="A4503" s="420">
        <v>45900</v>
      </c>
      <c r="B4503" t="s">
        <v>2517</v>
      </c>
      <c r="C4503" t="s">
        <v>6402</v>
      </c>
      <c r="D4503" t="s">
        <v>6321</v>
      </c>
      <c r="E4503" t="s">
        <v>6982</v>
      </c>
      <c r="F4503">
        <v>1398.04</v>
      </c>
      <c r="H4503">
        <v>11384.87</v>
      </c>
      <c r="J4503" t="s">
        <v>2585</v>
      </c>
    </row>
    <row r="4504" spans="1:10" ht="15" customHeight="1" x14ac:dyDescent="0.2">
      <c r="A4504" s="420">
        <v>45900</v>
      </c>
      <c r="B4504" t="s">
        <v>2532</v>
      </c>
      <c r="C4504" t="s">
        <v>6402</v>
      </c>
      <c r="D4504" t="s">
        <v>2852</v>
      </c>
      <c r="E4504" t="s">
        <v>1682</v>
      </c>
      <c r="F4504">
        <v>4.5</v>
      </c>
      <c r="H4504">
        <v>11389.37</v>
      </c>
      <c r="J4504" t="s">
        <v>2585</v>
      </c>
    </row>
    <row r="4505" spans="1:10" ht="15" customHeight="1" x14ac:dyDescent="0.2">
      <c r="A4505" s="420">
        <v>45900</v>
      </c>
      <c r="B4505" t="s">
        <v>2532</v>
      </c>
      <c r="C4505" t="s">
        <v>6402</v>
      </c>
      <c r="D4505" t="s">
        <v>2625</v>
      </c>
      <c r="E4505" t="s">
        <v>1556</v>
      </c>
      <c r="F4505">
        <v>48</v>
      </c>
      <c r="H4505">
        <v>11437.37</v>
      </c>
      <c r="J4505" t="s">
        <v>2585</v>
      </c>
    </row>
    <row r="4506" spans="1:10" ht="15" customHeight="1" x14ac:dyDescent="0.2">
      <c r="A4506" s="420">
        <v>45900</v>
      </c>
      <c r="B4506" t="s">
        <v>2532</v>
      </c>
      <c r="C4506" t="s">
        <v>6402</v>
      </c>
      <c r="D4506" t="s">
        <v>2990</v>
      </c>
      <c r="E4506" t="s">
        <v>1557</v>
      </c>
      <c r="F4506">
        <v>370</v>
      </c>
      <c r="H4506">
        <v>11807.37</v>
      </c>
      <c r="J4506" t="s">
        <v>2585</v>
      </c>
    </row>
    <row r="4507" spans="1:10" ht="15" customHeight="1" x14ac:dyDescent="0.2">
      <c r="A4507" s="420">
        <v>45900</v>
      </c>
      <c r="B4507" t="s">
        <v>2532</v>
      </c>
      <c r="C4507" t="s">
        <v>6402</v>
      </c>
      <c r="D4507" t="s">
        <v>2718</v>
      </c>
      <c r="E4507" t="s">
        <v>1134</v>
      </c>
      <c r="F4507">
        <v>118.4</v>
      </c>
      <c r="H4507">
        <v>11925.77</v>
      </c>
      <c r="J4507" t="s">
        <v>2585</v>
      </c>
    </row>
    <row r="4508" spans="1:10" ht="15" customHeight="1" x14ac:dyDescent="0.2">
      <c r="A4508" s="420">
        <v>45901</v>
      </c>
      <c r="B4508" t="s">
        <v>2532</v>
      </c>
      <c r="C4508" t="s">
        <v>6402</v>
      </c>
      <c r="D4508" t="s">
        <v>2991</v>
      </c>
      <c r="E4508" t="s">
        <v>1558</v>
      </c>
      <c r="F4508">
        <v>461.04</v>
      </c>
      <c r="H4508">
        <v>12386.81</v>
      </c>
      <c r="J4508" t="s">
        <v>2585</v>
      </c>
    </row>
    <row r="4509" spans="1:10" ht="15" customHeight="1" x14ac:dyDescent="0.2">
      <c r="A4509" s="420">
        <v>45901</v>
      </c>
      <c r="B4509" t="s">
        <v>2532</v>
      </c>
      <c r="C4509" t="s">
        <v>6402</v>
      </c>
      <c r="D4509" t="s">
        <v>5470</v>
      </c>
      <c r="E4509" t="s">
        <v>1275</v>
      </c>
      <c r="F4509">
        <v>10.96</v>
      </c>
      <c r="H4509">
        <v>12397.77</v>
      </c>
      <c r="J4509" t="s">
        <v>2585</v>
      </c>
    </row>
    <row r="4510" spans="1:10" ht="15" customHeight="1" x14ac:dyDescent="0.2">
      <c r="A4510" s="420">
        <v>45901</v>
      </c>
      <c r="B4510" t="s">
        <v>2532</v>
      </c>
      <c r="C4510" t="s">
        <v>6402</v>
      </c>
      <c r="D4510" t="s">
        <v>4260</v>
      </c>
      <c r="E4510" t="s">
        <v>1925</v>
      </c>
      <c r="F4510">
        <v>88.88</v>
      </c>
      <c r="H4510">
        <v>12486.65</v>
      </c>
      <c r="J4510" t="s">
        <v>2585</v>
      </c>
    </row>
    <row r="4511" spans="1:10" ht="15" customHeight="1" x14ac:dyDescent="0.2">
      <c r="A4511" s="420">
        <v>45901</v>
      </c>
      <c r="B4511" t="s">
        <v>2532</v>
      </c>
      <c r="C4511" t="s">
        <v>6402</v>
      </c>
      <c r="D4511" t="s">
        <v>4061</v>
      </c>
      <c r="E4511" t="s">
        <v>1218</v>
      </c>
      <c r="F4511">
        <v>216</v>
      </c>
      <c r="H4511">
        <v>12702.65</v>
      </c>
      <c r="J4511" t="s">
        <v>2585</v>
      </c>
    </row>
    <row r="4512" spans="1:10" ht="15" customHeight="1" x14ac:dyDescent="0.2">
      <c r="A4512" s="420">
        <v>45901</v>
      </c>
      <c r="B4512" t="s">
        <v>2532</v>
      </c>
      <c r="C4512" t="s">
        <v>6402</v>
      </c>
      <c r="D4512" t="s">
        <v>5433</v>
      </c>
      <c r="E4512" t="s">
        <v>5434</v>
      </c>
      <c r="F4512">
        <v>75.47</v>
      </c>
      <c r="H4512">
        <v>12778.12</v>
      </c>
      <c r="J4512" t="s">
        <v>2585</v>
      </c>
    </row>
    <row r="4513" spans="1:10" ht="15" customHeight="1" x14ac:dyDescent="0.2">
      <c r="A4513" s="420">
        <v>45901</v>
      </c>
      <c r="B4513" t="s">
        <v>2439</v>
      </c>
      <c r="C4513" t="s">
        <v>6402</v>
      </c>
      <c r="D4513" t="s">
        <v>2652</v>
      </c>
      <c r="E4513" t="s">
        <v>719</v>
      </c>
      <c r="F4513">
        <v>212.67</v>
      </c>
      <c r="H4513">
        <v>12990.79</v>
      </c>
      <c r="J4513" t="s">
        <v>2585</v>
      </c>
    </row>
    <row r="4514" spans="1:10" ht="15" customHeight="1" x14ac:dyDescent="0.2">
      <c r="A4514" s="420">
        <v>45901</v>
      </c>
      <c r="B4514" t="s">
        <v>2532</v>
      </c>
      <c r="C4514" t="s">
        <v>6402</v>
      </c>
      <c r="D4514" t="s">
        <v>4549</v>
      </c>
      <c r="E4514" t="s">
        <v>4550</v>
      </c>
      <c r="F4514">
        <v>1666.28</v>
      </c>
      <c r="H4514">
        <v>14657.07</v>
      </c>
      <c r="J4514" t="s">
        <v>2585</v>
      </c>
    </row>
    <row r="4515" spans="1:10" ht="15" customHeight="1" x14ac:dyDescent="0.2">
      <c r="A4515" s="420">
        <v>45901</v>
      </c>
      <c r="B4515" t="s">
        <v>2532</v>
      </c>
      <c r="C4515" t="s">
        <v>6402</v>
      </c>
      <c r="D4515" t="s">
        <v>4551</v>
      </c>
      <c r="E4515" t="s">
        <v>4552</v>
      </c>
      <c r="F4515">
        <v>694.28</v>
      </c>
      <c r="H4515">
        <v>15351.35</v>
      </c>
      <c r="J4515" t="s">
        <v>2585</v>
      </c>
    </row>
    <row r="4516" spans="1:10" ht="15" customHeight="1" x14ac:dyDescent="0.2">
      <c r="A4516" s="420">
        <v>45902</v>
      </c>
      <c r="B4516" t="s">
        <v>2532</v>
      </c>
      <c r="C4516" t="s">
        <v>6402</v>
      </c>
      <c r="D4516" t="s">
        <v>3153</v>
      </c>
      <c r="E4516" t="s">
        <v>541</v>
      </c>
      <c r="F4516">
        <v>13.43</v>
      </c>
      <c r="H4516">
        <v>15364.78</v>
      </c>
      <c r="J4516" t="s">
        <v>2585</v>
      </c>
    </row>
    <row r="4517" spans="1:10" ht="15" customHeight="1" x14ac:dyDescent="0.2">
      <c r="A4517" s="420">
        <v>45902</v>
      </c>
      <c r="B4517" t="s">
        <v>2532</v>
      </c>
      <c r="C4517" t="s">
        <v>6402</v>
      </c>
      <c r="D4517" t="s">
        <v>5141</v>
      </c>
      <c r="E4517" t="s">
        <v>1560</v>
      </c>
      <c r="F4517">
        <v>30</v>
      </c>
      <c r="H4517">
        <v>15394.78</v>
      </c>
      <c r="J4517" t="s">
        <v>2585</v>
      </c>
    </row>
    <row r="4518" spans="1:10" ht="15" customHeight="1" x14ac:dyDescent="0.2">
      <c r="A4518" s="420">
        <v>45902</v>
      </c>
      <c r="B4518" t="s">
        <v>2532</v>
      </c>
      <c r="C4518" t="s">
        <v>6402</v>
      </c>
      <c r="D4518" t="s">
        <v>5356</v>
      </c>
      <c r="E4518" t="s">
        <v>1559</v>
      </c>
      <c r="F4518">
        <v>4</v>
      </c>
      <c r="H4518">
        <v>15398.78</v>
      </c>
      <c r="J4518" t="s">
        <v>2585</v>
      </c>
    </row>
    <row r="4519" spans="1:10" ht="15" customHeight="1" x14ac:dyDescent="0.2">
      <c r="A4519" s="420">
        <v>45903</v>
      </c>
      <c r="B4519" t="s">
        <v>2532</v>
      </c>
      <c r="C4519" t="s">
        <v>6402</v>
      </c>
      <c r="D4519" t="s">
        <v>5142</v>
      </c>
      <c r="E4519" t="s">
        <v>1562</v>
      </c>
      <c r="F4519">
        <v>30</v>
      </c>
      <c r="H4519">
        <v>15428.78</v>
      </c>
      <c r="J4519" t="s">
        <v>2585</v>
      </c>
    </row>
    <row r="4520" spans="1:10" ht="15" customHeight="1" x14ac:dyDescent="0.2">
      <c r="A4520" s="420">
        <v>45904</v>
      </c>
      <c r="B4520" t="s">
        <v>2532</v>
      </c>
      <c r="C4520" t="s">
        <v>6402</v>
      </c>
      <c r="D4520" t="s">
        <v>2921</v>
      </c>
      <c r="E4520" t="s">
        <v>1564</v>
      </c>
      <c r="F4520">
        <v>506.08</v>
      </c>
      <c r="H4520">
        <v>15934.86</v>
      </c>
      <c r="J4520" t="s">
        <v>2585</v>
      </c>
    </row>
    <row r="4521" spans="1:10" ht="15" customHeight="1" x14ac:dyDescent="0.2">
      <c r="A4521" s="420">
        <v>45904</v>
      </c>
      <c r="B4521" t="s">
        <v>2532</v>
      </c>
      <c r="C4521" t="s">
        <v>6402</v>
      </c>
      <c r="D4521" t="s">
        <v>4937</v>
      </c>
      <c r="E4521" t="s">
        <v>1926</v>
      </c>
      <c r="F4521">
        <v>1.2</v>
      </c>
      <c r="H4521">
        <v>15936.06</v>
      </c>
      <c r="J4521" t="s">
        <v>2585</v>
      </c>
    </row>
    <row r="4522" spans="1:10" ht="15" customHeight="1" x14ac:dyDescent="0.2">
      <c r="A4522" s="420">
        <v>45904</v>
      </c>
      <c r="B4522" t="s">
        <v>2532</v>
      </c>
      <c r="C4522" t="s">
        <v>6402</v>
      </c>
      <c r="D4522" t="s">
        <v>4937</v>
      </c>
      <c r="E4522" t="s">
        <v>1926</v>
      </c>
      <c r="F4522">
        <v>1.63</v>
      </c>
      <c r="H4522">
        <v>15937.69</v>
      </c>
      <c r="J4522" t="s">
        <v>2585</v>
      </c>
    </row>
    <row r="4523" spans="1:10" ht="15" customHeight="1" x14ac:dyDescent="0.2">
      <c r="A4523" s="420">
        <v>45905</v>
      </c>
      <c r="B4523" t="s">
        <v>2532</v>
      </c>
      <c r="C4523" t="s">
        <v>6402</v>
      </c>
      <c r="D4523" t="s">
        <v>4812</v>
      </c>
      <c r="E4523" t="s">
        <v>1927</v>
      </c>
      <c r="F4523">
        <v>8.9700000000000006</v>
      </c>
      <c r="H4523">
        <v>15946.66</v>
      </c>
      <c r="J4523" t="s">
        <v>2585</v>
      </c>
    </row>
    <row r="4524" spans="1:10" ht="15" customHeight="1" x14ac:dyDescent="0.2">
      <c r="A4524" s="420">
        <v>45905</v>
      </c>
      <c r="B4524" t="s">
        <v>2532</v>
      </c>
      <c r="C4524" t="s">
        <v>6402</v>
      </c>
      <c r="D4524" t="s">
        <v>5145</v>
      </c>
      <c r="E4524" t="s">
        <v>1565</v>
      </c>
      <c r="F4524">
        <v>30</v>
      </c>
      <c r="H4524">
        <v>15976.66</v>
      </c>
      <c r="J4524" t="s">
        <v>2585</v>
      </c>
    </row>
    <row r="4525" spans="1:10" ht="15" customHeight="1" x14ac:dyDescent="0.2">
      <c r="A4525" s="420">
        <v>45905</v>
      </c>
      <c r="B4525" t="s">
        <v>2532</v>
      </c>
      <c r="C4525" t="s">
        <v>6402</v>
      </c>
      <c r="D4525" t="s">
        <v>3746</v>
      </c>
      <c r="E4525" t="s">
        <v>1928</v>
      </c>
      <c r="F4525">
        <v>2.16</v>
      </c>
      <c r="H4525">
        <v>15978.82</v>
      </c>
      <c r="J4525" t="s">
        <v>2585</v>
      </c>
    </row>
    <row r="4526" spans="1:10" ht="15" customHeight="1" x14ac:dyDescent="0.2">
      <c r="A4526" s="420">
        <v>45905</v>
      </c>
      <c r="B4526" t="s">
        <v>2532</v>
      </c>
      <c r="C4526" t="s">
        <v>6402</v>
      </c>
      <c r="D4526" t="s">
        <v>3746</v>
      </c>
      <c r="E4526" t="s">
        <v>1928</v>
      </c>
      <c r="F4526">
        <v>0.69</v>
      </c>
      <c r="H4526">
        <v>15979.51</v>
      </c>
      <c r="J4526" t="s">
        <v>2585</v>
      </c>
    </row>
    <row r="4527" spans="1:10" ht="15" customHeight="1" x14ac:dyDescent="0.2">
      <c r="A4527" s="420">
        <v>45905</v>
      </c>
      <c r="B4527" t="s">
        <v>2532</v>
      </c>
      <c r="C4527" t="s">
        <v>6402</v>
      </c>
      <c r="D4527" t="s">
        <v>3901</v>
      </c>
      <c r="E4527" t="s">
        <v>1929</v>
      </c>
      <c r="F4527">
        <v>3.78</v>
      </c>
      <c r="H4527">
        <v>15983.29</v>
      </c>
      <c r="J4527" t="s">
        <v>2585</v>
      </c>
    </row>
    <row r="4528" spans="1:10" ht="15" customHeight="1" x14ac:dyDescent="0.2">
      <c r="A4528" s="420">
        <v>45905</v>
      </c>
      <c r="B4528" t="s">
        <v>2532</v>
      </c>
      <c r="C4528" t="s">
        <v>6402</v>
      </c>
      <c r="D4528" t="s">
        <v>4158</v>
      </c>
      <c r="E4528" t="s">
        <v>1396</v>
      </c>
      <c r="F4528">
        <v>3.07</v>
      </c>
      <c r="H4528">
        <v>15986.36</v>
      </c>
      <c r="J4528" t="s">
        <v>2585</v>
      </c>
    </row>
    <row r="4529" spans="1:10" ht="15" customHeight="1" x14ac:dyDescent="0.2">
      <c r="A4529" s="420">
        <v>45906</v>
      </c>
      <c r="B4529" t="s">
        <v>2532</v>
      </c>
      <c r="C4529" t="s">
        <v>6402</v>
      </c>
      <c r="D4529" t="s">
        <v>2778</v>
      </c>
      <c r="E4529" t="s">
        <v>543</v>
      </c>
      <c r="F4529">
        <v>5.34</v>
      </c>
      <c r="H4529">
        <v>15991.7</v>
      </c>
      <c r="J4529" t="s">
        <v>2585</v>
      </c>
    </row>
    <row r="4530" spans="1:10" ht="15" customHeight="1" x14ac:dyDescent="0.2">
      <c r="A4530" s="420">
        <v>45908</v>
      </c>
      <c r="B4530" t="s">
        <v>2532</v>
      </c>
      <c r="C4530" t="s">
        <v>6402</v>
      </c>
      <c r="D4530" t="s">
        <v>5246</v>
      </c>
      <c r="E4530" t="s">
        <v>1279</v>
      </c>
      <c r="F4530">
        <v>10.33</v>
      </c>
      <c r="H4530">
        <v>16002.03</v>
      </c>
      <c r="J4530" t="s">
        <v>2585</v>
      </c>
    </row>
    <row r="4531" spans="1:10" ht="15" customHeight="1" x14ac:dyDescent="0.2">
      <c r="A4531" s="420">
        <v>45908</v>
      </c>
      <c r="B4531" t="s">
        <v>2532</v>
      </c>
      <c r="C4531" t="s">
        <v>6402</v>
      </c>
      <c r="D4531" t="s">
        <v>2613</v>
      </c>
      <c r="E4531" t="s">
        <v>545</v>
      </c>
      <c r="F4531">
        <v>3.42</v>
      </c>
      <c r="H4531">
        <v>16005.45</v>
      </c>
      <c r="J4531" t="s">
        <v>2585</v>
      </c>
    </row>
    <row r="4532" spans="1:10" ht="15" customHeight="1" x14ac:dyDescent="0.2">
      <c r="A4532" s="420">
        <v>45908</v>
      </c>
      <c r="B4532" t="s">
        <v>2532</v>
      </c>
      <c r="C4532" t="s">
        <v>6402</v>
      </c>
      <c r="D4532" t="s">
        <v>2614</v>
      </c>
      <c r="E4532" t="s">
        <v>546</v>
      </c>
      <c r="F4532">
        <v>11.76</v>
      </c>
      <c r="H4532">
        <v>16017.21</v>
      </c>
      <c r="J4532" t="s">
        <v>2585</v>
      </c>
    </row>
    <row r="4533" spans="1:10" ht="15" customHeight="1" x14ac:dyDescent="0.2">
      <c r="A4533" s="420">
        <v>45908</v>
      </c>
      <c r="B4533" t="s">
        <v>2532</v>
      </c>
      <c r="C4533" t="s">
        <v>6402</v>
      </c>
      <c r="D4533" t="s">
        <v>5060</v>
      </c>
      <c r="E4533" t="s">
        <v>1684</v>
      </c>
      <c r="F4533">
        <v>31.2</v>
      </c>
      <c r="H4533">
        <v>16048.41</v>
      </c>
      <c r="J4533" t="s">
        <v>2585</v>
      </c>
    </row>
    <row r="4534" spans="1:10" ht="15" customHeight="1" x14ac:dyDescent="0.2">
      <c r="A4534" s="420">
        <v>45909</v>
      </c>
      <c r="B4534" t="s">
        <v>2532</v>
      </c>
      <c r="C4534" t="s">
        <v>6402</v>
      </c>
      <c r="D4534" t="s">
        <v>5400</v>
      </c>
      <c r="E4534" t="s">
        <v>1931</v>
      </c>
      <c r="F4534">
        <v>9.2899999999999991</v>
      </c>
      <c r="H4534">
        <v>16057.7</v>
      </c>
      <c r="J4534" t="s">
        <v>2585</v>
      </c>
    </row>
    <row r="4535" spans="1:10" ht="15" customHeight="1" x14ac:dyDescent="0.2">
      <c r="A4535" s="420">
        <v>45909</v>
      </c>
      <c r="B4535" t="s">
        <v>2547</v>
      </c>
      <c r="C4535" t="s">
        <v>6402</v>
      </c>
      <c r="D4535" t="s">
        <v>2956</v>
      </c>
      <c r="E4535" t="s">
        <v>1932</v>
      </c>
      <c r="F4535">
        <v>15.83</v>
      </c>
      <c r="H4535">
        <v>16073.53</v>
      </c>
      <c r="J4535" t="s">
        <v>2585</v>
      </c>
    </row>
    <row r="4536" spans="1:10" ht="15" customHeight="1" x14ac:dyDescent="0.2">
      <c r="A4536" s="420">
        <v>45910</v>
      </c>
      <c r="B4536" t="s">
        <v>2532</v>
      </c>
      <c r="C4536" t="s">
        <v>6402</v>
      </c>
      <c r="D4536" t="s">
        <v>4261</v>
      </c>
      <c r="E4536" t="s">
        <v>1135</v>
      </c>
      <c r="F4536">
        <v>40</v>
      </c>
      <c r="H4536">
        <v>16113.53</v>
      </c>
      <c r="J4536" t="s">
        <v>2585</v>
      </c>
    </row>
    <row r="4537" spans="1:10" ht="15" customHeight="1" x14ac:dyDescent="0.2">
      <c r="A4537" s="420">
        <v>45910</v>
      </c>
      <c r="B4537" t="s">
        <v>2532</v>
      </c>
      <c r="C4537" t="s">
        <v>6402</v>
      </c>
      <c r="D4537" t="s">
        <v>3902</v>
      </c>
      <c r="E4537" t="s">
        <v>1933</v>
      </c>
      <c r="F4537">
        <v>1.42</v>
      </c>
      <c r="H4537">
        <v>16114.95</v>
      </c>
      <c r="J4537" t="s">
        <v>2585</v>
      </c>
    </row>
    <row r="4538" spans="1:10" ht="15" customHeight="1" x14ac:dyDescent="0.2">
      <c r="A4538" s="420">
        <v>45910</v>
      </c>
      <c r="B4538" t="s">
        <v>2532</v>
      </c>
      <c r="C4538" t="s">
        <v>6402</v>
      </c>
      <c r="D4538" t="s">
        <v>4939</v>
      </c>
      <c r="E4538" t="s">
        <v>1934</v>
      </c>
      <c r="F4538">
        <v>2.83</v>
      </c>
      <c r="H4538">
        <v>16117.78</v>
      </c>
      <c r="J4538" t="s">
        <v>2585</v>
      </c>
    </row>
    <row r="4539" spans="1:10" ht="15" customHeight="1" x14ac:dyDescent="0.2">
      <c r="A4539" s="420">
        <v>45910</v>
      </c>
      <c r="B4539" t="s">
        <v>2532</v>
      </c>
      <c r="C4539" t="s">
        <v>6402</v>
      </c>
      <c r="D4539" t="s">
        <v>4939</v>
      </c>
      <c r="E4539" t="s">
        <v>1934</v>
      </c>
      <c r="F4539">
        <v>3.45</v>
      </c>
      <c r="H4539">
        <v>16121.23</v>
      </c>
      <c r="J4539" t="s">
        <v>2585</v>
      </c>
    </row>
    <row r="4540" spans="1:10" ht="15" customHeight="1" x14ac:dyDescent="0.2">
      <c r="A4540" s="420">
        <v>45912</v>
      </c>
      <c r="B4540" t="s">
        <v>2532</v>
      </c>
      <c r="C4540" t="s">
        <v>6402</v>
      </c>
      <c r="D4540" t="s">
        <v>3025</v>
      </c>
      <c r="E4540" t="s">
        <v>761</v>
      </c>
      <c r="F4540">
        <v>61.07</v>
      </c>
      <c r="H4540">
        <v>16182.3</v>
      </c>
      <c r="J4540" t="s">
        <v>2585</v>
      </c>
    </row>
    <row r="4541" spans="1:10" ht="15" customHeight="1" x14ac:dyDescent="0.2">
      <c r="A4541" s="420">
        <v>45912</v>
      </c>
      <c r="B4541" t="s">
        <v>2532</v>
      </c>
      <c r="C4541" t="s">
        <v>6402</v>
      </c>
      <c r="D4541" t="s">
        <v>4752</v>
      </c>
      <c r="E4541" t="s">
        <v>1685</v>
      </c>
      <c r="F4541">
        <v>15.8</v>
      </c>
      <c r="H4541">
        <v>16198.1</v>
      </c>
      <c r="J4541" t="s">
        <v>2585</v>
      </c>
    </row>
    <row r="4542" spans="1:10" ht="15" customHeight="1" x14ac:dyDescent="0.2">
      <c r="A4542" s="420">
        <v>45913</v>
      </c>
      <c r="B4542" t="s">
        <v>2532</v>
      </c>
      <c r="C4542" t="s">
        <v>6402</v>
      </c>
      <c r="D4542" t="s">
        <v>5189</v>
      </c>
      <c r="E4542" t="s">
        <v>1687</v>
      </c>
      <c r="F4542">
        <v>0.83</v>
      </c>
      <c r="H4542">
        <v>16198.93</v>
      </c>
      <c r="J4542" t="s">
        <v>2585</v>
      </c>
    </row>
    <row r="4543" spans="1:10" ht="15" customHeight="1" x14ac:dyDescent="0.2">
      <c r="A4543" s="420">
        <v>45913</v>
      </c>
      <c r="B4543" t="s">
        <v>2532</v>
      </c>
      <c r="C4543" t="s">
        <v>6402</v>
      </c>
      <c r="D4543" t="s">
        <v>2868</v>
      </c>
      <c r="E4543" t="s">
        <v>1935</v>
      </c>
      <c r="F4543">
        <v>7.7</v>
      </c>
      <c r="H4543">
        <v>16206.63</v>
      </c>
      <c r="J4543" t="s">
        <v>2585</v>
      </c>
    </row>
    <row r="4544" spans="1:10" ht="15" customHeight="1" x14ac:dyDescent="0.2">
      <c r="A4544" s="420">
        <v>45913</v>
      </c>
      <c r="B4544" t="s">
        <v>2532</v>
      </c>
      <c r="C4544" t="s">
        <v>6402</v>
      </c>
      <c r="D4544" t="s">
        <v>2868</v>
      </c>
      <c r="E4544" t="s">
        <v>1935</v>
      </c>
      <c r="F4544">
        <v>7.27</v>
      </c>
      <c r="H4544">
        <v>16213.9</v>
      </c>
      <c r="J4544" t="s">
        <v>2585</v>
      </c>
    </row>
    <row r="4545" spans="1:10" ht="15" customHeight="1" x14ac:dyDescent="0.2">
      <c r="A4545" s="420">
        <v>45917</v>
      </c>
      <c r="B4545" t="s">
        <v>2532</v>
      </c>
      <c r="C4545" t="s">
        <v>6402</v>
      </c>
      <c r="D4545" t="s">
        <v>5248</v>
      </c>
      <c r="E4545" t="s">
        <v>1279</v>
      </c>
      <c r="F4545">
        <v>7.33</v>
      </c>
      <c r="H4545">
        <v>16221.23</v>
      </c>
      <c r="J4545" t="s">
        <v>2585</v>
      </c>
    </row>
    <row r="4546" spans="1:10" ht="15" customHeight="1" x14ac:dyDescent="0.2">
      <c r="A4546" s="420">
        <v>45919</v>
      </c>
      <c r="B4546" t="s">
        <v>2532</v>
      </c>
      <c r="C4546" t="s">
        <v>6402</v>
      </c>
      <c r="D4546" t="s">
        <v>3766</v>
      </c>
      <c r="E4546" t="s">
        <v>1570</v>
      </c>
      <c r="F4546">
        <v>150</v>
      </c>
      <c r="H4546">
        <v>16371.23</v>
      </c>
      <c r="J4546" t="s">
        <v>2585</v>
      </c>
    </row>
    <row r="4547" spans="1:10" ht="15" customHeight="1" x14ac:dyDescent="0.2">
      <c r="A4547" s="420">
        <v>45920</v>
      </c>
      <c r="B4547" t="s">
        <v>2532</v>
      </c>
      <c r="C4547" t="s">
        <v>6402</v>
      </c>
      <c r="D4547" t="s">
        <v>5300</v>
      </c>
      <c r="E4547" t="s">
        <v>548</v>
      </c>
      <c r="F4547">
        <v>8.3000000000000007</v>
      </c>
      <c r="H4547">
        <v>16379.53</v>
      </c>
      <c r="J4547" t="s">
        <v>2585</v>
      </c>
    </row>
    <row r="4548" spans="1:10" ht="15" customHeight="1" x14ac:dyDescent="0.2">
      <c r="A4548" s="420">
        <v>45922</v>
      </c>
      <c r="B4548" t="s">
        <v>2532</v>
      </c>
      <c r="C4548" t="s">
        <v>6402</v>
      </c>
      <c r="D4548" t="s">
        <v>3865</v>
      </c>
      <c r="E4548" t="s">
        <v>1572</v>
      </c>
      <c r="F4548">
        <v>124.94</v>
      </c>
      <c r="H4548">
        <v>16504.47</v>
      </c>
      <c r="J4548" t="s">
        <v>2585</v>
      </c>
    </row>
    <row r="4549" spans="1:10" ht="15" customHeight="1" x14ac:dyDescent="0.2">
      <c r="A4549" s="420">
        <v>45925</v>
      </c>
      <c r="B4549" t="s">
        <v>2532</v>
      </c>
      <c r="C4549" t="s">
        <v>6402</v>
      </c>
      <c r="D4549" t="s">
        <v>2924</v>
      </c>
      <c r="E4549" t="s">
        <v>1573</v>
      </c>
      <c r="F4549">
        <v>69.8</v>
      </c>
      <c r="H4549">
        <v>16574.27</v>
      </c>
      <c r="J4549" t="s">
        <v>2585</v>
      </c>
    </row>
    <row r="4550" spans="1:10" ht="15" customHeight="1" x14ac:dyDescent="0.2">
      <c r="A4550" s="420">
        <v>45928</v>
      </c>
      <c r="B4550" t="s">
        <v>2532</v>
      </c>
      <c r="C4550" t="s">
        <v>6402</v>
      </c>
      <c r="D4550" t="s">
        <v>4159</v>
      </c>
      <c r="E4550" t="s">
        <v>1402</v>
      </c>
      <c r="F4550">
        <v>140.4</v>
      </c>
      <c r="H4550">
        <v>16714.669999999998</v>
      </c>
      <c r="J4550" t="s">
        <v>2585</v>
      </c>
    </row>
    <row r="4551" spans="1:10" ht="15" customHeight="1" x14ac:dyDescent="0.2">
      <c r="A4551" s="420">
        <v>45930</v>
      </c>
      <c r="B4551" t="s">
        <v>2532</v>
      </c>
      <c r="C4551" t="s">
        <v>6402</v>
      </c>
      <c r="D4551" t="s">
        <v>2628</v>
      </c>
      <c r="E4551" t="s">
        <v>1574</v>
      </c>
      <c r="F4551">
        <v>48</v>
      </c>
      <c r="H4551">
        <v>16762.669999999998</v>
      </c>
      <c r="J4551" t="s">
        <v>2585</v>
      </c>
    </row>
    <row r="4552" spans="1:10" ht="15" customHeight="1" x14ac:dyDescent="0.2">
      <c r="A4552" s="420">
        <v>45930</v>
      </c>
      <c r="B4552" t="s">
        <v>2532</v>
      </c>
      <c r="C4552" t="s">
        <v>6402</v>
      </c>
      <c r="D4552" t="s">
        <v>2996</v>
      </c>
      <c r="E4552" t="s">
        <v>1575</v>
      </c>
      <c r="F4552">
        <v>370</v>
      </c>
      <c r="H4552">
        <v>17132.669999999998</v>
      </c>
      <c r="J4552" t="s">
        <v>2585</v>
      </c>
    </row>
    <row r="4553" spans="1:10" ht="15" customHeight="1" x14ac:dyDescent="0.2">
      <c r="A4553" s="420">
        <v>45930</v>
      </c>
      <c r="B4553" t="s">
        <v>2532</v>
      </c>
      <c r="C4553" t="s">
        <v>6402</v>
      </c>
      <c r="D4553" t="s">
        <v>4941</v>
      </c>
      <c r="E4553" t="s">
        <v>1942</v>
      </c>
      <c r="F4553">
        <v>3.18</v>
      </c>
      <c r="H4553">
        <v>17135.849999999999</v>
      </c>
      <c r="J4553" t="s">
        <v>2585</v>
      </c>
    </row>
    <row r="4554" spans="1:10" ht="15" customHeight="1" x14ac:dyDescent="0.2">
      <c r="A4554" s="420">
        <v>45930</v>
      </c>
      <c r="B4554" t="s">
        <v>2547</v>
      </c>
      <c r="C4554" t="s">
        <v>6402</v>
      </c>
      <c r="D4554" t="s">
        <v>3418</v>
      </c>
      <c r="E4554" t="s">
        <v>1017</v>
      </c>
      <c r="F4554">
        <v>1180</v>
      </c>
      <c r="H4554">
        <v>18315.849999999999</v>
      </c>
      <c r="J4554" t="s">
        <v>2585</v>
      </c>
    </row>
    <row r="4555" spans="1:10" ht="15" customHeight="1" x14ac:dyDescent="0.2">
      <c r="A4555" s="420">
        <v>45930</v>
      </c>
      <c r="B4555" t="s">
        <v>2517</v>
      </c>
      <c r="C4555" t="s">
        <v>6402</v>
      </c>
      <c r="D4555" t="s">
        <v>6323</v>
      </c>
      <c r="E4555" t="s">
        <v>6983</v>
      </c>
      <c r="G4555">
        <v>10469.09</v>
      </c>
      <c r="H4555">
        <v>7846.76</v>
      </c>
      <c r="J4555" t="s">
        <v>2585</v>
      </c>
    </row>
    <row r="4556" spans="1:10" ht="15" customHeight="1" x14ac:dyDescent="0.2">
      <c r="A4556" s="420">
        <v>45930</v>
      </c>
      <c r="B4556" t="s">
        <v>2517</v>
      </c>
      <c r="C4556" t="s">
        <v>6402</v>
      </c>
      <c r="D4556" t="s">
        <v>6323</v>
      </c>
      <c r="E4556" t="s">
        <v>6984</v>
      </c>
      <c r="F4556">
        <v>10072.35</v>
      </c>
      <c r="H4556">
        <v>17919.11</v>
      </c>
      <c r="J4556" t="s">
        <v>2585</v>
      </c>
    </row>
    <row r="4557" spans="1:10" ht="15" customHeight="1" x14ac:dyDescent="0.2">
      <c r="A4557" s="420">
        <v>45930</v>
      </c>
      <c r="B4557" t="s">
        <v>2532</v>
      </c>
      <c r="C4557" t="s">
        <v>6402</v>
      </c>
      <c r="D4557" t="s">
        <v>2724</v>
      </c>
      <c r="E4557" t="s">
        <v>1139</v>
      </c>
      <c r="F4557">
        <v>118.4</v>
      </c>
      <c r="H4557">
        <v>18037.509999999998</v>
      </c>
      <c r="J4557" t="s">
        <v>2585</v>
      </c>
    </row>
    <row r="4558" spans="1:10" ht="15" customHeight="1" x14ac:dyDescent="0.2">
      <c r="A4558" s="420">
        <v>45930</v>
      </c>
      <c r="B4558" t="s">
        <v>2532</v>
      </c>
      <c r="C4558" t="s">
        <v>6402</v>
      </c>
      <c r="D4558" t="s">
        <v>2726</v>
      </c>
      <c r="E4558" t="s">
        <v>1140</v>
      </c>
      <c r="F4558">
        <v>270</v>
      </c>
      <c r="H4558">
        <v>18307.509999999998</v>
      </c>
      <c r="J4558" t="s">
        <v>2585</v>
      </c>
    </row>
    <row r="4559" spans="1:10" ht="15" customHeight="1" x14ac:dyDescent="0.2">
      <c r="A4559" s="420">
        <v>45930</v>
      </c>
      <c r="B4559" t="s">
        <v>2532</v>
      </c>
      <c r="C4559" t="s">
        <v>6402</v>
      </c>
      <c r="D4559" t="s">
        <v>2728</v>
      </c>
      <c r="E4559" t="s">
        <v>1141</v>
      </c>
      <c r="F4559">
        <v>83.44</v>
      </c>
      <c r="H4559">
        <v>18390.95</v>
      </c>
      <c r="J4559" t="s">
        <v>2585</v>
      </c>
    </row>
    <row r="4560" spans="1:10" ht="15" customHeight="1" x14ac:dyDescent="0.2">
      <c r="A4560" s="420">
        <v>45930</v>
      </c>
      <c r="B4560" t="s">
        <v>2532</v>
      </c>
      <c r="C4560" t="s">
        <v>6402</v>
      </c>
      <c r="D4560" t="s">
        <v>4266</v>
      </c>
      <c r="E4560" t="s">
        <v>1136</v>
      </c>
      <c r="F4560">
        <v>134.05000000000001</v>
      </c>
      <c r="H4560">
        <v>18525</v>
      </c>
      <c r="J4560" t="s">
        <v>2585</v>
      </c>
    </row>
    <row r="4561" spans="1:10" ht="15" customHeight="1" x14ac:dyDescent="0.2">
      <c r="A4561" s="420">
        <v>45930</v>
      </c>
      <c r="B4561" t="s">
        <v>2532</v>
      </c>
      <c r="C4561" t="s">
        <v>6402</v>
      </c>
      <c r="D4561" t="s">
        <v>4267</v>
      </c>
      <c r="E4561" t="s">
        <v>1137</v>
      </c>
      <c r="F4561">
        <v>134.05000000000001</v>
      </c>
      <c r="H4561">
        <v>18659.05</v>
      </c>
      <c r="J4561" t="s">
        <v>2585</v>
      </c>
    </row>
    <row r="4562" spans="1:10" ht="15" customHeight="1" x14ac:dyDescent="0.2">
      <c r="A4562" s="420">
        <v>45930</v>
      </c>
      <c r="B4562" t="s">
        <v>2532</v>
      </c>
      <c r="C4562" t="s">
        <v>6402</v>
      </c>
      <c r="D4562" t="s">
        <v>4268</v>
      </c>
      <c r="E4562" t="s">
        <v>1138</v>
      </c>
      <c r="F4562">
        <v>9</v>
      </c>
      <c r="H4562">
        <v>18668.05</v>
      </c>
      <c r="J4562" t="s">
        <v>2585</v>
      </c>
    </row>
    <row r="4563" spans="1:10" ht="15" customHeight="1" x14ac:dyDescent="0.2">
      <c r="A4563" s="420">
        <v>45930</v>
      </c>
      <c r="B4563" t="s">
        <v>2532</v>
      </c>
      <c r="C4563" t="s">
        <v>6402</v>
      </c>
      <c r="D4563" t="s">
        <v>2730</v>
      </c>
      <c r="E4563" t="s">
        <v>1142</v>
      </c>
      <c r="F4563">
        <v>124</v>
      </c>
      <c r="H4563">
        <v>18792.05</v>
      </c>
      <c r="J4563" t="s">
        <v>2585</v>
      </c>
    </row>
    <row r="4564" spans="1:10" ht="15" customHeight="1" x14ac:dyDescent="0.2">
      <c r="A4564" s="420">
        <v>45931</v>
      </c>
      <c r="B4564" t="s">
        <v>2532</v>
      </c>
      <c r="C4564" t="s">
        <v>6402</v>
      </c>
      <c r="D4564" t="s">
        <v>5473</v>
      </c>
      <c r="E4564" t="s">
        <v>1281</v>
      </c>
      <c r="F4564">
        <v>10.96</v>
      </c>
      <c r="H4564">
        <v>18803.009999999998</v>
      </c>
      <c r="J4564" t="s">
        <v>2585</v>
      </c>
    </row>
    <row r="4565" spans="1:10" ht="15" customHeight="1" x14ac:dyDescent="0.2">
      <c r="A4565" s="420">
        <v>45931</v>
      </c>
      <c r="B4565" t="s">
        <v>2532</v>
      </c>
      <c r="C4565" t="s">
        <v>6402</v>
      </c>
      <c r="D4565" t="s">
        <v>5403</v>
      </c>
      <c r="E4565" t="s">
        <v>1943</v>
      </c>
      <c r="F4565">
        <v>19.52</v>
      </c>
      <c r="H4565">
        <v>18822.53</v>
      </c>
      <c r="J4565" t="s">
        <v>2585</v>
      </c>
    </row>
    <row r="4566" spans="1:10" ht="15" customHeight="1" x14ac:dyDescent="0.2">
      <c r="A4566" s="420">
        <v>45931</v>
      </c>
      <c r="B4566" t="s">
        <v>2532</v>
      </c>
      <c r="C4566" t="s">
        <v>6402</v>
      </c>
      <c r="D4566" t="s">
        <v>5437</v>
      </c>
      <c r="E4566" t="s">
        <v>763</v>
      </c>
      <c r="F4566">
        <v>75.47</v>
      </c>
      <c r="H4566">
        <v>18898</v>
      </c>
      <c r="J4566" t="s">
        <v>2585</v>
      </c>
    </row>
    <row r="4567" spans="1:10" ht="15" customHeight="1" x14ac:dyDescent="0.2">
      <c r="A4567" s="420">
        <v>45931</v>
      </c>
      <c r="B4567" t="s">
        <v>2439</v>
      </c>
      <c r="C4567" t="s">
        <v>6402</v>
      </c>
      <c r="D4567" t="s">
        <v>2655</v>
      </c>
      <c r="E4567" t="s">
        <v>719</v>
      </c>
      <c r="F4567">
        <v>212.67</v>
      </c>
      <c r="H4567">
        <v>19110.669999999998</v>
      </c>
      <c r="J4567" t="s">
        <v>2585</v>
      </c>
    </row>
    <row r="4568" spans="1:10" ht="15" customHeight="1" x14ac:dyDescent="0.2">
      <c r="A4568" s="420">
        <v>45931</v>
      </c>
      <c r="B4568" t="s">
        <v>2547</v>
      </c>
      <c r="C4568" t="s">
        <v>6402</v>
      </c>
      <c r="D4568" t="s">
        <v>4944</v>
      </c>
      <c r="E4568" t="s">
        <v>1944</v>
      </c>
      <c r="F4568">
        <v>28.4</v>
      </c>
      <c r="H4568">
        <v>19139.07</v>
      </c>
      <c r="J4568" t="s">
        <v>2585</v>
      </c>
    </row>
    <row r="4569" spans="1:10" ht="15" customHeight="1" x14ac:dyDescent="0.2">
      <c r="A4569" s="420">
        <v>45931</v>
      </c>
      <c r="B4569" t="s">
        <v>2532</v>
      </c>
      <c r="C4569" t="s">
        <v>6402</v>
      </c>
      <c r="D4569" t="s">
        <v>4556</v>
      </c>
      <c r="E4569" t="s">
        <v>4557</v>
      </c>
      <c r="F4569">
        <v>626.89</v>
      </c>
      <c r="H4569">
        <v>19765.96</v>
      </c>
      <c r="J4569" t="s">
        <v>2585</v>
      </c>
    </row>
    <row r="4570" spans="1:10" ht="15" customHeight="1" x14ac:dyDescent="0.2">
      <c r="A4570" s="420">
        <v>45931</v>
      </c>
      <c r="B4570" t="s">
        <v>2532</v>
      </c>
      <c r="C4570" t="s">
        <v>6402</v>
      </c>
      <c r="D4570" t="s">
        <v>4063</v>
      </c>
      <c r="E4570" t="s">
        <v>1218</v>
      </c>
      <c r="F4570">
        <v>216</v>
      </c>
      <c r="H4570">
        <v>19981.96</v>
      </c>
      <c r="J4570" t="s">
        <v>2585</v>
      </c>
    </row>
    <row r="4571" spans="1:10" ht="15" customHeight="1" x14ac:dyDescent="0.2">
      <c r="A4571" s="420">
        <v>45932</v>
      </c>
      <c r="B4571" t="s">
        <v>2532</v>
      </c>
      <c r="C4571" t="s">
        <v>6402</v>
      </c>
      <c r="D4571" t="s">
        <v>5359</v>
      </c>
      <c r="E4571" t="s">
        <v>1578</v>
      </c>
      <c r="F4571">
        <v>4</v>
      </c>
      <c r="H4571">
        <v>19985.96</v>
      </c>
      <c r="J4571" t="s">
        <v>2585</v>
      </c>
    </row>
    <row r="4572" spans="1:10" ht="15" customHeight="1" x14ac:dyDescent="0.2">
      <c r="A4572" s="420">
        <v>45932</v>
      </c>
      <c r="B4572" t="s">
        <v>2532</v>
      </c>
      <c r="C4572" t="s">
        <v>6402</v>
      </c>
      <c r="D4572" t="s">
        <v>3155</v>
      </c>
      <c r="E4572" t="s">
        <v>552</v>
      </c>
      <c r="F4572">
        <v>5.93</v>
      </c>
      <c r="H4572">
        <v>19991.89</v>
      </c>
      <c r="J4572" t="s">
        <v>2585</v>
      </c>
    </row>
    <row r="4573" spans="1:10" ht="15" customHeight="1" x14ac:dyDescent="0.2">
      <c r="A4573" s="420">
        <v>45932</v>
      </c>
      <c r="B4573" t="s">
        <v>2532</v>
      </c>
      <c r="C4573" t="s">
        <v>6402</v>
      </c>
      <c r="D4573" t="s">
        <v>4947</v>
      </c>
      <c r="E4573" t="s">
        <v>1947</v>
      </c>
      <c r="F4573">
        <v>2.27</v>
      </c>
      <c r="H4573">
        <v>19994.16</v>
      </c>
      <c r="J4573" t="s">
        <v>2585</v>
      </c>
    </row>
    <row r="4574" spans="1:10" ht="15" customHeight="1" x14ac:dyDescent="0.2">
      <c r="A4574" s="420">
        <v>45933</v>
      </c>
      <c r="B4574" t="s">
        <v>2532</v>
      </c>
      <c r="C4574" t="s">
        <v>6402</v>
      </c>
      <c r="D4574" t="s">
        <v>4948</v>
      </c>
      <c r="E4574" t="s">
        <v>1948</v>
      </c>
      <c r="F4574">
        <v>2.83</v>
      </c>
      <c r="H4574">
        <v>19996.990000000002</v>
      </c>
      <c r="J4574" t="s">
        <v>2585</v>
      </c>
    </row>
    <row r="4575" spans="1:10" ht="15" customHeight="1" x14ac:dyDescent="0.2">
      <c r="A4575" s="420">
        <v>45933</v>
      </c>
      <c r="B4575" t="s">
        <v>2532</v>
      </c>
      <c r="C4575" t="s">
        <v>6402</v>
      </c>
      <c r="D4575" t="s">
        <v>4948</v>
      </c>
      <c r="E4575" t="s">
        <v>1948</v>
      </c>
      <c r="F4575">
        <v>4.99</v>
      </c>
      <c r="H4575">
        <v>20001.98</v>
      </c>
      <c r="J4575" t="s">
        <v>2585</v>
      </c>
    </row>
    <row r="4576" spans="1:10" ht="15" customHeight="1" x14ac:dyDescent="0.2">
      <c r="A4576" s="420">
        <v>45934</v>
      </c>
      <c r="B4576" t="s">
        <v>2532</v>
      </c>
      <c r="C4576" t="s">
        <v>6402</v>
      </c>
      <c r="D4576" t="s">
        <v>4949</v>
      </c>
      <c r="E4576" t="s">
        <v>1950</v>
      </c>
      <c r="F4576">
        <v>3.17</v>
      </c>
      <c r="H4576">
        <v>20005.150000000001</v>
      </c>
      <c r="J4576" t="s">
        <v>2585</v>
      </c>
    </row>
    <row r="4577" spans="1:10" ht="15" customHeight="1" x14ac:dyDescent="0.2">
      <c r="A4577" s="420">
        <v>45934</v>
      </c>
      <c r="B4577" t="s">
        <v>2532</v>
      </c>
      <c r="C4577" t="s">
        <v>6402</v>
      </c>
      <c r="D4577" t="s">
        <v>4949</v>
      </c>
      <c r="E4577" t="s">
        <v>1950</v>
      </c>
      <c r="F4577">
        <v>5.54</v>
      </c>
      <c r="H4577">
        <v>20010.689999999999</v>
      </c>
      <c r="J4577" t="s">
        <v>2585</v>
      </c>
    </row>
    <row r="4578" spans="1:10" ht="15" customHeight="1" x14ac:dyDescent="0.2">
      <c r="A4578" s="420">
        <v>45935</v>
      </c>
      <c r="B4578" t="s">
        <v>2532</v>
      </c>
      <c r="C4578" t="s">
        <v>6402</v>
      </c>
      <c r="D4578" t="s">
        <v>2927</v>
      </c>
      <c r="E4578" t="s">
        <v>1579</v>
      </c>
      <c r="F4578">
        <v>648.83000000000004</v>
      </c>
      <c r="H4578">
        <v>20659.52</v>
      </c>
      <c r="J4578" t="s">
        <v>2585</v>
      </c>
    </row>
    <row r="4579" spans="1:10" ht="15" customHeight="1" x14ac:dyDescent="0.2">
      <c r="A4579" s="420">
        <v>45938</v>
      </c>
      <c r="B4579" t="s">
        <v>2532</v>
      </c>
      <c r="C4579" t="s">
        <v>6402</v>
      </c>
      <c r="D4579" t="s">
        <v>5063</v>
      </c>
      <c r="E4579" t="s">
        <v>1692</v>
      </c>
      <c r="F4579">
        <v>31.2</v>
      </c>
      <c r="H4579">
        <v>20690.72</v>
      </c>
      <c r="J4579" t="s">
        <v>2585</v>
      </c>
    </row>
    <row r="4580" spans="1:10" ht="15" customHeight="1" x14ac:dyDescent="0.2">
      <c r="A4580" s="420">
        <v>45938</v>
      </c>
      <c r="B4580" t="s">
        <v>2547</v>
      </c>
      <c r="C4580" t="s">
        <v>6402</v>
      </c>
      <c r="D4580" t="s">
        <v>5171</v>
      </c>
      <c r="E4580" t="s">
        <v>1953</v>
      </c>
      <c r="F4580">
        <v>9.16</v>
      </c>
      <c r="H4580">
        <v>20699.88</v>
      </c>
      <c r="J4580" t="s">
        <v>2585</v>
      </c>
    </row>
    <row r="4581" spans="1:10" ht="15" customHeight="1" x14ac:dyDescent="0.2">
      <c r="A4581" s="420">
        <v>45940</v>
      </c>
      <c r="B4581" t="s">
        <v>2532</v>
      </c>
      <c r="C4581" t="s">
        <v>6402</v>
      </c>
      <c r="D4581" t="s">
        <v>5015</v>
      </c>
      <c r="E4581" t="s">
        <v>554</v>
      </c>
      <c r="F4581">
        <v>20.63</v>
      </c>
      <c r="H4581">
        <v>20720.509999999998</v>
      </c>
      <c r="J4581" t="s">
        <v>2585</v>
      </c>
    </row>
    <row r="4582" spans="1:10" ht="15" customHeight="1" x14ac:dyDescent="0.2">
      <c r="A4582" s="420">
        <v>45940</v>
      </c>
      <c r="B4582" t="s">
        <v>2532</v>
      </c>
      <c r="C4582" t="s">
        <v>6402</v>
      </c>
      <c r="D4582" t="s">
        <v>4953</v>
      </c>
      <c r="E4582" t="s">
        <v>1954</v>
      </c>
      <c r="F4582">
        <v>15.07</v>
      </c>
      <c r="H4582">
        <v>20735.580000000002</v>
      </c>
      <c r="J4582" t="s">
        <v>2585</v>
      </c>
    </row>
    <row r="4583" spans="1:10" ht="15" customHeight="1" x14ac:dyDescent="0.2">
      <c r="A4583" s="420">
        <v>45940</v>
      </c>
      <c r="B4583" t="s">
        <v>2532</v>
      </c>
      <c r="C4583" t="s">
        <v>6402</v>
      </c>
      <c r="D4583" t="s">
        <v>4953</v>
      </c>
      <c r="E4583" t="s">
        <v>1954</v>
      </c>
      <c r="F4583">
        <v>12.96</v>
      </c>
      <c r="H4583">
        <v>20748.54</v>
      </c>
      <c r="J4583" t="s">
        <v>2585</v>
      </c>
    </row>
    <row r="4584" spans="1:10" ht="15" customHeight="1" x14ac:dyDescent="0.2">
      <c r="A4584" s="420">
        <v>45940</v>
      </c>
      <c r="B4584" t="s">
        <v>3866</v>
      </c>
      <c r="C4584" t="s">
        <v>6402</v>
      </c>
      <c r="D4584" t="s">
        <v>6985</v>
      </c>
      <c r="E4584" t="s">
        <v>1695</v>
      </c>
      <c r="F4584">
        <v>1.1000000000000001</v>
      </c>
      <c r="H4584">
        <v>20749.64</v>
      </c>
      <c r="J4584" t="s">
        <v>2585</v>
      </c>
    </row>
    <row r="4585" spans="1:10" ht="15" customHeight="1" x14ac:dyDescent="0.2">
      <c r="A4585" s="420">
        <v>45943</v>
      </c>
      <c r="B4585" t="s">
        <v>2532</v>
      </c>
      <c r="C4585" t="s">
        <v>6402</v>
      </c>
      <c r="D4585" t="s">
        <v>5192</v>
      </c>
      <c r="E4585" t="s">
        <v>1696</v>
      </c>
      <c r="F4585">
        <v>0.83</v>
      </c>
      <c r="H4585">
        <v>20750.47</v>
      </c>
      <c r="J4585" t="s">
        <v>2585</v>
      </c>
    </row>
    <row r="4586" spans="1:10" ht="15" customHeight="1" x14ac:dyDescent="0.2">
      <c r="A4586" s="420">
        <v>45943</v>
      </c>
      <c r="B4586" t="s">
        <v>2532</v>
      </c>
      <c r="C4586" t="s">
        <v>6402</v>
      </c>
      <c r="D4586" t="s">
        <v>4755</v>
      </c>
      <c r="E4586" t="s">
        <v>1697</v>
      </c>
      <c r="F4586">
        <v>15.8</v>
      </c>
      <c r="H4586">
        <v>20766.27</v>
      </c>
      <c r="J4586" t="s">
        <v>2585</v>
      </c>
    </row>
    <row r="4587" spans="1:10" ht="15" customHeight="1" x14ac:dyDescent="0.2">
      <c r="A4587" s="420">
        <v>45943</v>
      </c>
      <c r="B4587" t="s">
        <v>2532</v>
      </c>
      <c r="C4587" t="s">
        <v>6402</v>
      </c>
      <c r="D4587" t="s">
        <v>3554</v>
      </c>
      <c r="E4587" t="s">
        <v>1408</v>
      </c>
      <c r="F4587">
        <v>2</v>
      </c>
      <c r="H4587">
        <v>20768.27</v>
      </c>
      <c r="J4587" t="s">
        <v>2585</v>
      </c>
    </row>
    <row r="4588" spans="1:10" ht="15" customHeight="1" x14ac:dyDescent="0.2">
      <c r="A4588" s="420">
        <v>45943</v>
      </c>
      <c r="B4588" t="s">
        <v>2532</v>
      </c>
      <c r="C4588" t="s">
        <v>6402</v>
      </c>
      <c r="D4588" t="s">
        <v>3555</v>
      </c>
      <c r="E4588" t="s">
        <v>1409</v>
      </c>
      <c r="F4588">
        <v>2</v>
      </c>
      <c r="H4588">
        <v>20770.27</v>
      </c>
      <c r="J4588" t="s">
        <v>2585</v>
      </c>
    </row>
    <row r="4589" spans="1:10" ht="15" customHeight="1" x14ac:dyDescent="0.2">
      <c r="A4589" s="420">
        <v>45945</v>
      </c>
      <c r="B4589" t="s">
        <v>2532</v>
      </c>
      <c r="C4589" t="s">
        <v>6402</v>
      </c>
      <c r="D4589" t="s">
        <v>5249</v>
      </c>
      <c r="E4589" t="s">
        <v>1956</v>
      </c>
      <c r="F4589">
        <v>11.47</v>
      </c>
      <c r="H4589">
        <v>20781.740000000002</v>
      </c>
      <c r="J4589" t="s">
        <v>2585</v>
      </c>
    </row>
    <row r="4590" spans="1:10" ht="15" customHeight="1" x14ac:dyDescent="0.2">
      <c r="A4590" s="420">
        <v>45948</v>
      </c>
      <c r="B4590" t="s">
        <v>2532</v>
      </c>
      <c r="C4590" t="s">
        <v>6402</v>
      </c>
      <c r="D4590" t="s">
        <v>3045</v>
      </c>
      <c r="E4590" t="s">
        <v>558</v>
      </c>
      <c r="F4590">
        <v>4.75</v>
      </c>
      <c r="H4590">
        <v>20786.490000000002</v>
      </c>
      <c r="J4590" t="s">
        <v>2585</v>
      </c>
    </row>
    <row r="4591" spans="1:10" ht="15" customHeight="1" x14ac:dyDescent="0.2">
      <c r="A4591" s="420">
        <v>45948</v>
      </c>
      <c r="B4591" t="s">
        <v>2532</v>
      </c>
      <c r="C4591" t="s">
        <v>6402</v>
      </c>
      <c r="D4591" t="s">
        <v>3055</v>
      </c>
      <c r="E4591" t="s">
        <v>559</v>
      </c>
      <c r="F4591">
        <v>15.3</v>
      </c>
      <c r="H4591">
        <v>20801.79</v>
      </c>
      <c r="J4591" t="s">
        <v>2585</v>
      </c>
    </row>
    <row r="4592" spans="1:10" ht="15" customHeight="1" x14ac:dyDescent="0.2">
      <c r="A4592" s="420">
        <v>45948</v>
      </c>
      <c r="B4592" t="s">
        <v>2532</v>
      </c>
      <c r="C4592" t="s">
        <v>6402</v>
      </c>
      <c r="D4592" t="s">
        <v>3056</v>
      </c>
      <c r="E4592" t="s">
        <v>560</v>
      </c>
      <c r="F4592">
        <v>32.94</v>
      </c>
      <c r="H4592">
        <v>20834.73</v>
      </c>
      <c r="J4592" t="s">
        <v>2585</v>
      </c>
    </row>
    <row r="4593" spans="1:10" ht="15" customHeight="1" x14ac:dyDescent="0.2">
      <c r="A4593" s="420">
        <v>45948</v>
      </c>
      <c r="B4593" t="s">
        <v>2532</v>
      </c>
      <c r="C4593" t="s">
        <v>6402</v>
      </c>
      <c r="D4593" t="s">
        <v>4956</v>
      </c>
      <c r="E4593" t="s">
        <v>1957</v>
      </c>
      <c r="F4593">
        <v>4.33</v>
      </c>
      <c r="H4593">
        <v>20839.060000000001</v>
      </c>
      <c r="J4593" t="s">
        <v>2585</v>
      </c>
    </row>
    <row r="4594" spans="1:10" ht="15" customHeight="1" x14ac:dyDescent="0.2">
      <c r="A4594" s="420">
        <v>45948</v>
      </c>
      <c r="B4594" t="s">
        <v>2532</v>
      </c>
      <c r="C4594" t="s">
        <v>6402</v>
      </c>
      <c r="D4594" t="s">
        <v>4956</v>
      </c>
      <c r="E4594" t="s">
        <v>1957</v>
      </c>
      <c r="F4594">
        <v>3.71</v>
      </c>
      <c r="H4594">
        <v>20842.77</v>
      </c>
      <c r="J4594" t="s">
        <v>2585</v>
      </c>
    </row>
    <row r="4595" spans="1:10" ht="15" customHeight="1" x14ac:dyDescent="0.2">
      <c r="A4595" s="420">
        <v>45950</v>
      </c>
      <c r="B4595" t="s">
        <v>2532</v>
      </c>
      <c r="C4595" t="s">
        <v>6402</v>
      </c>
      <c r="D4595" t="s">
        <v>3869</v>
      </c>
      <c r="E4595" t="s">
        <v>1580</v>
      </c>
      <c r="F4595">
        <v>124.94</v>
      </c>
      <c r="H4595">
        <v>20967.71</v>
      </c>
      <c r="J4595" t="s">
        <v>2585</v>
      </c>
    </row>
    <row r="4596" spans="1:10" ht="15" customHeight="1" x14ac:dyDescent="0.2">
      <c r="A4596" s="420">
        <v>45950</v>
      </c>
      <c r="B4596" t="s">
        <v>2532</v>
      </c>
      <c r="C4596" t="s">
        <v>6402</v>
      </c>
      <c r="D4596" t="s">
        <v>5303</v>
      </c>
      <c r="E4596" t="s">
        <v>562</v>
      </c>
      <c r="F4596">
        <v>9.69</v>
      </c>
      <c r="H4596">
        <v>20977.4</v>
      </c>
      <c r="J4596" t="s">
        <v>2585</v>
      </c>
    </row>
    <row r="4597" spans="1:10" ht="15" customHeight="1" x14ac:dyDescent="0.2">
      <c r="A4597" s="420">
        <v>45952</v>
      </c>
      <c r="B4597" t="s">
        <v>2532</v>
      </c>
      <c r="C4597" t="s">
        <v>6402</v>
      </c>
      <c r="D4597" t="s">
        <v>4959</v>
      </c>
      <c r="E4597" t="s">
        <v>1959</v>
      </c>
      <c r="F4597">
        <v>2.5</v>
      </c>
      <c r="H4597">
        <v>20979.9</v>
      </c>
      <c r="J4597" t="s">
        <v>2585</v>
      </c>
    </row>
    <row r="4598" spans="1:10" ht="15" customHeight="1" x14ac:dyDescent="0.2">
      <c r="A4598" s="420">
        <v>45952</v>
      </c>
      <c r="B4598" t="s">
        <v>2532</v>
      </c>
      <c r="C4598" t="s">
        <v>6402</v>
      </c>
      <c r="D4598" t="s">
        <v>4959</v>
      </c>
      <c r="E4598" t="s">
        <v>1959</v>
      </c>
      <c r="F4598">
        <v>3.33</v>
      </c>
      <c r="H4598">
        <v>20983.23</v>
      </c>
      <c r="J4598" t="s">
        <v>2585</v>
      </c>
    </row>
    <row r="4599" spans="1:10" ht="15" customHeight="1" x14ac:dyDescent="0.2">
      <c r="A4599" s="420">
        <v>45953</v>
      </c>
      <c r="B4599" t="s">
        <v>2532</v>
      </c>
      <c r="C4599" t="s">
        <v>6402</v>
      </c>
      <c r="D4599" t="s">
        <v>5152</v>
      </c>
      <c r="E4599" t="s">
        <v>1581</v>
      </c>
      <c r="F4599">
        <v>30</v>
      </c>
      <c r="H4599">
        <v>21013.23</v>
      </c>
      <c r="J4599" t="s">
        <v>2585</v>
      </c>
    </row>
    <row r="4600" spans="1:10" ht="15" customHeight="1" x14ac:dyDescent="0.2">
      <c r="A4600" s="420">
        <v>45953</v>
      </c>
      <c r="B4600" t="s">
        <v>2532</v>
      </c>
      <c r="C4600" t="s">
        <v>6402</v>
      </c>
      <c r="D4600" t="s">
        <v>5153</v>
      </c>
      <c r="E4600" t="s">
        <v>1582</v>
      </c>
      <c r="F4600">
        <v>30</v>
      </c>
      <c r="H4600">
        <v>21043.23</v>
      </c>
      <c r="J4600" t="s">
        <v>2585</v>
      </c>
    </row>
    <row r="4601" spans="1:10" ht="15" customHeight="1" x14ac:dyDescent="0.2">
      <c r="A4601" s="420">
        <v>45953</v>
      </c>
      <c r="B4601" t="s">
        <v>2532</v>
      </c>
      <c r="C4601" t="s">
        <v>6402</v>
      </c>
      <c r="D4601" t="s">
        <v>4962</v>
      </c>
      <c r="E4601" t="s">
        <v>1960</v>
      </c>
      <c r="F4601">
        <v>1.45</v>
      </c>
      <c r="H4601">
        <v>21044.68</v>
      </c>
      <c r="J4601" t="s">
        <v>2585</v>
      </c>
    </row>
    <row r="4602" spans="1:10" ht="15" customHeight="1" x14ac:dyDescent="0.2">
      <c r="A4602" s="420">
        <v>45953</v>
      </c>
      <c r="B4602" t="s">
        <v>2532</v>
      </c>
      <c r="C4602" t="s">
        <v>6402</v>
      </c>
      <c r="D4602" t="s">
        <v>4962</v>
      </c>
      <c r="E4602" t="s">
        <v>1960</v>
      </c>
      <c r="F4602">
        <v>7.1</v>
      </c>
      <c r="H4602">
        <v>21051.78</v>
      </c>
      <c r="J4602" t="s">
        <v>2585</v>
      </c>
    </row>
    <row r="4603" spans="1:10" ht="15" customHeight="1" x14ac:dyDescent="0.2">
      <c r="A4603" s="420">
        <v>45957</v>
      </c>
      <c r="B4603" t="s">
        <v>2532</v>
      </c>
      <c r="C4603" t="s">
        <v>6402</v>
      </c>
      <c r="D4603" t="s">
        <v>2930</v>
      </c>
      <c r="E4603" t="s">
        <v>1583</v>
      </c>
      <c r="F4603">
        <v>69.8</v>
      </c>
      <c r="H4603">
        <v>21121.58</v>
      </c>
      <c r="J4603" t="s">
        <v>2585</v>
      </c>
    </row>
    <row r="4604" spans="1:10" ht="15" customHeight="1" x14ac:dyDescent="0.2">
      <c r="A4604" s="420">
        <v>45959</v>
      </c>
      <c r="B4604" t="s">
        <v>2532</v>
      </c>
      <c r="C4604" t="s">
        <v>6402</v>
      </c>
      <c r="D4604" t="s">
        <v>4964</v>
      </c>
      <c r="E4604" t="s">
        <v>1961</v>
      </c>
      <c r="F4604">
        <v>4.34</v>
      </c>
      <c r="H4604">
        <v>21125.919999999998</v>
      </c>
      <c r="J4604" t="s">
        <v>2585</v>
      </c>
    </row>
    <row r="4605" spans="1:10" ht="15" customHeight="1" x14ac:dyDescent="0.2">
      <c r="A4605" s="420">
        <v>45960</v>
      </c>
      <c r="B4605" t="s">
        <v>2532</v>
      </c>
      <c r="C4605" t="s">
        <v>6402</v>
      </c>
      <c r="D4605" t="s">
        <v>4965</v>
      </c>
      <c r="E4605" t="s">
        <v>1962</v>
      </c>
      <c r="F4605">
        <v>1.42</v>
      </c>
      <c r="H4605">
        <v>21127.34</v>
      </c>
      <c r="J4605" t="s">
        <v>2585</v>
      </c>
    </row>
    <row r="4606" spans="1:10" ht="15" customHeight="1" x14ac:dyDescent="0.2">
      <c r="A4606" s="420">
        <v>45960</v>
      </c>
      <c r="B4606" t="s">
        <v>2532</v>
      </c>
      <c r="C4606" t="s">
        <v>6402</v>
      </c>
      <c r="D4606" t="s">
        <v>4965</v>
      </c>
      <c r="E4606" t="s">
        <v>1962</v>
      </c>
      <c r="F4606">
        <v>1.88</v>
      </c>
      <c r="H4606">
        <v>21129.22</v>
      </c>
      <c r="J4606" t="s">
        <v>2585</v>
      </c>
    </row>
    <row r="4607" spans="1:10" ht="15" customHeight="1" x14ac:dyDescent="0.2">
      <c r="A4607" s="420">
        <v>45961</v>
      </c>
      <c r="B4607" t="s">
        <v>2532</v>
      </c>
      <c r="C4607" t="s">
        <v>6402</v>
      </c>
      <c r="D4607" t="s">
        <v>3420</v>
      </c>
      <c r="E4607" t="s">
        <v>1026</v>
      </c>
      <c r="F4607">
        <v>1180</v>
      </c>
      <c r="H4607">
        <v>22309.22</v>
      </c>
      <c r="J4607" t="s">
        <v>2585</v>
      </c>
    </row>
    <row r="4608" spans="1:10" ht="15" customHeight="1" x14ac:dyDescent="0.2">
      <c r="A4608" s="420">
        <v>45961</v>
      </c>
      <c r="B4608" t="s">
        <v>2532</v>
      </c>
      <c r="C4608" t="s">
        <v>6402</v>
      </c>
      <c r="D4608" t="s">
        <v>2631</v>
      </c>
      <c r="E4608" t="s">
        <v>1587</v>
      </c>
      <c r="F4608">
        <v>48</v>
      </c>
      <c r="H4608">
        <v>22357.22</v>
      </c>
      <c r="J4608" t="s">
        <v>2585</v>
      </c>
    </row>
    <row r="4609" spans="1:10" ht="15" customHeight="1" x14ac:dyDescent="0.2">
      <c r="A4609" s="420">
        <v>45961</v>
      </c>
      <c r="B4609" t="s">
        <v>2532</v>
      </c>
      <c r="C4609" t="s">
        <v>6402</v>
      </c>
      <c r="D4609" t="s">
        <v>2999</v>
      </c>
      <c r="E4609" t="s">
        <v>1588</v>
      </c>
      <c r="F4609">
        <v>370</v>
      </c>
      <c r="H4609">
        <v>22727.22</v>
      </c>
      <c r="J4609" t="s">
        <v>2585</v>
      </c>
    </row>
    <row r="4610" spans="1:10" ht="15" customHeight="1" x14ac:dyDescent="0.2">
      <c r="A4610" s="420">
        <v>45961</v>
      </c>
      <c r="B4610" t="s">
        <v>2532</v>
      </c>
      <c r="C4610" t="s">
        <v>6402</v>
      </c>
      <c r="D4610" t="s">
        <v>2738</v>
      </c>
      <c r="E4610" t="s">
        <v>1150</v>
      </c>
      <c r="F4610">
        <v>118.4</v>
      </c>
      <c r="H4610">
        <v>22845.62</v>
      </c>
      <c r="J4610" t="s">
        <v>2585</v>
      </c>
    </row>
    <row r="4611" spans="1:10" ht="15" customHeight="1" x14ac:dyDescent="0.2">
      <c r="A4611" s="420">
        <v>45961</v>
      </c>
      <c r="B4611" t="s">
        <v>2532</v>
      </c>
      <c r="C4611" t="s">
        <v>6402</v>
      </c>
      <c r="D4611" t="s">
        <v>4558</v>
      </c>
      <c r="E4611" t="s">
        <v>4559</v>
      </c>
      <c r="F4611">
        <v>1629.92</v>
      </c>
      <c r="H4611">
        <v>24475.54</v>
      </c>
      <c r="J4611" t="s">
        <v>2585</v>
      </c>
    </row>
    <row r="4612" spans="1:10" ht="15" customHeight="1" x14ac:dyDescent="0.2">
      <c r="A4612" s="420">
        <v>45961</v>
      </c>
      <c r="B4612" t="s">
        <v>2532</v>
      </c>
      <c r="C4612" t="s">
        <v>6402</v>
      </c>
      <c r="D4612" t="s">
        <v>4572</v>
      </c>
      <c r="E4612" t="s">
        <v>4573</v>
      </c>
      <c r="F4612">
        <v>1459.45</v>
      </c>
      <c r="H4612">
        <v>25934.99</v>
      </c>
      <c r="J4612" t="s">
        <v>2585</v>
      </c>
    </row>
    <row r="4613" spans="1:10" ht="15" customHeight="1" x14ac:dyDescent="0.2">
      <c r="A4613" s="420">
        <v>45961</v>
      </c>
      <c r="B4613" t="s">
        <v>2532</v>
      </c>
      <c r="C4613" t="s">
        <v>6402</v>
      </c>
      <c r="D4613" t="s">
        <v>4574</v>
      </c>
      <c r="E4613" t="s">
        <v>4575</v>
      </c>
      <c r="F4613">
        <v>561.33000000000004</v>
      </c>
      <c r="H4613">
        <v>26496.32</v>
      </c>
      <c r="J4613" t="s">
        <v>2585</v>
      </c>
    </row>
    <row r="4614" spans="1:10" ht="15" customHeight="1" x14ac:dyDescent="0.2">
      <c r="A4614" s="420">
        <v>45961</v>
      </c>
      <c r="B4614" t="s">
        <v>2517</v>
      </c>
      <c r="C4614" t="s">
        <v>6402</v>
      </c>
      <c r="D4614" t="s">
        <v>6325</v>
      </c>
      <c r="E4614" t="s">
        <v>6986</v>
      </c>
      <c r="G4614">
        <v>23221.63</v>
      </c>
      <c r="H4614">
        <v>3274.69</v>
      </c>
      <c r="J4614" t="s">
        <v>2585</v>
      </c>
    </row>
    <row r="4615" spans="1:10" ht="15" customHeight="1" x14ac:dyDescent="0.2">
      <c r="A4615" s="420">
        <v>45961</v>
      </c>
      <c r="B4615" t="s">
        <v>2517</v>
      </c>
      <c r="C4615" t="s">
        <v>6402</v>
      </c>
      <c r="D4615" t="s">
        <v>6325</v>
      </c>
      <c r="E4615" t="s">
        <v>6987</v>
      </c>
      <c r="F4615">
        <v>9816.4500000000007</v>
      </c>
      <c r="H4615">
        <v>13091.14</v>
      </c>
      <c r="J4615" t="s">
        <v>2585</v>
      </c>
    </row>
    <row r="4616" spans="1:10" ht="15" customHeight="1" x14ac:dyDescent="0.2">
      <c r="A4616" s="420">
        <v>45961</v>
      </c>
      <c r="B4616" t="s">
        <v>2532</v>
      </c>
      <c r="C4616" t="s">
        <v>6402</v>
      </c>
      <c r="D4616" t="s">
        <v>4580</v>
      </c>
      <c r="E4616" t="s">
        <v>4581</v>
      </c>
      <c r="F4616">
        <v>1977.14</v>
      </c>
      <c r="H4616">
        <v>15068.28</v>
      </c>
      <c r="J4616" t="s">
        <v>2585</v>
      </c>
    </row>
    <row r="4617" spans="1:10" ht="15" customHeight="1" x14ac:dyDescent="0.2">
      <c r="A4617" s="420">
        <v>45961</v>
      </c>
      <c r="B4617" t="s">
        <v>2532</v>
      </c>
      <c r="C4617" t="s">
        <v>6402</v>
      </c>
      <c r="D4617" t="s">
        <v>4582</v>
      </c>
      <c r="E4617" t="s">
        <v>4583</v>
      </c>
      <c r="F4617">
        <v>760.44</v>
      </c>
      <c r="H4617">
        <v>15828.72</v>
      </c>
      <c r="J4617" t="s">
        <v>2585</v>
      </c>
    </row>
    <row r="4618" spans="1:10" ht="15" customHeight="1" x14ac:dyDescent="0.2">
      <c r="A4618" s="420">
        <v>45961</v>
      </c>
      <c r="B4618" t="s">
        <v>2532</v>
      </c>
      <c r="C4618" t="s">
        <v>6402</v>
      </c>
      <c r="D4618" t="s">
        <v>4596</v>
      </c>
      <c r="E4618" t="s">
        <v>4597</v>
      </c>
      <c r="F4618">
        <v>664.45</v>
      </c>
      <c r="H4618">
        <v>16493.169999999998</v>
      </c>
      <c r="J4618" t="s">
        <v>2585</v>
      </c>
    </row>
    <row r="4619" spans="1:10" ht="15" customHeight="1" x14ac:dyDescent="0.2">
      <c r="A4619" s="420">
        <v>45961</v>
      </c>
      <c r="B4619" t="s">
        <v>2532</v>
      </c>
      <c r="C4619" t="s">
        <v>6402</v>
      </c>
      <c r="D4619" t="s">
        <v>3872</v>
      </c>
      <c r="E4619" t="s">
        <v>1589</v>
      </c>
      <c r="F4619">
        <v>217.8</v>
      </c>
      <c r="H4619">
        <v>16710.97</v>
      </c>
      <c r="J4619" t="s">
        <v>2585</v>
      </c>
    </row>
    <row r="4620" spans="1:10" ht="15" customHeight="1" x14ac:dyDescent="0.2">
      <c r="A4620" s="420">
        <v>45961</v>
      </c>
      <c r="B4620" t="s">
        <v>2532</v>
      </c>
      <c r="C4620" t="s">
        <v>6402</v>
      </c>
      <c r="D4620" t="s">
        <v>4272</v>
      </c>
      <c r="E4620" t="s">
        <v>1964</v>
      </c>
      <c r="F4620">
        <v>56.49</v>
      </c>
      <c r="H4620">
        <v>16767.46</v>
      </c>
      <c r="J4620" t="s">
        <v>2585</v>
      </c>
    </row>
    <row r="4621" spans="1:10" ht="15" customHeight="1" x14ac:dyDescent="0.2">
      <c r="A4621" s="420">
        <v>45961</v>
      </c>
      <c r="B4621" t="s">
        <v>2532</v>
      </c>
      <c r="C4621" t="s">
        <v>6402</v>
      </c>
      <c r="D4621" t="s">
        <v>4274</v>
      </c>
      <c r="E4621" t="s">
        <v>1143</v>
      </c>
      <c r="F4621">
        <v>17</v>
      </c>
      <c r="H4621">
        <v>16784.46</v>
      </c>
      <c r="J4621" t="s">
        <v>2585</v>
      </c>
    </row>
    <row r="4622" spans="1:10" ht="15" customHeight="1" x14ac:dyDescent="0.2">
      <c r="A4622" s="420">
        <v>45961</v>
      </c>
      <c r="B4622" t="s">
        <v>2532</v>
      </c>
      <c r="C4622" t="s">
        <v>6402</v>
      </c>
      <c r="D4622" t="s">
        <v>4275</v>
      </c>
      <c r="E4622" t="s">
        <v>1144</v>
      </c>
      <c r="F4622">
        <v>17</v>
      </c>
      <c r="H4622">
        <v>16801.46</v>
      </c>
      <c r="J4622" t="s">
        <v>2585</v>
      </c>
    </row>
    <row r="4623" spans="1:10" ht="15" customHeight="1" x14ac:dyDescent="0.2">
      <c r="A4623" s="420">
        <v>45961</v>
      </c>
      <c r="B4623" t="s">
        <v>2532</v>
      </c>
      <c r="C4623" t="s">
        <v>6402</v>
      </c>
      <c r="D4623" t="s">
        <v>4276</v>
      </c>
      <c r="E4623" t="s">
        <v>1145</v>
      </c>
      <c r="F4623">
        <v>17</v>
      </c>
      <c r="H4623">
        <v>16818.46</v>
      </c>
      <c r="J4623" t="s">
        <v>2585</v>
      </c>
    </row>
    <row r="4624" spans="1:10" ht="15" customHeight="1" x14ac:dyDescent="0.2">
      <c r="A4624" s="420">
        <v>45961</v>
      </c>
      <c r="B4624" t="s">
        <v>2532</v>
      </c>
      <c r="C4624" t="s">
        <v>6402</v>
      </c>
      <c r="D4624" t="s">
        <v>4277</v>
      </c>
      <c r="E4624" t="s">
        <v>1146</v>
      </c>
      <c r="F4624">
        <v>9</v>
      </c>
      <c r="H4624">
        <v>16827.46</v>
      </c>
      <c r="J4624" t="s">
        <v>2585</v>
      </c>
    </row>
    <row r="4625" spans="1:10" ht="15" customHeight="1" x14ac:dyDescent="0.2">
      <c r="A4625" s="420">
        <v>45961</v>
      </c>
      <c r="B4625" t="s">
        <v>2532</v>
      </c>
      <c r="C4625" t="s">
        <v>6402</v>
      </c>
      <c r="D4625" t="s">
        <v>4278</v>
      </c>
      <c r="E4625" t="s">
        <v>1147</v>
      </c>
      <c r="F4625">
        <v>17</v>
      </c>
      <c r="H4625">
        <v>16844.46</v>
      </c>
      <c r="J4625" t="s">
        <v>2585</v>
      </c>
    </row>
    <row r="4626" spans="1:10" ht="15" customHeight="1" x14ac:dyDescent="0.2">
      <c r="A4626" s="420">
        <v>45961</v>
      </c>
      <c r="B4626" t="s">
        <v>2532</v>
      </c>
      <c r="C4626" t="s">
        <v>6402</v>
      </c>
      <c r="D4626" t="s">
        <v>4279</v>
      </c>
      <c r="E4626" t="s">
        <v>1148</v>
      </c>
      <c r="F4626">
        <v>17</v>
      </c>
      <c r="H4626">
        <v>16861.46</v>
      </c>
      <c r="J4626" t="s">
        <v>2585</v>
      </c>
    </row>
    <row r="4627" spans="1:10" ht="15" customHeight="1" x14ac:dyDescent="0.2">
      <c r="A4627" s="420">
        <v>45961</v>
      </c>
      <c r="B4627" t="s">
        <v>2532</v>
      </c>
      <c r="C4627" t="s">
        <v>6402</v>
      </c>
      <c r="D4627" t="s">
        <v>4280</v>
      </c>
      <c r="E4627" t="s">
        <v>1149</v>
      </c>
      <c r="F4627">
        <v>21.2</v>
      </c>
      <c r="H4627">
        <v>16882.66</v>
      </c>
      <c r="J4627" t="s">
        <v>2585</v>
      </c>
    </row>
    <row r="4628" spans="1:10" ht="15" customHeight="1" x14ac:dyDescent="0.2">
      <c r="A4628" s="420">
        <v>45962</v>
      </c>
      <c r="B4628" t="s">
        <v>2532</v>
      </c>
      <c r="C4628" t="s">
        <v>6402</v>
      </c>
      <c r="D4628" t="s">
        <v>5476</v>
      </c>
      <c r="E4628" t="s">
        <v>1283</v>
      </c>
      <c r="F4628">
        <v>10.96</v>
      </c>
      <c r="H4628">
        <v>16893.62</v>
      </c>
      <c r="J4628" t="s">
        <v>2585</v>
      </c>
    </row>
    <row r="4629" spans="1:10" ht="15" customHeight="1" x14ac:dyDescent="0.2">
      <c r="A4629" s="420">
        <v>45962</v>
      </c>
      <c r="B4629" t="s">
        <v>2532</v>
      </c>
      <c r="C4629" t="s">
        <v>6402</v>
      </c>
      <c r="D4629" t="s">
        <v>5406</v>
      </c>
      <c r="E4629" t="s">
        <v>1966</v>
      </c>
      <c r="F4629">
        <v>12.16</v>
      </c>
      <c r="H4629">
        <v>16905.78</v>
      </c>
      <c r="J4629" t="s">
        <v>2585</v>
      </c>
    </row>
    <row r="4630" spans="1:10" ht="15" customHeight="1" x14ac:dyDescent="0.2">
      <c r="A4630" s="420">
        <v>45962</v>
      </c>
      <c r="B4630" t="s">
        <v>2532</v>
      </c>
      <c r="C4630" t="s">
        <v>6402</v>
      </c>
      <c r="D4630" t="s">
        <v>5438</v>
      </c>
      <c r="E4630" t="s">
        <v>780</v>
      </c>
      <c r="F4630">
        <v>75.47</v>
      </c>
      <c r="H4630">
        <v>16981.25</v>
      </c>
      <c r="J4630" t="s">
        <v>2585</v>
      </c>
    </row>
    <row r="4631" spans="1:10" ht="15" customHeight="1" x14ac:dyDescent="0.2">
      <c r="A4631" s="420">
        <v>45962</v>
      </c>
      <c r="B4631" t="s">
        <v>2532</v>
      </c>
      <c r="C4631" t="s">
        <v>6402</v>
      </c>
      <c r="D4631" t="s">
        <v>4065</v>
      </c>
      <c r="E4631" t="s">
        <v>1221</v>
      </c>
      <c r="F4631">
        <v>216</v>
      </c>
      <c r="H4631">
        <v>17197.25</v>
      </c>
      <c r="J4631" t="s">
        <v>2585</v>
      </c>
    </row>
    <row r="4632" spans="1:10" ht="15" customHeight="1" x14ac:dyDescent="0.2">
      <c r="A4632" s="420">
        <v>45962</v>
      </c>
      <c r="B4632" t="s">
        <v>2439</v>
      </c>
      <c r="C4632" t="s">
        <v>6402</v>
      </c>
      <c r="D4632" t="s">
        <v>2658</v>
      </c>
      <c r="E4632" t="s">
        <v>719</v>
      </c>
      <c r="F4632">
        <v>212.67</v>
      </c>
      <c r="H4632">
        <v>17409.919999999998</v>
      </c>
      <c r="J4632" t="s">
        <v>2585</v>
      </c>
    </row>
    <row r="4633" spans="1:10" ht="15" customHeight="1" x14ac:dyDescent="0.2">
      <c r="A4633" s="420">
        <v>45962</v>
      </c>
      <c r="B4633" t="s">
        <v>2532</v>
      </c>
      <c r="C4633" t="s">
        <v>6402</v>
      </c>
      <c r="D4633" t="s">
        <v>4774</v>
      </c>
      <c r="E4633" t="s">
        <v>1965</v>
      </c>
      <c r="F4633">
        <v>21.34</v>
      </c>
      <c r="H4633">
        <v>17431.259999999998</v>
      </c>
      <c r="J4633" t="s">
        <v>2585</v>
      </c>
    </row>
    <row r="4634" spans="1:10" ht="15" customHeight="1" x14ac:dyDescent="0.2">
      <c r="A4634" s="420">
        <v>45963</v>
      </c>
      <c r="B4634" t="s">
        <v>2532</v>
      </c>
      <c r="C4634" t="s">
        <v>6402</v>
      </c>
      <c r="D4634" t="s">
        <v>5362</v>
      </c>
      <c r="E4634" t="s">
        <v>1592</v>
      </c>
      <c r="F4634">
        <v>4</v>
      </c>
      <c r="H4634">
        <v>17435.259999999998</v>
      </c>
      <c r="J4634" t="s">
        <v>2585</v>
      </c>
    </row>
    <row r="4635" spans="1:10" ht="15" customHeight="1" x14ac:dyDescent="0.2">
      <c r="A4635" s="420">
        <v>45964</v>
      </c>
      <c r="B4635" t="s">
        <v>2532</v>
      </c>
      <c r="C4635" t="s">
        <v>6402</v>
      </c>
      <c r="D4635" t="s">
        <v>4598</v>
      </c>
      <c r="E4635" t="s">
        <v>4599</v>
      </c>
      <c r="F4635">
        <v>1727.57</v>
      </c>
      <c r="H4635">
        <v>19162.830000000002</v>
      </c>
      <c r="J4635" t="s">
        <v>2585</v>
      </c>
    </row>
    <row r="4636" spans="1:10" ht="15" customHeight="1" x14ac:dyDescent="0.2">
      <c r="A4636" s="420">
        <v>45967</v>
      </c>
      <c r="B4636" t="s">
        <v>2532</v>
      </c>
      <c r="C4636" t="s">
        <v>6402</v>
      </c>
      <c r="D4636" t="s">
        <v>2933</v>
      </c>
      <c r="E4636" t="s">
        <v>1593</v>
      </c>
      <c r="F4636">
        <v>384.42</v>
      </c>
      <c r="H4636">
        <v>19547.25</v>
      </c>
      <c r="J4636" t="s">
        <v>2585</v>
      </c>
    </row>
    <row r="4637" spans="1:10" ht="15" customHeight="1" x14ac:dyDescent="0.2">
      <c r="A4637" s="420">
        <v>45969</v>
      </c>
      <c r="B4637" t="s">
        <v>2532</v>
      </c>
      <c r="C4637" t="s">
        <v>6402</v>
      </c>
      <c r="D4637" t="s">
        <v>5066</v>
      </c>
      <c r="E4637" t="s">
        <v>1709</v>
      </c>
      <c r="F4637">
        <v>34.020000000000003</v>
      </c>
      <c r="H4637">
        <v>19581.27</v>
      </c>
      <c r="J4637" t="s">
        <v>2585</v>
      </c>
    </row>
    <row r="4638" spans="1:10" ht="15" customHeight="1" x14ac:dyDescent="0.2">
      <c r="A4638" s="420">
        <v>45971</v>
      </c>
      <c r="B4638" t="s">
        <v>2532</v>
      </c>
      <c r="C4638" t="s">
        <v>6402</v>
      </c>
      <c r="D4638" t="s">
        <v>5365</v>
      </c>
      <c r="E4638" t="s">
        <v>1595</v>
      </c>
      <c r="F4638">
        <v>58.8</v>
      </c>
      <c r="H4638">
        <v>19640.07</v>
      </c>
      <c r="J4638" t="s">
        <v>2585</v>
      </c>
    </row>
    <row r="4639" spans="1:10" ht="15" customHeight="1" x14ac:dyDescent="0.2">
      <c r="A4639" s="420">
        <v>45971</v>
      </c>
      <c r="B4639" t="s">
        <v>3866</v>
      </c>
      <c r="C4639" t="s">
        <v>6402</v>
      </c>
      <c r="D4639" t="s">
        <v>6988</v>
      </c>
      <c r="E4639" t="s">
        <v>1695</v>
      </c>
      <c r="F4639">
        <v>1.1000000000000001</v>
      </c>
      <c r="H4639">
        <v>19641.169999999998</v>
      </c>
      <c r="J4639" t="s">
        <v>2585</v>
      </c>
    </row>
    <row r="4640" spans="1:10" ht="15" customHeight="1" x14ac:dyDescent="0.2">
      <c r="A4640" s="420">
        <v>45971</v>
      </c>
      <c r="B4640" t="s">
        <v>2532</v>
      </c>
      <c r="C4640" t="s">
        <v>6402</v>
      </c>
      <c r="D4640" t="s">
        <v>3585</v>
      </c>
      <c r="E4640" t="s">
        <v>1594</v>
      </c>
      <c r="F4640">
        <v>190</v>
      </c>
      <c r="H4640">
        <v>19831.169999999998</v>
      </c>
      <c r="J4640" t="s">
        <v>2585</v>
      </c>
    </row>
    <row r="4641" spans="1:10" ht="15" customHeight="1" x14ac:dyDescent="0.2">
      <c r="A4641" s="420">
        <v>45974</v>
      </c>
      <c r="B4641" t="s">
        <v>2532</v>
      </c>
      <c r="C4641" t="s">
        <v>6402</v>
      </c>
      <c r="D4641" t="s">
        <v>5195</v>
      </c>
      <c r="E4641" t="s">
        <v>1711</v>
      </c>
      <c r="F4641">
        <v>0.83</v>
      </c>
      <c r="H4641">
        <v>19832</v>
      </c>
      <c r="J4641" t="s">
        <v>2585</v>
      </c>
    </row>
    <row r="4642" spans="1:10" ht="15" customHeight="1" x14ac:dyDescent="0.2">
      <c r="A4642" s="420">
        <v>45974</v>
      </c>
      <c r="B4642" t="s">
        <v>2532</v>
      </c>
      <c r="C4642" t="s">
        <v>6402</v>
      </c>
      <c r="D4642" t="s">
        <v>4758</v>
      </c>
      <c r="E4642" t="s">
        <v>1697</v>
      </c>
      <c r="F4642">
        <v>15.8</v>
      </c>
      <c r="H4642">
        <v>19847.8</v>
      </c>
      <c r="J4642" t="s">
        <v>2585</v>
      </c>
    </row>
    <row r="4643" spans="1:10" ht="15" customHeight="1" x14ac:dyDescent="0.2">
      <c r="A4643" s="420">
        <v>45977</v>
      </c>
      <c r="B4643" t="s">
        <v>2532</v>
      </c>
      <c r="C4643" t="s">
        <v>6402</v>
      </c>
      <c r="D4643" t="s">
        <v>3062</v>
      </c>
      <c r="E4643" t="s">
        <v>567</v>
      </c>
      <c r="F4643">
        <v>14.17</v>
      </c>
      <c r="H4643">
        <v>19861.97</v>
      </c>
      <c r="J4643" t="s">
        <v>2585</v>
      </c>
    </row>
    <row r="4644" spans="1:10" ht="15" customHeight="1" x14ac:dyDescent="0.2">
      <c r="A4644" s="420">
        <v>45977</v>
      </c>
      <c r="B4644" t="s">
        <v>2532</v>
      </c>
      <c r="C4644" t="s">
        <v>6402</v>
      </c>
      <c r="D4644" t="s">
        <v>3063</v>
      </c>
      <c r="E4644" t="s">
        <v>568</v>
      </c>
      <c r="F4644">
        <v>15.33</v>
      </c>
      <c r="H4644">
        <v>19877.3</v>
      </c>
      <c r="J4644" t="s">
        <v>2585</v>
      </c>
    </row>
    <row r="4645" spans="1:10" ht="15" customHeight="1" x14ac:dyDescent="0.2">
      <c r="A4645" s="420">
        <v>45979</v>
      </c>
      <c r="B4645" t="s">
        <v>2532</v>
      </c>
      <c r="C4645" t="s">
        <v>6402</v>
      </c>
      <c r="D4645" t="s">
        <v>3918</v>
      </c>
      <c r="E4645" t="s">
        <v>1975</v>
      </c>
      <c r="F4645">
        <v>53.41</v>
      </c>
      <c r="H4645">
        <v>19930.71</v>
      </c>
      <c r="J4645" t="s">
        <v>2585</v>
      </c>
    </row>
    <row r="4646" spans="1:10" ht="15" customHeight="1" x14ac:dyDescent="0.2">
      <c r="A4646" s="420">
        <v>45980</v>
      </c>
      <c r="B4646" t="s">
        <v>2532</v>
      </c>
      <c r="C4646" t="s">
        <v>6402</v>
      </c>
      <c r="D4646" t="s">
        <v>4966</v>
      </c>
      <c r="E4646" t="s">
        <v>1976</v>
      </c>
      <c r="F4646">
        <v>1.25</v>
      </c>
      <c r="H4646">
        <v>19931.96</v>
      </c>
      <c r="J4646" t="s">
        <v>2585</v>
      </c>
    </row>
    <row r="4647" spans="1:10" ht="15" customHeight="1" x14ac:dyDescent="0.2">
      <c r="A4647" s="420">
        <v>45980</v>
      </c>
      <c r="B4647" t="s">
        <v>2532</v>
      </c>
      <c r="C4647" t="s">
        <v>6402</v>
      </c>
      <c r="D4647" t="s">
        <v>4966</v>
      </c>
      <c r="E4647" t="s">
        <v>1976</v>
      </c>
      <c r="F4647">
        <v>1.69</v>
      </c>
      <c r="H4647">
        <v>19933.650000000001</v>
      </c>
      <c r="J4647" t="s">
        <v>2585</v>
      </c>
    </row>
    <row r="4648" spans="1:10" ht="15" customHeight="1" x14ac:dyDescent="0.2">
      <c r="A4648" s="420">
        <v>45980</v>
      </c>
      <c r="B4648" t="s">
        <v>2532</v>
      </c>
      <c r="C4648" t="s">
        <v>6402</v>
      </c>
      <c r="D4648" t="s">
        <v>3558</v>
      </c>
      <c r="E4648" t="s">
        <v>1421</v>
      </c>
      <c r="F4648">
        <v>2.67</v>
      </c>
      <c r="H4648">
        <v>19936.32</v>
      </c>
      <c r="J4648" t="s">
        <v>2585</v>
      </c>
    </row>
    <row r="4649" spans="1:10" ht="15" customHeight="1" x14ac:dyDescent="0.2">
      <c r="A4649" s="420">
        <v>45981</v>
      </c>
      <c r="B4649" t="s">
        <v>2532</v>
      </c>
      <c r="C4649" t="s">
        <v>6402</v>
      </c>
      <c r="D4649" t="s">
        <v>5306</v>
      </c>
      <c r="E4649" t="s">
        <v>570</v>
      </c>
      <c r="F4649">
        <v>9.2799999999999994</v>
      </c>
      <c r="H4649">
        <v>19945.599999999999</v>
      </c>
      <c r="J4649" t="s">
        <v>2585</v>
      </c>
    </row>
    <row r="4650" spans="1:10" ht="15" customHeight="1" x14ac:dyDescent="0.2">
      <c r="A4650" s="420">
        <v>45981</v>
      </c>
      <c r="B4650" t="s">
        <v>2532</v>
      </c>
      <c r="C4650" t="s">
        <v>6402</v>
      </c>
      <c r="D4650" t="s">
        <v>3873</v>
      </c>
      <c r="E4650" t="s">
        <v>1596</v>
      </c>
      <c r="F4650">
        <v>282.64</v>
      </c>
      <c r="H4650">
        <v>20228.240000000002</v>
      </c>
      <c r="J4650" t="s">
        <v>2585</v>
      </c>
    </row>
    <row r="4651" spans="1:10" ht="15" customHeight="1" x14ac:dyDescent="0.2">
      <c r="A4651" s="420">
        <v>45981</v>
      </c>
      <c r="B4651" t="s">
        <v>2532</v>
      </c>
      <c r="C4651" t="s">
        <v>6402</v>
      </c>
      <c r="D4651" t="s">
        <v>4968</v>
      </c>
      <c r="E4651" t="s">
        <v>1977</v>
      </c>
      <c r="F4651">
        <v>6.72</v>
      </c>
      <c r="H4651">
        <v>20234.96</v>
      </c>
      <c r="J4651" t="s">
        <v>2585</v>
      </c>
    </row>
    <row r="4652" spans="1:10" ht="15" customHeight="1" x14ac:dyDescent="0.2">
      <c r="A4652" s="420">
        <v>45981</v>
      </c>
      <c r="B4652" t="s">
        <v>2532</v>
      </c>
      <c r="C4652" t="s">
        <v>6402</v>
      </c>
      <c r="D4652" t="s">
        <v>4968</v>
      </c>
      <c r="E4652" t="s">
        <v>1977</v>
      </c>
      <c r="F4652">
        <v>0.83</v>
      </c>
      <c r="H4652">
        <v>20235.79</v>
      </c>
      <c r="J4652" t="s">
        <v>2585</v>
      </c>
    </row>
    <row r="4653" spans="1:10" ht="15" customHeight="1" x14ac:dyDescent="0.2">
      <c r="A4653" s="420">
        <v>45982</v>
      </c>
      <c r="B4653" t="s">
        <v>2532</v>
      </c>
      <c r="C4653" t="s">
        <v>6402</v>
      </c>
      <c r="D4653" t="s">
        <v>3076</v>
      </c>
      <c r="E4653" t="s">
        <v>867</v>
      </c>
      <c r="F4653">
        <v>130</v>
      </c>
      <c r="H4653">
        <v>20365.79</v>
      </c>
      <c r="J4653" t="s">
        <v>2585</v>
      </c>
    </row>
    <row r="4654" spans="1:10" ht="15" customHeight="1" x14ac:dyDescent="0.2">
      <c r="A4654" s="420">
        <v>45986</v>
      </c>
      <c r="B4654" t="s">
        <v>2532</v>
      </c>
      <c r="C4654" t="s">
        <v>6402</v>
      </c>
      <c r="D4654" t="s">
        <v>4970</v>
      </c>
      <c r="E4654" t="s">
        <v>1978</v>
      </c>
      <c r="F4654">
        <v>2.56</v>
      </c>
      <c r="H4654">
        <v>20368.349999999999</v>
      </c>
      <c r="J4654" t="s">
        <v>2585</v>
      </c>
    </row>
    <row r="4655" spans="1:10" ht="15" customHeight="1" x14ac:dyDescent="0.2">
      <c r="A4655" s="420">
        <v>45986</v>
      </c>
      <c r="B4655" t="s">
        <v>2532</v>
      </c>
      <c r="C4655" t="s">
        <v>6402</v>
      </c>
      <c r="D4655" t="s">
        <v>4970</v>
      </c>
      <c r="E4655" t="s">
        <v>1978</v>
      </c>
      <c r="F4655">
        <v>5.74</v>
      </c>
      <c r="H4655">
        <v>20374.09</v>
      </c>
      <c r="J4655" t="s">
        <v>2585</v>
      </c>
    </row>
    <row r="4656" spans="1:10" ht="15" customHeight="1" x14ac:dyDescent="0.2">
      <c r="A4656" s="420">
        <v>45986</v>
      </c>
      <c r="B4656" t="s">
        <v>2532</v>
      </c>
      <c r="C4656" t="s">
        <v>6402</v>
      </c>
      <c r="D4656" t="s">
        <v>2936</v>
      </c>
      <c r="E4656" t="s">
        <v>1598</v>
      </c>
      <c r="F4656">
        <v>69.8</v>
      </c>
      <c r="H4656">
        <v>20443.89</v>
      </c>
      <c r="J4656" t="s">
        <v>2585</v>
      </c>
    </row>
    <row r="4657" spans="1:10" ht="15" customHeight="1" x14ac:dyDescent="0.2">
      <c r="A4657" s="420">
        <v>45988</v>
      </c>
      <c r="B4657" t="s">
        <v>2532</v>
      </c>
      <c r="C4657" t="s">
        <v>6402</v>
      </c>
      <c r="D4657" t="s">
        <v>4972</v>
      </c>
      <c r="E4657" t="s">
        <v>1980</v>
      </c>
      <c r="F4657">
        <v>1.42</v>
      </c>
      <c r="H4657">
        <v>20445.310000000001</v>
      </c>
      <c r="J4657" t="s">
        <v>2585</v>
      </c>
    </row>
    <row r="4658" spans="1:10" ht="15" customHeight="1" x14ac:dyDescent="0.2">
      <c r="A4658" s="420">
        <v>45988</v>
      </c>
      <c r="B4658" t="s">
        <v>2532</v>
      </c>
      <c r="C4658" t="s">
        <v>6402</v>
      </c>
      <c r="D4658" t="s">
        <v>4972</v>
      </c>
      <c r="E4658" t="s">
        <v>1980</v>
      </c>
      <c r="F4658">
        <v>2.89</v>
      </c>
      <c r="H4658">
        <v>20448.2</v>
      </c>
      <c r="J4658" t="s">
        <v>2585</v>
      </c>
    </row>
    <row r="4659" spans="1:10" ht="15" customHeight="1" x14ac:dyDescent="0.2">
      <c r="A4659" s="420">
        <v>45989</v>
      </c>
      <c r="B4659" t="s">
        <v>2532</v>
      </c>
      <c r="C4659" t="s">
        <v>6402</v>
      </c>
      <c r="D4659" t="s">
        <v>5001</v>
      </c>
      <c r="E4659" t="s">
        <v>1982</v>
      </c>
      <c r="F4659">
        <v>1.96</v>
      </c>
      <c r="H4659">
        <v>20450.16</v>
      </c>
      <c r="J4659" t="s">
        <v>2585</v>
      </c>
    </row>
    <row r="4660" spans="1:10" ht="15" customHeight="1" x14ac:dyDescent="0.2">
      <c r="A4660" s="420">
        <v>45991</v>
      </c>
      <c r="B4660" t="s">
        <v>2532</v>
      </c>
      <c r="C4660" t="s">
        <v>6402</v>
      </c>
      <c r="D4660" t="s">
        <v>2632</v>
      </c>
      <c r="E4660" t="s">
        <v>1599</v>
      </c>
      <c r="F4660">
        <v>48</v>
      </c>
      <c r="H4660">
        <v>20498.16</v>
      </c>
      <c r="J4660" t="s">
        <v>2511</v>
      </c>
    </row>
    <row r="4661" spans="1:10" ht="15" customHeight="1" x14ac:dyDescent="0.2">
      <c r="A4661" s="420">
        <v>45991</v>
      </c>
      <c r="B4661" t="s">
        <v>2532</v>
      </c>
      <c r="C4661" t="s">
        <v>6402</v>
      </c>
      <c r="D4661" t="s">
        <v>3002</v>
      </c>
      <c r="E4661" t="s">
        <v>1600</v>
      </c>
      <c r="F4661">
        <v>370</v>
      </c>
      <c r="H4661">
        <v>20868.16</v>
      </c>
      <c r="J4661" t="s">
        <v>2585</v>
      </c>
    </row>
    <row r="4662" spans="1:10" ht="15" customHeight="1" x14ac:dyDescent="0.2">
      <c r="A4662" s="420">
        <v>45991</v>
      </c>
      <c r="B4662" t="s">
        <v>2532</v>
      </c>
      <c r="C4662" t="s">
        <v>6402</v>
      </c>
      <c r="D4662" t="s">
        <v>2742</v>
      </c>
      <c r="E4662" t="s">
        <v>1151</v>
      </c>
      <c r="F4662">
        <v>118.4</v>
      </c>
      <c r="H4662">
        <v>20986.560000000001</v>
      </c>
      <c r="J4662" t="s">
        <v>2585</v>
      </c>
    </row>
    <row r="4663" spans="1:10" ht="15" customHeight="1" x14ac:dyDescent="0.2">
      <c r="A4663" s="420">
        <v>45991</v>
      </c>
      <c r="B4663" t="s">
        <v>2532</v>
      </c>
      <c r="C4663" t="s">
        <v>6402</v>
      </c>
      <c r="D4663" t="s">
        <v>3422</v>
      </c>
      <c r="E4663" t="s">
        <v>1038</v>
      </c>
      <c r="F4663">
        <v>1180</v>
      </c>
      <c r="H4663">
        <v>22166.560000000001</v>
      </c>
      <c r="J4663" t="s">
        <v>2585</v>
      </c>
    </row>
    <row r="4664" spans="1:10" ht="15" customHeight="1" x14ac:dyDescent="0.2">
      <c r="A4664" s="420">
        <v>45991</v>
      </c>
      <c r="B4664" t="s">
        <v>2517</v>
      </c>
      <c r="C4664" t="s">
        <v>6402</v>
      </c>
      <c r="D4664" t="s">
        <v>6327</v>
      </c>
      <c r="E4664" t="s">
        <v>6390</v>
      </c>
      <c r="G4664">
        <v>18979.39</v>
      </c>
      <c r="H4664">
        <v>3187.17</v>
      </c>
      <c r="J4664" t="s">
        <v>2585</v>
      </c>
    </row>
    <row r="4665" spans="1:10" ht="15" customHeight="1" x14ac:dyDescent="0.2">
      <c r="A4665" s="420">
        <v>45991</v>
      </c>
      <c r="B4665" t="s">
        <v>2517</v>
      </c>
      <c r="C4665" t="s">
        <v>6402</v>
      </c>
      <c r="D4665" t="s">
        <v>6327</v>
      </c>
      <c r="E4665" t="s">
        <v>6989</v>
      </c>
      <c r="F4665">
        <v>10955.04</v>
      </c>
      <c r="H4665">
        <v>14142.21</v>
      </c>
      <c r="J4665" t="s">
        <v>2585</v>
      </c>
    </row>
    <row r="4666" spans="1:10" ht="15" customHeight="1" x14ac:dyDescent="0.2">
      <c r="A4666" s="420">
        <v>45991</v>
      </c>
      <c r="B4666" t="s">
        <v>2532</v>
      </c>
      <c r="C4666" t="s">
        <v>6402</v>
      </c>
      <c r="D4666" t="s">
        <v>4604</v>
      </c>
      <c r="E4666" t="s">
        <v>4605</v>
      </c>
      <c r="F4666">
        <v>1731.83</v>
      </c>
      <c r="H4666">
        <v>15874.04</v>
      </c>
      <c r="J4666" t="s">
        <v>2585</v>
      </c>
    </row>
    <row r="4667" spans="1:10" ht="15" customHeight="1" x14ac:dyDescent="0.2">
      <c r="A4667" s="420">
        <v>45991</v>
      </c>
      <c r="B4667" t="s">
        <v>2532</v>
      </c>
      <c r="C4667" t="s">
        <v>6402</v>
      </c>
      <c r="D4667" t="s">
        <v>4606</v>
      </c>
      <c r="E4667" t="s">
        <v>4607</v>
      </c>
      <c r="F4667">
        <v>666.09</v>
      </c>
      <c r="H4667">
        <v>16540.13</v>
      </c>
      <c r="J4667" t="s">
        <v>2585</v>
      </c>
    </row>
    <row r="4668" spans="1:10" ht="15" customHeight="1" x14ac:dyDescent="0.2">
      <c r="A4668" s="420">
        <v>45991</v>
      </c>
      <c r="B4668" t="s">
        <v>2532</v>
      </c>
      <c r="C4668" t="s">
        <v>6402</v>
      </c>
      <c r="D4668" t="s">
        <v>3876</v>
      </c>
      <c r="E4668" t="s">
        <v>1601</v>
      </c>
      <c r="F4668">
        <v>224.81</v>
      </c>
      <c r="H4668">
        <v>16764.939999999999</v>
      </c>
      <c r="J4668" t="s">
        <v>2585</v>
      </c>
    </row>
    <row r="4669" spans="1:10" ht="15" customHeight="1" x14ac:dyDescent="0.2">
      <c r="A4669" s="420">
        <v>45991</v>
      </c>
      <c r="B4669" t="s">
        <v>2532</v>
      </c>
      <c r="C4669" t="s">
        <v>6402</v>
      </c>
      <c r="D4669" t="s">
        <v>4612</v>
      </c>
      <c r="E4669" t="s">
        <v>4613</v>
      </c>
      <c r="F4669">
        <v>1907.53</v>
      </c>
      <c r="H4669">
        <v>18672.47</v>
      </c>
      <c r="J4669" t="s">
        <v>2585</v>
      </c>
    </row>
    <row r="4670" spans="1:10" ht="15" customHeight="1" x14ac:dyDescent="0.2">
      <c r="A4670" s="420">
        <v>45991</v>
      </c>
      <c r="B4670" t="s">
        <v>2532</v>
      </c>
      <c r="C4670" t="s">
        <v>6402</v>
      </c>
      <c r="D4670" t="s">
        <v>4614</v>
      </c>
      <c r="E4670" t="s">
        <v>4615</v>
      </c>
      <c r="F4670">
        <v>733.67</v>
      </c>
      <c r="H4670">
        <v>19406.14</v>
      </c>
      <c r="J4670" t="s">
        <v>2585</v>
      </c>
    </row>
    <row r="4671" spans="1:10" ht="15" customHeight="1" x14ac:dyDescent="0.2">
      <c r="A4671" s="420">
        <v>45992</v>
      </c>
      <c r="B4671" t="s">
        <v>2532</v>
      </c>
      <c r="C4671" t="s">
        <v>6402</v>
      </c>
      <c r="D4671" t="s">
        <v>5479</v>
      </c>
      <c r="E4671" t="s">
        <v>1286</v>
      </c>
      <c r="F4671">
        <v>10.96</v>
      </c>
      <c r="H4671">
        <v>19417.099999999999</v>
      </c>
      <c r="J4671" t="s">
        <v>2585</v>
      </c>
    </row>
    <row r="4672" spans="1:10" ht="15" customHeight="1" x14ac:dyDescent="0.2">
      <c r="A4672" s="420">
        <v>45992</v>
      </c>
      <c r="B4672" t="s">
        <v>2532</v>
      </c>
      <c r="C4672" t="s">
        <v>6402</v>
      </c>
      <c r="D4672" t="s">
        <v>5409</v>
      </c>
      <c r="E4672" t="s">
        <v>1985</v>
      </c>
      <c r="F4672">
        <v>11.56</v>
      </c>
      <c r="H4672">
        <v>19428.66</v>
      </c>
      <c r="J4672" t="s">
        <v>2585</v>
      </c>
    </row>
    <row r="4673" spans="1:10" ht="15" customHeight="1" x14ac:dyDescent="0.2">
      <c r="A4673" s="420">
        <v>45992</v>
      </c>
      <c r="B4673" t="s">
        <v>2532</v>
      </c>
      <c r="C4673" t="s">
        <v>6402</v>
      </c>
      <c r="D4673" t="s">
        <v>4067</v>
      </c>
      <c r="E4673" t="s">
        <v>1222</v>
      </c>
      <c r="F4673">
        <v>216</v>
      </c>
      <c r="H4673">
        <v>19644.66</v>
      </c>
      <c r="J4673" t="s">
        <v>2585</v>
      </c>
    </row>
    <row r="4674" spans="1:10" ht="15" customHeight="1" x14ac:dyDescent="0.2">
      <c r="A4674" s="420">
        <v>45992</v>
      </c>
      <c r="B4674" t="s">
        <v>2532</v>
      </c>
      <c r="C4674" t="s">
        <v>6402</v>
      </c>
      <c r="D4674" t="s">
        <v>5443</v>
      </c>
      <c r="E4674" t="s">
        <v>791</v>
      </c>
      <c r="F4674">
        <v>75.47</v>
      </c>
      <c r="H4674">
        <v>19720.13</v>
      </c>
      <c r="J4674" t="s">
        <v>2585</v>
      </c>
    </row>
    <row r="4675" spans="1:10" ht="15" customHeight="1" x14ac:dyDescent="0.2">
      <c r="A4675" s="420">
        <v>45992</v>
      </c>
      <c r="B4675" t="s">
        <v>2532</v>
      </c>
      <c r="C4675" t="s">
        <v>6402</v>
      </c>
      <c r="D4675" t="s">
        <v>4588</v>
      </c>
      <c r="E4675" t="s">
        <v>4589</v>
      </c>
      <c r="F4675">
        <v>658.81</v>
      </c>
      <c r="H4675">
        <v>20378.939999999999</v>
      </c>
      <c r="J4675" t="s">
        <v>2585</v>
      </c>
    </row>
    <row r="4676" spans="1:10" ht="15" customHeight="1" x14ac:dyDescent="0.2">
      <c r="A4676" s="420">
        <v>45992</v>
      </c>
      <c r="B4676" t="s">
        <v>2532</v>
      </c>
      <c r="C4676" t="s">
        <v>6402</v>
      </c>
      <c r="D4676" t="s">
        <v>4590</v>
      </c>
      <c r="E4676" t="s">
        <v>4591</v>
      </c>
      <c r="F4676">
        <v>1712.9</v>
      </c>
      <c r="H4676">
        <v>22091.84</v>
      </c>
      <c r="J4676" t="s">
        <v>2585</v>
      </c>
    </row>
    <row r="4677" spans="1:10" ht="15" customHeight="1" x14ac:dyDescent="0.2">
      <c r="A4677" s="420">
        <v>45992</v>
      </c>
      <c r="B4677" t="s">
        <v>2439</v>
      </c>
      <c r="C4677" t="s">
        <v>6402</v>
      </c>
      <c r="D4677" t="s">
        <v>2661</v>
      </c>
      <c r="E4677" t="s">
        <v>719</v>
      </c>
      <c r="F4677">
        <v>212.67</v>
      </c>
      <c r="H4677">
        <v>22304.51</v>
      </c>
      <c r="J4677" t="s">
        <v>2585</v>
      </c>
    </row>
    <row r="4678" spans="1:10" ht="15" customHeight="1" x14ac:dyDescent="0.2">
      <c r="A4678" s="420">
        <v>45993</v>
      </c>
      <c r="B4678" t="s">
        <v>2532</v>
      </c>
      <c r="C4678" t="s">
        <v>6402</v>
      </c>
      <c r="D4678" t="s">
        <v>5368</v>
      </c>
      <c r="E4678" t="s">
        <v>1603</v>
      </c>
      <c r="F4678">
        <v>4</v>
      </c>
      <c r="H4678">
        <v>22308.51</v>
      </c>
      <c r="J4678" t="s">
        <v>2585</v>
      </c>
    </row>
    <row r="4679" spans="1:10" ht="15" customHeight="1" x14ac:dyDescent="0.2">
      <c r="A4679" s="420">
        <v>45993</v>
      </c>
      <c r="B4679" t="s">
        <v>2532</v>
      </c>
      <c r="C4679" t="s">
        <v>6402</v>
      </c>
      <c r="D4679" t="s">
        <v>5369</v>
      </c>
      <c r="E4679" t="s">
        <v>1604</v>
      </c>
      <c r="F4679">
        <v>5</v>
      </c>
      <c r="H4679">
        <v>22313.51</v>
      </c>
      <c r="J4679" t="s">
        <v>2585</v>
      </c>
    </row>
    <row r="4680" spans="1:10" ht="15" customHeight="1" x14ac:dyDescent="0.2">
      <c r="A4680" s="420">
        <v>45994</v>
      </c>
      <c r="B4680" t="s">
        <v>2532</v>
      </c>
      <c r="C4680" t="s">
        <v>6402</v>
      </c>
      <c r="D4680" t="s">
        <v>5158</v>
      </c>
      <c r="E4680" t="s">
        <v>1606</v>
      </c>
      <c r="F4680">
        <v>30</v>
      </c>
      <c r="H4680">
        <v>22343.51</v>
      </c>
      <c r="J4680" t="s">
        <v>2585</v>
      </c>
    </row>
    <row r="4681" spans="1:10" ht="15" customHeight="1" x14ac:dyDescent="0.2">
      <c r="A4681" s="420">
        <v>45994</v>
      </c>
      <c r="B4681" t="s">
        <v>2532</v>
      </c>
      <c r="C4681" t="s">
        <v>6402</v>
      </c>
      <c r="D4681" t="s">
        <v>5069</v>
      </c>
      <c r="E4681" t="s">
        <v>1716</v>
      </c>
      <c r="F4681">
        <v>20</v>
      </c>
      <c r="H4681">
        <v>22363.51</v>
      </c>
      <c r="J4681" t="s">
        <v>2585</v>
      </c>
    </row>
    <row r="4682" spans="1:10" ht="15" customHeight="1" x14ac:dyDescent="0.2">
      <c r="A4682" s="420">
        <v>45994</v>
      </c>
      <c r="B4682" t="s">
        <v>2532</v>
      </c>
      <c r="C4682" t="s">
        <v>6402</v>
      </c>
      <c r="D4682" t="s">
        <v>4974</v>
      </c>
      <c r="E4682" t="s">
        <v>1986</v>
      </c>
      <c r="F4682">
        <v>26.51</v>
      </c>
      <c r="H4682">
        <v>22390.02</v>
      </c>
      <c r="J4682" t="s">
        <v>2585</v>
      </c>
    </row>
    <row r="4683" spans="1:10" ht="15" customHeight="1" x14ac:dyDescent="0.2">
      <c r="A4683" s="420">
        <v>45994</v>
      </c>
      <c r="B4683" t="s">
        <v>2532</v>
      </c>
      <c r="C4683" t="s">
        <v>6402</v>
      </c>
      <c r="D4683" t="s">
        <v>4974</v>
      </c>
      <c r="E4683" t="s">
        <v>1986</v>
      </c>
      <c r="F4683">
        <v>6.59</v>
      </c>
      <c r="H4683">
        <v>22396.61</v>
      </c>
      <c r="J4683" t="s">
        <v>2585</v>
      </c>
    </row>
    <row r="4684" spans="1:10" ht="15" customHeight="1" x14ac:dyDescent="0.2">
      <c r="A4684" s="420">
        <v>45996</v>
      </c>
      <c r="B4684" t="s">
        <v>2532</v>
      </c>
      <c r="C4684" t="s">
        <v>6402</v>
      </c>
      <c r="D4684" t="s">
        <v>3008</v>
      </c>
      <c r="E4684" t="s">
        <v>1426</v>
      </c>
      <c r="F4684">
        <v>71.61</v>
      </c>
      <c r="H4684">
        <v>22468.22</v>
      </c>
      <c r="J4684" t="s">
        <v>2585</v>
      </c>
    </row>
    <row r="4685" spans="1:10" ht="15" customHeight="1" x14ac:dyDescent="0.2">
      <c r="A4685" s="420">
        <v>45996</v>
      </c>
      <c r="B4685" t="s">
        <v>2532</v>
      </c>
      <c r="C4685" t="s">
        <v>6402</v>
      </c>
      <c r="D4685" t="s">
        <v>2940</v>
      </c>
      <c r="E4685" t="s">
        <v>1607</v>
      </c>
      <c r="F4685">
        <v>273.39</v>
      </c>
      <c r="H4685">
        <v>22741.61</v>
      </c>
      <c r="J4685" t="s">
        <v>2585</v>
      </c>
    </row>
    <row r="4686" spans="1:10" ht="15" customHeight="1" x14ac:dyDescent="0.2">
      <c r="A4686" s="420">
        <v>45999</v>
      </c>
      <c r="B4686" t="s">
        <v>2532</v>
      </c>
      <c r="C4686" t="s">
        <v>6402</v>
      </c>
      <c r="D4686" t="s">
        <v>4103</v>
      </c>
      <c r="E4686" t="s">
        <v>574</v>
      </c>
      <c r="F4686">
        <v>78.67</v>
      </c>
      <c r="H4686">
        <v>22820.28</v>
      </c>
      <c r="J4686" t="s">
        <v>2585</v>
      </c>
    </row>
    <row r="4687" spans="1:10" ht="15" customHeight="1" x14ac:dyDescent="0.2">
      <c r="A4687" s="420">
        <v>45999</v>
      </c>
      <c r="B4687" t="s">
        <v>2532</v>
      </c>
      <c r="C4687" t="s">
        <v>6402</v>
      </c>
      <c r="D4687" t="s">
        <v>2780</v>
      </c>
      <c r="E4687" t="s">
        <v>575</v>
      </c>
      <c r="F4687">
        <v>2.62</v>
      </c>
      <c r="H4687">
        <v>22822.9</v>
      </c>
      <c r="J4687" t="s">
        <v>2585</v>
      </c>
    </row>
    <row r="4688" spans="1:10" ht="15" customHeight="1" x14ac:dyDescent="0.2">
      <c r="A4688" s="420">
        <v>45999</v>
      </c>
      <c r="B4688" t="s">
        <v>2532</v>
      </c>
      <c r="C4688" t="s">
        <v>6402</v>
      </c>
      <c r="D4688" t="s">
        <v>5071</v>
      </c>
      <c r="E4688" t="s">
        <v>1717</v>
      </c>
      <c r="F4688">
        <v>31.2</v>
      </c>
      <c r="H4688">
        <v>22854.1</v>
      </c>
      <c r="J4688" t="s">
        <v>2585</v>
      </c>
    </row>
    <row r="4689" spans="1:10" ht="15" customHeight="1" x14ac:dyDescent="0.2">
      <c r="A4689" s="420">
        <v>45999</v>
      </c>
      <c r="B4689" t="s">
        <v>2532</v>
      </c>
      <c r="C4689" t="s">
        <v>6402</v>
      </c>
      <c r="D4689" t="s">
        <v>4980</v>
      </c>
      <c r="E4689" t="s">
        <v>1992</v>
      </c>
      <c r="F4689">
        <v>1.25</v>
      </c>
      <c r="H4689">
        <v>22855.35</v>
      </c>
      <c r="J4689" t="s">
        <v>2585</v>
      </c>
    </row>
    <row r="4690" spans="1:10" ht="15" customHeight="1" x14ac:dyDescent="0.2">
      <c r="A4690" s="420">
        <v>45999</v>
      </c>
      <c r="B4690" t="s">
        <v>2532</v>
      </c>
      <c r="C4690" t="s">
        <v>6402</v>
      </c>
      <c r="D4690" t="s">
        <v>4980</v>
      </c>
      <c r="E4690" t="s">
        <v>1992</v>
      </c>
      <c r="F4690">
        <v>3.44</v>
      </c>
      <c r="H4690">
        <v>22858.79</v>
      </c>
      <c r="J4690" t="s">
        <v>2585</v>
      </c>
    </row>
    <row r="4691" spans="1:10" ht="15" customHeight="1" x14ac:dyDescent="0.2">
      <c r="A4691" s="420">
        <v>45999</v>
      </c>
      <c r="B4691" t="s">
        <v>2532</v>
      </c>
      <c r="C4691" t="s">
        <v>6402</v>
      </c>
      <c r="D4691" t="s">
        <v>5319</v>
      </c>
      <c r="E4691" t="s">
        <v>5320</v>
      </c>
      <c r="F4691">
        <v>12</v>
      </c>
      <c r="H4691">
        <v>22870.79</v>
      </c>
      <c r="J4691" t="s">
        <v>2585</v>
      </c>
    </row>
    <row r="4692" spans="1:10" ht="15" customHeight="1" x14ac:dyDescent="0.2">
      <c r="A4692" s="420">
        <v>46001</v>
      </c>
      <c r="B4692" t="s">
        <v>3866</v>
      </c>
      <c r="C4692" t="s">
        <v>6402</v>
      </c>
      <c r="D4692" t="s">
        <v>6990</v>
      </c>
      <c r="E4692" t="s">
        <v>1695</v>
      </c>
      <c r="F4692">
        <v>1.1000000000000001</v>
      </c>
      <c r="H4692">
        <v>22871.89</v>
      </c>
      <c r="J4692" t="s">
        <v>2585</v>
      </c>
    </row>
    <row r="4693" spans="1:10" ht="15" customHeight="1" x14ac:dyDescent="0.2">
      <c r="A4693" s="420">
        <v>46001</v>
      </c>
      <c r="B4693" t="s">
        <v>2532</v>
      </c>
      <c r="C4693" t="s">
        <v>6402</v>
      </c>
      <c r="D4693" t="s">
        <v>4983</v>
      </c>
      <c r="E4693" t="s">
        <v>1993</v>
      </c>
      <c r="F4693">
        <v>9</v>
      </c>
      <c r="H4693">
        <v>22880.89</v>
      </c>
      <c r="J4693" t="s">
        <v>2585</v>
      </c>
    </row>
    <row r="4694" spans="1:10" ht="15" customHeight="1" x14ac:dyDescent="0.2">
      <c r="A4694" s="420">
        <v>46002</v>
      </c>
      <c r="B4694" t="s">
        <v>2547</v>
      </c>
      <c r="C4694" t="s">
        <v>6402</v>
      </c>
      <c r="D4694" t="s">
        <v>4988</v>
      </c>
      <c r="E4694" t="s">
        <v>1994</v>
      </c>
      <c r="F4694">
        <v>44</v>
      </c>
      <c r="H4694">
        <v>22924.89</v>
      </c>
      <c r="J4694" t="s">
        <v>2585</v>
      </c>
    </row>
    <row r="4695" spans="1:10" ht="15" customHeight="1" x14ac:dyDescent="0.2">
      <c r="A4695" s="420">
        <v>46003</v>
      </c>
      <c r="B4695" t="s">
        <v>2547</v>
      </c>
      <c r="C4695" t="s">
        <v>6402</v>
      </c>
      <c r="D4695" t="s">
        <v>4761</v>
      </c>
      <c r="E4695" t="s">
        <v>1647</v>
      </c>
      <c r="F4695">
        <v>15.8</v>
      </c>
      <c r="H4695">
        <v>22940.69</v>
      </c>
      <c r="J4695" t="s">
        <v>2585</v>
      </c>
    </row>
    <row r="4696" spans="1:10" ht="15" customHeight="1" x14ac:dyDescent="0.2">
      <c r="A4696" s="420">
        <v>46003</v>
      </c>
      <c r="B4696" t="s">
        <v>2532</v>
      </c>
      <c r="C4696" t="s">
        <v>6402</v>
      </c>
      <c r="D4696" t="s">
        <v>4989</v>
      </c>
      <c r="E4696" t="s">
        <v>1995</v>
      </c>
      <c r="F4696">
        <v>2.42</v>
      </c>
      <c r="H4696">
        <v>22943.11</v>
      </c>
      <c r="J4696" t="s">
        <v>2585</v>
      </c>
    </row>
    <row r="4697" spans="1:10" ht="15" customHeight="1" x14ac:dyDescent="0.2">
      <c r="A4697" s="420">
        <v>46003</v>
      </c>
      <c r="B4697" t="s">
        <v>2532</v>
      </c>
      <c r="C4697" t="s">
        <v>6402</v>
      </c>
      <c r="D4697" t="s">
        <v>4989</v>
      </c>
      <c r="E4697" t="s">
        <v>1995</v>
      </c>
      <c r="F4697">
        <v>3.25</v>
      </c>
      <c r="H4697">
        <v>22946.36</v>
      </c>
      <c r="J4697" t="s">
        <v>2585</v>
      </c>
    </row>
    <row r="4698" spans="1:10" ht="15" customHeight="1" x14ac:dyDescent="0.2">
      <c r="A4698" s="420">
        <v>46004</v>
      </c>
      <c r="B4698" t="s">
        <v>2532</v>
      </c>
      <c r="C4698" t="s">
        <v>6402</v>
      </c>
      <c r="D4698" t="s">
        <v>5198</v>
      </c>
      <c r="E4698" t="s">
        <v>1720</v>
      </c>
      <c r="F4698">
        <v>0.83</v>
      </c>
      <c r="H4698">
        <v>22947.19</v>
      </c>
      <c r="J4698" t="s">
        <v>2585</v>
      </c>
    </row>
    <row r="4699" spans="1:10" ht="15" customHeight="1" x14ac:dyDescent="0.2">
      <c r="A4699" s="420">
        <v>46006</v>
      </c>
      <c r="B4699" t="s">
        <v>2532</v>
      </c>
      <c r="C4699" t="s">
        <v>6402</v>
      </c>
      <c r="D4699" t="s">
        <v>4286</v>
      </c>
      <c r="E4699" t="s">
        <v>1997</v>
      </c>
      <c r="F4699">
        <v>33.4</v>
      </c>
      <c r="H4699">
        <v>22980.59</v>
      </c>
      <c r="J4699" t="s">
        <v>2585</v>
      </c>
    </row>
    <row r="4700" spans="1:10" ht="15" customHeight="1" x14ac:dyDescent="0.2">
      <c r="A4700" s="420">
        <v>46007</v>
      </c>
      <c r="B4700" t="s">
        <v>2532</v>
      </c>
      <c r="C4700" t="s">
        <v>6402</v>
      </c>
      <c r="D4700" t="s">
        <v>4668</v>
      </c>
      <c r="E4700" t="s">
        <v>1998</v>
      </c>
      <c r="F4700">
        <v>6.51</v>
      </c>
      <c r="H4700">
        <v>22987.1</v>
      </c>
      <c r="J4700" t="s">
        <v>2585</v>
      </c>
    </row>
    <row r="4701" spans="1:10" ht="15" customHeight="1" x14ac:dyDescent="0.2">
      <c r="A4701" s="420">
        <v>46008</v>
      </c>
      <c r="B4701" t="s">
        <v>2532</v>
      </c>
      <c r="C4701" t="s">
        <v>6402</v>
      </c>
      <c r="D4701" t="s">
        <v>5161</v>
      </c>
      <c r="E4701" t="s">
        <v>1609</v>
      </c>
      <c r="F4701">
        <v>30</v>
      </c>
      <c r="H4701">
        <v>23017.1</v>
      </c>
      <c r="J4701" t="s">
        <v>2585</v>
      </c>
    </row>
    <row r="4702" spans="1:10" ht="15" customHeight="1" x14ac:dyDescent="0.2">
      <c r="A4702" s="420">
        <v>46008</v>
      </c>
      <c r="B4702" t="s">
        <v>2532</v>
      </c>
      <c r="C4702" t="s">
        <v>6402</v>
      </c>
      <c r="D4702" t="s">
        <v>4991</v>
      </c>
      <c r="E4702" t="s">
        <v>1999</v>
      </c>
      <c r="F4702">
        <v>3</v>
      </c>
      <c r="H4702">
        <v>23020.1</v>
      </c>
      <c r="J4702" t="s">
        <v>2585</v>
      </c>
    </row>
    <row r="4703" spans="1:10" ht="15" customHeight="1" x14ac:dyDescent="0.2">
      <c r="A4703" s="420">
        <v>46008</v>
      </c>
      <c r="B4703" t="s">
        <v>2532</v>
      </c>
      <c r="C4703" t="s">
        <v>6402</v>
      </c>
      <c r="D4703" t="s">
        <v>4991</v>
      </c>
      <c r="E4703" t="s">
        <v>1999</v>
      </c>
      <c r="F4703">
        <v>6.77</v>
      </c>
      <c r="H4703">
        <v>23026.87</v>
      </c>
      <c r="J4703" t="s">
        <v>2585</v>
      </c>
    </row>
    <row r="4704" spans="1:10" ht="15" customHeight="1" x14ac:dyDescent="0.2">
      <c r="A4704" s="420">
        <v>46009</v>
      </c>
      <c r="B4704" t="s">
        <v>2532</v>
      </c>
      <c r="C4704" t="s">
        <v>6402</v>
      </c>
      <c r="D4704" t="s">
        <v>5250</v>
      </c>
      <c r="E4704" t="s">
        <v>5251</v>
      </c>
      <c r="F4704">
        <v>2.5</v>
      </c>
      <c r="H4704">
        <v>23029.37</v>
      </c>
      <c r="J4704" t="s">
        <v>2585</v>
      </c>
    </row>
    <row r="4705" spans="1:10" ht="15" customHeight="1" x14ac:dyDescent="0.2">
      <c r="A4705" s="420">
        <v>46009</v>
      </c>
      <c r="B4705" t="s">
        <v>2532</v>
      </c>
      <c r="C4705" t="s">
        <v>6402</v>
      </c>
      <c r="D4705" t="s">
        <v>3942</v>
      </c>
      <c r="E4705" t="s">
        <v>577</v>
      </c>
      <c r="F4705">
        <v>1.81</v>
      </c>
      <c r="H4705">
        <v>23031.18</v>
      </c>
      <c r="J4705" t="s">
        <v>2585</v>
      </c>
    </row>
    <row r="4706" spans="1:10" ht="15" customHeight="1" x14ac:dyDescent="0.2">
      <c r="A4706" s="420">
        <v>46010</v>
      </c>
      <c r="B4706" t="s">
        <v>2532</v>
      </c>
      <c r="C4706" t="s">
        <v>6402</v>
      </c>
      <c r="D4706" t="s">
        <v>3036</v>
      </c>
      <c r="E4706" t="s">
        <v>2001</v>
      </c>
      <c r="F4706">
        <v>3.28</v>
      </c>
      <c r="H4706">
        <v>23034.46</v>
      </c>
      <c r="J4706" t="s">
        <v>2585</v>
      </c>
    </row>
    <row r="4707" spans="1:10" ht="15" customHeight="1" x14ac:dyDescent="0.2">
      <c r="A4707" s="420">
        <v>46011</v>
      </c>
      <c r="B4707" t="s">
        <v>2532</v>
      </c>
      <c r="C4707" t="s">
        <v>6402</v>
      </c>
      <c r="D4707" t="s">
        <v>5311</v>
      </c>
      <c r="E4707" t="s">
        <v>580</v>
      </c>
      <c r="F4707">
        <v>10.84</v>
      </c>
      <c r="H4707">
        <v>23045.3</v>
      </c>
      <c r="J4707" t="s">
        <v>2585</v>
      </c>
    </row>
    <row r="4708" spans="1:10" ht="15" customHeight="1" x14ac:dyDescent="0.2">
      <c r="A4708" s="420">
        <v>46012</v>
      </c>
      <c r="B4708" t="s">
        <v>2532</v>
      </c>
      <c r="C4708" t="s">
        <v>6402</v>
      </c>
      <c r="D4708" t="s">
        <v>3035</v>
      </c>
      <c r="E4708" t="s">
        <v>2003</v>
      </c>
      <c r="F4708">
        <v>6.05</v>
      </c>
      <c r="H4708">
        <v>23051.35</v>
      </c>
      <c r="J4708" t="s">
        <v>2585</v>
      </c>
    </row>
    <row r="4709" spans="1:10" ht="15" customHeight="1" x14ac:dyDescent="0.2">
      <c r="A4709" s="420">
        <v>46013</v>
      </c>
      <c r="B4709" t="s">
        <v>2532</v>
      </c>
      <c r="C4709" t="s">
        <v>6402</v>
      </c>
      <c r="D4709" t="s">
        <v>3879</v>
      </c>
      <c r="E4709" t="s">
        <v>1611</v>
      </c>
      <c r="F4709">
        <v>282.64</v>
      </c>
      <c r="H4709">
        <v>23333.99</v>
      </c>
      <c r="J4709" t="s">
        <v>2511</v>
      </c>
    </row>
    <row r="4710" spans="1:10" ht="15" customHeight="1" x14ac:dyDescent="0.2">
      <c r="A4710" s="420">
        <v>46013</v>
      </c>
      <c r="B4710" t="s">
        <v>2532</v>
      </c>
      <c r="C4710" t="s">
        <v>6402</v>
      </c>
      <c r="D4710" t="s">
        <v>3968</v>
      </c>
      <c r="E4710" t="s">
        <v>2004</v>
      </c>
      <c r="F4710">
        <v>53.41</v>
      </c>
      <c r="H4710">
        <v>23387.4</v>
      </c>
      <c r="J4710" t="s">
        <v>2585</v>
      </c>
    </row>
    <row r="4711" spans="1:10" ht="15" customHeight="1" x14ac:dyDescent="0.2">
      <c r="A4711" s="420">
        <v>46013</v>
      </c>
      <c r="B4711" t="s">
        <v>2517</v>
      </c>
      <c r="C4711" t="s">
        <v>6402</v>
      </c>
      <c r="D4711" t="s">
        <v>3969</v>
      </c>
      <c r="E4711" t="s">
        <v>2005</v>
      </c>
      <c r="G4711">
        <v>53.41</v>
      </c>
      <c r="H4711">
        <v>23333.99</v>
      </c>
      <c r="J4711" t="s">
        <v>2585</v>
      </c>
    </row>
    <row r="4712" spans="1:10" ht="15" customHeight="1" x14ac:dyDescent="0.2">
      <c r="A4712" s="420">
        <v>46014</v>
      </c>
      <c r="B4712" t="s">
        <v>2532</v>
      </c>
      <c r="C4712" t="s">
        <v>6402</v>
      </c>
      <c r="D4712" t="s">
        <v>3036</v>
      </c>
      <c r="E4712" t="s">
        <v>2006</v>
      </c>
      <c r="F4712">
        <v>4.67</v>
      </c>
      <c r="H4712">
        <v>23338.66</v>
      </c>
      <c r="J4712" t="s">
        <v>2585</v>
      </c>
    </row>
    <row r="4713" spans="1:10" ht="15" customHeight="1" x14ac:dyDescent="0.2">
      <c r="A4713" s="420">
        <v>46016</v>
      </c>
      <c r="B4713" t="s">
        <v>2532</v>
      </c>
      <c r="C4713" t="s">
        <v>6402</v>
      </c>
      <c r="D4713" t="s">
        <v>2944</v>
      </c>
      <c r="E4713" t="s">
        <v>1598</v>
      </c>
      <c r="F4713">
        <v>69.8</v>
      </c>
      <c r="H4713">
        <v>23408.46</v>
      </c>
      <c r="J4713" t="s">
        <v>2585</v>
      </c>
    </row>
    <row r="4714" spans="1:10" ht="15" customHeight="1" x14ac:dyDescent="0.2">
      <c r="A4714" s="420">
        <v>46022</v>
      </c>
      <c r="B4714" t="s">
        <v>2532</v>
      </c>
      <c r="C4714" t="s">
        <v>6402</v>
      </c>
      <c r="D4714" t="s">
        <v>4291</v>
      </c>
      <c r="E4714" t="s">
        <v>2007</v>
      </c>
      <c r="F4714">
        <v>37.76</v>
      </c>
      <c r="H4714">
        <v>23446.22</v>
      </c>
      <c r="J4714" t="s">
        <v>2585</v>
      </c>
    </row>
    <row r="4715" spans="1:10" ht="15" customHeight="1" x14ac:dyDescent="0.2">
      <c r="A4715" s="420">
        <v>46022</v>
      </c>
      <c r="B4715" t="s">
        <v>2532</v>
      </c>
      <c r="C4715" t="s">
        <v>6402</v>
      </c>
      <c r="D4715" t="s">
        <v>2748</v>
      </c>
      <c r="E4715" t="s">
        <v>1155</v>
      </c>
      <c r="F4715">
        <v>96.5</v>
      </c>
      <c r="H4715">
        <v>23542.720000000001</v>
      </c>
      <c r="J4715" t="s">
        <v>2511</v>
      </c>
    </row>
    <row r="4716" spans="1:10" ht="15" customHeight="1" x14ac:dyDescent="0.2">
      <c r="A4716" s="420">
        <v>46022</v>
      </c>
      <c r="B4716" t="s">
        <v>2532</v>
      </c>
      <c r="C4716" t="s">
        <v>6402</v>
      </c>
      <c r="D4716" t="s">
        <v>2749</v>
      </c>
      <c r="E4716" t="s">
        <v>2750</v>
      </c>
      <c r="F4716">
        <v>118.4</v>
      </c>
      <c r="H4716">
        <v>23661.119999999999</v>
      </c>
      <c r="J4716" t="s">
        <v>2511</v>
      </c>
    </row>
    <row r="4717" spans="1:10" ht="15" customHeight="1" x14ac:dyDescent="0.2">
      <c r="A4717" s="420">
        <v>46022</v>
      </c>
      <c r="B4717" t="s">
        <v>2532</v>
      </c>
      <c r="C4717" t="s">
        <v>6402</v>
      </c>
      <c r="D4717" t="s">
        <v>3424</v>
      </c>
      <c r="E4717" t="s">
        <v>1047</v>
      </c>
      <c r="F4717">
        <v>1180</v>
      </c>
      <c r="H4717">
        <v>24841.119999999999</v>
      </c>
      <c r="J4717" t="s">
        <v>2511</v>
      </c>
    </row>
    <row r="4718" spans="1:10" ht="15" customHeight="1" x14ac:dyDescent="0.2">
      <c r="A4718" s="420">
        <v>46022</v>
      </c>
      <c r="B4718" t="s">
        <v>2517</v>
      </c>
      <c r="C4718" t="s">
        <v>6402</v>
      </c>
      <c r="D4718" t="s">
        <v>6329</v>
      </c>
      <c r="E4718" t="s">
        <v>6991</v>
      </c>
      <c r="G4718">
        <v>20287.71</v>
      </c>
      <c r="H4718">
        <v>4553.41</v>
      </c>
      <c r="J4718" t="s">
        <v>2585</v>
      </c>
    </row>
    <row r="4719" spans="1:10" ht="15" customHeight="1" x14ac:dyDescent="0.2">
      <c r="A4719" s="420">
        <v>46022</v>
      </c>
      <c r="B4719" t="s">
        <v>2517</v>
      </c>
      <c r="C4719" t="s">
        <v>6402</v>
      </c>
      <c r="D4719" t="s">
        <v>6329</v>
      </c>
      <c r="E4719" t="s">
        <v>6992</v>
      </c>
      <c r="F4719">
        <v>9623.09</v>
      </c>
      <c r="H4719">
        <v>14176.5</v>
      </c>
      <c r="J4719" t="s">
        <v>2511</v>
      </c>
    </row>
    <row r="4720" spans="1:10" ht="15" customHeight="1" x14ac:dyDescent="0.2">
      <c r="A4720" s="420">
        <v>46022</v>
      </c>
      <c r="B4720" t="s">
        <v>2517</v>
      </c>
      <c r="C4720" t="s">
        <v>6402</v>
      </c>
      <c r="D4720" t="s">
        <v>6993</v>
      </c>
      <c r="E4720" t="s">
        <v>6994</v>
      </c>
      <c r="G4720">
        <v>328.33</v>
      </c>
      <c r="H4720">
        <v>13848.17</v>
      </c>
      <c r="J4720" t="s">
        <v>2585</v>
      </c>
    </row>
    <row r="4721" spans="1:10" ht="15" customHeight="1" x14ac:dyDescent="0.2">
      <c r="A4721" s="420">
        <v>46022</v>
      </c>
      <c r="B4721" t="s">
        <v>2517</v>
      </c>
      <c r="C4721" t="s">
        <v>6402</v>
      </c>
      <c r="D4721" t="s">
        <v>6993</v>
      </c>
      <c r="E4721" t="s">
        <v>6994</v>
      </c>
      <c r="G4721">
        <v>622.62</v>
      </c>
      <c r="H4721">
        <v>13225.55</v>
      </c>
      <c r="J4721" t="s">
        <v>2585</v>
      </c>
    </row>
    <row r="4722" spans="1:10" ht="15" customHeight="1" x14ac:dyDescent="0.2">
      <c r="A4722" s="420">
        <v>46022</v>
      </c>
      <c r="B4722" t="s">
        <v>2517</v>
      </c>
      <c r="C4722" t="s">
        <v>6402</v>
      </c>
      <c r="D4722" t="s">
        <v>6993</v>
      </c>
      <c r="E4722" t="s">
        <v>6995</v>
      </c>
      <c r="F4722">
        <v>1424.1</v>
      </c>
      <c r="H4722">
        <v>14649.65</v>
      </c>
      <c r="J4722" t="s">
        <v>2511</v>
      </c>
    </row>
    <row r="4723" spans="1:10" ht="15" customHeight="1" x14ac:dyDescent="0.2">
      <c r="A4723" s="420">
        <v>46022</v>
      </c>
      <c r="B4723" t="s">
        <v>2517</v>
      </c>
      <c r="C4723" t="s">
        <v>6402</v>
      </c>
      <c r="D4723" t="s">
        <v>6993</v>
      </c>
      <c r="E4723" t="s">
        <v>6994</v>
      </c>
      <c r="G4723">
        <v>1424.1</v>
      </c>
      <c r="H4723">
        <v>13225.55</v>
      </c>
      <c r="J4723" t="s">
        <v>2585</v>
      </c>
    </row>
    <row r="4724" spans="1:10" ht="15" customHeight="1" x14ac:dyDescent="0.2">
      <c r="A4724" s="420">
        <v>46022</v>
      </c>
      <c r="B4724" t="s">
        <v>2532</v>
      </c>
      <c r="C4724" t="s">
        <v>6402</v>
      </c>
      <c r="D4724" t="s">
        <v>2635</v>
      </c>
      <c r="E4724" t="s">
        <v>1613</v>
      </c>
      <c r="F4724">
        <v>48</v>
      </c>
      <c r="H4724">
        <v>13273.55</v>
      </c>
      <c r="J4724" t="s">
        <v>2511</v>
      </c>
    </row>
    <row r="4725" spans="1:10" ht="15" customHeight="1" x14ac:dyDescent="0.2">
      <c r="A4725" s="420">
        <v>46022</v>
      </c>
      <c r="B4725" t="s">
        <v>2532</v>
      </c>
      <c r="C4725" t="s">
        <v>6402</v>
      </c>
      <c r="D4725" t="s">
        <v>3882</v>
      </c>
      <c r="E4725" t="s">
        <v>1614</v>
      </c>
      <c r="F4725">
        <v>224.81</v>
      </c>
      <c r="H4725">
        <v>13498.36</v>
      </c>
      <c r="J4725" t="s">
        <v>2511</v>
      </c>
    </row>
    <row r="4726" spans="1:10" ht="15" customHeight="1" x14ac:dyDescent="0.2">
      <c r="A4726" s="420">
        <v>46022</v>
      </c>
      <c r="B4726" t="s">
        <v>2532</v>
      </c>
      <c r="C4726" t="s">
        <v>6402</v>
      </c>
      <c r="D4726" t="s">
        <v>3005</v>
      </c>
      <c r="E4726" t="s">
        <v>1615</v>
      </c>
      <c r="F4726">
        <v>370</v>
      </c>
      <c r="H4726">
        <v>13868.36</v>
      </c>
      <c r="J4726" t="s">
        <v>2511</v>
      </c>
    </row>
    <row r="4727" spans="1:10" ht="15" customHeight="1" x14ac:dyDescent="0.2">
      <c r="A4727" s="420">
        <v>46022</v>
      </c>
      <c r="B4727" t="s">
        <v>2439</v>
      </c>
      <c r="C4727" t="s">
        <v>6402</v>
      </c>
      <c r="D4727" t="s">
        <v>6996</v>
      </c>
      <c r="E4727" t="s">
        <v>1289</v>
      </c>
      <c r="G4727">
        <v>452.82</v>
      </c>
      <c r="H4727">
        <v>13415.54</v>
      </c>
      <c r="J4727" t="s">
        <v>2585</v>
      </c>
    </row>
    <row r="4728" spans="1:10" ht="15" customHeight="1" x14ac:dyDescent="0.2">
      <c r="A4728" t="s">
        <v>6402</v>
      </c>
      <c r="E4728" t="s">
        <v>349</v>
      </c>
      <c r="F4728">
        <v>212341.5</v>
      </c>
      <c r="G4728">
        <v>198925.96</v>
      </c>
      <c r="H4728">
        <v>13415.54</v>
      </c>
    </row>
    <row r="4730" spans="1:10" ht="15" customHeight="1" x14ac:dyDescent="0.2">
      <c r="A4730" t="s">
        <v>6997</v>
      </c>
      <c r="B4730" t="s">
        <v>6998</v>
      </c>
      <c r="F4730" t="s">
        <v>2430</v>
      </c>
      <c r="G4730" t="s">
        <v>2431</v>
      </c>
      <c r="H4730" t="s">
        <v>2432</v>
      </c>
      <c r="I4730" t="s">
        <v>2433</v>
      </c>
      <c r="J4730" t="s">
        <v>2434</v>
      </c>
    </row>
    <row r="4731" spans="1:10" ht="15" customHeight="1" x14ac:dyDescent="0.2">
      <c r="A4731" s="420">
        <v>45658</v>
      </c>
      <c r="B4731" t="s">
        <v>2435</v>
      </c>
      <c r="C4731" t="s">
        <v>6997</v>
      </c>
      <c r="D4731" t="s">
        <v>2436</v>
      </c>
      <c r="E4731" t="s">
        <v>3451</v>
      </c>
      <c r="F4731">
        <v>19.170000000000002</v>
      </c>
      <c r="H4731">
        <v>19.170000000000002</v>
      </c>
      <c r="J4731" t="s">
        <v>2511</v>
      </c>
    </row>
    <row r="4732" spans="1:10" ht="15" customHeight="1" x14ac:dyDescent="0.2">
      <c r="A4732" s="420">
        <v>45658</v>
      </c>
      <c r="B4732" t="s">
        <v>2435</v>
      </c>
      <c r="C4732" t="s">
        <v>6997</v>
      </c>
      <c r="D4732" t="s">
        <v>2436</v>
      </c>
      <c r="E4732" t="s">
        <v>6305</v>
      </c>
      <c r="G4732">
        <v>31.96</v>
      </c>
      <c r="I4732">
        <v>12.79</v>
      </c>
      <c r="J4732" t="s">
        <v>2511</v>
      </c>
    </row>
    <row r="4733" spans="1:10" ht="15" customHeight="1" x14ac:dyDescent="0.2">
      <c r="A4733" s="420">
        <v>45659</v>
      </c>
      <c r="B4733" t="s">
        <v>2532</v>
      </c>
      <c r="C4733" t="s">
        <v>6997</v>
      </c>
      <c r="D4733" t="s">
        <v>3693</v>
      </c>
      <c r="E4733" t="s">
        <v>1729</v>
      </c>
      <c r="F4733">
        <v>190.08</v>
      </c>
      <c r="H4733">
        <v>177.29</v>
      </c>
      <c r="J4733" t="s">
        <v>2511</v>
      </c>
    </row>
    <row r="4734" spans="1:10" ht="15" customHeight="1" x14ac:dyDescent="0.2">
      <c r="A4734" s="420">
        <v>45672</v>
      </c>
      <c r="B4734" t="s">
        <v>2532</v>
      </c>
      <c r="C4734" t="s">
        <v>6997</v>
      </c>
      <c r="D4734" t="s">
        <v>3454</v>
      </c>
      <c r="E4734" t="s">
        <v>3455</v>
      </c>
      <c r="F4734">
        <v>71.069999999999993</v>
      </c>
      <c r="H4734">
        <v>248.36</v>
      </c>
      <c r="J4734" t="s">
        <v>2511</v>
      </c>
    </row>
    <row r="4735" spans="1:10" ht="15" customHeight="1" x14ac:dyDescent="0.2">
      <c r="A4735" s="420">
        <v>45673</v>
      </c>
      <c r="B4735" t="s">
        <v>2532</v>
      </c>
      <c r="C4735" t="s">
        <v>6997</v>
      </c>
      <c r="D4735" t="s">
        <v>3977</v>
      </c>
      <c r="E4735" t="s">
        <v>1300</v>
      </c>
      <c r="F4735">
        <v>7.81</v>
      </c>
      <c r="H4735">
        <v>256.17</v>
      </c>
      <c r="J4735" t="s">
        <v>2511</v>
      </c>
    </row>
    <row r="4736" spans="1:10" ht="15" customHeight="1" x14ac:dyDescent="0.2">
      <c r="A4736" s="420">
        <v>45686</v>
      </c>
      <c r="B4736" t="s">
        <v>2547</v>
      </c>
      <c r="C4736" t="s">
        <v>6997</v>
      </c>
      <c r="D4736" t="s">
        <v>4676</v>
      </c>
      <c r="E4736" t="s">
        <v>1304</v>
      </c>
      <c r="F4736">
        <v>3.36</v>
      </c>
      <c r="H4736">
        <v>259.52999999999997</v>
      </c>
      <c r="J4736" t="s">
        <v>2511</v>
      </c>
    </row>
    <row r="4737" spans="1:10" ht="15" customHeight="1" x14ac:dyDescent="0.2">
      <c r="A4737" s="420">
        <v>45688</v>
      </c>
      <c r="B4737" t="s">
        <v>2547</v>
      </c>
      <c r="C4737" t="s">
        <v>6997</v>
      </c>
      <c r="D4737" t="s">
        <v>3459</v>
      </c>
      <c r="E4737" t="s">
        <v>1746</v>
      </c>
      <c r="F4737">
        <v>31.09</v>
      </c>
      <c r="H4737">
        <v>290.62</v>
      </c>
      <c r="J4737" t="s">
        <v>2511</v>
      </c>
    </row>
    <row r="4738" spans="1:10" ht="15" customHeight="1" x14ac:dyDescent="0.2">
      <c r="A4738" s="420">
        <v>45688</v>
      </c>
      <c r="B4738" t="s">
        <v>2532</v>
      </c>
      <c r="C4738" t="s">
        <v>6997</v>
      </c>
      <c r="D4738" t="s">
        <v>4699</v>
      </c>
      <c r="E4738" t="s">
        <v>1305</v>
      </c>
      <c r="F4738">
        <v>3.86</v>
      </c>
      <c r="H4738">
        <v>294.48</v>
      </c>
      <c r="J4738" t="s">
        <v>2511</v>
      </c>
    </row>
    <row r="4739" spans="1:10" ht="15" customHeight="1" x14ac:dyDescent="0.2">
      <c r="A4739" s="420">
        <v>45688</v>
      </c>
      <c r="B4739" t="s">
        <v>2517</v>
      </c>
      <c r="C4739" t="s">
        <v>6997</v>
      </c>
      <c r="D4739" t="s">
        <v>6306</v>
      </c>
      <c r="E4739" t="s">
        <v>6999</v>
      </c>
      <c r="G4739">
        <v>90</v>
      </c>
      <c r="H4739">
        <v>204.48</v>
      </c>
      <c r="J4739" t="s">
        <v>2511</v>
      </c>
    </row>
    <row r="4740" spans="1:10" ht="15" customHeight="1" x14ac:dyDescent="0.2">
      <c r="A4740" s="420">
        <v>45700</v>
      </c>
      <c r="B4740" t="s">
        <v>2532</v>
      </c>
      <c r="C4740" t="s">
        <v>6997</v>
      </c>
      <c r="D4740" t="s">
        <v>6308</v>
      </c>
      <c r="E4740" t="s">
        <v>1315</v>
      </c>
      <c r="F4740">
        <v>1.6</v>
      </c>
      <c r="H4740">
        <v>206.08</v>
      </c>
      <c r="J4740" t="s">
        <v>2511</v>
      </c>
    </row>
    <row r="4741" spans="1:10" ht="15" customHeight="1" x14ac:dyDescent="0.2">
      <c r="A4741" s="420">
        <v>45703</v>
      </c>
      <c r="B4741" t="s">
        <v>2532</v>
      </c>
      <c r="C4741" t="s">
        <v>6997</v>
      </c>
      <c r="D4741" t="s">
        <v>3462</v>
      </c>
      <c r="E4741" t="s">
        <v>1778</v>
      </c>
      <c r="F4741">
        <v>19.920000000000002</v>
      </c>
      <c r="H4741">
        <v>226</v>
      </c>
      <c r="J4741" t="s">
        <v>2511</v>
      </c>
    </row>
    <row r="4742" spans="1:10" ht="15" customHeight="1" x14ac:dyDescent="0.2">
      <c r="A4742" s="420">
        <v>45704</v>
      </c>
      <c r="B4742" t="s">
        <v>2532</v>
      </c>
      <c r="C4742" t="s">
        <v>6997</v>
      </c>
      <c r="D4742" t="s">
        <v>3980</v>
      </c>
      <c r="E4742" t="s">
        <v>1317</v>
      </c>
      <c r="F4742">
        <v>7.81</v>
      </c>
      <c r="H4742">
        <v>233.81</v>
      </c>
      <c r="J4742" t="s">
        <v>2511</v>
      </c>
    </row>
    <row r="4743" spans="1:10" ht="15" customHeight="1" x14ac:dyDescent="0.2">
      <c r="A4743" s="420">
        <v>45711</v>
      </c>
      <c r="B4743" t="s">
        <v>2532</v>
      </c>
      <c r="C4743" t="s">
        <v>6997</v>
      </c>
      <c r="D4743" t="s">
        <v>2801</v>
      </c>
      <c r="E4743" t="s">
        <v>1320</v>
      </c>
      <c r="F4743">
        <v>6.99</v>
      </c>
      <c r="H4743">
        <v>240.8</v>
      </c>
      <c r="J4743" t="s">
        <v>2511</v>
      </c>
    </row>
    <row r="4744" spans="1:10" ht="15" customHeight="1" x14ac:dyDescent="0.2">
      <c r="A4744" s="420">
        <v>45716</v>
      </c>
      <c r="B4744" t="s">
        <v>2517</v>
      </c>
      <c r="C4744" t="s">
        <v>6997</v>
      </c>
      <c r="D4744" t="s">
        <v>6309</v>
      </c>
      <c r="E4744" t="s">
        <v>6310</v>
      </c>
      <c r="G4744">
        <v>240.8</v>
      </c>
      <c r="J4744" t="s">
        <v>2511</v>
      </c>
    </row>
    <row r="4745" spans="1:10" ht="15" customHeight="1" x14ac:dyDescent="0.2">
      <c r="A4745" s="420">
        <v>45717</v>
      </c>
      <c r="B4745" t="s">
        <v>2532</v>
      </c>
      <c r="C4745" t="s">
        <v>6997</v>
      </c>
      <c r="D4745" t="s">
        <v>4679</v>
      </c>
      <c r="E4745" t="s">
        <v>1323</v>
      </c>
      <c r="F4745">
        <v>3.36</v>
      </c>
      <c r="H4745">
        <v>3.36</v>
      </c>
      <c r="J4745" t="s">
        <v>2509</v>
      </c>
    </row>
    <row r="4746" spans="1:10" ht="15" customHeight="1" x14ac:dyDescent="0.2">
      <c r="A4746" s="420">
        <v>45723</v>
      </c>
      <c r="B4746" t="s">
        <v>2532</v>
      </c>
      <c r="C4746" t="s">
        <v>6997</v>
      </c>
      <c r="D4746" t="s">
        <v>2803</v>
      </c>
      <c r="E4746" t="s">
        <v>2804</v>
      </c>
      <c r="F4746">
        <v>0.2</v>
      </c>
      <c r="H4746">
        <v>3.56</v>
      </c>
      <c r="J4746" t="s">
        <v>2509</v>
      </c>
    </row>
    <row r="4747" spans="1:10" ht="15" customHeight="1" x14ac:dyDescent="0.2">
      <c r="A4747" s="420">
        <v>45731</v>
      </c>
      <c r="B4747" t="s">
        <v>2547</v>
      </c>
      <c r="C4747" t="s">
        <v>6997</v>
      </c>
      <c r="D4747" t="s">
        <v>3467</v>
      </c>
      <c r="E4747" t="s">
        <v>1797</v>
      </c>
      <c r="F4747">
        <v>10.25</v>
      </c>
      <c r="H4747">
        <v>13.81</v>
      </c>
      <c r="J4747" t="s">
        <v>2509</v>
      </c>
    </row>
    <row r="4748" spans="1:10" ht="15" customHeight="1" x14ac:dyDescent="0.2">
      <c r="A4748" s="420">
        <v>45739</v>
      </c>
      <c r="B4748" t="s">
        <v>2532</v>
      </c>
      <c r="C4748" t="s">
        <v>6997</v>
      </c>
      <c r="D4748" t="s">
        <v>2806</v>
      </c>
      <c r="E4748" t="s">
        <v>1334</v>
      </c>
      <c r="F4748">
        <v>6.99</v>
      </c>
      <c r="H4748">
        <v>20.8</v>
      </c>
      <c r="J4748" t="s">
        <v>2509</v>
      </c>
    </row>
    <row r="4749" spans="1:10" ht="15" customHeight="1" x14ac:dyDescent="0.2">
      <c r="A4749" s="420">
        <v>45747</v>
      </c>
      <c r="B4749" t="s">
        <v>2547</v>
      </c>
      <c r="C4749" t="s">
        <v>6997</v>
      </c>
      <c r="D4749" t="s">
        <v>3471</v>
      </c>
      <c r="E4749" t="s">
        <v>1797</v>
      </c>
      <c r="F4749">
        <v>27.24</v>
      </c>
      <c r="H4749">
        <v>48.04</v>
      </c>
      <c r="J4749" t="s">
        <v>2509</v>
      </c>
    </row>
    <row r="4750" spans="1:10" ht="15" customHeight="1" x14ac:dyDescent="0.2">
      <c r="A4750" s="420">
        <v>45747</v>
      </c>
      <c r="B4750" t="s">
        <v>2517</v>
      </c>
      <c r="C4750" t="s">
        <v>6997</v>
      </c>
      <c r="D4750" t="s">
        <v>6311</v>
      </c>
      <c r="E4750" t="s">
        <v>6312</v>
      </c>
      <c r="G4750">
        <v>48.04</v>
      </c>
      <c r="J4750" t="s">
        <v>2509</v>
      </c>
    </row>
    <row r="4751" spans="1:10" ht="15" customHeight="1" x14ac:dyDescent="0.2">
      <c r="A4751" s="420">
        <v>45755</v>
      </c>
      <c r="B4751" t="s">
        <v>2532</v>
      </c>
      <c r="C4751" t="s">
        <v>6997</v>
      </c>
      <c r="D4751" t="s">
        <v>2809</v>
      </c>
      <c r="E4751" t="s">
        <v>2810</v>
      </c>
      <c r="F4751">
        <v>0.2</v>
      </c>
      <c r="H4751">
        <v>0.2</v>
      </c>
      <c r="J4751" t="s">
        <v>2585</v>
      </c>
    </row>
    <row r="4752" spans="1:10" ht="15" customHeight="1" x14ac:dyDescent="0.2">
      <c r="A4752" s="420">
        <v>45762</v>
      </c>
      <c r="B4752" t="s">
        <v>2532</v>
      </c>
      <c r="C4752" t="s">
        <v>6997</v>
      </c>
      <c r="D4752" t="s">
        <v>3474</v>
      </c>
      <c r="E4752" t="s">
        <v>1825</v>
      </c>
      <c r="F4752">
        <v>9.17</v>
      </c>
      <c r="H4752">
        <v>9.3699999999999992</v>
      </c>
      <c r="J4752" t="s">
        <v>2513</v>
      </c>
    </row>
    <row r="4753" spans="1:10" ht="15" customHeight="1" x14ac:dyDescent="0.2">
      <c r="A4753" s="420">
        <v>45770</v>
      </c>
      <c r="B4753" t="s">
        <v>2532</v>
      </c>
      <c r="C4753" t="s">
        <v>6997</v>
      </c>
      <c r="D4753" t="s">
        <v>2811</v>
      </c>
      <c r="E4753" t="s">
        <v>1373</v>
      </c>
      <c r="F4753">
        <v>6.99</v>
      </c>
      <c r="H4753">
        <v>16.36</v>
      </c>
      <c r="J4753" t="s">
        <v>2585</v>
      </c>
    </row>
    <row r="4754" spans="1:10" ht="15" customHeight="1" x14ac:dyDescent="0.2">
      <c r="A4754" s="420">
        <v>45777</v>
      </c>
      <c r="B4754" t="s">
        <v>2517</v>
      </c>
      <c r="C4754" t="s">
        <v>6997</v>
      </c>
      <c r="D4754" t="s">
        <v>6313</v>
      </c>
      <c r="E4754" t="s">
        <v>6314</v>
      </c>
      <c r="G4754">
        <v>9.17</v>
      </c>
      <c r="H4754">
        <v>7.19</v>
      </c>
      <c r="J4754" t="s">
        <v>2513</v>
      </c>
    </row>
    <row r="4755" spans="1:10" ht="15" customHeight="1" x14ac:dyDescent="0.2">
      <c r="A4755" s="420">
        <v>45777</v>
      </c>
      <c r="B4755" t="s">
        <v>2532</v>
      </c>
      <c r="C4755" t="s">
        <v>6997</v>
      </c>
      <c r="D4755" t="s">
        <v>3478</v>
      </c>
      <c r="E4755" t="s">
        <v>6315</v>
      </c>
      <c r="F4755">
        <v>8.2899999999999991</v>
      </c>
      <c r="H4755">
        <v>15.48</v>
      </c>
      <c r="J4755" t="s">
        <v>2585</v>
      </c>
    </row>
    <row r="4756" spans="1:10" ht="15" customHeight="1" x14ac:dyDescent="0.2">
      <c r="A4756" s="420">
        <v>45777</v>
      </c>
      <c r="B4756" t="s">
        <v>2532</v>
      </c>
      <c r="C4756" t="s">
        <v>6997</v>
      </c>
      <c r="D4756" t="s">
        <v>4787</v>
      </c>
      <c r="E4756" t="s">
        <v>4788</v>
      </c>
      <c r="F4756">
        <v>39.28</v>
      </c>
      <c r="H4756">
        <v>54.76</v>
      </c>
      <c r="J4756" t="s">
        <v>2585</v>
      </c>
    </row>
    <row r="4757" spans="1:10" ht="15" customHeight="1" x14ac:dyDescent="0.2">
      <c r="A4757" s="420">
        <v>45784</v>
      </c>
      <c r="B4757" t="s">
        <v>2532</v>
      </c>
      <c r="C4757" t="s">
        <v>6997</v>
      </c>
      <c r="D4757" t="s">
        <v>2813</v>
      </c>
      <c r="E4757" t="s">
        <v>1352</v>
      </c>
      <c r="F4757">
        <v>0.2</v>
      </c>
      <c r="H4757">
        <v>54.96</v>
      </c>
      <c r="J4757" t="s">
        <v>2585</v>
      </c>
    </row>
    <row r="4758" spans="1:10" ht="15" customHeight="1" x14ac:dyDescent="0.2">
      <c r="A4758" s="420">
        <v>45786</v>
      </c>
      <c r="B4758" t="s">
        <v>2547</v>
      </c>
      <c r="C4758" t="s">
        <v>6997</v>
      </c>
      <c r="D4758" t="s">
        <v>2548</v>
      </c>
      <c r="E4758" t="s">
        <v>2549</v>
      </c>
      <c r="F4758">
        <v>100.18</v>
      </c>
      <c r="H4758">
        <v>155.13999999999999</v>
      </c>
      <c r="J4758" t="s">
        <v>2585</v>
      </c>
    </row>
    <row r="4759" spans="1:10" ht="15" customHeight="1" x14ac:dyDescent="0.2">
      <c r="A4759" s="420">
        <v>45792</v>
      </c>
      <c r="B4759" t="s">
        <v>2532</v>
      </c>
      <c r="C4759" t="s">
        <v>6997</v>
      </c>
      <c r="D4759" t="s">
        <v>3482</v>
      </c>
      <c r="E4759" t="s">
        <v>1846</v>
      </c>
      <c r="F4759">
        <v>21.88</v>
      </c>
      <c r="H4759">
        <v>177.02</v>
      </c>
      <c r="J4759" t="s">
        <v>2585</v>
      </c>
    </row>
    <row r="4760" spans="1:10" ht="15" customHeight="1" x14ac:dyDescent="0.2">
      <c r="A4760" s="420">
        <v>45800</v>
      </c>
      <c r="B4760" t="s">
        <v>2532</v>
      </c>
      <c r="C4760" t="s">
        <v>6997</v>
      </c>
      <c r="D4760" t="s">
        <v>2815</v>
      </c>
      <c r="E4760" t="s">
        <v>1358</v>
      </c>
      <c r="F4760">
        <v>6.99</v>
      </c>
      <c r="H4760">
        <v>184.01</v>
      </c>
      <c r="J4760" t="s">
        <v>2585</v>
      </c>
    </row>
    <row r="4761" spans="1:10" ht="15" customHeight="1" x14ac:dyDescent="0.2">
      <c r="A4761" s="420">
        <v>45808</v>
      </c>
      <c r="B4761" t="s">
        <v>2532</v>
      </c>
      <c r="C4761" t="s">
        <v>6997</v>
      </c>
      <c r="D4761" t="s">
        <v>3486</v>
      </c>
      <c r="E4761" t="s">
        <v>6316</v>
      </c>
      <c r="F4761">
        <v>24.16</v>
      </c>
      <c r="H4761">
        <v>208.17</v>
      </c>
      <c r="J4761" t="s">
        <v>2585</v>
      </c>
    </row>
    <row r="4762" spans="1:10" ht="15" customHeight="1" x14ac:dyDescent="0.2">
      <c r="A4762" s="420">
        <v>45808</v>
      </c>
      <c r="B4762" t="s">
        <v>2517</v>
      </c>
      <c r="C4762" t="s">
        <v>6997</v>
      </c>
      <c r="D4762" t="s">
        <v>6317</v>
      </c>
      <c r="E4762" t="s">
        <v>6318</v>
      </c>
      <c r="G4762">
        <v>208.17</v>
      </c>
      <c r="J4762" t="s">
        <v>2585</v>
      </c>
    </row>
    <row r="4763" spans="1:10" ht="15" customHeight="1" x14ac:dyDescent="0.2">
      <c r="A4763" s="420">
        <v>45815</v>
      </c>
      <c r="B4763" t="s">
        <v>2532</v>
      </c>
      <c r="C4763" t="s">
        <v>6997</v>
      </c>
      <c r="D4763" t="s">
        <v>2817</v>
      </c>
      <c r="E4763" t="s">
        <v>1352</v>
      </c>
      <c r="F4763">
        <v>0.2</v>
      </c>
      <c r="H4763">
        <v>0.2</v>
      </c>
      <c r="J4763" t="s">
        <v>2587</v>
      </c>
    </row>
    <row r="4764" spans="1:10" ht="15" customHeight="1" x14ac:dyDescent="0.2">
      <c r="A4764" s="420">
        <v>45823</v>
      </c>
      <c r="B4764" t="s">
        <v>2532</v>
      </c>
      <c r="C4764" t="s">
        <v>6997</v>
      </c>
      <c r="D4764" t="s">
        <v>3490</v>
      </c>
      <c r="E4764" t="s">
        <v>1881</v>
      </c>
      <c r="F4764">
        <v>23.18</v>
      </c>
      <c r="H4764">
        <v>23.38</v>
      </c>
      <c r="J4764" t="s">
        <v>2586</v>
      </c>
    </row>
    <row r="4765" spans="1:10" ht="15" customHeight="1" x14ac:dyDescent="0.2">
      <c r="A4765" s="420">
        <v>45831</v>
      </c>
      <c r="B4765" t="s">
        <v>2532</v>
      </c>
      <c r="C4765" t="s">
        <v>6997</v>
      </c>
      <c r="D4765" t="s">
        <v>2819</v>
      </c>
      <c r="E4765" t="s">
        <v>1373</v>
      </c>
      <c r="F4765">
        <v>6.99</v>
      </c>
      <c r="H4765">
        <v>30.37</v>
      </c>
      <c r="J4765" t="s">
        <v>2586</v>
      </c>
    </row>
    <row r="4766" spans="1:10" ht="15" customHeight="1" x14ac:dyDescent="0.2">
      <c r="A4766" s="420">
        <v>45838</v>
      </c>
      <c r="B4766" t="s">
        <v>2532</v>
      </c>
      <c r="C4766" t="s">
        <v>6997</v>
      </c>
      <c r="D4766" t="s">
        <v>4121</v>
      </c>
      <c r="E4766" t="s">
        <v>1514</v>
      </c>
      <c r="F4766">
        <v>2.8</v>
      </c>
      <c r="H4766">
        <v>33.17</v>
      </c>
      <c r="J4766" t="s">
        <v>2586</v>
      </c>
    </row>
    <row r="4767" spans="1:10" ht="15" customHeight="1" x14ac:dyDescent="0.2">
      <c r="A4767" s="420">
        <v>45838</v>
      </c>
      <c r="B4767" t="s">
        <v>2532</v>
      </c>
      <c r="C4767" t="s">
        <v>6997</v>
      </c>
      <c r="D4767" t="s">
        <v>3494</v>
      </c>
      <c r="E4767" t="s">
        <v>1885</v>
      </c>
      <c r="F4767">
        <v>26.47</v>
      </c>
      <c r="H4767">
        <v>59.64</v>
      </c>
      <c r="J4767" t="s">
        <v>2586</v>
      </c>
    </row>
    <row r="4768" spans="1:10" ht="15" customHeight="1" x14ac:dyDescent="0.2">
      <c r="A4768" s="420">
        <v>45838</v>
      </c>
      <c r="B4768" t="s">
        <v>2517</v>
      </c>
      <c r="C4768" t="s">
        <v>6997</v>
      </c>
      <c r="D4768" t="s">
        <v>6319</v>
      </c>
      <c r="E4768" t="s">
        <v>6320</v>
      </c>
      <c r="G4768">
        <v>59.44</v>
      </c>
      <c r="H4768">
        <v>0.2</v>
      </c>
      <c r="J4768" t="s">
        <v>2586</v>
      </c>
    </row>
    <row r="4769" spans="1:10" ht="15" customHeight="1" x14ac:dyDescent="0.2">
      <c r="A4769" s="420">
        <v>45839</v>
      </c>
      <c r="B4769" t="s">
        <v>2532</v>
      </c>
      <c r="C4769" t="s">
        <v>6997</v>
      </c>
      <c r="D4769" t="s">
        <v>4124</v>
      </c>
      <c r="E4769" t="s">
        <v>1514</v>
      </c>
      <c r="F4769">
        <v>2.8</v>
      </c>
      <c r="H4769">
        <v>3</v>
      </c>
      <c r="J4769" t="s">
        <v>2604</v>
      </c>
    </row>
    <row r="4770" spans="1:10" ht="15" customHeight="1" x14ac:dyDescent="0.2">
      <c r="A4770" s="420">
        <v>45839</v>
      </c>
      <c r="B4770" t="s">
        <v>2547</v>
      </c>
      <c r="C4770" t="s">
        <v>6997</v>
      </c>
      <c r="D4770" t="s">
        <v>5207</v>
      </c>
      <c r="E4770" t="s">
        <v>1752</v>
      </c>
      <c r="F4770">
        <v>25.89</v>
      </c>
      <c r="H4770">
        <v>28.89</v>
      </c>
      <c r="J4770" t="s">
        <v>2511</v>
      </c>
    </row>
    <row r="4771" spans="1:10" ht="15" customHeight="1" x14ac:dyDescent="0.2">
      <c r="A4771" s="420">
        <v>45843</v>
      </c>
      <c r="B4771" t="s">
        <v>2532</v>
      </c>
      <c r="C4771" t="s">
        <v>6997</v>
      </c>
      <c r="D4771" t="s">
        <v>4125</v>
      </c>
      <c r="E4771" t="s">
        <v>1532</v>
      </c>
      <c r="F4771">
        <v>3.96</v>
      </c>
      <c r="H4771">
        <v>32.85</v>
      </c>
      <c r="J4771" t="s">
        <v>2603</v>
      </c>
    </row>
    <row r="4772" spans="1:10" ht="15" customHeight="1" x14ac:dyDescent="0.2">
      <c r="A4772" s="420">
        <v>45843</v>
      </c>
      <c r="B4772" t="s">
        <v>2547</v>
      </c>
      <c r="C4772" t="s">
        <v>6997</v>
      </c>
      <c r="D4772" t="s">
        <v>4126</v>
      </c>
      <c r="E4772" t="s">
        <v>1533</v>
      </c>
      <c r="F4772">
        <v>0.24</v>
      </c>
      <c r="H4772">
        <v>33.090000000000003</v>
      </c>
      <c r="J4772" t="s">
        <v>2603</v>
      </c>
    </row>
    <row r="4773" spans="1:10" ht="15" customHeight="1" x14ac:dyDescent="0.2">
      <c r="A4773" s="420">
        <v>45845</v>
      </c>
      <c r="B4773" t="s">
        <v>2547</v>
      </c>
      <c r="C4773" t="s">
        <v>6997</v>
      </c>
      <c r="D4773" t="s">
        <v>2821</v>
      </c>
      <c r="E4773" t="s">
        <v>1381</v>
      </c>
      <c r="F4773">
        <v>0.2</v>
      </c>
      <c r="H4773">
        <v>33.29</v>
      </c>
      <c r="J4773" t="s">
        <v>2603</v>
      </c>
    </row>
    <row r="4774" spans="1:10" ht="15" customHeight="1" x14ac:dyDescent="0.2">
      <c r="A4774" s="420">
        <v>45853</v>
      </c>
      <c r="B4774" t="s">
        <v>2532</v>
      </c>
      <c r="C4774" t="s">
        <v>6997</v>
      </c>
      <c r="D4774" t="s">
        <v>3497</v>
      </c>
      <c r="E4774" t="s">
        <v>1901</v>
      </c>
      <c r="F4774">
        <v>10.71</v>
      </c>
      <c r="H4774">
        <v>44</v>
      </c>
      <c r="J4774" t="s">
        <v>2587</v>
      </c>
    </row>
    <row r="4775" spans="1:10" ht="15" customHeight="1" x14ac:dyDescent="0.2">
      <c r="A4775" s="420">
        <v>45861</v>
      </c>
      <c r="B4775" t="s">
        <v>2547</v>
      </c>
      <c r="C4775" t="s">
        <v>6997</v>
      </c>
      <c r="D4775" t="s">
        <v>2823</v>
      </c>
      <c r="E4775" t="s">
        <v>1383</v>
      </c>
      <c r="F4775">
        <v>6.99</v>
      </c>
      <c r="H4775">
        <v>50.99</v>
      </c>
      <c r="J4775" t="s">
        <v>2603</v>
      </c>
    </row>
    <row r="4776" spans="1:10" ht="15" customHeight="1" x14ac:dyDescent="0.2">
      <c r="A4776" s="420">
        <v>45869</v>
      </c>
      <c r="B4776" t="s">
        <v>2532</v>
      </c>
      <c r="C4776" t="s">
        <v>6997</v>
      </c>
      <c r="D4776" t="s">
        <v>3502</v>
      </c>
      <c r="E4776" t="s">
        <v>1910</v>
      </c>
      <c r="F4776">
        <v>22.88</v>
      </c>
      <c r="H4776">
        <v>73.87</v>
      </c>
      <c r="J4776" t="s">
        <v>2587</v>
      </c>
    </row>
    <row r="4777" spans="1:10" ht="15" customHeight="1" x14ac:dyDescent="0.2">
      <c r="A4777" s="420">
        <v>45869</v>
      </c>
      <c r="B4777" t="s">
        <v>2547</v>
      </c>
      <c r="C4777" t="s">
        <v>6997</v>
      </c>
      <c r="D4777" t="s">
        <v>3438</v>
      </c>
      <c r="E4777" t="s">
        <v>529</v>
      </c>
      <c r="F4777">
        <v>8.09</v>
      </c>
      <c r="H4777">
        <v>81.96</v>
      </c>
      <c r="J4777" t="s">
        <v>2603</v>
      </c>
    </row>
    <row r="4778" spans="1:10" ht="15" customHeight="1" x14ac:dyDescent="0.2">
      <c r="A4778" s="420">
        <v>45876</v>
      </c>
      <c r="B4778" t="s">
        <v>2532</v>
      </c>
      <c r="C4778" t="s">
        <v>6997</v>
      </c>
      <c r="D4778" t="s">
        <v>2825</v>
      </c>
      <c r="E4778" t="s">
        <v>1381</v>
      </c>
      <c r="F4778">
        <v>0.2</v>
      </c>
      <c r="H4778">
        <v>82.16</v>
      </c>
      <c r="J4778" t="s">
        <v>2603</v>
      </c>
    </row>
    <row r="4779" spans="1:10" ht="15" customHeight="1" x14ac:dyDescent="0.2">
      <c r="A4779" s="420">
        <v>45884</v>
      </c>
      <c r="B4779" t="s">
        <v>2532</v>
      </c>
      <c r="C4779" t="s">
        <v>6997</v>
      </c>
      <c r="D4779" t="s">
        <v>3505</v>
      </c>
      <c r="E4779" t="s">
        <v>1916</v>
      </c>
      <c r="F4779">
        <v>43.23</v>
      </c>
      <c r="H4779">
        <v>125.39</v>
      </c>
      <c r="J4779" t="s">
        <v>2587</v>
      </c>
    </row>
    <row r="4780" spans="1:10" ht="15" customHeight="1" x14ac:dyDescent="0.2">
      <c r="A4780" s="420">
        <v>45892</v>
      </c>
      <c r="B4780" t="s">
        <v>2532</v>
      </c>
      <c r="C4780" t="s">
        <v>6997</v>
      </c>
      <c r="D4780" t="s">
        <v>2827</v>
      </c>
      <c r="E4780" t="s">
        <v>1373</v>
      </c>
      <c r="F4780">
        <v>6.99</v>
      </c>
      <c r="H4780">
        <v>132.38</v>
      </c>
      <c r="J4780" t="s">
        <v>2603</v>
      </c>
    </row>
    <row r="4781" spans="1:10" ht="15" customHeight="1" x14ac:dyDescent="0.2">
      <c r="A4781" s="420">
        <v>45899</v>
      </c>
      <c r="B4781" t="s">
        <v>2532</v>
      </c>
      <c r="C4781" t="s">
        <v>6997</v>
      </c>
      <c r="D4781" t="s">
        <v>4132</v>
      </c>
      <c r="E4781" t="s">
        <v>1555</v>
      </c>
      <c r="F4781">
        <v>2.8</v>
      </c>
      <c r="H4781">
        <v>135.18</v>
      </c>
      <c r="J4781" t="s">
        <v>2603</v>
      </c>
    </row>
    <row r="4782" spans="1:10" ht="15" customHeight="1" x14ac:dyDescent="0.2">
      <c r="A4782" s="420">
        <v>45900</v>
      </c>
      <c r="B4782" t="s">
        <v>2517</v>
      </c>
      <c r="C4782" t="s">
        <v>6997</v>
      </c>
      <c r="D4782" t="s">
        <v>6321</v>
      </c>
      <c r="E4782" t="s">
        <v>6322</v>
      </c>
      <c r="G4782">
        <v>77.02</v>
      </c>
      <c r="H4782">
        <v>58.16</v>
      </c>
      <c r="J4782" t="s">
        <v>2587</v>
      </c>
    </row>
    <row r="4783" spans="1:10" ht="15" customHeight="1" x14ac:dyDescent="0.2">
      <c r="A4783" s="420">
        <v>45900</v>
      </c>
      <c r="B4783" t="s">
        <v>2532</v>
      </c>
      <c r="C4783" t="s">
        <v>6997</v>
      </c>
      <c r="D4783" t="s">
        <v>3440</v>
      </c>
      <c r="E4783" t="s">
        <v>537</v>
      </c>
      <c r="F4783">
        <v>9.82</v>
      </c>
      <c r="H4783">
        <v>67.98</v>
      </c>
      <c r="J4783" t="s">
        <v>2603</v>
      </c>
    </row>
    <row r="4784" spans="1:10" ht="15" customHeight="1" x14ac:dyDescent="0.2">
      <c r="A4784" s="420">
        <v>45900</v>
      </c>
      <c r="B4784" t="s">
        <v>2532</v>
      </c>
      <c r="C4784" t="s">
        <v>6997</v>
      </c>
      <c r="D4784" t="s">
        <v>3509</v>
      </c>
      <c r="E4784" t="s">
        <v>1923</v>
      </c>
      <c r="F4784">
        <v>24.06</v>
      </c>
      <c r="H4784">
        <v>92.04</v>
      </c>
      <c r="J4784" t="s">
        <v>2603</v>
      </c>
    </row>
    <row r="4785" spans="1:10" ht="15" customHeight="1" x14ac:dyDescent="0.2">
      <c r="A4785" s="420">
        <v>45915</v>
      </c>
      <c r="B4785" t="s">
        <v>2532</v>
      </c>
      <c r="C4785" t="s">
        <v>6997</v>
      </c>
      <c r="D4785" t="s">
        <v>3512</v>
      </c>
      <c r="E4785" t="s">
        <v>1937</v>
      </c>
      <c r="F4785">
        <v>35.5</v>
      </c>
      <c r="H4785">
        <v>127.54</v>
      </c>
      <c r="J4785" t="s">
        <v>2603</v>
      </c>
    </row>
    <row r="4786" spans="1:10" ht="15" customHeight="1" x14ac:dyDescent="0.2">
      <c r="A4786" s="420">
        <v>45923</v>
      </c>
      <c r="B4786" t="s">
        <v>2547</v>
      </c>
      <c r="C4786" t="s">
        <v>6997</v>
      </c>
      <c r="D4786" t="s">
        <v>2830</v>
      </c>
      <c r="E4786" t="s">
        <v>1381</v>
      </c>
      <c r="F4786">
        <v>6.99</v>
      </c>
      <c r="H4786">
        <v>134.53</v>
      </c>
      <c r="J4786" t="s">
        <v>2603</v>
      </c>
    </row>
    <row r="4787" spans="1:10" ht="15" customHeight="1" x14ac:dyDescent="0.2">
      <c r="A4787" s="420">
        <v>45929</v>
      </c>
      <c r="B4787" t="s">
        <v>2532</v>
      </c>
      <c r="C4787" t="s">
        <v>6997</v>
      </c>
      <c r="D4787" t="s">
        <v>2539</v>
      </c>
      <c r="E4787" t="s">
        <v>2540</v>
      </c>
      <c r="F4787">
        <v>313.60000000000002</v>
      </c>
      <c r="H4787">
        <v>448.13</v>
      </c>
      <c r="J4787" t="s">
        <v>2603</v>
      </c>
    </row>
    <row r="4788" spans="1:10" ht="15" customHeight="1" x14ac:dyDescent="0.2">
      <c r="A4788" s="420">
        <v>45930</v>
      </c>
      <c r="B4788" t="s">
        <v>2532</v>
      </c>
      <c r="C4788" t="s">
        <v>6997</v>
      </c>
      <c r="D4788" t="s">
        <v>3516</v>
      </c>
      <c r="E4788" t="s">
        <v>1940</v>
      </c>
      <c r="F4788">
        <v>24.17</v>
      </c>
      <c r="H4788">
        <v>472.3</v>
      </c>
      <c r="J4788" t="s">
        <v>2603</v>
      </c>
    </row>
    <row r="4789" spans="1:10" ht="15" customHeight="1" x14ac:dyDescent="0.2">
      <c r="A4789" s="420">
        <v>45930</v>
      </c>
      <c r="B4789" t="s">
        <v>2532</v>
      </c>
      <c r="C4789" t="s">
        <v>6997</v>
      </c>
      <c r="D4789" t="s">
        <v>3443</v>
      </c>
      <c r="E4789" t="s">
        <v>550</v>
      </c>
      <c r="F4789">
        <v>10.67</v>
      </c>
      <c r="H4789">
        <v>482.97</v>
      </c>
      <c r="J4789" t="s">
        <v>2603</v>
      </c>
    </row>
    <row r="4790" spans="1:10" ht="15" customHeight="1" x14ac:dyDescent="0.2">
      <c r="A4790" s="420">
        <v>45930</v>
      </c>
      <c r="B4790" t="s">
        <v>2517</v>
      </c>
      <c r="C4790" t="s">
        <v>6997</v>
      </c>
      <c r="D4790" t="s">
        <v>6323</v>
      </c>
      <c r="E4790" t="s">
        <v>6324</v>
      </c>
      <c r="G4790">
        <v>145.37</v>
      </c>
      <c r="H4790">
        <v>337.6</v>
      </c>
      <c r="J4790" t="s">
        <v>2603</v>
      </c>
    </row>
    <row r="4791" spans="1:10" ht="15" customHeight="1" x14ac:dyDescent="0.2">
      <c r="A4791" s="420">
        <v>45930</v>
      </c>
      <c r="B4791" t="s">
        <v>2532</v>
      </c>
      <c r="C4791" t="s">
        <v>6997</v>
      </c>
      <c r="D4791" t="s">
        <v>4136</v>
      </c>
      <c r="E4791" t="s">
        <v>1576</v>
      </c>
      <c r="F4791">
        <v>2.8</v>
      </c>
      <c r="H4791">
        <v>340.4</v>
      </c>
      <c r="J4791" t="s">
        <v>2603</v>
      </c>
    </row>
    <row r="4792" spans="1:10" ht="15" customHeight="1" x14ac:dyDescent="0.2">
      <c r="A4792" s="420">
        <v>45937</v>
      </c>
      <c r="B4792" t="s">
        <v>2532</v>
      </c>
      <c r="C4792" t="s">
        <v>6997</v>
      </c>
      <c r="D4792" t="s">
        <v>2835</v>
      </c>
      <c r="E4792" t="s">
        <v>1405</v>
      </c>
      <c r="F4792">
        <v>0.2</v>
      </c>
      <c r="H4792">
        <v>340.6</v>
      </c>
      <c r="J4792" t="s">
        <v>2603</v>
      </c>
    </row>
    <row r="4793" spans="1:10" ht="15" customHeight="1" x14ac:dyDescent="0.2">
      <c r="A4793" s="420">
        <v>45940</v>
      </c>
      <c r="B4793" t="s">
        <v>2532</v>
      </c>
      <c r="C4793" t="s">
        <v>6997</v>
      </c>
      <c r="D4793" t="s">
        <v>2837</v>
      </c>
      <c r="E4793" t="s">
        <v>1407</v>
      </c>
      <c r="F4793">
        <v>19.8</v>
      </c>
      <c r="H4793">
        <v>360.4</v>
      </c>
      <c r="J4793" t="s">
        <v>2603</v>
      </c>
    </row>
    <row r="4794" spans="1:10" ht="15" customHeight="1" x14ac:dyDescent="0.2">
      <c r="A4794" s="420">
        <v>45945</v>
      </c>
      <c r="B4794" t="s">
        <v>2532</v>
      </c>
      <c r="C4794" t="s">
        <v>6997</v>
      </c>
      <c r="D4794" t="s">
        <v>3519</v>
      </c>
      <c r="E4794" t="s">
        <v>1955</v>
      </c>
      <c r="F4794">
        <v>33.06</v>
      </c>
      <c r="H4794">
        <v>393.46</v>
      </c>
      <c r="J4794" t="s">
        <v>2603</v>
      </c>
    </row>
    <row r="4795" spans="1:10" ht="15" customHeight="1" x14ac:dyDescent="0.2">
      <c r="A4795" s="420">
        <v>45953</v>
      </c>
      <c r="B4795" t="s">
        <v>2532</v>
      </c>
      <c r="C4795" t="s">
        <v>6997</v>
      </c>
      <c r="D4795" t="s">
        <v>2839</v>
      </c>
      <c r="E4795" t="s">
        <v>1411</v>
      </c>
      <c r="F4795">
        <v>6.99</v>
      </c>
      <c r="H4795">
        <v>400.45</v>
      </c>
      <c r="J4795" t="s">
        <v>2603</v>
      </c>
    </row>
    <row r="4796" spans="1:10" ht="15" customHeight="1" x14ac:dyDescent="0.2">
      <c r="A4796" s="420">
        <v>45960</v>
      </c>
      <c r="B4796" t="s">
        <v>2532</v>
      </c>
      <c r="C4796" t="s">
        <v>6997</v>
      </c>
      <c r="D4796" t="s">
        <v>4138</v>
      </c>
      <c r="E4796" t="s">
        <v>1586</v>
      </c>
      <c r="F4796">
        <v>2.8</v>
      </c>
      <c r="H4796">
        <v>403.25</v>
      </c>
      <c r="J4796" t="s">
        <v>2603</v>
      </c>
    </row>
    <row r="4797" spans="1:10" ht="15" customHeight="1" x14ac:dyDescent="0.2">
      <c r="A4797" s="420">
        <v>45961</v>
      </c>
      <c r="B4797" t="s">
        <v>2532</v>
      </c>
      <c r="C4797" t="s">
        <v>6997</v>
      </c>
      <c r="D4797" t="s">
        <v>3523</v>
      </c>
      <c r="E4797" t="s">
        <v>1963</v>
      </c>
      <c r="F4797">
        <v>33.61</v>
      </c>
      <c r="H4797">
        <v>436.86</v>
      </c>
      <c r="J4797" t="s">
        <v>2603</v>
      </c>
    </row>
    <row r="4798" spans="1:10" ht="15" customHeight="1" x14ac:dyDescent="0.2">
      <c r="A4798" s="420">
        <v>45961</v>
      </c>
      <c r="B4798" t="s">
        <v>2532</v>
      </c>
      <c r="C4798" t="s">
        <v>6997</v>
      </c>
      <c r="D4798" t="s">
        <v>3445</v>
      </c>
      <c r="E4798" t="s">
        <v>564</v>
      </c>
      <c r="F4798">
        <v>14.75</v>
      </c>
      <c r="H4798">
        <v>451.61</v>
      </c>
      <c r="J4798" t="s">
        <v>2603</v>
      </c>
    </row>
    <row r="4799" spans="1:10" ht="15" customHeight="1" x14ac:dyDescent="0.2">
      <c r="A4799" s="420">
        <v>45961</v>
      </c>
      <c r="B4799" t="s">
        <v>2517</v>
      </c>
      <c r="C4799" t="s">
        <v>6997</v>
      </c>
      <c r="D4799" t="s">
        <v>6325</v>
      </c>
      <c r="E4799" t="s">
        <v>6326</v>
      </c>
      <c r="G4799">
        <v>422.92</v>
      </c>
      <c r="H4799">
        <v>28.69</v>
      </c>
      <c r="J4799" t="s">
        <v>2603</v>
      </c>
    </row>
    <row r="4800" spans="1:10" ht="15" customHeight="1" x14ac:dyDescent="0.2">
      <c r="A4800" s="420">
        <v>45971</v>
      </c>
      <c r="B4800" t="s">
        <v>2547</v>
      </c>
      <c r="C4800" t="s">
        <v>6997</v>
      </c>
      <c r="D4800" t="s">
        <v>2842</v>
      </c>
      <c r="E4800" t="s">
        <v>1418</v>
      </c>
      <c r="F4800">
        <v>0.2</v>
      </c>
      <c r="H4800">
        <v>28.89</v>
      </c>
      <c r="J4800" t="s">
        <v>2604</v>
      </c>
    </row>
    <row r="4801" spans="1:10" ht="15" customHeight="1" x14ac:dyDescent="0.2">
      <c r="A4801" s="420">
        <v>45972</v>
      </c>
      <c r="B4801" t="s">
        <v>2532</v>
      </c>
      <c r="C4801" t="s">
        <v>6997</v>
      </c>
      <c r="D4801" t="s">
        <v>2843</v>
      </c>
      <c r="E4801" t="s">
        <v>1419</v>
      </c>
      <c r="F4801">
        <v>0.2</v>
      </c>
      <c r="H4801">
        <v>29.09</v>
      </c>
      <c r="J4801" t="s">
        <v>2604</v>
      </c>
    </row>
    <row r="4802" spans="1:10" ht="15" customHeight="1" x14ac:dyDescent="0.2">
      <c r="A4802" s="420">
        <v>45976</v>
      </c>
      <c r="B4802" t="s">
        <v>2532</v>
      </c>
      <c r="C4802" t="s">
        <v>6997</v>
      </c>
      <c r="D4802" t="s">
        <v>3526</v>
      </c>
      <c r="E4802" t="s">
        <v>1974</v>
      </c>
      <c r="F4802">
        <v>18.02</v>
      </c>
      <c r="H4802">
        <v>47.11</v>
      </c>
      <c r="J4802" t="s">
        <v>2604</v>
      </c>
    </row>
    <row r="4803" spans="1:10" ht="15" customHeight="1" x14ac:dyDescent="0.2">
      <c r="A4803" s="420">
        <v>45984</v>
      </c>
      <c r="B4803" t="s">
        <v>2532</v>
      </c>
      <c r="C4803" t="s">
        <v>6997</v>
      </c>
      <c r="D4803" t="s">
        <v>2844</v>
      </c>
      <c r="E4803" t="s">
        <v>1424</v>
      </c>
      <c r="F4803">
        <v>6.99</v>
      </c>
      <c r="H4803">
        <v>54.1</v>
      </c>
      <c r="J4803" t="s">
        <v>2604</v>
      </c>
    </row>
    <row r="4804" spans="1:10" ht="15" customHeight="1" x14ac:dyDescent="0.2">
      <c r="A4804" s="420">
        <v>45991</v>
      </c>
      <c r="B4804" t="s">
        <v>2532</v>
      </c>
      <c r="C4804" t="s">
        <v>6997</v>
      </c>
      <c r="D4804" t="s">
        <v>3530</v>
      </c>
      <c r="E4804" t="s">
        <v>1983</v>
      </c>
      <c r="F4804">
        <v>33.08</v>
      </c>
      <c r="H4804">
        <v>87.18</v>
      </c>
      <c r="J4804" t="s">
        <v>2604</v>
      </c>
    </row>
    <row r="4805" spans="1:10" ht="15" customHeight="1" x14ac:dyDescent="0.2">
      <c r="A4805" s="420">
        <v>45991</v>
      </c>
      <c r="B4805" t="s">
        <v>2532</v>
      </c>
      <c r="C4805" t="s">
        <v>6997</v>
      </c>
      <c r="D4805" t="s">
        <v>3447</v>
      </c>
      <c r="E4805" t="s">
        <v>572</v>
      </c>
      <c r="F4805">
        <v>10.15</v>
      </c>
      <c r="H4805">
        <v>97.33</v>
      </c>
      <c r="J4805" t="s">
        <v>2604</v>
      </c>
    </row>
    <row r="4806" spans="1:10" ht="15" customHeight="1" x14ac:dyDescent="0.2">
      <c r="A4806" s="420">
        <v>45991</v>
      </c>
      <c r="B4806" t="s">
        <v>2517</v>
      </c>
      <c r="C4806" t="s">
        <v>6997</v>
      </c>
      <c r="D4806" t="s">
        <v>6327</v>
      </c>
      <c r="E4806" t="s">
        <v>6328</v>
      </c>
      <c r="G4806">
        <v>71.44</v>
      </c>
      <c r="H4806">
        <v>25.89</v>
      </c>
      <c r="J4806" t="s">
        <v>2604</v>
      </c>
    </row>
    <row r="4807" spans="1:10" ht="15" customHeight="1" x14ac:dyDescent="0.2">
      <c r="A4807" s="420">
        <v>45999</v>
      </c>
      <c r="B4807" t="s">
        <v>2532</v>
      </c>
      <c r="C4807" t="s">
        <v>6997</v>
      </c>
      <c r="D4807" t="s">
        <v>2847</v>
      </c>
      <c r="E4807" t="s">
        <v>1427</v>
      </c>
      <c r="F4807">
        <v>0.2</v>
      </c>
      <c r="H4807">
        <v>26.09</v>
      </c>
      <c r="J4807" t="s">
        <v>2599</v>
      </c>
    </row>
    <row r="4808" spans="1:10" ht="15" customHeight="1" x14ac:dyDescent="0.2">
      <c r="A4808" s="420">
        <v>46006</v>
      </c>
      <c r="B4808" t="s">
        <v>2547</v>
      </c>
      <c r="C4808" t="s">
        <v>6997</v>
      </c>
      <c r="D4808" t="s">
        <v>3533</v>
      </c>
      <c r="E4808" t="s">
        <v>1797</v>
      </c>
      <c r="F4808">
        <v>37.299999999999997</v>
      </c>
      <c r="H4808">
        <v>63.39</v>
      </c>
      <c r="J4808" t="s">
        <v>2599</v>
      </c>
    </row>
    <row r="4809" spans="1:10" ht="15" customHeight="1" x14ac:dyDescent="0.2">
      <c r="A4809" s="420">
        <v>46014</v>
      </c>
      <c r="B4809" t="s">
        <v>2532</v>
      </c>
      <c r="C4809" t="s">
        <v>6997</v>
      </c>
      <c r="D4809" t="s">
        <v>2848</v>
      </c>
      <c r="E4809" t="s">
        <v>1381</v>
      </c>
      <c r="F4809">
        <v>6.99</v>
      </c>
      <c r="H4809">
        <v>70.38</v>
      </c>
      <c r="J4809" t="s">
        <v>2599</v>
      </c>
    </row>
    <row r="4810" spans="1:10" ht="15" customHeight="1" x14ac:dyDescent="0.2">
      <c r="A4810" s="420">
        <v>46022</v>
      </c>
      <c r="B4810" t="s">
        <v>2517</v>
      </c>
      <c r="C4810" t="s">
        <v>6997</v>
      </c>
      <c r="D4810" t="s">
        <v>6329</v>
      </c>
      <c r="E4810" t="s">
        <v>6330</v>
      </c>
      <c r="G4810">
        <v>44.49</v>
      </c>
      <c r="H4810">
        <v>25.89</v>
      </c>
      <c r="J4810" t="s">
        <v>2599</v>
      </c>
    </row>
    <row r="4811" spans="1:10" ht="15" customHeight="1" x14ac:dyDescent="0.2">
      <c r="A4811" s="420">
        <v>46022</v>
      </c>
      <c r="B4811" t="s">
        <v>2547</v>
      </c>
      <c r="C4811" t="s">
        <v>6997</v>
      </c>
      <c r="D4811" t="s">
        <v>3449</v>
      </c>
      <c r="E4811" t="s">
        <v>529</v>
      </c>
      <c r="F4811">
        <v>22.38</v>
      </c>
      <c r="H4811">
        <v>48.27</v>
      </c>
      <c r="J4811" t="s">
        <v>2511</v>
      </c>
    </row>
    <row r="4812" spans="1:10" ht="15" customHeight="1" x14ac:dyDescent="0.2">
      <c r="A4812" s="420">
        <v>46022</v>
      </c>
      <c r="B4812" t="s">
        <v>2547</v>
      </c>
      <c r="C4812" t="s">
        <v>6997</v>
      </c>
      <c r="D4812" t="s">
        <v>3537</v>
      </c>
      <c r="E4812" t="s">
        <v>1797</v>
      </c>
      <c r="F4812">
        <v>21.84</v>
      </c>
      <c r="H4812">
        <v>70.11</v>
      </c>
      <c r="J4812" t="s">
        <v>2511</v>
      </c>
    </row>
    <row r="4813" spans="1:10" ht="15" customHeight="1" x14ac:dyDescent="0.2">
      <c r="A4813" t="s">
        <v>6997</v>
      </c>
      <c r="E4813" t="s">
        <v>349</v>
      </c>
      <c r="F4813">
        <v>1518.93</v>
      </c>
      <c r="G4813">
        <v>1448.82</v>
      </c>
      <c r="H4813">
        <v>70.11</v>
      </c>
    </row>
    <row r="4815" spans="1:10" ht="15" customHeight="1" x14ac:dyDescent="0.2">
      <c r="A4815" t="s">
        <v>7000</v>
      </c>
      <c r="B4815" t="s">
        <v>7001</v>
      </c>
      <c r="F4815" t="s">
        <v>2430</v>
      </c>
      <c r="G4815" t="s">
        <v>2431</v>
      </c>
      <c r="H4815" t="s">
        <v>2432</v>
      </c>
      <c r="I4815" t="s">
        <v>2433</v>
      </c>
      <c r="J4815" t="s">
        <v>2434</v>
      </c>
    </row>
    <row r="4816" spans="1:10" ht="15" customHeight="1" x14ac:dyDescent="0.2">
      <c r="A4816" s="420">
        <v>45660</v>
      </c>
      <c r="B4816" t="s">
        <v>2532</v>
      </c>
      <c r="C4816" t="s">
        <v>7000</v>
      </c>
      <c r="D4816" t="s">
        <v>4295</v>
      </c>
      <c r="E4816" t="s">
        <v>4296</v>
      </c>
      <c r="F4816">
        <v>13738.34</v>
      </c>
      <c r="H4816">
        <v>13738.34</v>
      </c>
      <c r="J4816" t="s">
        <v>2511</v>
      </c>
    </row>
    <row r="4817" spans="1:10" ht="15" customHeight="1" x14ac:dyDescent="0.2">
      <c r="A4817" s="420">
        <v>45688</v>
      </c>
      <c r="B4817" t="s">
        <v>2517</v>
      </c>
      <c r="C4817" t="s">
        <v>7000</v>
      </c>
      <c r="D4817" t="s">
        <v>6306</v>
      </c>
      <c r="E4817" t="s">
        <v>6333</v>
      </c>
      <c r="G4817">
        <v>13738.34</v>
      </c>
      <c r="J4817" t="s">
        <v>2511</v>
      </c>
    </row>
    <row r="4818" spans="1:10" ht="15" customHeight="1" x14ac:dyDescent="0.2">
      <c r="A4818" s="420">
        <v>45698</v>
      </c>
      <c r="B4818" t="s">
        <v>2532</v>
      </c>
      <c r="C4818" t="s">
        <v>7000</v>
      </c>
      <c r="D4818" t="s">
        <v>4318</v>
      </c>
      <c r="E4818" t="s">
        <v>4319</v>
      </c>
      <c r="F4818">
        <v>15004.2</v>
      </c>
      <c r="H4818">
        <v>15004.2</v>
      </c>
      <c r="J4818" t="s">
        <v>2509</v>
      </c>
    </row>
    <row r="4819" spans="1:10" ht="15" customHeight="1" x14ac:dyDescent="0.2">
      <c r="A4819" s="420">
        <v>45698</v>
      </c>
      <c r="B4819" t="s">
        <v>2532</v>
      </c>
      <c r="C4819" t="s">
        <v>7000</v>
      </c>
      <c r="D4819" t="s">
        <v>4320</v>
      </c>
      <c r="E4819" t="s">
        <v>4321</v>
      </c>
      <c r="F4819">
        <v>1520.03</v>
      </c>
      <c r="H4819">
        <v>16524.23</v>
      </c>
      <c r="J4819" t="s">
        <v>2509</v>
      </c>
    </row>
    <row r="4820" spans="1:10" ht="15" customHeight="1" x14ac:dyDescent="0.2">
      <c r="A4820" s="420">
        <v>45716</v>
      </c>
      <c r="B4820" t="s">
        <v>2517</v>
      </c>
      <c r="C4820" t="s">
        <v>7000</v>
      </c>
      <c r="D4820" t="s">
        <v>6309</v>
      </c>
      <c r="E4820" t="s">
        <v>6334</v>
      </c>
      <c r="G4820">
        <v>16254.23</v>
      </c>
      <c r="H4820">
        <v>270</v>
      </c>
      <c r="J4820" t="s">
        <v>2509</v>
      </c>
    </row>
    <row r="4821" spans="1:10" ht="15" customHeight="1" x14ac:dyDescent="0.2">
      <c r="A4821" s="420">
        <v>45733</v>
      </c>
      <c r="B4821" t="s">
        <v>2532</v>
      </c>
      <c r="C4821" t="s">
        <v>7000</v>
      </c>
      <c r="D4821" t="s">
        <v>4306</v>
      </c>
      <c r="E4821" t="s">
        <v>4307</v>
      </c>
      <c r="F4821">
        <v>1520.03</v>
      </c>
      <c r="H4821">
        <v>1790.03</v>
      </c>
      <c r="J4821" t="s">
        <v>2509</v>
      </c>
    </row>
    <row r="4822" spans="1:10" ht="15" customHeight="1" x14ac:dyDescent="0.2">
      <c r="A4822" s="420">
        <v>45733</v>
      </c>
      <c r="B4822" t="s">
        <v>2532</v>
      </c>
      <c r="C4822" t="s">
        <v>7000</v>
      </c>
      <c r="D4822" t="s">
        <v>4308</v>
      </c>
      <c r="E4822" t="s">
        <v>4307</v>
      </c>
      <c r="F4822">
        <v>14127.02</v>
      </c>
      <c r="H4822">
        <v>15917.05</v>
      </c>
      <c r="J4822" t="s">
        <v>2509</v>
      </c>
    </row>
    <row r="4823" spans="1:10" ht="15" customHeight="1" x14ac:dyDescent="0.2">
      <c r="A4823" s="420">
        <v>45747</v>
      </c>
      <c r="B4823" t="s">
        <v>2517</v>
      </c>
      <c r="C4823" t="s">
        <v>7000</v>
      </c>
      <c r="D4823" t="s">
        <v>6311</v>
      </c>
      <c r="E4823" t="s">
        <v>6335</v>
      </c>
      <c r="G4823">
        <v>15917.05</v>
      </c>
      <c r="J4823" t="s">
        <v>2509</v>
      </c>
    </row>
    <row r="4824" spans="1:10" ht="15" customHeight="1" x14ac:dyDescent="0.2">
      <c r="A4824" t="s">
        <v>7000</v>
      </c>
      <c r="E4824" t="s">
        <v>349</v>
      </c>
      <c r="F4824">
        <v>45909.62</v>
      </c>
      <c r="G4824">
        <v>45909.62</v>
      </c>
    </row>
    <row r="4826" spans="1:10" ht="15" customHeight="1" x14ac:dyDescent="0.2">
      <c r="A4826" t="s">
        <v>7002</v>
      </c>
      <c r="B4826" t="s">
        <v>7003</v>
      </c>
      <c r="F4826" t="s">
        <v>2430</v>
      </c>
      <c r="G4826" t="s">
        <v>2431</v>
      </c>
      <c r="H4826" t="s">
        <v>2432</v>
      </c>
      <c r="I4826" t="s">
        <v>2433</v>
      </c>
      <c r="J4826" t="s">
        <v>2434</v>
      </c>
    </row>
    <row r="4827" spans="1:10" ht="15" customHeight="1" x14ac:dyDescent="0.2">
      <c r="A4827" s="420">
        <v>45658</v>
      </c>
      <c r="B4827" t="s">
        <v>2435</v>
      </c>
      <c r="C4827" t="s">
        <v>7002</v>
      </c>
      <c r="D4827" t="s">
        <v>2436</v>
      </c>
      <c r="E4827" t="s">
        <v>6338</v>
      </c>
      <c r="F4827">
        <v>3.36</v>
      </c>
      <c r="H4827">
        <v>3.36</v>
      </c>
    </row>
    <row r="4828" spans="1:10" ht="15" customHeight="1" x14ac:dyDescent="0.2">
      <c r="A4828" s="420">
        <v>45658</v>
      </c>
      <c r="B4828" t="s">
        <v>2435</v>
      </c>
      <c r="C4828" t="s">
        <v>7002</v>
      </c>
      <c r="D4828" t="s">
        <v>2436</v>
      </c>
      <c r="E4828" t="s">
        <v>7004</v>
      </c>
      <c r="F4828">
        <v>10.71</v>
      </c>
      <c r="H4828">
        <v>14.07</v>
      </c>
    </row>
    <row r="4829" spans="1:10" ht="15" customHeight="1" x14ac:dyDescent="0.2">
      <c r="A4829" s="420">
        <v>45658</v>
      </c>
      <c r="B4829" t="s">
        <v>2435</v>
      </c>
      <c r="C4829" t="s">
        <v>7002</v>
      </c>
      <c r="D4829" t="s">
        <v>2436</v>
      </c>
      <c r="E4829" t="s">
        <v>6339</v>
      </c>
      <c r="F4829">
        <v>3.36</v>
      </c>
      <c r="H4829">
        <v>17.43</v>
      </c>
    </row>
    <row r="4830" spans="1:10" ht="15" customHeight="1" x14ac:dyDescent="0.2">
      <c r="A4830" s="420">
        <v>45658</v>
      </c>
      <c r="B4830" t="s">
        <v>2435</v>
      </c>
      <c r="C4830" t="s">
        <v>7002</v>
      </c>
      <c r="D4830" t="s">
        <v>2436</v>
      </c>
      <c r="E4830" t="s">
        <v>7005</v>
      </c>
      <c r="G4830">
        <v>10.71</v>
      </c>
      <c r="H4830">
        <v>6.72</v>
      </c>
    </row>
    <row r="4831" spans="1:10" ht="15" customHeight="1" x14ac:dyDescent="0.2">
      <c r="A4831" s="420">
        <v>45658</v>
      </c>
      <c r="B4831" t="s">
        <v>2435</v>
      </c>
      <c r="C4831" t="s">
        <v>7002</v>
      </c>
      <c r="D4831" t="s">
        <v>2436</v>
      </c>
      <c r="E4831" t="s">
        <v>6340</v>
      </c>
      <c r="F4831">
        <v>4</v>
      </c>
      <c r="H4831">
        <v>10.72</v>
      </c>
    </row>
    <row r="4832" spans="1:10" ht="15" customHeight="1" x14ac:dyDescent="0.2">
      <c r="A4832" s="420">
        <v>45658</v>
      </c>
      <c r="B4832" t="s">
        <v>2435</v>
      </c>
      <c r="C4832" t="s">
        <v>7002</v>
      </c>
      <c r="D4832" t="s">
        <v>2436</v>
      </c>
      <c r="E4832" t="s">
        <v>6341</v>
      </c>
      <c r="F4832">
        <v>2.8</v>
      </c>
      <c r="H4832">
        <v>13.52</v>
      </c>
    </row>
    <row r="4833" spans="1:9" ht="15" customHeight="1" x14ac:dyDescent="0.2">
      <c r="A4833" s="420">
        <v>45658</v>
      </c>
      <c r="B4833" t="s">
        <v>2435</v>
      </c>
      <c r="C4833" t="s">
        <v>7002</v>
      </c>
      <c r="D4833" t="s">
        <v>2436</v>
      </c>
      <c r="E4833" t="s">
        <v>6341</v>
      </c>
      <c r="F4833">
        <v>14.39</v>
      </c>
      <c r="H4833">
        <v>27.91</v>
      </c>
    </row>
    <row r="4834" spans="1:9" ht="15" customHeight="1" x14ac:dyDescent="0.2">
      <c r="A4834" s="420">
        <v>45658</v>
      </c>
      <c r="B4834" t="s">
        <v>2435</v>
      </c>
      <c r="C4834" t="s">
        <v>7002</v>
      </c>
      <c r="D4834" t="s">
        <v>2436</v>
      </c>
      <c r="E4834" t="s">
        <v>6342</v>
      </c>
      <c r="F4834">
        <v>10.71</v>
      </c>
      <c r="H4834">
        <v>38.619999999999997</v>
      </c>
    </row>
    <row r="4835" spans="1:9" ht="15" customHeight="1" x14ac:dyDescent="0.2">
      <c r="A4835" s="420">
        <v>45658</v>
      </c>
      <c r="B4835" t="s">
        <v>2435</v>
      </c>
      <c r="C4835" t="s">
        <v>7002</v>
      </c>
      <c r="D4835" t="s">
        <v>2436</v>
      </c>
      <c r="E4835" t="s">
        <v>6343</v>
      </c>
      <c r="F4835">
        <v>3.36</v>
      </c>
      <c r="H4835">
        <v>41.98</v>
      </c>
    </row>
    <row r="4836" spans="1:9" ht="15" customHeight="1" x14ac:dyDescent="0.2">
      <c r="A4836" s="420">
        <v>45658</v>
      </c>
      <c r="B4836" t="s">
        <v>2435</v>
      </c>
      <c r="C4836" t="s">
        <v>7002</v>
      </c>
      <c r="D4836" t="s">
        <v>2436</v>
      </c>
      <c r="E4836" t="s">
        <v>6344</v>
      </c>
      <c r="F4836">
        <v>2.4</v>
      </c>
      <c r="H4836">
        <v>44.38</v>
      </c>
    </row>
    <row r="4837" spans="1:9" ht="15" customHeight="1" x14ac:dyDescent="0.2">
      <c r="A4837" s="420">
        <v>45658</v>
      </c>
      <c r="B4837" t="s">
        <v>2435</v>
      </c>
      <c r="C4837" t="s">
        <v>7002</v>
      </c>
      <c r="D4837" t="s">
        <v>2436</v>
      </c>
      <c r="E4837" t="s">
        <v>6345</v>
      </c>
      <c r="F4837">
        <v>3.36</v>
      </c>
      <c r="H4837">
        <v>47.74</v>
      </c>
    </row>
    <row r="4838" spans="1:9" ht="15" customHeight="1" x14ac:dyDescent="0.2">
      <c r="A4838" s="420">
        <v>45658</v>
      </c>
      <c r="B4838" t="s">
        <v>2435</v>
      </c>
      <c r="C4838" t="s">
        <v>7002</v>
      </c>
      <c r="D4838" t="s">
        <v>2436</v>
      </c>
      <c r="E4838" t="s">
        <v>6346</v>
      </c>
      <c r="F4838">
        <v>4</v>
      </c>
      <c r="H4838">
        <v>51.74</v>
      </c>
    </row>
    <row r="4839" spans="1:9" ht="15" customHeight="1" x14ac:dyDescent="0.2">
      <c r="A4839" s="420">
        <v>45658</v>
      </c>
      <c r="B4839" t="s">
        <v>2435</v>
      </c>
      <c r="C4839" t="s">
        <v>7002</v>
      </c>
      <c r="D4839" t="s">
        <v>2436</v>
      </c>
      <c r="E4839" t="s">
        <v>6347</v>
      </c>
      <c r="F4839">
        <v>3.36</v>
      </c>
      <c r="H4839">
        <v>55.1</v>
      </c>
    </row>
    <row r="4840" spans="1:9" ht="15" customHeight="1" x14ac:dyDescent="0.2">
      <c r="A4840" s="420">
        <v>45658</v>
      </c>
      <c r="B4840" t="s">
        <v>2435</v>
      </c>
      <c r="C4840" t="s">
        <v>7002</v>
      </c>
      <c r="D4840" t="s">
        <v>2436</v>
      </c>
      <c r="E4840" t="s">
        <v>7006</v>
      </c>
      <c r="G4840">
        <v>15.84</v>
      </c>
      <c r="H4840">
        <v>39.26</v>
      </c>
    </row>
    <row r="4841" spans="1:9" ht="15" customHeight="1" x14ac:dyDescent="0.2">
      <c r="A4841" s="420">
        <v>45658</v>
      </c>
      <c r="B4841" t="s">
        <v>2435</v>
      </c>
      <c r="C4841" t="s">
        <v>7002</v>
      </c>
      <c r="D4841" t="s">
        <v>2436</v>
      </c>
      <c r="E4841" t="s">
        <v>7007</v>
      </c>
      <c r="G4841">
        <v>101.46</v>
      </c>
      <c r="I4841">
        <v>62.2</v>
      </c>
    </row>
    <row r="4842" spans="1:9" ht="15" customHeight="1" x14ac:dyDescent="0.2">
      <c r="A4842" s="420">
        <v>45667</v>
      </c>
      <c r="B4842" t="s">
        <v>2532</v>
      </c>
      <c r="C4842" t="s">
        <v>7002</v>
      </c>
      <c r="D4842" t="s">
        <v>3079</v>
      </c>
      <c r="E4842" t="s">
        <v>1298</v>
      </c>
      <c r="F4842">
        <v>2.4</v>
      </c>
      <c r="I4842">
        <v>59.8</v>
      </c>
    </row>
    <row r="4843" spans="1:9" ht="15" customHeight="1" x14ac:dyDescent="0.2">
      <c r="A4843" s="420">
        <v>45698</v>
      </c>
      <c r="B4843" t="s">
        <v>2532</v>
      </c>
      <c r="C4843" t="s">
        <v>7002</v>
      </c>
      <c r="D4843" t="s">
        <v>3082</v>
      </c>
      <c r="E4843" t="s">
        <v>1313</v>
      </c>
      <c r="F4843">
        <v>2.4</v>
      </c>
      <c r="I4843">
        <v>57.4</v>
      </c>
    </row>
    <row r="4844" spans="1:9" ht="15" customHeight="1" x14ac:dyDescent="0.2">
      <c r="A4844" s="420">
        <v>45726</v>
      </c>
      <c r="B4844" t="s">
        <v>2532</v>
      </c>
      <c r="C4844" t="s">
        <v>7002</v>
      </c>
      <c r="D4844" t="s">
        <v>3085</v>
      </c>
      <c r="E4844" t="s">
        <v>1330</v>
      </c>
      <c r="F4844">
        <v>2.4</v>
      </c>
      <c r="I4844">
        <v>55</v>
      </c>
    </row>
    <row r="4845" spans="1:9" ht="15" customHeight="1" x14ac:dyDescent="0.2">
      <c r="A4845" s="420">
        <v>45757</v>
      </c>
      <c r="B4845" t="s">
        <v>2532</v>
      </c>
      <c r="C4845" t="s">
        <v>7002</v>
      </c>
      <c r="D4845" t="s">
        <v>3088</v>
      </c>
      <c r="E4845" t="s">
        <v>1345</v>
      </c>
      <c r="F4845">
        <v>2.4</v>
      </c>
      <c r="I4845">
        <v>52.6</v>
      </c>
    </row>
    <row r="4846" spans="1:9" ht="15" customHeight="1" x14ac:dyDescent="0.2">
      <c r="A4846" s="420">
        <v>45787</v>
      </c>
      <c r="B4846" t="s">
        <v>2532</v>
      </c>
      <c r="C4846" t="s">
        <v>7002</v>
      </c>
      <c r="D4846" t="s">
        <v>3091</v>
      </c>
      <c r="E4846" t="s">
        <v>1355</v>
      </c>
      <c r="F4846">
        <v>2.4</v>
      </c>
      <c r="I4846">
        <v>50.2</v>
      </c>
    </row>
    <row r="4847" spans="1:9" ht="15" customHeight="1" x14ac:dyDescent="0.2">
      <c r="A4847" s="420">
        <v>45818</v>
      </c>
      <c r="B4847" t="s">
        <v>2532</v>
      </c>
      <c r="C4847" t="s">
        <v>7002</v>
      </c>
      <c r="D4847" t="s">
        <v>3094</v>
      </c>
      <c r="E4847" t="s">
        <v>1369</v>
      </c>
      <c r="F4847">
        <v>2.4</v>
      </c>
      <c r="I4847">
        <v>47.8</v>
      </c>
    </row>
    <row r="4848" spans="1:9" ht="15" customHeight="1" x14ac:dyDescent="0.2">
      <c r="A4848" s="420">
        <v>45848</v>
      </c>
      <c r="B4848" t="s">
        <v>2532</v>
      </c>
      <c r="C4848" t="s">
        <v>7002</v>
      </c>
      <c r="D4848" t="s">
        <v>3097</v>
      </c>
      <c r="E4848" t="s">
        <v>1382</v>
      </c>
      <c r="F4848">
        <v>2.4</v>
      </c>
      <c r="I4848">
        <v>45.4</v>
      </c>
    </row>
    <row r="4849" spans="1:10" ht="15" customHeight="1" x14ac:dyDescent="0.2">
      <c r="A4849" s="420">
        <v>45879</v>
      </c>
      <c r="B4849" t="s">
        <v>2532</v>
      </c>
      <c r="C4849" t="s">
        <v>7002</v>
      </c>
      <c r="D4849" t="s">
        <v>3100</v>
      </c>
      <c r="E4849" t="s">
        <v>1391</v>
      </c>
      <c r="F4849">
        <v>2.4</v>
      </c>
      <c r="I4849">
        <v>43</v>
      </c>
    </row>
    <row r="4850" spans="1:10" ht="15" customHeight="1" x14ac:dyDescent="0.2">
      <c r="A4850" s="420">
        <v>45910</v>
      </c>
      <c r="B4850" t="s">
        <v>2532</v>
      </c>
      <c r="C4850" t="s">
        <v>7002</v>
      </c>
      <c r="D4850" t="s">
        <v>3103</v>
      </c>
      <c r="E4850" t="s">
        <v>1397</v>
      </c>
      <c r="F4850">
        <v>2.4</v>
      </c>
      <c r="I4850">
        <v>40.6</v>
      </c>
    </row>
    <row r="4851" spans="1:10" ht="15" customHeight="1" x14ac:dyDescent="0.2">
      <c r="A4851" s="420">
        <v>45940</v>
      </c>
      <c r="B4851" t="s">
        <v>2532</v>
      </c>
      <c r="C4851" t="s">
        <v>7002</v>
      </c>
      <c r="D4851" t="s">
        <v>3106</v>
      </c>
      <c r="E4851" t="s">
        <v>1406</v>
      </c>
      <c r="F4851">
        <v>2.4</v>
      </c>
      <c r="I4851">
        <v>38.200000000000003</v>
      </c>
    </row>
    <row r="4852" spans="1:10" ht="15" customHeight="1" x14ac:dyDescent="0.2">
      <c r="A4852" s="420">
        <v>45971</v>
      </c>
      <c r="B4852" t="s">
        <v>2532</v>
      </c>
      <c r="C4852" t="s">
        <v>7002</v>
      </c>
      <c r="D4852" t="s">
        <v>3109</v>
      </c>
      <c r="E4852" t="s">
        <v>1417</v>
      </c>
      <c r="F4852">
        <v>2.4</v>
      </c>
      <c r="I4852">
        <v>35.799999999999997</v>
      </c>
    </row>
    <row r="4853" spans="1:10" ht="15" customHeight="1" x14ac:dyDescent="0.2">
      <c r="A4853" s="420">
        <v>46001</v>
      </c>
      <c r="B4853" t="s">
        <v>2532</v>
      </c>
      <c r="C4853" t="s">
        <v>7002</v>
      </c>
      <c r="D4853" t="s">
        <v>3112</v>
      </c>
      <c r="E4853" t="s">
        <v>1429</v>
      </c>
      <c r="F4853">
        <v>2.4</v>
      </c>
      <c r="I4853">
        <v>33.4</v>
      </c>
    </row>
    <row r="4854" spans="1:10" ht="15" customHeight="1" x14ac:dyDescent="0.2">
      <c r="A4854" t="s">
        <v>7002</v>
      </c>
      <c r="E4854" t="s">
        <v>349</v>
      </c>
      <c r="F4854">
        <v>94.61</v>
      </c>
      <c r="G4854">
        <v>128.01</v>
      </c>
      <c r="I4854">
        <v>33.4</v>
      </c>
    </row>
    <row r="4856" spans="1:10" ht="15" customHeight="1" x14ac:dyDescent="0.2">
      <c r="A4856" t="s">
        <v>7008</v>
      </c>
      <c r="B4856" t="s">
        <v>7009</v>
      </c>
      <c r="F4856" t="s">
        <v>2430</v>
      </c>
      <c r="G4856" t="s">
        <v>2431</v>
      </c>
      <c r="H4856" t="s">
        <v>2432</v>
      </c>
      <c r="I4856" t="s">
        <v>2433</v>
      </c>
      <c r="J4856" t="s">
        <v>2434</v>
      </c>
    </row>
    <row r="4857" spans="1:10" ht="15" customHeight="1" x14ac:dyDescent="0.2">
      <c r="A4857" s="420">
        <v>45658</v>
      </c>
      <c r="B4857" t="s">
        <v>2435</v>
      </c>
      <c r="C4857" t="s">
        <v>7008</v>
      </c>
      <c r="D4857" t="s">
        <v>2436</v>
      </c>
      <c r="E4857" t="s">
        <v>7010</v>
      </c>
      <c r="F4857">
        <v>115574.53</v>
      </c>
      <c r="H4857">
        <v>115574.53</v>
      </c>
    </row>
    <row r="4858" spans="1:10" ht="15" customHeight="1" x14ac:dyDescent="0.2">
      <c r="A4858" s="420">
        <v>45665</v>
      </c>
      <c r="B4858" t="s">
        <v>5586</v>
      </c>
      <c r="C4858" t="s">
        <v>7008</v>
      </c>
      <c r="D4858" t="s">
        <v>5923</v>
      </c>
      <c r="E4858" t="s">
        <v>5924</v>
      </c>
      <c r="G4858">
        <v>24005</v>
      </c>
      <c r="H4858">
        <v>91569.53</v>
      </c>
    </row>
    <row r="4859" spans="1:10" ht="15" customHeight="1" x14ac:dyDescent="0.2">
      <c r="A4859" s="420">
        <v>45665</v>
      </c>
      <c r="B4859" t="s">
        <v>5544</v>
      </c>
      <c r="C4859" t="s">
        <v>7008</v>
      </c>
      <c r="D4859" t="s">
        <v>7011</v>
      </c>
      <c r="E4859" t="s">
        <v>7012</v>
      </c>
      <c r="G4859">
        <v>56.96</v>
      </c>
      <c r="H4859">
        <v>91512.57</v>
      </c>
    </row>
    <row r="4860" spans="1:10" ht="15" customHeight="1" x14ac:dyDescent="0.2">
      <c r="A4860" s="420">
        <v>45671</v>
      </c>
      <c r="B4860" t="s">
        <v>5586</v>
      </c>
      <c r="C4860" t="s">
        <v>7008</v>
      </c>
      <c r="D4860" t="s">
        <v>5995</v>
      </c>
      <c r="E4860" t="s">
        <v>5996</v>
      </c>
      <c r="G4860">
        <v>25564.67</v>
      </c>
      <c r="H4860">
        <v>65947.899999999994</v>
      </c>
    </row>
    <row r="4861" spans="1:10" ht="15" customHeight="1" x14ac:dyDescent="0.2">
      <c r="A4861" s="420">
        <v>45671</v>
      </c>
      <c r="B4861" t="s">
        <v>5544</v>
      </c>
      <c r="C4861" t="s">
        <v>7008</v>
      </c>
      <c r="D4861" t="s">
        <v>7013</v>
      </c>
      <c r="E4861" t="s">
        <v>7014</v>
      </c>
      <c r="F4861">
        <v>12.14</v>
      </c>
      <c r="H4861">
        <v>65960.039999999994</v>
      </c>
    </row>
    <row r="4862" spans="1:10" ht="15" customHeight="1" x14ac:dyDescent="0.2">
      <c r="A4862" s="420">
        <v>45672</v>
      </c>
      <c r="B4862" t="s">
        <v>5544</v>
      </c>
      <c r="C4862" t="s">
        <v>7008</v>
      </c>
      <c r="D4862" t="s">
        <v>5969</v>
      </c>
      <c r="E4862" t="s">
        <v>5970</v>
      </c>
      <c r="F4862">
        <v>1000</v>
      </c>
      <c r="H4862">
        <v>66960.039999999994</v>
      </c>
    </row>
    <row r="4863" spans="1:10" ht="15" customHeight="1" x14ac:dyDescent="0.2">
      <c r="A4863" s="420">
        <v>45677</v>
      </c>
      <c r="B4863" t="s">
        <v>5586</v>
      </c>
      <c r="C4863" t="s">
        <v>7008</v>
      </c>
      <c r="D4863" t="s">
        <v>5587</v>
      </c>
      <c r="E4863" t="s">
        <v>5588</v>
      </c>
      <c r="G4863">
        <v>25567.83</v>
      </c>
      <c r="H4863">
        <v>41392.21</v>
      </c>
    </row>
    <row r="4864" spans="1:10" ht="15" customHeight="1" x14ac:dyDescent="0.2">
      <c r="A4864" s="420">
        <v>45677</v>
      </c>
      <c r="B4864" t="s">
        <v>5544</v>
      </c>
      <c r="C4864" t="s">
        <v>7008</v>
      </c>
      <c r="D4864" t="s">
        <v>7015</v>
      </c>
      <c r="E4864" t="s">
        <v>7016</v>
      </c>
      <c r="G4864">
        <v>173.95</v>
      </c>
      <c r="H4864">
        <v>41218.26</v>
      </c>
    </row>
    <row r="4865" spans="1:8" ht="15" customHeight="1" x14ac:dyDescent="0.2">
      <c r="A4865" s="420">
        <v>45684</v>
      </c>
      <c r="B4865" t="s">
        <v>5544</v>
      </c>
      <c r="C4865" t="s">
        <v>7008</v>
      </c>
      <c r="D4865" t="s">
        <v>5545</v>
      </c>
      <c r="E4865" t="s">
        <v>5546</v>
      </c>
      <c r="F4865">
        <v>1000</v>
      </c>
      <c r="H4865">
        <v>42218.26</v>
      </c>
    </row>
    <row r="4866" spans="1:8" ht="15" customHeight="1" x14ac:dyDescent="0.2">
      <c r="A4866" s="420">
        <v>45688</v>
      </c>
      <c r="B4866" t="s">
        <v>5586</v>
      </c>
      <c r="C4866" t="s">
        <v>7008</v>
      </c>
      <c r="D4866" t="s">
        <v>5625</v>
      </c>
      <c r="E4866" t="s">
        <v>5626</v>
      </c>
      <c r="G4866">
        <v>132.08000000000001</v>
      </c>
      <c r="H4866">
        <v>42086.18</v>
      </c>
    </row>
    <row r="4867" spans="1:8" ht="15" customHeight="1" x14ac:dyDescent="0.2">
      <c r="A4867" s="420">
        <v>45688</v>
      </c>
      <c r="B4867" t="s">
        <v>2517</v>
      </c>
      <c r="C4867" t="s">
        <v>7008</v>
      </c>
      <c r="D4867" t="s">
        <v>6306</v>
      </c>
      <c r="E4867" t="s">
        <v>6333</v>
      </c>
      <c r="F4867">
        <v>20755.66</v>
      </c>
      <c r="H4867">
        <v>62841.84</v>
      </c>
    </row>
    <row r="4868" spans="1:8" ht="15" customHeight="1" x14ac:dyDescent="0.2">
      <c r="A4868" s="420">
        <v>45716</v>
      </c>
      <c r="B4868" t="s">
        <v>5544</v>
      </c>
      <c r="C4868" t="s">
        <v>7008</v>
      </c>
      <c r="D4868" t="s">
        <v>3404</v>
      </c>
      <c r="E4868" t="s">
        <v>5627</v>
      </c>
      <c r="G4868">
        <v>132.08000000000001</v>
      </c>
      <c r="H4868">
        <v>62709.760000000002</v>
      </c>
    </row>
    <row r="4869" spans="1:8" ht="15" customHeight="1" x14ac:dyDescent="0.2">
      <c r="A4869" s="420">
        <v>45716</v>
      </c>
      <c r="B4869" t="s">
        <v>5544</v>
      </c>
      <c r="C4869" t="s">
        <v>7008</v>
      </c>
      <c r="D4869" t="s">
        <v>5694</v>
      </c>
      <c r="E4869" t="s">
        <v>5695</v>
      </c>
      <c r="F4869">
        <v>1000</v>
      </c>
      <c r="H4869">
        <v>63709.760000000002</v>
      </c>
    </row>
    <row r="4870" spans="1:8" ht="15" customHeight="1" x14ac:dyDescent="0.2">
      <c r="A4870" s="420">
        <v>45716</v>
      </c>
      <c r="B4870" t="s">
        <v>5544</v>
      </c>
      <c r="C4870" t="s">
        <v>7008</v>
      </c>
      <c r="D4870" t="s">
        <v>5815</v>
      </c>
      <c r="E4870" t="s">
        <v>5816</v>
      </c>
      <c r="F4870">
        <v>1250</v>
      </c>
      <c r="H4870">
        <v>64959.76</v>
      </c>
    </row>
    <row r="4871" spans="1:8" ht="15" customHeight="1" x14ac:dyDescent="0.2">
      <c r="A4871" s="420">
        <v>45716</v>
      </c>
      <c r="B4871" t="s">
        <v>2517</v>
      </c>
      <c r="C4871" t="s">
        <v>7008</v>
      </c>
      <c r="D4871" t="s">
        <v>6309</v>
      </c>
      <c r="E4871" t="s">
        <v>6362</v>
      </c>
      <c r="F4871">
        <v>18913</v>
      </c>
      <c r="H4871">
        <v>83872.759999999995</v>
      </c>
    </row>
    <row r="4872" spans="1:8" ht="15" customHeight="1" x14ac:dyDescent="0.2">
      <c r="A4872" s="420">
        <v>45719</v>
      </c>
      <c r="B4872" t="s">
        <v>5544</v>
      </c>
      <c r="C4872" t="s">
        <v>7008</v>
      </c>
      <c r="D4872" t="s">
        <v>7017</v>
      </c>
      <c r="E4872" t="s">
        <v>7018</v>
      </c>
      <c r="G4872">
        <v>49.06</v>
      </c>
      <c r="H4872">
        <v>83823.7</v>
      </c>
    </row>
    <row r="4873" spans="1:8" ht="15" customHeight="1" x14ac:dyDescent="0.2">
      <c r="A4873" s="420">
        <v>45719</v>
      </c>
      <c r="B4873" t="s">
        <v>5544</v>
      </c>
      <c r="C4873" t="s">
        <v>7008</v>
      </c>
      <c r="D4873" t="s">
        <v>5776</v>
      </c>
      <c r="E4873" t="s">
        <v>5777</v>
      </c>
      <c r="G4873">
        <v>24075.34</v>
      </c>
      <c r="H4873">
        <v>59748.36</v>
      </c>
    </row>
    <row r="4874" spans="1:8" ht="15" customHeight="1" x14ac:dyDescent="0.2">
      <c r="A4874" s="420">
        <v>45747</v>
      </c>
      <c r="B4874" t="s">
        <v>5544</v>
      </c>
      <c r="C4874" t="s">
        <v>7008</v>
      </c>
      <c r="D4874" t="s">
        <v>3406</v>
      </c>
      <c r="E4874" t="s">
        <v>5628</v>
      </c>
      <c r="G4874">
        <v>132.08000000000001</v>
      </c>
      <c r="H4874">
        <v>59616.28</v>
      </c>
    </row>
    <row r="4875" spans="1:8" ht="15" customHeight="1" x14ac:dyDescent="0.2">
      <c r="A4875" s="420">
        <v>45747</v>
      </c>
      <c r="B4875" t="s">
        <v>2517</v>
      </c>
      <c r="C4875" t="s">
        <v>7008</v>
      </c>
      <c r="D4875" t="s">
        <v>6311</v>
      </c>
      <c r="E4875" t="s">
        <v>6365</v>
      </c>
      <c r="F4875">
        <v>19335.169999999998</v>
      </c>
      <c r="H4875">
        <v>78951.45</v>
      </c>
    </row>
    <row r="4876" spans="1:8" ht="15" customHeight="1" x14ac:dyDescent="0.2">
      <c r="A4876" s="420">
        <v>45748</v>
      </c>
      <c r="B4876" t="s">
        <v>5544</v>
      </c>
      <c r="C4876" t="s">
        <v>7008</v>
      </c>
      <c r="D4876" t="s">
        <v>5801</v>
      </c>
      <c r="E4876" t="s">
        <v>5802</v>
      </c>
      <c r="G4876">
        <v>24450.5</v>
      </c>
      <c r="H4876">
        <v>54500.95</v>
      </c>
    </row>
    <row r="4877" spans="1:8" ht="15" customHeight="1" x14ac:dyDescent="0.2">
      <c r="A4877" s="420">
        <v>45748</v>
      </c>
      <c r="B4877" t="s">
        <v>5544</v>
      </c>
      <c r="C4877" t="s">
        <v>7008</v>
      </c>
      <c r="D4877" t="s">
        <v>7019</v>
      </c>
      <c r="E4877" t="s">
        <v>7020</v>
      </c>
      <c r="G4877">
        <v>77.959999999999994</v>
      </c>
      <c r="H4877">
        <v>54422.99</v>
      </c>
    </row>
    <row r="4878" spans="1:8" ht="15" customHeight="1" x14ac:dyDescent="0.2">
      <c r="A4878" s="420">
        <v>45777</v>
      </c>
      <c r="B4878" t="s">
        <v>5544</v>
      </c>
      <c r="C4878" t="s">
        <v>7008</v>
      </c>
      <c r="D4878" t="s">
        <v>3408</v>
      </c>
      <c r="E4878" t="s">
        <v>5629</v>
      </c>
      <c r="G4878">
        <v>132.08000000000001</v>
      </c>
      <c r="H4878">
        <v>54290.91</v>
      </c>
    </row>
    <row r="4879" spans="1:8" ht="15" customHeight="1" x14ac:dyDescent="0.2">
      <c r="A4879" s="420">
        <v>45777</v>
      </c>
      <c r="B4879" t="s">
        <v>5544</v>
      </c>
      <c r="C4879" t="s">
        <v>7008</v>
      </c>
      <c r="D4879" t="s">
        <v>7021</v>
      </c>
      <c r="E4879" t="s">
        <v>7022</v>
      </c>
      <c r="F4879">
        <v>11.29</v>
      </c>
      <c r="H4879">
        <v>54302.2</v>
      </c>
    </row>
    <row r="4880" spans="1:8" ht="15" customHeight="1" x14ac:dyDescent="0.2">
      <c r="A4880" s="420">
        <v>45777</v>
      </c>
      <c r="B4880" t="s">
        <v>5544</v>
      </c>
      <c r="C4880" t="s">
        <v>7008</v>
      </c>
      <c r="D4880" t="s">
        <v>5555</v>
      </c>
      <c r="E4880" t="s">
        <v>5556</v>
      </c>
      <c r="G4880">
        <v>23800.560000000001</v>
      </c>
      <c r="H4880">
        <v>30501.64</v>
      </c>
    </row>
    <row r="4881" spans="1:8" ht="15" customHeight="1" x14ac:dyDescent="0.2">
      <c r="A4881" s="420">
        <v>45777</v>
      </c>
      <c r="B4881" t="s">
        <v>2517</v>
      </c>
      <c r="C4881" t="s">
        <v>7008</v>
      </c>
      <c r="D4881" t="s">
        <v>6313</v>
      </c>
      <c r="E4881" t="s">
        <v>6368</v>
      </c>
      <c r="F4881">
        <v>41385.300000000003</v>
      </c>
      <c r="H4881">
        <v>71886.94</v>
      </c>
    </row>
    <row r="4882" spans="1:8" ht="15" customHeight="1" x14ac:dyDescent="0.2">
      <c r="A4882" s="420">
        <v>45779</v>
      </c>
      <c r="B4882" t="s">
        <v>2532</v>
      </c>
      <c r="C4882" t="s">
        <v>7008</v>
      </c>
      <c r="D4882" t="s">
        <v>5714</v>
      </c>
      <c r="E4882" t="s">
        <v>5715</v>
      </c>
      <c r="F4882">
        <v>1000</v>
      </c>
      <c r="H4882">
        <v>72886.94</v>
      </c>
    </row>
    <row r="4883" spans="1:8" ht="15" customHeight="1" x14ac:dyDescent="0.2">
      <c r="A4883" s="420">
        <v>45779</v>
      </c>
      <c r="B4883" t="s">
        <v>2532</v>
      </c>
      <c r="C4883" t="s">
        <v>7008</v>
      </c>
      <c r="D4883" t="s">
        <v>5673</v>
      </c>
      <c r="E4883" t="s">
        <v>5674</v>
      </c>
      <c r="F4883">
        <v>1000</v>
      </c>
      <c r="H4883">
        <v>73886.94</v>
      </c>
    </row>
    <row r="4884" spans="1:8" ht="15" customHeight="1" x14ac:dyDescent="0.2">
      <c r="A4884" s="420">
        <v>45779</v>
      </c>
      <c r="B4884" t="s">
        <v>5586</v>
      </c>
      <c r="C4884" t="s">
        <v>7008</v>
      </c>
      <c r="D4884" t="s">
        <v>5892</v>
      </c>
      <c r="E4884" t="s">
        <v>5893</v>
      </c>
      <c r="F4884">
        <v>1000</v>
      </c>
      <c r="H4884">
        <v>74886.94</v>
      </c>
    </row>
    <row r="4885" spans="1:8" ht="15" customHeight="1" x14ac:dyDescent="0.2">
      <c r="A4885" s="420">
        <v>45808</v>
      </c>
      <c r="B4885" t="s">
        <v>5544</v>
      </c>
      <c r="C4885" t="s">
        <v>7008</v>
      </c>
      <c r="D4885" t="s">
        <v>3410</v>
      </c>
      <c r="E4885" t="s">
        <v>5630</v>
      </c>
      <c r="G4885">
        <v>212.67</v>
      </c>
      <c r="H4885">
        <v>74674.27</v>
      </c>
    </row>
    <row r="4886" spans="1:8" ht="15" customHeight="1" x14ac:dyDescent="0.2">
      <c r="A4886" s="420">
        <v>45808</v>
      </c>
      <c r="B4886" t="s">
        <v>2517</v>
      </c>
      <c r="C4886" t="s">
        <v>7008</v>
      </c>
      <c r="D4886" t="s">
        <v>6317</v>
      </c>
      <c r="E4886" t="s">
        <v>844</v>
      </c>
      <c r="F4886">
        <v>36810.99</v>
      </c>
      <c r="H4886">
        <v>111485.26</v>
      </c>
    </row>
    <row r="4887" spans="1:8" ht="15" customHeight="1" x14ac:dyDescent="0.2">
      <c r="A4887" s="420">
        <v>45811</v>
      </c>
      <c r="B4887" t="s">
        <v>5586</v>
      </c>
      <c r="C4887" t="s">
        <v>7008</v>
      </c>
      <c r="D4887" t="s">
        <v>6029</v>
      </c>
      <c r="E4887" t="s">
        <v>6030</v>
      </c>
      <c r="G4887">
        <v>26742.34</v>
      </c>
      <c r="H4887">
        <v>84742.92</v>
      </c>
    </row>
    <row r="4888" spans="1:8" ht="15" customHeight="1" x14ac:dyDescent="0.2">
      <c r="A4888" s="420">
        <v>45811</v>
      </c>
      <c r="B4888" t="s">
        <v>5544</v>
      </c>
      <c r="C4888" t="s">
        <v>7008</v>
      </c>
      <c r="D4888" t="s">
        <v>7023</v>
      </c>
      <c r="E4888" t="s">
        <v>7024</v>
      </c>
      <c r="F4888">
        <v>12.41</v>
      </c>
      <c r="H4888">
        <v>84755.33</v>
      </c>
    </row>
    <row r="4889" spans="1:8" ht="15" customHeight="1" x14ac:dyDescent="0.2">
      <c r="A4889" s="420">
        <v>45818</v>
      </c>
      <c r="B4889" t="s">
        <v>5586</v>
      </c>
      <c r="C4889" t="s">
        <v>7008</v>
      </c>
      <c r="D4889" t="s">
        <v>5956</v>
      </c>
      <c r="E4889" t="s">
        <v>5957</v>
      </c>
      <c r="F4889">
        <v>1000</v>
      </c>
      <c r="H4889">
        <v>85755.33</v>
      </c>
    </row>
    <row r="4890" spans="1:8" ht="15" customHeight="1" x14ac:dyDescent="0.2">
      <c r="A4890" s="420">
        <v>45828</v>
      </c>
      <c r="B4890" t="s">
        <v>5586</v>
      </c>
      <c r="C4890" t="s">
        <v>7008</v>
      </c>
      <c r="D4890" t="s">
        <v>5835</v>
      </c>
      <c r="E4890" t="s">
        <v>5836</v>
      </c>
      <c r="F4890">
        <v>1000</v>
      </c>
      <c r="H4890">
        <v>86755.33</v>
      </c>
    </row>
    <row r="4891" spans="1:8" ht="15" customHeight="1" x14ac:dyDescent="0.2">
      <c r="A4891" s="420">
        <v>45838</v>
      </c>
      <c r="B4891" t="s">
        <v>5544</v>
      </c>
      <c r="C4891" t="s">
        <v>7008</v>
      </c>
      <c r="D4891" t="s">
        <v>3412</v>
      </c>
      <c r="E4891" t="s">
        <v>5631</v>
      </c>
      <c r="G4891">
        <v>223.12</v>
      </c>
      <c r="H4891">
        <v>86532.21</v>
      </c>
    </row>
    <row r="4892" spans="1:8" ht="15" customHeight="1" x14ac:dyDescent="0.2">
      <c r="A4892" s="420">
        <v>45838</v>
      </c>
      <c r="B4892" t="s">
        <v>2517</v>
      </c>
      <c r="C4892" t="s">
        <v>7008</v>
      </c>
      <c r="D4892" t="s">
        <v>6319</v>
      </c>
      <c r="E4892" t="s">
        <v>846</v>
      </c>
      <c r="F4892">
        <v>45531.34</v>
      </c>
      <c r="H4892">
        <v>132063.54999999999</v>
      </c>
    </row>
    <row r="4893" spans="1:8" ht="15" customHeight="1" x14ac:dyDescent="0.2">
      <c r="A4893" s="420">
        <v>45839</v>
      </c>
      <c r="B4893" t="s">
        <v>5544</v>
      </c>
      <c r="C4893" t="s">
        <v>7008</v>
      </c>
      <c r="D4893" t="s">
        <v>7025</v>
      </c>
      <c r="E4893" t="s">
        <v>7026</v>
      </c>
      <c r="F4893">
        <v>11.79</v>
      </c>
      <c r="H4893">
        <v>132075.34</v>
      </c>
    </row>
    <row r="4894" spans="1:8" ht="15" customHeight="1" x14ac:dyDescent="0.2">
      <c r="A4894" s="420">
        <v>45839</v>
      </c>
      <c r="B4894" t="s">
        <v>5544</v>
      </c>
      <c r="C4894" t="s">
        <v>7008</v>
      </c>
      <c r="D4894" t="s">
        <v>5704</v>
      </c>
      <c r="E4894" t="s">
        <v>5705</v>
      </c>
      <c r="G4894">
        <v>25405.5</v>
      </c>
      <c r="H4894">
        <v>106669.84</v>
      </c>
    </row>
    <row r="4895" spans="1:8" ht="15" customHeight="1" x14ac:dyDescent="0.2">
      <c r="A4895" s="420">
        <v>45839</v>
      </c>
      <c r="B4895" t="s">
        <v>5544</v>
      </c>
      <c r="C4895" t="s">
        <v>7008</v>
      </c>
      <c r="D4895" t="s">
        <v>7027</v>
      </c>
      <c r="E4895" t="s">
        <v>7028</v>
      </c>
      <c r="F4895">
        <v>14.24</v>
      </c>
      <c r="H4895">
        <v>106684.08</v>
      </c>
    </row>
    <row r="4896" spans="1:8" ht="15" customHeight="1" x14ac:dyDescent="0.2">
      <c r="A4896" s="420">
        <v>45839</v>
      </c>
      <c r="B4896" t="s">
        <v>5544</v>
      </c>
      <c r="C4896" t="s">
        <v>7008</v>
      </c>
      <c r="D4896" t="s">
        <v>5944</v>
      </c>
      <c r="E4896" t="s">
        <v>5945</v>
      </c>
      <c r="G4896">
        <v>24577.05</v>
      </c>
      <c r="H4896">
        <v>82107.03</v>
      </c>
    </row>
    <row r="4897" spans="1:8" ht="15" customHeight="1" x14ac:dyDescent="0.2">
      <c r="A4897" s="420">
        <v>45839</v>
      </c>
      <c r="B4897" t="s">
        <v>5544</v>
      </c>
      <c r="C4897" t="s">
        <v>7008</v>
      </c>
      <c r="D4897" t="s">
        <v>5632</v>
      </c>
      <c r="E4897" t="s">
        <v>5633</v>
      </c>
      <c r="F4897">
        <v>212.67</v>
      </c>
      <c r="H4897">
        <v>82319.7</v>
      </c>
    </row>
    <row r="4898" spans="1:8" ht="15" customHeight="1" x14ac:dyDescent="0.2">
      <c r="A4898" s="420">
        <v>45839</v>
      </c>
      <c r="B4898" t="s">
        <v>5544</v>
      </c>
      <c r="C4898" t="s">
        <v>7008</v>
      </c>
      <c r="D4898" t="s">
        <v>5634</v>
      </c>
      <c r="E4898" t="s">
        <v>5635</v>
      </c>
      <c r="G4898">
        <v>223.12</v>
      </c>
      <c r="H4898">
        <v>82096.58</v>
      </c>
    </row>
    <row r="4899" spans="1:8" ht="15" customHeight="1" x14ac:dyDescent="0.2">
      <c r="A4899" s="420">
        <v>45842</v>
      </c>
      <c r="B4899" t="s">
        <v>5544</v>
      </c>
      <c r="C4899" t="s">
        <v>7008</v>
      </c>
      <c r="D4899" t="s">
        <v>5658</v>
      </c>
      <c r="E4899" t="s">
        <v>5659</v>
      </c>
      <c r="F4899">
        <v>1000</v>
      </c>
      <c r="H4899">
        <v>83096.58</v>
      </c>
    </row>
    <row r="4900" spans="1:8" ht="15" customHeight="1" x14ac:dyDescent="0.2">
      <c r="A4900" s="420">
        <v>45869</v>
      </c>
      <c r="B4900" t="s">
        <v>5544</v>
      </c>
      <c r="C4900" t="s">
        <v>7008</v>
      </c>
      <c r="D4900" t="s">
        <v>3414</v>
      </c>
      <c r="E4900" t="s">
        <v>5636</v>
      </c>
      <c r="G4900">
        <v>223.12</v>
      </c>
      <c r="H4900">
        <v>82873.460000000006</v>
      </c>
    </row>
    <row r="4901" spans="1:8" ht="15" customHeight="1" x14ac:dyDescent="0.2">
      <c r="A4901" s="420">
        <v>45880</v>
      </c>
      <c r="B4901" t="s">
        <v>5586</v>
      </c>
      <c r="C4901" t="s">
        <v>7008</v>
      </c>
      <c r="D4901" t="s">
        <v>7029</v>
      </c>
      <c r="E4901" t="s">
        <v>7030</v>
      </c>
      <c r="F4901">
        <v>13.57</v>
      </c>
      <c r="H4901">
        <v>82887.03</v>
      </c>
    </row>
    <row r="4902" spans="1:8" ht="15" customHeight="1" x14ac:dyDescent="0.2">
      <c r="A4902" s="420">
        <v>45880</v>
      </c>
      <c r="B4902" t="s">
        <v>5586</v>
      </c>
      <c r="C4902" t="s">
        <v>7008</v>
      </c>
      <c r="D4902" t="s">
        <v>5825</v>
      </c>
      <c r="E4902" t="s">
        <v>5826</v>
      </c>
      <c r="G4902">
        <v>29171</v>
      </c>
      <c r="H4902">
        <v>53716.03</v>
      </c>
    </row>
    <row r="4903" spans="1:8" ht="15" customHeight="1" x14ac:dyDescent="0.2">
      <c r="A4903" s="420">
        <v>45880</v>
      </c>
      <c r="B4903" t="s">
        <v>5586</v>
      </c>
      <c r="C4903" t="s">
        <v>7008</v>
      </c>
      <c r="D4903" t="s">
        <v>5981</v>
      </c>
      <c r="E4903" t="s">
        <v>5982</v>
      </c>
      <c r="G4903">
        <v>28826.46</v>
      </c>
      <c r="H4903">
        <v>24889.57</v>
      </c>
    </row>
    <row r="4904" spans="1:8" ht="15" customHeight="1" x14ac:dyDescent="0.2">
      <c r="A4904" s="420">
        <v>45880</v>
      </c>
      <c r="B4904" t="s">
        <v>5586</v>
      </c>
      <c r="C4904" t="s">
        <v>7008</v>
      </c>
      <c r="D4904" t="s">
        <v>7031</v>
      </c>
      <c r="E4904" t="s">
        <v>7032</v>
      </c>
      <c r="F4904">
        <v>106.64</v>
      </c>
      <c r="H4904">
        <v>24996.21</v>
      </c>
    </row>
    <row r="4905" spans="1:8" ht="15" customHeight="1" x14ac:dyDescent="0.2">
      <c r="A4905" s="420">
        <v>45897</v>
      </c>
      <c r="B4905" t="s">
        <v>5544</v>
      </c>
      <c r="C4905" t="s">
        <v>7008</v>
      </c>
      <c r="D4905" t="s">
        <v>5565</v>
      </c>
      <c r="E4905" t="s">
        <v>5566</v>
      </c>
      <c r="F4905">
        <v>1000</v>
      </c>
      <c r="H4905">
        <v>25996.21</v>
      </c>
    </row>
    <row r="4906" spans="1:8" ht="15" customHeight="1" x14ac:dyDescent="0.2">
      <c r="A4906" s="420">
        <v>45897</v>
      </c>
      <c r="B4906" t="s">
        <v>5544</v>
      </c>
      <c r="C4906" t="s">
        <v>7008</v>
      </c>
      <c r="D4906" t="s">
        <v>5881</v>
      </c>
      <c r="E4906" t="s">
        <v>5882</v>
      </c>
      <c r="F4906">
        <v>1000</v>
      </c>
      <c r="H4906">
        <v>26996.21</v>
      </c>
    </row>
    <row r="4907" spans="1:8" ht="15" customHeight="1" x14ac:dyDescent="0.2">
      <c r="A4907" s="420">
        <v>45900</v>
      </c>
      <c r="B4907" t="s">
        <v>5544</v>
      </c>
      <c r="C4907" t="s">
        <v>7008</v>
      </c>
      <c r="D4907" t="s">
        <v>3416</v>
      </c>
      <c r="E4907" t="s">
        <v>5637</v>
      </c>
      <c r="G4907">
        <v>223.12</v>
      </c>
      <c r="H4907">
        <v>26773.09</v>
      </c>
    </row>
    <row r="4908" spans="1:8" ht="15" customHeight="1" x14ac:dyDescent="0.2">
      <c r="A4908" s="420">
        <v>45900</v>
      </c>
      <c r="B4908" t="s">
        <v>2517</v>
      </c>
      <c r="C4908" t="s">
        <v>7008</v>
      </c>
      <c r="D4908" t="s">
        <v>6321</v>
      </c>
      <c r="E4908" t="s">
        <v>6981</v>
      </c>
      <c r="F4908">
        <v>67485.850000000006</v>
      </c>
      <c r="H4908">
        <v>94258.94</v>
      </c>
    </row>
    <row r="4909" spans="1:8" ht="15" customHeight="1" x14ac:dyDescent="0.2">
      <c r="A4909" s="420">
        <v>45912</v>
      </c>
      <c r="B4909" t="s">
        <v>5586</v>
      </c>
      <c r="C4909" t="s">
        <v>7008</v>
      </c>
      <c r="D4909" t="s">
        <v>5682</v>
      </c>
      <c r="E4909" t="s">
        <v>5683</v>
      </c>
      <c r="G4909">
        <v>25602.02</v>
      </c>
      <c r="H4909">
        <v>68656.92</v>
      </c>
    </row>
    <row r="4910" spans="1:8" ht="15" customHeight="1" x14ac:dyDescent="0.2">
      <c r="A4910" s="420">
        <v>45912</v>
      </c>
      <c r="B4910" t="s">
        <v>5586</v>
      </c>
      <c r="C4910" t="s">
        <v>7008</v>
      </c>
      <c r="D4910" t="s">
        <v>7033</v>
      </c>
      <c r="E4910" t="s">
        <v>7034</v>
      </c>
      <c r="G4910">
        <v>52.77</v>
      </c>
      <c r="H4910">
        <v>68604.149999999994</v>
      </c>
    </row>
    <row r="4911" spans="1:8" ht="15" customHeight="1" x14ac:dyDescent="0.2">
      <c r="A4911" s="420">
        <v>45930</v>
      </c>
      <c r="B4911" t="s">
        <v>5544</v>
      </c>
      <c r="C4911" t="s">
        <v>7008</v>
      </c>
      <c r="D4911" t="s">
        <v>5638</v>
      </c>
      <c r="E4911" t="s">
        <v>5639</v>
      </c>
      <c r="G4911">
        <v>223.12</v>
      </c>
      <c r="H4911">
        <v>68381.03</v>
      </c>
    </row>
    <row r="4912" spans="1:8" ht="15" customHeight="1" x14ac:dyDescent="0.2">
      <c r="A4912" s="420">
        <v>45930</v>
      </c>
      <c r="B4912" t="s">
        <v>2517</v>
      </c>
      <c r="C4912" t="s">
        <v>7008</v>
      </c>
      <c r="D4912" t="s">
        <v>6323</v>
      </c>
      <c r="E4912" t="s">
        <v>6983</v>
      </c>
      <c r="F4912">
        <v>6212.31</v>
      </c>
      <c r="H4912">
        <v>74593.34</v>
      </c>
    </row>
    <row r="4913" spans="1:8" ht="15" customHeight="1" x14ac:dyDescent="0.2">
      <c r="A4913" s="420">
        <v>45938</v>
      </c>
      <c r="B4913" t="s">
        <v>5544</v>
      </c>
      <c r="C4913" t="s">
        <v>7008</v>
      </c>
      <c r="D4913" t="s">
        <v>5864</v>
      </c>
      <c r="E4913" t="s">
        <v>5865</v>
      </c>
      <c r="F4913">
        <v>1000</v>
      </c>
      <c r="H4913">
        <v>75593.34</v>
      </c>
    </row>
    <row r="4914" spans="1:8" ht="15" customHeight="1" x14ac:dyDescent="0.2">
      <c r="A4914" s="420">
        <v>45953</v>
      </c>
      <c r="B4914" t="s">
        <v>5544</v>
      </c>
      <c r="C4914" t="s">
        <v>7008</v>
      </c>
      <c r="D4914" t="s">
        <v>5742</v>
      </c>
      <c r="E4914" t="s">
        <v>5743</v>
      </c>
      <c r="F4914">
        <v>1000</v>
      </c>
      <c r="H4914">
        <v>76593.34</v>
      </c>
    </row>
    <row r="4915" spans="1:8" ht="15" customHeight="1" x14ac:dyDescent="0.2">
      <c r="A4915" s="420">
        <v>45954</v>
      </c>
      <c r="B4915" t="s">
        <v>5544</v>
      </c>
      <c r="C4915" t="s">
        <v>7008</v>
      </c>
      <c r="D4915" t="s">
        <v>5760</v>
      </c>
      <c r="E4915" t="s">
        <v>5761</v>
      </c>
      <c r="F4915">
        <v>1225</v>
      </c>
      <c r="H4915">
        <v>77818.34</v>
      </c>
    </row>
    <row r="4916" spans="1:8" ht="15" customHeight="1" x14ac:dyDescent="0.2">
      <c r="A4916" s="420">
        <v>45959</v>
      </c>
      <c r="B4916" t="s">
        <v>5544</v>
      </c>
      <c r="C4916" t="s">
        <v>7008</v>
      </c>
      <c r="D4916" t="s">
        <v>5619</v>
      </c>
      <c r="E4916" t="s">
        <v>5620</v>
      </c>
      <c r="F4916">
        <v>1000</v>
      </c>
      <c r="H4916">
        <v>78818.34</v>
      </c>
    </row>
    <row r="4917" spans="1:8" ht="15" customHeight="1" x14ac:dyDescent="0.2">
      <c r="A4917" s="420">
        <v>45961</v>
      </c>
      <c r="B4917" t="s">
        <v>5544</v>
      </c>
      <c r="C4917" t="s">
        <v>7008</v>
      </c>
      <c r="D4917" t="s">
        <v>5641</v>
      </c>
      <c r="E4917" t="s">
        <v>5642</v>
      </c>
      <c r="G4917">
        <v>223.12</v>
      </c>
      <c r="H4917">
        <v>78595.22</v>
      </c>
    </row>
    <row r="4918" spans="1:8" ht="15" customHeight="1" x14ac:dyDescent="0.2">
      <c r="A4918" s="420">
        <v>45961</v>
      </c>
      <c r="B4918" t="s">
        <v>2517</v>
      </c>
      <c r="C4918" t="s">
        <v>7008</v>
      </c>
      <c r="D4918" t="s">
        <v>6325</v>
      </c>
      <c r="E4918" t="s">
        <v>6986</v>
      </c>
      <c r="F4918">
        <v>68169.03</v>
      </c>
      <c r="H4918">
        <v>146764.25</v>
      </c>
    </row>
    <row r="4919" spans="1:8" ht="15" customHeight="1" x14ac:dyDescent="0.2">
      <c r="A4919" s="420">
        <v>45964</v>
      </c>
      <c r="B4919" t="s">
        <v>5544</v>
      </c>
      <c r="C4919" t="s">
        <v>7008</v>
      </c>
      <c r="D4919" t="s">
        <v>5728</v>
      </c>
      <c r="E4919" t="s">
        <v>5729</v>
      </c>
      <c r="G4919">
        <v>21381.55</v>
      </c>
      <c r="H4919">
        <v>125382.7</v>
      </c>
    </row>
    <row r="4920" spans="1:8" ht="15" customHeight="1" x14ac:dyDescent="0.2">
      <c r="A4920" s="420">
        <v>45964</v>
      </c>
      <c r="B4920" t="s">
        <v>5544</v>
      </c>
      <c r="C4920" t="s">
        <v>7008</v>
      </c>
      <c r="D4920" t="s">
        <v>7035</v>
      </c>
      <c r="E4920" t="s">
        <v>7036</v>
      </c>
      <c r="G4920">
        <v>88.79</v>
      </c>
      <c r="H4920">
        <v>125293.91</v>
      </c>
    </row>
    <row r="4921" spans="1:8" ht="15" customHeight="1" x14ac:dyDescent="0.2">
      <c r="A4921" s="420">
        <v>45964</v>
      </c>
      <c r="B4921" t="s">
        <v>5544</v>
      </c>
      <c r="C4921" t="s">
        <v>7008</v>
      </c>
      <c r="D4921" t="s">
        <v>7037</v>
      </c>
      <c r="E4921" t="s">
        <v>7038</v>
      </c>
      <c r="G4921">
        <v>61.63</v>
      </c>
      <c r="H4921">
        <v>125232.28</v>
      </c>
    </row>
    <row r="4922" spans="1:8" ht="15" customHeight="1" x14ac:dyDescent="0.2">
      <c r="A4922" s="420">
        <v>45964</v>
      </c>
      <c r="B4922" t="s">
        <v>5544</v>
      </c>
      <c r="C4922" t="s">
        <v>7008</v>
      </c>
      <c r="D4922" t="s">
        <v>5901</v>
      </c>
      <c r="E4922" t="s">
        <v>5902</v>
      </c>
      <c r="G4922">
        <v>22010.89</v>
      </c>
      <c r="H4922">
        <v>103221.39</v>
      </c>
    </row>
    <row r="4923" spans="1:8" ht="15" customHeight="1" x14ac:dyDescent="0.2">
      <c r="A4923" s="420">
        <v>45978</v>
      </c>
      <c r="B4923" t="s">
        <v>5544</v>
      </c>
      <c r="C4923" t="s">
        <v>7008</v>
      </c>
      <c r="D4923" t="s">
        <v>5856</v>
      </c>
      <c r="E4923" t="s">
        <v>5857</v>
      </c>
      <c r="F4923">
        <v>1000</v>
      </c>
      <c r="H4923">
        <v>104221.39</v>
      </c>
    </row>
    <row r="4924" spans="1:8" ht="15" customHeight="1" x14ac:dyDescent="0.2">
      <c r="A4924" s="420">
        <v>45978</v>
      </c>
      <c r="B4924" t="s">
        <v>5544</v>
      </c>
      <c r="C4924" t="s">
        <v>7008</v>
      </c>
      <c r="D4924" t="s">
        <v>5598</v>
      </c>
      <c r="E4924" t="s">
        <v>5599</v>
      </c>
      <c r="F4924">
        <v>1000</v>
      </c>
      <c r="H4924">
        <v>105221.39</v>
      </c>
    </row>
    <row r="4925" spans="1:8" ht="15" customHeight="1" x14ac:dyDescent="0.2">
      <c r="A4925" s="420">
        <v>45989</v>
      </c>
      <c r="B4925" t="s">
        <v>5544</v>
      </c>
      <c r="C4925" t="s">
        <v>7008</v>
      </c>
      <c r="D4925" t="s">
        <v>5912</v>
      </c>
      <c r="E4925" t="s">
        <v>5913</v>
      </c>
      <c r="F4925">
        <v>1000</v>
      </c>
      <c r="H4925">
        <v>106221.39</v>
      </c>
    </row>
    <row r="4926" spans="1:8" ht="15" customHeight="1" x14ac:dyDescent="0.2">
      <c r="A4926" s="420">
        <v>45991</v>
      </c>
      <c r="B4926" t="s">
        <v>5544</v>
      </c>
      <c r="C4926" t="s">
        <v>7008</v>
      </c>
      <c r="D4926" t="s">
        <v>3422</v>
      </c>
      <c r="E4926" t="s">
        <v>5643</v>
      </c>
      <c r="G4926">
        <v>223.12</v>
      </c>
      <c r="H4926">
        <v>105998.27</v>
      </c>
    </row>
    <row r="4927" spans="1:8" ht="15" customHeight="1" x14ac:dyDescent="0.2">
      <c r="A4927" s="420">
        <v>45991</v>
      </c>
      <c r="B4927" t="s">
        <v>2517</v>
      </c>
      <c r="C4927" t="s">
        <v>7008</v>
      </c>
      <c r="D4927" t="s">
        <v>6327</v>
      </c>
      <c r="E4927" t="s">
        <v>6390</v>
      </c>
      <c r="F4927">
        <v>41704.839999999997</v>
      </c>
      <c r="H4927">
        <v>147703.10999999999</v>
      </c>
    </row>
    <row r="4928" spans="1:8" ht="15" customHeight="1" x14ac:dyDescent="0.2">
      <c r="A4928" s="420">
        <v>45993</v>
      </c>
      <c r="B4928" t="s">
        <v>5586</v>
      </c>
      <c r="C4928" t="s">
        <v>7008</v>
      </c>
      <c r="D4928" t="s">
        <v>7039</v>
      </c>
      <c r="E4928" t="s">
        <v>7040</v>
      </c>
      <c r="G4928">
        <v>71.11</v>
      </c>
      <c r="H4928">
        <v>147632</v>
      </c>
    </row>
    <row r="4929" spans="1:10" ht="15" customHeight="1" x14ac:dyDescent="0.2">
      <c r="A4929" s="420">
        <v>45993</v>
      </c>
      <c r="B4929" t="s">
        <v>5586</v>
      </c>
      <c r="C4929" t="s">
        <v>7008</v>
      </c>
      <c r="D4929" t="s">
        <v>5845</v>
      </c>
      <c r="E4929" t="s">
        <v>5846</v>
      </c>
      <c r="G4929">
        <v>24067.81</v>
      </c>
      <c r="H4929">
        <v>123564.19</v>
      </c>
    </row>
    <row r="4930" spans="1:10" ht="15" customHeight="1" x14ac:dyDescent="0.2">
      <c r="A4930" s="420">
        <v>45996</v>
      </c>
      <c r="B4930" t="s">
        <v>5544</v>
      </c>
      <c r="C4930" t="s">
        <v>7008</v>
      </c>
      <c r="D4930" t="s">
        <v>6014</v>
      </c>
      <c r="E4930" t="s">
        <v>6015</v>
      </c>
      <c r="F4930">
        <v>1000</v>
      </c>
      <c r="H4930">
        <v>124564.19</v>
      </c>
    </row>
    <row r="4931" spans="1:10" ht="15" customHeight="1" x14ac:dyDescent="0.2">
      <c r="A4931" s="420">
        <v>46015</v>
      </c>
      <c r="B4931" t="s">
        <v>5544</v>
      </c>
      <c r="C4931" t="s">
        <v>7008</v>
      </c>
      <c r="D4931" t="s">
        <v>5609</v>
      </c>
      <c r="E4931" t="s">
        <v>5610</v>
      </c>
      <c r="F4931">
        <v>1000</v>
      </c>
      <c r="H4931">
        <v>125564.19</v>
      </c>
    </row>
    <row r="4932" spans="1:10" ht="15" customHeight="1" x14ac:dyDescent="0.2">
      <c r="A4932" s="420">
        <v>46022</v>
      </c>
      <c r="B4932" t="s">
        <v>5544</v>
      </c>
      <c r="C4932" t="s">
        <v>7008</v>
      </c>
      <c r="D4932" t="s">
        <v>3424</v>
      </c>
      <c r="E4932" t="s">
        <v>5644</v>
      </c>
      <c r="G4932">
        <v>223.12</v>
      </c>
      <c r="H4932">
        <v>125341.07</v>
      </c>
    </row>
    <row r="4933" spans="1:10" ht="15" customHeight="1" x14ac:dyDescent="0.2">
      <c r="A4933" s="420">
        <v>46022</v>
      </c>
      <c r="B4933" t="s">
        <v>2517</v>
      </c>
      <c r="C4933" t="s">
        <v>7008</v>
      </c>
      <c r="D4933" t="s">
        <v>6329</v>
      </c>
      <c r="E4933" t="s">
        <v>6991</v>
      </c>
      <c r="F4933">
        <v>36347.760000000002</v>
      </c>
      <c r="H4933">
        <v>161688.82999999999</v>
      </c>
    </row>
    <row r="4934" spans="1:10" ht="15" customHeight="1" x14ac:dyDescent="0.2">
      <c r="A4934" t="s">
        <v>7008</v>
      </c>
      <c r="E4934" t="s">
        <v>349</v>
      </c>
      <c r="F4934">
        <v>540095.53</v>
      </c>
      <c r="G4934">
        <v>378406.7</v>
      </c>
      <c r="H4934">
        <v>161688.82999999999</v>
      </c>
    </row>
    <row r="4936" spans="1:10" ht="15" customHeight="1" x14ac:dyDescent="0.2">
      <c r="A4936" t="s">
        <v>7041</v>
      </c>
      <c r="B4936" t="s">
        <v>7042</v>
      </c>
      <c r="F4936" t="s">
        <v>2430</v>
      </c>
      <c r="G4936" t="s">
        <v>2431</v>
      </c>
      <c r="H4936" t="s">
        <v>2432</v>
      </c>
      <c r="I4936" t="s">
        <v>2433</v>
      </c>
      <c r="J4936" t="s">
        <v>2434</v>
      </c>
    </row>
    <row r="4937" spans="1:10" ht="15" customHeight="1" x14ac:dyDescent="0.2">
      <c r="A4937" s="420">
        <v>45869</v>
      </c>
      <c r="B4937" t="s">
        <v>2517</v>
      </c>
      <c r="C4937" t="s">
        <v>7041</v>
      </c>
      <c r="D4937" t="s">
        <v>6377</v>
      </c>
      <c r="E4937" t="s">
        <v>6378</v>
      </c>
      <c r="F4937">
        <v>42891</v>
      </c>
      <c r="H4937">
        <v>42891</v>
      </c>
      <c r="J4937" t="s">
        <v>2511</v>
      </c>
    </row>
    <row r="4938" spans="1:10" ht="15" customHeight="1" x14ac:dyDescent="0.2">
      <c r="A4938" s="420">
        <v>45900</v>
      </c>
      <c r="B4938" t="s">
        <v>2517</v>
      </c>
      <c r="C4938" t="s">
        <v>7041</v>
      </c>
      <c r="D4938" t="s">
        <v>6321</v>
      </c>
      <c r="E4938" t="s">
        <v>6381</v>
      </c>
      <c r="G4938">
        <v>42891</v>
      </c>
      <c r="J4938" t="s">
        <v>2511</v>
      </c>
    </row>
    <row r="4939" spans="1:10" ht="15" customHeight="1" x14ac:dyDescent="0.2">
      <c r="A4939" t="s">
        <v>7041</v>
      </c>
      <c r="E4939" t="s">
        <v>349</v>
      </c>
      <c r="F4939">
        <v>42891</v>
      </c>
      <c r="G4939">
        <v>42891</v>
      </c>
    </row>
    <row r="4941" spans="1:10" ht="15" customHeight="1" x14ac:dyDescent="0.2">
      <c r="A4941" t="s">
        <v>7043</v>
      </c>
      <c r="B4941" t="s">
        <v>7044</v>
      </c>
      <c r="F4941" t="s">
        <v>2430</v>
      </c>
      <c r="G4941" t="s">
        <v>2431</v>
      </c>
      <c r="H4941" t="s">
        <v>2432</v>
      </c>
      <c r="I4941" t="s">
        <v>2433</v>
      </c>
      <c r="J4941" t="s">
        <v>2434</v>
      </c>
    </row>
    <row r="4942" spans="1:10" ht="15" customHeight="1" x14ac:dyDescent="0.2">
      <c r="A4942" s="420">
        <v>45658</v>
      </c>
      <c r="B4942" t="s">
        <v>2435</v>
      </c>
      <c r="C4942" t="s">
        <v>7043</v>
      </c>
      <c r="D4942" t="s">
        <v>2436</v>
      </c>
      <c r="E4942" t="s">
        <v>7045</v>
      </c>
      <c r="G4942">
        <v>17581</v>
      </c>
      <c r="I4942">
        <v>17581</v>
      </c>
      <c r="J4942" t="s">
        <v>2511</v>
      </c>
    </row>
    <row r="4943" spans="1:10" ht="15" customHeight="1" x14ac:dyDescent="0.2">
      <c r="A4943" s="420">
        <v>45747</v>
      </c>
      <c r="B4943" t="s">
        <v>2517</v>
      </c>
      <c r="C4943" t="s">
        <v>7043</v>
      </c>
      <c r="D4943" t="s">
        <v>6311</v>
      </c>
      <c r="E4943" t="s">
        <v>7046</v>
      </c>
      <c r="F4943">
        <v>5950</v>
      </c>
      <c r="I4943">
        <v>11631</v>
      </c>
      <c r="J4943" t="s">
        <v>2511</v>
      </c>
    </row>
    <row r="4944" spans="1:10" ht="15" customHeight="1" x14ac:dyDescent="0.2">
      <c r="A4944" s="420">
        <v>45838</v>
      </c>
      <c r="B4944" t="s">
        <v>2517</v>
      </c>
      <c r="C4944" t="s">
        <v>7043</v>
      </c>
      <c r="D4944" t="s">
        <v>6319</v>
      </c>
      <c r="E4944" t="s">
        <v>846</v>
      </c>
      <c r="F4944">
        <v>11631</v>
      </c>
      <c r="J4944" t="s">
        <v>2511</v>
      </c>
    </row>
    <row r="4945" spans="1:10" ht="15" customHeight="1" x14ac:dyDescent="0.2">
      <c r="A4945" t="s">
        <v>7043</v>
      </c>
      <c r="E4945" t="s">
        <v>349</v>
      </c>
      <c r="F4945">
        <v>17581</v>
      </c>
      <c r="G4945">
        <v>17581</v>
      </c>
    </row>
    <row r="4947" spans="1:10" ht="15" customHeight="1" x14ac:dyDescent="0.2">
      <c r="A4947" t="s">
        <v>7047</v>
      </c>
      <c r="B4947" t="s">
        <v>7048</v>
      </c>
      <c r="F4947" t="s">
        <v>2430</v>
      </c>
      <c r="G4947" t="s">
        <v>2431</v>
      </c>
      <c r="H4947" t="s">
        <v>2432</v>
      </c>
      <c r="I4947" t="s">
        <v>2433</v>
      </c>
      <c r="J4947" t="s">
        <v>2434</v>
      </c>
    </row>
    <row r="4948" spans="1:10" ht="15" customHeight="1" x14ac:dyDescent="0.2">
      <c r="A4948" s="420">
        <v>45658</v>
      </c>
      <c r="B4948" t="s">
        <v>2435</v>
      </c>
      <c r="C4948" t="s">
        <v>7047</v>
      </c>
      <c r="D4948" t="s">
        <v>2436</v>
      </c>
      <c r="E4948" t="s">
        <v>6967</v>
      </c>
      <c r="F4948">
        <v>677</v>
      </c>
      <c r="H4948">
        <v>677</v>
      </c>
      <c r="J4948" t="s">
        <v>2511</v>
      </c>
    </row>
    <row r="4949" spans="1:10" ht="15" customHeight="1" x14ac:dyDescent="0.2">
      <c r="A4949" s="420">
        <v>45747</v>
      </c>
      <c r="B4949" t="s">
        <v>2517</v>
      </c>
      <c r="C4949" t="s">
        <v>7047</v>
      </c>
      <c r="D4949" t="s">
        <v>6311</v>
      </c>
      <c r="E4949" t="s">
        <v>7046</v>
      </c>
      <c r="G4949">
        <v>677</v>
      </c>
      <c r="J4949" t="s">
        <v>2511</v>
      </c>
    </row>
    <row r="4950" spans="1:10" ht="15" customHeight="1" x14ac:dyDescent="0.2">
      <c r="A4950" s="420">
        <v>46022</v>
      </c>
      <c r="B4950" t="s">
        <v>2517</v>
      </c>
      <c r="C4950" t="s">
        <v>7047</v>
      </c>
      <c r="D4950" t="s">
        <v>6993</v>
      </c>
      <c r="E4950" t="s">
        <v>6994</v>
      </c>
      <c r="F4950">
        <v>328.33</v>
      </c>
      <c r="H4950">
        <v>328.33</v>
      </c>
    </row>
    <row r="4951" spans="1:10" ht="15" customHeight="1" x14ac:dyDescent="0.2">
      <c r="A4951" s="420">
        <v>46022</v>
      </c>
      <c r="B4951" t="s">
        <v>2517</v>
      </c>
      <c r="C4951" t="s">
        <v>7047</v>
      </c>
      <c r="D4951" t="s">
        <v>6993</v>
      </c>
      <c r="E4951" t="s">
        <v>6994</v>
      </c>
      <c r="F4951">
        <v>622.62</v>
      </c>
      <c r="H4951">
        <v>950.95</v>
      </c>
    </row>
    <row r="4952" spans="1:10" ht="15" customHeight="1" x14ac:dyDescent="0.2">
      <c r="A4952" t="s">
        <v>7047</v>
      </c>
      <c r="E4952" t="s">
        <v>349</v>
      </c>
      <c r="F4952">
        <v>1627.95</v>
      </c>
      <c r="G4952">
        <v>677</v>
      </c>
      <c r="H4952">
        <v>950.95</v>
      </c>
    </row>
    <row r="4954" spans="1:10" ht="15" customHeight="1" x14ac:dyDescent="0.2">
      <c r="A4954" t="s">
        <v>7049</v>
      </c>
      <c r="B4954" t="s">
        <v>7050</v>
      </c>
      <c r="F4954" t="s">
        <v>2430</v>
      </c>
      <c r="G4954" t="s">
        <v>2431</v>
      </c>
      <c r="H4954" t="s">
        <v>2432</v>
      </c>
      <c r="I4954" t="s">
        <v>2433</v>
      </c>
      <c r="J4954" t="s">
        <v>2434</v>
      </c>
    </row>
    <row r="4955" spans="1:10" ht="15" customHeight="1" x14ac:dyDescent="0.2">
      <c r="A4955" s="420">
        <v>45658</v>
      </c>
      <c r="B4955" t="s">
        <v>2507</v>
      </c>
      <c r="C4955" t="s">
        <v>7049</v>
      </c>
      <c r="D4955" t="s">
        <v>5491</v>
      </c>
      <c r="E4955" t="s">
        <v>1068</v>
      </c>
      <c r="G4955">
        <v>145.33000000000001</v>
      </c>
      <c r="I4955">
        <v>145.33000000000001</v>
      </c>
      <c r="J4955" t="s">
        <v>2511</v>
      </c>
    </row>
    <row r="4956" spans="1:10" ht="15" customHeight="1" x14ac:dyDescent="0.2">
      <c r="A4956" s="420">
        <v>45658</v>
      </c>
      <c r="B4956" t="s">
        <v>2507</v>
      </c>
      <c r="C4956" t="s">
        <v>7049</v>
      </c>
      <c r="D4956" t="s">
        <v>5492</v>
      </c>
      <c r="E4956" t="s">
        <v>1071</v>
      </c>
      <c r="G4956">
        <v>112</v>
      </c>
      <c r="I4956">
        <v>257.33</v>
      </c>
      <c r="J4956" t="s">
        <v>2509</v>
      </c>
    </row>
    <row r="4957" spans="1:10" ht="15" customHeight="1" x14ac:dyDescent="0.2">
      <c r="A4957" s="420">
        <v>45658</v>
      </c>
      <c r="B4957" t="s">
        <v>2507</v>
      </c>
      <c r="C4957" t="s">
        <v>7049</v>
      </c>
      <c r="D4957" t="s">
        <v>5493</v>
      </c>
      <c r="E4957" t="s">
        <v>1435</v>
      </c>
      <c r="G4957">
        <v>185.35</v>
      </c>
      <c r="I4957">
        <v>442.68</v>
      </c>
      <c r="J4957" t="s">
        <v>2513</v>
      </c>
    </row>
    <row r="4958" spans="1:10" ht="15" customHeight="1" x14ac:dyDescent="0.2">
      <c r="A4958" s="420">
        <v>45658</v>
      </c>
      <c r="B4958" t="s">
        <v>2507</v>
      </c>
      <c r="C4958" t="s">
        <v>7049</v>
      </c>
      <c r="D4958" t="s">
        <v>5494</v>
      </c>
      <c r="E4958" t="s">
        <v>1726</v>
      </c>
      <c r="G4958">
        <v>24.07</v>
      </c>
      <c r="I4958">
        <v>466.75</v>
      </c>
      <c r="J4958" t="s">
        <v>2585</v>
      </c>
    </row>
    <row r="4959" spans="1:10" ht="15" customHeight="1" x14ac:dyDescent="0.2">
      <c r="A4959" s="420">
        <v>45658</v>
      </c>
      <c r="B4959" t="s">
        <v>2507</v>
      </c>
      <c r="C4959" t="s">
        <v>7049</v>
      </c>
      <c r="D4959" t="s">
        <v>5495</v>
      </c>
      <c r="E4959" t="s">
        <v>5496</v>
      </c>
      <c r="G4959">
        <v>2659.6</v>
      </c>
      <c r="I4959">
        <v>3126.35</v>
      </c>
      <c r="J4959" t="s">
        <v>2586</v>
      </c>
    </row>
    <row r="4960" spans="1:10" ht="15" customHeight="1" x14ac:dyDescent="0.2">
      <c r="A4960" s="420">
        <v>45658</v>
      </c>
      <c r="B4960" t="s">
        <v>2507</v>
      </c>
      <c r="C4960" t="s">
        <v>7049</v>
      </c>
      <c r="D4960" t="s">
        <v>5497</v>
      </c>
      <c r="E4960" t="s">
        <v>5498</v>
      </c>
      <c r="G4960">
        <v>1108.2</v>
      </c>
      <c r="I4960">
        <v>4234.55</v>
      </c>
      <c r="J4960" t="s">
        <v>2587</v>
      </c>
    </row>
    <row r="4961" spans="1:10" ht="15" customHeight="1" x14ac:dyDescent="0.2">
      <c r="A4961" s="420">
        <v>45658</v>
      </c>
      <c r="B4961" t="s">
        <v>2435</v>
      </c>
      <c r="C4961" t="s">
        <v>7049</v>
      </c>
      <c r="D4961" t="s">
        <v>2436</v>
      </c>
      <c r="E4961" t="s">
        <v>5503</v>
      </c>
      <c r="F4961">
        <v>145.33000000000001</v>
      </c>
      <c r="I4961">
        <v>4089.22</v>
      </c>
      <c r="J4961" t="s">
        <v>2511</v>
      </c>
    </row>
    <row r="4962" spans="1:10" ht="15" customHeight="1" x14ac:dyDescent="0.2">
      <c r="A4962" s="420">
        <v>45658</v>
      </c>
      <c r="B4962" t="s">
        <v>2435</v>
      </c>
      <c r="C4962" t="s">
        <v>7049</v>
      </c>
      <c r="D4962" t="s">
        <v>2436</v>
      </c>
      <c r="E4962" t="s">
        <v>5504</v>
      </c>
      <c r="F4962">
        <v>112</v>
      </c>
      <c r="I4962">
        <v>3977.22</v>
      </c>
      <c r="J4962" t="s">
        <v>2509</v>
      </c>
    </row>
    <row r="4963" spans="1:10" ht="15" customHeight="1" x14ac:dyDescent="0.2">
      <c r="A4963" s="420">
        <v>45658</v>
      </c>
      <c r="B4963" t="s">
        <v>2435</v>
      </c>
      <c r="C4963" t="s">
        <v>7049</v>
      </c>
      <c r="D4963" t="s">
        <v>2436</v>
      </c>
      <c r="E4963" t="s">
        <v>5505</v>
      </c>
      <c r="F4963">
        <v>185.35</v>
      </c>
      <c r="I4963">
        <v>3791.87</v>
      </c>
      <c r="J4963" t="s">
        <v>2513</v>
      </c>
    </row>
    <row r="4964" spans="1:10" ht="15" customHeight="1" x14ac:dyDescent="0.2">
      <c r="A4964" s="420">
        <v>45658</v>
      </c>
      <c r="B4964" t="s">
        <v>2435</v>
      </c>
      <c r="C4964" t="s">
        <v>7049</v>
      </c>
      <c r="D4964" t="s">
        <v>2436</v>
      </c>
      <c r="E4964" t="s">
        <v>5506</v>
      </c>
      <c r="F4964">
        <v>24.07</v>
      </c>
      <c r="I4964">
        <v>3767.8</v>
      </c>
      <c r="J4964" t="s">
        <v>2585</v>
      </c>
    </row>
    <row r="4965" spans="1:10" ht="15" customHeight="1" x14ac:dyDescent="0.2">
      <c r="A4965" s="420">
        <v>45658</v>
      </c>
      <c r="B4965" t="s">
        <v>2435</v>
      </c>
      <c r="C4965" t="s">
        <v>7049</v>
      </c>
      <c r="D4965" t="s">
        <v>2436</v>
      </c>
      <c r="E4965" t="s">
        <v>5509</v>
      </c>
      <c r="F4965">
        <v>2659.6</v>
      </c>
      <c r="I4965">
        <v>1108.2</v>
      </c>
      <c r="J4965" t="s">
        <v>2586</v>
      </c>
    </row>
    <row r="4966" spans="1:10" ht="15" customHeight="1" x14ac:dyDescent="0.2">
      <c r="A4966" s="420">
        <v>45658</v>
      </c>
      <c r="B4966" t="s">
        <v>2435</v>
      </c>
      <c r="C4966" t="s">
        <v>7049</v>
      </c>
      <c r="D4966" t="s">
        <v>2436</v>
      </c>
      <c r="E4966" t="s">
        <v>5510</v>
      </c>
      <c r="F4966">
        <v>1108.2</v>
      </c>
      <c r="J4966" t="s">
        <v>2587</v>
      </c>
    </row>
    <row r="4967" spans="1:10" ht="15" customHeight="1" x14ac:dyDescent="0.2">
      <c r="A4967" s="420">
        <v>45838</v>
      </c>
      <c r="B4967" t="s">
        <v>2535</v>
      </c>
      <c r="C4967" t="s">
        <v>7049</v>
      </c>
      <c r="D4967" t="s">
        <v>5511</v>
      </c>
      <c r="E4967" t="s">
        <v>1107</v>
      </c>
      <c r="F4967">
        <v>416.2</v>
      </c>
      <c r="H4967">
        <v>416.2</v>
      </c>
      <c r="J4967" t="s">
        <v>2603</v>
      </c>
    </row>
    <row r="4968" spans="1:10" ht="15" customHeight="1" x14ac:dyDescent="0.2">
      <c r="A4968" s="420">
        <v>45838</v>
      </c>
      <c r="B4968" t="s">
        <v>2535</v>
      </c>
      <c r="C4968" t="s">
        <v>7049</v>
      </c>
      <c r="D4968" t="s">
        <v>5512</v>
      </c>
      <c r="E4968" t="s">
        <v>1109</v>
      </c>
      <c r="F4968">
        <v>57</v>
      </c>
      <c r="H4968">
        <v>473.2</v>
      </c>
      <c r="J4968" t="s">
        <v>2604</v>
      </c>
    </row>
    <row r="4969" spans="1:10" ht="15" customHeight="1" x14ac:dyDescent="0.2">
      <c r="A4969" s="420">
        <v>45838</v>
      </c>
      <c r="B4969" t="s">
        <v>2535</v>
      </c>
      <c r="C4969" t="s">
        <v>7049</v>
      </c>
      <c r="D4969" t="s">
        <v>5513</v>
      </c>
      <c r="E4969" t="s">
        <v>1110</v>
      </c>
      <c r="F4969">
        <v>270</v>
      </c>
      <c r="H4969">
        <v>743.2</v>
      </c>
      <c r="J4969" t="s">
        <v>2599</v>
      </c>
    </row>
    <row r="4970" spans="1:10" ht="15" customHeight="1" x14ac:dyDescent="0.2">
      <c r="A4970" s="420">
        <v>45838</v>
      </c>
      <c r="B4970" t="s">
        <v>2535</v>
      </c>
      <c r="C4970" t="s">
        <v>7049</v>
      </c>
      <c r="D4970" t="s">
        <v>5514</v>
      </c>
      <c r="E4970" t="s">
        <v>1515</v>
      </c>
      <c r="F4970">
        <v>292</v>
      </c>
      <c r="H4970">
        <v>1035.2</v>
      </c>
      <c r="J4970" t="s">
        <v>2600</v>
      </c>
    </row>
    <row r="4971" spans="1:10" ht="15" customHeight="1" x14ac:dyDescent="0.2">
      <c r="A4971" s="420">
        <v>45838</v>
      </c>
      <c r="B4971" t="s">
        <v>2535</v>
      </c>
      <c r="C4971" t="s">
        <v>7049</v>
      </c>
      <c r="D4971" t="s">
        <v>5515</v>
      </c>
      <c r="E4971" t="s">
        <v>1517</v>
      </c>
      <c r="F4971">
        <v>348.62</v>
      </c>
      <c r="H4971">
        <v>1383.82</v>
      </c>
      <c r="J4971" t="s">
        <v>2601</v>
      </c>
    </row>
    <row r="4972" spans="1:10" ht="15" customHeight="1" x14ac:dyDescent="0.2">
      <c r="A4972" s="420">
        <v>45838</v>
      </c>
      <c r="B4972" t="s">
        <v>2535</v>
      </c>
      <c r="C4972" t="s">
        <v>7049</v>
      </c>
      <c r="D4972" t="s">
        <v>5516</v>
      </c>
      <c r="E4972" t="s">
        <v>5517</v>
      </c>
      <c r="F4972">
        <v>1992</v>
      </c>
      <c r="H4972">
        <v>3375.82</v>
      </c>
      <c r="J4972" t="s">
        <v>2710</v>
      </c>
    </row>
    <row r="4973" spans="1:10" ht="15" customHeight="1" x14ac:dyDescent="0.2">
      <c r="A4973" s="420">
        <v>45838</v>
      </c>
      <c r="B4973" t="s">
        <v>2535</v>
      </c>
      <c r="C4973" t="s">
        <v>7049</v>
      </c>
      <c r="D4973" t="s">
        <v>5518</v>
      </c>
      <c r="E4973" t="s">
        <v>5519</v>
      </c>
      <c r="F4973">
        <v>4985.3999999999996</v>
      </c>
      <c r="H4973">
        <v>8361.2199999999993</v>
      </c>
      <c r="J4973" t="s">
        <v>2715</v>
      </c>
    </row>
    <row r="4974" spans="1:10" ht="15" customHeight="1" x14ac:dyDescent="0.2">
      <c r="A4974" s="420">
        <v>45838</v>
      </c>
      <c r="B4974" t="s">
        <v>2535</v>
      </c>
      <c r="C4974" t="s">
        <v>7049</v>
      </c>
      <c r="D4974" t="s">
        <v>5524</v>
      </c>
      <c r="E4974" t="s">
        <v>1889</v>
      </c>
      <c r="F4974">
        <v>1016.04</v>
      </c>
      <c r="H4974">
        <v>9377.26</v>
      </c>
      <c r="J4974" t="s">
        <v>2719</v>
      </c>
    </row>
    <row r="4975" spans="1:10" ht="15" customHeight="1" x14ac:dyDescent="0.2">
      <c r="A4975" s="420">
        <v>45839</v>
      </c>
      <c r="B4975" t="s">
        <v>2535</v>
      </c>
      <c r="C4975" t="s">
        <v>7049</v>
      </c>
      <c r="D4975" t="s">
        <v>5511</v>
      </c>
      <c r="E4975" t="s">
        <v>1118</v>
      </c>
      <c r="G4975">
        <v>416.2</v>
      </c>
      <c r="H4975">
        <v>8961.06</v>
      </c>
      <c r="J4975" t="s">
        <v>2603</v>
      </c>
    </row>
    <row r="4976" spans="1:10" ht="15" customHeight="1" x14ac:dyDescent="0.2">
      <c r="A4976" s="420">
        <v>45839</v>
      </c>
      <c r="B4976" t="s">
        <v>2535</v>
      </c>
      <c r="C4976" t="s">
        <v>7049</v>
      </c>
      <c r="D4976" t="s">
        <v>5512</v>
      </c>
      <c r="E4976" t="s">
        <v>1119</v>
      </c>
      <c r="G4976">
        <v>57</v>
      </c>
      <c r="H4976">
        <v>8904.06</v>
      </c>
      <c r="J4976" t="s">
        <v>2604</v>
      </c>
    </row>
    <row r="4977" spans="1:10" ht="15" customHeight="1" x14ac:dyDescent="0.2">
      <c r="A4977" s="420">
        <v>45839</v>
      </c>
      <c r="B4977" t="s">
        <v>2535</v>
      </c>
      <c r="C4977" t="s">
        <v>7049</v>
      </c>
      <c r="D4977" t="s">
        <v>5513</v>
      </c>
      <c r="E4977" t="s">
        <v>1120</v>
      </c>
      <c r="G4977">
        <v>270</v>
      </c>
      <c r="H4977">
        <v>8634.06</v>
      </c>
      <c r="J4977" t="s">
        <v>2599</v>
      </c>
    </row>
    <row r="4978" spans="1:10" ht="15" customHeight="1" x14ac:dyDescent="0.2">
      <c r="A4978" s="420">
        <v>45839</v>
      </c>
      <c r="B4978" t="s">
        <v>2535</v>
      </c>
      <c r="C4978" t="s">
        <v>7049</v>
      </c>
      <c r="D4978" t="s">
        <v>5514</v>
      </c>
      <c r="E4978" t="s">
        <v>1519</v>
      </c>
      <c r="G4978">
        <v>292</v>
      </c>
      <c r="H4978">
        <v>8342.06</v>
      </c>
      <c r="J4978" t="s">
        <v>2600</v>
      </c>
    </row>
    <row r="4979" spans="1:10" ht="15" customHeight="1" x14ac:dyDescent="0.2">
      <c r="A4979" s="420">
        <v>45839</v>
      </c>
      <c r="B4979" t="s">
        <v>2535</v>
      </c>
      <c r="C4979" t="s">
        <v>7049</v>
      </c>
      <c r="D4979" t="s">
        <v>5515</v>
      </c>
      <c r="E4979" t="s">
        <v>1523</v>
      </c>
      <c r="G4979">
        <v>348.62</v>
      </c>
      <c r="H4979">
        <v>7993.44</v>
      </c>
      <c r="J4979" t="s">
        <v>2601</v>
      </c>
    </row>
    <row r="4980" spans="1:10" ht="15" customHeight="1" x14ac:dyDescent="0.2">
      <c r="A4980" s="420">
        <v>45839</v>
      </c>
      <c r="B4980" t="s">
        <v>2535</v>
      </c>
      <c r="C4980" t="s">
        <v>7049</v>
      </c>
      <c r="D4980" t="s">
        <v>5516</v>
      </c>
      <c r="E4980" t="s">
        <v>5525</v>
      </c>
      <c r="G4980">
        <v>1992</v>
      </c>
      <c r="H4980">
        <v>6001.44</v>
      </c>
      <c r="J4980" t="s">
        <v>2710</v>
      </c>
    </row>
    <row r="4981" spans="1:10" ht="15" customHeight="1" x14ac:dyDescent="0.2">
      <c r="A4981" s="420">
        <v>45839</v>
      </c>
      <c r="B4981" t="s">
        <v>2535</v>
      </c>
      <c r="C4981" t="s">
        <v>7049</v>
      </c>
      <c r="D4981" t="s">
        <v>5518</v>
      </c>
      <c r="E4981" t="s">
        <v>5526</v>
      </c>
      <c r="G4981">
        <v>4985.3999999999996</v>
      </c>
      <c r="H4981">
        <v>1016.04</v>
      </c>
      <c r="J4981" t="s">
        <v>2715</v>
      </c>
    </row>
    <row r="4982" spans="1:10" ht="15" customHeight="1" x14ac:dyDescent="0.2">
      <c r="A4982" s="420">
        <v>45839</v>
      </c>
      <c r="B4982" t="s">
        <v>2535</v>
      </c>
      <c r="C4982" t="s">
        <v>7049</v>
      </c>
      <c r="D4982" t="s">
        <v>5524</v>
      </c>
      <c r="E4982" t="s">
        <v>1893</v>
      </c>
      <c r="G4982">
        <v>1016.04</v>
      </c>
      <c r="J4982" t="s">
        <v>2719</v>
      </c>
    </row>
    <row r="4983" spans="1:10" ht="15" customHeight="1" x14ac:dyDescent="0.2">
      <c r="A4983" s="420">
        <v>46022</v>
      </c>
      <c r="B4983" t="s">
        <v>2507</v>
      </c>
      <c r="C4983" t="s">
        <v>7049</v>
      </c>
      <c r="D4983" t="s">
        <v>5529</v>
      </c>
      <c r="E4983" t="s">
        <v>1156</v>
      </c>
      <c r="F4983">
        <v>114</v>
      </c>
      <c r="H4983">
        <v>114</v>
      </c>
    </row>
    <row r="4984" spans="1:10" ht="15" customHeight="1" x14ac:dyDescent="0.2">
      <c r="A4984" s="420">
        <v>46022</v>
      </c>
      <c r="B4984" t="s">
        <v>2507</v>
      </c>
      <c r="C4984" t="s">
        <v>7049</v>
      </c>
      <c r="D4984" t="s">
        <v>5530</v>
      </c>
      <c r="E4984" t="s">
        <v>1617</v>
      </c>
      <c r="F4984">
        <v>245.58</v>
      </c>
      <c r="H4984">
        <v>359.58</v>
      </c>
    </row>
    <row r="4985" spans="1:10" ht="15" customHeight="1" x14ac:dyDescent="0.2">
      <c r="A4985" s="420">
        <v>46022</v>
      </c>
      <c r="B4985" t="s">
        <v>2507</v>
      </c>
      <c r="C4985" t="s">
        <v>7049</v>
      </c>
      <c r="D4985" t="s">
        <v>5531</v>
      </c>
      <c r="E4985" t="s">
        <v>1154</v>
      </c>
      <c r="F4985">
        <v>358.8</v>
      </c>
      <c r="H4985">
        <v>718.38</v>
      </c>
    </row>
    <row r="4986" spans="1:10" ht="15" customHeight="1" x14ac:dyDescent="0.2">
      <c r="A4986" s="420">
        <v>46022</v>
      </c>
      <c r="B4986" t="s">
        <v>2507</v>
      </c>
      <c r="C4986" t="s">
        <v>7049</v>
      </c>
      <c r="D4986" t="s">
        <v>5534</v>
      </c>
      <c r="E4986" t="s">
        <v>5534</v>
      </c>
      <c r="F4986">
        <v>4932.8</v>
      </c>
      <c r="H4986">
        <v>5651.18</v>
      </c>
      <c r="J4986" t="s">
        <v>2511</v>
      </c>
    </row>
    <row r="4987" spans="1:10" ht="15" customHeight="1" x14ac:dyDescent="0.2">
      <c r="A4987" s="420">
        <v>46022</v>
      </c>
      <c r="B4987" t="s">
        <v>2507</v>
      </c>
      <c r="C4987" t="s">
        <v>7049</v>
      </c>
      <c r="D4987" t="s">
        <v>5535</v>
      </c>
      <c r="E4987" t="s">
        <v>5535</v>
      </c>
      <c r="F4987">
        <v>2032.8</v>
      </c>
      <c r="H4987">
        <v>7683.98</v>
      </c>
      <c r="J4987" t="s">
        <v>2509</v>
      </c>
    </row>
    <row r="4988" spans="1:10" ht="15" customHeight="1" x14ac:dyDescent="0.2">
      <c r="A4988" s="420">
        <v>46022</v>
      </c>
      <c r="B4988" t="s">
        <v>2507</v>
      </c>
      <c r="C4988" t="s">
        <v>7049</v>
      </c>
      <c r="D4988" t="s">
        <v>2008</v>
      </c>
      <c r="E4988" t="s">
        <v>2008</v>
      </c>
      <c r="F4988">
        <v>1718.85</v>
      </c>
      <c r="H4988">
        <v>9402.83</v>
      </c>
      <c r="J4988" t="s">
        <v>2513</v>
      </c>
    </row>
    <row r="4989" spans="1:10" ht="15" customHeight="1" x14ac:dyDescent="0.2">
      <c r="A4989" s="420">
        <v>46022</v>
      </c>
      <c r="B4989" t="s">
        <v>2507</v>
      </c>
      <c r="C4989" t="s">
        <v>7049</v>
      </c>
      <c r="D4989" t="s">
        <v>1048</v>
      </c>
      <c r="E4989" t="s">
        <v>1048</v>
      </c>
      <c r="F4989">
        <v>600</v>
      </c>
      <c r="H4989">
        <v>10002.83</v>
      </c>
      <c r="J4989" t="s">
        <v>2585</v>
      </c>
    </row>
    <row r="4990" spans="1:10" ht="15" customHeight="1" x14ac:dyDescent="0.2">
      <c r="A4990" t="s">
        <v>7049</v>
      </c>
      <c r="E4990" t="s">
        <v>349</v>
      </c>
      <c r="F4990">
        <v>23614.639999999999</v>
      </c>
      <c r="G4990">
        <v>13611.81</v>
      </c>
      <c r="H4990">
        <v>10002.83</v>
      </c>
    </row>
    <row r="4992" spans="1:10" ht="15" customHeight="1" x14ac:dyDescent="0.2">
      <c r="A4992" t="s">
        <v>7051</v>
      </c>
      <c r="B4992" t="s">
        <v>7052</v>
      </c>
      <c r="F4992" t="s">
        <v>2430</v>
      </c>
      <c r="G4992" t="s">
        <v>2431</v>
      </c>
      <c r="H4992" t="s">
        <v>2432</v>
      </c>
      <c r="I4992" t="s">
        <v>2433</v>
      </c>
      <c r="J4992" t="s">
        <v>2434</v>
      </c>
    </row>
    <row r="4993" spans="1:10" ht="15" customHeight="1" x14ac:dyDescent="0.2">
      <c r="A4993" s="420">
        <v>45658</v>
      </c>
      <c r="B4993" t="s">
        <v>2507</v>
      </c>
      <c r="C4993" t="s">
        <v>7051</v>
      </c>
      <c r="D4993" t="s">
        <v>6033</v>
      </c>
      <c r="E4993" t="s">
        <v>6034</v>
      </c>
      <c r="F4993">
        <v>218.8</v>
      </c>
      <c r="H4993">
        <v>218.8</v>
      </c>
      <c r="J4993" t="s">
        <v>2511</v>
      </c>
    </row>
    <row r="4994" spans="1:10" ht="15" customHeight="1" x14ac:dyDescent="0.2">
      <c r="A4994" s="420">
        <v>45658</v>
      </c>
      <c r="B4994" t="s">
        <v>2507</v>
      </c>
      <c r="C4994" t="s">
        <v>7051</v>
      </c>
      <c r="D4994" t="s">
        <v>6035</v>
      </c>
      <c r="E4994" t="s">
        <v>6036</v>
      </c>
      <c r="F4994">
        <v>800</v>
      </c>
      <c r="H4994">
        <v>1018.8</v>
      </c>
      <c r="J4994" t="s">
        <v>2513</v>
      </c>
    </row>
    <row r="4995" spans="1:10" ht="15" customHeight="1" x14ac:dyDescent="0.2">
      <c r="A4995" s="420">
        <v>45658</v>
      </c>
      <c r="B4995" t="s">
        <v>2507</v>
      </c>
      <c r="C4995" t="s">
        <v>7051</v>
      </c>
      <c r="D4995" t="s">
        <v>6037</v>
      </c>
      <c r="E4995" t="s">
        <v>6038</v>
      </c>
      <c r="F4995">
        <v>207395.4</v>
      </c>
      <c r="H4995">
        <v>208414.2</v>
      </c>
      <c r="J4995" t="s">
        <v>2585</v>
      </c>
    </row>
    <row r="4996" spans="1:10" ht="15" customHeight="1" x14ac:dyDescent="0.2">
      <c r="A4996" s="420">
        <v>45658</v>
      </c>
      <c r="B4996" t="s">
        <v>2507</v>
      </c>
      <c r="C4996" t="s">
        <v>7051</v>
      </c>
      <c r="D4996" t="s">
        <v>6035</v>
      </c>
      <c r="E4996" t="s">
        <v>6036</v>
      </c>
      <c r="G4996">
        <v>2850</v>
      </c>
      <c r="H4996">
        <v>205564.2</v>
      </c>
      <c r="J4996" t="s">
        <v>2586</v>
      </c>
    </row>
    <row r="4997" spans="1:10" ht="15" customHeight="1" x14ac:dyDescent="0.2">
      <c r="A4997" s="420">
        <v>45658</v>
      </c>
      <c r="B4997" t="s">
        <v>2435</v>
      </c>
      <c r="C4997" t="s">
        <v>7051</v>
      </c>
      <c r="D4997" t="s">
        <v>2436</v>
      </c>
      <c r="E4997" t="s">
        <v>7053</v>
      </c>
      <c r="G4997">
        <v>180.83</v>
      </c>
      <c r="H4997">
        <v>205383.37</v>
      </c>
      <c r="J4997" t="s">
        <v>2587</v>
      </c>
    </row>
    <row r="4998" spans="1:10" ht="15" customHeight="1" x14ac:dyDescent="0.2">
      <c r="A4998" s="420">
        <v>45658</v>
      </c>
      <c r="B4998" t="s">
        <v>2435</v>
      </c>
      <c r="C4998" t="s">
        <v>7051</v>
      </c>
      <c r="D4998" t="s">
        <v>2436</v>
      </c>
      <c r="E4998" t="s">
        <v>7054</v>
      </c>
      <c r="G4998">
        <v>58512.32</v>
      </c>
      <c r="H4998">
        <v>146871.04999999999</v>
      </c>
      <c r="J4998" t="s">
        <v>2587</v>
      </c>
    </row>
    <row r="4999" spans="1:10" ht="15" customHeight="1" x14ac:dyDescent="0.2">
      <c r="A4999" s="420">
        <v>45658</v>
      </c>
      <c r="B4999" t="s">
        <v>2435</v>
      </c>
      <c r="C4999" t="s">
        <v>7051</v>
      </c>
      <c r="D4999" t="s">
        <v>2436</v>
      </c>
      <c r="E4999" t="s">
        <v>7055</v>
      </c>
      <c r="F4999">
        <v>180.83</v>
      </c>
      <c r="H4999">
        <v>147051.88</v>
      </c>
      <c r="J4999" t="s">
        <v>2587</v>
      </c>
    </row>
    <row r="5000" spans="1:10" ht="15" customHeight="1" x14ac:dyDescent="0.2">
      <c r="A5000" s="420">
        <v>45658</v>
      </c>
      <c r="B5000" t="s">
        <v>2435</v>
      </c>
      <c r="C5000" t="s">
        <v>7051</v>
      </c>
      <c r="D5000" t="s">
        <v>2436</v>
      </c>
      <c r="E5000" t="s">
        <v>7056</v>
      </c>
      <c r="F5000">
        <v>58512.32</v>
      </c>
      <c r="H5000">
        <v>205564.2</v>
      </c>
      <c r="J5000" t="s">
        <v>2587</v>
      </c>
    </row>
    <row r="5001" spans="1:10" ht="15" customHeight="1" x14ac:dyDescent="0.2">
      <c r="A5001" s="420">
        <v>45658</v>
      </c>
      <c r="B5001" t="s">
        <v>2435</v>
      </c>
      <c r="C5001" t="s">
        <v>7051</v>
      </c>
      <c r="D5001" t="s">
        <v>2436</v>
      </c>
      <c r="E5001" t="s">
        <v>6039</v>
      </c>
      <c r="G5001">
        <v>218.8</v>
      </c>
      <c r="H5001">
        <v>205345.4</v>
      </c>
      <c r="J5001" t="s">
        <v>2511</v>
      </c>
    </row>
    <row r="5002" spans="1:10" ht="15" customHeight="1" x14ac:dyDescent="0.2">
      <c r="A5002" s="420">
        <v>45658</v>
      </c>
      <c r="B5002" t="s">
        <v>2435</v>
      </c>
      <c r="C5002" t="s">
        <v>7051</v>
      </c>
      <c r="D5002" t="s">
        <v>2436</v>
      </c>
      <c r="E5002" t="s">
        <v>6040</v>
      </c>
      <c r="G5002">
        <v>800</v>
      </c>
      <c r="H5002">
        <v>204545.4</v>
      </c>
      <c r="J5002" t="s">
        <v>2513</v>
      </c>
    </row>
    <row r="5003" spans="1:10" ht="15" customHeight="1" x14ac:dyDescent="0.2">
      <c r="A5003" s="420">
        <v>45658</v>
      </c>
      <c r="B5003" t="s">
        <v>2435</v>
      </c>
      <c r="C5003" t="s">
        <v>7051</v>
      </c>
      <c r="D5003" t="s">
        <v>2436</v>
      </c>
      <c r="E5003" t="s">
        <v>6041</v>
      </c>
      <c r="G5003">
        <v>207395.4</v>
      </c>
      <c r="I5003">
        <v>2850</v>
      </c>
      <c r="J5003" t="s">
        <v>2585</v>
      </c>
    </row>
    <row r="5004" spans="1:10" ht="15" customHeight="1" x14ac:dyDescent="0.2">
      <c r="A5004" s="420">
        <v>45658</v>
      </c>
      <c r="B5004" t="s">
        <v>2435</v>
      </c>
      <c r="C5004" t="s">
        <v>7051</v>
      </c>
      <c r="D5004" t="s">
        <v>2436</v>
      </c>
      <c r="E5004" t="s">
        <v>6040</v>
      </c>
      <c r="F5004">
        <v>2850</v>
      </c>
      <c r="J5004" t="s">
        <v>2586</v>
      </c>
    </row>
    <row r="5005" spans="1:10" ht="15" customHeight="1" x14ac:dyDescent="0.2">
      <c r="A5005" s="420">
        <v>45838</v>
      </c>
      <c r="B5005" t="s">
        <v>2535</v>
      </c>
      <c r="C5005" t="s">
        <v>7051</v>
      </c>
      <c r="D5005" t="s">
        <v>6042</v>
      </c>
      <c r="E5005" t="s">
        <v>6043</v>
      </c>
      <c r="G5005">
        <v>264798.2</v>
      </c>
      <c r="I5005">
        <v>264798.2</v>
      </c>
      <c r="J5005" t="s">
        <v>2604</v>
      </c>
    </row>
    <row r="5006" spans="1:10" ht="15" customHeight="1" x14ac:dyDescent="0.2">
      <c r="A5006" s="420">
        <v>45838</v>
      </c>
      <c r="B5006" t="s">
        <v>2535</v>
      </c>
      <c r="C5006" t="s">
        <v>7051</v>
      </c>
      <c r="D5006" t="s">
        <v>6044</v>
      </c>
      <c r="E5006" t="s">
        <v>6045</v>
      </c>
      <c r="G5006">
        <v>105</v>
      </c>
      <c r="I5006">
        <v>264903.2</v>
      </c>
      <c r="J5006" t="s">
        <v>2599</v>
      </c>
    </row>
    <row r="5007" spans="1:10" ht="15" customHeight="1" x14ac:dyDescent="0.2">
      <c r="A5007" s="420">
        <v>45838</v>
      </c>
      <c r="B5007" t="s">
        <v>2535</v>
      </c>
      <c r="C5007" t="s">
        <v>7051</v>
      </c>
      <c r="D5007" t="s">
        <v>6046</v>
      </c>
      <c r="E5007" t="s">
        <v>6047</v>
      </c>
      <c r="G5007">
        <v>2400</v>
      </c>
      <c r="I5007">
        <v>267303.2</v>
      </c>
      <c r="J5007" t="s">
        <v>2601</v>
      </c>
    </row>
    <row r="5008" spans="1:10" ht="15" customHeight="1" x14ac:dyDescent="0.2">
      <c r="A5008" s="420">
        <v>45838</v>
      </c>
      <c r="B5008" t="s">
        <v>2535</v>
      </c>
      <c r="C5008" t="s">
        <v>7051</v>
      </c>
      <c r="D5008" t="s">
        <v>6046</v>
      </c>
      <c r="E5008" t="s">
        <v>6047</v>
      </c>
      <c r="F5008">
        <v>3400</v>
      </c>
      <c r="I5008">
        <v>263903.2</v>
      </c>
      <c r="J5008" t="s">
        <v>2600</v>
      </c>
    </row>
    <row r="5009" spans="1:10" ht="15" customHeight="1" x14ac:dyDescent="0.2">
      <c r="A5009" s="420">
        <v>45838</v>
      </c>
      <c r="B5009" t="s">
        <v>2535</v>
      </c>
      <c r="C5009" t="s">
        <v>7051</v>
      </c>
      <c r="D5009" t="s">
        <v>6048</v>
      </c>
      <c r="E5009" t="s">
        <v>6049</v>
      </c>
      <c r="G5009">
        <v>133.33000000000001</v>
      </c>
      <c r="I5009">
        <v>264036.53000000003</v>
      </c>
      <c r="J5009" t="s">
        <v>2602</v>
      </c>
    </row>
    <row r="5010" spans="1:10" ht="15" customHeight="1" x14ac:dyDescent="0.2">
      <c r="A5010" s="420">
        <v>45838</v>
      </c>
      <c r="B5010" t="s">
        <v>2535</v>
      </c>
      <c r="C5010" t="s">
        <v>7051</v>
      </c>
      <c r="D5010" t="s">
        <v>6050</v>
      </c>
      <c r="E5010" t="s">
        <v>6051</v>
      </c>
      <c r="G5010">
        <v>713.69</v>
      </c>
      <c r="I5010">
        <v>264750.21999999997</v>
      </c>
      <c r="J5010" t="s">
        <v>2605</v>
      </c>
    </row>
    <row r="5011" spans="1:10" ht="15" customHeight="1" x14ac:dyDescent="0.2">
      <c r="A5011" s="420">
        <v>45839</v>
      </c>
      <c r="B5011" t="s">
        <v>2535</v>
      </c>
      <c r="C5011" t="s">
        <v>7051</v>
      </c>
      <c r="D5011" t="s">
        <v>6042</v>
      </c>
      <c r="E5011" t="s">
        <v>6052</v>
      </c>
      <c r="F5011">
        <v>264798.2</v>
      </c>
      <c r="H5011">
        <v>47.98</v>
      </c>
      <c r="J5011" t="s">
        <v>2604</v>
      </c>
    </row>
    <row r="5012" spans="1:10" ht="15" customHeight="1" x14ac:dyDescent="0.2">
      <c r="A5012" s="420">
        <v>45839</v>
      </c>
      <c r="B5012" t="s">
        <v>2535</v>
      </c>
      <c r="C5012" t="s">
        <v>7051</v>
      </c>
      <c r="D5012" t="s">
        <v>6044</v>
      </c>
      <c r="E5012" t="s">
        <v>6053</v>
      </c>
      <c r="F5012">
        <v>105</v>
      </c>
      <c r="H5012">
        <v>152.97999999999999</v>
      </c>
      <c r="J5012" t="s">
        <v>2599</v>
      </c>
    </row>
    <row r="5013" spans="1:10" ht="15" customHeight="1" x14ac:dyDescent="0.2">
      <c r="A5013" s="420">
        <v>45839</v>
      </c>
      <c r="B5013" t="s">
        <v>2535</v>
      </c>
      <c r="C5013" t="s">
        <v>7051</v>
      </c>
      <c r="D5013" t="s">
        <v>6046</v>
      </c>
      <c r="E5013" t="s">
        <v>6054</v>
      </c>
      <c r="G5013">
        <v>3400</v>
      </c>
      <c r="I5013">
        <v>3247.02</v>
      </c>
      <c r="J5013" t="s">
        <v>2600</v>
      </c>
    </row>
    <row r="5014" spans="1:10" ht="15" customHeight="1" x14ac:dyDescent="0.2">
      <c r="A5014" s="420">
        <v>45839</v>
      </c>
      <c r="B5014" t="s">
        <v>2535</v>
      </c>
      <c r="C5014" t="s">
        <v>7051</v>
      </c>
      <c r="D5014" t="s">
        <v>6046</v>
      </c>
      <c r="E5014" t="s">
        <v>6054</v>
      </c>
      <c r="F5014">
        <v>2400</v>
      </c>
      <c r="I5014">
        <v>847.02</v>
      </c>
      <c r="J5014" t="s">
        <v>2601</v>
      </c>
    </row>
    <row r="5015" spans="1:10" ht="15" customHeight="1" x14ac:dyDescent="0.2">
      <c r="A5015" s="420">
        <v>45839</v>
      </c>
      <c r="B5015" t="s">
        <v>2535</v>
      </c>
      <c r="C5015" t="s">
        <v>7051</v>
      </c>
      <c r="D5015" t="s">
        <v>6048</v>
      </c>
      <c r="E5015" t="s">
        <v>6055</v>
      </c>
      <c r="F5015">
        <v>133.33000000000001</v>
      </c>
      <c r="I5015">
        <v>713.69</v>
      </c>
      <c r="J5015" t="s">
        <v>2602</v>
      </c>
    </row>
    <row r="5016" spans="1:10" ht="15" customHeight="1" x14ac:dyDescent="0.2">
      <c r="A5016" s="420">
        <v>45839</v>
      </c>
      <c r="B5016" t="s">
        <v>2535</v>
      </c>
      <c r="C5016" t="s">
        <v>7051</v>
      </c>
      <c r="D5016" t="s">
        <v>6050</v>
      </c>
      <c r="E5016" t="s">
        <v>6056</v>
      </c>
      <c r="F5016">
        <v>713.69</v>
      </c>
      <c r="J5016" t="s">
        <v>2605</v>
      </c>
    </row>
    <row r="5017" spans="1:10" ht="15" customHeight="1" x14ac:dyDescent="0.2">
      <c r="A5017" s="420">
        <v>46022</v>
      </c>
      <c r="B5017" t="s">
        <v>2507</v>
      </c>
      <c r="C5017" t="s">
        <v>7051</v>
      </c>
      <c r="D5017" t="s">
        <v>6057</v>
      </c>
      <c r="E5017" t="s">
        <v>6057</v>
      </c>
      <c r="G5017">
        <v>370583.2</v>
      </c>
      <c r="I5017">
        <v>370583.2</v>
      </c>
      <c r="J5017" t="s">
        <v>2511</v>
      </c>
    </row>
    <row r="5018" spans="1:10" ht="15" customHeight="1" x14ac:dyDescent="0.2">
      <c r="A5018" s="420">
        <v>46022</v>
      </c>
      <c r="B5018" t="s">
        <v>2507</v>
      </c>
      <c r="C5018" t="s">
        <v>7051</v>
      </c>
      <c r="D5018" t="s">
        <v>6058</v>
      </c>
      <c r="E5018" t="s">
        <v>6058</v>
      </c>
      <c r="G5018">
        <v>3245</v>
      </c>
      <c r="I5018">
        <v>373828.2</v>
      </c>
      <c r="J5018" t="s">
        <v>2513</v>
      </c>
    </row>
    <row r="5019" spans="1:10" ht="15" customHeight="1" x14ac:dyDescent="0.2">
      <c r="A5019" s="420">
        <v>46022</v>
      </c>
      <c r="B5019" t="s">
        <v>2507</v>
      </c>
      <c r="C5019" t="s">
        <v>7051</v>
      </c>
      <c r="D5019" t="s">
        <v>6066</v>
      </c>
      <c r="E5019" t="s">
        <v>6066</v>
      </c>
      <c r="F5019">
        <v>3650</v>
      </c>
      <c r="I5019">
        <v>370178.2</v>
      </c>
      <c r="J5019" t="s">
        <v>2509</v>
      </c>
    </row>
    <row r="5020" spans="1:10" ht="15" customHeight="1" x14ac:dyDescent="0.2">
      <c r="A5020" s="420">
        <v>46022</v>
      </c>
      <c r="B5020" t="s">
        <v>2507</v>
      </c>
      <c r="C5020" t="s">
        <v>7051</v>
      </c>
      <c r="D5020" t="s">
        <v>6059</v>
      </c>
      <c r="E5020" t="s">
        <v>6059</v>
      </c>
      <c r="G5020">
        <v>802.6</v>
      </c>
      <c r="I5020">
        <v>370980.8</v>
      </c>
      <c r="J5020" t="s">
        <v>2585</v>
      </c>
    </row>
    <row r="5021" spans="1:10" ht="15" customHeight="1" x14ac:dyDescent="0.2">
      <c r="A5021" s="420">
        <v>46022</v>
      </c>
      <c r="B5021" t="s">
        <v>2507</v>
      </c>
      <c r="C5021" t="s">
        <v>7051</v>
      </c>
      <c r="D5021" t="s">
        <v>6060</v>
      </c>
      <c r="E5021" t="s">
        <v>6060</v>
      </c>
      <c r="G5021">
        <v>1339.43</v>
      </c>
      <c r="I5021">
        <v>372320.23</v>
      </c>
      <c r="J5021" t="s">
        <v>2586</v>
      </c>
    </row>
    <row r="5022" spans="1:10" ht="15" customHeight="1" x14ac:dyDescent="0.2">
      <c r="A5022" t="s">
        <v>7051</v>
      </c>
      <c r="E5022" t="s">
        <v>349</v>
      </c>
      <c r="F5022">
        <v>545157.56999999995</v>
      </c>
      <c r="G5022">
        <v>917477.8</v>
      </c>
      <c r="I5022">
        <v>372320.23</v>
      </c>
    </row>
    <row r="5024" spans="1:10" ht="15" customHeight="1" x14ac:dyDescent="0.2">
      <c r="A5024" t="s">
        <v>7057</v>
      </c>
      <c r="B5024" t="s">
        <v>7058</v>
      </c>
      <c r="F5024" t="s">
        <v>2430</v>
      </c>
      <c r="G5024" t="s">
        <v>2431</v>
      </c>
      <c r="H5024" t="s">
        <v>2432</v>
      </c>
      <c r="I5024" t="s">
        <v>2433</v>
      </c>
      <c r="J5024" t="s">
        <v>2434</v>
      </c>
    </row>
    <row r="5025" spans="1:9" ht="15" customHeight="1" x14ac:dyDescent="0.2">
      <c r="A5025" s="420">
        <v>45658</v>
      </c>
      <c r="B5025" t="s">
        <v>2435</v>
      </c>
      <c r="C5025" t="s">
        <v>7057</v>
      </c>
      <c r="D5025" t="s">
        <v>2436</v>
      </c>
      <c r="E5025" t="s">
        <v>7059</v>
      </c>
      <c r="G5025">
        <v>1.04</v>
      </c>
      <c r="I5025">
        <v>1.04</v>
      </c>
    </row>
    <row r="5026" spans="1:9" ht="15" customHeight="1" x14ac:dyDescent="0.2">
      <c r="A5026" s="420">
        <v>45658</v>
      </c>
      <c r="B5026" t="s">
        <v>2435</v>
      </c>
      <c r="C5026" t="s">
        <v>7057</v>
      </c>
      <c r="D5026" t="s">
        <v>2436</v>
      </c>
      <c r="E5026" t="s">
        <v>7060</v>
      </c>
      <c r="G5026">
        <v>0.57999999999999996</v>
      </c>
      <c r="I5026">
        <v>1.62</v>
      </c>
    </row>
    <row r="5027" spans="1:9" ht="15" customHeight="1" x14ac:dyDescent="0.2">
      <c r="A5027" s="420">
        <v>45658</v>
      </c>
      <c r="B5027" t="s">
        <v>2435</v>
      </c>
      <c r="C5027" t="s">
        <v>7057</v>
      </c>
      <c r="D5027" t="s">
        <v>2436</v>
      </c>
      <c r="E5027" t="s">
        <v>7061</v>
      </c>
      <c r="G5027">
        <v>2.81</v>
      </c>
      <c r="I5027">
        <v>4.43</v>
      </c>
    </row>
    <row r="5028" spans="1:9" ht="15" customHeight="1" x14ac:dyDescent="0.2">
      <c r="A5028" s="420">
        <v>45658</v>
      </c>
      <c r="B5028" t="s">
        <v>2435</v>
      </c>
      <c r="C5028" t="s">
        <v>7057</v>
      </c>
      <c r="D5028" t="s">
        <v>2436</v>
      </c>
      <c r="E5028" t="s">
        <v>7062</v>
      </c>
      <c r="G5028">
        <v>1.56</v>
      </c>
      <c r="I5028">
        <v>5.99</v>
      </c>
    </row>
    <row r="5029" spans="1:9" ht="15" customHeight="1" x14ac:dyDescent="0.2">
      <c r="A5029" s="420">
        <v>45658</v>
      </c>
      <c r="B5029" t="s">
        <v>2435</v>
      </c>
      <c r="C5029" t="s">
        <v>7057</v>
      </c>
      <c r="D5029" t="s">
        <v>2436</v>
      </c>
      <c r="E5029" t="s">
        <v>7063</v>
      </c>
      <c r="G5029">
        <v>1.59</v>
      </c>
      <c r="I5029">
        <v>7.58</v>
      </c>
    </row>
    <row r="5030" spans="1:9" ht="15" customHeight="1" x14ac:dyDescent="0.2">
      <c r="A5030" s="420">
        <v>45658</v>
      </c>
      <c r="B5030" t="s">
        <v>2435</v>
      </c>
      <c r="C5030" t="s">
        <v>7057</v>
      </c>
      <c r="D5030" t="s">
        <v>2436</v>
      </c>
      <c r="E5030" t="s">
        <v>7064</v>
      </c>
      <c r="G5030">
        <v>0.88</v>
      </c>
      <c r="I5030">
        <v>8.4600000000000009</v>
      </c>
    </row>
    <row r="5031" spans="1:9" ht="15" customHeight="1" x14ac:dyDescent="0.2">
      <c r="A5031" s="420">
        <v>45658</v>
      </c>
      <c r="B5031" t="s">
        <v>2435</v>
      </c>
      <c r="C5031" t="s">
        <v>7057</v>
      </c>
      <c r="D5031" t="s">
        <v>2436</v>
      </c>
      <c r="E5031" t="s">
        <v>7065</v>
      </c>
      <c r="G5031">
        <v>3.27</v>
      </c>
      <c r="I5031">
        <v>11.73</v>
      </c>
    </row>
    <row r="5032" spans="1:9" ht="15" customHeight="1" x14ac:dyDescent="0.2">
      <c r="A5032" s="420">
        <v>45658</v>
      </c>
      <c r="B5032" t="s">
        <v>2435</v>
      </c>
      <c r="C5032" t="s">
        <v>7057</v>
      </c>
      <c r="D5032" t="s">
        <v>2436</v>
      </c>
      <c r="E5032" t="s">
        <v>7066</v>
      </c>
      <c r="G5032">
        <v>1.82</v>
      </c>
      <c r="I5032">
        <v>13.55</v>
      </c>
    </row>
    <row r="5033" spans="1:9" ht="15" customHeight="1" x14ac:dyDescent="0.2">
      <c r="A5033" s="420">
        <v>45658</v>
      </c>
      <c r="B5033" t="s">
        <v>2435</v>
      </c>
      <c r="C5033" t="s">
        <v>7057</v>
      </c>
      <c r="D5033" t="s">
        <v>2436</v>
      </c>
      <c r="E5033" t="s">
        <v>7067</v>
      </c>
      <c r="G5033">
        <v>3.34</v>
      </c>
      <c r="I5033">
        <v>16.89</v>
      </c>
    </row>
    <row r="5034" spans="1:9" ht="15" customHeight="1" x14ac:dyDescent="0.2">
      <c r="A5034" s="420">
        <v>45658</v>
      </c>
      <c r="B5034" t="s">
        <v>2435</v>
      </c>
      <c r="C5034" t="s">
        <v>7057</v>
      </c>
      <c r="D5034" t="s">
        <v>2436</v>
      </c>
      <c r="E5034" t="s">
        <v>7068</v>
      </c>
      <c r="G5034">
        <v>1.86</v>
      </c>
      <c r="I5034">
        <v>18.75</v>
      </c>
    </row>
    <row r="5035" spans="1:9" ht="15" customHeight="1" x14ac:dyDescent="0.2">
      <c r="A5035" s="420">
        <v>45658</v>
      </c>
      <c r="B5035" t="s">
        <v>2435</v>
      </c>
      <c r="C5035" t="s">
        <v>7057</v>
      </c>
      <c r="D5035" t="s">
        <v>2436</v>
      </c>
      <c r="E5035" t="s">
        <v>7069</v>
      </c>
      <c r="G5035">
        <v>5.18</v>
      </c>
      <c r="I5035">
        <v>23.93</v>
      </c>
    </row>
    <row r="5036" spans="1:9" ht="15" customHeight="1" x14ac:dyDescent="0.2">
      <c r="A5036" s="420">
        <v>45658</v>
      </c>
      <c r="B5036" t="s">
        <v>2435</v>
      </c>
      <c r="C5036" t="s">
        <v>7057</v>
      </c>
      <c r="D5036" t="s">
        <v>2436</v>
      </c>
      <c r="E5036" t="s">
        <v>7070</v>
      </c>
      <c r="G5036">
        <v>2.88</v>
      </c>
      <c r="I5036">
        <v>26.81</v>
      </c>
    </row>
    <row r="5037" spans="1:9" ht="15" customHeight="1" x14ac:dyDescent="0.2">
      <c r="A5037" s="420">
        <v>45658</v>
      </c>
      <c r="B5037" t="s">
        <v>2435</v>
      </c>
      <c r="C5037" t="s">
        <v>7057</v>
      </c>
      <c r="D5037" t="s">
        <v>2436</v>
      </c>
      <c r="E5037" t="s">
        <v>7071</v>
      </c>
      <c r="G5037">
        <v>2.1</v>
      </c>
      <c r="I5037">
        <v>28.91</v>
      </c>
    </row>
    <row r="5038" spans="1:9" ht="15" customHeight="1" x14ac:dyDescent="0.2">
      <c r="A5038" s="420">
        <v>45658</v>
      </c>
      <c r="B5038" t="s">
        <v>2435</v>
      </c>
      <c r="C5038" t="s">
        <v>7057</v>
      </c>
      <c r="D5038" t="s">
        <v>2436</v>
      </c>
      <c r="E5038" t="s">
        <v>7072</v>
      </c>
      <c r="G5038">
        <v>1.1599999999999999</v>
      </c>
      <c r="I5038">
        <v>30.07</v>
      </c>
    </row>
    <row r="5039" spans="1:9" ht="15" customHeight="1" x14ac:dyDescent="0.2">
      <c r="A5039" s="420">
        <v>45658</v>
      </c>
      <c r="B5039" t="s">
        <v>2435</v>
      </c>
      <c r="C5039" t="s">
        <v>7057</v>
      </c>
      <c r="D5039" t="s">
        <v>2436</v>
      </c>
      <c r="E5039" t="s">
        <v>7073</v>
      </c>
      <c r="G5039">
        <v>2.76</v>
      </c>
      <c r="I5039">
        <v>32.83</v>
      </c>
    </row>
    <row r="5040" spans="1:9" ht="15" customHeight="1" x14ac:dyDescent="0.2">
      <c r="A5040" s="420">
        <v>45658</v>
      </c>
      <c r="B5040" t="s">
        <v>2435</v>
      </c>
      <c r="C5040" t="s">
        <v>7057</v>
      </c>
      <c r="D5040" t="s">
        <v>2436</v>
      </c>
      <c r="E5040" t="s">
        <v>7074</v>
      </c>
      <c r="G5040">
        <v>1.1399999999999999</v>
      </c>
      <c r="I5040">
        <v>33.97</v>
      </c>
    </row>
    <row r="5041" spans="1:9" ht="15" customHeight="1" x14ac:dyDescent="0.2">
      <c r="A5041" s="420">
        <v>45658</v>
      </c>
      <c r="B5041" t="s">
        <v>2435</v>
      </c>
      <c r="C5041" t="s">
        <v>7057</v>
      </c>
      <c r="D5041" t="s">
        <v>2436</v>
      </c>
      <c r="E5041" t="s">
        <v>7075</v>
      </c>
      <c r="G5041">
        <v>6.92</v>
      </c>
      <c r="I5041">
        <v>40.89</v>
      </c>
    </row>
    <row r="5042" spans="1:9" ht="15" customHeight="1" x14ac:dyDescent="0.2">
      <c r="A5042" s="420">
        <v>45658</v>
      </c>
      <c r="B5042" t="s">
        <v>2435</v>
      </c>
      <c r="C5042" t="s">
        <v>7057</v>
      </c>
      <c r="D5042" t="s">
        <v>2436</v>
      </c>
      <c r="E5042" t="s">
        <v>7076</v>
      </c>
      <c r="G5042">
        <v>2.4</v>
      </c>
      <c r="I5042">
        <v>43.29</v>
      </c>
    </row>
    <row r="5043" spans="1:9" ht="15" customHeight="1" x14ac:dyDescent="0.2">
      <c r="A5043" s="420">
        <v>45658</v>
      </c>
      <c r="B5043" t="s">
        <v>2435</v>
      </c>
      <c r="C5043" t="s">
        <v>7057</v>
      </c>
      <c r="D5043" t="s">
        <v>2436</v>
      </c>
      <c r="E5043" t="s">
        <v>7077</v>
      </c>
      <c r="G5043">
        <v>8.0500000000000007</v>
      </c>
      <c r="I5043">
        <v>51.34</v>
      </c>
    </row>
    <row r="5044" spans="1:9" ht="15" customHeight="1" x14ac:dyDescent="0.2">
      <c r="A5044" s="420">
        <v>45658</v>
      </c>
      <c r="B5044" t="s">
        <v>2435</v>
      </c>
      <c r="C5044" t="s">
        <v>7057</v>
      </c>
      <c r="D5044" t="s">
        <v>2436</v>
      </c>
      <c r="E5044" t="s">
        <v>6208</v>
      </c>
      <c r="G5044">
        <v>3.03</v>
      </c>
      <c r="I5044">
        <v>54.37</v>
      </c>
    </row>
    <row r="5045" spans="1:9" ht="15" customHeight="1" x14ac:dyDescent="0.2">
      <c r="A5045" s="420">
        <v>45658</v>
      </c>
      <c r="B5045" t="s">
        <v>2435</v>
      </c>
      <c r="C5045" t="s">
        <v>7057</v>
      </c>
      <c r="D5045" t="s">
        <v>2436</v>
      </c>
      <c r="E5045" t="s">
        <v>7078</v>
      </c>
      <c r="G5045">
        <v>7.16</v>
      </c>
      <c r="I5045">
        <v>61.53</v>
      </c>
    </row>
    <row r="5046" spans="1:9" ht="15" customHeight="1" x14ac:dyDescent="0.2">
      <c r="A5046" s="420">
        <v>45658</v>
      </c>
      <c r="B5046" t="s">
        <v>2435</v>
      </c>
      <c r="C5046" t="s">
        <v>7057</v>
      </c>
      <c r="D5046" t="s">
        <v>2436</v>
      </c>
      <c r="E5046" t="s">
        <v>6209</v>
      </c>
      <c r="G5046">
        <v>2.54</v>
      </c>
      <c r="I5046">
        <v>64.069999999999993</v>
      </c>
    </row>
    <row r="5047" spans="1:9" ht="15" customHeight="1" x14ac:dyDescent="0.2">
      <c r="A5047" s="420">
        <v>45658</v>
      </c>
      <c r="B5047" t="s">
        <v>2435</v>
      </c>
      <c r="C5047" t="s">
        <v>7057</v>
      </c>
      <c r="D5047" t="s">
        <v>2436</v>
      </c>
      <c r="E5047" t="s">
        <v>7079</v>
      </c>
      <c r="G5047">
        <v>7.34</v>
      </c>
      <c r="I5047">
        <v>71.41</v>
      </c>
    </row>
    <row r="5048" spans="1:9" ht="15" customHeight="1" x14ac:dyDescent="0.2">
      <c r="A5048" s="420">
        <v>45658</v>
      </c>
      <c r="B5048" t="s">
        <v>2435</v>
      </c>
      <c r="C5048" t="s">
        <v>7057</v>
      </c>
      <c r="D5048" t="s">
        <v>2436</v>
      </c>
      <c r="E5048" t="s">
        <v>6071</v>
      </c>
      <c r="G5048">
        <v>5.15</v>
      </c>
      <c r="I5048">
        <v>76.56</v>
      </c>
    </row>
    <row r="5049" spans="1:9" ht="15" customHeight="1" x14ac:dyDescent="0.2">
      <c r="A5049" s="420">
        <v>45658</v>
      </c>
      <c r="B5049" t="s">
        <v>2435</v>
      </c>
      <c r="C5049" t="s">
        <v>7057</v>
      </c>
      <c r="D5049" t="s">
        <v>2436</v>
      </c>
      <c r="E5049" t="s">
        <v>7080</v>
      </c>
      <c r="G5049">
        <v>9</v>
      </c>
      <c r="I5049">
        <v>85.56</v>
      </c>
    </row>
    <row r="5050" spans="1:9" ht="15" customHeight="1" x14ac:dyDescent="0.2">
      <c r="A5050" s="420">
        <v>45658</v>
      </c>
      <c r="B5050" t="s">
        <v>2547</v>
      </c>
      <c r="C5050" t="s">
        <v>7057</v>
      </c>
      <c r="D5050" t="s">
        <v>2857</v>
      </c>
      <c r="E5050" t="s">
        <v>2858</v>
      </c>
      <c r="F5050">
        <v>22.49</v>
      </c>
      <c r="I5050">
        <v>63.07</v>
      </c>
    </row>
    <row r="5051" spans="1:9" ht="15" customHeight="1" x14ac:dyDescent="0.2">
      <c r="A5051" s="420">
        <v>45688</v>
      </c>
      <c r="B5051" t="s">
        <v>6077</v>
      </c>
      <c r="C5051" t="s">
        <v>7057</v>
      </c>
      <c r="E5051" t="s">
        <v>7081</v>
      </c>
      <c r="G5051">
        <v>5.07</v>
      </c>
      <c r="I5051">
        <v>68.14</v>
      </c>
    </row>
    <row r="5052" spans="1:9" ht="15" customHeight="1" x14ac:dyDescent="0.2">
      <c r="A5052" s="420">
        <v>45688</v>
      </c>
      <c r="B5052" t="s">
        <v>6077</v>
      </c>
      <c r="C5052" t="s">
        <v>7057</v>
      </c>
      <c r="E5052" t="s">
        <v>951</v>
      </c>
      <c r="G5052">
        <v>2.82</v>
      </c>
      <c r="I5052">
        <v>70.959999999999994</v>
      </c>
    </row>
    <row r="5053" spans="1:9" ht="15" customHeight="1" x14ac:dyDescent="0.2">
      <c r="A5053" s="420">
        <v>45708</v>
      </c>
      <c r="B5053" t="s">
        <v>2333</v>
      </c>
      <c r="C5053" t="s">
        <v>7057</v>
      </c>
      <c r="D5053" t="s">
        <v>7082</v>
      </c>
      <c r="E5053" t="s">
        <v>7083</v>
      </c>
      <c r="F5053">
        <v>9</v>
      </c>
      <c r="I5053">
        <v>61.96</v>
      </c>
    </row>
    <row r="5054" spans="1:9" ht="15" customHeight="1" x14ac:dyDescent="0.2">
      <c r="A5054" s="420">
        <v>45716</v>
      </c>
      <c r="B5054" t="s">
        <v>6077</v>
      </c>
      <c r="C5054" t="s">
        <v>7057</v>
      </c>
      <c r="D5054" t="s">
        <v>6082</v>
      </c>
      <c r="E5054" t="s">
        <v>7084</v>
      </c>
      <c r="G5054">
        <v>3.88</v>
      </c>
      <c r="I5054">
        <v>65.84</v>
      </c>
    </row>
    <row r="5055" spans="1:9" ht="15" customHeight="1" x14ac:dyDescent="0.2">
      <c r="A5055" s="420">
        <v>45716</v>
      </c>
      <c r="B5055" t="s">
        <v>6077</v>
      </c>
      <c r="C5055" t="s">
        <v>7057</v>
      </c>
      <c r="D5055" t="s">
        <v>6082</v>
      </c>
      <c r="E5055" t="s">
        <v>7085</v>
      </c>
      <c r="G5055">
        <v>2.16</v>
      </c>
      <c r="I5055">
        <v>68</v>
      </c>
    </row>
    <row r="5056" spans="1:9" ht="15" customHeight="1" x14ac:dyDescent="0.2">
      <c r="A5056" s="420">
        <v>45747</v>
      </c>
      <c r="B5056" t="s">
        <v>6077</v>
      </c>
      <c r="C5056" t="s">
        <v>7057</v>
      </c>
      <c r="D5056" t="s">
        <v>6087</v>
      </c>
      <c r="E5056" t="s">
        <v>964</v>
      </c>
      <c r="G5056">
        <v>8.23</v>
      </c>
      <c r="I5056">
        <v>76.23</v>
      </c>
    </row>
    <row r="5057" spans="1:10" ht="15" customHeight="1" x14ac:dyDescent="0.2">
      <c r="A5057" s="420">
        <v>45747</v>
      </c>
      <c r="B5057" t="s">
        <v>6077</v>
      </c>
      <c r="C5057" t="s">
        <v>7057</v>
      </c>
      <c r="D5057" t="s">
        <v>6087</v>
      </c>
      <c r="E5057" t="s">
        <v>964</v>
      </c>
      <c r="G5057">
        <v>4.57</v>
      </c>
      <c r="I5057">
        <v>80.8</v>
      </c>
    </row>
    <row r="5058" spans="1:10" ht="15" customHeight="1" x14ac:dyDescent="0.2">
      <c r="A5058" s="420">
        <v>45777</v>
      </c>
      <c r="B5058" t="s">
        <v>6077</v>
      </c>
      <c r="C5058" t="s">
        <v>7057</v>
      </c>
      <c r="D5058" t="s">
        <v>6092</v>
      </c>
      <c r="E5058" t="s">
        <v>7086</v>
      </c>
      <c r="G5058">
        <v>4.92</v>
      </c>
      <c r="I5058">
        <v>85.72</v>
      </c>
    </row>
    <row r="5059" spans="1:10" ht="15" customHeight="1" x14ac:dyDescent="0.2">
      <c r="A5059" s="420">
        <v>45777</v>
      </c>
      <c r="B5059" t="s">
        <v>6077</v>
      </c>
      <c r="C5059" t="s">
        <v>7057</v>
      </c>
      <c r="D5059" t="s">
        <v>6092</v>
      </c>
      <c r="E5059" t="s">
        <v>1160</v>
      </c>
      <c r="G5059">
        <v>8.85</v>
      </c>
      <c r="I5059">
        <v>94.57</v>
      </c>
    </row>
    <row r="5060" spans="1:10" ht="15" customHeight="1" x14ac:dyDescent="0.2">
      <c r="A5060" s="420">
        <v>45777</v>
      </c>
      <c r="B5060" t="s">
        <v>2439</v>
      </c>
      <c r="C5060" t="s">
        <v>7057</v>
      </c>
      <c r="D5060" t="s">
        <v>6179</v>
      </c>
      <c r="E5060" t="s">
        <v>6180</v>
      </c>
      <c r="F5060">
        <v>52</v>
      </c>
      <c r="I5060">
        <v>42.57</v>
      </c>
    </row>
    <row r="5061" spans="1:10" ht="15" customHeight="1" x14ac:dyDescent="0.2">
      <c r="A5061" s="420">
        <v>45808</v>
      </c>
      <c r="B5061" t="s">
        <v>6077</v>
      </c>
      <c r="C5061" t="s">
        <v>7057</v>
      </c>
      <c r="D5061" t="s">
        <v>6097</v>
      </c>
      <c r="E5061" t="s">
        <v>7087</v>
      </c>
      <c r="G5061">
        <v>3.69</v>
      </c>
      <c r="I5061">
        <v>46.26</v>
      </c>
    </row>
    <row r="5062" spans="1:10" ht="15" customHeight="1" x14ac:dyDescent="0.2">
      <c r="A5062" s="420">
        <v>45808</v>
      </c>
      <c r="B5062" t="s">
        <v>6077</v>
      </c>
      <c r="C5062" t="s">
        <v>7057</v>
      </c>
      <c r="D5062" t="s">
        <v>6097</v>
      </c>
      <c r="E5062" t="s">
        <v>1162</v>
      </c>
      <c r="G5062">
        <v>6.64</v>
      </c>
      <c r="I5062">
        <v>52.9</v>
      </c>
    </row>
    <row r="5063" spans="1:10" ht="15" customHeight="1" x14ac:dyDescent="0.2">
      <c r="A5063" s="420">
        <v>45838</v>
      </c>
      <c r="B5063" t="s">
        <v>6077</v>
      </c>
      <c r="C5063" t="s">
        <v>7057</v>
      </c>
      <c r="D5063" t="s">
        <v>6102</v>
      </c>
      <c r="E5063" t="s">
        <v>7088</v>
      </c>
      <c r="G5063">
        <v>3.88</v>
      </c>
      <c r="I5063">
        <v>56.78</v>
      </c>
    </row>
    <row r="5064" spans="1:10" ht="15" customHeight="1" x14ac:dyDescent="0.2">
      <c r="A5064" s="420">
        <v>45838</v>
      </c>
      <c r="B5064" t="s">
        <v>6077</v>
      </c>
      <c r="C5064" t="s">
        <v>7057</v>
      </c>
      <c r="D5064" t="s">
        <v>6102</v>
      </c>
      <c r="E5064" t="s">
        <v>1164</v>
      </c>
      <c r="G5064">
        <v>6.98</v>
      </c>
      <c r="I5064">
        <v>63.76</v>
      </c>
    </row>
    <row r="5065" spans="1:10" ht="15" customHeight="1" x14ac:dyDescent="0.2">
      <c r="A5065" s="420">
        <v>45838</v>
      </c>
      <c r="B5065" t="s">
        <v>2535</v>
      </c>
      <c r="C5065" t="s">
        <v>7057</v>
      </c>
      <c r="D5065" t="s">
        <v>7089</v>
      </c>
      <c r="E5065" t="s">
        <v>1167</v>
      </c>
      <c r="G5065">
        <v>205</v>
      </c>
      <c r="I5065">
        <v>268.76</v>
      </c>
      <c r="J5065" t="s">
        <v>2511</v>
      </c>
    </row>
    <row r="5066" spans="1:10" ht="15" customHeight="1" x14ac:dyDescent="0.2">
      <c r="A5066" s="420">
        <v>45838</v>
      </c>
      <c r="B5066" t="s">
        <v>2535</v>
      </c>
      <c r="C5066" t="s">
        <v>7057</v>
      </c>
      <c r="D5066" t="s">
        <v>7090</v>
      </c>
      <c r="E5066" t="s">
        <v>1170</v>
      </c>
      <c r="G5066">
        <v>783</v>
      </c>
      <c r="I5066">
        <v>1051.76</v>
      </c>
      <c r="J5066" t="s">
        <v>2509</v>
      </c>
    </row>
    <row r="5067" spans="1:10" ht="15" customHeight="1" x14ac:dyDescent="0.2">
      <c r="A5067" s="420">
        <v>45839</v>
      </c>
      <c r="B5067" t="s">
        <v>2535</v>
      </c>
      <c r="C5067" t="s">
        <v>7057</v>
      </c>
      <c r="D5067" t="s">
        <v>7089</v>
      </c>
      <c r="E5067" t="s">
        <v>1171</v>
      </c>
      <c r="F5067">
        <v>205</v>
      </c>
      <c r="I5067">
        <v>846.76</v>
      </c>
      <c r="J5067" t="s">
        <v>2511</v>
      </c>
    </row>
    <row r="5068" spans="1:10" ht="15" customHeight="1" x14ac:dyDescent="0.2">
      <c r="A5068" s="420">
        <v>45839</v>
      </c>
      <c r="B5068" t="s">
        <v>2535</v>
      </c>
      <c r="C5068" t="s">
        <v>7057</v>
      </c>
      <c r="D5068" t="s">
        <v>7090</v>
      </c>
      <c r="E5068" t="s">
        <v>1172</v>
      </c>
      <c r="F5068">
        <v>783</v>
      </c>
      <c r="I5068">
        <v>63.76</v>
      </c>
      <c r="J5068" t="s">
        <v>2509</v>
      </c>
    </row>
    <row r="5069" spans="1:10" ht="15" customHeight="1" x14ac:dyDescent="0.2">
      <c r="A5069" s="420">
        <v>45839</v>
      </c>
      <c r="B5069" t="s">
        <v>2517</v>
      </c>
      <c r="C5069" t="s">
        <v>7057</v>
      </c>
      <c r="D5069" t="s">
        <v>7091</v>
      </c>
      <c r="E5069" t="s">
        <v>7092</v>
      </c>
      <c r="F5069">
        <v>63.76</v>
      </c>
    </row>
    <row r="5070" spans="1:10" ht="15" customHeight="1" x14ac:dyDescent="0.2">
      <c r="A5070" t="s">
        <v>7057</v>
      </c>
      <c r="E5070" t="s">
        <v>349</v>
      </c>
      <c r="F5070">
        <v>1135.25</v>
      </c>
      <c r="G5070">
        <v>1135.25</v>
      </c>
    </row>
    <row r="5072" spans="1:10" ht="15" customHeight="1" x14ac:dyDescent="0.2">
      <c r="A5072" t="s">
        <v>7093</v>
      </c>
      <c r="B5072" t="s">
        <v>7094</v>
      </c>
      <c r="F5072" t="s">
        <v>2430</v>
      </c>
      <c r="G5072" t="s">
        <v>2431</v>
      </c>
      <c r="H5072" t="s">
        <v>2432</v>
      </c>
      <c r="I5072" t="s">
        <v>2433</v>
      </c>
      <c r="J5072" t="s">
        <v>2434</v>
      </c>
    </row>
    <row r="5073" spans="1:9" ht="15" customHeight="1" x14ac:dyDescent="0.2">
      <c r="A5073" s="420">
        <v>45839</v>
      </c>
      <c r="B5073" t="s">
        <v>2517</v>
      </c>
      <c r="C5073" t="s">
        <v>7093</v>
      </c>
      <c r="D5073" t="s">
        <v>7091</v>
      </c>
      <c r="E5073" t="s">
        <v>7092</v>
      </c>
      <c r="G5073">
        <v>63.76</v>
      </c>
      <c r="I5073">
        <v>63.76</v>
      </c>
    </row>
    <row r="5074" spans="1:9" ht="15" customHeight="1" x14ac:dyDescent="0.2">
      <c r="A5074" s="420">
        <v>45869</v>
      </c>
      <c r="B5074" t="s">
        <v>6077</v>
      </c>
      <c r="C5074" t="s">
        <v>7093</v>
      </c>
      <c r="D5074" t="s">
        <v>6107</v>
      </c>
      <c r="E5074" t="s">
        <v>7088</v>
      </c>
      <c r="G5074">
        <v>5.14</v>
      </c>
      <c r="I5074">
        <v>68.900000000000006</v>
      </c>
    </row>
    <row r="5075" spans="1:9" ht="15" customHeight="1" x14ac:dyDescent="0.2">
      <c r="A5075" s="420">
        <v>45869</v>
      </c>
      <c r="B5075" t="s">
        <v>6077</v>
      </c>
      <c r="C5075" t="s">
        <v>7093</v>
      </c>
      <c r="D5075" t="s">
        <v>6107</v>
      </c>
      <c r="E5075" t="s">
        <v>1164</v>
      </c>
      <c r="G5075">
        <v>9.24</v>
      </c>
      <c r="I5075">
        <v>78.14</v>
      </c>
    </row>
    <row r="5076" spans="1:9" ht="15" customHeight="1" x14ac:dyDescent="0.2">
      <c r="A5076" s="420">
        <v>45900</v>
      </c>
      <c r="B5076" t="s">
        <v>6077</v>
      </c>
      <c r="C5076" t="s">
        <v>7093</v>
      </c>
      <c r="D5076" t="s">
        <v>6112</v>
      </c>
      <c r="E5076" t="s">
        <v>7095</v>
      </c>
      <c r="G5076">
        <v>5.1100000000000003</v>
      </c>
      <c r="I5076">
        <v>83.25</v>
      </c>
    </row>
    <row r="5077" spans="1:9" ht="15" customHeight="1" x14ac:dyDescent="0.2">
      <c r="A5077" s="420">
        <v>45900</v>
      </c>
      <c r="B5077" t="s">
        <v>6077</v>
      </c>
      <c r="C5077" t="s">
        <v>7093</v>
      </c>
      <c r="D5077" t="s">
        <v>6112</v>
      </c>
      <c r="E5077" t="s">
        <v>1176</v>
      </c>
      <c r="G5077">
        <v>9.19</v>
      </c>
      <c r="I5077">
        <v>92.44</v>
      </c>
    </row>
    <row r="5078" spans="1:9" ht="15" customHeight="1" x14ac:dyDescent="0.2">
      <c r="A5078" s="420">
        <v>45930</v>
      </c>
      <c r="B5078" t="s">
        <v>6077</v>
      </c>
      <c r="C5078" t="s">
        <v>7093</v>
      </c>
      <c r="D5078" t="s">
        <v>6119</v>
      </c>
      <c r="E5078" t="s">
        <v>7096</v>
      </c>
      <c r="G5078">
        <v>5.09</v>
      </c>
      <c r="I5078">
        <v>97.53</v>
      </c>
    </row>
    <row r="5079" spans="1:9" ht="15" customHeight="1" x14ac:dyDescent="0.2">
      <c r="A5079" s="420">
        <v>45930</v>
      </c>
      <c r="B5079" t="s">
        <v>6077</v>
      </c>
      <c r="C5079" t="s">
        <v>7093</v>
      </c>
      <c r="D5079" t="s">
        <v>6119</v>
      </c>
      <c r="E5079" t="s">
        <v>1178</v>
      </c>
      <c r="G5079">
        <v>9.16</v>
      </c>
      <c r="I5079">
        <v>106.69</v>
      </c>
    </row>
    <row r="5080" spans="1:9" ht="15" customHeight="1" x14ac:dyDescent="0.2">
      <c r="A5080" s="420">
        <v>45961</v>
      </c>
      <c r="B5080" t="s">
        <v>6077</v>
      </c>
      <c r="C5080" t="s">
        <v>7093</v>
      </c>
      <c r="D5080" t="s">
        <v>6128</v>
      </c>
      <c r="E5080" t="s">
        <v>7097</v>
      </c>
      <c r="G5080">
        <v>5.0599999999999996</v>
      </c>
      <c r="I5080">
        <v>111.75</v>
      </c>
    </row>
    <row r="5081" spans="1:9" ht="15" customHeight="1" x14ac:dyDescent="0.2">
      <c r="A5081" s="420">
        <v>45961</v>
      </c>
      <c r="B5081" t="s">
        <v>6077</v>
      </c>
      <c r="C5081" t="s">
        <v>7093</v>
      </c>
      <c r="D5081" t="s">
        <v>6128</v>
      </c>
      <c r="E5081" t="s">
        <v>1180</v>
      </c>
      <c r="G5081">
        <v>9.11</v>
      </c>
      <c r="I5081">
        <v>120.86</v>
      </c>
    </row>
    <row r="5082" spans="1:9" ht="15" customHeight="1" x14ac:dyDescent="0.2">
      <c r="A5082" s="420">
        <v>45991</v>
      </c>
      <c r="B5082" t="s">
        <v>6077</v>
      </c>
      <c r="C5082" t="s">
        <v>7093</v>
      </c>
      <c r="D5082" t="s">
        <v>6137</v>
      </c>
      <c r="E5082" t="s">
        <v>7098</v>
      </c>
      <c r="G5082">
        <v>3.19</v>
      </c>
      <c r="I5082">
        <v>124.05</v>
      </c>
    </row>
    <row r="5083" spans="1:9" ht="15" customHeight="1" x14ac:dyDescent="0.2">
      <c r="A5083" s="420">
        <v>45991</v>
      </c>
      <c r="B5083" t="s">
        <v>6077</v>
      </c>
      <c r="C5083" t="s">
        <v>7093</v>
      </c>
      <c r="D5083" t="s">
        <v>6137</v>
      </c>
      <c r="E5083" t="s">
        <v>1182</v>
      </c>
      <c r="G5083">
        <v>5.74</v>
      </c>
      <c r="I5083">
        <v>129.79</v>
      </c>
    </row>
    <row r="5084" spans="1:9" ht="15" customHeight="1" x14ac:dyDescent="0.2">
      <c r="A5084" s="420">
        <v>46022</v>
      </c>
      <c r="B5084" t="s">
        <v>6077</v>
      </c>
      <c r="C5084" t="s">
        <v>7093</v>
      </c>
      <c r="D5084" t="s">
        <v>6144</v>
      </c>
      <c r="E5084" t="s">
        <v>7099</v>
      </c>
      <c r="G5084">
        <v>2.77</v>
      </c>
      <c r="I5084">
        <v>132.56</v>
      </c>
    </row>
    <row r="5085" spans="1:9" ht="15" customHeight="1" x14ac:dyDescent="0.2">
      <c r="A5085" s="420">
        <v>46022</v>
      </c>
      <c r="B5085" t="s">
        <v>6077</v>
      </c>
      <c r="C5085" t="s">
        <v>7093</v>
      </c>
      <c r="D5085" t="s">
        <v>6144</v>
      </c>
      <c r="E5085" t="s">
        <v>1186</v>
      </c>
      <c r="G5085">
        <v>4.9800000000000004</v>
      </c>
      <c r="I5085">
        <v>137.54</v>
      </c>
    </row>
    <row r="5086" spans="1:9" ht="15" customHeight="1" x14ac:dyDescent="0.2">
      <c r="A5086" s="420">
        <v>46022</v>
      </c>
      <c r="B5086" t="s">
        <v>2507</v>
      </c>
      <c r="C5086" t="s">
        <v>7093</v>
      </c>
      <c r="D5086" t="s">
        <v>7100</v>
      </c>
      <c r="E5086" t="s">
        <v>1189</v>
      </c>
      <c r="G5086">
        <v>197</v>
      </c>
      <c r="I5086">
        <v>334.54</v>
      </c>
    </row>
    <row r="5087" spans="1:9" ht="15" customHeight="1" x14ac:dyDescent="0.2">
      <c r="A5087" t="s">
        <v>7093</v>
      </c>
      <c r="E5087" t="s">
        <v>349</v>
      </c>
      <c r="G5087">
        <v>334.54</v>
      </c>
      <c r="I5087">
        <v>334.54</v>
      </c>
    </row>
    <row r="5089" spans="1:10" ht="15" customHeight="1" x14ac:dyDescent="0.2">
      <c r="A5089" t="s">
        <v>7101</v>
      </c>
      <c r="B5089" t="s">
        <v>7102</v>
      </c>
      <c r="F5089" t="s">
        <v>2430</v>
      </c>
      <c r="G5089" t="s">
        <v>2431</v>
      </c>
      <c r="H5089" t="s">
        <v>2432</v>
      </c>
      <c r="I5089" t="s">
        <v>2433</v>
      </c>
      <c r="J5089" t="s">
        <v>2434</v>
      </c>
    </row>
    <row r="5090" spans="1:10" ht="15" customHeight="1" x14ac:dyDescent="0.2">
      <c r="A5090" s="420">
        <v>46022</v>
      </c>
      <c r="B5090" t="s">
        <v>2507</v>
      </c>
      <c r="C5090" t="s">
        <v>7101</v>
      </c>
      <c r="D5090" t="s">
        <v>7103</v>
      </c>
      <c r="E5090" t="s">
        <v>7104</v>
      </c>
      <c r="F5090">
        <v>416.66</v>
      </c>
      <c r="H5090">
        <v>416.66</v>
      </c>
    </row>
    <row r="5091" spans="1:10" ht="15" customHeight="1" x14ac:dyDescent="0.2">
      <c r="A5091" t="s">
        <v>7101</v>
      </c>
      <c r="E5091" t="s">
        <v>349</v>
      </c>
      <c r="F5091">
        <v>416.66</v>
      </c>
      <c r="H5091">
        <v>416.66</v>
      </c>
    </row>
    <row r="5093" spans="1:10" ht="15" customHeight="1" x14ac:dyDescent="0.2">
      <c r="A5093" t="s">
        <v>7105</v>
      </c>
      <c r="B5093" t="s">
        <v>7106</v>
      </c>
      <c r="F5093" t="s">
        <v>2430</v>
      </c>
      <c r="G5093" t="s">
        <v>2431</v>
      </c>
      <c r="H5093" t="s">
        <v>2432</v>
      </c>
      <c r="I5093" t="s">
        <v>2433</v>
      </c>
      <c r="J5093" t="s">
        <v>2434</v>
      </c>
    </row>
    <row r="5094" spans="1:10" ht="15" customHeight="1" x14ac:dyDescent="0.2">
      <c r="A5094" s="420">
        <v>45658</v>
      </c>
      <c r="B5094" t="s">
        <v>2435</v>
      </c>
      <c r="C5094" t="s">
        <v>7105</v>
      </c>
      <c r="D5094" t="s">
        <v>2436</v>
      </c>
      <c r="E5094" t="s">
        <v>7107</v>
      </c>
      <c r="F5094">
        <v>500</v>
      </c>
      <c r="H5094">
        <v>500</v>
      </c>
    </row>
    <row r="5095" spans="1:10" ht="15" customHeight="1" x14ac:dyDescent="0.2">
      <c r="A5095" s="420">
        <v>45658</v>
      </c>
      <c r="B5095" t="s">
        <v>2439</v>
      </c>
      <c r="C5095" t="s">
        <v>7105</v>
      </c>
      <c r="D5095" t="s">
        <v>7108</v>
      </c>
      <c r="E5095" t="s">
        <v>7109</v>
      </c>
      <c r="G5095">
        <v>1644.72</v>
      </c>
      <c r="I5095">
        <v>1144.72</v>
      </c>
    </row>
    <row r="5096" spans="1:10" ht="15" customHeight="1" x14ac:dyDescent="0.2">
      <c r="A5096" s="420">
        <v>45889</v>
      </c>
      <c r="B5096" t="s">
        <v>2333</v>
      </c>
      <c r="C5096" t="s">
        <v>7105</v>
      </c>
      <c r="D5096" t="s">
        <v>7110</v>
      </c>
      <c r="E5096" t="s">
        <v>7111</v>
      </c>
      <c r="F5096">
        <v>10000</v>
      </c>
      <c r="H5096">
        <v>8855.2800000000007</v>
      </c>
    </row>
    <row r="5097" spans="1:10" ht="15" customHeight="1" x14ac:dyDescent="0.2">
      <c r="A5097" s="420">
        <v>45923</v>
      </c>
      <c r="B5097" t="s">
        <v>2333</v>
      </c>
      <c r="C5097" t="s">
        <v>7105</v>
      </c>
      <c r="D5097" t="s">
        <v>7112</v>
      </c>
      <c r="E5097" t="s">
        <v>7113</v>
      </c>
      <c r="G5097">
        <v>10000</v>
      </c>
      <c r="I5097">
        <v>1144.72</v>
      </c>
    </row>
    <row r="5098" spans="1:10" ht="15" customHeight="1" x14ac:dyDescent="0.2">
      <c r="A5098" s="420">
        <v>45930</v>
      </c>
      <c r="B5098" t="s">
        <v>2439</v>
      </c>
      <c r="C5098" t="s">
        <v>7105</v>
      </c>
      <c r="D5098" t="s">
        <v>5571</v>
      </c>
      <c r="E5098" t="s">
        <v>5640</v>
      </c>
      <c r="F5098">
        <v>9863.39</v>
      </c>
      <c r="H5098">
        <v>8718.67</v>
      </c>
    </row>
    <row r="5099" spans="1:10" ht="15" customHeight="1" x14ac:dyDescent="0.2">
      <c r="A5099" s="420">
        <v>45936</v>
      </c>
      <c r="B5099" t="s">
        <v>2333</v>
      </c>
      <c r="C5099" t="s">
        <v>7105</v>
      </c>
      <c r="D5099" t="s">
        <v>7114</v>
      </c>
      <c r="E5099" t="s">
        <v>7115</v>
      </c>
      <c r="F5099">
        <v>10000</v>
      </c>
      <c r="H5099">
        <v>18718.669999999998</v>
      </c>
    </row>
    <row r="5100" spans="1:10" ht="15" customHeight="1" x14ac:dyDescent="0.2">
      <c r="A5100" s="420">
        <v>45947</v>
      </c>
      <c r="B5100" t="s">
        <v>2333</v>
      </c>
      <c r="C5100" t="s">
        <v>7105</v>
      </c>
      <c r="D5100" t="s">
        <v>7116</v>
      </c>
      <c r="E5100" t="s">
        <v>7117</v>
      </c>
      <c r="F5100">
        <v>1000</v>
      </c>
      <c r="H5100">
        <v>19718.669999999998</v>
      </c>
    </row>
    <row r="5101" spans="1:10" ht="15" customHeight="1" x14ac:dyDescent="0.2">
      <c r="A5101" s="420">
        <v>46022</v>
      </c>
      <c r="B5101" t="s">
        <v>2439</v>
      </c>
      <c r="C5101" t="s">
        <v>7105</v>
      </c>
      <c r="D5101" t="s">
        <v>5649</v>
      </c>
      <c r="E5101" t="s">
        <v>7118</v>
      </c>
      <c r="F5101">
        <v>2011.07</v>
      </c>
      <c r="H5101">
        <v>21729.74</v>
      </c>
    </row>
    <row r="5102" spans="1:10" ht="15" customHeight="1" x14ac:dyDescent="0.2">
      <c r="A5102" t="s">
        <v>7105</v>
      </c>
      <c r="E5102" t="s">
        <v>349</v>
      </c>
      <c r="F5102">
        <v>33374.46</v>
      </c>
      <c r="G5102">
        <v>11644.72</v>
      </c>
      <c r="H5102">
        <v>21729.74</v>
      </c>
    </row>
    <row r="5104" spans="1:10" ht="15" customHeight="1" x14ac:dyDescent="0.2">
      <c r="A5104" t="s">
        <v>7119</v>
      </c>
      <c r="B5104" t="s">
        <v>7120</v>
      </c>
      <c r="F5104" t="s">
        <v>2430</v>
      </c>
      <c r="G5104" t="s">
        <v>2431</v>
      </c>
      <c r="H5104" t="s">
        <v>2432</v>
      </c>
      <c r="I5104" t="s">
        <v>2433</v>
      </c>
      <c r="J5104" t="s">
        <v>2434</v>
      </c>
    </row>
    <row r="5105" spans="1:10" ht="15" customHeight="1" x14ac:dyDescent="0.2">
      <c r="A5105" s="420">
        <v>45658</v>
      </c>
      <c r="B5105" t="s">
        <v>2547</v>
      </c>
      <c r="C5105" t="s">
        <v>7119</v>
      </c>
      <c r="D5105" t="s">
        <v>7121</v>
      </c>
      <c r="E5105" t="s">
        <v>432</v>
      </c>
      <c r="G5105">
        <v>46.37</v>
      </c>
      <c r="I5105">
        <v>46.37</v>
      </c>
    </row>
    <row r="5106" spans="1:10" ht="15" customHeight="1" x14ac:dyDescent="0.2">
      <c r="A5106" s="420">
        <v>45681</v>
      </c>
      <c r="B5106" t="s">
        <v>2532</v>
      </c>
      <c r="C5106" t="s">
        <v>7119</v>
      </c>
      <c r="D5106" t="s">
        <v>7122</v>
      </c>
      <c r="E5106" t="s">
        <v>1761</v>
      </c>
      <c r="G5106">
        <v>16.22</v>
      </c>
      <c r="I5106">
        <v>62.59</v>
      </c>
    </row>
    <row r="5107" spans="1:10" ht="15" customHeight="1" x14ac:dyDescent="0.2">
      <c r="A5107" s="420">
        <v>45689</v>
      </c>
      <c r="B5107" t="s">
        <v>2547</v>
      </c>
      <c r="C5107" t="s">
        <v>7119</v>
      </c>
      <c r="D5107" t="s">
        <v>7121</v>
      </c>
      <c r="E5107" t="s">
        <v>432</v>
      </c>
      <c r="G5107">
        <v>42.34</v>
      </c>
      <c r="I5107">
        <v>104.93</v>
      </c>
    </row>
    <row r="5108" spans="1:10" ht="15" customHeight="1" x14ac:dyDescent="0.2">
      <c r="A5108" s="420">
        <v>45700</v>
      </c>
      <c r="B5108" t="s">
        <v>2532</v>
      </c>
      <c r="C5108" t="s">
        <v>7119</v>
      </c>
      <c r="D5108" t="s">
        <v>6308</v>
      </c>
      <c r="E5108" t="s">
        <v>1315</v>
      </c>
      <c r="G5108">
        <v>7.99</v>
      </c>
      <c r="I5108">
        <v>112.92</v>
      </c>
    </row>
    <row r="5109" spans="1:10" ht="15" customHeight="1" x14ac:dyDescent="0.2">
      <c r="A5109" s="420">
        <v>45717</v>
      </c>
      <c r="B5109" t="s">
        <v>2547</v>
      </c>
      <c r="C5109" t="s">
        <v>7119</v>
      </c>
      <c r="D5109" t="s">
        <v>7121</v>
      </c>
      <c r="E5109" t="s">
        <v>432</v>
      </c>
      <c r="G5109">
        <v>42.34</v>
      </c>
      <c r="I5109">
        <v>155.26</v>
      </c>
    </row>
    <row r="5110" spans="1:10" ht="15" customHeight="1" x14ac:dyDescent="0.2">
      <c r="A5110" s="420">
        <v>45741</v>
      </c>
      <c r="B5110" t="s">
        <v>2532</v>
      </c>
      <c r="C5110" t="s">
        <v>7119</v>
      </c>
      <c r="D5110" t="s">
        <v>6974</v>
      </c>
      <c r="E5110" t="s">
        <v>1805</v>
      </c>
      <c r="G5110">
        <v>28.05</v>
      </c>
      <c r="I5110">
        <v>183.31</v>
      </c>
    </row>
    <row r="5111" spans="1:10" ht="15" customHeight="1" x14ac:dyDescent="0.2">
      <c r="A5111" s="420">
        <v>45748</v>
      </c>
      <c r="B5111" t="s">
        <v>2547</v>
      </c>
      <c r="C5111" t="s">
        <v>7119</v>
      </c>
      <c r="D5111" t="s">
        <v>7123</v>
      </c>
      <c r="E5111" t="s">
        <v>432</v>
      </c>
      <c r="G5111">
        <v>139.9</v>
      </c>
      <c r="I5111">
        <v>323.20999999999998</v>
      </c>
    </row>
    <row r="5112" spans="1:10" ht="15" customHeight="1" x14ac:dyDescent="0.2">
      <c r="A5112" s="420">
        <v>45778</v>
      </c>
      <c r="B5112" t="s">
        <v>2547</v>
      </c>
      <c r="C5112" t="s">
        <v>7119</v>
      </c>
      <c r="D5112" t="s">
        <v>7123</v>
      </c>
      <c r="E5112" t="s">
        <v>432</v>
      </c>
      <c r="G5112">
        <v>146.26</v>
      </c>
      <c r="I5112">
        <v>469.47</v>
      </c>
    </row>
    <row r="5113" spans="1:10" ht="15" customHeight="1" x14ac:dyDescent="0.2">
      <c r="A5113" s="420">
        <v>45779</v>
      </c>
      <c r="B5113" t="s">
        <v>2333</v>
      </c>
      <c r="C5113" t="s">
        <v>7119</v>
      </c>
      <c r="D5113" t="s">
        <v>7124</v>
      </c>
      <c r="E5113" t="s">
        <v>7125</v>
      </c>
      <c r="F5113">
        <v>315.89999999999998</v>
      </c>
      <c r="I5113">
        <v>153.57</v>
      </c>
      <c r="J5113" t="s">
        <v>2509</v>
      </c>
    </row>
    <row r="5114" spans="1:10" ht="15" customHeight="1" x14ac:dyDescent="0.2">
      <c r="A5114" s="420">
        <v>45782</v>
      </c>
      <c r="B5114" t="s">
        <v>2333</v>
      </c>
      <c r="C5114" t="s">
        <v>7119</v>
      </c>
      <c r="D5114" t="s">
        <v>7126</v>
      </c>
      <c r="E5114" t="s">
        <v>7127</v>
      </c>
      <c r="G5114">
        <v>315.89999999999998</v>
      </c>
      <c r="I5114">
        <v>469.47</v>
      </c>
      <c r="J5114" t="s">
        <v>2509</v>
      </c>
    </row>
    <row r="5115" spans="1:10" ht="15" customHeight="1" x14ac:dyDescent="0.2">
      <c r="A5115" s="420">
        <v>45794</v>
      </c>
      <c r="B5115" t="s">
        <v>2439</v>
      </c>
      <c r="C5115" t="s">
        <v>7119</v>
      </c>
      <c r="D5115" t="s">
        <v>3885</v>
      </c>
      <c r="E5115" t="s">
        <v>3886</v>
      </c>
      <c r="G5115">
        <v>13</v>
      </c>
      <c r="I5115">
        <v>482.47</v>
      </c>
    </row>
    <row r="5116" spans="1:10" ht="15" customHeight="1" x14ac:dyDescent="0.2">
      <c r="A5116" s="420">
        <v>45809</v>
      </c>
      <c r="B5116" t="s">
        <v>2547</v>
      </c>
      <c r="C5116" t="s">
        <v>7119</v>
      </c>
      <c r="D5116" t="s">
        <v>7123</v>
      </c>
      <c r="E5116" t="s">
        <v>432</v>
      </c>
      <c r="G5116">
        <v>127.18</v>
      </c>
      <c r="I5116">
        <v>609.65</v>
      </c>
    </row>
    <row r="5117" spans="1:10" ht="15" customHeight="1" x14ac:dyDescent="0.2">
      <c r="A5117" s="420">
        <v>45839</v>
      </c>
      <c r="B5117" t="s">
        <v>2517</v>
      </c>
      <c r="C5117" t="s">
        <v>7119</v>
      </c>
      <c r="D5117" t="s">
        <v>3805</v>
      </c>
      <c r="E5117" t="s">
        <v>3806</v>
      </c>
      <c r="G5117">
        <v>21.42</v>
      </c>
      <c r="I5117">
        <v>631.07000000000005</v>
      </c>
    </row>
    <row r="5118" spans="1:10" ht="15" customHeight="1" x14ac:dyDescent="0.2">
      <c r="A5118" s="420">
        <v>45839</v>
      </c>
      <c r="B5118" t="s">
        <v>2517</v>
      </c>
      <c r="C5118" t="s">
        <v>7119</v>
      </c>
      <c r="D5118" t="s">
        <v>3807</v>
      </c>
      <c r="E5118" t="s">
        <v>3808</v>
      </c>
      <c r="G5118">
        <v>20.9</v>
      </c>
      <c r="I5118">
        <v>651.97</v>
      </c>
    </row>
    <row r="5119" spans="1:10" ht="15" customHeight="1" x14ac:dyDescent="0.2">
      <c r="A5119" s="420">
        <v>45839</v>
      </c>
      <c r="B5119" t="s">
        <v>2547</v>
      </c>
      <c r="C5119" t="s">
        <v>7119</v>
      </c>
      <c r="D5119" t="s">
        <v>7128</v>
      </c>
      <c r="E5119" t="s">
        <v>432</v>
      </c>
      <c r="G5119">
        <v>146.26</v>
      </c>
      <c r="I5119">
        <v>798.23</v>
      </c>
    </row>
    <row r="5120" spans="1:10" ht="15" customHeight="1" x14ac:dyDescent="0.2">
      <c r="A5120" s="420">
        <v>45839</v>
      </c>
      <c r="B5120" t="s">
        <v>2517</v>
      </c>
      <c r="C5120" t="s">
        <v>7119</v>
      </c>
      <c r="D5120" t="s">
        <v>2959</v>
      </c>
      <c r="E5120" t="s">
        <v>1526</v>
      </c>
      <c r="F5120">
        <v>849.98</v>
      </c>
      <c r="H5120">
        <v>51.75</v>
      </c>
    </row>
    <row r="5121" spans="1:8" ht="15" customHeight="1" x14ac:dyDescent="0.2">
      <c r="A5121" s="420">
        <v>45850</v>
      </c>
      <c r="B5121" t="s">
        <v>2532</v>
      </c>
      <c r="C5121" t="s">
        <v>7119</v>
      </c>
      <c r="D5121" t="s">
        <v>3957</v>
      </c>
      <c r="E5121" t="s">
        <v>3958</v>
      </c>
      <c r="F5121">
        <v>107.7</v>
      </c>
      <c r="H5121">
        <v>159.44999999999999</v>
      </c>
    </row>
    <row r="5122" spans="1:8" ht="15" customHeight="1" x14ac:dyDescent="0.2">
      <c r="A5122" s="420">
        <v>45870</v>
      </c>
      <c r="B5122" t="s">
        <v>2547</v>
      </c>
      <c r="C5122" t="s">
        <v>7119</v>
      </c>
      <c r="D5122" t="s">
        <v>7129</v>
      </c>
      <c r="E5122" t="s">
        <v>432</v>
      </c>
      <c r="G5122">
        <v>139.9</v>
      </c>
      <c r="H5122">
        <v>19.55</v>
      </c>
    </row>
    <row r="5123" spans="1:8" ht="15" customHeight="1" x14ac:dyDescent="0.2">
      <c r="A5123" s="420">
        <v>45873</v>
      </c>
      <c r="B5123" t="s">
        <v>2333</v>
      </c>
      <c r="C5123" t="s">
        <v>7119</v>
      </c>
      <c r="D5123" t="s">
        <v>7130</v>
      </c>
      <c r="E5123" t="s">
        <v>7131</v>
      </c>
      <c r="F5123">
        <v>5.34</v>
      </c>
      <c r="H5123">
        <v>24.89</v>
      </c>
    </row>
    <row r="5124" spans="1:8" ht="15" customHeight="1" x14ac:dyDescent="0.2">
      <c r="A5124" s="420">
        <v>45873</v>
      </c>
      <c r="B5124" t="s">
        <v>2333</v>
      </c>
      <c r="C5124" t="s">
        <v>7119</v>
      </c>
      <c r="D5124" t="s">
        <v>7132</v>
      </c>
      <c r="E5124" t="s">
        <v>7133</v>
      </c>
      <c r="F5124">
        <v>25.45</v>
      </c>
      <c r="H5124">
        <v>50.34</v>
      </c>
    </row>
    <row r="5125" spans="1:8" ht="15" customHeight="1" x14ac:dyDescent="0.2">
      <c r="A5125" s="420">
        <v>45874</v>
      </c>
      <c r="B5125" t="s">
        <v>2547</v>
      </c>
      <c r="C5125" t="s">
        <v>7119</v>
      </c>
      <c r="D5125" t="s">
        <v>2773</v>
      </c>
      <c r="E5125" t="s">
        <v>2774</v>
      </c>
      <c r="F5125">
        <v>73.98</v>
      </c>
      <c r="H5125">
        <v>124.32</v>
      </c>
    </row>
    <row r="5126" spans="1:8" ht="15" customHeight="1" x14ac:dyDescent="0.2">
      <c r="A5126" s="420">
        <v>45874</v>
      </c>
      <c r="B5126" t="s">
        <v>2532</v>
      </c>
      <c r="C5126" t="s">
        <v>7119</v>
      </c>
      <c r="D5126" t="s">
        <v>2775</v>
      </c>
      <c r="E5126" t="s">
        <v>2776</v>
      </c>
      <c r="F5126">
        <v>21.49</v>
      </c>
      <c r="H5126">
        <v>145.81</v>
      </c>
    </row>
    <row r="5127" spans="1:8" ht="15" customHeight="1" x14ac:dyDescent="0.2">
      <c r="A5127" s="420">
        <v>45883</v>
      </c>
      <c r="B5127" t="s">
        <v>2532</v>
      </c>
      <c r="C5127" t="s">
        <v>7119</v>
      </c>
      <c r="D5127" t="s">
        <v>3898</v>
      </c>
      <c r="E5127" t="s">
        <v>3899</v>
      </c>
      <c r="F5127">
        <v>420.25</v>
      </c>
      <c r="H5127">
        <v>566.05999999999995</v>
      </c>
    </row>
    <row r="5128" spans="1:8" ht="15" customHeight="1" x14ac:dyDescent="0.2">
      <c r="A5128" s="420">
        <v>45887</v>
      </c>
      <c r="B5128" t="s">
        <v>2333</v>
      </c>
      <c r="C5128" t="s">
        <v>7119</v>
      </c>
      <c r="D5128" t="s">
        <v>7134</v>
      </c>
      <c r="E5128" t="s">
        <v>7135</v>
      </c>
      <c r="F5128">
        <v>82.7</v>
      </c>
      <c r="H5128">
        <v>648.76</v>
      </c>
    </row>
    <row r="5129" spans="1:8" ht="15" customHeight="1" x14ac:dyDescent="0.2">
      <c r="A5129" s="420">
        <v>45896</v>
      </c>
      <c r="B5129" t="s">
        <v>2333</v>
      </c>
      <c r="C5129" t="s">
        <v>7119</v>
      </c>
      <c r="D5129" t="s">
        <v>7136</v>
      </c>
      <c r="E5129" t="s">
        <v>7137</v>
      </c>
      <c r="F5129">
        <v>14.99</v>
      </c>
      <c r="H5129">
        <v>663.75</v>
      </c>
    </row>
    <row r="5130" spans="1:8" ht="15" customHeight="1" x14ac:dyDescent="0.2">
      <c r="A5130" s="420">
        <v>45908</v>
      </c>
      <c r="B5130" t="s">
        <v>2333</v>
      </c>
      <c r="C5130" t="s">
        <v>7119</v>
      </c>
      <c r="D5130" t="s">
        <v>7138</v>
      </c>
      <c r="E5130" t="s">
        <v>7139</v>
      </c>
      <c r="F5130">
        <v>0.99</v>
      </c>
      <c r="H5130">
        <v>664.74</v>
      </c>
    </row>
    <row r="5131" spans="1:8" ht="15" customHeight="1" x14ac:dyDescent="0.2">
      <c r="A5131" s="420">
        <v>45910</v>
      </c>
      <c r="B5131" t="s">
        <v>2333</v>
      </c>
      <c r="C5131" t="s">
        <v>7119</v>
      </c>
      <c r="D5131" t="s">
        <v>7140</v>
      </c>
      <c r="E5131" t="s">
        <v>5225</v>
      </c>
      <c r="F5131">
        <v>180</v>
      </c>
      <c r="H5131">
        <v>844.74</v>
      </c>
    </row>
    <row r="5132" spans="1:8" ht="15" customHeight="1" x14ac:dyDescent="0.2">
      <c r="A5132" s="420">
        <v>45930</v>
      </c>
      <c r="B5132" t="s">
        <v>2532</v>
      </c>
      <c r="C5132" t="s">
        <v>7119</v>
      </c>
      <c r="D5132" t="s">
        <v>5222</v>
      </c>
      <c r="E5132" t="s">
        <v>5223</v>
      </c>
      <c r="F5132">
        <v>120</v>
      </c>
      <c r="H5132">
        <v>964.74</v>
      </c>
    </row>
    <row r="5133" spans="1:8" ht="15" customHeight="1" x14ac:dyDescent="0.2">
      <c r="A5133" s="420">
        <v>45930</v>
      </c>
      <c r="B5133" t="s">
        <v>2547</v>
      </c>
      <c r="C5133" t="s">
        <v>7119</v>
      </c>
      <c r="D5133" t="s">
        <v>5228</v>
      </c>
      <c r="E5133" t="s">
        <v>5229</v>
      </c>
      <c r="F5133">
        <v>150</v>
      </c>
      <c r="H5133">
        <v>1114.74</v>
      </c>
    </row>
    <row r="5134" spans="1:8" ht="15" customHeight="1" x14ac:dyDescent="0.2">
      <c r="A5134" s="420">
        <v>45930</v>
      </c>
      <c r="B5134" t="s">
        <v>2547</v>
      </c>
      <c r="C5134" t="s">
        <v>7119</v>
      </c>
      <c r="D5134" t="s">
        <v>7141</v>
      </c>
      <c r="E5134" t="s">
        <v>432</v>
      </c>
      <c r="G5134">
        <v>133.54</v>
      </c>
      <c r="H5134">
        <v>981.2</v>
      </c>
    </row>
    <row r="5135" spans="1:8" ht="15" customHeight="1" x14ac:dyDescent="0.2">
      <c r="A5135" s="420">
        <v>45931</v>
      </c>
      <c r="B5135" t="s">
        <v>2517</v>
      </c>
      <c r="C5135" t="s">
        <v>7119</v>
      </c>
      <c r="D5135" t="s">
        <v>4945</v>
      </c>
      <c r="E5135" t="s">
        <v>4946</v>
      </c>
      <c r="G5135">
        <v>249</v>
      </c>
      <c r="H5135">
        <v>732.2</v>
      </c>
    </row>
    <row r="5136" spans="1:8" ht="15" customHeight="1" x14ac:dyDescent="0.2">
      <c r="A5136" s="420">
        <v>45936</v>
      </c>
      <c r="B5136" t="s">
        <v>2333</v>
      </c>
      <c r="C5136" t="s">
        <v>7119</v>
      </c>
      <c r="D5136" t="s">
        <v>7142</v>
      </c>
      <c r="E5136" t="s">
        <v>7143</v>
      </c>
      <c r="F5136">
        <v>21.76</v>
      </c>
      <c r="H5136">
        <v>753.96</v>
      </c>
    </row>
    <row r="5137" spans="1:10" ht="15" customHeight="1" x14ac:dyDescent="0.2">
      <c r="A5137" s="420">
        <v>45937</v>
      </c>
      <c r="B5137" t="s">
        <v>2333</v>
      </c>
      <c r="C5137" t="s">
        <v>7119</v>
      </c>
      <c r="D5137" t="s">
        <v>7144</v>
      </c>
      <c r="E5137" t="s">
        <v>7145</v>
      </c>
      <c r="G5137">
        <v>21.76</v>
      </c>
      <c r="H5137">
        <v>732.2</v>
      </c>
    </row>
    <row r="5138" spans="1:10" ht="15" customHeight="1" x14ac:dyDescent="0.2">
      <c r="A5138" s="420">
        <v>45938</v>
      </c>
      <c r="B5138" t="s">
        <v>2333</v>
      </c>
      <c r="C5138" t="s">
        <v>7119</v>
      </c>
      <c r="D5138" t="s">
        <v>7146</v>
      </c>
      <c r="E5138" t="s">
        <v>7147</v>
      </c>
      <c r="F5138">
        <v>780</v>
      </c>
      <c r="H5138">
        <v>1512.2</v>
      </c>
      <c r="J5138" t="s">
        <v>2513</v>
      </c>
    </row>
    <row r="5139" spans="1:10" ht="15" customHeight="1" x14ac:dyDescent="0.2">
      <c r="A5139" s="420">
        <v>45955</v>
      </c>
      <c r="B5139" t="s">
        <v>2532</v>
      </c>
      <c r="C5139" t="s">
        <v>7119</v>
      </c>
      <c r="D5139" t="s">
        <v>3059</v>
      </c>
      <c r="E5139" t="s">
        <v>3060</v>
      </c>
      <c r="F5139">
        <v>119.7</v>
      </c>
      <c r="H5139">
        <v>1631.9</v>
      </c>
    </row>
    <row r="5140" spans="1:10" ht="15" customHeight="1" x14ac:dyDescent="0.2">
      <c r="A5140" s="420">
        <v>45959</v>
      </c>
      <c r="B5140" t="s">
        <v>2333</v>
      </c>
      <c r="C5140" t="s">
        <v>7119</v>
      </c>
      <c r="D5140" t="s">
        <v>7148</v>
      </c>
      <c r="E5140" t="s">
        <v>7149</v>
      </c>
      <c r="F5140">
        <v>49.45</v>
      </c>
      <c r="H5140">
        <v>1681.35</v>
      </c>
    </row>
    <row r="5141" spans="1:10" ht="15" customHeight="1" x14ac:dyDescent="0.2">
      <c r="A5141" s="420">
        <v>45961</v>
      </c>
      <c r="B5141" t="s">
        <v>2532</v>
      </c>
      <c r="C5141" t="s">
        <v>7119</v>
      </c>
      <c r="D5141" t="s">
        <v>3068</v>
      </c>
      <c r="E5141" t="s">
        <v>3069</v>
      </c>
      <c r="F5141">
        <v>218.54</v>
      </c>
      <c r="H5141">
        <v>1899.89</v>
      </c>
    </row>
    <row r="5142" spans="1:10" ht="15" customHeight="1" x14ac:dyDescent="0.2">
      <c r="A5142" s="420">
        <v>45961</v>
      </c>
      <c r="B5142" t="s">
        <v>2547</v>
      </c>
      <c r="C5142" t="s">
        <v>7119</v>
      </c>
      <c r="D5142" t="s">
        <v>7150</v>
      </c>
      <c r="E5142" t="s">
        <v>432</v>
      </c>
      <c r="G5142">
        <v>146.26</v>
      </c>
      <c r="H5142">
        <v>1753.63</v>
      </c>
    </row>
    <row r="5143" spans="1:10" ht="15" customHeight="1" x14ac:dyDescent="0.2">
      <c r="A5143" s="420">
        <v>45982</v>
      </c>
      <c r="B5143" t="s">
        <v>2333</v>
      </c>
      <c r="C5143" t="s">
        <v>7119</v>
      </c>
      <c r="D5143" t="s">
        <v>7151</v>
      </c>
      <c r="E5143" t="s">
        <v>7152</v>
      </c>
      <c r="G5143">
        <v>780</v>
      </c>
      <c r="H5143">
        <v>973.63</v>
      </c>
      <c r="J5143" t="s">
        <v>2513</v>
      </c>
    </row>
    <row r="5144" spans="1:10" ht="15" customHeight="1" x14ac:dyDescent="0.2">
      <c r="A5144" s="420">
        <v>45985</v>
      </c>
      <c r="B5144" t="s">
        <v>2532</v>
      </c>
      <c r="C5144" t="s">
        <v>7119</v>
      </c>
      <c r="D5144" t="s">
        <v>3750</v>
      </c>
      <c r="E5144" t="s">
        <v>3751</v>
      </c>
      <c r="F5144">
        <v>280</v>
      </c>
      <c r="H5144">
        <v>1253.6300000000001</v>
      </c>
    </row>
    <row r="5145" spans="1:10" ht="15" customHeight="1" x14ac:dyDescent="0.2">
      <c r="A5145" s="420">
        <v>45991</v>
      </c>
      <c r="B5145" t="s">
        <v>2547</v>
      </c>
      <c r="C5145" t="s">
        <v>7119</v>
      </c>
      <c r="D5145" t="s">
        <v>7153</v>
      </c>
      <c r="E5145" t="s">
        <v>432</v>
      </c>
      <c r="G5145">
        <v>133.54</v>
      </c>
      <c r="H5145">
        <v>1120.0899999999999</v>
      </c>
    </row>
    <row r="5146" spans="1:10" ht="15" customHeight="1" x14ac:dyDescent="0.2">
      <c r="A5146" s="420">
        <v>45999</v>
      </c>
      <c r="B5146" t="s">
        <v>2333</v>
      </c>
      <c r="C5146" t="s">
        <v>7119</v>
      </c>
      <c r="D5146" t="s">
        <v>4978</v>
      </c>
      <c r="E5146" t="s">
        <v>7154</v>
      </c>
      <c r="F5146">
        <v>839.4</v>
      </c>
      <c r="H5146">
        <v>1959.49</v>
      </c>
    </row>
    <row r="5147" spans="1:10" ht="15" customHeight="1" x14ac:dyDescent="0.2">
      <c r="A5147" s="420">
        <v>46002</v>
      </c>
      <c r="B5147" t="s">
        <v>2517</v>
      </c>
      <c r="C5147" t="s">
        <v>7119</v>
      </c>
      <c r="D5147" t="s">
        <v>5328</v>
      </c>
      <c r="E5147" t="s">
        <v>5329</v>
      </c>
      <c r="G5147">
        <v>22.1</v>
      </c>
      <c r="H5147">
        <v>1937.39</v>
      </c>
    </row>
    <row r="5148" spans="1:10" ht="15" customHeight="1" x14ac:dyDescent="0.2">
      <c r="A5148" s="420">
        <v>46009</v>
      </c>
      <c r="B5148" t="s">
        <v>2532</v>
      </c>
      <c r="C5148" t="s">
        <v>7119</v>
      </c>
      <c r="D5148" t="s">
        <v>5250</v>
      </c>
      <c r="E5148" t="s">
        <v>7155</v>
      </c>
      <c r="F5148">
        <v>85.68</v>
      </c>
      <c r="H5148">
        <v>2023.07</v>
      </c>
    </row>
    <row r="5149" spans="1:10" ht="15" customHeight="1" x14ac:dyDescent="0.2">
      <c r="A5149" s="420">
        <v>46013</v>
      </c>
      <c r="B5149" t="s">
        <v>2547</v>
      </c>
      <c r="C5149" t="s">
        <v>7119</v>
      </c>
      <c r="D5149" t="s">
        <v>3754</v>
      </c>
      <c r="E5149" t="s">
        <v>3755</v>
      </c>
      <c r="F5149">
        <v>80</v>
      </c>
      <c r="H5149">
        <v>2103.0700000000002</v>
      </c>
    </row>
    <row r="5150" spans="1:10" ht="15" customHeight="1" x14ac:dyDescent="0.2">
      <c r="A5150" s="420">
        <v>46018</v>
      </c>
      <c r="B5150" t="s">
        <v>2532</v>
      </c>
      <c r="C5150" t="s">
        <v>7119</v>
      </c>
      <c r="D5150" t="s">
        <v>3725</v>
      </c>
      <c r="E5150" t="s">
        <v>3726</v>
      </c>
      <c r="F5150">
        <v>287.89999999999998</v>
      </c>
      <c r="H5150">
        <v>2390.9699999999998</v>
      </c>
    </row>
    <row r="5151" spans="1:10" ht="15" customHeight="1" x14ac:dyDescent="0.2">
      <c r="A5151" s="420">
        <v>46020</v>
      </c>
      <c r="B5151" t="s">
        <v>2517</v>
      </c>
      <c r="C5151" t="s">
        <v>7119</v>
      </c>
      <c r="D5151" t="s">
        <v>3729</v>
      </c>
      <c r="E5151" t="s">
        <v>3730</v>
      </c>
      <c r="G5151">
        <v>240</v>
      </c>
      <c r="H5151">
        <v>2150.9699999999998</v>
      </c>
    </row>
    <row r="5152" spans="1:10" ht="15" customHeight="1" x14ac:dyDescent="0.2">
      <c r="A5152" s="420">
        <v>46022</v>
      </c>
      <c r="B5152" t="s">
        <v>2547</v>
      </c>
      <c r="C5152" t="s">
        <v>7119</v>
      </c>
      <c r="D5152" t="s">
        <v>7156</v>
      </c>
      <c r="E5152" t="s">
        <v>432</v>
      </c>
      <c r="G5152">
        <v>139.9</v>
      </c>
      <c r="H5152">
        <v>2011.07</v>
      </c>
    </row>
    <row r="5153" spans="1:10" ht="15" customHeight="1" x14ac:dyDescent="0.2">
      <c r="A5153" s="420">
        <v>46022</v>
      </c>
      <c r="B5153" t="s">
        <v>2439</v>
      </c>
      <c r="C5153" t="s">
        <v>7119</v>
      </c>
      <c r="D5153" t="s">
        <v>5649</v>
      </c>
      <c r="E5153" t="s">
        <v>7118</v>
      </c>
      <c r="G5153">
        <v>2011.07</v>
      </c>
    </row>
    <row r="5154" spans="1:10" ht="15" customHeight="1" x14ac:dyDescent="0.2">
      <c r="A5154" t="s">
        <v>7119</v>
      </c>
      <c r="E5154" t="s">
        <v>349</v>
      </c>
      <c r="F5154">
        <v>5131.2</v>
      </c>
      <c r="G5154">
        <v>5131.2</v>
      </c>
    </row>
    <row r="5156" spans="1:10" ht="15" customHeight="1" x14ac:dyDescent="0.2">
      <c r="A5156" t="s">
        <v>7157</v>
      </c>
      <c r="B5156" t="s">
        <v>7158</v>
      </c>
      <c r="F5156" t="s">
        <v>2430</v>
      </c>
      <c r="G5156" t="s">
        <v>2431</v>
      </c>
      <c r="H5156" t="s">
        <v>2432</v>
      </c>
      <c r="I5156" t="s">
        <v>2433</v>
      </c>
      <c r="J5156" t="s">
        <v>2434</v>
      </c>
    </row>
    <row r="5157" spans="1:10" ht="15" customHeight="1" x14ac:dyDescent="0.2">
      <c r="A5157" s="420">
        <v>45786</v>
      </c>
      <c r="B5157" t="s">
        <v>2333</v>
      </c>
      <c r="C5157" t="s">
        <v>7157</v>
      </c>
      <c r="D5157" t="s">
        <v>5783</v>
      </c>
      <c r="E5157" t="s">
        <v>5937</v>
      </c>
      <c r="G5157">
        <v>1000</v>
      </c>
      <c r="I5157">
        <v>1000</v>
      </c>
    </row>
    <row r="5158" spans="1:10" ht="15" customHeight="1" x14ac:dyDescent="0.2">
      <c r="A5158" s="420">
        <v>45839</v>
      </c>
      <c r="B5158" t="s">
        <v>2517</v>
      </c>
      <c r="C5158" t="s">
        <v>7157</v>
      </c>
      <c r="D5158" t="s">
        <v>7159</v>
      </c>
      <c r="E5158" t="s">
        <v>7160</v>
      </c>
      <c r="F5158">
        <v>1000</v>
      </c>
    </row>
    <row r="5159" spans="1:10" ht="15" customHeight="1" x14ac:dyDescent="0.2">
      <c r="A5159" t="s">
        <v>7157</v>
      </c>
      <c r="E5159" t="s">
        <v>349</v>
      </c>
      <c r="F5159">
        <v>1000</v>
      </c>
      <c r="G5159">
        <v>1000</v>
      </c>
    </row>
    <row r="5161" spans="1:10" ht="15" customHeight="1" x14ac:dyDescent="0.2">
      <c r="A5161" t="s">
        <v>7161</v>
      </c>
      <c r="B5161" t="s">
        <v>7162</v>
      </c>
      <c r="F5161" t="s">
        <v>2430</v>
      </c>
      <c r="G5161" t="s">
        <v>2431</v>
      </c>
      <c r="H5161" t="s">
        <v>2432</v>
      </c>
      <c r="I5161" t="s">
        <v>2433</v>
      </c>
      <c r="J5161" t="s">
        <v>2434</v>
      </c>
    </row>
    <row r="5162" spans="1:10" ht="15" customHeight="1" x14ac:dyDescent="0.2">
      <c r="A5162" s="420">
        <v>45658</v>
      </c>
      <c r="B5162" t="s">
        <v>2435</v>
      </c>
      <c r="C5162" t="s">
        <v>7161</v>
      </c>
      <c r="D5162" t="s">
        <v>2436</v>
      </c>
      <c r="E5162" t="s">
        <v>7163</v>
      </c>
      <c r="G5162">
        <v>1644.72</v>
      </c>
      <c r="I5162">
        <v>1644.72</v>
      </c>
      <c r="J5162" t="s">
        <v>2511</v>
      </c>
    </row>
    <row r="5163" spans="1:10" ht="15" customHeight="1" x14ac:dyDescent="0.2">
      <c r="A5163" s="420">
        <v>45658</v>
      </c>
      <c r="B5163" t="s">
        <v>2439</v>
      </c>
      <c r="C5163" t="s">
        <v>7161</v>
      </c>
      <c r="D5163" t="s">
        <v>7108</v>
      </c>
      <c r="E5163" t="s">
        <v>7109</v>
      </c>
      <c r="F5163">
        <v>1644.72</v>
      </c>
      <c r="J5163" t="s">
        <v>2511</v>
      </c>
    </row>
    <row r="5164" spans="1:10" ht="15" customHeight="1" x14ac:dyDescent="0.2">
      <c r="A5164" t="s">
        <v>7161</v>
      </c>
      <c r="E5164" t="s">
        <v>349</v>
      </c>
      <c r="F5164">
        <v>1644.72</v>
      </c>
      <c r="G5164">
        <v>1644.72</v>
      </c>
    </row>
    <row r="5166" spans="1:10" ht="15" customHeight="1" x14ac:dyDescent="0.2">
      <c r="A5166" t="s">
        <v>7164</v>
      </c>
      <c r="B5166" t="s">
        <v>7165</v>
      </c>
      <c r="F5166" t="s">
        <v>2430</v>
      </c>
      <c r="G5166" t="s">
        <v>2431</v>
      </c>
      <c r="H5166" t="s">
        <v>2432</v>
      </c>
      <c r="I5166" t="s">
        <v>2433</v>
      </c>
      <c r="J5166" t="s">
        <v>2434</v>
      </c>
    </row>
    <row r="5167" spans="1:10" ht="15" customHeight="1" x14ac:dyDescent="0.2">
      <c r="A5167" s="420">
        <v>45658</v>
      </c>
      <c r="B5167" t="s">
        <v>2435</v>
      </c>
      <c r="C5167" t="s">
        <v>7164</v>
      </c>
      <c r="D5167" t="s">
        <v>2436</v>
      </c>
      <c r="E5167" t="s">
        <v>7166</v>
      </c>
      <c r="G5167">
        <v>19500</v>
      </c>
      <c r="I5167">
        <v>19500</v>
      </c>
    </row>
    <row r="5168" spans="1:10" ht="15" customHeight="1" x14ac:dyDescent="0.2">
      <c r="A5168" s="420">
        <v>45663</v>
      </c>
      <c r="B5168" t="s">
        <v>2333</v>
      </c>
      <c r="C5168" t="s">
        <v>7164</v>
      </c>
      <c r="D5168" t="s">
        <v>7167</v>
      </c>
      <c r="E5168" t="s">
        <v>7168</v>
      </c>
      <c r="F5168">
        <v>500</v>
      </c>
      <c r="I5168">
        <v>19000</v>
      </c>
    </row>
    <row r="5169" spans="1:10" ht="15" customHeight="1" x14ac:dyDescent="0.2">
      <c r="A5169" s="420">
        <v>45693</v>
      </c>
      <c r="B5169" t="s">
        <v>2333</v>
      </c>
      <c r="C5169" t="s">
        <v>7164</v>
      </c>
      <c r="D5169" t="s">
        <v>7169</v>
      </c>
      <c r="E5169" t="s">
        <v>7168</v>
      </c>
      <c r="F5169">
        <v>500</v>
      </c>
      <c r="I5169">
        <v>18500</v>
      </c>
    </row>
    <row r="5170" spans="1:10" ht="15" customHeight="1" x14ac:dyDescent="0.2">
      <c r="A5170" s="420">
        <v>45721</v>
      </c>
      <c r="B5170" t="s">
        <v>2333</v>
      </c>
      <c r="C5170" t="s">
        <v>7164</v>
      </c>
      <c r="D5170" t="s">
        <v>7170</v>
      </c>
      <c r="E5170" t="s">
        <v>7171</v>
      </c>
      <c r="F5170">
        <v>500</v>
      </c>
      <c r="I5170">
        <v>18000</v>
      </c>
    </row>
    <row r="5171" spans="1:10" ht="15" customHeight="1" x14ac:dyDescent="0.2">
      <c r="A5171" s="420">
        <v>45754</v>
      </c>
      <c r="B5171" t="s">
        <v>2333</v>
      </c>
      <c r="C5171" t="s">
        <v>7164</v>
      </c>
      <c r="D5171" t="s">
        <v>7172</v>
      </c>
      <c r="E5171" t="s">
        <v>7171</v>
      </c>
      <c r="F5171">
        <v>500</v>
      </c>
      <c r="I5171">
        <v>17500</v>
      </c>
    </row>
    <row r="5172" spans="1:10" ht="15" customHeight="1" x14ac:dyDescent="0.2">
      <c r="A5172" s="420">
        <v>45782</v>
      </c>
      <c r="B5172" t="s">
        <v>2333</v>
      </c>
      <c r="C5172" t="s">
        <v>7164</v>
      </c>
      <c r="D5172" t="s">
        <v>7173</v>
      </c>
      <c r="E5172" t="s">
        <v>7171</v>
      </c>
      <c r="F5172">
        <v>500</v>
      </c>
      <c r="I5172">
        <v>17000</v>
      </c>
    </row>
    <row r="5173" spans="1:10" ht="15" customHeight="1" x14ac:dyDescent="0.2">
      <c r="A5173" s="420">
        <v>45813</v>
      </c>
      <c r="B5173" t="s">
        <v>2333</v>
      </c>
      <c r="C5173" t="s">
        <v>7164</v>
      </c>
      <c r="D5173" t="s">
        <v>7174</v>
      </c>
      <c r="E5173" t="s">
        <v>7171</v>
      </c>
      <c r="F5173">
        <v>500</v>
      </c>
      <c r="I5173">
        <v>16500</v>
      </c>
    </row>
    <row r="5174" spans="1:10" ht="15" customHeight="1" x14ac:dyDescent="0.2">
      <c r="A5174" s="420">
        <v>45839</v>
      </c>
      <c r="B5174" t="s">
        <v>2517</v>
      </c>
      <c r="C5174" t="s">
        <v>7164</v>
      </c>
      <c r="D5174" t="s">
        <v>7175</v>
      </c>
      <c r="E5174" t="s">
        <v>854</v>
      </c>
      <c r="F5174">
        <v>16500</v>
      </c>
    </row>
    <row r="5175" spans="1:10" ht="15" customHeight="1" x14ac:dyDescent="0.2">
      <c r="A5175" t="s">
        <v>7164</v>
      </c>
      <c r="E5175" t="s">
        <v>349</v>
      </c>
      <c r="F5175">
        <v>19500</v>
      </c>
      <c r="G5175">
        <v>19500</v>
      </c>
    </row>
    <row r="5177" spans="1:10" ht="15" customHeight="1" x14ac:dyDescent="0.2">
      <c r="A5177" t="s">
        <v>7176</v>
      </c>
      <c r="B5177" t="s">
        <v>7177</v>
      </c>
      <c r="F5177" t="s">
        <v>2430</v>
      </c>
      <c r="G5177" t="s">
        <v>2431</v>
      </c>
      <c r="H5177" t="s">
        <v>2432</v>
      </c>
      <c r="I5177" t="s">
        <v>2433</v>
      </c>
      <c r="J5177" t="s">
        <v>2434</v>
      </c>
    </row>
    <row r="5178" spans="1:10" ht="15" customHeight="1" x14ac:dyDescent="0.2">
      <c r="A5178" s="420">
        <v>45839</v>
      </c>
      <c r="B5178" t="s">
        <v>2517</v>
      </c>
      <c r="C5178" t="s">
        <v>7176</v>
      </c>
      <c r="D5178" t="s">
        <v>7175</v>
      </c>
      <c r="E5178" t="s">
        <v>854</v>
      </c>
      <c r="G5178">
        <v>16500</v>
      </c>
      <c r="I5178">
        <v>16500</v>
      </c>
    </row>
    <row r="5179" spans="1:10" ht="15" customHeight="1" x14ac:dyDescent="0.2">
      <c r="A5179" s="420">
        <v>45845</v>
      </c>
      <c r="B5179" t="s">
        <v>2333</v>
      </c>
      <c r="C5179" t="s">
        <v>7176</v>
      </c>
      <c r="D5179" t="s">
        <v>7178</v>
      </c>
      <c r="E5179" t="s">
        <v>7171</v>
      </c>
      <c r="F5179">
        <v>500</v>
      </c>
      <c r="I5179">
        <v>16000</v>
      </c>
    </row>
    <row r="5180" spans="1:10" ht="15" customHeight="1" x14ac:dyDescent="0.2">
      <c r="A5180" s="420">
        <v>45874</v>
      </c>
      <c r="B5180" t="s">
        <v>2333</v>
      </c>
      <c r="C5180" t="s">
        <v>7176</v>
      </c>
      <c r="D5180" t="s">
        <v>7179</v>
      </c>
      <c r="E5180" t="s">
        <v>7171</v>
      </c>
      <c r="F5180">
        <v>500</v>
      </c>
      <c r="I5180">
        <v>15500</v>
      </c>
    </row>
    <row r="5181" spans="1:10" ht="15" customHeight="1" x14ac:dyDescent="0.2">
      <c r="A5181" s="420">
        <v>45905</v>
      </c>
      <c r="B5181" t="s">
        <v>2333</v>
      </c>
      <c r="C5181" t="s">
        <v>7176</v>
      </c>
      <c r="D5181" t="s">
        <v>7180</v>
      </c>
      <c r="E5181" t="s">
        <v>7171</v>
      </c>
      <c r="F5181">
        <v>500</v>
      </c>
      <c r="I5181">
        <v>15000</v>
      </c>
    </row>
    <row r="5182" spans="1:10" ht="15" customHeight="1" x14ac:dyDescent="0.2">
      <c r="A5182" s="420">
        <v>45936</v>
      </c>
      <c r="B5182" t="s">
        <v>2333</v>
      </c>
      <c r="C5182" t="s">
        <v>7176</v>
      </c>
      <c r="D5182" t="s">
        <v>7181</v>
      </c>
      <c r="E5182" t="s">
        <v>7171</v>
      </c>
      <c r="F5182">
        <v>500</v>
      </c>
      <c r="I5182">
        <v>14500</v>
      </c>
    </row>
    <row r="5183" spans="1:10" ht="15" customHeight="1" x14ac:dyDescent="0.2">
      <c r="A5183" s="420">
        <v>45966</v>
      </c>
      <c r="B5183" t="s">
        <v>2333</v>
      </c>
      <c r="C5183" t="s">
        <v>7176</v>
      </c>
      <c r="D5183" t="s">
        <v>7182</v>
      </c>
      <c r="E5183" t="s">
        <v>7171</v>
      </c>
      <c r="F5183">
        <v>500</v>
      </c>
      <c r="I5183">
        <v>14000</v>
      </c>
    </row>
    <row r="5184" spans="1:10" ht="15" customHeight="1" x14ac:dyDescent="0.2">
      <c r="A5184" s="420">
        <v>45996</v>
      </c>
      <c r="B5184" t="s">
        <v>2333</v>
      </c>
      <c r="C5184" t="s">
        <v>7176</v>
      </c>
      <c r="D5184" t="s">
        <v>7183</v>
      </c>
      <c r="E5184" t="s">
        <v>7171</v>
      </c>
      <c r="F5184">
        <v>500</v>
      </c>
      <c r="I5184">
        <v>13500</v>
      </c>
    </row>
    <row r="5185" spans="1:10" ht="15" customHeight="1" x14ac:dyDescent="0.2">
      <c r="A5185" t="s">
        <v>7176</v>
      </c>
      <c r="E5185" t="s">
        <v>349</v>
      </c>
      <c r="F5185">
        <v>3000</v>
      </c>
      <c r="G5185">
        <v>16500</v>
      </c>
      <c r="I5185">
        <v>13500</v>
      </c>
    </row>
    <row r="5187" spans="1:10" ht="15" customHeight="1" x14ac:dyDescent="0.2">
      <c r="A5187" t="s">
        <v>7184</v>
      </c>
      <c r="B5187" t="s">
        <v>7185</v>
      </c>
      <c r="F5187" t="s">
        <v>2430</v>
      </c>
      <c r="G5187" t="s">
        <v>2431</v>
      </c>
      <c r="H5187" t="s">
        <v>2432</v>
      </c>
      <c r="I5187" t="s">
        <v>2433</v>
      </c>
      <c r="J5187" t="s">
        <v>2434</v>
      </c>
    </row>
    <row r="5188" spans="1:10" ht="15" customHeight="1" x14ac:dyDescent="0.2">
      <c r="A5188" s="420">
        <v>45658</v>
      </c>
      <c r="B5188" t="s">
        <v>2435</v>
      </c>
      <c r="C5188" t="s">
        <v>7184</v>
      </c>
      <c r="D5188" t="s">
        <v>2436</v>
      </c>
      <c r="E5188" t="s">
        <v>7186</v>
      </c>
      <c r="G5188">
        <v>16071.68</v>
      </c>
      <c r="I5188">
        <v>16071.68</v>
      </c>
      <c r="J5188" t="s">
        <v>2511</v>
      </c>
    </row>
    <row r="5189" spans="1:10" ht="15" customHeight="1" x14ac:dyDescent="0.2">
      <c r="A5189" s="420">
        <v>45658</v>
      </c>
      <c r="B5189" t="s">
        <v>2435</v>
      </c>
      <c r="C5189" t="s">
        <v>7184</v>
      </c>
      <c r="D5189" t="s">
        <v>2436</v>
      </c>
      <c r="E5189" t="s">
        <v>5578</v>
      </c>
      <c r="F5189">
        <v>23511.05</v>
      </c>
      <c r="H5189">
        <v>7439.37</v>
      </c>
      <c r="J5189" t="s">
        <v>2511</v>
      </c>
    </row>
    <row r="5190" spans="1:10" ht="15" customHeight="1" x14ac:dyDescent="0.2">
      <c r="A5190" s="420">
        <v>45658</v>
      </c>
      <c r="B5190" t="s">
        <v>2435</v>
      </c>
      <c r="C5190" t="s">
        <v>7184</v>
      </c>
      <c r="D5190" t="s">
        <v>2436</v>
      </c>
      <c r="E5190" t="s">
        <v>5579</v>
      </c>
      <c r="F5190">
        <v>30681.4</v>
      </c>
      <c r="H5190">
        <v>38120.769999999997</v>
      </c>
      <c r="J5190" t="s">
        <v>2511</v>
      </c>
    </row>
    <row r="5191" spans="1:10" ht="15" customHeight="1" x14ac:dyDescent="0.2">
      <c r="A5191" s="420">
        <v>45658</v>
      </c>
      <c r="B5191" t="s">
        <v>2435</v>
      </c>
      <c r="C5191" t="s">
        <v>7184</v>
      </c>
      <c r="D5191" t="s">
        <v>2436</v>
      </c>
      <c r="E5191" t="s">
        <v>5580</v>
      </c>
      <c r="F5191">
        <v>53692.45</v>
      </c>
      <c r="H5191">
        <v>91813.22</v>
      </c>
      <c r="J5191" t="s">
        <v>2511</v>
      </c>
    </row>
    <row r="5192" spans="1:10" ht="15" customHeight="1" x14ac:dyDescent="0.2">
      <c r="A5192" s="420">
        <v>45658</v>
      </c>
      <c r="B5192" t="s">
        <v>2435</v>
      </c>
      <c r="C5192" t="s">
        <v>7184</v>
      </c>
      <c r="D5192" t="s">
        <v>2436</v>
      </c>
      <c r="E5192" t="s">
        <v>5581</v>
      </c>
      <c r="F5192">
        <v>7670.35</v>
      </c>
      <c r="H5192">
        <v>99483.57</v>
      </c>
      <c r="J5192" t="s">
        <v>2511</v>
      </c>
    </row>
    <row r="5193" spans="1:10" ht="15" customHeight="1" x14ac:dyDescent="0.2">
      <c r="A5193" s="420">
        <v>45658</v>
      </c>
      <c r="B5193" t="s">
        <v>2435</v>
      </c>
      <c r="C5193" t="s">
        <v>7184</v>
      </c>
      <c r="D5193" t="s">
        <v>2436</v>
      </c>
      <c r="E5193" t="s">
        <v>7187</v>
      </c>
      <c r="G5193">
        <v>7600.15</v>
      </c>
      <c r="H5193">
        <v>91883.42</v>
      </c>
      <c r="J5193" t="s">
        <v>2511</v>
      </c>
    </row>
    <row r="5194" spans="1:10" ht="15" customHeight="1" x14ac:dyDescent="0.2">
      <c r="A5194" s="420">
        <v>45658</v>
      </c>
      <c r="B5194" t="s">
        <v>2435</v>
      </c>
      <c r="C5194" t="s">
        <v>7184</v>
      </c>
      <c r="D5194" t="s">
        <v>2436</v>
      </c>
      <c r="E5194" t="s">
        <v>7188</v>
      </c>
      <c r="G5194">
        <v>80785.89</v>
      </c>
      <c r="H5194">
        <v>11097.53</v>
      </c>
      <c r="J5194" t="s">
        <v>2511</v>
      </c>
    </row>
    <row r="5195" spans="1:10" ht="15" customHeight="1" x14ac:dyDescent="0.2">
      <c r="A5195" s="420">
        <v>45658</v>
      </c>
      <c r="B5195" t="s">
        <v>2435</v>
      </c>
      <c r="C5195" t="s">
        <v>7184</v>
      </c>
      <c r="D5195" t="s">
        <v>2436</v>
      </c>
      <c r="E5195" t="s">
        <v>7189</v>
      </c>
      <c r="G5195">
        <v>1792.58</v>
      </c>
      <c r="H5195">
        <v>9304.9500000000007</v>
      </c>
      <c r="J5195" t="s">
        <v>2511</v>
      </c>
    </row>
    <row r="5196" spans="1:10" ht="15" customHeight="1" x14ac:dyDescent="0.2">
      <c r="A5196" s="420">
        <v>45677</v>
      </c>
      <c r="B5196" t="s">
        <v>2439</v>
      </c>
      <c r="C5196" t="s">
        <v>7184</v>
      </c>
      <c r="D5196" t="s">
        <v>3213</v>
      </c>
      <c r="E5196" t="s">
        <v>3214</v>
      </c>
      <c r="G5196">
        <v>9304.9500000000007</v>
      </c>
      <c r="J5196" t="s">
        <v>2511</v>
      </c>
    </row>
    <row r="5197" spans="1:10" ht="15" customHeight="1" x14ac:dyDescent="0.2">
      <c r="A5197" t="s">
        <v>7184</v>
      </c>
      <c r="E5197" t="s">
        <v>349</v>
      </c>
      <c r="F5197">
        <v>115555.25</v>
      </c>
      <c r="G5197">
        <v>115555.25</v>
      </c>
    </row>
    <row r="5199" spans="1:10" ht="15" customHeight="1" x14ac:dyDescent="0.2">
      <c r="A5199" t="s">
        <v>7190</v>
      </c>
      <c r="B5199" t="s">
        <v>5986</v>
      </c>
      <c r="F5199" t="s">
        <v>2430</v>
      </c>
      <c r="G5199" t="s">
        <v>2431</v>
      </c>
      <c r="H5199" t="s">
        <v>2432</v>
      </c>
      <c r="I5199" t="s">
        <v>2433</v>
      </c>
      <c r="J5199" t="s">
        <v>2434</v>
      </c>
    </row>
    <row r="5200" spans="1:10" ht="15" customHeight="1" x14ac:dyDescent="0.2">
      <c r="A5200" s="420">
        <v>45658</v>
      </c>
      <c r="B5200" t="s">
        <v>2435</v>
      </c>
      <c r="C5200" t="s">
        <v>7190</v>
      </c>
      <c r="D5200" t="s">
        <v>2436</v>
      </c>
      <c r="E5200" t="s">
        <v>7191</v>
      </c>
      <c r="G5200">
        <v>19303.82</v>
      </c>
      <c r="I5200">
        <v>19303.82</v>
      </c>
      <c r="J5200" t="s">
        <v>2511</v>
      </c>
    </row>
    <row r="5201" spans="1:10" ht="15" customHeight="1" x14ac:dyDescent="0.2">
      <c r="A5201" s="420">
        <v>45658</v>
      </c>
      <c r="B5201" t="s">
        <v>2435</v>
      </c>
      <c r="C5201" t="s">
        <v>7190</v>
      </c>
      <c r="D5201" t="s">
        <v>2436</v>
      </c>
      <c r="E5201" t="s">
        <v>5990</v>
      </c>
      <c r="F5201">
        <v>23508.2</v>
      </c>
      <c r="H5201">
        <v>4204.38</v>
      </c>
      <c r="J5201" t="s">
        <v>2511</v>
      </c>
    </row>
    <row r="5202" spans="1:10" ht="15" customHeight="1" x14ac:dyDescent="0.2">
      <c r="A5202" s="420">
        <v>45658</v>
      </c>
      <c r="B5202" t="s">
        <v>2435</v>
      </c>
      <c r="C5202" t="s">
        <v>7190</v>
      </c>
      <c r="D5202" t="s">
        <v>2436</v>
      </c>
      <c r="E5202" t="s">
        <v>5991</v>
      </c>
      <c r="F5202">
        <v>30677.599999999999</v>
      </c>
      <c r="H5202">
        <v>34881.980000000003</v>
      </c>
      <c r="J5202" t="s">
        <v>2511</v>
      </c>
    </row>
    <row r="5203" spans="1:10" ht="15" customHeight="1" x14ac:dyDescent="0.2">
      <c r="A5203" s="420">
        <v>45658</v>
      </c>
      <c r="B5203" t="s">
        <v>2435</v>
      </c>
      <c r="C5203" t="s">
        <v>7190</v>
      </c>
      <c r="D5203" t="s">
        <v>2436</v>
      </c>
      <c r="E5203" t="s">
        <v>7192</v>
      </c>
      <c r="G5203">
        <v>77412.740000000005</v>
      </c>
      <c r="I5203">
        <v>42530.76</v>
      </c>
      <c r="J5203" t="s">
        <v>2511</v>
      </c>
    </row>
    <row r="5204" spans="1:10" ht="15" customHeight="1" x14ac:dyDescent="0.2">
      <c r="A5204" s="420">
        <v>45658</v>
      </c>
      <c r="B5204" t="s">
        <v>2435</v>
      </c>
      <c r="C5204" t="s">
        <v>7190</v>
      </c>
      <c r="D5204" t="s">
        <v>2436</v>
      </c>
      <c r="E5204" t="s">
        <v>7193</v>
      </c>
      <c r="G5204">
        <v>7600.15</v>
      </c>
      <c r="I5204">
        <v>50130.91</v>
      </c>
      <c r="J5204" t="s">
        <v>2511</v>
      </c>
    </row>
    <row r="5205" spans="1:10" ht="15" customHeight="1" x14ac:dyDescent="0.2">
      <c r="A5205" s="420">
        <v>45658</v>
      </c>
      <c r="B5205" t="s">
        <v>2435</v>
      </c>
      <c r="C5205" t="s">
        <v>7190</v>
      </c>
      <c r="D5205" t="s">
        <v>2436</v>
      </c>
      <c r="E5205" t="s">
        <v>7194</v>
      </c>
      <c r="G5205">
        <v>1792.34</v>
      </c>
      <c r="I5205">
        <v>51923.25</v>
      </c>
      <c r="J5205" t="s">
        <v>2511</v>
      </c>
    </row>
    <row r="5206" spans="1:10" ht="15" customHeight="1" x14ac:dyDescent="0.2">
      <c r="A5206" s="420">
        <v>45658</v>
      </c>
      <c r="B5206" t="s">
        <v>2435</v>
      </c>
      <c r="C5206" t="s">
        <v>7190</v>
      </c>
      <c r="D5206" t="s">
        <v>2436</v>
      </c>
      <c r="E5206" t="s">
        <v>5992</v>
      </c>
      <c r="F5206">
        <v>53685.8</v>
      </c>
      <c r="H5206">
        <v>1762.55</v>
      </c>
      <c r="J5206" t="s">
        <v>2511</v>
      </c>
    </row>
    <row r="5207" spans="1:10" ht="15" customHeight="1" x14ac:dyDescent="0.2">
      <c r="A5207" s="420">
        <v>45658</v>
      </c>
      <c r="B5207" t="s">
        <v>2435</v>
      </c>
      <c r="C5207" t="s">
        <v>7190</v>
      </c>
      <c r="D5207" t="s">
        <v>2436</v>
      </c>
      <c r="E5207" t="s">
        <v>5993</v>
      </c>
      <c r="F5207">
        <v>7669.4</v>
      </c>
      <c r="H5207">
        <v>9431.9500000000007</v>
      </c>
      <c r="J5207" t="s">
        <v>2511</v>
      </c>
    </row>
    <row r="5208" spans="1:10" ht="15" customHeight="1" x14ac:dyDescent="0.2">
      <c r="A5208" s="420">
        <v>45671</v>
      </c>
      <c r="B5208" t="s">
        <v>2439</v>
      </c>
      <c r="C5208" t="s">
        <v>7190</v>
      </c>
      <c r="D5208" t="s">
        <v>3211</v>
      </c>
      <c r="E5208" t="s">
        <v>3212</v>
      </c>
      <c r="G5208">
        <v>9431.9500000000007</v>
      </c>
      <c r="J5208" t="s">
        <v>2511</v>
      </c>
    </row>
    <row r="5209" spans="1:10" ht="15" customHeight="1" x14ac:dyDescent="0.2">
      <c r="A5209" t="s">
        <v>7190</v>
      </c>
      <c r="E5209" t="s">
        <v>349</v>
      </c>
      <c r="F5209">
        <v>115541</v>
      </c>
      <c r="G5209">
        <v>115541</v>
      </c>
    </row>
    <row r="5211" spans="1:10" ht="15" customHeight="1" x14ac:dyDescent="0.2">
      <c r="A5211" t="s">
        <v>7195</v>
      </c>
      <c r="B5211" t="s">
        <v>7196</v>
      </c>
      <c r="F5211" t="s">
        <v>2430</v>
      </c>
      <c r="G5211" t="s">
        <v>2431</v>
      </c>
      <c r="H5211" t="s">
        <v>2432</v>
      </c>
      <c r="I5211" t="s">
        <v>2433</v>
      </c>
      <c r="J5211" t="s">
        <v>2434</v>
      </c>
    </row>
    <row r="5212" spans="1:10" ht="15" customHeight="1" x14ac:dyDescent="0.2">
      <c r="A5212" s="420">
        <v>45658</v>
      </c>
      <c r="B5212" t="s">
        <v>2435</v>
      </c>
      <c r="C5212" t="s">
        <v>7195</v>
      </c>
      <c r="D5212" t="s">
        <v>2436</v>
      </c>
      <c r="E5212" t="s">
        <v>7197</v>
      </c>
      <c r="F5212">
        <v>101321</v>
      </c>
      <c r="H5212">
        <v>101321</v>
      </c>
      <c r="J5212" t="s">
        <v>2511</v>
      </c>
    </row>
    <row r="5213" spans="1:10" ht="15" customHeight="1" x14ac:dyDescent="0.2">
      <c r="A5213" s="420">
        <v>45660</v>
      </c>
      <c r="B5213" t="s">
        <v>2439</v>
      </c>
      <c r="C5213" t="s">
        <v>7195</v>
      </c>
      <c r="D5213" t="s">
        <v>3203</v>
      </c>
      <c r="E5213" t="s">
        <v>3204</v>
      </c>
      <c r="G5213">
        <v>8784.25</v>
      </c>
      <c r="H5213">
        <v>92536.75</v>
      </c>
      <c r="J5213" t="s">
        <v>2511</v>
      </c>
    </row>
    <row r="5214" spans="1:10" ht="15" customHeight="1" x14ac:dyDescent="0.2">
      <c r="A5214" s="420">
        <v>45660</v>
      </c>
      <c r="B5214" t="s">
        <v>2439</v>
      </c>
      <c r="C5214" t="s">
        <v>7195</v>
      </c>
      <c r="D5214" t="s">
        <v>4299</v>
      </c>
      <c r="E5214" t="s">
        <v>4300</v>
      </c>
      <c r="G5214">
        <v>68691.72</v>
      </c>
      <c r="H5214">
        <v>23845.03</v>
      </c>
      <c r="J5214" t="s">
        <v>2511</v>
      </c>
    </row>
    <row r="5215" spans="1:10" ht="15" customHeight="1" x14ac:dyDescent="0.2">
      <c r="A5215" s="420">
        <v>45660</v>
      </c>
      <c r="B5215" t="s">
        <v>2439</v>
      </c>
      <c r="C5215" t="s">
        <v>7195</v>
      </c>
      <c r="D5215" t="s">
        <v>4299</v>
      </c>
      <c r="E5215" t="s">
        <v>4301</v>
      </c>
      <c r="G5215">
        <v>7600.15</v>
      </c>
      <c r="H5215">
        <v>16244.88</v>
      </c>
      <c r="J5215" t="s">
        <v>2511</v>
      </c>
    </row>
    <row r="5216" spans="1:10" ht="15" customHeight="1" x14ac:dyDescent="0.2">
      <c r="A5216" s="420">
        <v>45660</v>
      </c>
      <c r="B5216" t="s">
        <v>2439</v>
      </c>
      <c r="C5216" t="s">
        <v>7195</v>
      </c>
      <c r="D5216" t="s">
        <v>4299</v>
      </c>
      <c r="E5216" t="s">
        <v>4302</v>
      </c>
      <c r="G5216">
        <v>1700.38</v>
      </c>
      <c r="H5216">
        <v>14544.5</v>
      </c>
      <c r="J5216" t="s">
        <v>2511</v>
      </c>
    </row>
    <row r="5217" spans="1:10" ht="15" customHeight="1" x14ac:dyDescent="0.2">
      <c r="A5217" s="420">
        <v>45671</v>
      </c>
      <c r="B5217" t="s">
        <v>2439</v>
      </c>
      <c r="C5217" t="s">
        <v>7195</v>
      </c>
      <c r="D5217" t="s">
        <v>5925</v>
      </c>
      <c r="E5217" t="s">
        <v>5926</v>
      </c>
      <c r="F5217">
        <v>7201.5</v>
      </c>
      <c r="H5217">
        <v>21746</v>
      </c>
      <c r="J5217" t="s">
        <v>2511</v>
      </c>
    </row>
    <row r="5218" spans="1:10" ht="15" customHeight="1" x14ac:dyDescent="0.2">
      <c r="A5218" s="420">
        <v>45677</v>
      </c>
      <c r="B5218" t="s">
        <v>2333</v>
      </c>
      <c r="C5218" t="s">
        <v>7195</v>
      </c>
      <c r="D5218" t="s">
        <v>7198</v>
      </c>
      <c r="E5218" t="s">
        <v>7199</v>
      </c>
      <c r="G5218">
        <v>21745.98</v>
      </c>
      <c r="H5218">
        <v>0.02</v>
      </c>
      <c r="J5218" t="s">
        <v>2511</v>
      </c>
    </row>
    <row r="5219" spans="1:10" ht="15" customHeight="1" x14ac:dyDescent="0.2">
      <c r="A5219" s="420">
        <v>45688</v>
      </c>
      <c r="B5219" t="s">
        <v>2439</v>
      </c>
      <c r="C5219" t="s">
        <v>7195</v>
      </c>
      <c r="D5219" t="s">
        <v>7200</v>
      </c>
      <c r="E5219" t="s">
        <v>822</v>
      </c>
      <c r="G5219">
        <v>0.02</v>
      </c>
      <c r="J5219" t="s">
        <v>2511</v>
      </c>
    </row>
    <row r="5220" spans="1:10" ht="15" customHeight="1" x14ac:dyDescent="0.2">
      <c r="A5220" t="s">
        <v>7195</v>
      </c>
      <c r="E5220" t="s">
        <v>349</v>
      </c>
      <c r="F5220">
        <v>108522.5</v>
      </c>
      <c r="G5220">
        <v>108522.5</v>
      </c>
    </row>
    <row r="5222" spans="1:10" ht="15" customHeight="1" x14ac:dyDescent="0.2">
      <c r="A5222" t="s">
        <v>7195</v>
      </c>
      <c r="B5222" t="s">
        <v>7201</v>
      </c>
      <c r="F5222" t="s">
        <v>2430</v>
      </c>
      <c r="G5222" t="s">
        <v>2431</v>
      </c>
      <c r="H5222" t="s">
        <v>2432</v>
      </c>
      <c r="I5222" t="s">
        <v>2433</v>
      </c>
      <c r="J5222" t="s">
        <v>2434</v>
      </c>
    </row>
    <row r="5223" spans="1:10" ht="15" customHeight="1" x14ac:dyDescent="0.2">
      <c r="A5223" s="420">
        <v>45658</v>
      </c>
      <c r="B5223" t="s">
        <v>2435</v>
      </c>
      <c r="C5223" t="s">
        <v>7195</v>
      </c>
      <c r="D5223" t="s">
        <v>2436</v>
      </c>
      <c r="E5223" t="s">
        <v>7202</v>
      </c>
      <c r="F5223">
        <v>16865.68</v>
      </c>
      <c r="H5223">
        <v>16865.68</v>
      </c>
    </row>
    <row r="5224" spans="1:10" ht="15" customHeight="1" x14ac:dyDescent="0.2">
      <c r="A5224" s="420">
        <v>45688</v>
      </c>
      <c r="B5224" t="s">
        <v>2439</v>
      </c>
      <c r="C5224" t="s">
        <v>7195</v>
      </c>
      <c r="D5224" t="s">
        <v>6021</v>
      </c>
      <c r="E5224" t="s">
        <v>6022</v>
      </c>
      <c r="F5224">
        <v>32090.799999999999</v>
      </c>
      <c r="H5224">
        <v>48956.480000000003</v>
      </c>
    </row>
    <row r="5225" spans="1:10" ht="15" customHeight="1" x14ac:dyDescent="0.2">
      <c r="A5225" s="420">
        <v>45789</v>
      </c>
      <c r="B5225" t="s">
        <v>2439</v>
      </c>
      <c r="C5225" t="s">
        <v>7195</v>
      </c>
      <c r="D5225" t="s">
        <v>6025</v>
      </c>
      <c r="E5225" t="s">
        <v>6026</v>
      </c>
      <c r="F5225">
        <v>56158.9</v>
      </c>
      <c r="H5225">
        <v>105115.38</v>
      </c>
    </row>
    <row r="5226" spans="1:10" ht="15" customHeight="1" x14ac:dyDescent="0.2">
      <c r="A5226" s="420">
        <v>45796</v>
      </c>
      <c r="B5226" t="s">
        <v>2439</v>
      </c>
      <c r="C5226" t="s">
        <v>7195</v>
      </c>
      <c r="D5226" t="s">
        <v>4331</v>
      </c>
      <c r="E5226" t="s">
        <v>4332</v>
      </c>
      <c r="G5226">
        <v>1917.17</v>
      </c>
      <c r="H5226">
        <v>103198.21</v>
      </c>
    </row>
    <row r="5227" spans="1:10" ht="15" customHeight="1" x14ac:dyDescent="0.2">
      <c r="A5227" s="420">
        <v>45796</v>
      </c>
      <c r="B5227" t="s">
        <v>2439</v>
      </c>
      <c r="C5227" t="s">
        <v>7195</v>
      </c>
      <c r="D5227" t="s">
        <v>4333</v>
      </c>
      <c r="E5227" t="s">
        <v>4379</v>
      </c>
      <c r="G5227">
        <v>81746.539999999994</v>
      </c>
      <c r="H5227">
        <v>21451.67</v>
      </c>
    </row>
    <row r="5228" spans="1:10" ht="15" customHeight="1" x14ac:dyDescent="0.2">
      <c r="A5228" s="420">
        <v>45796</v>
      </c>
      <c r="B5228" t="s">
        <v>2439</v>
      </c>
      <c r="C5228" t="s">
        <v>7195</v>
      </c>
      <c r="D5228" t="s">
        <v>4335</v>
      </c>
      <c r="E5228" t="s">
        <v>4379</v>
      </c>
      <c r="G5228">
        <v>7600.15</v>
      </c>
      <c r="H5228">
        <v>13851.52</v>
      </c>
    </row>
    <row r="5229" spans="1:10" ht="15" customHeight="1" x14ac:dyDescent="0.2">
      <c r="A5229" s="420">
        <v>45796</v>
      </c>
      <c r="B5229" t="s">
        <v>2439</v>
      </c>
      <c r="C5229" t="s">
        <v>7195</v>
      </c>
      <c r="D5229" t="s">
        <v>3261</v>
      </c>
      <c r="E5229" t="s">
        <v>3262</v>
      </c>
      <c r="G5229">
        <v>9635.15</v>
      </c>
      <c r="H5229">
        <v>4216.37</v>
      </c>
    </row>
    <row r="5230" spans="1:10" ht="15" customHeight="1" x14ac:dyDescent="0.2">
      <c r="A5230" s="420">
        <v>45804</v>
      </c>
      <c r="B5230" t="s">
        <v>2439</v>
      </c>
      <c r="C5230" t="s">
        <v>7195</v>
      </c>
      <c r="D5230" t="s">
        <v>6027</v>
      </c>
      <c r="E5230" t="s">
        <v>6028</v>
      </c>
      <c r="F5230">
        <v>8022.7</v>
      </c>
      <c r="H5230">
        <v>12239.07</v>
      </c>
    </row>
    <row r="5231" spans="1:10" ht="15" customHeight="1" x14ac:dyDescent="0.2">
      <c r="A5231" s="420">
        <v>45819</v>
      </c>
      <c r="B5231" t="s">
        <v>2333</v>
      </c>
      <c r="C5231" t="s">
        <v>7195</v>
      </c>
      <c r="D5231" t="s">
        <v>7203</v>
      </c>
      <c r="E5231" t="s">
        <v>7204</v>
      </c>
      <c r="G5231">
        <v>12239.07</v>
      </c>
    </row>
    <row r="5232" spans="1:10" ht="15" customHeight="1" x14ac:dyDescent="0.2">
      <c r="A5232" t="s">
        <v>7195</v>
      </c>
      <c r="E5232" t="s">
        <v>349</v>
      </c>
      <c r="F5232">
        <v>113138.08</v>
      </c>
      <c r="G5232">
        <v>113138.08</v>
      </c>
    </row>
    <row r="5234" spans="1:10" ht="15" customHeight="1" x14ac:dyDescent="0.2">
      <c r="A5234" t="s">
        <v>7205</v>
      </c>
      <c r="B5234" t="s">
        <v>7206</v>
      </c>
      <c r="F5234" t="s">
        <v>2430</v>
      </c>
      <c r="G5234" t="s">
        <v>2431</v>
      </c>
      <c r="H5234" t="s">
        <v>2432</v>
      </c>
      <c r="I5234" t="s">
        <v>2433</v>
      </c>
      <c r="J5234" t="s">
        <v>2434</v>
      </c>
    </row>
    <row r="5235" spans="1:10" ht="15" customHeight="1" x14ac:dyDescent="0.2">
      <c r="A5235" s="420">
        <v>45658</v>
      </c>
      <c r="B5235" t="s">
        <v>2435</v>
      </c>
      <c r="C5235" t="s">
        <v>7205</v>
      </c>
      <c r="D5235" t="s">
        <v>2436</v>
      </c>
      <c r="E5235" t="s">
        <v>5792</v>
      </c>
      <c r="F5235">
        <v>22505.45</v>
      </c>
      <c r="H5235">
        <v>22505.45</v>
      </c>
      <c r="J5235" t="s">
        <v>2511</v>
      </c>
    </row>
    <row r="5236" spans="1:10" ht="15" customHeight="1" x14ac:dyDescent="0.2">
      <c r="A5236" s="420">
        <v>45658</v>
      </c>
      <c r="B5236" t="s">
        <v>2435</v>
      </c>
      <c r="C5236" t="s">
        <v>7205</v>
      </c>
      <c r="D5236" t="s">
        <v>2436</v>
      </c>
      <c r="E5236" t="s">
        <v>5793</v>
      </c>
      <c r="F5236">
        <v>29340.6</v>
      </c>
      <c r="H5236">
        <v>51846.05</v>
      </c>
      <c r="J5236" t="s">
        <v>2511</v>
      </c>
    </row>
    <row r="5237" spans="1:10" ht="15" customHeight="1" x14ac:dyDescent="0.2">
      <c r="A5237" s="420">
        <v>45733</v>
      </c>
      <c r="B5237" t="s">
        <v>2439</v>
      </c>
      <c r="C5237" t="s">
        <v>7205</v>
      </c>
      <c r="D5237" t="s">
        <v>3240</v>
      </c>
      <c r="E5237" t="s">
        <v>3241</v>
      </c>
      <c r="G5237">
        <v>8784.25</v>
      </c>
      <c r="H5237">
        <v>43061.8</v>
      </c>
      <c r="J5237" t="s">
        <v>2511</v>
      </c>
    </row>
    <row r="5238" spans="1:10" ht="15" customHeight="1" x14ac:dyDescent="0.2">
      <c r="A5238" s="420">
        <v>45733</v>
      </c>
      <c r="B5238" t="s">
        <v>2439</v>
      </c>
      <c r="C5238" t="s">
        <v>7205</v>
      </c>
      <c r="D5238" t="s">
        <v>4309</v>
      </c>
      <c r="E5238" t="s">
        <v>4310</v>
      </c>
      <c r="G5238">
        <v>1733.78</v>
      </c>
      <c r="H5238">
        <v>41328.019999999997</v>
      </c>
      <c r="J5238" t="s">
        <v>2511</v>
      </c>
    </row>
    <row r="5239" spans="1:10" ht="15" customHeight="1" x14ac:dyDescent="0.2">
      <c r="A5239" s="420">
        <v>45733</v>
      </c>
      <c r="B5239" t="s">
        <v>2439</v>
      </c>
      <c r="C5239" t="s">
        <v>7205</v>
      </c>
      <c r="D5239" t="s">
        <v>4311</v>
      </c>
      <c r="E5239" t="s">
        <v>4312</v>
      </c>
      <c r="G5239">
        <v>7600.15</v>
      </c>
      <c r="H5239">
        <v>33727.870000000003</v>
      </c>
      <c r="J5239" t="s">
        <v>2511</v>
      </c>
    </row>
    <row r="5240" spans="1:10" ht="15" customHeight="1" x14ac:dyDescent="0.2">
      <c r="A5240" s="420">
        <v>45733</v>
      </c>
      <c r="B5240" t="s">
        <v>2439</v>
      </c>
      <c r="C5240" t="s">
        <v>7205</v>
      </c>
      <c r="D5240" t="s">
        <v>4313</v>
      </c>
      <c r="E5240" t="s">
        <v>4314</v>
      </c>
      <c r="G5240">
        <v>70635.11</v>
      </c>
      <c r="I5240">
        <v>36907.24</v>
      </c>
      <c r="J5240" t="s">
        <v>2511</v>
      </c>
    </row>
    <row r="5241" spans="1:10" ht="15" customHeight="1" x14ac:dyDescent="0.2">
      <c r="A5241" s="420">
        <v>45735</v>
      </c>
      <c r="B5241" t="s">
        <v>2439</v>
      </c>
      <c r="C5241" t="s">
        <v>7205</v>
      </c>
      <c r="D5241" t="s">
        <v>5797</v>
      </c>
      <c r="E5241" t="s">
        <v>5798</v>
      </c>
      <c r="F5241">
        <v>7335.15</v>
      </c>
      <c r="I5241">
        <v>29572.09</v>
      </c>
      <c r="J5241" t="s">
        <v>2511</v>
      </c>
    </row>
    <row r="5242" spans="1:10" ht="15" customHeight="1" x14ac:dyDescent="0.2">
      <c r="A5242" s="420">
        <v>45740</v>
      </c>
      <c r="B5242" t="s">
        <v>2439</v>
      </c>
      <c r="C5242" t="s">
        <v>7205</v>
      </c>
      <c r="D5242" t="s">
        <v>5799</v>
      </c>
      <c r="E5242" t="s">
        <v>5800</v>
      </c>
      <c r="F5242">
        <v>51346.06</v>
      </c>
      <c r="H5242">
        <v>21773.97</v>
      </c>
      <c r="J5242" t="s">
        <v>2511</v>
      </c>
    </row>
    <row r="5243" spans="1:10" ht="15" customHeight="1" x14ac:dyDescent="0.2">
      <c r="A5243" s="420">
        <v>45754</v>
      </c>
      <c r="B5243" t="s">
        <v>2333</v>
      </c>
      <c r="C5243" t="s">
        <v>7205</v>
      </c>
      <c r="D5243" t="s">
        <v>7207</v>
      </c>
      <c r="E5243" t="s">
        <v>7208</v>
      </c>
      <c r="G5243">
        <v>21773.96</v>
      </c>
      <c r="H5243">
        <v>0.01</v>
      </c>
      <c r="J5243" t="s">
        <v>2511</v>
      </c>
    </row>
    <row r="5244" spans="1:10" ht="15" customHeight="1" x14ac:dyDescent="0.2">
      <c r="A5244" s="420">
        <v>45754</v>
      </c>
      <c r="B5244" t="s">
        <v>2517</v>
      </c>
      <c r="C5244" t="s">
        <v>7205</v>
      </c>
      <c r="D5244" t="s">
        <v>7209</v>
      </c>
      <c r="E5244" t="s">
        <v>833</v>
      </c>
      <c r="G5244">
        <v>0.01</v>
      </c>
      <c r="J5244" t="s">
        <v>2511</v>
      </c>
    </row>
    <row r="5245" spans="1:10" ht="15" customHeight="1" x14ac:dyDescent="0.2">
      <c r="A5245" t="s">
        <v>7205</v>
      </c>
      <c r="E5245" t="s">
        <v>349</v>
      </c>
      <c r="F5245">
        <v>110527.26</v>
      </c>
      <c r="G5245">
        <v>110527.26</v>
      </c>
    </row>
    <row r="5247" spans="1:10" ht="15" customHeight="1" x14ac:dyDescent="0.2">
      <c r="A5247" t="s">
        <v>7210</v>
      </c>
      <c r="B5247" t="s">
        <v>7211</v>
      </c>
      <c r="F5247" t="s">
        <v>2430</v>
      </c>
      <c r="G5247" t="s">
        <v>2431</v>
      </c>
      <c r="H5247" t="s">
        <v>2432</v>
      </c>
      <c r="I5247" t="s">
        <v>2433</v>
      </c>
      <c r="J5247" t="s">
        <v>2434</v>
      </c>
    </row>
    <row r="5248" spans="1:10" ht="15" customHeight="1" x14ac:dyDescent="0.2">
      <c r="A5248" s="420">
        <v>45658</v>
      </c>
      <c r="B5248" t="s">
        <v>2435</v>
      </c>
      <c r="C5248" t="s">
        <v>7210</v>
      </c>
      <c r="D5248" t="s">
        <v>2436</v>
      </c>
      <c r="E5248" t="s">
        <v>5766</v>
      </c>
      <c r="F5248">
        <v>22167.8</v>
      </c>
      <c r="H5248">
        <v>22167.8</v>
      </c>
      <c r="J5248" t="s">
        <v>2511</v>
      </c>
    </row>
    <row r="5249" spans="1:10" ht="15" customHeight="1" x14ac:dyDescent="0.2">
      <c r="A5249" s="420">
        <v>45686</v>
      </c>
      <c r="B5249" t="s">
        <v>2439</v>
      </c>
      <c r="C5249" t="s">
        <v>7210</v>
      </c>
      <c r="D5249" t="s">
        <v>5770</v>
      </c>
      <c r="E5249" t="s">
        <v>5771</v>
      </c>
      <c r="F5249">
        <v>28890.400000000001</v>
      </c>
      <c r="H5249">
        <v>51058.2</v>
      </c>
      <c r="J5249" t="s">
        <v>2511</v>
      </c>
    </row>
    <row r="5250" spans="1:10" ht="15" customHeight="1" x14ac:dyDescent="0.2">
      <c r="A5250" s="420">
        <v>45698</v>
      </c>
      <c r="B5250" t="s">
        <v>2439</v>
      </c>
      <c r="C5250" t="s">
        <v>7210</v>
      </c>
      <c r="D5250" t="s">
        <v>4322</v>
      </c>
      <c r="E5250" t="s">
        <v>4314</v>
      </c>
      <c r="G5250">
        <v>75021.009999999995</v>
      </c>
      <c r="I5250">
        <v>23962.81</v>
      </c>
      <c r="J5250" t="s">
        <v>2511</v>
      </c>
    </row>
    <row r="5251" spans="1:10" ht="15" customHeight="1" x14ac:dyDescent="0.2">
      <c r="A5251" s="420">
        <v>45698</v>
      </c>
      <c r="B5251" t="s">
        <v>2439</v>
      </c>
      <c r="C5251" t="s">
        <v>7210</v>
      </c>
      <c r="D5251" t="s">
        <v>4322</v>
      </c>
      <c r="E5251" t="s">
        <v>4323</v>
      </c>
      <c r="G5251">
        <v>1705.66</v>
      </c>
      <c r="I5251">
        <v>25668.47</v>
      </c>
      <c r="J5251" t="s">
        <v>2511</v>
      </c>
    </row>
    <row r="5252" spans="1:10" ht="15" customHeight="1" x14ac:dyDescent="0.2">
      <c r="A5252" s="420">
        <v>45698</v>
      </c>
      <c r="B5252" t="s">
        <v>2439</v>
      </c>
      <c r="C5252" t="s">
        <v>7210</v>
      </c>
      <c r="D5252" t="s">
        <v>4322</v>
      </c>
      <c r="E5252" t="s">
        <v>4323</v>
      </c>
      <c r="G5252">
        <v>7600.15</v>
      </c>
      <c r="I5252">
        <v>33268.620000000003</v>
      </c>
      <c r="J5252" t="s">
        <v>2511</v>
      </c>
    </row>
    <row r="5253" spans="1:10" ht="15" customHeight="1" x14ac:dyDescent="0.2">
      <c r="A5253" s="420">
        <v>45709</v>
      </c>
      <c r="B5253" t="s">
        <v>2439</v>
      </c>
      <c r="C5253" t="s">
        <v>7210</v>
      </c>
      <c r="D5253" t="s">
        <v>5772</v>
      </c>
      <c r="E5253" t="s">
        <v>5773</v>
      </c>
      <c r="F5253">
        <v>50558.2</v>
      </c>
      <c r="H5253">
        <v>17289.580000000002</v>
      </c>
      <c r="J5253" t="s">
        <v>2511</v>
      </c>
    </row>
    <row r="5254" spans="1:10" ht="15" customHeight="1" x14ac:dyDescent="0.2">
      <c r="A5254" s="420">
        <v>45713</v>
      </c>
      <c r="B5254" t="s">
        <v>2439</v>
      </c>
      <c r="C5254" t="s">
        <v>7210</v>
      </c>
      <c r="D5254" t="s">
        <v>5774</v>
      </c>
      <c r="E5254" t="s">
        <v>5775</v>
      </c>
      <c r="F5254">
        <v>7222.6</v>
      </c>
      <c r="H5254">
        <v>24512.18</v>
      </c>
      <c r="J5254" t="s">
        <v>2511</v>
      </c>
    </row>
    <row r="5255" spans="1:10" ht="15" customHeight="1" x14ac:dyDescent="0.2">
      <c r="A5255" s="420">
        <v>45719</v>
      </c>
      <c r="B5255" t="s">
        <v>2333</v>
      </c>
      <c r="C5255" t="s">
        <v>7210</v>
      </c>
      <c r="D5255" t="s">
        <v>7212</v>
      </c>
      <c r="E5255" t="s">
        <v>7213</v>
      </c>
      <c r="G5255">
        <v>15708.88</v>
      </c>
      <c r="H5255">
        <v>8803.2999999999993</v>
      </c>
      <c r="J5255" t="s">
        <v>2511</v>
      </c>
    </row>
    <row r="5256" spans="1:10" ht="15" customHeight="1" x14ac:dyDescent="0.2">
      <c r="A5256" s="420">
        <v>45719</v>
      </c>
      <c r="B5256" t="s">
        <v>2439</v>
      </c>
      <c r="C5256" t="s">
        <v>7210</v>
      </c>
      <c r="D5256" t="s">
        <v>3228</v>
      </c>
      <c r="E5256" t="s">
        <v>3229</v>
      </c>
      <c r="G5256">
        <v>8803.2999999999993</v>
      </c>
      <c r="J5256" t="s">
        <v>2511</v>
      </c>
    </row>
    <row r="5257" spans="1:10" ht="15" customHeight="1" x14ac:dyDescent="0.2">
      <c r="A5257" t="s">
        <v>7210</v>
      </c>
      <c r="E5257" t="s">
        <v>349</v>
      </c>
      <c r="F5257">
        <v>108839</v>
      </c>
      <c r="G5257">
        <v>108839</v>
      </c>
    </row>
    <row r="5259" spans="1:10" ht="15" customHeight="1" x14ac:dyDescent="0.2">
      <c r="A5259" t="s">
        <v>7214</v>
      </c>
      <c r="B5259" t="s">
        <v>7215</v>
      </c>
      <c r="F5259" t="s">
        <v>2430</v>
      </c>
      <c r="G5259" t="s">
        <v>2431</v>
      </c>
      <c r="H5259" t="s">
        <v>2432</v>
      </c>
      <c r="I5259" t="s">
        <v>2433</v>
      </c>
      <c r="J5259" t="s">
        <v>2434</v>
      </c>
    </row>
    <row r="5260" spans="1:10" ht="15" customHeight="1" x14ac:dyDescent="0.2">
      <c r="A5260" s="420">
        <v>45749</v>
      </c>
      <c r="B5260" t="s">
        <v>2439</v>
      </c>
      <c r="C5260" t="s">
        <v>7214</v>
      </c>
      <c r="D5260" t="s">
        <v>5973</v>
      </c>
      <c r="E5260" t="s">
        <v>5818</v>
      </c>
      <c r="F5260">
        <v>29344.02</v>
      </c>
      <c r="H5260">
        <v>29344.02</v>
      </c>
    </row>
    <row r="5261" spans="1:10" ht="15" customHeight="1" x14ac:dyDescent="0.2">
      <c r="A5261" s="420">
        <v>45827</v>
      </c>
      <c r="B5261" t="s">
        <v>2439</v>
      </c>
      <c r="C5261" t="s">
        <v>7214</v>
      </c>
      <c r="D5261" t="s">
        <v>5975</v>
      </c>
      <c r="E5261" t="s">
        <v>5976</v>
      </c>
      <c r="F5261">
        <v>34591.760000000002</v>
      </c>
      <c r="H5261">
        <v>63935.78</v>
      </c>
    </row>
    <row r="5262" spans="1:10" ht="15" customHeight="1" x14ac:dyDescent="0.2">
      <c r="A5262" s="420">
        <v>45853</v>
      </c>
      <c r="B5262" t="s">
        <v>2439</v>
      </c>
      <c r="C5262" t="s">
        <v>7214</v>
      </c>
      <c r="D5262" t="s">
        <v>4344</v>
      </c>
      <c r="E5262" t="s">
        <v>4345</v>
      </c>
      <c r="G5262">
        <v>1966.98</v>
      </c>
      <c r="H5262">
        <v>61968.800000000003</v>
      </c>
    </row>
    <row r="5263" spans="1:10" ht="15" customHeight="1" x14ac:dyDescent="0.2">
      <c r="A5263" s="420">
        <v>45853</v>
      </c>
      <c r="B5263" t="s">
        <v>2439</v>
      </c>
      <c r="C5263" t="s">
        <v>7214</v>
      </c>
      <c r="D5263" t="s">
        <v>4346</v>
      </c>
      <c r="E5263" t="s">
        <v>4347</v>
      </c>
      <c r="G5263">
        <v>7600.15</v>
      </c>
      <c r="H5263">
        <v>54368.65</v>
      </c>
    </row>
    <row r="5264" spans="1:10" ht="15" customHeight="1" x14ac:dyDescent="0.2">
      <c r="A5264" s="420">
        <v>45853</v>
      </c>
      <c r="B5264" t="s">
        <v>2439</v>
      </c>
      <c r="C5264" t="s">
        <v>7214</v>
      </c>
      <c r="D5264" t="s">
        <v>4348</v>
      </c>
      <c r="E5264" t="s">
        <v>4349</v>
      </c>
      <c r="G5264">
        <v>91263.91</v>
      </c>
      <c r="I5264">
        <v>36895.26</v>
      </c>
    </row>
    <row r="5265" spans="1:10" ht="15" customHeight="1" x14ac:dyDescent="0.2">
      <c r="A5265" s="420">
        <v>45866</v>
      </c>
      <c r="B5265" t="s">
        <v>2333</v>
      </c>
      <c r="C5265" t="s">
        <v>7214</v>
      </c>
      <c r="D5265" t="s">
        <v>7216</v>
      </c>
      <c r="E5265" t="s">
        <v>7217</v>
      </c>
      <c r="G5265">
        <v>13000</v>
      </c>
      <c r="I5265">
        <v>49895.26</v>
      </c>
    </row>
    <row r="5266" spans="1:10" ht="15" customHeight="1" x14ac:dyDescent="0.2">
      <c r="A5266" s="420">
        <v>45867</v>
      </c>
      <c r="B5266" t="s">
        <v>2439</v>
      </c>
      <c r="C5266" t="s">
        <v>7214</v>
      </c>
      <c r="D5266" t="s">
        <v>4352</v>
      </c>
      <c r="E5266" t="s">
        <v>4353</v>
      </c>
      <c r="F5266">
        <v>1442</v>
      </c>
      <c r="I5266">
        <v>48453.26</v>
      </c>
    </row>
    <row r="5267" spans="1:10" ht="15" customHeight="1" x14ac:dyDescent="0.2">
      <c r="A5267" s="420">
        <v>45868</v>
      </c>
      <c r="B5267" t="s">
        <v>2439</v>
      </c>
      <c r="C5267" t="s">
        <v>7214</v>
      </c>
      <c r="D5267" t="s">
        <v>5977</v>
      </c>
      <c r="E5267" t="s">
        <v>5978</v>
      </c>
      <c r="F5267">
        <v>57329.37</v>
      </c>
      <c r="H5267">
        <v>8876.11</v>
      </c>
    </row>
    <row r="5268" spans="1:10" ht="15" customHeight="1" x14ac:dyDescent="0.2">
      <c r="A5268" s="420">
        <v>45870</v>
      </c>
      <c r="B5268" t="s">
        <v>2439</v>
      </c>
      <c r="C5268" t="s">
        <v>7214</v>
      </c>
      <c r="D5268" t="s">
        <v>5979</v>
      </c>
      <c r="E5268" t="s">
        <v>5980</v>
      </c>
      <c r="F5268">
        <v>11854.14</v>
      </c>
      <c r="H5268">
        <v>20730.25</v>
      </c>
    </row>
    <row r="5269" spans="1:10" ht="15" customHeight="1" x14ac:dyDescent="0.2">
      <c r="A5269" s="420">
        <v>45895</v>
      </c>
      <c r="B5269" t="s">
        <v>2333</v>
      </c>
      <c r="C5269" t="s">
        <v>7214</v>
      </c>
      <c r="D5269" t="s">
        <v>7218</v>
      </c>
      <c r="E5269" t="s">
        <v>7219</v>
      </c>
      <c r="G5269">
        <v>10101.32</v>
      </c>
      <c r="H5269">
        <v>10628.93</v>
      </c>
    </row>
    <row r="5270" spans="1:10" ht="15" customHeight="1" x14ac:dyDescent="0.2">
      <c r="A5270" s="420">
        <v>45900</v>
      </c>
      <c r="B5270" t="s">
        <v>2439</v>
      </c>
      <c r="C5270" t="s">
        <v>7214</v>
      </c>
      <c r="D5270" t="s">
        <v>3315</v>
      </c>
      <c r="E5270" t="s">
        <v>3316</v>
      </c>
      <c r="G5270">
        <v>10628.93</v>
      </c>
    </row>
    <row r="5271" spans="1:10" ht="15" customHeight="1" x14ac:dyDescent="0.2">
      <c r="A5271" t="s">
        <v>7214</v>
      </c>
      <c r="E5271" t="s">
        <v>349</v>
      </c>
      <c r="F5271">
        <v>134561.29</v>
      </c>
      <c r="G5271">
        <v>134561.29</v>
      </c>
    </row>
    <row r="5273" spans="1:10" ht="15" customHeight="1" x14ac:dyDescent="0.2">
      <c r="A5273" t="s">
        <v>7220</v>
      </c>
      <c r="B5273" t="s">
        <v>7221</v>
      </c>
      <c r="F5273" t="s">
        <v>2430</v>
      </c>
      <c r="G5273" t="s">
        <v>2431</v>
      </c>
      <c r="H5273" t="s">
        <v>2432</v>
      </c>
      <c r="I5273" t="s">
        <v>2433</v>
      </c>
      <c r="J5273" t="s">
        <v>2434</v>
      </c>
    </row>
    <row r="5274" spans="1:10" ht="15" customHeight="1" x14ac:dyDescent="0.2">
      <c r="A5274" s="420">
        <v>45664</v>
      </c>
      <c r="B5274" t="s">
        <v>2439</v>
      </c>
      <c r="C5274" t="s">
        <v>7220</v>
      </c>
      <c r="D5274" t="s">
        <v>5540</v>
      </c>
      <c r="E5274" t="s">
        <v>5541</v>
      </c>
      <c r="F5274">
        <v>14236.8</v>
      </c>
      <c r="H5274">
        <v>14236.8</v>
      </c>
      <c r="J5274" t="s">
        <v>2511</v>
      </c>
    </row>
    <row r="5275" spans="1:10" ht="15" customHeight="1" x14ac:dyDescent="0.2">
      <c r="A5275" s="420">
        <v>45670</v>
      </c>
      <c r="B5275" t="s">
        <v>2333</v>
      </c>
      <c r="C5275" t="s">
        <v>7220</v>
      </c>
      <c r="D5275" t="s">
        <v>7222</v>
      </c>
      <c r="E5275" t="s">
        <v>7223</v>
      </c>
      <c r="G5275">
        <v>6054.72</v>
      </c>
      <c r="H5275">
        <v>8182.08</v>
      </c>
      <c r="J5275" t="s">
        <v>2511</v>
      </c>
    </row>
    <row r="5276" spans="1:10" ht="15" customHeight="1" x14ac:dyDescent="0.2">
      <c r="A5276" s="420">
        <v>45670</v>
      </c>
      <c r="B5276" t="s">
        <v>2439</v>
      </c>
      <c r="C5276" t="s">
        <v>7220</v>
      </c>
      <c r="D5276" t="s">
        <v>4372</v>
      </c>
      <c r="E5276" t="s">
        <v>4373</v>
      </c>
      <c r="G5276">
        <v>8182.08</v>
      </c>
      <c r="J5276" t="s">
        <v>2511</v>
      </c>
    </row>
    <row r="5277" spans="1:10" ht="15" customHeight="1" x14ac:dyDescent="0.2">
      <c r="A5277" s="420">
        <v>45713</v>
      </c>
      <c r="B5277" t="s">
        <v>2439</v>
      </c>
      <c r="C5277" t="s">
        <v>7220</v>
      </c>
      <c r="D5277" t="s">
        <v>5547</v>
      </c>
      <c r="E5277" t="s">
        <v>5548</v>
      </c>
      <c r="F5277">
        <v>21529.360000000001</v>
      </c>
      <c r="H5277">
        <v>21529.360000000001</v>
      </c>
      <c r="J5277" t="s">
        <v>2509</v>
      </c>
    </row>
    <row r="5278" spans="1:10" ht="15" customHeight="1" x14ac:dyDescent="0.2">
      <c r="A5278" s="420">
        <v>45744</v>
      </c>
      <c r="B5278" t="s">
        <v>2439</v>
      </c>
      <c r="C5278" t="s">
        <v>7220</v>
      </c>
      <c r="D5278" t="s">
        <v>5549</v>
      </c>
      <c r="E5278" t="s">
        <v>5550</v>
      </c>
      <c r="F5278">
        <v>28560.68</v>
      </c>
      <c r="H5278">
        <v>50090.04</v>
      </c>
      <c r="J5278" t="s">
        <v>2509</v>
      </c>
    </row>
    <row r="5279" spans="1:10" ht="15" customHeight="1" x14ac:dyDescent="0.2">
      <c r="A5279" s="420">
        <v>45755</v>
      </c>
      <c r="B5279" t="s">
        <v>2439</v>
      </c>
      <c r="C5279" t="s">
        <v>7220</v>
      </c>
      <c r="D5279" t="s">
        <v>4378</v>
      </c>
      <c r="E5279" t="s">
        <v>4379</v>
      </c>
      <c r="G5279">
        <v>7600.15</v>
      </c>
      <c r="H5279">
        <v>42489.89</v>
      </c>
      <c r="J5279" t="s">
        <v>2509</v>
      </c>
    </row>
    <row r="5280" spans="1:10" ht="15" customHeight="1" x14ac:dyDescent="0.2">
      <c r="A5280" s="420">
        <v>45755</v>
      </c>
      <c r="B5280" t="s">
        <v>2439</v>
      </c>
      <c r="C5280" t="s">
        <v>7220</v>
      </c>
      <c r="D5280" t="s">
        <v>4380</v>
      </c>
      <c r="E5280" t="s">
        <v>4379</v>
      </c>
      <c r="G5280">
        <v>69085.95</v>
      </c>
      <c r="I5280">
        <v>26596.06</v>
      </c>
      <c r="J5280" t="s">
        <v>2509</v>
      </c>
    </row>
    <row r="5281" spans="1:10" ht="15" customHeight="1" x14ac:dyDescent="0.2">
      <c r="A5281" s="420">
        <v>45755</v>
      </c>
      <c r="B5281" t="s">
        <v>2439</v>
      </c>
      <c r="C5281" t="s">
        <v>7220</v>
      </c>
      <c r="D5281" t="s">
        <v>4382</v>
      </c>
      <c r="E5281" t="s">
        <v>4383</v>
      </c>
      <c r="G5281">
        <v>1704.6</v>
      </c>
      <c r="I5281">
        <v>28300.66</v>
      </c>
      <c r="J5281" t="s">
        <v>2509</v>
      </c>
    </row>
    <row r="5282" spans="1:10" ht="15" customHeight="1" x14ac:dyDescent="0.2">
      <c r="A5282" s="420">
        <v>45764</v>
      </c>
      <c r="B5282" t="s">
        <v>2439</v>
      </c>
      <c r="C5282" t="s">
        <v>7220</v>
      </c>
      <c r="D5282" t="s">
        <v>5551</v>
      </c>
      <c r="E5282" t="s">
        <v>5552</v>
      </c>
      <c r="F5282">
        <v>49981.18</v>
      </c>
      <c r="H5282">
        <v>21680.52</v>
      </c>
      <c r="J5282" t="s">
        <v>2509</v>
      </c>
    </row>
    <row r="5283" spans="1:10" ht="15" customHeight="1" x14ac:dyDescent="0.2">
      <c r="A5283" s="420">
        <v>45769</v>
      </c>
      <c r="B5283" t="s">
        <v>2439</v>
      </c>
      <c r="C5283" t="s">
        <v>7220</v>
      </c>
      <c r="D5283" t="s">
        <v>5553</v>
      </c>
      <c r="E5283" t="s">
        <v>5554</v>
      </c>
      <c r="F5283">
        <v>7140.17</v>
      </c>
      <c r="H5283">
        <v>28820.69</v>
      </c>
      <c r="J5283" t="s">
        <v>2509</v>
      </c>
    </row>
    <row r="5284" spans="1:10" ht="15" customHeight="1" x14ac:dyDescent="0.2">
      <c r="A5284" s="420">
        <v>45772</v>
      </c>
      <c r="B5284" t="s">
        <v>2333</v>
      </c>
      <c r="C5284" t="s">
        <v>7220</v>
      </c>
      <c r="D5284" t="s">
        <v>7224</v>
      </c>
      <c r="E5284" t="s">
        <v>7225</v>
      </c>
      <c r="G5284">
        <v>20036.43</v>
      </c>
      <c r="H5284">
        <v>8784.26</v>
      </c>
      <c r="J5284" t="s">
        <v>2509</v>
      </c>
    </row>
    <row r="5285" spans="1:10" ht="15" customHeight="1" x14ac:dyDescent="0.2">
      <c r="A5285" s="420">
        <v>45777</v>
      </c>
      <c r="B5285" t="s">
        <v>2439</v>
      </c>
      <c r="C5285" t="s">
        <v>7220</v>
      </c>
      <c r="D5285" t="s">
        <v>3254</v>
      </c>
      <c r="E5285" t="s">
        <v>3255</v>
      </c>
      <c r="G5285">
        <v>8784.25</v>
      </c>
      <c r="H5285">
        <v>0.01</v>
      </c>
      <c r="J5285" t="s">
        <v>2509</v>
      </c>
    </row>
    <row r="5286" spans="1:10" ht="15" customHeight="1" x14ac:dyDescent="0.2">
      <c r="A5286" s="420">
        <v>45777</v>
      </c>
      <c r="B5286" t="s">
        <v>2517</v>
      </c>
      <c r="C5286" t="s">
        <v>7220</v>
      </c>
      <c r="D5286" t="s">
        <v>7226</v>
      </c>
      <c r="E5286" t="s">
        <v>835</v>
      </c>
      <c r="G5286">
        <v>0.01</v>
      </c>
      <c r="J5286" t="s">
        <v>2509</v>
      </c>
    </row>
    <row r="5287" spans="1:10" ht="15" customHeight="1" x14ac:dyDescent="0.2">
      <c r="A5287" t="s">
        <v>7220</v>
      </c>
      <c r="E5287" t="s">
        <v>349</v>
      </c>
      <c r="F5287">
        <v>121448.19</v>
      </c>
      <c r="G5287">
        <v>121448.19</v>
      </c>
    </row>
    <row r="5289" spans="1:10" ht="15" customHeight="1" x14ac:dyDescent="0.2">
      <c r="A5289" t="s">
        <v>7227</v>
      </c>
      <c r="B5289" t="s">
        <v>7228</v>
      </c>
      <c r="F5289" t="s">
        <v>2430</v>
      </c>
      <c r="G5289" t="s">
        <v>2431</v>
      </c>
      <c r="H5289" t="s">
        <v>2432</v>
      </c>
      <c r="I5289" t="s">
        <v>2433</v>
      </c>
      <c r="J5289" t="s">
        <v>2434</v>
      </c>
    </row>
    <row r="5290" spans="1:10" ht="15" customHeight="1" x14ac:dyDescent="0.2">
      <c r="A5290" s="420">
        <v>45702</v>
      </c>
      <c r="B5290" t="s">
        <v>2439</v>
      </c>
      <c r="C5290" t="s">
        <v>7227</v>
      </c>
      <c r="D5290" t="s">
        <v>5809</v>
      </c>
      <c r="E5290" t="s">
        <v>5810</v>
      </c>
      <c r="F5290">
        <v>17202.599999999999</v>
      </c>
      <c r="H5290">
        <v>17202.599999999999</v>
      </c>
      <c r="J5290" t="s">
        <v>2511</v>
      </c>
    </row>
    <row r="5291" spans="1:10" ht="15" customHeight="1" x14ac:dyDescent="0.2">
      <c r="A5291" s="420">
        <v>45706</v>
      </c>
      <c r="B5291" t="s">
        <v>2439</v>
      </c>
      <c r="C5291" t="s">
        <v>7227</v>
      </c>
      <c r="D5291" t="s">
        <v>4390</v>
      </c>
      <c r="E5291" t="s">
        <v>4391</v>
      </c>
      <c r="G5291">
        <v>9871.56</v>
      </c>
      <c r="H5291">
        <v>7331.04</v>
      </c>
      <c r="J5291" t="s">
        <v>2511</v>
      </c>
    </row>
    <row r="5292" spans="1:10" ht="15" customHeight="1" x14ac:dyDescent="0.2">
      <c r="A5292" s="420">
        <v>45712</v>
      </c>
      <c r="B5292" t="s">
        <v>2333</v>
      </c>
      <c r="C5292" t="s">
        <v>7227</v>
      </c>
      <c r="D5292" t="s">
        <v>7229</v>
      </c>
      <c r="E5292" t="s">
        <v>7230</v>
      </c>
      <c r="G5292">
        <v>7331.04</v>
      </c>
      <c r="J5292" t="s">
        <v>2511</v>
      </c>
    </row>
    <row r="5293" spans="1:10" ht="15" customHeight="1" x14ac:dyDescent="0.2">
      <c r="A5293" s="420">
        <v>45749</v>
      </c>
      <c r="B5293" t="s">
        <v>2439</v>
      </c>
      <c r="C5293" t="s">
        <v>7227</v>
      </c>
      <c r="D5293" t="s">
        <v>5817</v>
      </c>
      <c r="E5293" t="s">
        <v>5818</v>
      </c>
      <c r="F5293">
        <v>27003.9</v>
      </c>
      <c r="H5293">
        <v>27003.9</v>
      </c>
      <c r="J5293" t="s">
        <v>2509</v>
      </c>
    </row>
    <row r="5294" spans="1:10" ht="15" customHeight="1" x14ac:dyDescent="0.2">
      <c r="A5294" s="420">
        <v>45799</v>
      </c>
      <c r="B5294" t="s">
        <v>2439</v>
      </c>
      <c r="C5294" t="s">
        <v>7227</v>
      </c>
      <c r="D5294" t="s">
        <v>5819</v>
      </c>
      <c r="E5294" t="s">
        <v>5820</v>
      </c>
      <c r="F5294">
        <v>35005.199999999997</v>
      </c>
      <c r="H5294">
        <v>62009.1</v>
      </c>
      <c r="J5294" t="s">
        <v>2509</v>
      </c>
    </row>
    <row r="5295" spans="1:10" ht="15" customHeight="1" x14ac:dyDescent="0.2">
      <c r="A5295" s="420">
        <v>45832</v>
      </c>
      <c r="B5295" t="s">
        <v>2439</v>
      </c>
      <c r="C5295" t="s">
        <v>7227</v>
      </c>
      <c r="D5295" t="s">
        <v>2447</v>
      </c>
      <c r="E5295" t="s">
        <v>4392</v>
      </c>
      <c r="G5295">
        <v>2056.5700000000002</v>
      </c>
      <c r="H5295">
        <v>59952.53</v>
      </c>
      <c r="J5295" t="s">
        <v>2509</v>
      </c>
    </row>
    <row r="5296" spans="1:10" ht="15" customHeight="1" x14ac:dyDescent="0.2">
      <c r="A5296" s="420">
        <v>45832</v>
      </c>
      <c r="B5296" t="s">
        <v>2439</v>
      </c>
      <c r="C5296" t="s">
        <v>7227</v>
      </c>
      <c r="D5296" t="s">
        <v>2447</v>
      </c>
      <c r="E5296" t="s">
        <v>4397</v>
      </c>
      <c r="G5296">
        <v>7828.15</v>
      </c>
      <c r="H5296">
        <v>52124.38</v>
      </c>
      <c r="J5296" t="s">
        <v>2509</v>
      </c>
    </row>
    <row r="5297" spans="1:10" ht="15" customHeight="1" x14ac:dyDescent="0.2">
      <c r="A5297" s="420">
        <v>45832</v>
      </c>
      <c r="B5297" t="s">
        <v>2439</v>
      </c>
      <c r="C5297" t="s">
        <v>7227</v>
      </c>
      <c r="D5297" t="s">
        <v>2447</v>
      </c>
      <c r="E5297" t="s">
        <v>4397</v>
      </c>
      <c r="G5297">
        <v>88371.58</v>
      </c>
      <c r="I5297">
        <v>36247.199999999997</v>
      </c>
      <c r="J5297" t="s">
        <v>2509</v>
      </c>
    </row>
    <row r="5298" spans="1:10" ht="15" customHeight="1" x14ac:dyDescent="0.2">
      <c r="A5298" s="420">
        <v>45845</v>
      </c>
      <c r="B5298" t="s">
        <v>2439</v>
      </c>
      <c r="C5298" t="s">
        <v>7227</v>
      </c>
      <c r="D5298" t="s">
        <v>5821</v>
      </c>
      <c r="E5298" t="s">
        <v>5822</v>
      </c>
      <c r="F5298">
        <v>61259.1</v>
      </c>
      <c r="H5298">
        <v>25011.9</v>
      </c>
      <c r="J5298" t="s">
        <v>2509</v>
      </c>
    </row>
    <row r="5299" spans="1:10" ht="15" customHeight="1" x14ac:dyDescent="0.2">
      <c r="A5299" s="420">
        <v>45848</v>
      </c>
      <c r="B5299" t="s">
        <v>2439</v>
      </c>
      <c r="C5299" t="s">
        <v>7227</v>
      </c>
      <c r="D5299" t="s">
        <v>5823</v>
      </c>
      <c r="E5299" t="s">
        <v>5824</v>
      </c>
      <c r="F5299">
        <v>8751.2999999999993</v>
      </c>
      <c r="H5299">
        <v>33763.199999999997</v>
      </c>
      <c r="J5299" t="s">
        <v>2509</v>
      </c>
    </row>
    <row r="5300" spans="1:10" ht="15" customHeight="1" x14ac:dyDescent="0.2">
      <c r="A5300" s="420">
        <v>45853</v>
      </c>
      <c r="B5300" t="s">
        <v>2333</v>
      </c>
      <c r="C5300" t="s">
        <v>7227</v>
      </c>
      <c r="D5300" t="s">
        <v>7231</v>
      </c>
      <c r="E5300" t="s">
        <v>7232</v>
      </c>
      <c r="G5300">
        <v>23239.05</v>
      </c>
      <c r="H5300">
        <v>10524.15</v>
      </c>
      <c r="J5300" t="s">
        <v>2509</v>
      </c>
    </row>
    <row r="5301" spans="1:10" ht="15" customHeight="1" x14ac:dyDescent="0.2">
      <c r="A5301" s="420">
        <v>45900</v>
      </c>
      <c r="B5301" t="s">
        <v>2439</v>
      </c>
      <c r="C5301" t="s">
        <v>7227</v>
      </c>
      <c r="D5301" t="s">
        <v>3313</v>
      </c>
      <c r="E5301" t="s">
        <v>3314</v>
      </c>
      <c r="G5301">
        <v>10524.15</v>
      </c>
      <c r="J5301" t="s">
        <v>2509</v>
      </c>
    </row>
    <row r="5302" spans="1:10" ht="15" customHeight="1" x14ac:dyDescent="0.2">
      <c r="A5302" t="s">
        <v>7227</v>
      </c>
      <c r="E5302" t="s">
        <v>349</v>
      </c>
      <c r="F5302">
        <v>149222.1</v>
      </c>
      <c r="G5302">
        <v>149222.1</v>
      </c>
    </row>
    <row r="5304" spans="1:10" ht="15" customHeight="1" x14ac:dyDescent="0.2">
      <c r="A5304" t="s">
        <v>7233</v>
      </c>
      <c r="B5304" t="s">
        <v>7234</v>
      </c>
      <c r="F5304" t="s">
        <v>2430</v>
      </c>
      <c r="G5304" t="s">
        <v>2431</v>
      </c>
      <c r="H5304" t="s">
        <v>2432</v>
      </c>
      <c r="I5304" t="s">
        <v>2433</v>
      </c>
      <c r="J5304" t="s">
        <v>2434</v>
      </c>
    </row>
    <row r="5305" spans="1:10" ht="15" customHeight="1" x14ac:dyDescent="0.2">
      <c r="A5305" s="420">
        <v>45694</v>
      </c>
      <c r="B5305" t="s">
        <v>2439</v>
      </c>
      <c r="C5305" t="s">
        <v>7233</v>
      </c>
      <c r="D5305" t="s">
        <v>5690</v>
      </c>
      <c r="E5305" t="s">
        <v>5691</v>
      </c>
      <c r="F5305">
        <v>14843.3</v>
      </c>
      <c r="H5305">
        <v>14843.3</v>
      </c>
      <c r="J5305" t="s">
        <v>2511</v>
      </c>
    </row>
    <row r="5306" spans="1:10" ht="15" customHeight="1" x14ac:dyDescent="0.2">
      <c r="A5306" s="420">
        <v>45694</v>
      </c>
      <c r="B5306" t="s">
        <v>2439</v>
      </c>
      <c r="C5306" t="s">
        <v>7233</v>
      </c>
      <c r="D5306" t="s">
        <v>4357</v>
      </c>
      <c r="E5306" t="s">
        <v>4358</v>
      </c>
      <c r="G5306">
        <v>8545.98</v>
      </c>
      <c r="H5306">
        <v>6297.32</v>
      </c>
      <c r="J5306" t="s">
        <v>2511</v>
      </c>
    </row>
    <row r="5307" spans="1:10" ht="15" customHeight="1" x14ac:dyDescent="0.2">
      <c r="A5307" s="420">
        <v>45698</v>
      </c>
      <c r="B5307" t="s">
        <v>2333</v>
      </c>
      <c r="C5307" t="s">
        <v>7233</v>
      </c>
      <c r="D5307" t="s">
        <v>7235</v>
      </c>
      <c r="E5307" t="s">
        <v>7236</v>
      </c>
      <c r="G5307">
        <v>6297.32</v>
      </c>
      <c r="J5307" t="s">
        <v>2511</v>
      </c>
    </row>
    <row r="5308" spans="1:10" ht="15" customHeight="1" x14ac:dyDescent="0.2">
      <c r="A5308" s="420">
        <v>45769</v>
      </c>
      <c r="B5308" t="s">
        <v>2439</v>
      </c>
      <c r="C5308" t="s">
        <v>7233</v>
      </c>
      <c r="D5308" t="s">
        <v>5696</v>
      </c>
      <c r="E5308" t="s">
        <v>5697</v>
      </c>
      <c r="F5308">
        <v>23864.95</v>
      </c>
      <c r="H5308">
        <v>23864.95</v>
      </c>
    </row>
    <row r="5309" spans="1:10" ht="15" customHeight="1" x14ac:dyDescent="0.2">
      <c r="A5309" s="420">
        <v>45819</v>
      </c>
      <c r="B5309" t="s">
        <v>2439</v>
      </c>
      <c r="C5309" t="s">
        <v>7233</v>
      </c>
      <c r="D5309" t="s">
        <v>5698</v>
      </c>
      <c r="E5309" t="s">
        <v>5699</v>
      </c>
      <c r="F5309">
        <v>30486.6</v>
      </c>
      <c r="H5309">
        <v>54351.55</v>
      </c>
    </row>
    <row r="5310" spans="1:10" ht="15" customHeight="1" x14ac:dyDescent="0.2">
      <c r="A5310" s="420">
        <v>45820</v>
      </c>
      <c r="B5310" t="s">
        <v>2439</v>
      </c>
      <c r="C5310" t="s">
        <v>7233</v>
      </c>
      <c r="D5310" t="s">
        <v>4363</v>
      </c>
      <c r="E5310" t="s">
        <v>4364</v>
      </c>
      <c r="G5310">
        <v>72289.929999999993</v>
      </c>
      <c r="I5310">
        <v>17938.38</v>
      </c>
    </row>
    <row r="5311" spans="1:10" ht="15" customHeight="1" x14ac:dyDescent="0.2">
      <c r="A5311" s="420">
        <v>45820</v>
      </c>
      <c r="B5311" t="s">
        <v>2439</v>
      </c>
      <c r="C5311" t="s">
        <v>7233</v>
      </c>
      <c r="D5311" t="s">
        <v>4365</v>
      </c>
      <c r="E5311" t="s">
        <v>4366</v>
      </c>
      <c r="G5311">
        <v>1780.42</v>
      </c>
      <c r="I5311">
        <v>19718.8</v>
      </c>
    </row>
    <row r="5312" spans="1:10" ht="15" customHeight="1" x14ac:dyDescent="0.2">
      <c r="A5312" s="420">
        <v>45820</v>
      </c>
      <c r="B5312" t="s">
        <v>2439</v>
      </c>
      <c r="C5312" t="s">
        <v>7233</v>
      </c>
      <c r="D5312" t="s">
        <v>4367</v>
      </c>
      <c r="E5312" t="s">
        <v>4368</v>
      </c>
      <c r="G5312">
        <v>7828.15</v>
      </c>
      <c r="I5312">
        <v>27546.95</v>
      </c>
    </row>
    <row r="5313" spans="1:10" ht="15" customHeight="1" x14ac:dyDescent="0.2">
      <c r="A5313" s="420">
        <v>45821</v>
      </c>
      <c r="B5313" t="s">
        <v>2439</v>
      </c>
      <c r="C5313" t="s">
        <v>7233</v>
      </c>
      <c r="D5313" t="s">
        <v>5700</v>
      </c>
      <c r="E5313" t="s">
        <v>5701</v>
      </c>
      <c r="F5313">
        <v>7621.65</v>
      </c>
      <c r="I5313">
        <v>19925.3</v>
      </c>
    </row>
    <row r="5314" spans="1:10" ht="15" customHeight="1" x14ac:dyDescent="0.2">
      <c r="A5314" s="420">
        <v>45827</v>
      </c>
      <c r="B5314" t="s">
        <v>2439</v>
      </c>
      <c r="C5314" t="s">
        <v>7233</v>
      </c>
      <c r="D5314" t="s">
        <v>5702</v>
      </c>
      <c r="E5314" t="s">
        <v>5703</v>
      </c>
      <c r="F5314">
        <v>53351.55</v>
      </c>
      <c r="H5314">
        <v>33426.25</v>
      </c>
    </row>
    <row r="5315" spans="1:10" ht="15" customHeight="1" x14ac:dyDescent="0.2">
      <c r="A5315" s="420">
        <v>45839</v>
      </c>
      <c r="B5315" t="s">
        <v>2439</v>
      </c>
      <c r="C5315" t="s">
        <v>7233</v>
      </c>
      <c r="D5315" t="s">
        <v>3272</v>
      </c>
      <c r="E5315" t="s">
        <v>3273</v>
      </c>
      <c r="G5315">
        <v>9165.25</v>
      </c>
      <c r="H5315">
        <v>24261</v>
      </c>
    </row>
    <row r="5316" spans="1:10" ht="15" customHeight="1" x14ac:dyDescent="0.2">
      <c r="A5316" s="420">
        <v>45845</v>
      </c>
      <c r="B5316" t="s">
        <v>2333</v>
      </c>
      <c r="C5316" t="s">
        <v>7233</v>
      </c>
      <c r="D5316" t="s">
        <v>7237</v>
      </c>
      <c r="E5316" t="s">
        <v>7238</v>
      </c>
      <c r="G5316">
        <v>24261</v>
      </c>
    </row>
    <row r="5317" spans="1:10" ht="15" customHeight="1" x14ac:dyDescent="0.2">
      <c r="A5317" t="s">
        <v>7233</v>
      </c>
      <c r="E5317" t="s">
        <v>349</v>
      </c>
      <c r="F5317">
        <v>130168.05</v>
      </c>
      <c r="G5317">
        <v>130168.05</v>
      </c>
    </row>
    <row r="5319" spans="1:10" ht="15" customHeight="1" x14ac:dyDescent="0.2">
      <c r="A5319" t="s">
        <v>7239</v>
      </c>
      <c r="B5319" t="s">
        <v>7240</v>
      </c>
      <c r="F5319" t="s">
        <v>2430</v>
      </c>
      <c r="G5319" t="s">
        <v>2431</v>
      </c>
      <c r="H5319" t="s">
        <v>2432</v>
      </c>
      <c r="I5319" t="s">
        <v>2433</v>
      </c>
      <c r="J5319" t="s">
        <v>2434</v>
      </c>
    </row>
    <row r="5320" spans="1:10" ht="15" customHeight="1" x14ac:dyDescent="0.2">
      <c r="A5320" s="420">
        <v>45721</v>
      </c>
      <c r="B5320" t="s">
        <v>2439</v>
      </c>
      <c r="C5320" t="s">
        <v>7239</v>
      </c>
      <c r="D5320" t="s">
        <v>5935</v>
      </c>
      <c r="E5320" t="s">
        <v>5936</v>
      </c>
      <c r="F5320">
        <v>14723.8</v>
      </c>
      <c r="H5320">
        <v>14723.8</v>
      </c>
      <c r="J5320" t="s">
        <v>2511</v>
      </c>
    </row>
    <row r="5321" spans="1:10" ht="15" customHeight="1" x14ac:dyDescent="0.2">
      <c r="A5321" s="420">
        <v>45722</v>
      </c>
      <c r="B5321" t="s">
        <v>2439</v>
      </c>
      <c r="C5321" t="s">
        <v>7239</v>
      </c>
      <c r="D5321" t="s">
        <v>4404</v>
      </c>
      <c r="E5321" t="s">
        <v>4405</v>
      </c>
      <c r="G5321">
        <v>8834.2800000000007</v>
      </c>
      <c r="H5321">
        <v>5889.52</v>
      </c>
      <c r="J5321" t="s">
        <v>2511</v>
      </c>
    </row>
    <row r="5322" spans="1:10" ht="15" customHeight="1" x14ac:dyDescent="0.2">
      <c r="A5322" s="420">
        <v>45726</v>
      </c>
      <c r="B5322" t="s">
        <v>2333</v>
      </c>
      <c r="C5322" t="s">
        <v>7239</v>
      </c>
      <c r="D5322" t="s">
        <v>7241</v>
      </c>
      <c r="E5322" t="s">
        <v>7242</v>
      </c>
      <c r="G5322">
        <v>5889.52</v>
      </c>
      <c r="J5322" t="s">
        <v>2511</v>
      </c>
    </row>
    <row r="5323" spans="1:10" ht="15" customHeight="1" x14ac:dyDescent="0.2">
      <c r="A5323" s="420">
        <v>45800</v>
      </c>
      <c r="B5323" t="s">
        <v>2439</v>
      </c>
      <c r="C5323" t="s">
        <v>7239</v>
      </c>
      <c r="D5323" t="s">
        <v>5938</v>
      </c>
      <c r="E5323" t="s">
        <v>5939</v>
      </c>
      <c r="F5323">
        <v>22175.41</v>
      </c>
      <c r="H5323">
        <v>22175.41</v>
      </c>
    </row>
    <row r="5324" spans="1:10" ht="15" customHeight="1" x14ac:dyDescent="0.2">
      <c r="A5324" s="420">
        <v>45800</v>
      </c>
      <c r="B5324" t="s">
        <v>2439</v>
      </c>
      <c r="C5324" t="s">
        <v>7239</v>
      </c>
      <c r="D5324" t="s">
        <v>5940</v>
      </c>
      <c r="E5324" t="s">
        <v>5941</v>
      </c>
      <c r="F5324">
        <v>29492.46</v>
      </c>
      <c r="H5324">
        <v>51667.87</v>
      </c>
    </row>
    <row r="5325" spans="1:10" ht="15" customHeight="1" x14ac:dyDescent="0.2">
      <c r="A5325" s="420">
        <v>45820</v>
      </c>
      <c r="B5325" t="s">
        <v>2439</v>
      </c>
      <c r="C5325" t="s">
        <v>7239</v>
      </c>
      <c r="D5325" t="s">
        <v>4406</v>
      </c>
      <c r="E5325" t="s">
        <v>4407</v>
      </c>
      <c r="G5325">
        <v>78169.289999999994</v>
      </c>
      <c r="I5325">
        <v>26501.42</v>
      </c>
    </row>
    <row r="5326" spans="1:10" ht="15" customHeight="1" x14ac:dyDescent="0.2">
      <c r="A5326" s="420">
        <v>45832</v>
      </c>
      <c r="B5326" t="s">
        <v>2439</v>
      </c>
      <c r="C5326" t="s">
        <v>7239</v>
      </c>
      <c r="D5326" t="s">
        <v>4408</v>
      </c>
      <c r="E5326" t="s">
        <v>4409</v>
      </c>
      <c r="G5326">
        <v>7828.15</v>
      </c>
      <c r="I5326">
        <v>34329.57</v>
      </c>
    </row>
    <row r="5327" spans="1:10" ht="15" customHeight="1" x14ac:dyDescent="0.2">
      <c r="A5327" s="420">
        <v>45832</v>
      </c>
      <c r="B5327" t="s">
        <v>2439</v>
      </c>
      <c r="C5327" t="s">
        <v>7239</v>
      </c>
      <c r="D5327" t="s">
        <v>4410</v>
      </c>
      <c r="E5327" t="s">
        <v>4411</v>
      </c>
      <c r="G5327">
        <v>1840.48</v>
      </c>
      <c r="I5327">
        <v>36170.050000000003</v>
      </c>
    </row>
    <row r="5328" spans="1:10" ht="15" customHeight="1" x14ac:dyDescent="0.2">
      <c r="A5328" s="420">
        <v>45838</v>
      </c>
      <c r="B5328" t="s">
        <v>2439</v>
      </c>
      <c r="C5328" t="s">
        <v>7239</v>
      </c>
      <c r="D5328" t="s">
        <v>5942</v>
      </c>
      <c r="E5328" t="s">
        <v>5943</v>
      </c>
      <c r="F5328">
        <v>51611.8</v>
      </c>
      <c r="H5328">
        <v>15441.75</v>
      </c>
    </row>
    <row r="5329" spans="1:10" ht="15" customHeight="1" x14ac:dyDescent="0.2">
      <c r="A5329" s="420">
        <v>45839</v>
      </c>
      <c r="B5329" t="s">
        <v>2439</v>
      </c>
      <c r="C5329" t="s">
        <v>7239</v>
      </c>
      <c r="D5329" t="s">
        <v>3274</v>
      </c>
      <c r="E5329" t="s">
        <v>3275</v>
      </c>
      <c r="G5329">
        <v>9236.64</v>
      </c>
      <c r="H5329">
        <v>6205.11</v>
      </c>
    </row>
    <row r="5330" spans="1:10" ht="15" customHeight="1" x14ac:dyDescent="0.2">
      <c r="A5330" s="420">
        <v>45841</v>
      </c>
      <c r="B5330" t="s">
        <v>2439</v>
      </c>
      <c r="C5330" t="s">
        <v>7239</v>
      </c>
      <c r="D5330" t="s">
        <v>5946</v>
      </c>
      <c r="E5330" t="s">
        <v>5947</v>
      </c>
      <c r="F5330">
        <v>7373.11</v>
      </c>
      <c r="H5330">
        <v>13578.22</v>
      </c>
    </row>
    <row r="5331" spans="1:10" ht="15" customHeight="1" x14ac:dyDescent="0.2">
      <c r="A5331" s="420">
        <v>45845</v>
      </c>
      <c r="B5331" t="s">
        <v>2333</v>
      </c>
      <c r="C5331" t="s">
        <v>7239</v>
      </c>
      <c r="D5331" t="s">
        <v>7237</v>
      </c>
      <c r="E5331" t="s">
        <v>7238</v>
      </c>
      <c r="G5331">
        <v>13578.22</v>
      </c>
    </row>
    <row r="5332" spans="1:10" ht="15" customHeight="1" x14ac:dyDescent="0.2">
      <c r="A5332" t="s">
        <v>7239</v>
      </c>
      <c r="E5332" t="s">
        <v>349</v>
      </c>
      <c r="F5332">
        <v>125376.58</v>
      </c>
      <c r="G5332">
        <v>125376.58</v>
      </c>
    </row>
    <row r="5334" spans="1:10" ht="15" customHeight="1" x14ac:dyDescent="0.2">
      <c r="A5334" t="s">
        <v>7243</v>
      </c>
      <c r="B5334" t="s">
        <v>7244</v>
      </c>
      <c r="F5334" t="s">
        <v>2430</v>
      </c>
      <c r="G5334" t="s">
        <v>2431</v>
      </c>
      <c r="H5334" t="s">
        <v>2432</v>
      </c>
      <c r="I5334" t="s">
        <v>2433</v>
      </c>
      <c r="J5334" t="s">
        <v>2434</v>
      </c>
    </row>
    <row r="5335" spans="1:10" ht="15" customHeight="1" x14ac:dyDescent="0.2">
      <c r="A5335" s="420">
        <v>45749</v>
      </c>
      <c r="B5335" t="s">
        <v>2439</v>
      </c>
      <c r="C5335" t="s">
        <v>7243</v>
      </c>
      <c r="D5335" t="s">
        <v>5669</v>
      </c>
      <c r="E5335" t="s">
        <v>5670</v>
      </c>
      <c r="F5335">
        <v>15326.3</v>
      </c>
      <c r="H5335">
        <v>15326.3</v>
      </c>
      <c r="J5335" t="s">
        <v>2511</v>
      </c>
    </row>
    <row r="5336" spans="1:10" ht="15" customHeight="1" x14ac:dyDescent="0.2">
      <c r="A5336" s="420">
        <v>45764</v>
      </c>
      <c r="B5336" t="s">
        <v>2439</v>
      </c>
      <c r="C5336" t="s">
        <v>7243</v>
      </c>
      <c r="D5336" t="s">
        <v>4422</v>
      </c>
      <c r="E5336" t="s">
        <v>4423</v>
      </c>
      <c r="G5336">
        <v>8835.7800000000007</v>
      </c>
      <c r="H5336">
        <v>6490.52</v>
      </c>
      <c r="J5336" t="s">
        <v>2511</v>
      </c>
    </row>
    <row r="5337" spans="1:10" ht="15" customHeight="1" x14ac:dyDescent="0.2">
      <c r="A5337" s="420">
        <v>45770</v>
      </c>
      <c r="B5337" t="s">
        <v>2333</v>
      </c>
      <c r="C5337" t="s">
        <v>7243</v>
      </c>
      <c r="D5337" t="s">
        <v>7245</v>
      </c>
      <c r="E5337" t="s">
        <v>7246</v>
      </c>
      <c r="G5337">
        <v>6490.52</v>
      </c>
      <c r="J5337" t="s">
        <v>2511</v>
      </c>
    </row>
    <row r="5338" spans="1:10" ht="15" customHeight="1" x14ac:dyDescent="0.2">
      <c r="A5338" s="420">
        <v>45821</v>
      </c>
      <c r="B5338" t="s">
        <v>2439</v>
      </c>
      <c r="C5338" t="s">
        <v>7243</v>
      </c>
      <c r="D5338" t="s">
        <v>5675</v>
      </c>
      <c r="E5338" t="s">
        <v>5661</v>
      </c>
      <c r="F5338">
        <v>23129.1</v>
      </c>
      <c r="H5338">
        <v>23129.1</v>
      </c>
    </row>
    <row r="5339" spans="1:10" ht="15" customHeight="1" x14ac:dyDescent="0.2">
      <c r="A5339" s="420">
        <v>45842</v>
      </c>
      <c r="B5339" t="s">
        <v>2439</v>
      </c>
      <c r="C5339" t="s">
        <v>7243</v>
      </c>
      <c r="D5339" t="s">
        <v>5676</v>
      </c>
      <c r="E5339" t="s">
        <v>5677</v>
      </c>
      <c r="F5339">
        <v>30722.42</v>
      </c>
      <c r="H5339">
        <v>53851.519999999997</v>
      </c>
    </row>
    <row r="5340" spans="1:10" ht="15" customHeight="1" x14ac:dyDescent="0.2">
      <c r="A5340" s="420">
        <v>45861</v>
      </c>
      <c r="B5340" t="s">
        <v>2439</v>
      </c>
      <c r="C5340" t="s">
        <v>7243</v>
      </c>
      <c r="D5340" t="s">
        <v>4428</v>
      </c>
      <c r="E5340" t="s">
        <v>4349</v>
      </c>
      <c r="G5340">
        <v>79666.399999999994</v>
      </c>
      <c r="I5340">
        <v>25814.880000000001</v>
      </c>
    </row>
    <row r="5341" spans="1:10" ht="15" customHeight="1" x14ac:dyDescent="0.2">
      <c r="A5341" s="420">
        <v>45861</v>
      </c>
      <c r="B5341" t="s">
        <v>2439</v>
      </c>
      <c r="C5341" t="s">
        <v>7243</v>
      </c>
      <c r="D5341" t="s">
        <v>4429</v>
      </c>
      <c r="E5341" t="s">
        <v>4430</v>
      </c>
      <c r="G5341">
        <v>7828.15</v>
      </c>
      <c r="I5341">
        <v>33643.03</v>
      </c>
    </row>
    <row r="5342" spans="1:10" ht="15" customHeight="1" x14ac:dyDescent="0.2">
      <c r="A5342" s="420">
        <v>45861</v>
      </c>
      <c r="B5342" t="s">
        <v>2439</v>
      </c>
      <c r="C5342" t="s">
        <v>7243</v>
      </c>
      <c r="D5342" t="s">
        <v>4431</v>
      </c>
      <c r="E5342" t="s">
        <v>4345</v>
      </c>
      <c r="G5342">
        <v>1840.79</v>
      </c>
      <c r="I5342">
        <v>35483.82</v>
      </c>
    </row>
    <row r="5343" spans="1:10" ht="15" customHeight="1" x14ac:dyDescent="0.2">
      <c r="A5343" s="420">
        <v>45866</v>
      </c>
      <c r="B5343" t="s">
        <v>2333</v>
      </c>
      <c r="C5343" t="s">
        <v>7243</v>
      </c>
      <c r="D5343" t="s">
        <v>7216</v>
      </c>
      <c r="E5343" t="s">
        <v>7217</v>
      </c>
      <c r="G5343">
        <v>8700</v>
      </c>
      <c r="I5343">
        <v>44183.82</v>
      </c>
    </row>
    <row r="5344" spans="1:10" ht="15" customHeight="1" x14ac:dyDescent="0.2">
      <c r="A5344" s="420">
        <v>45868</v>
      </c>
      <c r="B5344" t="s">
        <v>2439</v>
      </c>
      <c r="C5344" t="s">
        <v>7243</v>
      </c>
      <c r="D5344" t="s">
        <v>5678</v>
      </c>
      <c r="E5344" t="s">
        <v>5679</v>
      </c>
      <c r="F5344">
        <v>53764.24</v>
      </c>
      <c r="H5344">
        <v>9580.42</v>
      </c>
    </row>
    <row r="5345" spans="1:10" ht="15" customHeight="1" x14ac:dyDescent="0.2">
      <c r="A5345" s="420">
        <v>45869</v>
      </c>
      <c r="B5345" t="s">
        <v>2439</v>
      </c>
      <c r="C5345" t="s">
        <v>7243</v>
      </c>
      <c r="D5345" t="s">
        <v>3308</v>
      </c>
      <c r="E5345" t="s">
        <v>3309</v>
      </c>
      <c r="G5345">
        <v>9511.7999999999993</v>
      </c>
      <c r="H5345">
        <v>68.62</v>
      </c>
    </row>
    <row r="5346" spans="1:10" ht="15" customHeight="1" x14ac:dyDescent="0.2">
      <c r="A5346" s="420">
        <v>45891</v>
      </c>
      <c r="B5346" t="s">
        <v>2439</v>
      </c>
      <c r="C5346" t="s">
        <v>7243</v>
      </c>
      <c r="D5346" t="s">
        <v>5680</v>
      </c>
      <c r="E5346" t="s">
        <v>5681</v>
      </c>
      <c r="F5346">
        <v>7680.61</v>
      </c>
      <c r="H5346">
        <v>7749.23</v>
      </c>
    </row>
    <row r="5347" spans="1:10" ht="15" customHeight="1" x14ac:dyDescent="0.2">
      <c r="A5347" s="420">
        <v>45895</v>
      </c>
      <c r="B5347" t="s">
        <v>2333</v>
      </c>
      <c r="C5347" t="s">
        <v>7243</v>
      </c>
      <c r="D5347" t="s">
        <v>7218</v>
      </c>
      <c r="E5347" t="s">
        <v>7219</v>
      </c>
      <c r="G5347">
        <v>7749.23</v>
      </c>
    </row>
    <row r="5348" spans="1:10" ht="15" customHeight="1" x14ac:dyDescent="0.2">
      <c r="A5348" t="s">
        <v>7243</v>
      </c>
      <c r="E5348" t="s">
        <v>349</v>
      </c>
      <c r="F5348">
        <v>130622.67</v>
      </c>
      <c r="G5348">
        <v>130622.67</v>
      </c>
    </row>
    <row r="5350" spans="1:10" ht="15" customHeight="1" x14ac:dyDescent="0.2">
      <c r="A5350" t="s">
        <v>7247</v>
      </c>
      <c r="B5350" t="s">
        <v>7248</v>
      </c>
      <c r="F5350" t="s">
        <v>2430</v>
      </c>
      <c r="G5350" t="s">
        <v>2431</v>
      </c>
      <c r="H5350" t="s">
        <v>2432</v>
      </c>
      <c r="I5350" t="s">
        <v>2433</v>
      </c>
      <c r="J5350" t="s">
        <v>2434</v>
      </c>
    </row>
    <row r="5351" spans="1:10" ht="15" customHeight="1" x14ac:dyDescent="0.2">
      <c r="A5351" s="420">
        <v>45769</v>
      </c>
      <c r="B5351" t="s">
        <v>2439</v>
      </c>
      <c r="C5351" t="s">
        <v>7247</v>
      </c>
      <c r="D5351" t="s">
        <v>5710</v>
      </c>
      <c r="E5351" t="s">
        <v>5711</v>
      </c>
      <c r="F5351">
        <v>12760.9</v>
      </c>
      <c r="H5351">
        <v>12760.9</v>
      </c>
      <c r="J5351" t="s">
        <v>2511</v>
      </c>
    </row>
    <row r="5352" spans="1:10" ht="15" customHeight="1" x14ac:dyDescent="0.2">
      <c r="A5352" s="420">
        <v>45783</v>
      </c>
      <c r="B5352" t="s">
        <v>2439</v>
      </c>
      <c r="C5352" t="s">
        <v>7247</v>
      </c>
      <c r="D5352" t="s">
        <v>2447</v>
      </c>
      <c r="E5352" t="s">
        <v>4439</v>
      </c>
      <c r="G5352">
        <v>7296.54</v>
      </c>
      <c r="H5352">
        <v>5464.36</v>
      </c>
      <c r="J5352" t="s">
        <v>2511</v>
      </c>
    </row>
    <row r="5353" spans="1:10" ht="15" customHeight="1" x14ac:dyDescent="0.2">
      <c r="A5353" s="420">
        <v>45839</v>
      </c>
      <c r="B5353" t="s">
        <v>2439</v>
      </c>
      <c r="C5353" t="s">
        <v>7247</v>
      </c>
      <c r="D5353" t="s">
        <v>5718</v>
      </c>
      <c r="E5353" t="s">
        <v>5719</v>
      </c>
      <c r="F5353">
        <v>19413.48</v>
      </c>
      <c r="H5353">
        <v>24877.84</v>
      </c>
      <c r="J5353" t="s">
        <v>2511</v>
      </c>
    </row>
    <row r="5354" spans="1:10" ht="15" customHeight="1" x14ac:dyDescent="0.2">
      <c r="A5354" s="420">
        <v>45839</v>
      </c>
      <c r="B5354" t="s">
        <v>2439</v>
      </c>
      <c r="C5354" t="s">
        <v>7247</v>
      </c>
      <c r="D5354" t="s">
        <v>5720</v>
      </c>
      <c r="E5354" t="s">
        <v>5721</v>
      </c>
      <c r="G5354">
        <v>5464.36</v>
      </c>
      <c r="H5354">
        <v>19413.48</v>
      </c>
      <c r="J5354" t="s">
        <v>2511</v>
      </c>
    </row>
    <row r="5355" spans="1:10" ht="15" customHeight="1" x14ac:dyDescent="0.2">
      <c r="A5355" s="420">
        <v>45863</v>
      </c>
      <c r="B5355" t="s">
        <v>2439</v>
      </c>
      <c r="C5355" t="s">
        <v>7247</v>
      </c>
      <c r="D5355" t="s">
        <v>5722</v>
      </c>
      <c r="E5355" t="s">
        <v>5723</v>
      </c>
      <c r="F5355">
        <v>25657.86</v>
      </c>
      <c r="H5355">
        <v>45071.34</v>
      </c>
      <c r="J5355" t="s">
        <v>2511</v>
      </c>
    </row>
    <row r="5356" spans="1:10" ht="15" customHeight="1" x14ac:dyDescent="0.2">
      <c r="A5356" s="420">
        <v>45922</v>
      </c>
      <c r="B5356" t="s">
        <v>2439</v>
      </c>
      <c r="C5356" t="s">
        <v>7247</v>
      </c>
      <c r="D5356" t="s">
        <v>4448</v>
      </c>
      <c r="E5356" t="s">
        <v>4449</v>
      </c>
      <c r="G5356">
        <v>1520.11</v>
      </c>
      <c r="H5356">
        <v>43551.23</v>
      </c>
      <c r="J5356" t="s">
        <v>2511</v>
      </c>
    </row>
    <row r="5357" spans="1:10" ht="15" customHeight="1" x14ac:dyDescent="0.2">
      <c r="A5357" s="420">
        <v>45922</v>
      </c>
      <c r="B5357" t="s">
        <v>2439</v>
      </c>
      <c r="C5357" t="s">
        <v>7247</v>
      </c>
      <c r="D5357" t="s">
        <v>4450</v>
      </c>
      <c r="E5357" t="s">
        <v>4451</v>
      </c>
      <c r="G5357">
        <v>7828.15</v>
      </c>
      <c r="H5357">
        <v>35723.08</v>
      </c>
      <c r="J5357" t="s">
        <v>2511</v>
      </c>
    </row>
    <row r="5358" spans="1:10" ht="15" customHeight="1" x14ac:dyDescent="0.2">
      <c r="A5358" s="420">
        <v>45922</v>
      </c>
      <c r="B5358" t="s">
        <v>2439</v>
      </c>
      <c r="C5358" t="s">
        <v>7247</v>
      </c>
      <c r="D5358" t="s">
        <v>4452</v>
      </c>
      <c r="E5358" t="s">
        <v>4453</v>
      </c>
      <c r="G5358">
        <v>58750.080000000002</v>
      </c>
      <c r="I5358">
        <v>23027</v>
      </c>
      <c r="J5358" t="s">
        <v>2511</v>
      </c>
    </row>
    <row r="5359" spans="1:10" ht="15" customHeight="1" x14ac:dyDescent="0.2">
      <c r="A5359" s="420">
        <v>45938</v>
      </c>
      <c r="B5359" t="s">
        <v>2439</v>
      </c>
      <c r="C5359" t="s">
        <v>7247</v>
      </c>
      <c r="D5359" t="s">
        <v>5724</v>
      </c>
      <c r="E5359" t="s">
        <v>5725</v>
      </c>
      <c r="F5359">
        <v>44901.26</v>
      </c>
      <c r="H5359">
        <v>21874.26</v>
      </c>
      <c r="J5359" t="s">
        <v>2511</v>
      </c>
    </row>
    <row r="5360" spans="1:10" ht="15" customHeight="1" x14ac:dyDescent="0.2">
      <c r="A5360" s="420">
        <v>45953</v>
      </c>
      <c r="B5360" t="s">
        <v>2439</v>
      </c>
      <c r="C5360" t="s">
        <v>7247</v>
      </c>
      <c r="D5360" t="s">
        <v>5726</v>
      </c>
      <c r="E5360" t="s">
        <v>5727</v>
      </c>
      <c r="F5360">
        <v>6414.47</v>
      </c>
      <c r="H5360">
        <v>28288.73</v>
      </c>
      <c r="J5360" t="s">
        <v>2511</v>
      </c>
    </row>
    <row r="5361" spans="1:10" ht="15" customHeight="1" x14ac:dyDescent="0.2">
      <c r="A5361" s="420">
        <v>45957</v>
      </c>
      <c r="B5361" t="s">
        <v>2333</v>
      </c>
      <c r="C5361" t="s">
        <v>7247</v>
      </c>
      <c r="D5361" t="s">
        <v>7249</v>
      </c>
      <c r="E5361" t="s">
        <v>7250</v>
      </c>
      <c r="G5361">
        <v>20618.43</v>
      </c>
      <c r="H5361">
        <v>7670.3</v>
      </c>
      <c r="J5361" t="s">
        <v>2511</v>
      </c>
    </row>
    <row r="5362" spans="1:10" ht="15" customHeight="1" x14ac:dyDescent="0.2">
      <c r="A5362" s="420">
        <v>45964</v>
      </c>
      <c r="B5362" t="s">
        <v>2439</v>
      </c>
      <c r="C5362" t="s">
        <v>7247</v>
      </c>
      <c r="D5362" t="s">
        <v>3347</v>
      </c>
      <c r="E5362" t="s">
        <v>3348</v>
      </c>
      <c r="G5362">
        <v>7670.3</v>
      </c>
      <c r="J5362" t="s">
        <v>2511</v>
      </c>
    </row>
    <row r="5363" spans="1:10" ht="15" customHeight="1" x14ac:dyDescent="0.2">
      <c r="A5363" t="s">
        <v>7247</v>
      </c>
      <c r="E5363" t="s">
        <v>349</v>
      </c>
      <c r="F5363">
        <v>109147.97</v>
      </c>
      <c r="G5363">
        <v>109147.97</v>
      </c>
    </row>
    <row r="5365" spans="1:10" ht="15" customHeight="1" x14ac:dyDescent="0.2">
      <c r="A5365" t="s">
        <v>7251</v>
      </c>
      <c r="B5365" t="s">
        <v>7252</v>
      </c>
      <c r="F5365" t="s">
        <v>2430</v>
      </c>
      <c r="G5365" t="s">
        <v>2431</v>
      </c>
      <c r="H5365" t="s">
        <v>2432</v>
      </c>
      <c r="I5365" t="s">
        <v>2433</v>
      </c>
      <c r="J5365" t="s">
        <v>2434</v>
      </c>
    </row>
    <row r="5366" spans="1:10" ht="15" customHeight="1" x14ac:dyDescent="0.2">
      <c r="A5366" s="420">
        <v>45773</v>
      </c>
      <c r="B5366" t="s">
        <v>2439</v>
      </c>
      <c r="C5366" t="s">
        <v>7251</v>
      </c>
      <c r="D5366" t="s">
        <v>5890</v>
      </c>
      <c r="E5366" t="s">
        <v>5891</v>
      </c>
      <c r="F5366">
        <v>12892.8</v>
      </c>
      <c r="H5366">
        <v>12892.8</v>
      </c>
    </row>
    <row r="5367" spans="1:10" ht="15" customHeight="1" x14ac:dyDescent="0.2">
      <c r="A5367" s="420">
        <v>45784</v>
      </c>
      <c r="B5367" t="s">
        <v>2439</v>
      </c>
      <c r="C5367" t="s">
        <v>7251</v>
      </c>
      <c r="D5367" t="s">
        <v>2447</v>
      </c>
      <c r="E5367" t="s">
        <v>4513</v>
      </c>
      <c r="G5367">
        <v>7375.68</v>
      </c>
      <c r="H5367">
        <v>5517.12</v>
      </c>
    </row>
    <row r="5368" spans="1:10" ht="15" customHeight="1" x14ac:dyDescent="0.2">
      <c r="A5368" s="420">
        <v>45786</v>
      </c>
      <c r="B5368" t="s">
        <v>2333</v>
      </c>
      <c r="C5368" t="s">
        <v>7251</v>
      </c>
      <c r="D5368" t="s">
        <v>5716</v>
      </c>
      <c r="E5368" t="s">
        <v>5717</v>
      </c>
      <c r="G5368">
        <v>5517.12</v>
      </c>
    </row>
    <row r="5369" spans="1:10" ht="15" customHeight="1" x14ac:dyDescent="0.2">
      <c r="A5369" s="420">
        <v>45840</v>
      </c>
      <c r="B5369" t="s">
        <v>2439</v>
      </c>
      <c r="C5369" t="s">
        <v>7251</v>
      </c>
      <c r="D5369" t="s">
        <v>5894</v>
      </c>
      <c r="E5369" t="s">
        <v>5891</v>
      </c>
      <c r="F5369">
        <v>20594.14</v>
      </c>
      <c r="H5369">
        <v>20594.14</v>
      </c>
      <c r="J5369" t="s">
        <v>2511</v>
      </c>
    </row>
    <row r="5370" spans="1:10" ht="15" customHeight="1" x14ac:dyDescent="0.2">
      <c r="A5370" s="420">
        <v>45864</v>
      </c>
      <c r="B5370" t="s">
        <v>2439</v>
      </c>
      <c r="C5370" t="s">
        <v>7251</v>
      </c>
      <c r="D5370" t="s">
        <v>5895</v>
      </c>
      <c r="E5370" t="s">
        <v>5896</v>
      </c>
      <c r="F5370">
        <v>26413.07</v>
      </c>
      <c r="H5370">
        <v>47007.21</v>
      </c>
      <c r="J5370" t="s">
        <v>2511</v>
      </c>
    </row>
    <row r="5371" spans="1:10" ht="15" customHeight="1" x14ac:dyDescent="0.2">
      <c r="A5371" s="420">
        <v>45944</v>
      </c>
      <c r="B5371" t="s">
        <v>2439</v>
      </c>
      <c r="C5371" t="s">
        <v>7251</v>
      </c>
      <c r="D5371" t="s">
        <v>4518</v>
      </c>
      <c r="E5371" t="s">
        <v>4512</v>
      </c>
      <c r="G5371">
        <v>1536.6</v>
      </c>
      <c r="H5371">
        <v>45470.61</v>
      </c>
      <c r="J5371" t="s">
        <v>2511</v>
      </c>
    </row>
    <row r="5372" spans="1:10" ht="15" customHeight="1" x14ac:dyDescent="0.2">
      <c r="A5372" s="420">
        <v>45944</v>
      </c>
      <c r="B5372" t="s">
        <v>2439</v>
      </c>
      <c r="C5372" t="s">
        <v>7251</v>
      </c>
      <c r="D5372" t="s">
        <v>4519</v>
      </c>
      <c r="E5372" t="s">
        <v>4520</v>
      </c>
      <c r="G5372">
        <v>7828.15</v>
      </c>
      <c r="H5372">
        <v>37642.46</v>
      </c>
      <c r="J5372" t="s">
        <v>2511</v>
      </c>
    </row>
    <row r="5373" spans="1:10" ht="15" customHeight="1" x14ac:dyDescent="0.2">
      <c r="A5373" s="420">
        <v>45944</v>
      </c>
      <c r="B5373" t="s">
        <v>2439</v>
      </c>
      <c r="C5373" t="s">
        <v>7251</v>
      </c>
      <c r="D5373" t="s">
        <v>4521</v>
      </c>
      <c r="E5373" t="s">
        <v>4522</v>
      </c>
      <c r="G5373">
        <v>64712.33</v>
      </c>
      <c r="I5373">
        <v>27069.87</v>
      </c>
      <c r="J5373" t="s">
        <v>2511</v>
      </c>
    </row>
    <row r="5374" spans="1:10" ht="15" customHeight="1" x14ac:dyDescent="0.2">
      <c r="A5374" s="420">
        <v>45951</v>
      </c>
      <c r="B5374" t="s">
        <v>2439</v>
      </c>
      <c r="C5374" t="s">
        <v>7251</v>
      </c>
      <c r="D5374" t="s">
        <v>5897</v>
      </c>
      <c r="E5374" t="s">
        <v>5898</v>
      </c>
      <c r="F5374">
        <v>46222.87</v>
      </c>
      <c r="H5374">
        <v>19153</v>
      </c>
      <c r="J5374" t="s">
        <v>2511</v>
      </c>
    </row>
    <row r="5375" spans="1:10" ht="15" customHeight="1" x14ac:dyDescent="0.2">
      <c r="A5375" s="420">
        <v>45951</v>
      </c>
      <c r="B5375" t="s">
        <v>2439</v>
      </c>
      <c r="C5375" t="s">
        <v>7251</v>
      </c>
      <c r="D5375" t="s">
        <v>5899</v>
      </c>
      <c r="E5375" t="s">
        <v>5900</v>
      </c>
      <c r="F5375">
        <v>6603.27</v>
      </c>
      <c r="H5375">
        <v>25756.27</v>
      </c>
      <c r="J5375" t="s">
        <v>2511</v>
      </c>
    </row>
    <row r="5376" spans="1:10" ht="15" customHeight="1" x14ac:dyDescent="0.2">
      <c r="A5376" s="420">
        <v>45964</v>
      </c>
      <c r="B5376" t="s">
        <v>2333</v>
      </c>
      <c r="C5376" t="s">
        <v>7251</v>
      </c>
      <c r="D5376" t="s">
        <v>7253</v>
      </c>
      <c r="E5376" t="s">
        <v>7254</v>
      </c>
      <c r="G5376">
        <v>17793.87</v>
      </c>
      <c r="H5376">
        <v>7962.4</v>
      </c>
      <c r="J5376" t="s">
        <v>2511</v>
      </c>
    </row>
    <row r="5377" spans="1:10" ht="15" customHeight="1" x14ac:dyDescent="0.2">
      <c r="A5377" s="420">
        <v>45964</v>
      </c>
      <c r="B5377" t="s">
        <v>2439</v>
      </c>
      <c r="C5377" t="s">
        <v>7251</v>
      </c>
      <c r="D5377" t="s">
        <v>3349</v>
      </c>
      <c r="E5377" t="s">
        <v>3350</v>
      </c>
      <c r="G5377">
        <v>7962.4</v>
      </c>
      <c r="J5377" t="s">
        <v>2511</v>
      </c>
    </row>
    <row r="5378" spans="1:10" ht="15" customHeight="1" x14ac:dyDescent="0.2">
      <c r="A5378" t="s">
        <v>7251</v>
      </c>
      <c r="E5378" t="s">
        <v>349</v>
      </c>
      <c r="F5378">
        <v>112726.15</v>
      </c>
      <c r="G5378">
        <v>112726.15</v>
      </c>
    </row>
    <row r="5380" spans="1:10" ht="15" customHeight="1" x14ac:dyDescent="0.2">
      <c r="A5380" t="s">
        <v>7255</v>
      </c>
      <c r="B5380" t="s">
        <v>7256</v>
      </c>
      <c r="F5380" t="s">
        <v>2430</v>
      </c>
      <c r="G5380" t="s">
        <v>2431</v>
      </c>
      <c r="H5380" t="s">
        <v>2432</v>
      </c>
      <c r="I5380" t="s">
        <v>2433</v>
      </c>
      <c r="J5380" t="s">
        <v>2434</v>
      </c>
    </row>
    <row r="5381" spans="1:10" ht="15" customHeight="1" x14ac:dyDescent="0.2">
      <c r="A5381" s="420">
        <v>45800</v>
      </c>
      <c r="B5381" t="s">
        <v>2439</v>
      </c>
      <c r="C5381" t="s">
        <v>7255</v>
      </c>
      <c r="D5381" t="s">
        <v>5831</v>
      </c>
      <c r="E5381" t="s">
        <v>5832</v>
      </c>
      <c r="F5381">
        <v>14342.3</v>
      </c>
      <c r="H5381">
        <v>14342.3</v>
      </c>
    </row>
    <row r="5382" spans="1:10" ht="15" customHeight="1" x14ac:dyDescent="0.2">
      <c r="A5382" s="420">
        <v>45811</v>
      </c>
      <c r="B5382" t="s">
        <v>2439</v>
      </c>
      <c r="C5382" t="s">
        <v>7255</v>
      </c>
      <c r="D5382" t="s">
        <v>4460</v>
      </c>
      <c r="E5382" t="s">
        <v>4461</v>
      </c>
      <c r="G5382">
        <v>8245.3799999999992</v>
      </c>
      <c r="H5382">
        <v>6096.92</v>
      </c>
    </row>
    <row r="5383" spans="1:10" ht="15" customHeight="1" x14ac:dyDescent="0.2">
      <c r="A5383" s="420">
        <v>45819</v>
      </c>
      <c r="B5383" t="s">
        <v>2333</v>
      </c>
      <c r="C5383" t="s">
        <v>7255</v>
      </c>
      <c r="D5383" t="s">
        <v>7203</v>
      </c>
      <c r="E5383" t="s">
        <v>7204</v>
      </c>
      <c r="G5383">
        <v>6096.92</v>
      </c>
    </row>
    <row r="5384" spans="1:10" ht="15" customHeight="1" x14ac:dyDescent="0.2">
      <c r="A5384" s="420">
        <v>45853</v>
      </c>
      <c r="B5384" t="s">
        <v>2439</v>
      </c>
      <c r="C5384" t="s">
        <v>7255</v>
      </c>
      <c r="D5384" t="s">
        <v>5837</v>
      </c>
      <c r="E5384" t="s">
        <v>5838</v>
      </c>
      <c r="F5384">
        <v>21906.99</v>
      </c>
      <c r="H5384">
        <v>21906.99</v>
      </c>
      <c r="J5384" t="s">
        <v>2511</v>
      </c>
    </row>
    <row r="5385" spans="1:10" ht="15" customHeight="1" x14ac:dyDescent="0.2">
      <c r="A5385" s="420">
        <v>45946</v>
      </c>
      <c r="B5385" t="s">
        <v>2439</v>
      </c>
      <c r="C5385" t="s">
        <v>7255</v>
      </c>
      <c r="D5385" t="s">
        <v>5839</v>
      </c>
      <c r="E5385" t="s">
        <v>5840</v>
      </c>
      <c r="F5385">
        <v>28881.37</v>
      </c>
      <c r="H5385">
        <v>50788.36</v>
      </c>
      <c r="J5385" t="s">
        <v>2511</v>
      </c>
    </row>
    <row r="5386" spans="1:10" ht="15" customHeight="1" x14ac:dyDescent="0.2">
      <c r="A5386" s="420">
        <v>45965</v>
      </c>
      <c r="B5386" t="s">
        <v>2439</v>
      </c>
      <c r="C5386" t="s">
        <v>7255</v>
      </c>
      <c r="D5386" t="s">
        <v>4466</v>
      </c>
      <c r="E5386" t="s">
        <v>4467</v>
      </c>
      <c r="G5386">
        <v>1717.79</v>
      </c>
      <c r="H5386">
        <v>49070.57</v>
      </c>
      <c r="J5386" t="s">
        <v>2511</v>
      </c>
    </row>
    <row r="5387" spans="1:10" ht="15" customHeight="1" x14ac:dyDescent="0.2">
      <c r="A5387" s="420">
        <v>45965</v>
      </c>
      <c r="B5387" t="s">
        <v>2439</v>
      </c>
      <c r="C5387" t="s">
        <v>7255</v>
      </c>
      <c r="D5387" t="s">
        <v>4468</v>
      </c>
      <c r="E5387" t="s">
        <v>4469</v>
      </c>
      <c r="G5387">
        <v>7828.15</v>
      </c>
      <c r="H5387">
        <v>41242.42</v>
      </c>
      <c r="J5387" t="s">
        <v>2511</v>
      </c>
    </row>
    <row r="5388" spans="1:10" ht="15" customHeight="1" x14ac:dyDescent="0.2">
      <c r="A5388" s="420">
        <v>45965</v>
      </c>
      <c r="B5388" t="s">
        <v>2439</v>
      </c>
      <c r="C5388" t="s">
        <v>7255</v>
      </c>
      <c r="D5388" t="s">
        <v>4470</v>
      </c>
      <c r="E5388" t="s">
        <v>4471</v>
      </c>
      <c r="G5388">
        <v>69147.94</v>
      </c>
      <c r="I5388">
        <v>27905.52</v>
      </c>
      <c r="J5388" t="s">
        <v>2511</v>
      </c>
    </row>
    <row r="5389" spans="1:10" ht="15" customHeight="1" x14ac:dyDescent="0.2">
      <c r="A5389" s="420">
        <v>45975</v>
      </c>
      <c r="B5389" t="s">
        <v>2439</v>
      </c>
      <c r="C5389" t="s">
        <v>7255</v>
      </c>
      <c r="D5389" t="s">
        <v>5841</v>
      </c>
      <c r="E5389" t="s">
        <v>5842</v>
      </c>
      <c r="F5389">
        <v>50542.400000000001</v>
      </c>
      <c r="H5389">
        <v>22636.880000000001</v>
      </c>
      <c r="J5389" t="s">
        <v>2511</v>
      </c>
    </row>
    <row r="5390" spans="1:10" ht="15" customHeight="1" x14ac:dyDescent="0.2">
      <c r="A5390" s="420">
        <v>45975</v>
      </c>
      <c r="B5390" t="s">
        <v>2439</v>
      </c>
      <c r="C5390" t="s">
        <v>7255</v>
      </c>
      <c r="D5390" t="s">
        <v>5843</v>
      </c>
      <c r="E5390" t="s">
        <v>5844</v>
      </c>
      <c r="F5390">
        <v>7220.34</v>
      </c>
      <c r="H5390">
        <v>29857.22</v>
      </c>
      <c r="J5390" t="s">
        <v>2511</v>
      </c>
    </row>
    <row r="5391" spans="1:10" ht="15" customHeight="1" x14ac:dyDescent="0.2">
      <c r="A5391" s="420">
        <v>45991</v>
      </c>
      <c r="B5391" t="s">
        <v>2439</v>
      </c>
      <c r="C5391" t="s">
        <v>7255</v>
      </c>
      <c r="D5391" t="s">
        <v>3357</v>
      </c>
      <c r="E5391" t="s">
        <v>3358</v>
      </c>
      <c r="G5391">
        <v>8813.2999999999993</v>
      </c>
      <c r="H5391">
        <v>21043.919999999998</v>
      </c>
      <c r="J5391" t="s">
        <v>2511</v>
      </c>
    </row>
    <row r="5392" spans="1:10" ht="15" customHeight="1" x14ac:dyDescent="0.2">
      <c r="A5392" s="420">
        <v>45999</v>
      </c>
      <c r="B5392" t="s">
        <v>2333</v>
      </c>
      <c r="C5392" t="s">
        <v>7255</v>
      </c>
      <c r="D5392" t="s">
        <v>7257</v>
      </c>
      <c r="E5392" t="s">
        <v>7258</v>
      </c>
      <c r="G5392">
        <v>21043.919999999998</v>
      </c>
      <c r="J5392" t="s">
        <v>2511</v>
      </c>
    </row>
    <row r="5393" spans="1:10" ht="15" customHeight="1" x14ac:dyDescent="0.2">
      <c r="A5393" t="s">
        <v>7255</v>
      </c>
      <c r="E5393" t="s">
        <v>349</v>
      </c>
      <c r="F5393">
        <v>122893.4</v>
      </c>
      <c r="G5393">
        <v>122893.4</v>
      </c>
    </row>
    <row r="5395" spans="1:10" ht="15" customHeight="1" x14ac:dyDescent="0.2">
      <c r="A5395" t="s">
        <v>7259</v>
      </c>
      <c r="B5395" t="s">
        <v>7260</v>
      </c>
      <c r="F5395" t="s">
        <v>2430</v>
      </c>
      <c r="G5395" t="s">
        <v>2431</v>
      </c>
      <c r="H5395" t="s">
        <v>2432</v>
      </c>
      <c r="I5395" t="s">
        <v>2433</v>
      </c>
      <c r="J5395" t="s">
        <v>2434</v>
      </c>
    </row>
    <row r="5396" spans="1:10" ht="15" customHeight="1" x14ac:dyDescent="0.2">
      <c r="A5396" s="420">
        <v>45801</v>
      </c>
      <c r="B5396" t="s">
        <v>2439</v>
      </c>
      <c r="C5396" t="s">
        <v>7259</v>
      </c>
      <c r="D5396" t="s">
        <v>5952</v>
      </c>
      <c r="E5396" t="s">
        <v>5953</v>
      </c>
      <c r="F5396">
        <v>16490.5</v>
      </c>
      <c r="H5396">
        <v>16490.5</v>
      </c>
    </row>
    <row r="5397" spans="1:10" ht="15" customHeight="1" x14ac:dyDescent="0.2">
      <c r="A5397" s="420">
        <v>45811</v>
      </c>
      <c r="B5397" t="s">
        <v>2439</v>
      </c>
      <c r="C5397" t="s">
        <v>7259</v>
      </c>
      <c r="D5397" t="s">
        <v>4478</v>
      </c>
      <c r="E5397" t="s">
        <v>4479</v>
      </c>
      <c r="G5397">
        <v>9534.2999999999993</v>
      </c>
      <c r="H5397">
        <v>6956.2</v>
      </c>
    </row>
    <row r="5398" spans="1:10" ht="15" customHeight="1" x14ac:dyDescent="0.2">
      <c r="A5398" s="420">
        <v>45819</v>
      </c>
      <c r="B5398" t="s">
        <v>2333</v>
      </c>
      <c r="C5398" t="s">
        <v>7259</v>
      </c>
      <c r="D5398" t="s">
        <v>7203</v>
      </c>
      <c r="E5398" t="s">
        <v>7204</v>
      </c>
      <c r="G5398">
        <v>6956.2</v>
      </c>
    </row>
    <row r="5399" spans="1:10" ht="15" customHeight="1" x14ac:dyDescent="0.2">
      <c r="A5399" s="420">
        <v>45936</v>
      </c>
      <c r="B5399" t="s">
        <v>2439</v>
      </c>
      <c r="C5399" t="s">
        <v>7259</v>
      </c>
      <c r="D5399" t="s">
        <v>5958</v>
      </c>
      <c r="E5399" t="s">
        <v>5959</v>
      </c>
      <c r="F5399">
        <v>25137.65</v>
      </c>
      <c r="H5399">
        <v>25137.65</v>
      </c>
    </row>
    <row r="5400" spans="1:10" ht="15" customHeight="1" x14ac:dyDescent="0.2">
      <c r="A5400" s="420">
        <v>45959</v>
      </c>
      <c r="B5400" t="s">
        <v>2439</v>
      </c>
      <c r="C5400" t="s">
        <v>7259</v>
      </c>
      <c r="D5400" t="s">
        <v>5960</v>
      </c>
      <c r="E5400" t="s">
        <v>5961</v>
      </c>
      <c r="F5400">
        <v>33181.949999999997</v>
      </c>
      <c r="H5400">
        <v>58319.6</v>
      </c>
    </row>
    <row r="5401" spans="1:10" ht="15" customHeight="1" x14ac:dyDescent="0.2">
      <c r="A5401" s="420">
        <v>45959</v>
      </c>
      <c r="B5401" t="s">
        <v>2439</v>
      </c>
      <c r="C5401" t="s">
        <v>7259</v>
      </c>
      <c r="D5401" t="s">
        <v>5962</v>
      </c>
      <c r="E5401" t="s">
        <v>5963</v>
      </c>
      <c r="F5401">
        <v>58068.41</v>
      </c>
      <c r="H5401">
        <v>116388.01</v>
      </c>
    </row>
    <row r="5402" spans="1:10" ht="15" customHeight="1" x14ac:dyDescent="0.2">
      <c r="A5402" s="420">
        <v>45994</v>
      </c>
      <c r="B5402" t="s">
        <v>2439</v>
      </c>
      <c r="C5402" t="s">
        <v>7259</v>
      </c>
      <c r="D5402" t="s">
        <v>4484</v>
      </c>
      <c r="E5402" t="s">
        <v>4485</v>
      </c>
      <c r="G5402">
        <v>81535.09</v>
      </c>
      <c r="H5402">
        <v>34852.92</v>
      </c>
    </row>
    <row r="5403" spans="1:10" ht="15" customHeight="1" x14ac:dyDescent="0.2">
      <c r="A5403" s="420">
        <v>45994</v>
      </c>
      <c r="B5403" t="s">
        <v>2439</v>
      </c>
      <c r="C5403" t="s">
        <v>7259</v>
      </c>
      <c r="D5403" t="s">
        <v>4486</v>
      </c>
      <c r="E5403" t="s">
        <v>4487</v>
      </c>
      <c r="G5403">
        <v>1986.31</v>
      </c>
      <c r="H5403">
        <v>32866.61</v>
      </c>
    </row>
    <row r="5404" spans="1:10" ht="15" customHeight="1" x14ac:dyDescent="0.2">
      <c r="A5404" s="420">
        <v>45994</v>
      </c>
      <c r="B5404" t="s">
        <v>2439</v>
      </c>
      <c r="C5404" t="s">
        <v>7259</v>
      </c>
      <c r="D5404" t="s">
        <v>4488</v>
      </c>
      <c r="E5404" t="s">
        <v>4489</v>
      </c>
      <c r="G5404">
        <v>7828.15</v>
      </c>
      <c r="H5404">
        <v>25038.46</v>
      </c>
    </row>
    <row r="5405" spans="1:10" ht="15" customHeight="1" x14ac:dyDescent="0.2">
      <c r="A5405" t="s">
        <v>7259</v>
      </c>
      <c r="E5405" t="s">
        <v>349</v>
      </c>
      <c r="F5405">
        <v>132878.51</v>
      </c>
      <c r="G5405">
        <v>107840.05</v>
      </c>
      <c r="H5405">
        <v>25038.46</v>
      </c>
    </row>
    <row r="5407" spans="1:10" ht="15" customHeight="1" x14ac:dyDescent="0.2">
      <c r="A5407" t="s">
        <v>7261</v>
      </c>
      <c r="B5407" t="s">
        <v>7262</v>
      </c>
      <c r="F5407" t="s">
        <v>2430</v>
      </c>
      <c r="G5407" t="s">
        <v>2431</v>
      </c>
      <c r="H5407" t="s">
        <v>2432</v>
      </c>
      <c r="I5407" t="s">
        <v>2433</v>
      </c>
      <c r="J5407" t="s">
        <v>2434</v>
      </c>
    </row>
    <row r="5408" spans="1:10" ht="15" customHeight="1" x14ac:dyDescent="0.2">
      <c r="A5408" s="420">
        <v>45838</v>
      </c>
      <c r="B5408" t="s">
        <v>2439</v>
      </c>
      <c r="C5408" t="s">
        <v>7261</v>
      </c>
      <c r="D5408" t="s">
        <v>4496</v>
      </c>
      <c r="E5408" t="s">
        <v>4358</v>
      </c>
      <c r="G5408">
        <v>7811.7</v>
      </c>
      <c r="I5408">
        <v>7811.7</v>
      </c>
      <c r="J5408" t="s">
        <v>2511</v>
      </c>
    </row>
    <row r="5409" spans="1:10" ht="15" customHeight="1" x14ac:dyDescent="0.2">
      <c r="A5409" s="420">
        <v>45855</v>
      </c>
      <c r="B5409" t="s">
        <v>2439</v>
      </c>
      <c r="C5409" t="s">
        <v>7261</v>
      </c>
      <c r="D5409" t="s">
        <v>5660</v>
      </c>
      <c r="E5409" t="s">
        <v>5661</v>
      </c>
      <c r="F5409">
        <v>20969.04</v>
      </c>
      <c r="H5409">
        <v>13157.34</v>
      </c>
      <c r="J5409" t="s">
        <v>2511</v>
      </c>
    </row>
    <row r="5410" spans="1:10" ht="15" customHeight="1" x14ac:dyDescent="0.2">
      <c r="A5410" s="420">
        <v>45994</v>
      </c>
      <c r="B5410" t="s">
        <v>2439</v>
      </c>
      <c r="C5410" t="s">
        <v>7261</v>
      </c>
      <c r="D5410" t="s">
        <v>5662</v>
      </c>
      <c r="E5410" t="s">
        <v>5663</v>
      </c>
      <c r="F5410">
        <v>27508.9</v>
      </c>
      <c r="H5410">
        <v>40666.239999999998</v>
      </c>
      <c r="J5410" t="s">
        <v>2511</v>
      </c>
    </row>
    <row r="5411" spans="1:10" ht="15" customHeight="1" x14ac:dyDescent="0.2">
      <c r="A5411" s="420">
        <v>46008</v>
      </c>
      <c r="B5411" t="s">
        <v>2439</v>
      </c>
      <c r="C5411" t="s">
        <v>7261</v>
      </c>
      <c r="D5411" t="s">
        <v>4501</v>
      </c>
      <c r="E5411" t="s">
        <v>4502</v>
      </c>
      <c r="G5411">
        <v>7828.15</v>
      </c>
      <c r="H5411">
        <v>32838.089999999997</v>
      </c>
      <c r="J5411" t="s">
        <v>2511</v>
      </c>
    </row>
    <row r="5412" spans="1:10" ht="15" customHeight="1" x14ac:dyDescent="0.2">
      <c r="A5412" s="420">
        <v>46008</v>
      </c>
      <c r="B5412" t="s">
        <v>2439</v>
      </c>
      <c r="C5412" t="s">
        <v>7261</v>
      </c>
      <c r="D5412" t="s">
        <v>4503</v>
      </c>
      <c r="E5412" t="s">
        <v>4504</v>
      </c>
      <c r="G5412">
        <v>1627.44</v>
      </c>
      <c r="H5412">
        <v>31210.65</v>
      </c>
      <c r="J5412" t="s">
        <v>2511</v>
      </c>
    </row>
    <row r="5413" spans="1:10" ht="15" customHeight="1" x14ac:dyDescent="0.2">
      <c r="A5413" s="420">
        <v>46008</v>
      </c>
      <c r="B5413" t="s">
        <v>2439</v>
      </c>
      <c r="C5413" t="s">
        <v>7261</v>
      </c>
      <c r="D5413" t="s">
        <v>4505</v>
      </c>
      <c r="E5413" t="s">
        <v>4506</v>
      </c>
      <c r="G5413">
        <v>64237.51</v>
      </c>
      <c r="I5413">
        <v>33026.86</v>
      </c>
      <c r="J5413" t="s">
        <v>2511</v>
      </c>
    </row>
    <row r="5414" spans="1:10" ht="15" customHeight="1" x14ac:dyDescent="0.2">
      <c r="A5414" s="420">
        <v>46022</v>
      </c>
      <c r="B5414" t="s">
        <v>2439</v>
      </c>
      <c r="C5414" t="s">
        <v>7261</v>
      </c>
      <c r="D5414" t="s">
        <v>3361</v>
      </c>
      <c r="E5414" t="s">
        <v>3362</v>
      </c>
      <c r="G5414">
        <v>8267.2000000000007</v>
      </c>
      <c r="I5414">
        <v>41294.06</v>
      </c>
      <c r="J5414" t="s">
        <v>2511</v>
      </c>
    </row>
    <row r="5415" spans="1:10" ht="15" customHeight="1" x14ac:dyDescent="0.2">
      <c r="A5415" t="s">
        <v>7261</v>
      </c>
      <c r="E5415" t="s">
        <v>349</v>
      </c>
      <c r="F5415">
        <v>48477.94</v>
      </c>
      <c r="G5415">
        <v>89772</v>
      </c>
      <c r="I5415">
        <v>41294.06</v>
      </c>
    </row>
    <row r="5417" spans="1:10" ht="15" customHeight="1" x14ac:dyDescent="0.2">
      <c r="A5417" t="s">
        <v>7263</v>
      </c>
      <c r="B5417" t="s">
        <v>7264</v>
      </c>
      <c r="F5417" t="s">
        <v>2430</v>
      </c>
      <c r="G5417" t="s">
        <v>2431</v>
      </c>
      <c r="H5417" t="s">
        <v>2432</v>
      </c>
      <c r="I5417" t="s">
        <v>2433</v>
      </c>
      <c r="J5417" t="s">
        <v>2434</v>
      </c>
    </row>
    <row r="5418" spans="1:10" ht="15" customHeight="1" x14ac:dyDescent="0.2">
      <c r="A5418" s="420">
        <v>45888</v>
      </c>
      <c r="B5418" t="s">
        <v>2439</v>
      </c>
      <c r="C5418" t="s">
        <v>7263</v>
      </c>
      <c r="D5418" t="s">
        <v>4529</v>
      </c>
      <c r="E5418" t="s">
        <v>4530</v>
      </c>
      <c r="G5418">
        <v>9825.2999999999993</v>
      </c>
      <c r="I5418">
        <v>9825.2999999999993</v>
      </c>
    </row>
    <row r="5419" spans="1:10" ht="15" customHeight="1" x14ac:dyDescent="0.2">
      <c r="A5419" s="420">
        <v>45937</v>
      </c>
      <c r="B5419" t="s">
        <v>2333</v>
      </c>
      <c r="C5419" t="s">
        <v>7263</v>
      </c>
      <c r="D5419" t="s">
        <v>7265</v>
      </c>
      <c r="E5419" t="s">
        <v>7266</v>
      </c>
      <c r="F5419">
        <v>9825.2999999999993</v>
      </c>
    </row>
    <row r="5420" spans="1:10" ht="15" customHeight="1" x14ac:dyDescent="0.2">
      <c r="A5420" s="420">
        <v>45989</v>
      </c>
      <c r="B5420" t="s">
        <v>2439</v>
      </c>
      <c r="C5420" t="s">
        <v>7263</v>
      </c>
      <c r="D5420" t="s">
        <v>5567</v>
      </c>
      <c r="E5420" t="s">
        <v>5568</v>
      </c>
      <c r="F5420">
        <v>26081.95</v>
      </c>
      <c r="H5420">
        <v>26081.95</v>
      </c>
    </row>
    <row r="5421" spans="1:10" ht="15" customHeight="1" x14ac:dyDescent="0.2">
      <c r="A5421" s="420">
        <v>46013</v>
      </c>
      <c r="B5421" t="s">
        <v>2439</v>
      </c>
      <c r="C5421" t="s">
        <v>7263</v>
      </c>
      <c r="D5421" t="s">
        <v>5569</v>
      </c>
      <c r="E5421" t="s">
        <v>5570</v>
      </c>
      <c r="F5421">
        <v>34260.35</v>
      </c>
      <c r="H5421">
        <v>60342.3</v>
      </c>
    </row>
    <row r="5422" spans="1:10" ht="15" customHeight="1" x14ac:dyDescent="0.2">
      <c r="A5422" t="s">
        <v>7263</v>
      </c>
      <c r="E5422" t="s">
        <v>349</v>
      </c>
      <c r="F5422">
        <v>70167.600000000006</v>
      </c>
      <c r="G5422">
        <v>9825.2999999999993</v>
      </c>
      <c r="H5422">
        <v>60342.3</v>
      </c>
    </row>
    <row r="5424" spans="1:10" ht="15" customHeight="1" x14ac:dyDescent="0.2">
      <c r="A5424" t="s">
        <v>7267</v>
      </c>
      <c r="B5424" t="s">
        <v>7268</v>
      </c>
      <c r="F5424" t="s">
        <v>2430</v>
      </c>
      <c r="G5424" t="s">
        <v>2431</v>
      </c>
      <c r="H5424" t="s">
        <v>2432</v>
      </c>
      <c r="I5424" t="s">
        <v>2433</v>
      </c>
      <c r="J5424" t="s">
        <v>2434</v>
      </c>
    </row>
    <row r="5425" spans="1:10" ht="15" customHeight="1" x14ac:dyDescent="0.2">
      <c r="A5425" s="420">
        <v>45874</v>
      </c>
      <c r="B5425" t="s">
        <v>2439</v>
      </c>
      <c r="C5425" t="s">
        <v>7267</v>
      </c>
      <c r="D5425" t="s">
        <v>5877</v>
      </c>
      <c r="E5425" t="s">
        <v>5878</v>
      </c>
      <c r="F5425">
        <v>17017.400000000001</v>
      </c>
      <c r="H5425">
        <v>17017.400000000001</v>
      </c>
    </row>
    <row r="5426" spans="1:10" ht="15" customHeight="1" x14ac:dyDescent="0.2">
      <c r="A5426" s="420">
        <v>45889</v>
      </c>
      <c r="B5426" t="s">
        <v>2439</v>
      </c>
      <c r="C5426" t="s">
        <v>7267</v>
      </c>
      <c r="D5426" t="s">
        <v>4537</v>
      </c>
      <c r="E5426" t="s">
        <v>4538</v>
      </c>
      <c r="G5426">
        <v>9850.44</v>
      </c>
      <c r="H5426">
        <v>7166.96</v>
      </c>
    </row>
    <row r="5427" spans="1:10" ht="15" customHeight="1" x14ac:dyDescent="0.2">
      <c r="A5427" s="420">
        <v>45895</v>
      </c>
      <c r="B5427" t="s">
        <v>2333</v>
      </c>
      <c r="C5427" t="s">
        <v>7267</v>
      </c>
      <c r="D5427" t="s">
        <v>7218</v>
      </c>
      <c r="E5427" t="s">
        <v>7269</v>
      </c>
      <c r="G5427">
        <v>7166.95</v>
      </c>
      <c r="H5427">
        <v>0.01</v>
      </c>
    </row>
    <row r="5428" spans="1:10" ht="15" customHeight="1" x14ac:dyDescent="0.2">
      <c r="A5428" s="420">
        <v>46008</v>
      </c>
      <c r="B5428" t="s">
        <v>2439</v>
      </c>
      <c r="C5428" t="s">
        <v>7267</v>
      </c>
      <c r="D5428" t="s">
        <v>5883</v>
      </c>
      <c r="E5428" t="s">
        <v>5884</v>
      </c>
      <c r="F5428">
        <v>26408.1</v>
      </c>
      <c r="H5428">
        <v>26408.11</v>
      </c>
    </row>
    <row r="5429" spans="1:10" ht="15" customHeight="1" x14ac:dyDescent="0.2">
      <c r="A5429" t="s">
        <v>7267</v>
      </c>
      <c r="E5429" t="s">
        <v>349</v>
      </c>
      <c r="F5429">
        <v>43425.5</v>
      </c>
      <c r="G5429">
        <v>17017.39</v>
      </c>
      <c r="H5429">
        <v>26408.11</v>
      </c>
    </row>
    <row r="5431" spans="1:10" ht="15" customHeight="1" x14ac:dyDescent="0.2">
      <c r="A5431" t="s">
        <v>7270</v>
      </c>
      <c r="B5431" t="s">
        <v>7271</v>
      </c>
      <c r="F5431" t="s">
        <v>2430</v>
      </c>
      <c r="G5431" t="s">
        <v>2431</v>
      </c>
      <c r="H5431" t="s">
        <v>2432</v>
      </c>
      <c r="I5431" t="s">
        <v>2433</v>
      </c>
      <c r="J5431" t="s">
        <v>2434</v>
      </c>
    </row>
    <row r="5432" spans="1:10" ht="15" customHeight="1" x14ac:dyDescent="0.2">
      <c r="A5432" s="420">
        <v>45910</v>
      </c>
      <c r="B5432" t="s">
        <v>2439</v>
      </c>
      <c r="C5432" t="s">
        <v>7270</v>
      </c>
      <c r="D5432" t="s">
        <v>4262</v>
      </c>
      <c r="E5432" t="s">
        <v>4263</v>
      </c>
      <c r="G5432">
        <v>240</v>
      </c>
      <c r="I5432">
        <v>240</v>
      </c>
    </row>
    <row r="5433" spans="1:10" ht="15" customHeight="1" x14ac:dyDescent="0.2">
      <c r="A5433" s="420">
        <v>45911</v>
      </c>
      <c r="B5433" t="s">
        <v>2333</v>
      </c>
      <c r="C5433" t="s">
        <v>7270</v>
      </c>
      <c r="D5433" t="s">
        <v>7272</v>
      </c>
      <c r="E5433" t="s">
        <v>7273</v>
      </c>
      <c r="G5433">
        <v>20000</v>
      </c>
      <c r="I5433">
        <v>20240</v>
      </c>
      <c r="J5433" t="s">
        <v>2511</v>
      </c>
    </row>
    <row r="5434" spans="1:10" ht="15" customHeight="1" x14ac:dyDescent="0.2">
      <c r="A5434" s="420">
        <v>45926</v>
      </c>
      <c r="B5434" t="s">
        <v>2439</v>
      </c>
      <c r="C5434" t="s">
        <v>7270</v>
      </c>
      <c r="D5434" t="s">
        <v>5732</v>
      </c>
      <c r="E5434" t="s">
        <v>5733</v>
      </c>
      <c r="F5434">
        <v>14782.9</v>
      </c>
      <c r="I5434">
        <v>5457.1</v>
      </c>
      <c r="J5434" t="s">
        <v>2511</v>
      </c>
    </row>
    <row r="5435" spans="1:10" ht="15" customHeight="1" x14ac:dyDescent="0.2">
      <c r="A5435" s="420">
        <v>45926</v>
      </c>
      <c r="B5435" t="s">
        <v>2439</v>
      </c>
      <c r="C5435" t="s">
        <v>7270</v>
      </c>
      <c r="D5435" t="s">
        <v>5734</v>
      </c>
      <c r="E5435" t="s">
        <v>5735</v>
      </c>
      <c r="F5435">
        <v>22174.35</v>
      </c>
      <c r="H5435">
        <v>16717.25</v>
      </c>
      <c r="J5435" t="s">
        <v>2511</v>
      </c>
    </row>
    <row r="5436" spans="1:10" ht="15" customHeight="1" x14ac:dyDescent="0.2">
      <c r="A5436" s="420">
        <v>45931</v>
      </c>
      <c r="B5436" t="s">
        <v>2333</v>
      </c>
      <c r="C5436" t="s">
        <v>7270</v>
      </c>
      <c r="D5436" t="s">
        <v>5736</v>
      </c>
      <c r="E5436" t="s">
        <v>5737</v>
      </c>
      <c r="G5436">
        <v>2174.35</v>
      </c>
      <c r="H5436">
        <v>14542.9</v>
      </c>
      <c r="J5436" t="s">
        <v>2511</v>
      </c>
    </row>
    <row r="5437" spans="1:10" ht="15" customHeight="1" x14ac:dyDescent="0.2">
      <c r="A5437" s="420">
        <v>45938</v>
      </c>
      <c r="B5437" t="s">
        <v>2439</v>
      </c>
      <c r="C5437" t="s">
        <v>7270</v>
      </c>
      <c r="D5437" t="s">
        <v>4545</v>
      </c>
      <c r="E5437" t="s">
        <v>4546</v>
      </c>
      <c r="G5437">
        <v>8509.74</v>
      </c>
      <c r="H5437">
        <v>6033.16</v>
      </c>
      <c r="J5437" t="s">
        <v>2511</v>
      </c>
    </row>
    <row r="5438" spans="1:10" ht="15" customHeight="1" x14ac:dyDescent="0.2">
      <c r="A5438" s="420">
        <v>45943</v>
      </c>
      <c r="B5438" t="s">
        <v>2333</v>
      </c>
      <c r="C5438" t="s">
        <v>7270</v>
      </c>
      <c r="D5438" t="s">
        <v>7274</v>
      </c>
      <c r="E5438" t="s">
        <v>7275</v>
      </c>
      <c r="G5438">
        <v>6273.16</v>
      </c>
      <c r="I5438">
        <v>240</v>
      </c>
      <c r="J5438" t="s">
        <v>2511</v>
      </c>
    </row>
    <row r="5439" spans="1:10" ht="15" customHeight="1" x14ac:dyDescent="0.2">
      <c r="A5439" s="420">
        <v>45959</v>
      </c>
      <c r="B5439" t="s">
        <v>2439</v>
      </c>
      <c r="C5439" t="s">
        <v>7270</v>
      </c>
      <c r="D5439" t="s">
        <v>5744</v>
      </c>
      <c r="E5439" t="s">
        <v>5745</v>
      </c>
      <c r="F5439">
        <v>22940.54</v>
      </c>
      <c r="H5439">
        <v>22700.54</v>
      </c>
    </row>
    <row r="5440" spans="1:10" ht="15" customHeight="1" x14ac:dyDescent="0.2">
      <c r="A5440" s="420">
        <v>46008</v>
      </c>
      <c r="B5440" t="s">
        <v>2439</v>
      </c>
      <c r="C5440" t="s">
        <v>7270</v>
      </c>
      <c r="D5440" t="s">
        <v>5746</v>
      </c>
      <c r="E5440" t="s">
        <v>5747</v>
      </c>
      <c r="F5440">
        <v>29948.89</v>
      </c>
      <c r="H5440">
        <v>52649.43</v>
      </c>
    </row>
    <row r="5441" spans="1:10" ht="15" customHeight="1" x14ac:dyDescent="0.2">
      <c r="A5441" t="s">
        <v>7270</v>
      </c>
      <c r="E5441" t="s">
        <v>349</v>
      </c>
      <c r="F5441">
        <v>89846.68</v>
      </c>
      <c r="G5441">
        <v>37197.25</v>
      </c>
      <c r="H5441">
        <v>52649.43</v>
      </c>
    </row>
    <row r="5443" spans="1:10" ht="15" customHeight="1" x14ac:dyDescent="0.2">
      <c r="A5443" t="s">
        <v>7276</v>
      </c>
      <c r="B5443" t="s">
        <v>7277</v>
      </c>
      <c r="F5443" t="s">
        <v>2430</v>
      </c>
      <c r="G5443" t="s">
        <v>2431</v>
      </c>
      <c r="H5443" t="s">
        <v>2432</v>
      </c>
      <c r="I5443" t="s">
        <v>2433</v>
      </c>
      <c r="J5443" t="s">
        <v>2434</v>
      </c>
    </row>
    <row r="5444" spans="1:10" ht="15" customHeight="1" x14ac:dyDescent="0.2">
      <c r="A5444" s="420">
        <v>45952</v>
      </c>
      <c r="B5444" t="s">
        <v>2439</v>
      </c>
      <c r="C5444" t="s">
        <v>7276</v>
      </c>
      <c r="D5444" t="s">
        <v>5615</v>
      </c>
      <c r="E5444" t="s">
        <v>5616</v>
      </c>
      <c r="F5444">
        <v>15645.4</v>
      </c>
      <c r="H5444">
        <v>15645.4</v>
      </c>
      <c r="J5444" t="s">
        <v>2511</v>
      </c>
    </row>
    <row r="5445" spans="1:10" ht="15" customHeight="1" x14ac:dyDescent="0.2">
      <c r="A5445" s="420">
        <v>45965</v>
      </c>
      <c r="B5445" t="s">
        <v>2439</v>
      </c>
      <c r="C5445" t="s">
        <v>7276</v>
      </c>
      <c r="D5445" t="s">
        <v>4560</v>
      </c>
      <c r="E5445" t="s">
        <v>4561</v>
      </c>
      <c r="G5445">
        <v>9779.51</v>
      </c>
      <c r="H5445">
        <v>5865.89</v>
      </c>
      <c r="J5445" t="s">
        <v>2511</v>
      </c>
    </row>
    <row r="5446" spans="1:10" ht="15" customHeight="1" x14ac:dyDescent="0.2">
      <c r="A5446" s="420">
        <v>45971</v>
      </c>
      <c r="B5446" t="s">
        <v>2333</v>
      </c>
      <c r="C5446" t="s">
        <v>7276</v>
      </c>
      <c r="D5446" t="s">
        <v>7278</v>
      </c>
      <c r="E5446" t="s">
        <v>7279</v>
      </c>
      <c r="G5446">
        <v>5865.89</v>
      </c>
      <c r="J5446" t="s">
        <v>2511</v>
      </c>
    </row>
    <row r="5447" spans="1:10" ht="15" customHeight="1" x14ac:dyDescent="0.2">
      <c r="A5447" s="420">
        <v>46021</v>
      </c>
      <c r="B5447" t="s">
        <v>2439</v>
      </c>
      <c r="C5447" t="s">
        <v>7276</v>
      </c>
      <c r="D5447" t="s">
        <v>5621</v>
      </c>
      <c r="E5447" t="s">
        <v>5622</v>
      </c>
      <c r="F5447">
        <v>24541.84</v>
      </c>
      <c r="H5447">
        <v>24541.84</v>
      </c>
      <c r="J5447" t="s">
        <v>2511</v>
      </c>
    </row>
    <row r="5448" spans="1:10" ht="15" customHeight="1" x14ac:dyDescent="0.2">
      <c r="A5448" t="s">
        <v>7276</v>
      </c>
      <c r="E5448" t="s">
        <v>349</v>
      </c>
      <c r="F5448">
        <v>40187.24</v>
      </c>
      <c r="G5448">
        <v>15645.4</v>
      </c>
      <c r="H5448">
        <v>24541.84</v>
      </c>
    </row>
    <row r="5450" spans="1:10" ht="15" customHeight="1" x14ac:dyDescent="0.2">
      <c r="A5450" t="s">
        <v>7280</v>
      </c>
      <c r="B5450" t="s">
        <v>7281</v>
      </c>
      <c r="F5450" t="s">
        <v>2430</v>
      </c>
      <c r="G5450" t="s">
        <v>2431</v>
      </c>
      <c r="H5450" t="s">
        <v>2432</v>
      </c>
      <c r="I5450" t="s">
        <v>2433</v>
      </c>
      <c r="J5450" t="s">
        <v>2434</v>
      </c>
    </row>
    <row r="5451" spans="1:10" ht="15" customHeight="1" x14ac:dyDescent="0.2">
      <c r="A5451" s="420">
        <v>45936</v>
      </c>
      <c r="B5451" t="s">
        <v>2333</v>
      </c>
      <c r="C5451" t="s">
        <v>7280</v>
      </c>
      <c r="D5451" t="s">
        <v>7282</v>
      </c>
      <c r="E5451" t="s">
        <v>7283</v>
      </c>
      <c r="F5451">
        <v>10052.4</v>
      </c>
      <c r="H5451">
        <v>10052.4</v>
      </c>
      <c r="J5451" t="s">
        <v>2511</v>
      </c>
    </row>
    <row r="5452" spans="1:10" ht="15" customHeight="1" x14ac:dyDescent="0.2">
      <c r="A5452" s="420">
        <v>45936</v>
      </c>
      <c r="B5452" t="s">
        <v>2439</v>
      </c>
      <c r="C5452" t="s">
        <v>7280</v>
      </c>
      <c r="D5452" t="s">
        <v>4568</v>
      </c>
      <c r="E5452" t="s">
        <v>4569</v>
      </c>
      <c r="G5452">
        <v>10052.4</v>
      </c>
      <c r="J5452" t="s">
        <v>2511</v>
      </c>
    </row>
    <row r="5453" spans="1:10" ht="15" customHeight="1" x14ac:dyDescent="0.2">
      <c r="A5453" t="s">
        <v>7280</v>
      </c>
      <c r="E5453" t="s">
        <v>349</v>
      </c>
      <c r="F5453">
        <v>10052.4</v>
      </c>
      <c r="G5453">
        <v>10052.4</v>
      </c>
    </row>
    <row r="5455" spans="1:10" ht="15" customHeight="1" x14ac:dyDescent="0.2">
      <c r="A5455" t="s">
        <v>7284</v>
      </c>
      <c r="B5455" t="s">
        <v>7285</v>
      </c>
      <c r="F5455" t="s">
        <v>2430</v>
      </c>
      <c r="G5455" t="s">
        <v>2431</v>
      </c>
      <c r="H5455" t="s">
        <v>2432</v>
      </c>
      <c r="I5455" t="s">
        <v>2433</v>
      </c>
      <c r="J5455" t="s">
        <v>2434</v>
      </c>
    </row>
    <row r="5456" spans="1:10" ht="15" customHeight="1" x14ac:dyDescent="0.2">
      <c r="A5456" s="420">
        <v>45964</v>
      </c>
      <c r="B5456" t="s">
        <v>2439</v>
      </c>
      <c r="C5456" t="s">
        <v>7284</v>
      </c>
      <c r="D5456" t="s">
        <v>5851</v>
      </c>
      <c r="E5456" t="s">
        <v>5852</v>
      </c>
      <c r="F5456">
        <v>14071.8</v>
      </c>
      <c r="H5456">
        <v>14071.8</v>
      </c>
    </row>
    <row r="5457" spans="1:10" ht="15" customHeight="1" x14ac:dyDescent="0.2">
      <c r="A5457" s="420">
        <v>45965</v>
      </c>
      <c r="B5457" t="s">
        <v>2439</v>
      </c>
      <c r="C5457" t="s">
        <v>7284</v>
      </c>
      <c r="D5457" t="s">
        <v>4576</v>
      </c>
      <c r="E5457" t="s">
        <v>4577</v>
      </c>
      <c r="G5457">
        <v>8756.68</v>
      </c>
      <c r="H5457">
        <v>5315.12</v>
      </c>
    </row>
    <row r="5458" spans="1:10" ht="15" customHeight="1" x14ac:dyDescent="0.2">
      <c r="A5458" s="420">
        <v>45971</v>
      </c>
      <c r="B5458" t="s">
        <v>2333</v>
      </c>
      <c r="C5458" t="s">
        <v>7284</v>
      </c>
      <c r="D5458" t="s">
        <v>7278</v>
      </c>
      <c r="E5458" t="s">
        <v>7279</v>
      </c>
      <c r="G5458">
        <v>5315.12</v>
      </c>
    </row>
    <row r="5459" spans="1:10" ht="15" customHeight="1" x14ac:dyDescent="0.2">
      <c r="A5459" t="s">
        <v>7284</v>
      </c>
      <c r="E5459" t="s">
        <v>349</v>
      </c>
      <c r="F5459">
        <v>14071.8</v>
      </c>
      <c r="G5459">
        <v>14071.8</v>
      </c>
    </row>
    <row r="5461" spans="1:10" ht="15" customHeight="1" x14ac:dyDescent="0.2">
      <c r="A5461" t="s">
        <v>7286</v>
      </c>
      <c r="B5461" t="s">
        <v>7287</v>
      </c>
      <c r="F5461" t="s">
        <v>2430</v>
      </c>
      <c r="G5461" t="s">
        <v>2431</v>
      </c>
      <c r="H5461" t="s">
        <v>2432</v>
      </c>
      <c r="I5461" t="s">
        <v>2433</v>
      </c>
      <c r="J5461" t="s">
        <v>2434</v>
      </c>
    </row>
    <row r="5462" spans="1:10" ht="15" customHeight="1" x14ac:dyDescent="0.2">
      <c r="A5462" s="420">
        <v>45937</v>
      </c>
      <c r="B5462" t="s">
        <v>2333</v>
      </c>
      <c r="C5462" t="s">
        <v>7286</v>
      </c>
      <c r="D5462" t="s">
        <v>7288</v>
      </c>
      <c r="E5462" t="s">
        <v>7289</v>
      </c>
      <c r="F5462">
        <v>9997.68</v>
      </c>
      <c r="H5462">
        <v>9997.68</v>
      </c>
      <c r="J5462" t="s">
        <v>2511</v>
      </c>
    </row>
    <row r="5463" spans="1:10" ht="15" customHeight="1" x14ac:dyDescent="0.2">
      <c r="A5463" s="420">
        <v>45937</v>
      </c>
      <c r="B5463" t="s">
        <v>2439</v>
      </c>
      <c r="C5463" t="s">
        <v>7286</v>
      </c>
      <c r="D5463" t="s">
        <v>4529</v>
      </c>
      <c r="E5463" t="s">
        <v>4553</v>
      </c>
      <c r="G5463">
        <v>9997.68</v>
      </c>
      <c r="J5463" t="s">
        <v>2511</v>
      </c>
    </row>
    <row r="5464" spans="1:10" ht="15" customHeight="1" x14ac:dyDescent="0.2">
      <c r="A5464" s="420">
        <v>45961</v>
      </c>
      <c r="B5464" t="s">
        <v>2439</v>
      </c>
      <c r="C5464" t="s">
        <v>7286</v>
      </c>
      <c r="D5464" t="s">
        <v>5870</v>
      </c>
      <c r="E5464" t="s">
        <v>5871</v>
      </c>
      <c r="F5464">
        <v>27400.92</v>
      </c>
      <c r="H5464">
        <v>27400.92</v>
      </c>
    </row>
    <row r="5465" spans="1:10" ht="15" customHeight="1" x14ac:dyDescent="0.2">
      <c r="A5465" t="s">
        <v>7286</v>
      </c>
      <c r="E5465" t="s">
        <v>349</v>
      </c>
      <c r="F5465">
        <v>37398.6</v>
      </c>
      <c r="G5465">
        <v>9997.68</v>
      </c>
      <c r="H5465">
        <v>27400.92</v>
      </c>
    </row>
    <row r="5467" spans="1:10" ht="15" customHeight="1" x14ac:dyDescent="0.2">
      <c r="A5467" t="s">
        <v>7290</v>
      </c>
      <c r="B5467" t="s">
        <v>7291</v>
      </c>
      <c r="F5467" t="s">
        <v>2430</v>
      </c>
      <c r="G5467" t="s">
        <v>2431</v>
      </c>
      <c r="H5467" t="s">
        <v>2432</v>
      </c>
      <c r="I5467" t="s">
        <v>2433</v>
      </c>
      <c r="J5467" t="s">
        <v>2434</v>
      </c>
    </row>
    <row r="5468" spans="1:10" ht="15" customHeight="1" x14ac:dyDescent="0.2">
      <c r="A5468" s="420">
        <v>45983</v>
      </c>
      <c r="B5468" t="s">
        <v>2439</v>
      </c>
      <c r="C5468" t="s">
        <v>7290</v>
      </c>
      <c r="D5468" t="s">
        <v>5907</v>
      </c>
      <c r="E5468" t="s">
        <v>5908</v>
      </c>
      <c r="F5468">
        <v>18850.5</v>
      </c>
      <c r="H5468">
        <v>18850.5</v>
      </c>
      <c r="J5468" t="s">
        <v>2511</v>
      </c>
    </row>
    <row r="5469" spans="1:10" ht="15" customHeight="1" x14ac:dyDescent="0.2">
      <c r="A5469" s="420">
        <v>45988</v>
      </c>
      <c r="B5469" t="s">
        <v>2439</v>
      </c>
      <c r="C5469" t="s">
        <v>7290</v>
      </c>
      <c r="D5469" t="s">
        <v>4584</v>
      </c>
      <c r="E5469" t="s">
        <v>4585</v>
      </c>
      <c r="G5469">
        <v>11862.83</v>
      </c>
      <c r="H5469">
        <v>6987.67</v>
      </c>
      <c r="J5469" t="s">
        <v>2511</v>
      </c>
    </row>
    <row r="5470" spans="1:10" ht="15" customHeight="1" x14ac:dyDescent="0.2">
      <c r="A5470" s="420">
        <v>45992</v>
      </c>
      <c r="B5470" t="s">
        <v>2333</v>
      </c>
      <c r="C5470" t="s">
        <v>7290</v>
      </c>
      <c r="D5470" t="s">
        <v>7292</v>
      </c>
      <c r="E5470" t="s">
        <v>7293</v>
      </c>
      <c r="G5470">
        <v>6987.67</v>
      </c>
      <c r="J5470" t="s">
        <v>2511</v>
      </c>
    </row>
    <row r="5471" spans="1:10" ht="15" customHeight="1" x14ac:dyDescent="0.2">
      <c r="A5471" t="s">
        <v>7290</v>
      </c>
      <c r="E5471" t="s">
        <v>349</v>
      </c>
      <c r="F5471">
        <v>18850.5</v>
      </c>
      <c r="G5471">
        <v>18850.5</v>
      </c>
    </row>
    <row r="5473" spans="1:10" ht="15" customHeight="1" x14ac:dyDescent="0.2">
      <c r="A5473" t="s">
        <v>7294</v>
      </c>
      <c r="B5473" t="s">
        <v>7295</v>
      </c>
      <c r="F5473" t="s">
        <v>2430</v>
      </c>
      <c r="G5473" t="s">
        <v>2431</v>
      </c>
      <c r="H5473" t="s">
        <v>2432</v>
      </c>
      <c r="I5473" t="s">
        <v>2433</v>
      </c>
      <c r="J5473" t="s">
        <v>2434</v>
      </c>
    </row>
    <row r="5474" spans="1:10" ht="15" customHeight="1" x14ac:dyDescent="0.2">
      <c r="A5474" s="420">
        <v>45992</v>
      </c>
      <c r="B5474" t="s">
        <v>2439</v>
      </c>
      <c r="C5474" t="s">
        <v>7294</v>
      </c>
      <c r="D5474" t="s">
        <v>4592</v>
      </c>
      <c r="E5474" t="s">
        <v>4593</v>
      </c>
      <c r="G5474">
        <v>10277.41</v>
      </c>
      <c r="I5474">
        <v>10277.41</v>
      </c>
      <c r="J5474" t="s">
        <v>2511</v>
      </c>
    </row>
    <row r="5475" spans="1:10" ht="15" customHeight="1" x14ac:dyDescent="0.2">
      <c r="A5475" s="420">
        <v>45999</v>
      </c>
      <c r="B5475" t="s">
        <v>2333</v>
      </c>
      <c r="C5475" t="s">
        <v>7294</v>
      </c>
      <c r="D5475" t="s">
        <v>7296</v>
      </c>
      <c r="E5475" t="s">
        <v>7297</v>
      </c>
      <c r="F5475">
        <v>10277.41</v>
      </c>
      <c r="J5475" t="s">
        <v>2511</v>
      </c>
    </row>
    <row r="5476" spans="1:10" ht="15" customHeight="1" x14ac:dyDescent="0.2">
      <c r="A5476" t="s">
        <v>7294</v>
      </c>
      <c r="E5476" t="s">
        <v>349</v>
      </c>
      <c r="F5476">
        <v>10277.41</v>
      </c>
      <c r="G5476">
        <v>10277.41</v>
      </c>
    </row>
    <row r="5478" spans="1:10" ht="15" customHeight="1" x14ac:dyDescent="0.2">
      <c r="A5478" t="s">
        <v>7298</v>
      </c>
      <c r="B5478" t="s">
        <v>7299</v>
      </c>
      <c r="F5478" t="s">
        <v>2430</v>
      </c>
      <c r="G5478" t="s">
        <v>2431</v>
      </c>
      <c r="H5478" t="s">
        <v>2432</v>
      </c>
      <c r="I5478" t="s">
        <v>2433</v>
      </c>
      <c r="J5478" t="s">
        <v>2434</v>
      </c>
    </row>
    <row r="5479" spans="1:10" ht="15" customHeight="1" x14ac:dyDescent="0.2">
      <c r="A5479" s="420">
        <v>45967</v>
      </c>
      <c r="B5479" t="s">
        <v>2439</v>
      </c>
      <c r="C5479" t="s">
        <v>7298</v>
      </c>
      <c r="D5479" t="s">
        <v>5593</v>
      </c>
      <c r="E5479" t="s">
        <v>5594</v>
      </c>
      <c r="F5479">
        <v>16546.8</v>
      </c>
      <c r="H5479">
        <v>16546.8</v>
      </c>
      <c r="J5479" t="s">
        <v>2511</v>
      </c>
    </row>
    <row r="5480" spans="1:10" ht="15" customHeight="1" x14ac:dyDescent="0.2">
      <c r="A5480" s="420">
        <v>45967</v>
      </c>
      <c r="B5480" t="s">
        <v>2439</v>
      </c>
      <c r="C5480" t="s">
        <v>7298</v>
      </c>
      <c r="D5480" t="s">
        <v>4600</v>
      </c>
      <c r="E5480" t="s">
        <v>4601</v>
      </c>
      <c r="G5480">
        <v>10365.42</v>
      </c>
      <c r="H5480">
        <v>6181.38</v>
      </c>
      <c r="J5480" t="s">
        <v>2511</v>
      </c>
    </row>
    <row r="5481" spans="1:10" ht="15" customHeight="1" x14ac:dyDescent="0.2">
      <c r="A5481" s="420">
        <v>45971</v>
      </c>
      <c r="B5481" t="s">
        <v>2333</v>
      </c>
      <c r="C5481" t="s">
        <v>7298</v>
      </c>
      <c r="D5481" t="s">
        <v>7278</v>
      </c>
      <c r="E5481" t="s">
        <v>7279</v>
      </c>
      <c r="G5481">
        <v>6181.38</v>
      </c>
      <c r="J5481" t="s">
        <v>2511</v>
      </c>
    </row>
    <row r="5482" spans="1:10" ht="15" customHeight="1" x14ac:dyDescent="0.2">
      <c r="A5482" t="s">
        <v>7298</v>
      </c>
      <c r="E5482" t="s">
        <v>349</v>
      </c>
      <c r="F5482">
        <v>16546.8</v>
      </c>
      <c r="G5482">
        <v>16546.8</v>
      </c>
    </row>
    <row r="5484" spans="1:10" ht="15" customHeight="1" x14ac:dyDescent="0.2">
      <c r="A5484" t="s">
        <v>7300</v>
      </c>
      <c r="B5484" t="s">
        <v>7301</v>
      </c>
      <c r="F5484" t="s">
        <v>2430</v>
      </c>
      <c r="G5484" t="s">
        <v>2431</v>
      </c>
      <c r="H5484" t="s">
        <v>2432</v>
      </c>
      <c r="I5484" t="s">
        <v>2433</v>
      </c>
      <c r="J5484" t="s">
        <v>2434</v>
      </c>
    </row>
    <row r="5485" spans="1:10" ht="15" customHeight="1" x14ac:dyDescent="0.2">
      <c r="A5485" s="420">
        <v>46002</v>
      </c>
      <c r="B5485" t="s">
        <v>2439</v>
      </c>
      <c r="C5485" t="s">
        <v>7300</v>
      </c>
      <c r="D5485" t="s">
        <v>5604</v>
      </c>
      <c r="E5485" t="s">
        <v>5605</v>
      </c>
      <c r="F5485">
        <v>16586.099999999999</v>
      </c>
      <c r="H5485">
        <v>16586.099999999999</v>
      </c>
      <c r="J5485" t="s">
        <v>2511</v>
      </c>
    </row>
    <row r="5486" spans="1:10" ht="15" customHeight="1" x14ac:dyDescent="0.2">
      <c r="A5486" s="420">
        <v>46002</v>
      </c>
      <c r="B5486" t="s">
        <v>2439</v>
      </c>
      <c r="C5486" t="s">
        <v>7300</v>
      </c>
      <c r="D5486" t="s">
        <v>4608</v>
      </c>
      <c r="E5486" t="s">
        <v>4609</v>
      </c>
      <c r="G5486">
        <v>10390.969999999999</v>
      </c>
      <c r="H5486">
        <v>6195.13</v>
      </c>
      <c r="J5486" t="s">
        <v>2511</v>
      </c>
    </row>
    <row r="5487" spans="1:10" ht="15" customHeight="1" x14ac:dyDescent="0.2">
      <c r="A5487" s="420">
        <v>46006</v>
      </c>
      <c r="B5487" t="s">
        <v>2333</v>
      </c>
      <c r="C5487" t="s">
        <v>7300</v>
      </c>
      <c r="D5487" t="s">
        <v>7302</v>
      </c>
      <c r="E5487" t="s">
        <v>7303</v>
      </c>
      <c r="G5487">
        <v>6195.13</v>
      </c>
      <c r="J5487" t="s">
        <v>2511</v>
      </c>
    </row>
    <row r="5488" spans="1:10" ht="15" customHeight="1" x14ac:dyDescent="0.2">
      <c r="A5488" t="s">
        <v>7300</v>
      </c>
      <c r="E5488" t="s">
        <v>349</v>
      </c>
      <c r="F5488">
        <v>16586.099999999999</v>
      </c>
      <c r="G5488">
        <v>16586.099999999999</v>
      </c>
    </row>
    <row r="5490" spans="1:10" ht="15" customHeight="1" x14ac:dyDescent="0.2">
      <c r="A5490" t="s">
        <v>7304</v>
      </c>
      <c r="B5490" t="s">
        <v>3210</v>
      </c>
      <c r="F5490" t="s">
        <v>2430</v>
      </c>
      <c r="G5490" t="s">
        <v>2431</v>
      </c>
      <c r="H5490" t="s">
        <v>2432</v>
      </c>
      <c r="I5490" t="s">
        <v>2433</v>
      </c>
      <c r="J5490" t="s">
        <v>2434</v>
      </c>
    </row>
    <row r="5491" spans="1:10" ht="15" customHeight="1" x14ac:dyDescent="0.2">
      <c r="A5491" s="420">
        <v>45658</v>
      </c>
      <c r="B5491" t="s">
        <v>2435</v>
      </c>
      <c r="C5491" t="s">
        <v>7304</v>
      </c>
      <c r="D5491" t="s">
        <v>2436</v>
      </c>
      <c r="E5491" t="s">
        <v>3194</v>
      </c>
      <c r="F5491">
        <v>9304.9500000000007</v>
      </c>
      <c r="H5491">
        <v>9304.9500000000007</v>
      </c>
      <c r="J5491" t="s">
        <v>2511</v>
      </c>
    </row>
    <row r="5492" spans="1:10" ht="15" customHeight="1" x14ac:dyDescent="0.2">
      <c r="A5492" s="420">
        <v>45658</v>
      </c>
      <c r="B5492" t="s">
        <v>2435</v>
      </c>
      <c r="C5492" t="s">
        <v>7304</v>
      </c>
      <c r="D5492" t="s">
        <v>2436</v>
      </c>
      <c r="E5492" t="s">
        <v>3195</v>
      </c>
      <c r="F5492">
        <v>9431.9500000000007</v>
      </c>
      <c r="H5492">
        <v>18736.900000000001</v>
      </c>
      <c r="J5492" t="s">
        <v>2509</v>
      </c>
    </row>
    <row r="5493" spans="1:10" ht="15" customHeight="1" x14ac:dyDescent="0.2">
      <c r="A5493" s="420">
        <v>45658</v>
      </c>
      <c r="B5493" t="s">
        <v>2435</v>
      </c>
      <c r="C5493" t="s">
        <v>7304</v>
      </c>
      <c r="D5493" t="s">
        <v>2436</v>
      </c>
      <c r="E5493" t="s">
        <v>3196</v>
      </c>
      <c r="F5493">
        <v>8784.25</v>
      </c>
      <c r="H5493">
        <v>27521.15</v>
      </c>
      <c r="J5493" t="s">
        <v>2513</v>
      </c>
    </row>
    <row r="5494" spans="1:10" ht="15" customHeight="1" x14ac:dyDescent="0.2">
      <c r="A5494" s="420">
        <v>45658</v>
      </c>
      <c r="B5494" t="s">
        <v>2435</v>
      </c>
      <c r="C5494" t="s">
        <v>7304</v>
      </c>
      <c r="D5494" t="s">
        <v>2436</v>
      </c>
      <c r="E5494" t="s">
        <v>3197</v>
      </c>
      <c r="F5494">
        <v>8784.25</v>
      </c>
      <c r="H5494">
        <v>36305.4</v>
      </c>
      <c r="J5494" t="s">
        <v>2587</v>
      </c>
    </row>
    <row r="5495" spans="1:10" ht="15" customHeight="1" x14ac:dyDescent="0.2">
      <c r="A5495" s="420">
        <v>45658</v>
      </c>
      <c r="B5495" t="s">
        <v>2435</v>
      </c>
      <c r="C5495" t="s">
        <v>7304</v>
      </c>
      <c r="D5495" t="s">
        <v>2436</v>
      </c>
      <c r="E5495" t="s">
        <v>3198</v>
      </c>
      <c r="F5495">
        <v>8803.2999999999993</v>
      </c>
      <c r="H5495">
        <v>45108.7</v>
      </c>
      <c r="J5495" t="s">
        <v>2586</v>
      </c>
    </row>
    <row r="5496" spans="1:10" ht="15" customHeight="1" x14ac:dyDescent="0.2">
      <c r="A5496" s="420">
        <v>45658</v>
      </c>
      <c r="B5496" t="s">
        <v>2435</v>
      </c>
      <c r="C5496" t="s">
        <v>7304</v>
      </c>
      <c r="D5496" t="s">
        <v>2436</v>
      </c>
      <c r="E5496" t="s">
        <v>3199</v>
      </c>
      <c r="F5496">
        <v>9635.15</v>
      </c>
      <c r="H5496">
        <v>54743.85</v>
      </c>
      <c r="J5496" t="s">
        <v>2604</v>
      </c>
    </row>
    <row r="5497" spans="1:10" ht="15" customHeight="1" x14ac:dyDescent="0.2">
      <c r="A5497" s="420">
        <v>45658</v>
      </c>
      <c r="B5497" t="s">
        <v>2435</v>
      </c>
      <c r="C5497" t="s">
        <v>7304</v>
      </c>
      <c r="D5497" t="s">
        <v>2436</v>
      </c>
      <c r="E5497" t="s">
        <v>3200</v>
      </c>
      <c r="F5497">
        <v>10066.950000000001</v>
      </c>
      <c r="H5497">
        <v>64810.8</v>
      </c>
      <c r="J5497" t="s">
        <v>2585</v>
      </c>
    </row>
    <row r="5498" spans="1:10" ht="15" customHeight="1" x14ac:dyDescent="0.2">
      <c r="A5498" s="420">
        <v>45658</v>
      </c>
      <c r="B5498" t="s">
        <v>2435</v>
      </c>
      <c r="C5498" t="s">
        <v>7304</v>
      </c>
      <c r="D5498" t="s">
        <v>2436</v>
      </c>
      <c r="E5498" t="s">
        <v>3201</v>
      </c>
      <c r="F5498">
        <v>9165.25</v>
      </c>
      <c r="H5498">
        <v>73976.05</v>
      </c>
      <c r="J5498" t="s">
        <v>2599</v>
      </c>
    </row>
    <row r="5499" spans="1:10" ht="15" customHeight="1" x14ac:dyDescent="0.2">
      <c r="A5499" s="420">
        <v>45658</v>
      </c>
      <c r="B5499" t="s">
        <v>2435</v>
      </c>
      <c r="C5499" t="s">
        <v>7304</v>
      </c>
      <c r="D5499" t="s">
        <v>2436</v>
      </c>
      <c r="E5499" t="s">
        <v>3202</v>
      </c>
      <c r="F5499">
        <v>8784.25</v>
      </c>
      <c r="H5499">
        <v>82760.3</v>
      </c>
      <c r="J5499" t="s">
        <v>2603</v>
      </c>
    </row>
    <row r="5500" spans="1:10" ht="15" customHeight="1" x14ac:dyDescent="0.2">
      <c r="A5500" s="420">
        <v>45665</v>
      </c>
      <c r="B5500" t="s">
        <v>5544</v>
      </c>
      <c r="C5500" t="s">
        <v>7304</v>
      </c>
      <c r="D5500" t="s">
        <v>7011</v>
      </c>
      <c r="E5500" t="s">
        <v>7012</v>
      </c>
      <c r="G5500">
        <v>8784.25</v>
      </c>
      <c r="H5500">
        <v>73976.05</v>
      </c>
      <c r="J5500" t="s">
        <v>2513</v>
      </c>
    </row>
    <row r="5501" spans="1:10" ht="15" customHeight="1" x14ac:dyDescent="0.2">
      <c r="A5501" s="420">
        <v>45666</v>
      </c>
      <c r="B5501" t="s">
        <v>2547</v>
      </c>
      <c r="C5501" t="s">
        <v>7304</v>
      </c>
      <c r="D5501" t="s">
        <v>3205</v>
      </c>
      <c r="E5501" t="s">
        <v>3206</v>
      </c>
      <c r="F5501">
        <v>10524.15</v>
      </c>
      <c r="H5501">
        <v>84500.2</v>
      </c>
    </row>
    <row r="5502" spans="1:10" ht="15" customHeight="1" x14ac:dyDescent="0.2">
      <c r="A5502" s="420">
        <v>45667</v>
      </c>
      <c r="B5502" t="s">
        <v>2547</v>
      </c>
      <c r="C5502" t="s">
        <v>7304</v>
      </c>
      <c r="D5502" t="s">
        <v>3207</v>
      </c>
      <c r="E5502" t="s">
        <v>3208</v>
      </c>
      <c r="G5502">
        <v>10066.950000000001</v>
      </c>
      <c r="H5502">
        <v>74433.25</v>
      </c>
      <c r="J5502" t="s">
        <v>2585</v>
      </c>
    </row>
    <row r="5503" spans="1:10" ht="15" customHeight="1" x14ac:dyDescent="0.2">
      <c r="A5503" s="420">
        <v>45667</v>
      </c>
      <c r="B5503" t="s">
        <v>2547</v>
      </c>
      <c r="C5503" t="s">
        <v>7304</v>
      </c>
      <c r="D5503" t="s">
        <v>3209</v>
      </c>
      <c r="E5503" t="s">
        <v>3210</v>
      </c>
      <c r="F5503">
        <v>10628.94</v>
      </c>
      <c r="H5503">
        <v>85062.19</v>
      </c>
    </row>
    <row r="5504" spans="1:10" ht="15" customHeight="1" x14ac:dyDescent="0.2">
      <c r="A5504" s="420">
        <v>45671</v>
      </c>
      <c r="B5504" t="s">
        <v>5544</v>
      </c>
      <c r="C5504" t="s">
        <v>7304</v>
      </c>
      <c r="D5504" t="s">
        <v>7013</v>
      </c>
      <c r="E5504" t="s">
        <v>7014</v>
      </c>
      <c r="G5504">
        <v>9431.9500000000007</v>
      </c>
      <c r="H5504">
        <v>75630.240000000005</v>
      </c>
      <c r="J5504" t="s">
        <v>2509</v>
      </c>
    </row>
    <row r="5505" spans="1:10" ht="15" customHeight="1" x14ac:dyDescent="0.2">
      <c r="A5505" s="420">
        <v>45677</v>
      </c>
      <c r="B5505" t="s">
        <v>5544</v>
      </c>
      <c r="C5505" t="s">
        <v>7304</v>
      </c>
      <c r="D5505" t="s">
        <v>7015</v>
      </c>
      <c r="E5505" t="s">
        <v>7016</v>
      </c>
      <c r="G5505">
        <v>9304.9500000000007</v>
      </c>
      <c r="H5505">
        <v>66325.289999999994</v>
      </c>
      <c r="J5505" t="s">
        <v>2511</v>
      </c>
    </row>
    <row r="5506" spans="1:10" ht="15" customHeight="1" x14ac:dyDescent="0.2">
      <c r="A5506" s="420">
        <v>45692</v>
      </c>
      <c r="B5506" t="s">
        <v>2547</v>
      </c>
      <c r="C5506" t="s">
        <v>7304</v>
      </c>
      <c r="D5506" t="s">
        <v>3215</v>
      </c>
      <c r="E5506" t="s">
        <v>3216</v>
      </c>
      <c r="F5506">
        <v>9236.64</v>
      </c>
      <c r="H5506">
        <v>75561.929999999993</v>
      </c>
      <c r="J5506" t="s">
        <v>2600</v>
      </c>
    </row>
    <row r="5507" spans="1:10" ht="15" customHeight="1" x14ac:dyDescent="0.2">
      <c r="A5507" s="420">
        <v>45719</v>
      </c>
      <c r="B5507" t="s">
        <v>5544</v>
      </c>
      <c r="C5507" t="s">
        <v>7304</v>
      </c>
      <c r="D5507" t="s">
        <v>7017</v>
      </c>
      <c r="E5507" t="s">
        <v>7018</v>
      </c>
      <c r="G5507">
        <v>8803.2999999999993</v>
      </c>
      <c r="H5507">
        <v>66758.63</v>
      </c>
      <c r="J5507" t="s">
        <v>2586</v>
      </c>
    </row>
    <row r="5508" spans="1:10" ht="15" customHeight="1" x14ac:dyDescent="0.2">
      <c r="A5508" s="420">
        <v>45729</v>
      </c>
      <c r="B5508" t="s">
        <v>2547</v>
      </c>
      <c r="C5508" t="s">
        <v>7304</v>
      </c>
      <c r="D5508" t="s">
        <v>3238</v>
      </c>
      <c r="E5508" t="s">
        <v>3239</v>
      </c>
      <c r="F5508">
        <v>9511.7999999999993</v>
      </c>
      <c r="H5508">
        <v>76270.429999999993</v>
      </c>
    </row>
    <row r="5509" spans="1:10" ht="15" customHeight="1" x14ac:dyDescent="0.2">
      <c r="A5509" s="420">
        <v>45748</v>
      </c>
      <c r="B5509" t="s">
        <v>5544</v>
      </c>
      <c r="C5509" t="s">
        <v>7304</v>
      </c>
      <c r="D5509" t="s">
        <v>7019</v>
      </c>
      <c r="E5509" t="s">
        <v>7020</v>
      </c>
      <c r="G5509">
        <v>8784.25</v>
      </c>
      <c r="H5509">
        <v>67486.179999999993</v>
      </c>
      <c r="J5509" t="s">
        <v>2587</v>
      </c>
    </row>
    <row r="5510" spans="1:10" ht="15" customHeight="1" x14ac:dyDescent="0.2">
      <c r="A5510" s="420">
        <v>45754</v>
      </c>
      <c r="B5510" t="s">
        <v>2547</v>
      </c>
      <c r="C5510" t="s">
        <v>7304</v>
      </c>
      <c r="D5510" t="s">
        <v>3244</v>
      </c>
      <c r="E5510" t="s">
        <v>3245</v>
      </c>
      <c r="F5510">
        <v>7670.3</v>
      </c>
      <c r="H5510">
        <v>75156.479999999996</v>
      </c>
      <c r="J5510" t="s">
        <v>2710</v>
      </c>
    </row>
    <row r="5511" spans="1:10" ht="15" customHeight="1" x14ac:dyDescent="0.2">
      <c r="A5511" s="420">
        <v>45777</v>
      </c>
      <c r="B5511" t="s">
        <v>5544</v>
      </c>
      <c r="C5511" t="s">
        <v>7304</v>
      </c>
      <c r="D5511" t="s">
        <v>7021</v>
      </c>
      <c r="E5511" t="s">
        <v>7022</v>
      </c>
      <c r="G5511">
        <v>8784.25</v>
      </c>
      <c r="H5511">
        <v>66372.23</v>
      </c>
      <c r="J5511" t="s">
        <v>2603</v>
      </c>
    </row>
    <row r="5512" spans="1:10" ht="15" customHeight="1" x14ac:dyDescent="0.2">
      <c r="A5512" s="420">
        <v>45782</v>
      </c>
      <c r="B5512" t="s">
        <v>2547</v>
      </c>
      <c r="C5512" t="s">
        <v>7304</v>
      </c>
      <c r="D5512" t="s">
        <v>3256</v>
      </c>
      <c r="E5512" t="s">
        <v>3257</v>
      </c>
      <c r="F5512">
        <v>8813.2999999999993</v>
      </c>
      <c r="H5512">
        <v>75185.53</v>
      </c>
    </row>
    <row r="5513" spans="1:10" ht="15" customHeight="1" x14ac:dyDescent="0.2">
      <c r="A5513" s="420">
        <v>45811</v>
      </c>
      <c r="B5513" t="s">
        <v>2547</v>
      </c>
      <c r="C5513" t="s">
        <v>7304</v>
      </c>
      <c r="D5513" t="s">
        <v>3264</v>
      </c>
      <c r="E5513" t="s">
        <v>3265</v>
      </c>
      <c r="F5513">
        <v>10045.200000000001</v>
      </c>
      <c r="H5513">
        <v>85230.73</v>
      </c>
    </row>
    <row r="5514" spans="1:10" ht="15" customHeight="1" x14ac:dyDescent="0.2">
      <c r="A5514" s="420">
        <v>45811</v>
      </c>
      <c r="B5514" t="s">
        <v>5544</v>
      </c>
      <c r="C5514" t="s">
        <v>7304</v>
      </c>
      <c r="D5514" t="s">
        <v>7023</v>
      </c>
      <c r="E5514" t="s">
        <v>7024</v>
      </c>
      <c r="G5514">
        <v>9635.15</v>
      </c>
      <c r="H5514">
        <v>75595.58</v>
      </c>
      <c r="J5514" t="s">
        <v>2604</v>
      </c>
    </row>
    <row r="5515" spans="1:10" ht="15" customHeight="1" x14ac:dyDescent="0.2">
      <c r="A5515" s="420">
        <v>45811</v>
      </c>
      <c r="B5515" t="s">
        <v>2547</v>
      </c>
      <c r="C5515" t="s">
        <v>7304</v>
      </c>
      <c r="D5515" t="s">
        <v>3266</v>
      </c>
      <c r="E5515" t="s">
        <v>3267</v>
      </c>
      <c r="F5515">
        <v>8267.2000000000007</v>
      </c>
      <c r="H5515">
        <v>83862.78</v>
      </c>
    </row>
    <row r="5516" spans="1:10" ht="15" customHeight="1" x14ac:dyDescent="0.2">
      <c r="A5516" s="420">
        <v>45839</v>
      </c>
      <c r="B5516" t="s">
        <v>5544</v>
      </c>
      <c r="C5516" t="s">
        <v>7304</v>
      </c>
      <c r="D5516" t="s">
        <v>7025</v>
      </c>
      <c r="E5516" t="s">
        <v>7026</v>
      </c>
      <c r="G5516">
        <v>9165.25</v>
      </c>
      <c r="H5516">
        <v>74697.53</v>
      </c>
      <c r="J5516" t="s">
        <v>2599</v>
      </c>
    </row>
    <row r="5517" spans="1:10" ht="15" customHeight="1" x14ac:dyDescent="0.2">
      <c r="A5517" s="420">
        <v>45839</v>
      </c>
      <c r="B5517" t="s">
        <v>5544</v>
      </c>
      <c r="C5517" t="s">
        <v>7304</v>
      </c>
      <c r="D5517" t="s">
        <v>7027</v>
      </c>
      <c r="E5517" t="s">
        <v>7028</v>
      </c>
      <c r="G5517">
        <v>9236.64</v>
      </c>
      <c r="H5517">
        <v>65460.89</v>
      </c>
      <c r="J5517" t="s">
        <v>2600</v>
      </c>
    </row>
    <row r="5518" spans="1:10" ht="15" customHeight="1" x14ac:dyDescent="0.2">
      <c r="A5518" s="420">
        <v>45839</v>
      </c>
      <c r="B5518" t="s">
        <v>2517</v>
      </c>
      <c r="C5518" t="s">
        <v>7304</v>
      </c>
      <c r="D5518" t="s">
        <v>7305</v>
      </c>
      <c r="E5518" t="s">
        <v>7306</v>
      </c>
      <c r="G5518">
        <v>57790.59</v>
      </c>
      <c r="H5518">
        <v>7670.3</v>
      </c>
    </row>
    <row r="5519" spans="1:10" ht="15" customHeight="1" x14ac:dyDescent="0.2">
      <c r="A5519" s="420">
        <v>45964</v>
      </c>
      <c r="B5519" t="s">
        <v>5544</v>
      </c>
      <c r="C5519" t="s">
        <v>7304</v>
      </c>
      <c r="D5519" t="s">
        <v>7035</v>
      </c>
      <c r="E5519" t="s">
        <v>7307</v>
      </c>
      <c r="G5519">
        <v>7670.3</v>
      </c>
      <c r="J5519" t="s">
        <v>2710</v>
      </c>
    </row>
    <row r="5520" spans="1:10" ht="15" customHeight="1" x14ac:dyDescent="0.2">
      <c r="A5520" t="s">
        <v>7304</v>
      </c>
      <c r="E5520" t="s">
        <v>349</v>
      </c>
      <c r="F5520">
        <v>157457.82999999999</v>
      </c>
      <c r="G5520">
        <v>157457.82999999999</v>
      </c>
    </row>
    <row r="5522" spans="1:10" ht="15" customHeight="1" x14ac:dyDescent="0.2">
      <c r="A5522" t="s">
        <v>7308</v>
      </c>
      <c r="B5522" t="s">
        <v>7309</v>
      </c>
      <c r="F5522" t="s">
        <v>2430</v>
      </c>
      <c r="G5522" t="s">
        <v>2431</v>
      </c>
      <c r="H5522" t="s">
        <v>2432</v>
      </c>
      <c r="I5522" t="s">
        <v>2433</v>
      </c>
      <c r="J5522" t="s">
        <v>2434</v>
      </c>
    </row>
    <row r="5523" spans="1:10" ht="15" customHeight="1" x14ac:dyDescent="0.2">
      <c r="A5523" s="420">
        <v>45658</v>
      </c>
      <c r="B5523" t="s">
        <v>2435</v>
      </c>
      <c r="C5523" t="s">
        <v>7308</v>
      </c>
      <c r="D5523" t="s">
        <v>2436</v>
      </c>
      <c r="E5523" t="s">
        <v>5576</v>
      </c>
      <c r="G5523">
        <v>10348.64</v>
      </c>
      <c r="I5523">
        <v>10348.64</v>
      </c>
      <c r="J5523" t="s">
        <v>2511</v>
      </c>
    </row>
    <row r="5524" spans="1:10" ht="15" customHeight="1" x14ac:dyDescent="0.2">
      <c r="A5524" s="420">
        <v>45658</v>
      </c>
      <c r="B5524" t="s">
        <v>2435</v>
      </c>
      <c r="C5524" t="s">
        <v>7308</v>
      </c>
      <c r="D5524" t="s">
        <v>2436</v>
      </c>
      <c r="E5524" t="s">
        <v>5988</v>
      </c>
      <c r="G5524">
        <v>9359.1</v>
      </c>
      <c r="I5524">
        <v>19707.740000000002</v>
      </c>
      <c r="J5524" t="s">
        <v>2509</v>
      </c>
    </row>
    <row r="5525" spans="1:10" ht="15" customHeight="1" x14ac:dyDescent="0.2">
      <c r="A5525" s="420">
        <v>45658</v>
      </c>
      <c r="B5525" t="s">
        <v>2435</v>
      </c>
      <c r="C5525" t="s">
        <v>7308</v>
      </c>
      <c r="D5525" t="s">
        <v>2436</v>
      </c>
      <c r="E5525" t="s">
        <v>7310</v>
      </c>
      <c r="G5525">
        <v>9126</v>
      </c>
      <c r="I5525">
        <v>28833.74</v>
      </c>
      <c r="J5525" t="s">
        <v>2513</v>
      </c>
    </row>
    <row r="5526" spans="1:10" ht="15" customHeight="1" x14ac:dyDescent="0.2">
      <c r="A5526" s="420">
        <v>45658</v>
      </c>
      <c r="B5526" t="s">
        <v>2435</v>
      </c>
      <c r="C5526" t="s">
        <v>7308</v>
      </c>
      <c r="D5526" t="s">
        <v>2436</v>
      </c>
      <c r="E5526" t="s">
        <v>7311</v>
      </c>
      <c r="G5526">
        <v>9097.65</v>
      </c>
      <c r="I5526">
        <v>37931.39</v>
      </c>
      <c r="J5526" t="s">
        <v>2585</v>
      </c>
    </row>
    <row r="5527" spans="1:10" ht="15" customHeight="1" x14ac:dyDescent="0.2">
      <c r="A5527" s="420">
        <v>45658</v>
      </c>
      <c r="B5527" t="s">
        <v>2435</v>
      </c>
      <c r="C5527" t="s">
        <v>7308</v>
      </c>
      <c r="D5527" t="s">
        <v>2436</v>
      </c>
      <c r="E5527" t="s">
        <v>7312</v>
      </c>
      <c r="G5527">
        <v>9560.7000000000007</v>
      </c>
      <c r="I5527">
        <v>47492.09</v>
      </c>
      <c r="J5527" t="s">
        <v>2603</v>
      </c>
    </row>
    <row r="5528" spans="1:10" ht="15" customHeight="1" x14ac:dyDescent="0.2">
      <c r="A5528" s="420">
        <v>45658</v>
      </c>
      <c r="B5528" t="s">
        <v>2435</v>
      </c>
      <c r="C5528" t="s">
        <v>7308</v>
      </c>
      <c r="D5528" t="s">
        <v>2436</v>
      </c>
      <c r="E5528" t="s">
        <v>7313</v>
      </c>
      <c r="G5528">
        <v>9252</v>
      </c>
      <c r="I5528">
        <v>56744.09</v>
      </c>
      <c r="J5528" t="s">
        <v>2586</v>
      </c>
    </row>
    <row r="5529" spans="1:10" ht="15" customHeight="1" x14ac:dyDescent="0.2">
      <c r="A5529" s="420">
        <v>45658</v>
      </c>
      <c r="B5529" t="s">
        <v>2435</v>
      </c>
      <c r="C5529" t="s">
        <v>7308</v>
      </c>
      <c r="D5529" t="s">
        <v>2436</v>
      </c>
      <c r="E5529" t="s">
        <v>7314</v>
      </c>
      <c r="G5529">
        <v>9989.1</v>
      </c>
      <c r="I5529">
        <v>66733.19</v>
      </c>
      <c r="J5529" t="s">
        <v>2602</v>
      </c>
    </row>
    <row r="5530" spans="1:10" ht="15" customHeight="1" x14ac:dyDescent="0.2">
      <c r="A5530" s="420">
        <v>45664</v>
      </c>
      <c r="B5530" t="s">
        <v>2333</v>
      </c>
      <c r="C5530" t="s">
        <v>7308</v>
      </c>
      <c r="D5530" t="s">
        <v>7315</v>
      </c>
      <c r="E5530" t="s">
        <v>7316</v>
      </c>
      <c r="G5530">
        <v>8716.5</v>
      </c>
      <c r="I5530">
        <v>75449.69</v>
      </c>
      <c r="J5530" t="s">
        <v>2587</v>
      </c>
    </row>
    <row r="5531" spans="1:10" ht="15" customHeight="1" x14ac:dyDescent="0.2">
      <c r="A5531" s="420">
        <v>45665</v>
      </c>
      <c r="B5531" t="s">
        <v>5544</v>
      </c>
      <c r="C5531" t="s">
        <v>7308</v>
      </c>
      <c r="D5531" t="s">
        <v>7011</v>
      </c>
      <c r="E5531" t="s">
        <v>7012</v>
      </c>
      <c r="F5531">
        <v>9126</v>
      </c>
      <c r="I5531">
        <v>66323.69</v>
      </c>
      <c r="J5531" t="s">
        <v>2513</v>
      </c>
    </row>
    <row r="5532" spans="1:10" ht="15" customHeight="1" x14ac:dyDescent="0.2">
      <c r="A5532" s="420">
        <v>45671</v>
      </c>
      <c r="B5532" t="s">
        <v>5544</v>
      </c>
      <c r="C5532" t="s">
        <v>7308</v>
      </c>
      <c r="D5532" t="s">
        <v>7013</v>
      </c>
      <c r="E5532" t="s">
        <v>7014</v>
      </c>
      <c r="F5532">
        <v>9359.1</v>
      </c>
      <c r="I5532">
        <v>56964.59</v>
      </c>
      <c r="J5532" t="s">
        <v>2509</v>
      </c>
    </row>
    <row r="5533" spans="1:10" ht="15" customHeight="1" x14ac:dyDescent="0.2">
      <c r="A5533" s="420">
        <v>45677</v>
      </c>
      <c r="B5533" t="s">
        <v>5544</v>
      </c>
      <c r="C5533" t="s">
        <v>7308</v>
      </c>
      <c r="D5533" t="s">
        <v>7015</v>
      </c>
      <c r="E5533" t="s">
        <v>7016</v>
      </c>
      <c r="F5533">
        <v>10348.64</v>
      </c>
      <c r="I5533">
        <v>46615.95</v>
      </c>
      <c r="J5533" t="s">
        <v>2511</v>
      </c>
    </row>
    <row r="5534" spans="1:10" ht="15" customHeight="1" x14ac:dyDescent="0.2">
      <c r="A5534" s="420">
        <v>45693</v>
      </c>
      <c r="B5534" t="s">
        <v>2333</v>
      </c>
      <c r="C5534" t="s">
        <v>7308</v>
      </c>
      <c r="D5534" t="s">
        <v>5688</v>
      </c>
      <c r="E5534" t="s">
        <v>5689</v>
      </c>
      <c r="G5534">
        <v>9094.5</v>
      </c>
      <c r="I5534">
        <v>55710.45</v>
      </c>
      <c r="J5534" t="s">
        <v>2604</v>
      </c>
    </row>
    <row r="5535" spans="1:10" ht="15" customHeight="1" x14ac:dyDescent="0.2">
      <c r="A5535" s="420">
        <v>45702</v>
      </c>
      <c r="B5535" t="s">
        <v>2333</v>
      </c>
      <c r="C5535" t="s">
        <v>7308</v>
      </c>
      <c r="D5535" t="s">
        <v>7317</v>
      </c>
      <c r="E5535" t="s">
        <v>7318</v>
      </c>
      <c r="G5535">
        <v>10442.700000000001</v>
      </c>
      <c r="I5535">
        <v>66153.149999999994</v>
      </c>
      <c r="J5535" t="s">
        <v>2601</v>
      </c>
    </row>
    <row r="5536" spans="1:10" ht="15" customHeight="1" x14ac:dyDescent="0.2">
      <c r="A5536" s="420">
        <v>45719</v>
      </c>
      <c r="B5536" t="s">
        <v>5544</v>
      </c>
      <c r="C5536" t="s">
        <v>7308</v>
      </c>
      <c r="D5536" t="s">
        <v>7017</v>
      </c>
      <c r="E5536" t="s">
        <v>7018</v>
      </c>
      <c r="F5536">
        <v>9097.65</v>
      </c>
      <c r="I5536">
        <v>57055.5</v>
      </c>
      <c r="J5536" t="s">
        <v>2585</v>
      </c>
    </row>
    <row r="5537" spans="1:10" ht="15" customHeight="1" x14ac:dyDescent="0.2">
      <c r="A5537" s="420">
        <v>45720</v>
      </c>
      <c r="B5537" t="s">
        <v>2333</v>
      </c>
      <c r="C5537" t="s">
        <v>7308</v>
      </c>
      <c r="D5537" t="s">
        <v>7319</v>
      </c>
      <c r="E5537" t="s">
        <v>7320</v>
      </c>
      <c r="G5537">
        <v>9151.2000000000007</v>
      </c>
      <c r="I5537">
        <v>66206.7</v>
      </c>
      <c r="J5537" t="s">
        <v>2599</v>
      </c>
    </row>
    <row r="5538" spans="1:10" ht="15" customHeight="1" x14ac:dyDescent="0.2">
      <c r="A5538" s="420">
        <v>45748</v>
      </c>
      <c r="B5538" t="s">
        <v>5544</v>
      </c>
      <c r="C5538" t="s">
        <v>7308</v>
      </c>
      <c r="D5538" t="s">
        <v>7019</v>
      </c>
      <c r="E5538" t="s">
        <v>7020</v>
      </c>
      <c r="F5538">
        <v>9252</v>
      </c>
      <c r="I5538">
        <v>56954.7</v>
      </c>
      <c r="J5538" t="s">
        <v>2586</v>
      </c>
    </row>
    <row r="5539" spans="1:10" ht="15" customHeight="1" x14ac:dyDescent="0.2">
      <c r="A5539" s="420">
        <v>45749</v>
      </c>
      <c r="B5539" t="s">
        <v>2333</v>
      </c>
      <c r="C5539" t="s">
        <v>7308</v>
      </c>
      <c r="D5539" t="s">
        <v>7321</v>
      </c>
      <c r="E5539" t="s">
        <v>7322</v>
      </c>
      <c r="G5539">
        <v>9828.4500000000007</v>
      </c>
      <c r="I5539">
        <v>66783.149999999994</v>
      </c>
      <c r="J5539" t="s">
        <v>2600</v>
      </c>
    </row>
    <row r="5540" spans="1:10" ht="15" customHeight="1" x14ac:dyDescent="0.2">
      <c r="A5540" s="420">
        <v>45769</v>
      </c>
      <c r="B5540" t="s">
        <v>2333</v>
      </c>
      <c r="C5540" t="s">
        <v>7308</v>
      </c>
      <c r="D5540" t="s">
        <v>7323</v>
      </c>
      <c r="E5540" t="s">
        <v>7324</v>
      </c>
      <c r="G5540">
        <v>8203.0499999999993</v>
      </c>
      <c r="I5540">
        <v>74986.2</v>
      </c>
      <c r="J5540" t="s">
        <v>2605</v>
      </c>
    </row>
    <row r="5541" spans="1:10" ht="15" customHeight="1" x14ac:dyDescent="0.2">
      <c r="A5541" s="420">
        <v>45773</v>
      </c>
      <c r="B5541" t="s">
        <v>2333</v>
      </c>
      <c r="C5541" t="s">
        <v>7308</v>
      </c>
      <c r="D5541" t="s">
        <v>7325</v>
      </c>
      <c r="E5541" t="s">
        <v>7326</v>
      </c>
      <c r="G5541">
        <v>8332.2000000000007</v>
      </c>
      <c r="I5541">
        <v>83318.399999999994</v>
      </c>
      <c r="J5541" t="s">
        <v>2710</v>
      </c>
    </row>
    <row r="5542" spans="1:10" ht="15" customHeight="1" x14ac:dyDescent="0.2">
      <c r="A5542" s="420">
        <v>45777</v>
      </c>
      <c r="B5542" t="s">
        <v>5544</v>
      </c>
      <c r="C5542" t="s">
        <v>7308</v>
      </c>
      <c r="D5542" t="s">
        <v>7021</v>
      </c>
      <c r="E5542" t="s">
        <v>7022</v>
      </c>
      <c r="F5542">
        <v>8716.5</v>
      </c>
      <c r="I5542">
        <v>74601.899999999994</v>
      </c>
      <c r="J5542" t="s">
        <v>2587</v>
      </c>
    </row>
    <row r="5543" spans="1:10" ht="15" customHeight="1" x14ac:dyDescent="0.2">
      <c r="A5543" s="420">
        <v>45800</v>
      </c>
      <c r="B5543" t="s">
        <v>2333</v>
      </c>
      <c r="C5543" t="s">
        <v>7308</v>
      </c>
      <c r="D5543" t="s">
        <v>7327</v>
      </c>
      <c r="E5543" t="s">
        <v>7328</v>
      </c>
      <c r="G5543">
        <v>9239.9500000000007</v>
      </c>
      <c r="I5543">
        <v>83841.850000000006</v>
      </c>
      <c r="J5543" t="s">
        <v>2715</v>
      </c>
    </row>
    <row r="5544" spans="1:10" ht="15" customHeight="1" x14ac:dyDescent="0.2">
      <c r="A5544" s="420">
        <v>45801</v>
      </c>
      <c r="B5544" t="s">
        <v>2333</v>
      </c>
      <c r="C5544" t="s">
        <v>7308</v>
      </c>
      <c r="D5544" t="s">
        <v>7329</v>
      </c>
      <c r="E5544" t="s">
        <v>7330</v>
      </c>
      <c r="G5544">
        <v>10588.15</v>
      </c>
      <c r="I5544">
        <v>94430</v>
      </c>
    </row>
    <row r="5545" spans="1:10" ht="15" customHeight="1" x14ac:dyDescent="0.2">
      <c r="A5545" s="420">
        <v>45811</v>
      </c>
      <c r="B5545" t="s">
        <v>5544</v>
      </c>
      <c r="C5545" t="s">
        <v>7308</v>
      </c>
      <c r="D5545" t="s">
        <v>7023</v>
      </c>
      <c r="E5545" t="s">
        <v>7024</v>
      </c>
      <c r="F5545">
        <v>9560.7000000000007</v>
      </c>
      <c r="I5545">
        <v>84869.3</v>
      </c>
      <c r="J5545" t="s">
        <v>2603</v>
      </c>
    </row>
    <row r="5546" spans="1:10" ht="15" customHeight="1" x14ac:dyDescent="0.2">
      <c r="A5546" s="420">
        <v>45835</v>
      </c>
      <c r="B5546" t="s">
        <v>2333</v>
      </c>
      <c r="C5546" t="s">
        <v>7308</v>
      </c>
      <c r="D5546" t="s">
        <v>5653</v>
      </c>
      <c r="E5546" t="s">
        <v>7331</v>
      </c>
      <c r="G5546">
        <v>8760.6</v>
      </c>
      <c r="I5546">
        <v>93629.9</v>
      </c>
    </row>
    <row r="5547" spans="1:10" ht="15" customHeight="1" x14ac:dyDescent="0.2">
      <c r="A5547" s="420">
        <v>45839</v>
      </c>
      <c r="B5547" t="s">
        <v>5544</v>
      </c>
      <c r="C5547" t="s">
        <v>7308</v>
      </c>
      <c r="D5547" t="s">
        <v>7025</v>
      </c>
      <c r="E5547" t="s">
        <v>7026</v>
      </c>
      <c r="F5547">
        <v>9094.5</v>
      </c>
      <c r="I5547">
        <v>84535.4</v>
      </c>
      <c r="J5547" t="s">
        <v>2604</v>
      </c>
    </row>
    <row r="5548" spans="1:10" ht="15" customHeight="1" x14ac:dyDescent="0.2">
      <c r="A5548" s="420">
        <v>45839</v>
      </c>
      <c r="B5548" t="s">
        <v>5544</v>
      </c>
      <c r="C5548" t="s">
        <v>7308</v>
      </c>
      <c r="D5548" t="s">
        <v>7027</v>
      </c>
      <c r="E5548" t="s">
        <v>7028</v>
      </c>
      <c r="F5548">
        <v>9151.2000000000007</v>
      </c>
      <c r="I5548">
        <v>75384.2</v>
      </c>
      <c r="J5548" t="s">
        <v>2599</v>
      </c>
    </row>
    <row r="5549" spans="1:10" ht="15" customHeight="1" x14ac:dyDescent="0.2">
      <c r="A5549" s="420">
        <v>45839</v>
      </c>
      <c r="B5549" t="s">
        <v>2517</v>
      </c>
      <c r="C5549" t="s">
        <v>7308</v>
      </c>
      <c r="D5549" t="s">
        <v>7332</v>
      </c>
      <c r="E5549" t="s">
        <v>854</v>
      </c>
      <c r="F5549">
        <v>19348.75</v>
      </c>
      <c r="I5549">
        <v>56035.45</v>
      </c>
    </row>
    <row r="5550" spans="1:10" ht="15" customHeight="1" x14ac:dyDescent="0.2">
      <c r="A5550" s="420">
        <v>45880</v>
      </c>
      <c r="B5550" t="s">
        <v>5586</v>
      </c>
      <c r="C5550" t="s">
        <v>7308</v>
      </c>
      <c r="D5550" t="s">
        <v>7029</v>
      </c>
      <c r="E5550" t="s">
        <v>7030</v>
      </c>
      <c r="F5550">
        <v>10442.700000000001</v>
      </c>
      <c r="I5550">
        <v>45592.75</v>
      </c>
      <c r="J5550" t="s">
        <v>2601</v>
      </c>
    </row>
    <row r="5551" spans="1:10" ht="15" customHeight="1" x14ac:dyDescent="0.2">
      <c r="A5551" s="420">
        <v>45880</v>
      </c>
      <c r="B5551" t="s">
        <v>5586</v>
      </c>
      <c r="C5551" t="s">
        <v>7308</v>
      </c>
      <c r="D5551" t="s">
        <v>7031</v>
      </c>
      <c r="E5551" t="s">
        <v>7032</v>
      </c>
      <c r="F5551">
        <v>9989.1</v>
      </c>
      <c r="I5551">
        <v>35603.65</v>
      </c>
      <c r="J5551" t="s">
        <v>2602</v>
      </c>
    </row>
    <row r="5552" spans="1:10" ht="15" customHeight="1" x14ac:dyDescent="0.2">
      <c r="A5552" s="420">
        <v>45912</v>
      </c>
      <c r="B5552" t="s">
        <v>5586</v>
      </c>
      <c r="C5552" t="s">
        <v>7308</v>
      </c>
      <c r="D5552" t="s">
        <v>7033</v>
      </c>
      <c r="E5552" t="s">
        <v>7034</v>
      </c>
      <c r="F5552">
        <v>9828.4500000000007</v>
      </c>
      <c r="I5552">
        <v>25775.200000000001</v>
      </c>
      <c r="J5552" t="s">
        <v>2600</v>
      </c>
    </row>
    <row r="5553" spans="1:10" ht="15" customHeight="1" x14ac:dyDescent="0.2">
      <c r="A5553" s="420">
        <v>45964</v>
      </c>
      <c r="B5553" t="s">
        <v>5544</v>
      </c>
      <c r="C5553" t="s">
        <v>7308</v>
      </c>
      <c r="D5553" t="s">
        <v>7035</v>
      </c>
      <c r="E5553" t="s">
        <v>7307</v>
      </c>
      <c r="F5553">
        <v>8203.0499999999993</v>
      </c>
      <c r="I5553">
        <v>17572.150000000001</v>
      </c>
      <c r="J5553" t="s">
        <v>2605</v>
      </c>
    </row>
    <row r="5554" spans="1:10" ht="15" customHeight="1" x14ac:dyDescent="0.2">
      <c r="A5554" s="420">
        <v>45964</v>
      </c>
      <c r="B5554" t="s">
        <v>5544</v>
      </c>
      <c r="C5554" t="s">
        <v>7308</v>
      </c>
      <c r="D5554" t="s">
        <v>7037</v>
      </c>
      <c r="E5554" t="s">
        <v>7038</v>
      </c>
      <c r="F5554">
        <v>8332.2000000000007</v>
      </c>
      <c r="I5554">
        <v>9239.9500000000007</v>
      </c>
      <c r="J5554" t="s">
        <v>2710</v>
      </c>
    </row>
    <row r="5555" spans="1:10" ht="15" customHeight="1" x14ac:dyDescent="0.2">
      <c r="A5555" s="420">
        <v>45993</v>
      </c>
      <c r="B5555" t="s">
        <v>5586</v>
      </c>
      <c r="C5555" t="s">
        <v>7308</v>
      </c>
      <c r="D5555" t="s">
        <v>7039</v>
      </c>
      <c r="E5555" t="s">
        <v>7040</v>
      </c>
      <c r="F5555">
        <v>9239.9500000000007</v>
      </c>
      <c r="J5555" t="s">
        <v>2715</v>
      </c>
    </row>
    <row r="5556" spans="1:10" ht="15" customHeight="1" x14ac:dyDescent="0.2">
      <c r="A5556" t="s">
        <v>7308</v>
      </c>
      <c r="E5556" t="s">
        <v>349</v>
      </c>
      <c r="F5556">
        <v>159090.49</v>
      </c>
      <c r="G5556">
        <v>159090.49</v>
      </c>
    </row>
    <row r="5558" spans="1:10" ht="15" customHeight="1" x14ac:dyDescent="0.2">
      <c r="A5558" t="s">
        <v>7333</v>
      </c>
      <c r="B5558" t="s">
        <v>7334</v>
      </c>
      <c r="F5558" t="s">
        <v>2430</v>
      </c>
      <c r="G5558" t="s">
        <v>2431</v>
      </c>
      <c r="H5558" t="s">
        <v>2432</v>
      </c>
      <c r="I5558" t="s">
        <v>2433</v>
      </c>
      <c r="J5558" t="s">
        <v>2434</v>
      </c>
    </row>
    <row r="5559" spans="1:10" ht="15" customHeight="1" x14ac:dyDescent="0.2">
      <c r="A5559" s="420">
        <v>45672</v>
      </c>
      <c r="B5559" t="s">
        <v>2333</v>
      </c>
      <c r="C5559" t="s">
        <v>7333</v>
      </c>
      <c r="D5559" t="s">
        <v>7335</v>
      </c>
      <c r="E5559" t="s">
        <v>7336</v>
      </c>
      <c r="G5559">
        <v>1900</v>
      </c>
      <c r="I5559">
        <v>1900</v>
      </c>
      <c r="J5559" t="s">
        <v>2509</v>
      </c>
    </row>
    <row r="5560" spans="1:10" ht="15" customHeight="1" x14ac:dyDescent="0.2">
      <c r="A5560" s="420">
        <v>45707</v>
      </c>
      <c r="B5560" t="s">
        <v>2333</v>
      </c>
      <c r="C5560" t="s">
        <v>7333</v>
      </c>
      <c r="D5560" t="s">
        <v>7337</v>
      </c>
      <c r="E5560" t="s">
        <v>7338</v>
      </c>
      <c r="F5560">
        <v>1252</v>
      </c>
      <c r="I5560">
        <v>648</v>
      </c>
    </row>
    <row r="5561" spans="1:10" ht="15" customHeight="1" x14ac:dyDescent="0.2">
      <c r="A5561" s="420">
        <v>45707</v>
      </c>
      <c r="B5561" t="s">
        <v>2333</v>
      </c>
      <c r="C5561" t="s">
        <v>7333</v>
      </c>
      <c r="D5561" t="s">
        <v>7339</v>
      </c>
      <c r="E5561" t="s">
        <v>7340</v>
      </c>
      <c r="F5561">
        <v>1252</v>
      </c>
      <c r="H5561">
        <v>604</v>
      </c>
    </row>
    <row r="5562" spans="1:10" ht="15" customHeight="1" x14ac:dyDescent="0.2">
      <c r="A5562" s="420">
        <v>45707</v>
      </c>
      <c r="B5562" t="s">
        <v>2333</v>
      </c>
      <c r="C5562" t="s">
        <v>7333</v>
      </c>
      <c r="D5562" t="s">
        <v>7341</v>
      </c>
      <c r="E5562" t="s">
        <v>7342</v>
      </c>
      <c r="F5562">
        <v>1900</v>
      </c>
      <c r="H5562">
        <v>2504</v>
      </c>
      <c r="J5562" t="s">
        <v>2509</v>
      </c>
    </row>
    <row r="5563" spans="1:10" ht="15" customHeight="1" x14ac:dyDescent="0.2">
      <c r="A5563" s="420">
        <v>45707</v>
      </c>
      <c r="B5563" t="s">
        <v>2333</v>
      </c>
      <c r="C5563" t="s">
        <v>7333</v>
      </c>
      <c r="D5563" t="s">
        <v>7343</v>
      </c>
      <c r="E5563" t="s">
        <v>7344</v>
      </c>
      <c r="F5563">
        <v>1305</v>
      </c>
      <c r="H5563">
        <v>3809</v>
      </c>
    </row>
    <row r="5564" spans="1:10" ht="15" customHeight="1" x14ac:dyDescent="0.2">
      <c r="A5564" s="420">
        <v>45719</v>
      </c>
      <c r="B5564" t="s">
        <v>2333</v>
      </c>
      <c r="C5564" t="s">
        <v>7333</v>
      </c>
      <c r="D5564" t="s">
        <v>7345</v>
      </c>
      <c r="E5564" t="s">
        <v>7346</v>
      </c>
      <c r="G5564">
        <v>2325</v>
      </c>
      <c r="H5564">
        <v>1484</v>
      </c>
      <c r="J5564" t="s">
        <v>2511</v>
      </c>
    </row>
    <row r="5565" spans="1:10" ht="15" customHeight="1" x14ac:dyDescent="0.2">
      <c r="A5565" s="420">
        <v>45755</v>
      </c>
      <c r="B5565" t="s">
        <v>2333</v>
      </c>
      <c r="C5565" t="s">
        <v>7333</v>
      </c>
      <c r="D5565" t="s">
        <v>7347</v>
      </c>
      <c r="E5565" t="s">
        <v>7348</v>
      </c>
      <c r="G5565">
        <v>6000</v>
      </c>
      <c r="I5565">
        <v>4516</v>
      </c>
      <c r="J5565" t="s">
        <v>2509</v>
      </c>
    </row>
    <row r="5566" spans="1:10" ht="15" customHeight="1" x14ac:dyDescent="0.2">
      <c r="A5566" s="420">
        <v>45762</v>
      </c>
      <c r="B5566" t="s">
        <v>2333</v>
      </c>
      <c r="C5566" t="s">
        <v>7333</v>
      </c>
      <c r="D5566" t="s">
        <v>7349</v>
      </c>
      <c r="E5566" t="s">
        <v>7350</v>
      </c>
      <c r="F5566">
        <v>6000</v>
      </c>
      <c r="H5566">
        <v>1484</v>
      </c>
      <c r="J5566" t="s">
        <v>2509</v>
      </c>
    </row>
    <row r="5567" spans="1:10" ht="15" customHeight="1" x14ac:dyDescent="0.2">
      <c r="A5567" s="420">
        <v>45776</v>
      </c>
      <c r="B5567" t="s">
        <v>2333</v>
      </c>
      <c r="C5567" t="s">
        <v>7333</v>
      </c>
      <c r="D5567" t="s">
        <v>7351</v>
      </c>
      <c r="E5567" t="s">
        <v>7352</v>
      </c>
      <c r="F5567">
        <v>2325</v>
      </c>
      <c r="H5567">
        <v>3809</v>
      </c>
      <c r="J5567" t="s">
        <v>2511</v>
      </c>
    </row>
    <row r="5568" spans="1:10" ht="15" customHeight="1" x14ac:dyDescent="0.2">
      <c r="A5568" s="420">
        <v>45798</v>
      </c>
      <c r="B5568" t="s">
        <v>2333</v>
      </c>
      <c r="C5568" t="s">
        <v>7333</v>
      </c>
      <c r="D5568" t="s">
        <v>7353</v>
      </c>
      <c r="E5568" t="s">
        <v>7354</v>
      </c>
      <c r="G5568">
        <v>1750</v>
      </c>
      <c r="H5568">
        <v>2059</v>
      </c>
      <c r="J5568" t="s">
        <v>2509</v>
      </c>
    </row>
    <row r="5569" spans="1:10" ht="15" customHeight="1" x14ac:dyDescent="0.2">
      <c r="A5569" s="420">
        <v>45799</v>
      </c>
      <c r="B5569" t="s">
        <v>2333</v>
      </c>
      <c r="C5569" t="s">
        <v>7333</v>
      </c>
      <c r="D5569" t="s">
        <v>7355</v>
      </c>
      <c r="E5569" t="s">
        <v>7356</v>
      </c>
      <c r="G5569">
        <v>1850</v>
      </c>
      <c r="H5569">
        <v>209</v>
      </c>
      <c r="J5569" t="s">
        <v>2511</v>
      </c>
    </row>
    <row r="5570" spans="1:10" ht="15" customHeight="1" x14ac:dyDescent="0.2">
      <c r="A5570" s="420">
        <v>45799</v>
      </c>
      <c r="B5570" t="s">
        <v>2333</v>
      </c>
      <c r="C5570" t="s">
        <v>7333</v>
      </c>
      <c r="D5570" t="s">
        <v>7357</v>
      </c>
      <c r="E5570" t="s">
        <v>7358</v>
      </c>
      <c r="G5570">
        <v>2320</v>
      </c>
      <c r="I5570">
        <v>2111</v>
      </c>
      <c r="J5570" t="s">
        <v>2511</v>
      </c>
    </row>
    <row r="5571" spans="1:10" ht="15" customHeight="1" x14ac:dyDescent="0.2">
      <c r="A5571" s="420">
        <v>45799</v>
      </c>
      <c r="B5571" t="s">
        <v>2333</v>
      </c>
      <c r="C5571" t="s">
        <v>7333</v>
      </c>
      <c r="D5571" t="s">
        <v>7359</v>
      </c>
      <c r="E5571" t="s">
        <v>7360</v>
      </c>
      <c r="F5571">
        <v>1750</v>
      </c>
      <c r="I5571">
        <v>361</v>
      </c>
      <c r="J5571" t="s">
        <v>2509</v>
      </c>
    </row>
    <row r="5572" spans="1:10" ht="15" customHeight="1" x14ac:dyDescent="0.2">
      <c r="A5572" s="420">
        <v>45806</v>
      </c>
      <c r="B5572" t="s">
        <v>2333</v>
      </c>
      <c r="C5572" t="s">
        <v>7333</v>
      </c>
      <c r="D5572" t="s">
        <v>7361</v>
      </c>
      <c r="E5572" t="s">
        <v>7362</v>
      </c>
      <c r="F5572">
        <v>2320</v>
      </c>
      <c r="H5572">
        <v>1959</v>
      </c>
      <c r="J5572" t="s">
        <v>2511</v>
      </c>
    </row>
    <row r="5573" spans="1:10" ht="15" customHeight="1" x14ac:dyDescent="0.2">
      <c r="A5573" s="420">
        <v>45806</v>
      </c>
      <c r="B5573" t="s">
        <v>2333</v>
      </c>
      <c r="C5573" t="s">
        <v>7333</v>
      </c>
      <c r="D5573" t="s">
        <v>7363</v>
      </c>
      <c r="E5573" t="s">
        <v>7364</v>
      </c>
      <c r="F5573">
        <v>1850</v>
      </c>
      <c r="H5573">
        <v>3809</v>
      </c>
      <c r="J5573" t="s">
        <v>2511</v>
      </c>
    </row>
    <row r="5574" spans="1:10" ht="15" customHeight="1" x14ac:dyDescent="0.2">
      <c r="A5574" s="420">
        <v>45824</v>
      </c>
      <c r="B5574" t="s">
        <v>2333</v>
      </c>
      <c r="C5574" t="s">
        <v>7333</v>
      </c>
      <c r="D5574" t="s">
        <v>7365</v>
      </c>
      <c r="E5574" t="s">
        <v>7366</v>
      </c>
      <c r="G5574">
        <v>1850</v>
      </c>
      <c r="H5574">
        <v>1959</v>
      </c>
    </row>
    <row r="5575" spans="1:10" ht="15" customHeight="1" x14ac:dyDescent="0.2">
      <c r="A5575" s="420">
        <v>45838</v>
      </c>
      <c r="B5575" t="s">
        <v>2333</v>
      </c>
      <c r="C5575" t="s">
        <v>7333</v>
      </c>
      <c r="D5575" t="s">
        <v>7367</v>
      </c>
      <c r="E5575" t="s">
        <v>7368</v>
      </c>
      <c r="F5575">
        <v>1990</v>
      </c>
      <c r="H5575">
        <v>3949</v>
      </c>
      <c r="J5575" t="s">
        <v>2587</v>
      </c>
    </row>
    <row r="5576" spans="1:10" ht="15" customHeight="1" x14ac:dyDescent="0.2">
      <c r="A5576" s="420">
        <v>45838</v>
      </c>
      <c r="B5576" t="s">
        <v>2333</v>
      </c>
      <c r="C5576" t="s">
        <v>7333</v>
      </c>
      <c r="D5576" t="s">
        <v>7369</v>
      </c>
      <c r="E5576" t="s">
        <v>7370</v>
      </c>
      <c r="F5576">
        <v>1532.4</v>
      </c>
      <c r="H5576">
        <v>5481.4</v>
      </c>
      <c r="J5576" t="s">
        <v>2513</v>
      </c>
    </row>
    <row r="5577" spans="1:10" ht="15" customHeight="1" x14ac:dyDescent="0.2">
      <c r="A5577" s="420">
        <v>45839</v>
      </c>
      <c r="B5577" t="s">
        <v>2517</v>
      </c>
      <c r="C5577" t="s">
        <v>7333</v>
      </c>
      <c r="D5577" t="s">
        <v>7371</v>
      </c>
      <c r="E5577" t="s">
        <v>854</v>
      </c>
      <c r="G5577">
        <v>1959</v>
      </c>
      <c r="H5577">
        <v>3522.4</v>
      </c>
    </row>
    <row r="5578" spans="1:10" ht="15" customHeight="1" x14ac:dyDescent="0.2">
      <c r="A5578" s="420">
        <v>45845</v>
      </c>
      <c r="B5578" t="s">
        <v>2333</v>
      </c>
      <c r="C5578" t="s">
        <v>7333</v>
      </c>
      <c r="D5578" t="s">
        <v>7372</v>
      </c>
      <c r="E5578" t="s">
        <v>7373</v>
      </c>
      <c r="G5578">
        <v>1532.4</v>
      </c>
      <c r="H5578">
        <v>1990</v>
      </c>
      <c r="J5578" t="s">
        <v>2513</v>
      </c>
    </row>
    <row r="5579" spans="1:10" ht="15" customHeight="1" x14ac:dyDescent="0.2">
      <c r="A5579" s="420">
        <v>45845</v>
      </c>
      <c r="B5579" t="s">
        <v>2333</v>
      </c>
      <c r="C5579" t="s">
        <v>7333</v>
      </c>
      <c r="D5579" t="s">
        <v>7374</v>
      </c>
      <c r="E5579" t="s">
        <v>7375</v>
      </c>
      <c r="G5579">
        <v>1990</v>
      </c>
      <c r="J5579" t="s">
        <v>2587</v>
      </c>
    </row>
    <row r="5580" spans="1:10" ht="15" customHeight="1" x14ac:dyDescent="0.2">
      <c r="A5580" t="s">
        <v>7333</v>
      </c>
      <c r="E5580" t="s">
        <v>349</v>
      </c>
      <c r="F5580">
        <v>23476.400000000001</v>
      </c>
      <c r="G5580">
        <v>23476.400000000001</v>
      </c>
    </row>
    <row r="5582" spans="1:10" ht="15" customHeight="1" x14ac:dyDescent="0.2">
      <c r="A5582" t="s">
        <v>7376</v>
      </c>
      <c r="B5582" t="s">
        <v>7334</v>
      </c>
      <c r="F5582" t="s">
        <v>2430</v>
      </c>
      <c r="G5582" t="s">
        <v>2431</v>
      </c>
      <c r="H5582" t="s">
        <v>2432</v>
      </c>
      <c r="I5582" t="s">
        <v>2433</v>
      </c>
      <c r="J5582" t="s">
        <v>2434</v>
      </c>
    </row>
    <row r="5583" spans="1:10" ht="15" customHeight="1" x14ac:dyDescent="0.2">
      <c r="A5583" s="420">
        <v>45839</v>
      </c>
      <c r="B5583" t="s">
        <v>2517</v>
      </c>
      <c r="C5583" t="s">
        <v>7376</v>
      </c>
      <c r="D5583" t="s">
        <v>7371</v>
      </c>
      <c r="E5583" t="s">
        <v>7377</v>
      </c>
      <c r="F5583">
        <v>1252</v>
      </c>
      <c r="H5583">
        <v>1252</v>
      </c>
    </row>
    <row r="5584" spans="1:10" ht="15" customHeight="1" x14ac:dyDescent="0.2">
      <c r="A5584" s="420">
        <v>45839</v>
      </c>
      <c r="B5584" t="s">
        <v>2517</v>
      </c>
      <c r="C5584" t="s">
        <v>7376</v>
      </c>
      <c r="D5584" t="s">
        <v>7371</v>
      </c>
      <c r="E5584" t="s">
        <v>7378</v>
      </c>
      <c r="F5584">
        <v>1252</v>
      </c>
      <c r="H5584">
        <v>2504</v>
      </c>
    </row>
    <row r="5585" spans="1:10" ht="15" customHeight="1" x14ac:dyDescent="0.2">
      <c r="A5585" s="420">
        <v>45839</v>
      </c>
      <c r="B5585" t="s">
        <v>2517</v>
      </c>
      <c r="C5585" t="s">
        <v>7376</v>
      </c>
      <c r="D5585" t="s">
        <v>7371</v>
      </c>
      <c r="E5585" t="s">
        <v>7379</v>
      </c>
      <c r="F5585">
        <v>1305</v>
      </c>
      <c r="H5585">
        <v>3809</v>
      </c>
    </row>
    <row r="5586" spans="1:10" ht="15" customHeight="1" x14ac:dyDescent="0.2">
      <c r="A5586" s="420">
        <v>45839</v>
      </c>
      <c r="B5586" t="s">
        <v>2517</v>
      </c>
      <c r="C5586" t="s">
        <v>7376</v>
      </c>
      <c r="D5586" t="s">
        <v>7371</v>
      </c>
      <c r="E5586" t="s">
        <v>7366</v>
      </c>
      <c r="G5586">
        <v>1850</v>
      </c>
      <c r="H5586">
        <v>1959</v>
      </c>
    </row>
    <row r="5587" spans="1:10" ht="15" customHeight="1" x14ac:dyDescent="0.2">
      <c r="A5587" s="420">
        <v>45855</v>
      </c>
      <c r="B5587" t="s">
        <v>2333</v>
      </c>
      <c r="C5587" t="s">
        <v>7376</v>
      </c>
      <c r="D5587" t="s">
        <v>7380</v>
      </c>
      <c r="E5587" t="s">
        <v>7381</v>
      </c>
      <c r="G5587">
        <v>810</v>
      </c>
      <c r="H5587">
        <v>1149</v>
      </c>
      <c r="J5587" t="s">
        <v>2587</v>
      </c>
    </row>
    <row r="5588" spans="1:10" ht="15" customHeight="1" x14ac:dyDescent="0.2">
      <c r="A5588" s="420">
        <v>45856</v>
      </c>
      <c r="B5588" t="s">
        <v>2333</v>
      </c>
      <c r="C5588" t="s">
        <v>7376</v>
      </c>
      <c r="D5588" t="s">
        <v>7382</v>
      </c>
      <c r="E5588" t="s">
        <v>7383</v>
      </c>
      <c r="F5588">
        <v>800</v>
      </c>
      <c r="H5588">
        <v>1949</v>
      </c>
      <c r="J5588" t="s">
        <v>2587</v>
      </c>
    </row>
    <row r="5589" spans="1:10" ht="15" customHeight="1" x14ac:dyDescent="0.2">
      <c r="A5589" s="420">
        <v>45869</v>
      </c>
      <c r="B5589" t="s">
        <v>2333</v>
      </c>
      <c r="C5589" t="s">
        <v>7376</v>
      </c>
      <c r="D5589" t="s">
        <v>7384</v>
      </c>
      <c r="E5589" t="s">
        <v>7385</v>
      </c>
      <c r="G5589">
        <v>2150</v>
      </c>
      <c r="I5589">
        <v>201</v>
      </c>
    </row>
    <row r="5590" spans="1:10" ht="15" customHeight="1" x14ac:dyDescent="0.2">
      <c r="A5590" s="420">
        <v>45870</v>
      </c>
      <c r="B5590" t="s">
        <v>2333</v>
      </c>
      <c r="C5590" t="s">
        <v>7376</v>
      </c>
      <c r="D5590" t="s">
        <v>7386</v>
      </c>
      <c r="E5590" t="s">
        <v>7387</v>
      </c>
      <c r="G5590">
        <v>2495</v>
      </c>
      <c r="I5590">
        <v>2696</v>
      </c>
    </row>
    <row r="5591" spans="1:10" ht="15" customHeight="1" x14ac:dyDescent="0.2">
      <c r="A5591" s="420">
        <v>45901</v>
      </c>
      <c r="B5591" t="s">
        <v>2333</v>
      </c>
      <c r="C5591" t="s">
        <v>7376</v>
      </c>
      <c r="D5591" t="s">
        <v>7388</v>
      </c>
      <c r="E5591" t="s">
        <v>7389</v>
      </c>
      <c r="F5591">
        <v>2355</v>
      </c>
      <c r="I5591">
        <v>341</v>
      </c>
    </row>
    <row r="5592" spans="1:10" ht="15" customHeight="1" x14ac:dyDescent="0.2">
      <c r="A5592" s="420">
        <v>45902</v>
      </c>
      <c r="B5592" t="s">
        <v>2333</v>
      </c>
      <c r="C5592" t="s">
        <v>7376</v>
      </c>
      <c r="D5592" t="s">
        <v>7390</v>
      </c>
      <c r="E5592" t="s">
        <v>7391</v>
      </c>
      <c r="G5592">
        <v>3905</v>
      </c>
      <c r="I5592">
        <v>4246</v>
      </c>
    </row>
    <row r="5593" spans="1:10" ht="15" customHeight="1" x14ac:dyDescent="0.2">
      <c r="A5593" s="420">
        <v>45905</v>
      </c>
      <c r="B5593" t="s">
        <v>2333</v>
      </c>
      <c r="C5593" t="s">
        <v>7376</v>
      </c>
      <c r="D5593" t="s">
        <v>7392</v>
      </c>
      <c r="E5593" t="s">
        <v>7393</v>
      </c>
      <c r="G5593">
        <v>2745</v>
      </c>
      <c r="I5593">
        <v>6991</v>
      </c>
      <c r="J5593" t="s">
        <v>2509</v>
      </c>
    </row>
    <row r="5594" spans="1:10" ht="15" customHeight="1" x14ac:dyDescent="0.2">
      <c r="A5594" s="420">
        <v>45933</v>
      </c>
      <c r="B5594" t="s">
        <v>2333</v>
      </c>
      <c r="C5594" t="s">
        <v>7376</v>
      </c>
      <c r="D5594" t="s">
        <v>7394</v>
      </c>
      <c r="E5594" t="s">
        <v>7395</v>
      </c>
      <c r="G5594">
        <v>3295</v>
      </c>
      <c r="I5594">
        <v>10286</v>
      </c>
    </row>
    <row r="5595" spans="1:10" ht="15" customHeight="1" x14ac:dyDescent="0.2">
      <c r="A5595" s="420">
        <v>45936</v>
      </c>
      <c r="B5595" t="s">
        <v>2333</v>
      </c>
      <c r="C5595" t="s">
        <v>7376</v>
      </c>
      <c r="D5595" t="s">
        <v>7396</v>
      </c>
      <c r="E5595" t="s">
        <v>7397</v>
      </c>
      <c r="F5595">
        <v>2745</v>
      </c>
      <c r="I5595">
        <v>7541</v>
      </c>
      <c r="J5595" t="s">
        <v>2509</v>
      </c>
    </row>
    <row r="5596" spans="1:10" ht="15" customHeight="1" x14ac:dyDescent="0.2">
      <c r="A5596" s="420">
        <v>45939</v>
      </c>
      <c r="B5596" t="s">
        <v>2333</v>
      </c>
      <c r="C5596" t="s">
        <v>7376</v>
      </c>
      <c r="D5596" t="s">
        <v>7398</v>
      </c>
      <c r="E5596" t="s">
        <v>7399</v>
      </c>
      <c r="G5596">
        <v>2704</v>
      </c>
      <c r="I5596">
        <v>10245</v>
      </c>
      <c r="J5596" t="s">
        <v>2511</v>
      </c>
    </row>
    <row r="5597" spans="1:10" ht="15" customHeight="1" x14ac:dyDescent="0.2">
      <c r="A5597" s="420">
        <v>45945</v>
      </c>
      <c r="B5597" t="s">
        <v>2333</v>
      </c>
      <c r="C5597" t="s">
        <v>7376</v>
      </c>
      <c r="D5597" t="s">
        <v>7400</v>
      </c>
      <c r="E5597" t="s">
        <v>7401</v>
      </c>
      <c r="F5597">
        <v>2704</v>
      </c>
      <c r="I5597">
        <v>7541</v>
      </c>
      <c r="J5597" t="s">
        <v>2511</v>
      </c>
    </row>
    <row r="5598" spans="1:10" ht="15" customHeight="1" x14ac:dyDescent="0.2">
      <c r="A5598" s="420">
        <v>45954</v>
      </c>
      <c r="B5598" t="s">
        <v>2333</v>
      </c>
      <c r="C5598" t="s">
        <v>7376</v>
      </c>
      <c r="D5598" t="s">
        <v>7402</v>
      </c>
      <c r="E5598" t="s">
        <v>7403</v>
      </c>
      <c r="G5598">
        <v>1700</v>
      </c>
      <c r="I5598">
        <v>9241</v>
      </c>
    </row>
    <row r="5599" spans="1:10" ht="15" customHeight="1" x14ac:dyDescent="0.2">
      <c r="A5599" s="420">
        <v>45954</v>
      </c>
      <c r="B5599" t="s">
        <v>2333</v>
      </c>
      <c r="C5599" t="s">
        <v>7376</v>
      </c>
      <c r="D5599" t="s">
        <v>7404</v>
      </c>
      <c r="E5599" t="s">
        <v>7405</v>
      </c>
      <c r="G5599">
        <v>1266.75</v>
      </c>
      <c r="I5599">
        <v>10507.75</v>
      </c>
      <c r="J5599" t="s">
        <v>2513</v>
      </c>
    </row>
    <row r="5600" spans="1:10" ht="15" customHeight="1" x14ac:dyDescent="0.2">
      <c r="A5600" s="420">
        <v>45955</v>
      </c>
      <c r="B5600" t="s">
        <v>2333</v>
      </c>
      <c r="C5600" t="s">
        <v>7376</v>
      </c>
      <c r="D5600" t="s">
        <v>7406</v>
      </c>
      <c r="E5600" t="s">
        <v>7407</v>
      </c>
      <c r="F5600">
        <v>1266.75</v>
      </c>
      <c r="I5600">
        <v>9241</v>
      </c>
      <c r="J5600" t="s">
        <v>2513</v>
      </c>
    </row>
    <row r="5601" spans="1:10" ht="15" customHeight="1" x14ac:dyDescent="0.2">
      <c r="A5601" s="420">
        <v>45994</v>
      </c>
      <c r="B5601" t="s">
        <v>2333</v>
      </c>
      <c r="C5601" t="s">
        <v>7376</v>
      </c>
      <c r="D5601" t="s">
        <v>7408</v>
      </c>
      <c r="E5601" t="s">
        <v>7409</v>
      </c>
      <c r="G5601">
        <v>1230</v>
      </c>
      <c r="I5601">
        <v>10471</v>
      </c>
      <c r="J5601" t="s">
        <v>2586</v>
      </c>
    </row>
    <row r="5602" spans="1:10" ht="15" customHeight="1" x14ac:dyDescent="0.2">
      <c r="A5602" s="420">
        <v>46009</v>
      </c>
      <c r="B5602" t="s">
        <v>2333</v>
      </c>
      <c r="C5602" t="s">
        <v>7376</v>
      </c>
      <c r="D5602" t="s">
        <v>7410</v>
      </c>
      <c r="E5602" t="s">
        <v>7411</v>
      </c>
      <c r="F5602">
        <v>4525.95</v>
      </c>
      <c r="I5602">
        <v>5945.05</v>
      </c>
      <c r="J5602" t="s">
        <v>2585</v>
      </c>
    </row>
    <row r="5603" spans="1:10" ht="15" customHeight="1" x14ac:dyDescent="0.2">
      <c r="A5603" s="420">
        <v>46009</v>
      </c>
      <c r="B5603" t="s">
        <v>2333</v>
      </c>
      <c r="C5603" t="s">
        <v>7376</v>
      </c>
      <c r="D5603" t="s">
        <v>7412</v>
      </c>
      <c r="E5603" t="s">
        <v>7413</v>
      </c>
      <c r="G5603">
        <v>4525.95</v>
      </c>
      <c r="I5603">
        <v>10471</v>
      </c>
      <c r="J5603" t="s">
        <v>2585</v>
      </c>
    </row>
    <row r="5604" spans="1:10" ht="15" customHeight="1" x14ac:dyDescent="0.2">
      <c r="A5604" s="420">
        <v>46010</v>
      </c>
      <c r="B5604" t="s">
        <v>2333</v>
      </c>
      <c r="C5604" t="s">
        <v>7376</v>
      </c>
      <c r="D5604" t="s">
        <v>7414</v>
      </c>
      <c r="E5604" t="s">
        <v>7415</v>
      </c>
      <c r="F5604">
        <v>1230</v>
      </c>
      <c r="I5604">
        <v>9241</v>
      </c>
      <c r="J5604" t="s">
        <v>2586</v>
      </c>
    </row>
    <row r="5605" spans="1:10" ht="15" customHeight="1" x14ac:dyDescent="0.2">
      <c r="A5605" t="s">
        <v>7376</v>
      </c>
      <c r="E5605" t="s">
        <v>349</v>
      </c>
      <c r="F5605">
        <v>19435.7</v>
      </c>
      <c r="G5605">
        <v>28676.7</v>
      </c>
      <c r="I5605">
        <v>9241</v>
      </c>
    </row>
    <row r="5607" spans="1:10" ht="15" customHeight="1" x14ac:dyDescent="0.2">
      <c r="A5607" t="s">
        <v>7416</v>
      </c>
      <c r="B5607" t="s">
        <v>3210</v>
      </c>
      <c r="F5607" t="s">
        <v>2430</v>
      </c>
      <c r="G5607" t="s">
        <v>2431</v>
      </c>
      <c r="H5607" t="s">
        <v>2432</v>
      </c>
      <c r="I5607" t="s">
        <v>2433</v>
      </c>
      <c r="J5607" t="s">
        <v>2434</v>
      </c>
    </row>
    <row r="5608" spans="1:10" ht="15" customHeight="1" x14ac:dyDescent="0.2">
      <c r="A5608" s="420">
        <v>45839</v>
      </c>
      <c r="B5608" t="s">
        <v>2547</v>
      </c>
      <c r="C5608" t="s">
        <v>7416</v>
      </c>
      <c r="D5608" t="s">
        <v>3276</v>
      </c>
      <c r="E5608" t="s">
        <v>3277</v>
      </c>
      <c r="F5608">
        <v>7962.4</v>
      </c>
      <c r="H5608">
        <v>7962.4</v>
      </c>
      <c r="J5608" t="s">
        <v>2511</v>
      </c>
    </row>
    <row r="5609" spans="1:10" ht="15" customHeight="1" x14ac:dyDescent="0.2">
      <c r="A5609" s="420">
        <v>45839</v>
      </c>
      <c r="B5609" t="s">
        <v>2517</v>
      </c>
      <c r="C5609" t="s">
        <v>7416</v>
      </c>
      <c r="D5609" t="s">
        <v>7305</v>
      </c>
      <c r="E5609" t="s">
        <v>3206</v>
      </c>
      <c r="F5609">
        <v>10524.15</v>
      </c>
      <c r="H5609">
        <v>18486.55</v>
      </c>
      <c r="J5609" t="s">
        <v>2509</v>
      </c>
    </row>
    <row r="5610" spans="1:10" ht="15" customHeight="1" x14ac:dyDescent="0.2">
      <c r="A5610" s="420">
        <v>45839</v>
      </c>
      <c r="B5610" t="s">
        <v>2517</v>
      </c>
      <c r="C5610" t="s">
        <v>7416</v>
      </c>
      <c r="D5610" t="s">
        <v>7305</v>
      </c>
      <c r="E5610" t="s">
        <v>3210</v>
      </c>
      <c r="F5610">
        <v>10628.94</v>
      </c>
      <c r="H5610">
        <v>29115.49</v>
      </c>
      <c r="J5610" t="s">
        <v>2509</v>
      </c>
    </row>
    <row r="5611" spans="1:10" ht="15" customHeight="1" x14ac:dyDescent="0.2">
      <c r="A5611" s="420">
        <v>45839</v>
      </c>
      <c r="B5611" t="s">
        <v>2517</v>
      </c>
      <c r="C5611" t="s">
        <v>7416</v>
      </c>
      <c r="D5611" t="s">
        <v>7305</v>
      </c>
      <c r="E5611" t="s">
        <v>7417</v>
      </c>
      <c r="F5611">
        <v>9511.7999999999993</v>
      </c>
      <c r="H5611">
        <v>38627.29</v>
      </c>
      <c r="J5611" t="s">
        <v>2509</v>
      </c>
    </row>
    <row r="5612" spans="1:10" ht="15" customHeight="1" x14ac:dyDescent="0.2">
      <c r="A5612" s="420">
        <v>45839</v>
      </c>
      <c r="B5612" t="s">
        <v>2517</v>
      </c>
      <c r="C5612" t="s">
        <v>7416</v>
      </c>
      <c r="D5612" t="s">
        <v>7305</v>
      </c>
      <c r="E5612" t="s">
        <v>7418</v>
      </c>
      <c r="F5612">
        <v>8813.2999999999993</v>
      </c>
      <c r="H5612">
        <v>47440.59</v>
      </c>
      <c r="J5612" t="s">
        <v>2509</v>
      </c>
    </row>
    <row r="5613" spans="1:10" ht="15" customHeight="1" x14ac:dyDescent="0.2">
      <c r="A5613" s="420">
        <v>45839</v>
      </c>
      <c r="B5613" t="s">
        <v>2517</v>
      </c>
      <c r="C5613" t="s">
        <v>7416</v>
      </c>
      <c r="D5613" t="s">
        <v>7305</v>
      </c>
      <c r="E5613" t="s">
        <v>3267</v>
      </c>
      <c r="F5613">
        <v>8267.2000000000007</v>
      </c>
      <c r="H5613">
        <v>55707.79</v>
      </c>
      <c r="J5613" t="s">
        <v>2509</v>
      </c>
    </row>
    <row r="5614" spans="1:10" ht="15" customHeight="1" x14ac:dyDescent="0.2">
      <c r="A5614" s="420">
        <v>45839</v>
      </c>
      <c r="B5614" t="s">
        <v>2517</v>
      </c>
      <c r="C5614" t="s">
        <v>7416</v>
      </c>
      <c r="D5614" t="s">
        <v>7305</v>
      </c>
      <c r="E5614" t="s">
        <v>3265</v>
      </c>
      <c r="F5614">
        <v>10045.200000000001</v>
      </c>
      <c r="H5614">
        <v>65752.990000000005</v>
      </c>
      <c r="J5614" t="s">
        <v>2513</v>
      </c>
    </row>
    <row r="5615" spans="1:10" ht="15" customHeight="1" x14ac:dyDescent="0.2">
      <c r="A5615" s="420">
        <v>45840</v>
      </c>
      <c r="B5615" t="s">
        <v>2547</v>
      </c>
      <c r="C5615" t="s">
        <v>7416</v>
      </c>
      <c r="D5615" t="s">
        <v>3279</v>
      </c>
      <c r="E5615" t="s">
        <v>3280</v>
      </c>
      <c r="F5615">
        <v>10400.799999999999</v>
      </c>
      <c r="H5615">
        <v>76153.789999999994</v>
      </c>
      <c r="J5615" t="s">
        <v>2585</v>
      </c>
    </row>
    <row r="5616" spans="1:10" ht="15" customHeight="1" x14ac:dyDescent="0.2">
      <c r="A5616" s="420">
        <v>45854</v>
      </c>
      <c r="B5616" t="s">
        <v>2547</v>
      </c>
      <c r="C5616" t="s">
        <v>7416</v>
      </c>
      <c r="D5616" t="s">
        <v>3293</v>
      </c>
      <c r="E5616" t="s">
        <v>3294</v>
      </c>
      <c r="F5616">
        <v>10426.200000000001</v>
      </c>
      <c r="H5616">
        <v>86579.99</v>
      </c>
    </row>
    <row r="5617" spans="1:10" ht="15" customHeight="1" x14ac:dyDescent="0.2">
      <c r="A5617" s="420">
        <v>45860</v>
      </c>
      <c r="B5617" t="s">
        <v>2547</v>
      </c>
      <c r="C5617" t="s">
        <v>7416</v>
      </c>
      <c r="D5617" t="s">
        <v>3299</v>
      </c>
      <c r="E5617" t="s">
        <v>3300</v>
      </c>
      <c r="F5617">
        <v>9124.4500000000007</v>
      </c>
      <c r="H5617">
        <v>95704.44</v>
      </c>
      <c r="J5617" t="s">
        <v>2511</v>
      </c>
    </row>
    <row r="5618" spans="1:10" ht="15" customHeight="1" x14ac:dyDescent="0.2">
      <c r="A5618" s="420">
        <v>45867</v>
      </c>
      <c r="B5618" t="s">
        <v>2547</v>
      </c>
      <c r="C5618" t="s">
        <v>7416</v>
      </c>
      <c r="D5618" t="s">
        <v>3306</v>
      </c>
      <c r="E5618" t="s">
        <v>3307</v>
      </c>
      <c r="F5618">
        <v>10699.25</v>
      </c>
      <c r="H5618">
        <v>106403.69</v>
      </c>
    </row>
    <row r="5619" spans="1:10" ht="15" customHeight="1" x14ac:dyDescent="0.2">
      <c r="A5619" s="420">
        <v>45880</v>
      </c>
      <c r="B5619" t="s">
        <v>5586</v>
      </c>
      <c r="C5619" t="s">
        <v>7416</v>
      </c>
      <c r="D5619" t="s">
        <v>7029</v>
      </c>
      <c r="E5619" t="s">
        <v>7030</v>
      </c>
      <c r="G5619">
        <v>10524.15</v>
      </c>
      <c r="H5619">
        <v>95879.54</v>
      </c>
      <c r="J5619" t="s">
        <v>2509</v>
      </c>
    </row>
    <row r="5620" spans="1:10" ht="15" customHeight="1" x14ac:dyDescent="0.2">
      <c r="A5620" s="420">
        <v>45880</v>
      </c>
      <c r="B5620" t="s">
        <v>5586</v>
      </c>
      <c r="C5620" t="s">
        <v>7416</v>
      </c>
      <c r="D5620" t="s">
        <v>7031</v>
      </c>
      <c r="E5620" t="s">
        <v>7032</v>
      </c>
      <c r="G5620">
        <v>10628.93</v>
      </c>
      <c r="H5620">
        <v>85250.61</v>
      </c>
      <c r="J5620" t="s">
        <v>2509</v>
      </c>
    </row>
    <row r="5621" spans="1:10" ht="15" customHeight="1" x14ac:dyDescent="0.2">
      <c r="A5621" s="420">
        <v>45880</v>
      </c>
      <c r="B5621" t="s">
        <v>2517</v>
      </c>
      <c r="C5621" t="s">
        <v>7416</v>
      </c>
      <c r="D5621" t="s">
        <v>7419</v>
      </c>
      <c r="E5621" t="s">
        <v>7420</v>
      </c>
      <c r="G5621">
        <v>0.01</v>
      </c>
      <c r="H5621">
        <v>85250.6</v>
      </c>
      <c r="J5621" t="s">
        <v>2509</v>
      </c>
    </row>
    <row r="5622" spans="1:10" ht="15" customHeight="1" x14ac:dyDescent="0.2">
      <c r="A5622" s="420">
        <v>45901</v>
      </c>
      <c r="B5622" t="s">
        <v>2547</v>
      </c>
      <c r="C5622" t="s">
        <v>7416</v>
      </c>
      <c r="D5622" t="s">
        <v>3319</v>
      </c>
      <c r="E5622" t="s">
        <v>3320</v>
      </c>
      <c r="F5622">
        <v>10394.450000000001</v>
      </c>
      <c r="H5622">
        <v>95645.05</v>
      </c>
      <c r="J5622" t="s">
        <v>2585</v>
      </c>
    </row>
    <row r="5623" spans="1:10" ht="15" customHeight="1" x14ac:dyDescent="0.2">
      <c r="A5623" s="420">
        <v>45912</v>
      </c>
      <c r="B5623" t="s">
        <v>5586</v>
      </c>
      <c r="C5623" t="s">
        <v>7416</v>
      </c>
      <c r="D5623" t="s">
        <v>7033</v>
      </c>
      <c r="E5623" t="s">
        <v>7034</v>
      </c>
      <c r="G5623">
        <v>9511.7999999999993</v>
      </c>
      <c r="H5623">
        <v>86133.25</v>
      </c>
      <c r="J5623" t="s">
        <v>2509</v>
      </c>
    </row>
    <row r="5624" spans="1:10" ht="15" customHeight="1" x14ac:dyDescent="0.2">
      <c r="A5624" s="420">
        <v>45933</v>
      </c>
      <c r="B5624" t="s">
        <v>2547</v>
      </c>
      <c r="C5624" t="s">
        <v>7416</v>
      </c>
      <c r="D5624" t="s">
        <v>3322</v>
      </c>
      <c r="E5624" t="s">
        <v>3323</v>
      </c>
      <c r="F5624">
        <v>9448.2999999999993</v>
      </c>
      <c r="H5624">
        <v>95581.55</v>
      </c>
    </row>
    <row r="5625" spans="1:10" ht="15" customHeight="1" x14ac:dyDescent="0.2">
      <c r="A5625" s="420">
        <v>45943</v>
      </c>
      <c r="B5625" t="s">
        <v>2547</v>
      </c>
      <c r="C5625" t="s">
        <v>7416</v>
      </c>
      <c r="D5625" t="s">
        <v>3326</v>
      </c>
      <c r="E5625" t="s">
        <v>3327</v>
      </c>
      <c r="F5625">
        <v>10045.200000000001</v>
      </c>
      <c r="H5625">
        <v>105626.75</v>
      </c>
    </row>
    <row r="5626" spans="1:10" ht="15" customHeight="1" x14ac:dyDescent="0.2">
      <c r="A5626" s="420">
        <v>45945</v>
      </c>
      <c r="B5626" t="s">
        <v>2547</v>
      </c>
      <c r="C5626" t="s">
        <v>7416</v>
      </c>
      <c r="D5626" t="s">
        <v>3337</v>
      </c>
      <c r="E5626" t="s">
        <v>3338</v>
      </c>
      <c r="F5626">
        <v>8432.2999999999993</v>
      </c>
      <c r="H5626">
        <v>114059.05</v>
      </c>
    </row>
    <row r="5627" spans="1:10" ht="15" customHeight="1" x14ac:dyDescent="0.2">
      <c r="A5627" s="420">
        <v>45952</v>
      </c>
      <c r="B5627" t="s">
        <v>2547</v>
      </c>
      <c r="C5627" t="s">
        <v>7416</v>
      </c>
      <c r="D5627" t="s">
        <v>3345</v>
      </c>
      <c r="E5627" t="s">
        <v>3346</v>
      </c>
      <c r="F5627">
        <v>11505.7</v>
      </c>
      <c r="H5627">
        <v>125564.75</v>
      </c>
    </row>
    <row r="5628" spans="1:10" ht="15" customHeight="1" x14ac:dyDescent="0.2">
      <c r="A5628" s="420">
        <v>45964</v>
      </c>
      <c r="B5628" t="s">
        <v>5544</v>
      </c>
      <c r="C5628" t="s">
        <v>7416</v>
      </c>
      <c r="D5628" t="s">
        <v>7037</v>
      </c>
      <c r="E5628" t="s">
        <v>7038</v>
      </c>
      <c r="G5628">
        <v>7962.4</v>
      </c>
      <c r="H5628">
        <v>117602.35</v>
      </c>
      <c r="J5628" t="s">
        <v>2511</v>
      </c>
    </row>
    <row r="5629" spans="1:10" ht="15" customHeight="1" x14ac:dyDescent="0.2">
      <c r="A5629" s="420">
        <v>45973</v>
      </c>
      <c r="B5629" t="s">
        <v>2547</v>
      </c>
      <c r="C5629" t="s">
        <v>7416</v>
      </c>
      <c r="D5629" t="s">
        <v>3351</v>
      </c>
      <c r="E5629" t="s">
        <v>3352</v>
      </c>
      <c r="F5629">
        <v>9924.5499999999993</v>
      </c>
      <c r="H5629">
        <v>127526.9</v>
      </c>
    </row>
    <row r="5630" spans="1:10" ht="15" customHeight="1" x14ac:dyDescent="0.2">
      <c r="A5630" s="420">
        <v>45974</v>
      </c>
      <c r="B5630" t="s">
        <v>2547</v>
      </c>
      <c r="C5630" t="s">
        <v>7416</v>
      </c>
      <c r="D5630" t="s">
        <v>3353</v>
      </c>
      <c r="E5630" t="s">
        <v>3354</v>
      </c>
      <c r="F5630">
        <v>10013.450000000001</v>
      </c>
      <c r="H5630">
        <v>137540.35</v>
      </c>
    </row>
    <row r="5631" spans="1:10" ht="15" customHeight="1" x14ac:dyDescent="0.2">
      <c r="A5631" s="420">
        <v>45988</v>
      </c>
      <c r="B5631" t="s">
        <v>2547</v>
      </c>
      <c r="C5631" t="s">
        <v>7416</v>
      </c>
      <c r="D5631" t="s">
        <v>3355</v>
      </c>
      <c r="E5631" t="s">
        <v>3356</v>
      </c>
      <c r="F5631">
        <v>11047.8</v>
      </c>
      <c r="H5631">
        <v>148588.15</v>
      </c>
    </row>
    <row r="5632" spans="1:10" ht="15" customHeight="1" x14ac:dyDescent="0.2">
      <c r="A5632" s="420">
        <v>45993</v>
      </c>
      <c r="B5632" t="s">
        <v>5586</v>
      </c>
      <c r="C5632" t="s">
        <v>7416</v>
      </c>
      <c r="D5632" t="s">
        <v>7039</v>
      </c>
      <c r="E5632" t="s">
        <v>7040</v>
      </c>
      <c r="G5632">
        <v>8813.2999999999993</v>
      </c>
      <c r="H5632">
        <v>139774.85</v>
      </c>
      <c r="J5632" t="s">
        <v>2509</v>
      </c>
    </row>
    <row r="5633" spans="1:10" ht="15" customHeight="1" x14ac:dyDescent="0.2">
      <c r="A5633" t="s">
        <v>7416</v>
      </c>
      <c r="E5633" t="s">
        <v>349</v>
      </c>
      <c r="F5633">
        <v>187215.44</v>
      </c>
      <c r="G5633">
        <v>47440.59</v>
      </c>
      <c r="H5633">
        <v>139774.85</v>
      </c>
    </row>
    <row r="5635" spans="1:10" ht="15" customHeight="1" x14ac:dyDescent="0.2">
      <c r="A5635" t="s">
        <v>7421</v>
      </c>
      <c r="B5635" t="s">
        <v>7309</v>
      </c>
      <c r="F5635" t="s">
        <v>2430</v>
      </c>
      <c r="G5635" t="s">
        <v>2431</v>
      </c>
      <c r="H5635" t="s">
        <v>2432</v>
      </c>
      <c r="I5635" t="s">
        <v>2433</v>
      </c>
      <c r="J5635" t="s">
        <v>2434</v>
      </c>
    </row>
    <row r="5636" spans="1:10" ht="15" customHeight="1" x14ac:dyDescent="0.2">
      <c r="A5636" s="420">
        <v>45839</v>
      </c>
      <c r="B5636" t="s">
        <v>2517</v>
      </c>
      <c r="C5636" t="s">
        <v>7421</v>
      </c>
      <c r="D5636" t="s">
        <v>7332</v>
      </c>
      <c r="E5636" t="s">
        <v>7330</v>
      </c>
      <c r="G5636">
        <v>10588.15</v>
      </c>
      <c r="I5636">
        <v>10588.15</v>
      </c>
      <c r="J5636" t="s">
        <v>2511</v>
      </c>
    </row>
    <row r="5637" spans="1:10" ht="15" customHeight="1" x14ac:dyDescent="0.2">
      <c r="A5637" s="420">
        <v>45839</v>
      </c>
      <c r="B5637" t="s">
        <v>2517</v>
      </c>
      <c r="C5637" t="s">
        <v>7421</v>
      </c>
      <c r="D5637" t="s">
        <v>7332</v>
      </c>
      <c r="E5637" t="s">
        <v>7422</v>
      </c>
      <c r="G5637">
        <v>8760.6</v>
      </c>
      <c r="I5637">
        <v>19348.75</v>
      </c>
      <c r="J5637" t="s">
        <v>2509</v>
      </c>
    </row>
    <row r="5638" spans="1:10" ht="15" customHeight="1" x14ac:dyDescent="0.2">
      <c r="A5638" s="420">
        <v>45874</v>
      </c>
      <c r="B5638" t="s">
        <v>2333</v>
      </c>
      <c r="C5638" t="s">
        <v>7421</v>
      </c>
      <c r="D5638" t="s">
        <v>7423</v>
      </c>
      <c r="E5638" t="s">
        <v>7424</v>
      </c>
      <c r="G5638">
        <v>10934.65</v>
      </c>
      <c r="I5638">
        <v>30283.4</v>
      </c>
    </row>
    <row r="5639" spans="1:10" ht="15" customHeight="1" x14ac:dyDescent="0.2">
      <c r="A5639" s="420">
        <v>45875</v>
      </c>
      <c r="B5639" t="s">
        <v>2333</v>
      </c>
      <c r="C5639" t="s">
        <v>7421</v>
      </c>
      <c r="D5639" t="s">
        <v>5561</v>
      </c>
      <c r="E5639" t="s">
        <v>5562</v>
      </c>
      <c r="G5639">
        <v>10909.45</v>
      </c>
      <c r="I5639">
        <v>41192.85</v>
      </c>
    </row>
    <row r="5640" spans="1:10" ht="15" customHeight="1" x14ac:dyDescent="0.2">
      <c r="A5640" s="420">
        <v>45930</v>
      </c>
      <c r="B5640" t="s">
        <v>2333</v>
      </c>
      <c r="C5640" t="s">
        <v>7421</v>
      </c>
      <c r="D5640" t="s">
        <v>5860</v>
      </c>
      <c r="E5640" t="s">
        <v>5861</v>
      </c>
      <c r="G5640">
        <v>11065.56</v>
      </c>
      <c r="I5640">
        <v>52258.41</v>
      </c>
    </row>
    <row r="5641" spans="1:10" ht="15" customHeight="1" x14ac:dyDescent="0.2">
      <c r="A5641" s="420">
        <v>45931</v>
      </c>
      <c r="B5641" t="s">
        <v>2333</v>
      </c>
      <c r="C5641" t="s">
        <v>7421</v>
      </c>
      <c r="D5641" t="s">
        <v>5736</v>
      </c>
      <c r="E5641" t="s">
        <v>5737</v>
      </c>
      <c r="G5641">
        <v>9507.15</v>
      </c>
      <c r="I5641">
        <v>61765.56</v>
      </c>
      <c r="J5641" t="s">
        <v>2509</v>
      </c>
    </row>
    <row r="5642" spans="1:10" ht="15" customHeight="1" x14ac:dyDescent="0.2">
      <c r="A5642" s="420">
        <v>45934</v>
      </c>
      <c r="B5642" t="s">
        <v>2333</v>
      </c>
      <c r="C5642" t="s">
        <v>7421</v>
      </c>
      <c r="D5642" t="s">
        <v>5751</v>
      </c>
      <c r="E5642" t="s">
        <v>5752</v>
      </c>
      <c r="G5642">
        <v>10606.5</v>
      </c>
      <c r="I5642">
        <v>72372.06</v>
      </c>
    </row>
    <row r="5643" spans="1:10" ht="15" customHeight="1" x14ac:dyDescent="0.2">
      <c r="A5643" s="420">
        <v>45951</v>
      </c>
      <c r="B5643" t="s">
        <v>2333</v>
      </c>
      <c r="C5643" t="s">
        <v>7421</v>
      </c>
      <c r="D5643" t="s">
        <v>5613</v>
      </c>
      <c r="E5643" t="s">
        <v>5614</v>
      </c>
      <c r="G5643">
        <v>10058.950000000001</v>
      </c>
      <c r="I5643">
        <v>82431.009999999995</v>
      </c>
    </row>
    <row r="5644" spans="1:10" ht="15" customHeight="1" x14ac:dyDescent="0.2">
      <c r="A5644" s="420">
        <v>45961</v>
      </c>
      <c r="B5644" t="s">
        <v>2333</v>
      </c>
      <c r="C5644" t="s">
        <v>7421</v>
      </c>
      <c r="D5644" t="s">
        <v>7425</v>
      </c>
      <c r="E5644" t="s">
        <v>7426</v>
      </c>
      <c r="G5644">
        <v>9032.0499999999993</v>
      </c>
      <c r="I5644">
        <v>91463.06</v>
      </c>
    </row>
    <row r="5645" spans="1:10" ht="15" customHeight="1" x14ac:dyDescent="0.2">
      <c r="A5645" s="420">
        <v>45967</v>
      </c>
      <c r="B5645" t="s">
        <v>2333</v>
      </c>
      <c r="C5645" t="s">
        <v>7421</v>
      </c>
      <c r="D5645" t="s">
        <v>7427</v>
      </c>
      <c r="E5645" t="s">
        <v>7428</v>
      </c>
      <c r="G5645">
        <v>10619.65</v>
      </c>
      <c r="I5645">
        <v>102082.71</v>
      </c>
    </row>
    <row r="5646" spans="1:10" ht="15" customHeight="1" x14ac:dyDescent="0.2">
      <c r="A5646" s="420">
        <v>45983</v>
      </c>
      <c r="B5646" t="s">
        <v>2333</v>
      </c>
      <c r="C5646" t="s">
        <v>7421</v>
      </c>
      <c r="D5646" t="s">
        <v>7429</v>
      </c>
      <c r="E5646" t="s">
        <v>7430</v>
      </c>
      <c r="G5646">
        <v>12068.65</v>
      </c>
      <c r="I5646">
        <v>114151.36</v>
      </c>
    </row>
    <row r="5647" spans="1:10" ht="15" customHeight="1" x14ac:dyDescent="0.2">
      <c r="A5647" s="420">
        <v>45987</v>
      </c>
      <c r="B5647" t="s">
        <v>2333</v>
      </c>
      <c r="C5647" t="s">
        <v>7421</v>
      </c>
      <c r="D5647" t="s">
        <v>6008</v>
      </c>
      <c r="E5647" t="s">
        <v>7431</v>
      </c>
      <c r="G5647">
        <v>10525.15</v>
      </c>
      <c r="I5647">
        <v>124676.51</v>
      </c>
    </row>
    <row r="5648" spans="1:10" ht="15" customHeight="1" x14ac:dyDescent="0.2">
      <c r="A5648" s="420">
        <v>46001</v>
      </c>
      <c r="B5648" t="s">
        <v>2333</v>
      </c>
      <c r="C5648" t="s">
        <v>7421</v>
      </c>
      <c r="D5648" t="s">
        <v>7432</v>
      </c>
      <c r="E5648" t="s">
        <v>7433</v>
      </c>
      <c r="G5648">
        <v>10594.45</v>
      </c>
      <c r="I5648">
        <v>135270.96</v>
      </c>
    </row>
    <row r="5649" spans="1:10" ht="15" customHeight="1" x14ac:dyDescent="0.2">
      <c r="A5649" t="s">
        <v>7421</v>
      </c>
      <c r="E5649" t="s">
        <v>349</v>
      </c>
      <c r="G5649">
        <v>135270.96</v>
      </c>
      <c r="I5649">
        <v>135270.96</v>
      </c>
    </row>
    <row r="5651" spans="1:10" ht="15" customHeight="1" x14ac:dyDescent="0.2">
      <c r="A5651" t="s">
        <v>7434</v>
      </c>
      <c r="B5651" t="s">
        <v>7435</v>
      </c>
      <c r="F5651" t="s">
        <v>2430</v>
      </c>
      <c r="G5651" t="s">
        <v>2431</v>
      </c>
      <c r="H5651" t="s">
        <v>2432</v>
      </c>
      <c r="I5651" t="s">
        <v>2433</v>
      </c>
      <c r="J5651" t="s">
        <v>2434</v>
      </c>
    </row>
    <row r="5652" spans="1:10" ht="15" customHeight="1" x14ac:dyDescent="0.2">
      <c r="A5652" s="420">
        <v>46022</v>
      </c>
      <c r="B5652" t="s">
        <v>2507</v>
      </c>
      <c r="C5652" t="s">
        <v>7434</v>
      </c>
      <c r="D5652" t="s">
        <v>7436</v>
      </c>
      <c r="E5652" t="s">
        <v>804</v>
      </c>
      <c r="G5652">
        <v>2.54</v>
      </c>
      <c r="I5652">
        <v>2.54</v>
      </c>
      <c r="J5652" t="s">
        <v>2509</v>
      </c>
    </row>
    <row r="5653" spans="1:10" ht="15" customHeight="1" x14ac:dyDescent="0.2">
      <c r="A5653" s="420">
        <v>46022</v>
      </c>
      <c r="B5653" t="s">
        <v>2507</v>
      </c>
      <c r="C5653" t="s">
        <v>7434</v>
      </c>
      <c r="D5653" t="s">
        <v>7437</v>
      </c>
      <c r="E5653" t="s">
        <v>805</v>
      </c>
      <c r="G5653">
        <v>2.7</v>
      </c>
      <c r="I5653">
        <v>5.24</v>
      </c>
      <c r="J5653" t="s">
        <v>2511</v>
      </c>
    </row>
    <row r="5654" spans="1:10" ht="15" customHeight="1" x14ac:dyDescent="0.2">
      <c r="A5654" s="420">
        <v>46022</v>
      </c>
      <c r="B5654" t="s">
        <v>2507</v>
      </c>
      <c r="C5654" t="s">
        <v>7434</v>
      </c>
      <c r="D5654" t="s">
        <v>7438</v>
      </c>
      <c r="E5654" t="s">
        <v>806</v>
      </c>
      <c r="G5654">
        <v>2.0299999999999998</v>
      </c>
      <c r="I5654">
        <v>7.27</v>
      </c>
      <c r="J5654" t="s">
        <v>2513</v>
      </c>
    </row>
    <row r="5655" spans="1:10" ht="15" customHeight="1" x14ac:dyDescent="0.2">
      <c r="A5655" s="420">
        <v>46022</v>
      </c>
      <c r="B5655" t="s">
        <v>2439</v>
      </c>
      <c r="C5655" t="s">
        <v>7434</v>
      </c>
      <c r="D5655" t="s">
        <v>5649</v>
      </c>
      <c r="E5655" t="s">
        <v>1058</v>
      </c>
      <c r="F5655">
        <v>7.27</v>
      </c>
    </row>
    <row r="5656" spans="1:10" ht="15" customHeight="1" x14ac:dyDescent="0.2">
      <c r="A5656" t="s">
        <v>7434</v>
      </c>
      <c r="E5656" t="s">
        <v>349</v>
      </c>
      <c r="F5656">
        <v>7.27</v>
      </c>
      <c r="G5656">
        <v>7.27</v>
      </c>
    </row>
    <row r="5658" spans="1:10" ht="15" customHeight="1" x14ac:dyDescent="0.2">
      <c r="A5658" t="s">
        <v>7434</v>
      </c>
      <c r="B5658" t="s">
        <v>7439</v>
      </c>
      <c r="F5658" t="s">
        <v>2430</v>
      </c>
      <c r="G5658" t="s">
        <v>2431</v>
      </c>
      <c r="H5658" t="s">
        <v>2432</v>
      </c>
      <c r="I5658" t="s">
        <v>2433</v>
      </c>
      <c r="J5658" t="s">
        <v>2434</v>
      </c>
    </row>
    <row r="5659" spans="1:10" ht="15" customHeight="1" x14ac:dyDescent="0.2">
      <c r="A5659" s="420">
        <v>46022</v>
      </c>
      <c r="B5659" t="s">
        <v>2439</v>
      </c>
      <c r="C5659" t="s">
        <v>7434</v>
      </c>
      <c r="D5659" t="s">
        <v>5649</v>
      </c>
      <c r="E5659" t="s">
        <v>1058</v>
      </c>
      <c r="G5659">
        <v>7.27</v>
      </c>
      <c r="I5659">
        <v>7.27</v>
      </c>
    </row>
    <row r="5660" spans="1:10" ht="15" customHeight="1" x14ac:dyDescent="0.2">
      <c r="A5660" t="s">
        <v>7434</v>
      </c>
      <c r="E5660" t="s">
        <v>349</v>
      </c>
      <c r="G5660">
        <v>7.27</v>
      </c>
      <c r="I5660">
        <v>7.27</v>
      </c>
    </row>
    <row r="5662" spans="1:10" ht="15" customHeight="1" x14ac:dyDescent="0.2">
      <c r="A5662" t="s">
        <v>7440</v>
      </c>
      <c r="B5662" t="s">
        <v>7441</v>
      </c>
      <c r="F5662" t="s">
        <v>2430</v>
      </c>
      <c r="G5662" t="s">
        <v>2431</v>
      </c>
      <c r="H5662" t="s">
        <v>2432</v>
      </c>
      <c r="I5662" t="s">
        <v>2433</v>
      </c>
      <c r="J5662" t="s">
        <v>2434</v>
      </c>
    </row>
    <row r="5663" spans="1:10" ht="15" customHeight="1" x14ac:dyDescent="0.2">
      <c r="A5663" s="420">
        <v>45658</v>
      </c>
      <c r="B5663" t="s">
        <v>2507</v>
      </c>
      <c r="C5663" t="s">
        <v>7440</v>
      </c>
      <c r="D5663" t="s">
        <v>7442</v>
      </c>
      <c r="E5663" t="s">
        <v>649</v>
      </c>
      <c r="G5663">
        <v>86.81</v>
      </c>
      <c r="I5663">
        <v>86.81</v>
      </c>
      <c r="J5663" t="s">
        <v>2511</v>
      </c>
    </row>
    <row r="5664" spans="1:10" ht="15" customHeight="1" x14ac:dyDescent="0.2">
      <c r="A5664" s="420">
        <v>45658</v>
      </c>
      <c r="B5664" t="s">
        <v>2507</v>
      </c>
      <c r="C5664" t="s">
        <v>7440</v>
      </c>
      <c r="D5664" t="s">
        <v>7443</v>
      </c>
      <c r="E5664" t="s">
        <v>650</v>
      </c>
      <c r="G5664">
        <v>371.18</v>
      </c>
      <c r="I5664">
        <v>457.99</v>
      </c>
      <c r="J5664" t="s">
        <v>2509</v>
      </c>
    </row>
    <row r="5665" spans="1:10" ht="15" customHeight="1" x14ac:dyDescent="0.2">
      <c r="A5665" s="420">
        <v>45658</v>
      </c>
      <c r="B5665" t="s">
        <v>2507</v>
      </c>
      <c r="C5665" t="s">
        <v>7440</v>
      </c>
      <c r="D5665" t="s">
        <v>7444</v>
      </c>
      <c r="E5665" t="s">
        <v>1436</v>
      </c>
      <c r="G5665">
        <v>349</v>
      </c>
      <c r="I5665">
        <v>806.99</v>
      </c>
      <c r="J5665" t="s">
        <v>2513</v>
      </c>
    </row>
    <row r="5666" spans="1:10" ht="15" customHeight="1" x14ac:dyDescent="0.2">
      <c r="A5666" s="420">
        <v>45658</v>
      </c>
      <c r="B5666" t="s">
        <v>2507</v>
      </c>
      <c r="C5666" t="s">
        <v>7440</v>
      </c>
      <c r="D5666" t="s">
        <v>7445</v>
      </c>
      <c r="E5666" t="s">
        <v>653</v>
      </c>
      <c r="G5666">
        <v>15</v>
      </c>
      <c r="I5666">
        <v>821.99</v>
      </c>
      <c r="J5666" t="s">
        <v>2585</v>
      </c>
    </row>
    <row r="5667" spans="1:10" ht="15" customHeight="1" x14ac:dyDescent="0.2">
      <c r="A5667" s="420">
        <v>45658</v>
      </c>
      <c r="B5667" t="s">
        <v>2507</v>
      </c>
      <c r="C5667" t="s">
        <v>7440</v>
      </c>
      <c r="D5667" t="s">
        <v>7445</v>
      </c>
      <c r="E5667" t="s">
        <v>653</v>
      </c>
      <c r="G5667">
        <v>266.89</v>
      </c>
      <c r="I5667">
        <v>1088.8800000000001</v>
      </c>
      <c r="J5667" t="s">
        <v>2586</v>
      </c>
    </row>
    <row r="5668" spans="1:10" ht="15" customHeight="1" x14ac:dyDescent="0.2">
      <c r="A5668" s="420">
        <v>45658</v>
      </c>
      <c r="B5668" t="s">
        <v>2507</v>
      </c>
      <c r="C5668" t="s">
        <v>7440</v>
      </c>
      <c r="D5668" t="s">
        <v>7445</v>
      </c>
      <c r="E5668" t="s">
        <v>653</v>
      </c>
      <c r="G5668">
        <v>14.1</v>
      </c>
      <c r="I5668">
        <v>1102.98</v>
      </c>
      <c r="J5668" t="s">
        <v>2587</v>
      </c>
    </row>
    <row r="5669" spans="1:10" ht="15" customHeight="1" x14ac:dyDescent="0.2">
      <c r="A5669" s="420">
        <v>45658</v>
      </c>
      <c r="B5669" t="s">
        <v>2435</v>
      </c>
      <c r="C5669" t="s">
        <v>7440</v>
      </c>
      <c r="D5669" t="s">
        <v>2436</v>
      </c>
      <c r="E5669" t="s">
        <v>7446</v>
      </c>
      <c r="F5669">
        <v>179</v>
      </c>
      <c r="I5669">
        <v>923.98</v>
      </c>
      <c r="J5669" t="s">
        <v>2603</v>
      </c>
    </row>
    <row r="5670" spans="1:10" ht="15" customHeight="1" x14ac:dyDescent="0.2">
      <c r="A5670" s="420">
        <v>45658</v>
      </c>
      <c r="B5670" t="s">
        <v>2435</v>
      </c>
      <c r="C5670" t="s">
        <v>7440</v>
      </c>
      <c r="D5670" t="s">
        <v>2436</v>
      </c>
      <c r="E5670" t="s">
        <v>7447</v>
      </c>
      <c r="F5670">
        <v>64</v>
      </c>
      <c r="I5670">
        <v>859.98</v>
      </c>
      <c r="J5670" t="s">
        <v>2603</v>
      </c>
    </row>
    <row r="5671" spans="1:10" ht="15" customHeight="1" x14ac:dyDescent="0.2">
      <c r="A5671" s="420">
        <v>45658</v>
      </c>
      <c r="B5671" t="s">
        <v>2435</v>
      </c>
      <c r="C5671" t="s">
        <v>7440</v>
      </c>
      <c r="D5671" t="s">
        <v>2436</v>
      </c>
      <c r="E5671" t="s">
        <v>7448</v>
      </c>
      <c r="F5671">
        <v>31</v>
      </c>
      <c r="I5671">
        <v>828.98</v>
      </c>
      <c r="J5671" t="s">
        <v>2603</v>
      </c>
    </row>
    <row r="5672" spans="1:10" ht="15" customHeight="1" x14ac:dyDescent="0.2">
      <c r="A5672" s="420">
        <v>45658</v>
      </c>
      <c r="B5672" t="s">
        <v>2435</v>
      </c>
      <c r="C5672" t="s">
        <v>7440</v>
      </c>
      <c r="D5672" t="s">
        <v>2436</v>
      </c>
      <c r="E5672" t="s">
        <v>7449</v>
      </c>
      <c r="F5672">
        <v>86.81</v>
      </c>
      <c r="I5672">
        <v>742.17</v>
      </c>
      <c r="J5672" t="s">
        <v>2511</v>
      </c>
    </row>
    <row r="5673" spans="1:10" ht="15" customHeight="1" x14ac:dyDescent="0.2">
      <c r="A5673" s="420">
        <v>45658</v>
      </c>
      <c r="B5673" t="s">
        <v>2435</v>
      </c>
      <c r="C5673" t="s">
        <v>7440</v>
      </c>
      <c r="D5673" t="s">
        <v>2436</v>
      </c>
      <c r="E5673" t="s">
        <v>7450</v>
      </c>
      <c r="F5673">
        <v>371.18</v>
      </c>
      <c r="I5673">
        <v>370.99</v>
      </c>
      <c r="J5673" t="s">
        <v>2509</v>
      </c>
    </row>
    <row r="5674" spans="1:10" ht="15" customHeight="1" x14ac:dyDescent="0.2">
      <c r="A5674" s="420">
        <v>45658</v>
      </c>
      <c r="B5674" t="s">
        <v>2435</v>
      </c>
      <c r="C5674" t="s">
        <v>7440</v>
      </c>
      <c r="D5674" t="s">
        <v>2436</v>
      </c>
      <c r="E5674" t="s">
        <v>7451</v>
      </c>
      <c r="F5674">
        <v>349</v>
      </c>
      <c r="I5674">
        <v>21.99</v>
      </c>
      <c r="J5674" t="s">
        <v>2513</v>
      </c>
    </row>
    <row r="5675" spans="1:10" ht="15" customHeight="1" x14ac:dyDescent="0.2">
      <c r="A5675" s="420">
        <v>45658</v>
      </c>
      <c r="B5675" t="s">
        <v>2435</v>
      </c>
      <c r="C5675" t="s">
        <v>7440</v>
      </c>
      <c r="D5675" t="s">
        <v>2436</v>
      </c>
      <c r="E5675" t="s">
        <v>7452</v>
      </c>
      <c r="F5675">
        <v>18903</v>
      </c>
      <c r="H5675">
        <v>18881.009999999998</v>
      </c>
      <c r="J5675" t="s">
        <v>2603</v>
      </c>
    </row>
    <row r="5676" spans="1:10" ht="15" customHeight="1" x14ac:dyDescent="0.2">
      <c r="A5676" s="420">
        <v>45658</v>
      </c>
      <c r="B5676" t="s">
        <v>2435</v>
      </c>
      <c r="C5676" t="s">
        <v>7440</v>
      </c>
      <c r="D5676" t="s">
        <v>2436</v>
      </c>
      <c r="E5676" t="s">
        <v>7453</v>
      </c>
      <c r="F5676">
        <v>3938</v>
      </c>
      <c r="H5676">
        <v>22819.01</v>
      </c>
      <c r="J5676" t="s">
        <v>2603</v>
      </c>
    </row>
    <row r="5677" spans="1:10" ht="15" customHeight="1" x14ac:dyDescent="0.2">
      <c r="A5677" s="420">
        <v>45658</v>
      </c>
      <c r="B5677" t="s">
        <v>2435</v>
      </c>
      <c r="C5677" t="s">
        <v>7440</v>
      </c>
      <c r="D5677" t="s">
        <v>2436</v>
      </c>
      <c r="E5677" t="s">
        <v>7454</v>
      </c>
      <c r="F5677">
        <v>266.89</v>
      </c>
      <c r="H5677">
        <v>23085.9</v>
      </c>
      <c r="J5677" t="s">
        <v>2586</v>
      </c>
    </row>
    <row r="5678" spans="1:10" ht="15" customHeight="1" x14ac:dyDescent="0.2">
      <c r="A5678" s="420">
        <v>45658</v>
      </c>
      <c r="B5678" t="s">
        <v>2435</v>
      </c>
      <c r="C5678" t="s">
        <v>7440</v>
      </c>
      <c r="D5678" t="s">
        <v>2436</v>
      </c>
      <c r="E5678" t="s">
        <v>7454</v>
      </c>
      <c r="F5678">
        <v>14.1</v>
      </c>
      <c r="H5678">
        <v>23100</v>
      </c>
      <c r="J5678" t="s">
        <v>2587</v>
      </c>
    </row>
    <row r="5679" spans="1:10" ht="15" customHeight="1" x14ac:dyDescent="0.2">
      <c r="A5679" s="420">
        <v>45658</v>
      </c>
      <c r="B5679" t="s">
        <v>2435</v>
      </c>
      <c r="C5679" t="s">
        <v>7440</v>
      </c>
      <c r="D5679" t="s">
        <v>2436</v>
      </c>
      <c r="E5679" t="s">
        <v>7454</v>
      </c>
      <c r="F5679">
        <v>15</v>
      </c>
      <c r="H5679">
        <v>23115</v>
      </c>
      <c r="J5679" t="s">
        <v>2585</v>
      </c>
    </row>
    <row r="5680" spans="1:10" ht="15" customHeight="1" x14ac:dyDescent="0.2">
      <c r="A5680" s="420">
        <v>45658</v>
      </c>
      <c r="B5680" t="s">
        <v>2517</v>
      </c>
      <c r="C5680" t="s">
        <v>7440</v>
      </c>
      <c r="D5680" t="s">
        <v>7455</v>
      </c>
      <c r="E5680" t="s">
        <v>7456</v>
      </c>
      <c r="G5680">
        <v>179</v>
      </c>
      <c r="H5680">
        <v>22936</v>
      </c>
      <c r="J5680" t="s">
        <v>2603</v>
      </c>
    </row>
    <row r="5681" spans="1:10" ht="15" customHeight="1" x14ac:dyDescent="0.2">
      <c r="A5681" s="420">
        <v>45658</v>
      </c>
      <c r="B5681" t="s">
        <v>2517</v>
      </c>
      <c r="C5681" t="s">
        <v>7440</v>
      </c>
      <c r="D5681" t="s">
        <v>7457</v>
      </c>
      <c r="E5681" t="s">
        <v>7458</v>
      </c>
      <c r="G5681">
        <v>64</v>
      </c>
      <c r="H5681">
        <v>22872</v>
      </c>
      <c r="J5681" t="s">
        <v>2603</v>
      </c>
    </row>
    <row r="5682" spans="1:10" ht="15" customHeight="1" x14ac:dyDescent="0.2">
      <c r="A5682" s="420">
        <v>45658</v>
      </c>
      <c r="B5682" t="s">
        <v>2517</v>
      </c>
      <c r="C5682" t="s">
        <v>7440</v>
      </c>
      <c r="D5682" t="s">
        <v>7459</v>
      </c>
      <c r="E5682" t="s">
        <v>7460</v>
      </c>
      <c r="G5682">
        <v>31</v>
      </c>
      <c r="H5682">
        <v>22841</v>
      </c>
      <c r="J5682" t="s">
        <v>2603</v>
      </c>
    </row>
    <row r="5683" spans="1:10" ht="15" customHeight="1" x14ac:dyDescent="0.2">
      <c r="A5683" s="420">
        <v>45658</v>
      </c>
      <c r="B5683" t="s">
        <v>2517</v>
      </c>
      <c r="C5683" t="s">
        <v>7440</v>
      </c>
      <c r="D5683" t="s">
        <v>7461</v>
      </c>
      <c r="E5683" t="s">
        <v>7462</v>
      </c>
      <c r="G5683">
        <v>18903</v>
      </c>
      <c r="H5683">
        <v>3938</v>
      </c>
      <c r="J5683" t="s">
        <v>2603</v>
      </c>
    </row>
    <row r="5684" spans="1:10" ht="15" customHeight="1" x14ac:dyDescent="0.2">
      <c r="A5684" s="420">
        <v>45658</v>
      </c>
      <c r="B5684" t="s">
        <v>2517</v>
      </c>
      <c r="C5684" t="s">
        <v>7440</v>
      </c>
      <c r="D5684" t="s">
        <v>7463</v>
      </c>
      <c r="E5684" t="s">
        <v>7464</v>
      </c>
      <c r="G5684">
        <v>3938</v>
      </c>
      <c r="J5684" t="s">
        <v>2603</v>
      </c>
    </row>
    <row r="5685" spans="1:10" ht="15" customHeight="1" x14ac:dyDescent="0.2">
      <c r="A5685" s="420">
        <v>45838</v>
      </c>
      <c r="B5685" t="s">
        <v>2535</v>
      </c>
      <c r="C5685" t="s">
        <v>7440</v>
      </c>
      <c r="D5685" t="s">
        <v>7465</v>
      </c>
      <c r="E5685" t="s">
        <v>1266</v>
      </c>
      <c r="F5685">
        <v>35.950000000000003</v>
      </c>
      <c r="H5685">
        <v>35.950000000000003</v>
      </c>
      <c r="J5685" t="s">
        <v>2601</v>
      </c>
    </row>
    <row r="5686" spans="1:10" ht="15" customHeight="1" x14ac:dyDescent="0.2">
      <c r="A5686" s="420">
        <v>45838</v>
      </c>
      <c r="B5686" t="s">
        <v>2535</v>
      </c>
      <c r="C5686" t="s">
        <v>7440</v>
      </c>
      <c r="D5686" t="s">
        <v>7466</v>
      </c>
      <c r="E5686" t="s">
        <v>7467</v>
      </c>
      <c r="F5686">
        <v>297.33999999999997</v>
      </c>
      <c r="H5686">
        <v>333.29</v>
      </c>
      <c r="J5686" t="s">
        <v>2604</v>
      </c>
    </row>
    <row r="5687" spans="1:10" ht="15" customHeight="1" x14ac:dyDescent="0.2">
      <c r="A5687" s="420">
        <v>45838</v>
      </c>
      <c r="B5687" t="s">
        <v>2535</v>
      </c>
      <c r="C5687" t="s">
        <v>7440</v>
      </c>
      <c r="D5687" t="s">
        <v>7468</v>
      </c>
      <c r="E5687" t="s">
        <v>729</v>
      </c>
      <c r="F5687">
        <v>73.680000000000007</v>
      </c>
      <c r="H5687">
        <v>406.97</v>
      </c>
      <c r="J5687" t="s">
        <v>2599</v>
      </c>
    </row>
    <row r="5688" spans="1:10" ht="15" customHeight="1" x14ac:dyDescent="0.2">
      <c r="A5688" s="420">
        <v>45838</v>
      </c>
      <c r="B5688" t="s">
        <v>2535</v>
      </c>
      <c r="C5688" t="s">
        <v>7440</v>
      </c>
      <c r="D5688" t="s">
        <v>7469</v>
      </c>
      <c r="E5688" t="s">
        <v>730</v>
      </c>
      <c r="F5688">
        <v>315.01</v>
      </c>
      <c r="H5688">
        <v>721.98</v>
      </c>
      <c r="J5688" t="s">
        <v>2600</v>
      </c>
    </row>
    <row r="5689" spans="1:10" ht="15" customHeight="1" x14ac:dyDescent="0.2">
      <c r="A5689" s="420">
        <v>45838</v>
      </c>
      <c r="B5689" t="s">
        <v>2535</v>
      </c>
      <c r="C5689" t="s">
        <v>7440</v>
      </c>
      <c r="D5689" t="s">
        <v>7470</v>
      </c>
      <c r="E5689" t="s">
        <v>1516</v>
      </c>
      <c r="F5689">
        <v>349</v>
      </c>
      <c r="H5689">
        <v>1070.98</v>
      </c>
      <c r="J5689" t="s">
        <v>2605</v>
      </c>
    </row>
    <row r="5690" spans="1:10" ht="15" customHeight="1" x14ac:dyDescent="0.2">
      <c r="A5690" s="420">
        <v>45838</v>
      </c>
      <c r="B5690" t="s">
        <v>2535</v>
      </c>
      <c r="C5690" t="s">
        <v>7440</v>
      </c>
      <c r="D5690" t="s">
        <v>7471</v>
      </c>
      <c r="E5690" t="s">
        <v>1518</v>
      </c>
      <c r="F5690">
        <v>770.06</v>
      </c>
      <c r="H5690">
        <v>1841.04</v>
      </c>
      <c r="J5690" t="s">
        <v>2710</v>
      </c>
    </row>
    <row r="5691" spans="1:10" ht="15" customHeight="1" x14ac:dyDescent="0.2">
      <c r="A5691" s="420">
        <v>45838</v>
      </c>
      <c r="B5691" t="s">
        <v>2535</v>
      </c>
      <c r="C5691" t="s">
        <v>7440</v>
      </c>
      <c r="D5691" t="s">
        <v>7472</v>
      </c>
      <c r="E5691" t="s">
        <v>992</v>
      </c>
      <c r="F5691">
        <v>128.05000000000001</v>
      </c>
      <c r="H5691">
        <v>1969.09</v>
      </c>
      <c r="J5691" t="s">
        <v>2715</v>
      </c>
    </row>
    <row r="5692" spans="1:10" ht="15" customHeight="1" x14ac:dyDescent="0.2">
      <c r="A5692" s="420">
        <v>45838</v>
      </c>
      <c r="B5692" t="s">
        <v>2535</v>
      </c>
      <c r="C5692" t="s">
        <v>7440</v>
      </c>
      <c r="D5692" t="s">
        <v>7473</v>
      </c>
      <c r="E5692" t="s">
        <v>7474</v>
      </c>
      <c r="F5692">
        <v>20733</v>
      </c>
      <c r="H5692">
        <v>22702.09</v>
      </c>
      <c r="J5692" t="s">
        <v>2725</v>
      </c>
    </row>
    <row r="5693" spans="1:10" ht="15" customHeight="1" x14ac:dyDescent="0.2">
      <c r="A5693" s="420">
        <v>45838</v>
      </c>
      <c r="B5693" t="s">
        <v>2535</v>
      </c>
      <c r="C5693" t="s">
        <v>7440</v>
      </c>
      <c r="D5693" t="s">
        <v>7473</v>
      </c>
      <c r="E5693" t="s">
        <v>7475</v>
      </c>
      <c r="F5693">
        <v>4319</v>
      </c>
      <c r="H5693">
        <v>27021.09</v>
      </c>
      <c r="J5693" t="s">
        <v>2729</v>
      </c>
    </row>
    <row r="5694" spans="1:10" ht="15" customHeight="1" x14ac:dyDescent="0.2">
      <c r="A5694" s="420">
        <v>45838</v>
      </c>
      <c r="B5694" t="s">
        <v>2535</v>
      </c>
      <c r="C5694" t="s">
        <v>7440</v>
      </c>
      <c r="D5694" t="s">
        <v>7476</v>
      </c>
      <c r="E5694" t="s">
        <v>7477</v>
      </c>
      <c r="F5694">
        <v>725.92</v>
      </c>
      <c r="H5694">
        <v>27747.01</v>
      </c>
      <c r="J5694" t="s">
        <v>2719</v>
      </c>
    </row>
    <row r="5695" spans="1:10" ht="15" customHeight="1" x14ac:dyDescent="0.2">
      <c r="A5695" s="420">
        <v>45838</v>
      </c>
      <c r="B5695" t="s">
        <v>2535</v>
      </c>
      <c r="C5695" t="s">
        <v>7440</v>
      </c>
      <c r="D5695" t="s">
        <v>7478</v>
      </c>
      <c r="E5695" t="s">
        <v>7479</v>
      </c>
      <c r="F5695">
        <v>1245.1600000000001</v>
      </c>
      <c r="H5695">
        <v>28992.17</v>
      </c>
      <c r="J5695" t="s">
        <v>2727</v>
      </c>
    </row>
    <row r="5696" spans="1:10" ht="15" customHeight="1" x14ac:dyDescent="0.2">
      <c r="A5696" s="420">
        <v>45839</v>
      </c>
      <c r="B5696" t="s">
        <v>2535</v>
      </c>
      <c r="C5696" t="s">
        <v>7440</v>
      </c>
      <c r="D5696" t="s">
        <v>7466</v>
      </c>
      <c r="E5696" t="s">
        <v>7480</v>
      </c>
      <c r="G5696">
        <v>297.33999999999997</v>
      </c>
      <c r="H5696">
        <v>28694.83</v>
      </c>
      <c r="J5696" t="s">
        <v>2604</v>
      </c>
    </row>
    <row r="5697" spans="1:10" ht="15" customHeight="1" x14ac:dyDescent="0.2">
      <c r="A5697" s="420">
        <v>45839</v>
      </c>
      <c r="B5697" t="s">
        <v>2535</v>
      </c>
      <c r="C5697" t="s">
        <v>7440</v>
      </c>
      <c r="D5697" t="s">
        <v>7468</v>
      </c>
      <c r="E5697" t="s">
        <v>732</v>
      </c>
      <c r="G5697">
        <v>73.680000000000007</v>
      </c>
      <c r="H5697">
        <v>28621.15</v>
      </c>
      <c r="J5697" t="s">
        <v>2599</v>
      </c>
    </row>
    <row r="5698" spans="1:10" ht="15" customHeight="1" x14ac:dyDescent="0.2">
      <c r="A5698" s="420">
        <v>45839</v>
      </c>
      <c r="B5698" t="s">
        <v>2535</v>
      </c>
      <c r="C5698" t="s">
        <v>7440</v>
      </c>
      <c r="D5698" t="s">
        <v>7469</v>
      </c>
      <c r="E5698" t="s">
        <v>733</v>
      </c>
      <c r="G5698">
        <v>315.01</v>
      </c>
      <c r="H5698">
        <v>28306.14</v>
      </c>
      <c r="J5698" t="s">
        <v>2600</v>
      </c>
    </row>
    <row r="5699" spans="1:10" ht="15" customHeight="1" x14ac:dyDescent="0.2">
      <c r="A5699" s="420">
        <v>45839</v>
      </c>
      <c r="B5699" t="s">
        <v>2535</v>
      </c>
      <c r="C5699" t="s">
        <v>7440</v>
      </c>
      <c r="D5699" t="s">
        <v>7465</v>
      </c>
      <c r="E5699" t="s">
        <v>1268</v>
      </c>
      <c r="G5699">
        <v>35.950000000000003</v>
      </c>
      <c r="H5699">
        <v>28270.19</v>
      </c>
      <c r="J5699" t="s">
        <v>2601</v>
      </c>
    </row>
    <row r="5700" spans="1:10" ht="15" customHeight="1" x14ac:dyDescent="0.2">
      <c r="A5700" s="420">
        <v>45839</v>
      </c>
      <c r="B5700" t="s">
        <v>2535</v>
      </c>
      <c r="C5700" t="s">
        <v>7440</v>
      </c>
      <c r="D5700" t="s">
        <v>7481</v>
      </c>
      <c r="E5700" t="s">
        <v>1521</v>
      </c>
      <c r="G5700">
        <v>175.94</v>
      </c>
      <c r="H5700">
        <v>28094.25</v>
      </c>
    </row>
    <row r="5701" spans="1:10" ht="15" customHeight="1" x14ac:dyDescent="0.2">
      <c r="A5701" s="420">
        <v>45839</v>
      </c>
      <c r="B5701" t="s">
        <v>2535</v>
      </c>
      <c r="C5701" t="s">
        <v>7440</v>
      </c>
      <c r="D5701" t="s">
        <v>7470</v>
      </c>
      <c r="E5701" t="s">
        <v>1522</v>
      </c>
      <c r="G5701">
        <v>349</v>
      </c>
      <c r="H5701">
        <v>27745.25</v>
      </c>
      <c r="J5701" t="s">
        <v>2605</v>
      </c>
    </row>
    <row r="5702" spans="1:10" ht="15" customHeight="1" x14ac:dyDescent="0.2">
      <c r="A5702" s="420">
        <v>45839</v>
      </c>
      <c r="B5702" t="s">
        <v>2535</v>
      </c>
      <c r="C5702" t="s">
        <v>7440</v>
      </c>
      <c r="D5702" t="s">
        <v>7471</v>
      </c>
      <c r="E5702" t="s">
        <v>1524</v>
      </c>
      <c r="G5702">
        <v>770.06</v>
      </c>
      <c r="H5702">
        <v>26975.19</v>
      </c>
      <c r="J5702" t="s">
        <v>2710</v>
      </c>
    </row>
    <row r="5703" spans="1:10" ht="15" customHeight="1" x14ac:dyDescent="0.2">
      <c r="A5703" s="420">
        <v>45839</v>
      </c>
      <c r="B5703" t="s">
        <v>2535</v>
      </c>
      <c r="C5703" t="s">
        <v>7440</v>
      </c>
      <c r="D5703" t="s">
        <v>7472</v>
      </c>
      <c r="E5703" t="s">
        <v>996</v>
      </c>
      <c r="G5703">
        <v>128.05000000000001</v>
      </c>
      <c r="H5703">
        <v>26847.14</v>
      </c>
      <c r="J5703" t="s">
        <v>2715</v>
      </c>
    </row>
    <row r="5704" spans="1:10" ht="15" customHeight="1" x14ac:dyDescent="0.2">
      <c r="A5704" s="420">
        <v>45839</v>
      </c>
      <c r="B5704" t="s">
        <v>2535</v>
      </c>
      <c r="C5704" t="s">
        <v>7440</v>
      </c>
      <c r="D5704" t="s">
        <v>7476</v>
      </c>
      <c r="E5704" t="s">
        <v>7482</v>
      </c>
      <c r="G5704">
        <v>725.92</v>
      </c>
      <c r="H5704">
        <v>26121.22</v>
      </c>
      <c r="J5704" t="s">
        <v>2719</v>
      </c>
    </row>
    <row r="5705" spans="1:10" ht="15" customHeight="1" x14ac:dyDescent="0.2">
      <c r="A5705" s="420">
        <v>45839</v>
      </c>
      <c r="B5705" t="s">
        <v>2535</v>
      </c>
      <c r="C5705" t="s">
        <v>7440</v>
      </c>
      <c r="D5705" t="s">
        <v>7478</v>
      </c>
      <c r="E5705" t="s">
        <v>7483</v>
      </c>
      <c r="G5705">
        <v>1245.1600000000001</v>
      </c>
      <c r="H5705">
        <v>24876.06</v>
      </c>
      <c r="J5705" t="s">
        <v>2727</v>
      </c>
    </row>
    <row r="5706" spans="1:10" ht="15" customHeight="1" x14ac:dyDescent="0.2">
      <c r="A5706" s="420">
        <v>45839</v>
      </c>
      <c r="B5706" t="s">
        <v>2535</v>
      </c>
      <c r="C5706" t="s">
        <v>7440</v>
      </c>
      <c r="D5706" t="s">
        <v>7473</v>
      </c>
      <c r="E5706" t="s">
        <v>7484</v>
      </c>
      <c r="G5706">
        <v>20733</v>
      </c>
      <c r="H5706">
        <v>4143.0600000000004</v>
      </c>
      <c r="J5706" t="s">
        <v>2725</v>
      </c>
    </row>
    <row r="5707" spans="1:10" ht="15" customHeight="1" x14ac:dyDescent="0.2">
      <c r="A5707" s="420">
        <v>45839</v>
      </c>
      <c r="B5707" t="s">
        <v>2535</v>
      </c>
      <c r="C5707" t="s">
        <v>7440</v>
      </c>
      <c r="D5707" t="s">
        <v>7473</v>
      </c>
      <c r="E5707" t="s">
        <v>7485</v>
      </c>
      <c r="G5707">
        <v>4319</v>
      </c>
      <c r="I5707">
        <v>175.94</v>
      </c>
      <c r="J5707" t="s">
        <v>2729</v>
      </c>
    </row>
    <row r="5708" spans="1:10" ht="15" customHeight="1" x14ac:dyDescent="0.2">
      <c r="A5708" s="420">
        <v>46022</v>
      </c>
      <c r="B5708" t="s">
        <v>2507</v>
      </c>
      <c r="C5708" t="s">
        <v>7440</v>
      </c>
      <c r="D5708" t="s">
        <v>808</v>
      </c>
      <c r="E5708" t="s">
        <v>808</v>
      </c>
      <c r="F5708">
        <v>60.32</v>
      </c>
      <c r="I5708">
        <v>115.62</v>
      </c>
      <c r="J5708" t="s">
        <v>2509</v>
      </c>
    </row>
    <row r="5709" spans="1:10" ht="15" customHeight="1" x14ac:dyDescent="0.2">
      <c r="A5709" s="420">
        <v>46022</v>
      </c>
      <c r="B5709" t="s">
        <v>2507</v>
      </c>
      <c r="C5709" t="s">
        <v>7440</v>
      </c>
      <c r="D5709" t="s">
        <v>809</v>
      </c>
      <c r="E5709" t="s">
        <v>809</v>
      </c>
      <c r="F5709">
        <v>257.91000000000003</v>
      </c>
      <c r="H5709">
        <v>142.29</v>
      </c>
      <c r="J5709" t="s">
        <v>2511</v>
      </c>
    </row>
    <row r="5710" spans="1:10" ht="15" customHeight="1" x14ac:dyDescent="0.2">
      <c r="A5710" s="420">
        <v>46022</v>
      </c>
      <c r="B5710" t="s">
        <v>2507</v>
      </c>
      <c r="C5710" t="s">
        <v>7440</v>
      </c>
      <c r="D5710" t="s">
        <v>7486</v>
      </c>
      <c r="E5710" t="s">
        <v>1431</v>
      </c>
      <c r="F5710">
        <v>750</v>
      </c>
      <c r="H5710">
        <v>892.29</v>
      </c>
    </row>
    <row r="5711" spans="1:10" ht="15" customHeight="1" x14ac:dyDescent="0.2">
      <c r="A5711" s="420">
        <v>46022</v>
      </c>
      <c r="B5711" t="s">
        <v>2507</v>
      </c>
      <c r="C5711" t="s">
        <v>7440</v>
      </c>
      <c r="D5711" t="s">
        <v>7487</v>
      </c>
      <c r="E5711" t="s">
        <v>1432</v>
      </c>
      <c r="F5711">
        <v>519</v>
      </c>
      <c r="H5711">
        <v>1411.29</v>
      </c>
    </row>
    <row r="5712" spans="1:10" ht="15" customHeight="1" x14ac:dyDescent="0.2">
      <c r="A5712" s="420">
        <v>46022</v>
      </c>
      <c r="B5712" t="s">
        <v>2507</v>
      </c>
      <c r="C5712" t="s">
        <v>7440</v>
      </c>
      <c r="D5712" t="s">
        <v>7488</v>
      </c>
      <c r="E5712" t="s">
        <v>1616</v>
      </c>
      <c r="F5712">
        <v>349</v>
      </c>
      <c r="H5712">
        <v>1760.29</v>
      </c>
    </row>
    <row r="5713" spans="1:10" ht="15" customHeight="1" x14ac:dyDescent="0.2">
      <c r="A5713" s="420">
        <v>46022</v>
      </c>
      <c r="B5713" t="s">
        <v>2507</v>
      </c>
      <c r="C5713" t="s">
        <v>7440</v>
      </c>
      <c r="D5713" t="s">
        <v>7489</v>
      </c>
      <c r="E5713" t="s">
        <v>807</v>
      </c>
      <c r="F5713">
        <v>180.65</v>
      </c>
      <c r="H5713">
        <v>1940.94</v>
      </c>
    </row>
    <row r="5714" spans="1:10" ht="15" customHeight="1" x14ac:dyDescent="0.2">
      <c r="A5714" s="420">
        <v>46022</v>
      </c>
      <c r="B5714" t="s">
        <v>2507</v>
      </c>
      <c r="C5714" t="s">
        <v>7440</v>
      </c>
      <c r="D5714" t="s">
        <v>1618</v>
      </c>
      <c r="E5714" t="s">
        <v>1618</v>
      </c>
      <c r="F5714">
        <v>878.72</v>
      </c>
      <c r="H5714">
        <v>2819.66</v>
      </c>
      <c r="J5714" t="s">
        <v>2513</v>
      </c>
    </row>
    <row r="5715" spans="1:10" ht="15" customHeight="1" x14ac:dyDescent="0.2">
      <c r="A5715" s="420">
        <v>46022</v>
      </c>
      <c r="B5715" t="s">
        <v>2333</v>
      </c>
      <c r="C5715" t="s">
        <v>7440</v>
      </c>
      <c r="D5715" t="s">
        <v>7490</v>
      </c>
      <c r="E5715" t="s">
        <v>7491</v>
      </c>
      <c r="F5715">
        <v>32651</v>
      </c>
      <c r="H5715">
        <v>35470.660000000003</v>
      </c>
    </row>
    <row r="5716" spans="1:10" ht="15" customHeight="1" x14ac:dyDescent="0.2">
      <c r="A5716" s="420">
        <v>46022</v>
      </c>
      <c r="B5716" t="s">
        <v>2507</v>
      </c>
      <c r="C5716" t="s">
        <v>7440</v>
      </c>
      <c r="D5716" t="s">
        <v>7492</v>
      </c>
      <c r="E5716" t="s">
        <v>7475</v>
      </c>
      <c r="F5716">
        <v>12429</v>
      </c>
      <c r="H5716">
        <v>47899.66</v>
      </c>
    </row>
    <row r="5717" spans="1:10" ht="15" customHeight="1" x14ac:dyDescent="0.2">
      <c r="A5717" t="s">
        <v>7440</v>
      </c>
      <c r="E5717" t="s">
        <v>349</v>
      </c>
      <c r="F5717">
        <v>101285.75</v>
      </c>
      <c r="G5717">
        <v>53386.09</v>
      </c>
      <c r="H5717">
        <v>47899.66</v>
      </c>
    </row>
    <row r="5719" spans="1:10" ht="15" customHeight="1" x14ac:dyDescent="0.2">
      <c r="A5719" t="s">
        <v>7493</v>
      </c>
      <c r="B5719" t="s">
        <v>7494</v>
      </c>
      <c r="F5719" t="s">
        <v>2430</v>
      </c>
      <c r="G5719" t="s">
        <v>2431</v>
      </c>
      <c r="H5719" t="s">
        <v>2432</v>
      </c>
      <c r="I5719" t="s">
        <v>2433</v>
      </c>
      <c r="J5719" t="s">
        <v>2434</v>
      </c>
    </row>
    <row r="5720" spans="1:10" ht="15" customHeight="1" x14ac:dyDescent="0.2">
      <c r="A5720" s="420">
        <v>45658</v>
      </c>
      <c r="B5720" t="s">
        <v>2333</v>
      </c>
      <c r="C5720" t="s">
        <v>7493</v>
      </c>
      <c r="D5720" t="s">
        <v>6069</v>
      </c>
      <c r="E5720" t="s">
        <v>6070</v>
      </c>
      <c r="G5720">
        <v>2204.96</v>
      </c>
      <c r="I5720">
        <v>2204.96</v>
      </c>
    </row>
    <row r="5721" spans="1:10" ht="15" customHeight="1" x14ac:dyDescent="0.2">
      <c r="A5721" s="420">
        <v>45658</v>
      </c>
      <c r="B5721" t="s">
        <v>2333</v>
      </c>
      <c r="C5721" t="s">
        <v>7493</v>
      </c>
      <c r="D5721" t="s">
        <v>4618</v>
      </c>
      <c r="E5721" t="s">
        <v>4619</v>
      </c>
      <c r="G5721">
        <v>780</v>
      </c>
      <c r="I5721">
        <v>2984.96</v>
      </c>
    </row>
    <row r="5722" spans="1:10" ht="15" customHeight="1" x14ac:dyDescent="0.2">
      <c r="A5722" s="420">
        <v>45658</v>
      </c>
      <c r="B5722" t="s">
        <v>2435</v>
      </c>
      <c r="C5722" t="s">
        <v>7493</v>
      </c>
      <c r="D5722" t="s">
        <v>2436</v>
      </c>
      <c r="E5722" t="s">
        <v>7495</v>
      </c>
      <c r="F5722">
        <v>59108.47</v>
      </c>
      <c r="H5722">
        <v>56123.51</v>
      </c>
    </row>
    <row r="5723" spans="1:10" ht="15" customHeight="1" x14ac:dyDescent="0.2">
      <c r="A5723" s="420">
        <v>45659</v>
      </c>
      <c r="B5723" t="s">
        <v>2333</v>
      </c>
      <c r="C5723" t="s">
        <v>7493</v>
      </c>
      <c r="D5723" t="s">
        <v>2964</v>
      </c>
      <c r="E5723" t="s">
        <v>2965</v>
      </c>
      <c r="G5723">
        <v>1752</v>
      </c>
      <c r="H5723">
        <v>54371.51</v>
      </c>
    </row>
    <row r="5724" spans="1:10" ht="15" customHeight="1" x14ac:dyDescent="0.2">
      <c r="A5724" s="420">
        <v>45659</v>
      </c>
      <c r="B5724" t="s">
        <v>2333</v>
      </c>
      <c r="C5724" t="s">
        <v>7493</v>
      </c>
      <c r="D5724" t="s">
        <v>7496</v>
      </c>
      <c r="E5724" t="s">
        <v>7497</v>
      </c>
      <c r="G5724">
        <v>20.91</v>
      </c>
      <c r="H5724">
        <v>54350.6</v>
      </c>
    </row>
    <row r="5725" spans="1:10" ht="15" customHeight="1" x14ac:dyDescent="0.2">
      <c r="A5725" s="420">
        <v>45659</v>
      </c>
      <c r="B5725" t="s">
        <v>2333</v>
      </c>
      <c r="C5725" t="s">
        <v>7493</v>
      </c>
      <c r="D5725" t="s">
        <v>6072</v>
      </c>
      <c r="E5725" t="s">
        <v>6073</v>
      </c>
      <c r="G5725">
        <v>1576.51</v>
      </c>
      <c r="H5725">
        <v>52774.09</v>
      </c>
    </row>
    <row r="5726" spans="1:10" ht="15" customHeight="1" x14ac:dyDescent="0.2">
      <c r="A5726" s="420">
        <v>45659</v>
      </c>
      <c r="B5726" t="s">
        <v>2333</v>
      </c>
      <c r="C5726" t="s">
        <v>7493</v>
      </c>
      <c r="D5726" t="s">
        <v>6074</v>
      </c>
      <c r="E5726" t="s">
        <v>6075</v>
      </c>
      <c r="G5726">
        <v>2308.6</v>
      </c>
      <c r="H5726">
        <v>50465.49</v>
      </c>
    </row>
    <row r="5727" spans="1:10" ht="15" customHeight="1" x14ac:dyDescent="0.2">
      <c r="A5727" s="420">
        <v>45659</v>
      </c>
      <c r="B5727" t="s">
        <v>2333</v>
      </c>
      <c r="C5727" t="s">
        <v>7493</v>
      </c>
      <c r="D5727" t="s">
        <v>7498</v>
      </c>
      <c r="E5727" t="s">
        <v>1621</v>
      </c>
      <c r="G5727">
        <v>1.05</v>
      </c>
      <c r="H5727">
        <v>50464.44</v>
      </c>
    </row>
    <row r="5728" spans="1:10" ht="15" customHeight="1" x14ac:dyDescent="0.2">
      <c r="A5728" s="420">
        <v>45659</v>
      </c>
      <c r="B5728" t="s">
        <v>2333</v>
      </c>
      <c r="C5728" t="s">
        <v>7493</v>
      </c>
      <c r="D5728" t="s">
        <v>7499</v>
      </c>
      <c r="E5728" t="s">
        <v>1621</v>
      </c>
      <c r="G5728">
        <v>1.05</v>
      </c>
      <c r="H5728">
        <v>50463.39</v>
      </c>
    </row>
    <row r="5729" spans="1:8" ht="15" customHeight="1" x14ac:dyDescent="0.2">
      <c r="A5729" s="420">
        <v>45660</v>
      </c>
      <c r="B5729" t="s">
        <v>2333</v>
      </c>
      <c r="C5729" t="s">
        <v>7493</v>
      </c>
      <c r="D5729" t="s">
        <v>4622</v>
      </c>
      <c r="E5729" t="s">
        <v>4623</v>
      </c>
      <c r="G5729">
        <v>997.48</v>
      </c>
      <c r="H5729">
        <v>49465.91</v>
      </c>
    </row>
    <row r="5730" spans="1:8" ht="15" customHeight="1" x14ac:dyDescent="0.2">
      <c r="A5730" s="420">
        <v>45660</v>
      </c>
      <c r="B5730" t="s">
        <v>2333</v>
      </c>
      <c r="C5730" t="s">
        <v>7493</v>
      </c>
      <c r="D5730" t="s">
        <v>7500</v>
      </c>
      <c r="E5730" t="s">
        <v>1732</v>
      </c>
      <c r="G5730">
        <v>210.08</v>
      </c>
      <c r="H5730">
        <v>49255.83</v>
      </c>
    </row>
    <row r="5731" spans="1:8" ht="15" customHeight="1" x14ac:dyDescent="0.2">
      <c r="A5731" s="420">
        <v>45660</v>
      </c>
      <c r="B5731" t="s">
        <v>2333</v>
      </c>
      <c r="C5731" t="s">
        <v>7493</v>
      </c>
      <c r="D5731" t="s">
        <v>7501</v>
      </c>
      <c r="E5731" t="s">
        <v>1733</v>
      </c>
      <c r="G5731">
        <v>84</v>
      </c>
      <c r="H5731">
        <v>49171.83</v>
      </c>
    </row>
    <row r="5732" spans="1:8" ht="15" customHeight="1" x14ac:dyDescent="0.2">
      <c r="A5732" s="420">
        <v>45660</v>
      </c>
      <c r="B5732" t="s">
        <v>2333</v>
      </c>
      <c r="C5732" t="s">
        <v>7493</v>
      </c>
      <c r="D5732" t="s">
        <v>3695</v>
      </c>
      <c r="E5732" t="s">
        <v>3696</v>
      </c>
      <c r="G5732">
        <v>950.38</v>
      </c>
      <c r="H5732">
        <v>48221.45</v>
      </c>
    </row>
    <row r="5733" spans="1:8" ht="15" customHeight="1" x14ac:dyDescent="0.2">
      <c r="A5733" s="420">
        <v>45660</v>
      </c>
      <c r="B5733" t="s">
        <v>2333</v>
      </c>
      <c r="C5733" t="s">
        <v>7493</v>
      </c>
      <c r="D5733" t="s">
        <v>7502</v>
      </c>
      <c r="E5733" t="s">
        <v>659</v>
      </c>
      <c r="G5733">
        <v>14.13</v>
      </c>
      <c r="H5733">
        <v>48207.32</v>
      </c>
    </row>
    <row r="5734" spans="1:8" ht="15" customHeight="1" x14ac:dyDescent="0.2">
      <c r="A5734" s="420">
        <v>45662</v>
      </c>
      <c r="B5734" t="s">
        <v>2333</v>
      </c>
      <c r="C5734" t="s">
        <v>7493</v>
      </c>
      <c r="D5734" t="s">
        <v>7503</v>
      </c>
      <c r="E5734" t="s">
        <v>7504</v>
      </c>
      <c r="G5734">
        <v>17.25</v>
      </c>
      <c r="H5734">
        <v>48190.07</v>
      </c>
    </row>
    <row r="5735" spans="1:8" ht="15" customHeight="1" x14ac:dyDescent="0.2">
      <c r="A5735" s="420">
        <v>45662</v>
      </c>
      <c r="B5735" t="s">
        <v>2333</v>
      </c>
      <c r="C5735" t="s">
        <v>7493</v>
      </c>
      <c r="D5735" t="s">
        <v>7505</v>
      </c>
      <c r="E5735" t="s">
        <v>7506</v>
      </c>
      <c r="G5735">
        <v>233.71</v>
      </c>
      <c r="H5735">
        <v>47956.36</v>
      </c>
    </row>
    <row r="5736" spans="1:8" ht="15" customHeight="1" x14ac:dyDescent="0.2">
      <c r="A5736" s="420">
        <v>45662</v>
      </c>
      <c r="B5736" t="s">
        <v>2333</v>
      </c>
      <c r="C5736" t="s">
        <v>7493</v>
      </c>
      <c r="D5736" t="s">
        <v>7507</v>
      </c>
      <c r="E5736" t="s">
        <v>7508</v>
      </c>
      <c r="G5736">
        <v>47.1</v>
      </c>
      <c r="H5736">
        <v>47909.26</v>
      </c>
    </row>
    <row r="5737" spans="1:8" ht="15" customHeight="1" x14ac:dyDescent="0.2">
      <c r="A5737" s="420">
        <v>45662</v>
      </c>
      <c r="B5737" t="s">
        <v>2333</v>
      </c>
      <c r="C5737" t="s">
        <v>7493</v>
      </c>
      <c r="D5737" t="s">
        <v>7509</v>
      </c>
      <c r="E5737" t="s">
        <v>7510</v>
      </c>
      <c r="G5737">
        <v>596.96</v>
      </c>
      <c r="H5737">
        <v>47312.3</v>
      </c>
    </row>
    <row r="5738" spans="1:8" ht="15" customHeight="1" x14ac:dyDescent="0.2">
      <c r="A5738" s="420">
        <v>45663</v>
      </c>
      <c r="B5738" t="s">
        <v>2333</v>
      </c>
      <c r="C5738" t="s">
        <v>7493</v>
      </c>
      <c r="D5738" t="s">
        <v>3985</v>
      </c>
      <c r="E5738" t="s">
        <v>3986</v>
      </c>
      <c r="G5738">
        <v>393.82</v>
      </c>
      <c r="H5738">
        <v>46918.48</v>
      </c>
    </row>
    <row r="5739" spans="1:8" ht="15" customHeight="1" x14ac:dyDescent="0.2">
      <c r="A5739" s="420">
        <v>45663</v>
      </c>
      <c r="B5739" t="s">
        <v>2333</v>
      </c>
      <c r="C5739" t="s">
        <v>7493</v>
      </c>
      <c r="D5739" t="s">
        <v>5274</v>
      </c>
      <c r="E5739" t="s">
        <v>5275</v>
      </c>
      <c r="G5739">
        <v>104.4</v>
      </c>
      <c r="H5739">
        <v>46814.080000000002</v>
      </c>
    </row>
    <row r="5740" spans="1:8" ht="15" customHeight="1" x14ac:dyDescent="0.2">
      <c r="A5740" s="420">
        <v>45663</v>
      </c>
      <c r="B5740" t="s">
        <v>2333</v>
      </c>
      <c r="C5740" t="s">
        <v>7493</v>
      </c>
      <c r="D5740" t="s">
        <v>7167</v>
      </c>
      <c r="E5740" t="s">
        <v>7168</v>
      </c>
      <c r="G5740">
        <v>500</v>
      </c>
      <c r="H5740">
        <v>46314.080000000002</v>
      </c>
    </row>
    <row r="5741" spans="1:8" ht="15" customHeight="1" x14ac:dyDescent="0.2">
      <c r="A5741" s="420">
        <v>45663</v>
      </c>
      <c r="B5741" t="s">
        <v>2333</v>
      </c>
      <c r="C5741" t="s">
        <v>7493</v>
      </c>
      <c r="D5741" t="s">
        <v>4072</v>
      </c>
      <c r="E5741" t="s">
        <v>4073</v>
      </c>
      <c r="G5741">
        <v>322</v>
      </c>
      <c r="H5741">
        <v>45992.08</v>
      </c>
    </row>
    <row r="5742" spans="1:8" ht="15" customHeight="1" x14ac:dyDescent="0.2">
      <c r="A5742" s="420">
        <v>45663</v>
      </c>
      <c r="B5742" t="s">
        <v>2333</v>
      </c>
      <c r="C5742" t="s">
        <v>7493</v>
      </c>
      <c r="D5742" t="s">
        <v>4044</v>
      </c>
      <c r="E5742" t="s">
        <v>4045</v>
      </c>
      <c r="G5742">
        <v>1418</v>
      </c>
      <c r="H5742">
        <v>44574.080000000002</v>
      </c>
    </row>
    <row r="5743" spans="1:8" ht="15" customHeight="1" x14ac:dyDescent="0.2">
      <c r="A5743" s="420">
        <v>45663</v>
      </c>
      <c r="B5743" t="s">
        <v>2333</v>
      </c>
      <c r="C5743" t="s">
        <v>7493</v>
      </c>
      <c r="D5743" t="s">
        <v>4141</v>
      </c>
      <c r="E5743" t="s">
        <v>4142</v>
      </c>
      <c r="G5743">
        <v>16.8</v>
      </c>
      <c r="H5743">
        <v>44557.279999999999</v>
      </c>
    </row>
    <row r="5744" spans="1:8" ht="15" customHeight="1" x14ac:dyDescent="0.2">
      <c r="A5744" s="420">
        <v>45663</v>
      </c>
      <c r="B5744" t="s">
        <v>2333</v>
      </c>
      <c r="C5744" t="s">
        <v>7493</v>
      </c>
      <c r="D5744" t="s">
        <v>7511</v>
      </c>
      <c r="E5744" t="s">
        <v>1622</v>
      </c>
      <c r="G5744">
        <v>30.6</v>
      </c>
      <c r="H5744">
        <v>44526.68</v>
      </c>
    </row>
    <row r="5745" spans="1:8" ht="15" customHeight="1" x14ac:dyDescent="0.2">
      <c r="A5745" s="420">
        <v>45664</v>
      </c>
      <c r="B5745" t="s">
        <v>2333</v>
      </c>
      <c r="C5745" t="s">
        <v>7493</v>
      </c>
      <c r="D5745" t="s">
        <v>7512</v>
      </c>
      <c r="E5745" t="s">
        <v>1738</v>
      </c>
      <c r="G5745">
        <v>40.9</v>
      </c>
      <c r="H5745">
        <v>44485.78</v>
      </c>
    </row>
    <row r="5746" spans="1:8" ht="15" customHeight="1" x14ac:dyDescent="0.2">
      <c r="A5746" s="420">
        <v>45664</v>
      </c>
      <c r="B5746" t="s">
        <v>2333</v>
      </c>
      <c r="C5746" t="s">
        <v>7493</v>
      </c>
      <c r="D5746" t="s">
        <v>3143</v>
      </c>
      <c r="E5746" t="s">
        <v>3144</v>
      </c>
      <c r="G5746">
        <v>16.96</v>
      </c>
      <c r="H5746">
        <v>44468.82</v>
      </c>
    </row>
    <row r="5747" spans="1:8" ht="15" customHeight="1" x14ac:dyDescent="0.2">
      <c r="A5747" s="420">
        <v>45664</v>
      </c>
      <c r="B5747" t="s">
        <v>2333</v>
      </c>
      <c r="C5747" t="s">
        <v>7493</v>
      </c>
      <c r="D5747" t="s">
        <v>5538</v>
      </c>
      <c r="E5747" t="s">
        <v>5539</v>
      </c>
      <c r="F5747">
        <v>21355.200000000001</v>
      </c>
      <c r="H5747">
        <v>65824.02</v>
      </c>
    </row>
    <row r="5748" spans="1:8" ht="15" customHeight="1" x14ac:dyDescent="0.2">
      <c r="A5748" s="420">
        <v>45664</v>
      </c>
      <c r="B5748" t="s">
        <v>2333</v>
      </c>
      <c r="C5748" t="s">
        <v>7493</v>
      </c>
      <c r="D5748" t="s">
        <v>7315</v>
      </c>
      <c r="E5748" t="s">
        <v>7316</v>
      </c>
      <c r="F5748">
        <v>8716.5</v>
      </c>
      <c r="H5748">
        <v>74540.52</v>
      </c>
    </row>
    <row r="5749" spans="1:8" ht="15" customHeight="1" x14ac:dyDescent="0.2">
      <c r="A5749" s="420">
        <v>45664</v>
      </c>
      <c r="B5749" t="s">
        <v>2333</v>
      </c>
      <c r="C5749" t="s">
        <v>7493</v>
      </c>
      <c r="D5749" t="s">
        <v>5203</v>
      </c>
      <c r="E5749" t="s">
        <v>5204</v>
      </c>
      <c r="G5749">
        <v>129.44999999999999</v>
      </c>
      <c r="H5749">
        <v>74411.070000000007</v>
      </c>
    </row>
    <row r="5750" spans="1:8" ht="15" customHeight="1" x14ac:dyDescent="0.2">
      <c r="A5750" s="420">
        <v>45665</v>
      </c>
      <c r="B5750" t="s">
        <v>2333</v>
      </c>
      <c r="C5750" t="s">
        <v>7493</v>
      </c>
      <c r="D5750" t="s">
        <v>3990</v>
      </c>
      <c r="E5750" t="s">
        <v>3991</v>
      </c>
      <c r="G5750">
        <v>792.46</v>
      </c>
      <c r="H5750">
        <v>73618.61</v>
      </c>
    </row>
    <row r="5751" spans="1:8" ht="15" customHeight="1" x14ac:dyDescent="0.2">
      <c r="A5751" s="420">
        <v>45665</v>
      </c>
      <c r="B5751" t="s">
        <v>2333</v>
      </c>
      <c r="C5751" t="s">
        <v>7493</v>
      </c>
      <c r="D5751" t="s">
        <v>5447</v>
      </c>
      <c r="E5751" t="s">
        <v>5448</v>
      </c>
      <c r="G5751">
        <v>65.75</v>
      </c>
      <c r="H5751">
        <v>73552.86</v>
      </c>
    </row>
    <row r="5752" spans="1:8" ht="15" customHeight="1" x14ac:dyDescent="0.2">
      <c r="A5752" s="420">
        <v>45665</v>
      </c>
      <c r="B5752" t="s">
        <v>2333</v>
      </c>
      <c r="C5752" t="s">
        <v>7493</v>
      </c>
      <c r="D5752" t="s">
        <v>2760</v>
      </c>
      <c r="E5752" t="s">
        <v>2761</v>
      </c>
      <c r="G5752">
        <v>268.31</v>
      </c>
      <c r="H5752">
        <v>73284.55</v>
      </c>
    </row>
    <row r="5753" spans="1:8" ht="15" customHeight="1" x14ac:dyDescent="0.2">
      <c r="A5753" s="420">
        <v>45665</v>
      </c>
      <c r="B5753" t="s">
        <v>2333</v>
      </c>
      <c r="C5753" t="s">
        <v>7493</v>
      </c>
      <c r="D5753" t="s">
        <v>7513</v>
      </c>
      <c r="E5753" t="s">
        <v>1296</v>
      </c>
      <c r="G5753">
        <v>0.99</v>
      </c>
      <c r="H5753">
        <v>73283.56</v>
      </c>
    </row>
    <row r="5754" spans="1:8" ht="15" customHeight="1" x14ac:dyDescent="0.2">
      <c r="A5754" s="420">
        <v>45666</v>
      </c>
      <c r="B5754" t="s">
        <v>2333</v>
      </c>
      <c r="C5754" t="s">
        <v>7493</v>
      </c>
      <c r="D5754" t="s">
        <v>2874</v>
      </c>
      <c r="E5754" t="s">
        <v>2875</v>
      </c>
      <c r="G5754">
        <v>1112.0899999999999</v>
      </c>
      <c r="H5754">
        <v>72171.47</v>
      </c>
    </row>
    <row r="5755" spans="1:8" ht="15" customHeight="1" x14ac:dyDescent="0.2">
      <c r="A5755" s="420">
        <v>45666</v>
      </c>
      <c r="B5755" t="s">
        <v>2333</v>
      </c>
      <c r="C5755" t="s">
        <v>7493</v>
      </c>
      <c r="D5755" t="s">
        <v>5025</v>
      </c>
      <c r="E5755" t="s">
        <v>5026</v>
      </c>
      <c r="G5755">
        <v>163.19999999999999</v>
      </c>
      <c r="H5755">
        <v>72008.27</v>
      </c>
    </row>
    <row r="5756" spans="1:8" ht="15" customHeight="1" x14ac:dyDescent="0.2">
      <c r="A5756" s="420">
        <v>45666</v>
      </c>
      <c r="B5756" t="s">
        <v>2333</v>
      </c>
      <c r="C5756" t="s">
        <v>7493</v>
      </c>
      <c r="D5756" t="s">
        <v>7514</v>
      </c>
      <c r="E5756" t="s">
        <v>1740</v>
      </c>
      <c r="G5756">
        <v>20.04</v>
      </c>
      <c r="H5756">
        <v>71988.23</v>
      </c>
    </row>
    <row r="5757" spans="1:8" ht="15" customHeight="1" x14ac:dyDescent="0.2">
      <c r="A5757" s="420">
        <v>45667</v>
      </c>
      <c r="B5757" t="s">
        <v>2333</v>
      </c>
      <c r="C5757" t="s">
        <v>7493</v>
      </c>
      <c r="D5757" t="s">
        <v>5027</v>
      </c>
      <c r="E5757" t="s">
        <v>5028</v>
      </c>
      <c r="G5757">
        <v>12</v>
      </c>
      <c r="H5757">
        <v>71976.23</v>
      </c>
    </row>
    <row r="5758" spans="1:8" ht="15" customHeight="1" x14ac:dyDescent="0.2">
      <c r="A5758" s="420">
        <v>45667</v>
      </c>
      <c r="B5758" t="s">
        <v>2333</v>
      </c>
      <c r="C5758" t="s">
        <v>7493</v>
      </c>
      <c r="D5758" t="s">
        <v>3452</v>
      </c>
      <c r="E5758" t="s">
        <v>3453</v>
      </c>
      <c r="G5758">
        <v>95.85</v>
      </c>
      <c r="H5758">
        <v>71880.38</v>
      </c>
    </row>
    <row r="5759" spans="1:8" ht="15" customHeight="1" x14ac:dyDescent="0.2">
      <c r="A5759" s="420">
        <v>45667</v>
      </c>
      <c r="B5759" t="s">
        <v>2333</v>
      </c>
      <c r="C5759" t="s">
        <v>7493</v>
      </c>
      <c r="D5759" t="s">
        <v>7515</v>
      </c>
      <c r="E5759" t="s">
        <v>816</v>
      </c>
      <c r="G5759">
        <v>30</v>
      </c>
      <c r="H5759">
        <v>71850.38</v>
      </c>
    </row>
    <row r="5760" spans="1:8" ht="15" customHeight="1" x14ac:dyDescent="0.2">
      <c r="A5760" s="420">
        <v>45667</v>
      </c>
      <c r="B5760" t="s">
        <v>2333</v>
      </c>
      <c r="C5760" t="s">
        <v>7493</v>
      </c>
      <c r="D5760" t="s">
        <v>7516</v>
      </c>
      <c r="E5760" t="s">
        <v>816</v>
      </c>
      <c r="G5760">
        <v>30</v>
      </c>
      <c r="H5760">
        <v>71820.38</v>
      </c>
    </row>
    <row r="5761" spans="1:8" ht="15" customHeight="1" x14ac:dyDescent="0.2">
      <c r="A5761" s="420">
        <v>45667</v>
      </c>
      <c r="B5761" t="s">
        <v>2333</v>
      </c>
      <c r="C5761" t="s">
        <v>7493</v>
      </c>
      <c r="D5761" t="s">
        <v>3625</v>
      </c>
      <c r="E5761" t="s">
        <v>3626</v>
      </c>
      <c r="G5761">
        <v>6000</v>
      </c>
      <c r="H5761">
        <v>65820.38</v>
      </c>
    </row>
    <row r="5762" spans="1:8" ht="15" customHeight="1" x14ac:dyDescent="0.2">
      <c r="A5762" s="420">
        <v>45670</v>
      </c>
      <c r="B5762" t="s">
        <v>2333</v>
      </c>
      <c r="C5762" t="s">
        <v>7493</v>
      </c>
      <c r="D5762" t="s">
        <v>3014</v>
      </c>
      <c r="E5762" t="s">
        <v>3015</v>
      </c>
      <c r="G5762">
        <v>355.18</v>
      </c>
      <c r="H5762">
        <v>65465.2</v>
      </c>
    </row>
    <row r="5763" spans="1:8" ht="15" customHeight="1" x14ac:dyDescent="0.2">
      <c r="A5763" s="420">
        <v>45670</v>
      </c>
      <c r="B5763" t="s">
        <v>2333</v>
      </c>
      <c r="C5763" t="s">
        <v>7493</v>
      </c>
      <c r="D5763" t="s">
        <v>7517</v>
      </c>
      <c r="E5763" t="s">
        <v>7518</v>
      </c>
      <c r="G5763">
        <v>91.56</v>
      </c>
      <c r="H5763">
        <v>65373.64</v>
      </c>
    </row>
    <row r="5764" spans="1:8" ht="15" customHeight="1" x14ac:dyDescent="0.2">
      <c r="A5764" s="420">
        <v>45670</v>
      </c>
      <c r="B5764" t="s">
        <v>2333</v>
      </c>
      <c r="C5764" t="s">
        <v>7493</v>
      </c>
      <c r="D5764" t="s">
        <v>7519</v>
      </c>
      <c r="E5764" t="s">
        <v>7520</v>
      </c>
      <c r="G5764">
        <v>78.010000000000005</v>
      </c>
      <c r="H5764">
        <v>65295.63</v>
      </c>
    </row>
    <row r="5765" spans="1:8" ht="15" customHeight="1" x14ac:dyDescent="0.2">
      <c r="A5765" s="420">
        <v>45670</v>
      </c>
      <c r="B5765" t="s">
        <v>2333</v>
      </c>
      <c r="C5765" t="s">
        <v>7493</v>
      </c>
      <c r="D5765" t="s">
        <v>7222</v>
      </c>
      <c r="E5765" t="s">
        <v>7223</v>
      </c>
      <c r="F5765">
        <v>6054.72</v>
      </c>
      <c r="H5765">
        <v>71350.350000000006</v>
      </c>
    </row>
    <row r="5766" spans="1:8" ht="15" customHeight="1" x14ac:dyDescent="0.2">
      <c r="A5766" s="420">
        <v>45670</v>
      </c>
      <c r="B5766" t="s">
        <v>2333</v>
      </c>
      <c r="C5766" t="s">
        <v>7493</v>
      </c>
      <c r="D5766" t="s">
        <v>3080</v>
      </c>
      <c r="E5766" t="s">
        <v>3081</v>
      </c>
      <c r="G5766">
        <v>11.99</v>
      </c>
      <c r="H5766">
        <v>71338.36</v>
      </c>
    </row>
    <row r="5767" spans="1:8" ht="15" customHeight="1" x14ac:dyDescent="0.2">
      <c r="A5767" s="420">
        <v>45670</v>
      </c>
      <c r="B5767" t="s">
        <v>2333</v>
      </c>
      <c r="C5767" t="s">
        <v>7493</v>
      </c>
      <c r="D5767" t="s">
        <v>3051</v>
      </c>
      <c r="E5767" t="s">
        <v>3052</v>
      </c>
      <c r="G5767">
        <v>601.54999999999995</v>
      </c>
      <c r="H5767">
        <v>70736.81</v>
      </c>
    </row>
    <row r="5768" spans="1:8" ht="15" customHeight="1" x14ac:dyDescent="0.2">
      <c r="A5768" s="420">
        <v>45670</v>
      </c>
      <c r="B5768" t="s">
        <v>2333</v>
      </c>
      <c r="C5768" t="s">
        <v>7493</v>
      </c>
      <c r="D5768" t="s">
        <v>4113</v>
      </c>
      <c r="E5768" t="s">
        <v>4114</v>
      </c>
      <c r="G5768">
        <v>86</v>
      </c>
      <c r="H5768">
        <v>70650.81</v>
      </c>
    </row>
    <row r="5769" spans="1:8" ht="15" customHeight="1" x14ac:dyDescent="0.2">
      <c r="A5769" s="420">
        <v>45670</v>
      </c>
      <c r="B5769" t="s">
        <v>2333</v>
      </c>
      <c r="C5769" t="s">
        <v>7493</v>
      </c>
      <c r="D5769" t="s">
        <v>3772</v>
      </c>
      <c r="E5769" t="s">
        <v>3773</v>
      </c>
      <c r="G5769">
        <v>40.15</v>
      </c>
      <c r="H5769">
        <v>70610.66</v>
      </c>
    </row>
    <row r="5770" spans="1:8" ht="15" customHeight="1" x14ac:dyDescent="0.2">
      <c r="A5770" s="420">
        <v>45672</v>
      </c>
      <c r="B5770" t="s">
        <v>2333</v>
      </c>
      <c r="C5770" t="s">
        <v>7493</v>
      </c>
      <c r="D5770" t="s">
        <v>7335</v>
      </c>
      <c r="E5770" t="s">
        <v>7336</v>
      </c>
      <c r="F5770">
        <v>1900</v>
      </c>
      <c r="H5770">
        <v>72510.66</v>
      </c>
    </row>
    <row r="5771" spans="1:8" ht="15" customHeight="1" x14ac:dyDescent="0.2">
      <c r="A5771" s="420">
        <v>45672</v>
      </c>
      <c r="B5771" t="s">
        <v>2333</v>
      </c>
      <c r="C5771" t="s">
        <v>7493</v>
      </c>
      <c r="D5771" t="s">
        <v>4108</v>
      </c>
      <c r="E5771" t="s">
        <v>4109</v>
      </c>
      <c r="G5771">
        <v>100</v>
      </c>
      <c r="H5771">
        <v>72410.66</v>
      </c>
    </row>
    <row r="5772" spans="1:8" ht="15" customHeight="1" x14ac:dyDescent="0.2">
      <c r="A5772" s="420">
        <v>45673</v>
      </c>
      <c r="B5772" t="s">
        <v>2333</v>
      </c>
      <c r="C5772" t="s">
        <v>7493</v>
      </c>
      <c r="D5772" t="s">
        <v>6164</v>
      </c>
      <c r="E5772" t="s">
        <v>6165</v>
      </c>
      <c r="G5772">
        <v>3357</v>
      </c>
      <c r="H5772">
        <v>69053.66</v>
      </c>
    </row>
    <row r="5773" spans="1:8" ht="15" customHeight="1" x14ac:dyDescent="0.2">
      <c r="A5773" s="420">
        <v>45673</v>
      </c>
      <c r="B5773" t="s">
        <v>2333</v>
      </c>
      <c r="C5773" t="s">
        <v>7493</v>
      </c>
      <c r="D5773" t="s">
        <v>5971</v>
      </c>
      <c r="E5773" t="s">
        <v>5972</v>
      </c>
      <c r="G5773">
        <v>6000</v>
      </c>
      <c r="H5773">
        <v>63053.66</v>
      </c>
    </row>
    <row r="5774" spans="1:8" ht="15" customHeight="1" x14ac:dyDescent="0.2">
      <c r="A5774" s="420">
        <v>45674</v>
      </c>
      <c r="B5774" t="s">
        <v>2333</v>
      </c>
      <c r="C5774" t="s">
        <v>7493</v>
      </c>
      <c r="D5774" t="s">
        <v>3978</v>
      </c>
      <c r="E5774" t="s">
        <v>3979</v>
      </c>
      <c r="G5774">
        <v>39.04</v>
      </c>
      <c r="H5774">
        <v>63014.62</v>
      </c>
    </row>
    <row r="5775" spans="1:8" ht="15" customHeight="1" x14ac:dyDescent="0.2">
      <c r="A5775" s="420">
        <v>45674</v>
      </c>
      <c r="B5775" t="s">
        <v>2333</v>
      </c>
      <c r="C5775" t="s">
        <v>7493</v>
      </c>
      <c r="D5775" t="s">
        <v>3041</v>
      </c>
      <c r="E5775" t="s">
        <v>3042</v>
      </c>
      <c r="G5775">
        <v>1749</v>
      </c>
      <c r="H5775">
        <v>61265.62</v>
      </c>
    </row>
    <row r="5776" spans="1:8" ht="15" customHeight="1" x14ac:dyDescent="0.2">
      <c r="A5776" s="420">
        <v>45674</v>
      </c>
      <c r="B5776" t="s">
        <v>2333</v>
      </c>
      <c r="C5776" t="s">
        <v>7493</v>
      </c>
      <c r="D5776" t="s">
        <v>4839</v>
      </c>
      <c r="E5776" t="s">
        <v>4840</v>
      </c>
      <c r="G5776">
        <v>46</v>
      </c>
      <c r="H5776">
        <v>61219.62</v>
      </c>
    </row>
    <row r="5777" spans="1:8" ht="15" customHeight="1" x14ac:dyDescent="0.2">
      <c r="A5777" s="420">
        <v>45674</v>
      </c>
      <c r="B5777" t="s">
        <v>2333</v>
      </c>
      <c r="C5777" t="s">
        <v>7493</v>
      </c>
      <c r="D5777" t="s">
        <v>4841</v>
      </c>
      <c r="E5777" t="s">
        <v>4842</v>
      </c>
      <c r="G5777">
        <v>41.04</v>
      </c>
      <c r="H5777">
        <v>61178.58</v>
      </c>
    </row>
    <row r="5778" spans="1:8" ht="15" customHeight="1" x14ac:dyDescent="0.2">
      <c r="A5778" s="420">
        <v>45677</v>
      </c>
      <c r="B5778" t="s">
        <v>2333</v>
      </c>
      <c r="C5778" t="s">
        <v>7493</v>
      </c>
      <c r="D5778" t="s">
        <v>5333</v>
      </c>
      <c r="E5778" t="s">
        <v>5334</v>
      </c>
      <c r="G5778">
        <v>24</v>
      </c>
      <c r="H5778">
        <v>61154.58</v>
      </c>
    </row>
    <row r="5779" spans="1:8" ht="15" customHeight="1" x14ac:dyDescent="0.2">
      <c r="A5779" s="420">
        <v>45677</v>
      </c>
      <c r="B5779" t="s">
        <v>2333</v>
      </c>
      <c r="C5779" t="s">
        <v>7493</v>
      </c>
      <c r="D5779" t="s">
        <v>5377</v>
      </c>
      <c r="E5779" t="s">
        <v>5378</v>
      </c>
      <c r="G5779">
        <v>144.44</v>
      </c>
      <c r="H5779">
        <v>61010.14</v>
      </c>
    </row>
    <row r="5780" spans="1:8" ht="15" customHeight="1" x14ac:dyDescent="0.2">
      <c r="A5780" s="420">
        <v>45677</v>
      </c>
      <c r="B5780" t="s">
        <v>2333</v>
      </c>
      <c r="C5780" t="s">
        <v>7493</v>
      </c>
      <c r="D5780" t="s">
        <v>7198</v>
      </c>
      <c r="E5780" t="s">
        <v>7199</v>
      </c>
      <c r="F5780">
        <v>21745.98</v>
      </c>
      <c r="H5780">
        <v>82756.12</v>
      </c>
    </row>
    <row r="5781" spans="1:8" ht="15" customHeight="1" x14ac:dyDescent="0.2">
      <c r="A5781" s="420">
        <v>45677</v>
      </c>
      <c r="B5781" t="s">
        <v>2333</v>
      </c>
      <c r="C5781" t="s">
        <v>7493</v>
      </c>
      <c r="D5781" t="s">
        <v>5082</v>
      </c>
      <c r="E5781" t="s">
        <v>5083</v>
      </c>
      <c r="G5781">
        <v>304.8</v>
      </c>
      <c r="H5781">
        <v>82451.320000000007</v>
      </c>
    </row>
    <row r="5782" spans="1:8" ht="15" customHeight="1" x14ac:dyDescent="0.2">
      <c r="A5782" s="420">
        <v>45679</v>
      </c>
      <c r="B5782" t="s">
        <v>2333</v>
      </c>
      <c r="C5782" t="s">
        <v>7493</v>
      </c>
      <c r="D5782" t="s">
        <v>6263</v>
      </c>
      <c r="E5782" t="s">
        <v>6264</v>
      </c>
      <c r="G5782">
        <v>218</v>
      </c>
      <c r="H5782">
        <v>82233.320000000007</v>
      </c>
    </row>
    <row r="5783" spans="1:8" ht="15" customHeight="1" x14ac:dyDescent="0.2">
      <c r="A5783" s="420">
        <v>45679</v>
      </c>
      <c r="B5783" t="s">
        <v>2333</v>
      </c>
      <c r="C5783" t="s">
        <v>7493</v>
      </c>
      <c r="D5783" t="s">
        <v>5211</v>
      </c>
      <c r="E5783" t="s">
        <v>5212</v>
      </c>
      <c r="G5783">
        <v>190</v>
      </c>
      <c r="H5783">
        <v>82043.320000000007</v>
      </c>
    </row>
    <row r="5784" spans="1:8" ht="15" customHeight="1" x14ac:dyDescent="0.2">
      <c r="A5784" s="420">
        <v>45680</v>
      </c>
      <c r="B5784" t="s">
        <v>2333</v>
      </c>
      <c r="C5784" t="s">
        <v>7493</v>
      </c>
      <c r="D5784" t="s">
        <v>6211</v>
      </c>
      <c r="E5784" t="s">
        <v>6212</v>
      </c>
      <c r="G5784">
        <v>251.19</v>
      </c>
      <c r="H5784">
        <v>81792.13</v>
      </c>
    </row>
    <row r="5785" spans="1:8" ht="15" customHeight="1" x14ac:dyDescent="0.2">
      <c r="A5785" s="420">
        <v>45680</v>
      </c>
      <c r="B5785" t="s">
        <v>2333</v>
      </c>
      <c r="C5785" t="s">
        <v>7493</v>
      </c>
      <c r="D5785" t="s">
        <v>4845</v>
      </c>
      <c r="E5785" t="s">
        <v>4846</v>
      </c>
      <c r="G5785">
        <v>15.9</v>
      </c>
      <c r="H5785">
        <v>81776.23</v>
      </c>
    </row>
    <row r="5786" spans="1:8" ht="15" customHeight="1" x14ac:dyDescent="0.2">
      <c r="A5786" s="420">
        <v>45681</v>
      </c>
      <c r="B5786" t="s">
        <v>2333</v>
      </c>
      <c r="C5786" t="s">
        <v>7493</v>
      </c>
      <c r="D5786" t="s">
        <v>5030</v>
      </c>
      <c r="E5786" t="s">
        <v>5031</v>
      </c>
      <c r="G5786">
        <v>7.28</v>
      </c>
      <c r="H5786">
        <v>81768.95</v>
      </c>
    </row>
    <row r="5787" spans="1:8" ht="15" customHeight="1" x14ac:dyDescent="0.2">
      <c r="A5787" s="420">
        <v>45681</v>
      </c>
      <c r="B5787" t="s">
        <v>2333</v>
      </c>
      <c r="C5787" t="s">
        <v>7493</v>
      </c>
      <c r="D5787" t="s">
        <v>2800</v>
      </c>
      <c r="E5787" t="s">
        <v>1312</v>
      </c>
      <c r="G5787">
        <v>34.950000000000003</v>
      </c>
      <c r="H5787">
        <v>81734</v>
      </c>
    </row>
    <row r="5788" spans="1:8" ht="15" customHeight="1" x14ac:dyDescent="0.2">
      <c r="A5788" s="420">
        <v>45681</v>
      </c>
      <c r="B5788" t="s">
        <v>2333</v>
      </c>
      <c r="C5788" t="s">
        <v>7493</v>
      </c>
      <c r="D5788" t="s">
        <v>5257</v>
      </c>
      <c r="E5788" t="s">
        <v>5258</v>
      </c>
      <c r="G5788">
        <v>21.7</v>
      </c>
      <c r="H5788">
        <v>81712.3</v>
      </c>
    </row>
    <row r="5789" spans="1:8" ht="15" customHeight="1" x14ac:dyDescent="0.2">
      <c r="A5789" s="420">
        <v>45681</v>
      </c>
      <c r="B5789" t="s">
        <v>2333</v>
      </c>
      <c r="C5789" t="s">
        <v>7493</v>
      </c>
      <c r="D5789" t="s">
        <v>7521</v>
      </c>
      <c r="E5789" t="s">
        <v>1763</v>
      </c>
      <c r="G5789">
        <v>500</v>
      </c>
      <c r="H5789">
        <v>81212.3</v>
      </c>
    </row>
    <row r="5790" spans="1:8" ht="15" customHeight="1" x14ac:dyDescent="0.2">
      <c r="A5790" s="420">
        <v>45684</v>
      </c>
      <c r="B5790" t="s">
        <v>2333</v>
      </c>
      <c r="C5790" t="s">
        <v>7493</v>
      </c>
      <c r="D5790" t="s">
        <v>4729</v>
      </c>
      <c r="E5790" t="s">
        <v>4730</v>
      </c>
      <c r="G5790">
        <v>96.78</v>
      </c>
      <c r="H5790">
        <v>81115.520000000004</v>
      </c>
    </row>
    <row r="5791" spans="1:8" ht="15" customHeight="1" x14ac:dyDescent="0.2">
      <c r="A5791" s="420">
        <v>45684</v>
      </c>
      <c r="B5791" t="s">
        <v>2333</v>
      </c>
      <c r="C5791" t="s">
        <v>7493</v>
      </c>
      <c r="D5791" t="s">
        <v>3456</v>
      </c>
      <c r="E5791" t="s">
        <v>3457</v>
      </c>
      <c r="G5791">
        <v>357.33</v>
      </c>
      <c r="H5791">
        <v>80758.19</v>
      </c>
    </row>
    <row r="5792" spans="1:8" ht="15" customHeight="1" x14ac:dyDescent="0.2">
      <c r="A5792" s="420">
        <v>45684</v>
      </c>
      <c r="B5792" t="s">
        <v>2333</v>
      </c>
      <c r="C5792" t="s">
        <v>7493</v>
      </c>
      <c r="D5792" t="s">
        <v>6353</v>
      </c>
      <c r="E5792" t="s">
        <v>6354</v>
      </c>
      <c r="G5792">
        <v>19510</v>
      </c>
      <c r="H5792">
        <v>61248.19</v>
      </c>
    </row>
    <row r="5793" spans="1:8" ht="15" customHeight="1" x14ac:dyDescent="0.2">
      <c r="A5793" s="420">
        <v>45684</v>
      </c>
      <c r="B5793" t="s">
        <v>2333</v>
      </c>
      <c r="C5793" t="s">
        <v>7493</v>
      </c>
      <c r="D5793" t="s">
        <v>6355</v>
      </c>
      <c r="E5793" t="s">
        <v>6356</v>
      </c>
      <c r="G5793">
        <v>19510</v>
      </c>
      <c r="H5793">
        <v>41738.19</v>
      </c>
    </row>
    <row r="5794" spans="1:8" ht="15" customHeight="1" x14ac:dyDescent="0.2">
      <c r="A5794" s="420">
        <v>45684</v>
      </c>
      <c r="B5794" t="s">
        <v>2333</v>
      </c>
      <c r="C5794" t="s">
        <v>7493</v>
      </c>
      <c r="D5794" t="s">
        <v>6234</v>
      </c>
      <c r="E5794" t="s">
        <v>6235</v>
      </c>
      <c r="G5794">
        <v>731.02</v>
      </c>
      <c r="H5794">
        <v>41007.17</v>
      </c>
    </row>
    <row r="5795" spans="1:8" ht="15" customHeight="1" x14ac:dyDescent="0.2">
      <c r="A5795" s="420">
        <v>45684</v>
      </c>
      <c r="B5795" t="s">
        <v>2333</v>
      </c>
      <c r="C5795" t="s">
        <v>7493</v>
      </c>
      <c r="D5795" t="s">
        <v>7522</v>
      </c>
      <c r="E5795" t="s">
        <v>1766</v>
      </c>
      <c r="G5795">
        <v>46.3</v>
      </c>
      <c r="H5795">
        <v>40960.870000000003</v>
      </c>
    </row>
    <row r="5796" spans="1:8" ht="15" customHeight="1" x14ac:dyDescent="0.2">
      <c r="A5796" s="420">
        <v>45684</v>
      </c>
      <c r="B5796" t="s">
        <v>2333</v>
      </c>
      <c r="C5796" t="s">
        <v>7493</v>
      </c>
      <c r="D5796" t="s">
        <v>5542</v>
      </c>
      <c r="E5796" t="s">
        <v>5543</v>
      </c>
      <c r="G5796">
        <v>6000</v>
      </c>
      <c r="H5796">
        <v>34960.870000000003</v>
      </c>
    </row>
    <row r="5797" spans="1:8" ht="15" customHeight="1" x14ac:dyDescent="0.2">
      <c r="A5797" s="420">
        <v>45685</v>
      </c>
      <c r="B5797" t="s">
        <v>2333</v>
      </c>
      <c r="C5797" t="s">
        <v>7493</v>
      </c>
      <c r="D5797" t="s">
        <v>2877</v>
      </c>
      <c r="E5797" t="s">
        <v>2878</v>
      </c>
      <c r="G5797">
        <v>418.8</v>
      </c>
      <c r="H5797">
        <v>34542.07</v>
      </c>
    </row>
    <row r="5798" spans="1:8" ht="15" customHeight="1" x14ac:dyDescent="0.2">
      <c r="A5798" s="420">
        <v>45685</v>
      </c>
      <c r="B5798" t="s">
        <v>2333</v>
      </c>
      <c r="C5798" t="s">
        <v>7493</v>
      </c>
      <c r="D5798" t="s">
        <v>3935</v>
      </c>
      <c r="E5798" t="s">
        <v>3936</v>
      </c>
      <c r="G5798">
        <v>39.15</v>
      </c>
      <c r="H5798">
        <v>34502.92</v>
      </c>
    </row>
    <row r="5799" spans="1:8" ht="15" customHeight="1" x14ac:dyDescent="0.2">
      <c r="A5799" s="420">
        <v>45685</v>
      </c>
      <c r="B5799" t="s">
        <v>2333</v>
      </c>
      <c r="C5799" t="s">
        <v>7493</v>
      </c>
      <c r="D5799" t="s">
        <v>3775</v>
      </c>
      <c r="E5799" t="s">
        <v>3776</v>
      </c>
      <c r="G5799">
        <v>20.9</v>
      </c>
      <c r="H5799">
        <v>34482.019999999997</v>
      </c>
    </row>
    <row r="5800" spans="1:8" ht="15" customHeight="1" x14ac:dyDescent="0.2">
      <c r="A5800" s="420">
        <v>45685</v>
      </c>
      <c r="B5800" t="s">
        <v>2333</v>
      </c>
      <c r="C5800" t="s">
        <v>7493</v>
      </c>
      <c r="D5800" t="s">
        <v>4848</v>
      </c>
      <c r="E5800" t="s">
        <v>4842</v>
      </c>
      <c r="G5800">
        <v>19.98</v>
      </c>
      <c r="H5800">
        <v>34462.04</v>
      </c>
    </row>
    <row r="5801" spans="1:8" ht="15" customHeight="1" x14ac:dyDescent="0.2">
      <c r="A5801" s="420">
        <v>45685</v>
      </c>
      <c r="B5801" t="s">
        <v>2333</v>
      </c>
      <c r="C5801" t="s">
        <v>7493</v>
      </c>
      <c r="D5801" t="s">
        <v>7523</v>
      </c>
      <c r="E5801" t="s">
        <v>1634</v>
      </c>
      <c r="G5801">
        <v>104.8</v>
      </c>
      <c r="H5801">
        <v>34357.24</v>
      </c>
    </row>
    <row r="5802" spans="1:8" ht="15" customHeight="1" x14ac:dyDescent="0.2">
      <c r="A5802" s="420">
        <v>45686</v>
      </c>
      <c r="B5802" t="s">
        <v>2333</v>
      </c>
      <c r="C5802" t="s">
        <v>7493</v>
      </c>
      <c r="D5802" t="s">
        <v>3778</v>
      </c>
      <c r="E5802" t="s">
        <v>3773</v>
      </c>
      <c r="G5802">
        <v>20.9</v>
      </c>
      <c r="H5802">
        <v>34336.339999999997</v>
      </c>
    </row>
    <row r="5803" spans="1:8" ht="15" customHeight="1" x14ac:dyDescent="0.2">
      <c r="A5803" s="420">
        <v>45687</v>
      </c>
      <c r="B5803" t="s">
        <v>2333</v>
      </c>
      <c r="C5803" t="s">
        <v>7493</v>
      </c>
      <c r="D5803" t="s">
        <v>3840</v>
      </c>
      <c r="E5803" t="s">
        <v>3841</v>
      </c>
      <c r="G5803">
        <v>332.4</v>
      </c>
      <c r="H5803">
        <v>34003.94</v>
      </c>
    </row>
    <row r="5804" spans="1:8" ht="15" customHeight="1" x14ac:dyDescent="0.2">
      <c r="A5804" s="420">
        <v>45687</v>
      </c>
      <c r="B5804" t="s">
        <v>2333</v>
      </c>
      <c r="C5804" t="s">
        <v>7493</v>
      </c>
      <c r="D5804" t="s">
        <v>4185</v>
      </c>
      <c r="E5804" t="s">
        <v>4186</v>
      </c>
      <c r="G5804">
        <v>672</v>
      </c>
      <c r="H5804">
        <v>33331.94</v>
      </c>
    </row>
    <row r="5805" spans="1:8" ht="15" customHeight="1" x14ac:dyDescent="0.2">
      <c r="A5805" s="420">
        <v>45687</v>
      </c>
      <c r="B5805" t="s">
        <v>2333</v>
      </c>
      <c r="C5805" t="s">
        <v>7493</v>
      </c>
      <c r="D5805" t="s">
        <v>4677</v>
      </c>
      <c r="E5805" t="s">
        <v>4678</v>
      </c>
      <c r="G5805">
        <v>16.79</v>
      </c>
      <c r="H5805">
        <v>33315.15</v>
      </c>
    </row>
    <row r="5806" spans="1:8" ht="15" customHeight="1" x14ac:dyDescent="0.2">
      <c r="A5806" s="420">
        <v>45688</v>
      </c>
      <c r="B5806" t="s">
        <v>2333</v>
      </c>
      <c r="C5806" t="s">
        <v>7493</v>
      </c>
      <c r="D5806" t="s">
        <v>2671</v>
      </c>
      <c r="E5806" t="s">
        <v>2672</v>
      </c>
      <c r="G5806">
        <v>386</v>
      </c>
      <c r="H5806">
        <v>32929.15</v>
      </c>
    </row>
    <row r="5807" spans="1:8" ht="15" customHeight="1" x14ac:dyDescent="0.2">
      <c r="A5807" s="420">
        <v>45688</v>
      </c>
      <c r="B5807" t="s">
        <v>2333</v>
      </c>
      <c r="C5807" t="s">
        <v>7493</v>
      </c>
      <c r="D5807" t="s">
        <v>2673</v>
      </c>
      <c r="E5807" t="s">
        <v>2674</v>
      </c>
      <c r="G5807">
        <v>1390.68</v>
      </c>
      <c r="H5807">
        <v>31538.47</v>
      </c>
    </row>
    <row r="5808" spans="1:8" ht="15" customHeight="1" x14ac:dyDescent="0.2">
      <c r="A5808" s="420">
        <v>45688</v>
      </c>
      <c r="B5808" t="s">
        <v>2333</v>
      </c>
      <c r="C5808" t="s">
        <v>7493</v>
      </c>
      <c r="D5808" t="s">
        <v>6357</v>
      </c>
      <c r="E5808" t="s">
        <v>6358</v>
      </c>
      <c r="F5808">
        <v>19510</v>
      </c>
      <c r="H5808">
        <v>51048.47</v>
      </c>
    </row>
    <row r="5809" spans="1:8" ht="15" customHeight="1" x14ac:dyDescent="0.2">
      <c r="A5809" s="420">
        <v>45688</v>
      </c>
      <c r="B5809" t="s">
        <v>2333</v>
      </c>
      <c r="C5809" t="s">
        <v>7493</v>
      </c>
      <c r="D5809" t="s">
        <v>4697</v>
      </c>
      <c r="E5809" t="s">
        <v>4698</v>
      </c>
      <c r="G5809">
        <v>19.25</v>
      </c>
      <c r="H5809">
        <v>51029.22</v>
      </c>
    </row>
    <row r="5810" spans="1:8" ht="15" customHeight="1" x14ac:dyDescent="0.2">
      <c r="A5810" s="420">
        <v>45688</v>
      </c>
      <c r="B5810" t="s">
        <v>2333</v>
      </c>
      <c r="C5810" t="s">
        <v>7493</v>
      </c>
      <c r="D5810" t="s">
        <v>7524</v>
      </c>
      <c r="E5810" t="s">
        <v>1635</v>
      </c>
      <c r="G5810">
        <v>0.69</v>
      </c>
      <c r="H5810">
        <v>51028.53</v>
      </c>
    </row>
    <row r="5811" spans="1:8" ht="15" customHeight="1" x14ac:dyDescent="0.2">
      <c r="A5811" s="420">
        <v>45691</v>
      </c>
      <c r="B5811" t="s">
        <v>2333</v>
      </c>
      <c r="C5811" t="s">
        <v>7493</v>
      </c>
      <c r="D5811" t="s">
        <v>7525</v>
      </c>
      <c r="E5811" t="s">
        <v>7526</v>
      </c>
      <c r="G5811">
        <v>20.91</v>
      </c>
      <c r="H5811">
        <v>51007.62</v>
      </c>
    </row>
    <row r="5812" spans="1:8" ht="15" customHeight="1" x14ac:dyDescent="0.2">
      <c r="A5812" s="420">
        <v>45691</v>
      </c>
      <c r="B5812" t="s">
        <v>2333</v>
      </c>
      <c r="C5812" t="s">
        <v>7493</v>
      </c>
      <c r="D5812" t="s">
        <v>2967</v>
      </c>
      <c r="E5812" t="s">
        <v>2968</v>
      </c>
      <c r="G5812">
        <v>1752</v>
      </c>
      <c r="H5812">
        <v>49255.62</v>
      </c>
    </row>
    <row r="5813" spans="1:8" ht="15" customHeight="1" x14ac:dyDescent="0.2">
      <c r="A5813" s="420">
        <v>45691</v>
      </c>
      <c r="B5813" t="s">
        <v>2333</v>
      </c>
      <c r="C5813" t="s">
        <v>7493</v>
      </c>
      <c r="D5813" t="s">
        <v>4191</v>
      </c>
      <c r="E5813" t="s">
        <v>4192</v>
      </c>
      <c r="F5813">
        <v>11841.89</v>
      </c>
      <c r="H5813">
        <v>61097.51</v>
      </c>
    </row>
    <row r="5814" spans="1:8" ht="15" customHeight="1" x14ac:dyDescent="0.2">
      <c r="A5814" s="420">
        <v>45691</v>
      </c>
      <c r="B5814" t="s">
        <v>2333</v>
      </c>
      <c r="C5814" t="s">
        <v>7493</v>
      </c>
      <c r="D5814" t="s">
        <v>3402</v>
      </c>
      <c r="E5814" t="s">
        <v>3403</v>
      </c>
      <c r="G5814">
        <v>7080</v>
      </c>
      <c r="H5814">
        <v>54017.51</v>
      </c>
    </row>
    <row r="5815" spans="1:8" ht="15" customHeight="1" x14ac:dyDescent="0.2">
      <c r="A5815" s="420">
        <v>45691</v>
      </c>
      <c r="B5815" t="s">
        <v>2333</v>
      </c>
      <c r="C5815" t="s">
        <v>7493</v>
      </c>
      <c r="D5815" t="s">
        <v>4850</v>
      </c>
      <c r="E5815" t="s">
        <v>4851</v>
      </c>
      <c r="G5815">
        <v>65.2</v>
      </c>
      <c r="H5815">
        <v>53952.31</v>
      </c>
    </row>
    <row r="5816" spans="1:8" ht="15" customHeight="1" x14ac:dyDescent="0.2">
      <c r="A5816" s="420">
        <v>45691</v>
      </c>
      <c r="B5816" t="s">
        <v>2333</v>
      </c>
      <c r="C5816" t="s">
        <v>7493</v>
      </c>
      <c r="D5816" t="s">
        <v>4630</v>
      </c>
      <c r="E5816" t="s">
        <v>4631</v>
      </c>
      <c r="G5816">
        <v>656.7</v>
      </c>
      <c r="H5816">
        <v>53295.61</v>
      </c>
    </row>
    <row r="5817" spans="1:8" ht="15" customHeight="1" x14ac:dyDescent="0.2">
      <c r="A5817" s="420">
        <v>45691</v>
      </c>
      <c r="B5817" t="s">
        <v>2333</v>
      </c>
      <c r="C5817" t="s">
        <v>7493</v>
      </c>
      <c r="D5817" t="s">
        <v>5686</v>
      </c>
      <c r="E5817" t="s">
        <v>7527</v>
      </c>
      <c r="F5817">
        <v>2000</v>
      </c>
      <c r="H5817">
        <v>55295.61</v>
      </c>
    </row>
    <row r="5818" spans="1:8" ht="15" customHeight="1" x14ac:dyDescent="0.2">
      <c r="A5818" s="420">
        <v>45691</v>
      </c>
      <c r="B5818" t="s">
        <v>2333</v>
      </c>
      <c r="C5818" t="s">
        <v>7493</v>
      </c>
      <c r="D5818" t="s">
        <v>3740</v>
      </c>
      <c r="E5818" t="s">
        <v>3741</v>
      </c>
      <c r="G5818">
        <v>20</v>
      </c>
      <c r="H5818">
        <v>55275.61</v>
      </c>
    </row>
    <row r="5819" spans="1:8" ht="15" customHeight="1" x14ac:dyDescent="0.2">
      <c r="A5819" s="420">
        <v>45692</v>
      </c>
      <c r="B5819" t="s">
        <v>2333</v>
      </c>
      <c r="C5819" t="s">
        <v>7493</v>
      </c>
      <c r="D5819" t="s">
        <v>5277</v>
      </c>
      <c r="E5819" t="s">
        <v>5278</v>
      </c>
      <c r="G5819">
        <v>57.06</v>
      </c>
      <c r="H5819">
        <v>55218.55</v>
      </c>
    </row>
    <row r="5820" spans="1:8" ht="15" customHeight="1" x14ac:dyDescent="0.2">
      <c r="A5820" s="420">
        <v>45692</v>
      </c>
      <c r="B5820" t="s">
        <v>2333</v>
      </c>
      <c r="C5820" t="s">
        <v>7493</v>
      </c>
      <c r="D5820" t="s">
        <v>4075</v>
      </c>
      <c r="E5820" t="s">
        <v>4073</v>
      </c>
      <c r="G5820">
        <v>322</v>
      </c>
      <c r="H5820">
        <v>54896.55</v>
      </c>
    </row>
    <row r="5821" spans="1:8" ht="15" customHeight="1" x14ac:dyDescent="0.2">
      <c r="A5821" s="420">
        <v>45692</v>
      </c>
      <c r="B5821" t="s">
        <v>2333</v>
      </c>
      <c r="C5821" t="s">
        <v>7493</v>
      </c>
      <c r="D5821" t="s">
        <v>6078</v>
      </c>
      <c r="E5821" t="s">
        <v>6079</v>
      </c>
      <c r="G5821">
        <v>2214.79</v>
      </c>
      <c r="H5821">
        <v>52681.760000000002</v>
      </c>
    </row>
    <row r="5822" spans="1:8" ht="15" customHeight="1" x14ac:dyDescent="0.2">
      <c r="A5822" s="420">
        <v>45692</v>
      </c>
      <c r="B5822" t="s">
        <v>2333</v>
      </c>
      <c r="C5822" t="s">
        <v>7493</v>
      </c>
      <c r="D5822" t="s">
        <v>6147</v>
      </c>
      <c r="E5822" t="s">
        <v>6148</v>
      </c>
      <c r="G5822">
        <v>2500</v>
      </c>
      <c r="H5822">
        <v>50181.760000000002</v>
      </c>
    </row>
    <row r="5823" spans="1:8" ht="15" customHeight="1" x14ac:dyDescent="0.2">
      <c r="A5823" s="420">
        <v>45692</v>
      </c>
      <c r="B5823" t="s">
        <v>2333</v>
      </c>
      <c r="C5823" t="s">
        <v>7493</v>
      </c>
      <c r="D5823" t="s">
        <v>6149</v>
      </c>
      <c r="E5823" t="s">
        <v>6150</v>
      </c>
      <c r="G5823">
        <v>2500</v>
      </c>
      <c r="H5823">
        <v>47681.760000000002</v>
      </c>
    </row>
    <row r="5824" spans="1:8" ht="15" customHeight="1" x14ac:dyDescent="0.2">
      <c r="A5824" s="420">
        <v>45692</v>
      </c>
      <c r="B5824" t="s">
        <v>2333</v>
      </c>
      <c r="C5824" t="s">
        <v>7493</v>
      </c>
      <c r="D5824" t="s">
        <v>6080</v>
      </c>
      <c r="E5824" t="s">
        <v>6081</v>
      </c>
      <c r="G5824">
        <v>1950.6</v>
      </c>
      <c r="H5824">
        <v>45731.16</v>
      </c>
    </row>
    <row r="5825" spans="1:8" ht="15" customHeight="1" x14ac:dyDescent="0.2">
      <c r="A5825" s="420">
        <v>45692</v>
      </c>
      <c r="B5825" t="s">
        <v>2333</v>
      </c>
      <c r="C5825" t="s">
        <v>7493</v>
      </c>
      <c r="D5825" t="s">
        <v>7528</v>
      </c>
      <c r="E5825" t="s">
        <v>670</v>
      </c>
      <c r="G5825">
        <v>14.13</v>
      </c>
      <c r="H5825">
        <v>45717.03</v>
      </c>
    </row>
    <row r="5826" spans="1:8" ht="15" customHeight="1" x14ac:dyDescent="0.2">
      <c r="A5826" s="420">
        <v>45693</v>
      </c>
      <c r="B5826" t="s">
        <v>2333</v>
      </c>
      <c r="C5826" t="s">
        <v>7493</v>
      </c>
      <c r="D5826" t="s">
        <v>7529</v>
      </c>
      <c r="E5826" t="s">
        <v>7530</v>
      </c>
      <c r="G5826">
        <v>16.96</v>
      </c>
      <c r="H5826">
        <v>45700.07</v>
      </c>
    </row>
    <row r="5827" spans="1:8" ht="15" customHeight="1" x14ac:dyDescent="0.2">
      <c r="A5827" s="420">
        <v>45693</v>
      </c>
      <c r="B5827" t="s">
        <v>2333</v>
      </c>
      <c r="C5827" t="s">
        <v>7493</v>
      </c>
      <c r="D5827" t="s">
        <v>7531</v>
      </c>
      <c r="E5827" t="s">
        <v>7532</v>
      </c>
      <c r="G5827">
        <v>234</v>
      </c>
      <c r="H5827">
        <v>45466.07</v>
      </c>
    </row>
    <row r="5828" spans="1:8" ht="15" customHeight="1" x14ac:dyDescent="0.2">
      <c r="A5828" s="420">
        <v>45693</v>
      </c>
      <c r="B5828" t="s">
        <v>2333</v>
      </c>
      <c r="C5828" t="s">
        <v>7493</v>
      </c>
      <c r="D5828" t="s">
        <v>7533</v>
      </c>
      <c r="E5828" t="s">
        <v>7534</v>
      </c>
      <c r="G5828">
        <v>46.31</v>
      </c>
      <c r="H5828">
        <v>45419.76</v>
      </c>
    </row>
    <row r="5829" spans="1:8" ht="15" customHeight="1" x14ac:dyDescent="0.2">
      <c r="A5829" s="420">
        <v>45693</v>
      </c>
      <c r="B5829" t="s">
        <v>2333</v>
      </c>
      <c r="C5829" t="s">
        <v>7493</v>
      </c>
      <c r="D5829" t="s">
        <v>7535</v>
      </c>
      <c r="E5829" t="s">
        <v>7536</v>
      </c>
      <c r="G5829">
        <v>597.75</v>
      </c>
      <c r="H5829">
        <v>44822.01</v>
      </c>
    </row>
    <row r="5830" spans="1:8" ht="15" customHeight="1" x14ac:dyDescent="0.2">
      <c r="A5830" s="420">
        <v>45693</v>
      </c>
      <c r="B5830" t="s">
        <v>2333</v>
      </c>
      <c r="C5830" t="s">
        <v>7493</v>
      </c>
      <c r="D5830" t="s">
        <v>7169</v>
      </c>
      <c r="E5830" t="s">
        <v>7168</v>
      </c>
      <c r="G5830">
        <v>500</v>
      </c>
      <c r="H5830">
        <v>44322.01</v>
      </c>
    </row>
    <row r="5831" spans="1:8" ht="15" customHeight="1" x14ac:dyDescent="0.2">
      <c r="A5831" s="420">
        <v>45693</v>
      </c>
      <c r="B5831" t="s">
        <v>2333</v>
      </c>
      <c r="C5831" t="s">
        <v>7493</v>
      </c>
      <c r="D5831" t="s">
        <v>4047</v>
      </c>
      <c r="E5831" t="s">
        <v>4045</v>
      </c>
      <c r="G5831">
        <v>1418</v>
      </c>
      <c r="H5831">
        <v>42904.01</v>
      </c>
    </row>
    <row r="5832" spans="1:8" ht="15" customHeight="1" x14ac:dyDescent="0.2">
      <c r="A5832" s="420">
        <v>45693</v>
      </c>
      <c r="B5832" t="s">
        <v>2333</v>
      </c>
      <c r="C5832" t="s">
        <v>7493</v>
      </c>
      <c r="D5832" t="s">
        <v>3629</v>
      </c>
      <c r="E5832" t="s">
        <v>3630</v>
      </c>
      <c r="G5832">
        <v>6000</v>
      </c>
      <c r="H5832">
        <v>36904.01</v>
      </c>
    </row>
    <row r="5833" spans="1:8" ht="15" customHeight="1" x14ac:dyDescent="0.2">
      <c r="A5833" s="420">
        <v>45693</v>
      </c>
      <c r="B5833" t="s">
        <v>2333</v>
      </c>
      <c r="C5833" t="s">
        <v>7493</v>
      </c>
      <c r="D5833" t="s">
        <v>4143</v>
      </c>
      <c r="E5833" t="s">
        <v>4144</v>
      </c>
      <c r="G5833">
        <v>16.8</v>
      </c>
      <c r="H5833">
        <v>36887.21</v>
      </c>
    </row>
    <row r="5834" spans="1:8" ht="15" customHeight="1" x14ac:dyDescent="0.2">
      <c r="A5834" s="420">
        <v>45693</v>
      </c>
      <c r="B5834" t="s">
        <v>2333</v>
      </c>
      <c r="C5834" t="s">
        <v>7493</v>
      </c>
      <c r="D5834" t="s">
        <v>5688</v>
      </c>
      <c r="E5834" t="s">
        <v>5689</v>
      </c>
      <c r="F5834">
        <v>30359.45</v>
      </c>
      <c r="H5834">
        <v>67246.66</v>
      </c>
    </row>
    <row r="5835" spans="1:8" ht="15" customHeight="1" x14ac:dyDescent="0.2">
      <c r="A5835" s="420">
        <v>45694</v>
      </c>
      <c r="B5835" t="s">
        <v>2333</v>
      </c>
      <c r="C5835" t="s">
        <v>7493</v>
      </c>
      <c r="D5835" t="s">
        <v>3995</v>
      </c>
      <c r="E5835" t="s">
        <v>3996</v>
      </c>
      <c r="G5835">
        <v>393.82</v>
      </c>
      <c r="H5835">
        <v>66852.84</v>
      </c>
    </row>
    <row r="5836" spans="1:8" ht="15" customHeight="1" x14ac:dyDescent="0.2">
      <c r="A5836" s="420">
        <v>45694</v>
      </c>
      <c r="B5836" t="s">
        <v>2333</v>
      </c>
      <c r="C5836" t="s">
        <v>7493</v>
      </c>
      <c r="D5836" t="s">
        <v>4853</v>
      </c>
      <c r="E5836" t="s">
        <v>4851</v>
      </c>
      <c r="G5836">
        <v>65.2</v>
      </c>
      <c r="H5836">
        <v>66787.64</v>
      </c>
    </row>
    <row r="5837" spans="1:8" ht="15" customHeight="1" x14ac:dyDescent="0.2">
      <c r="A5837" s="420">
        <v>45694</v>
      </c>
      <c r="B5837" t="s">
        <v>2333</v>
      </c>
      <c r="C5837" t="s">
        <v>7493</v>
      </c>
      <c r="D5837" t="s">
        <v>4632</v>
      </c>
      <c r="E5837" t="s">
        <v>4633</v>
      </c>
      <c r="G5837">
        <v>711.44</v>
      </c>
      <c r="H5837">
        <v>66076.2</v>
      </c>
    </row>
    <row r="5838" spans="1:8" ht="15" customHeight="1" x14ac:dyDescent="0.2">
      <c r="A5838" s="420">
        <v>45694</v>
      </c>
      <c r="B5838" t="s">
        <v>2333</v>
      </c>
      <c r="C5838" t="s">
        <v>7493</v>
      </c>
      <c r="D5838" t="s">
        <v>4634</v>
      </c>
      <c r="E5838" t="s">
        <v>4635</v>
      </c>
      <c r="G5838">
        <v>50</v>
      </c>
      <c r="H5838">
        <v>66026.2</v>
      </c>
    </row>
    <row r="5839" spans="1:8" ht="15" customHeight="1" x14ac:dyDescent="0.2">
      <c r="A5839" s="420">
        <v>45694</v>
      </c>
      <c r="B5839" t="s">
        <v>2333</v>
      </c>
      <c r="C5839" t="s">
        <v>7493</v>
      </c>
      <c r="D5839" t="s">
        <v>7537</v>
      </c>
      <c r="E5839" t="s">
        <v>1622</v>
      </c>
      <c r="G5839">
        <v>30.6</v>
      </c>
      <c r="H5839">
        <v>65995.600000000006</v>
      </c>
    </row>
    <row r="5840" spans="1:8" ht="15" customHeight="1" x14ac:dyDescent="0.2">
      <c r="A5840" s="420">
        <v>45695</v>
      </c>
      <c r="B5840" t="s">
        <v>2333</v>
      </c>
      <c r="C5840" t="s">
        <v>7493</v>
      </c>
      <c r="D5840" t="s">
        <v>5450</v>
      </c>
      <c r="E5840" t="s">
        <v>5451</v>
      </c>
      <c r="G5840">
        <v>65.75</v>
      </c>
      <c r="H5840">
        <v>65929.850000000006</v>
      </c>
    </row>
    <row r="5841" spans="1:8" ht="15" customHeight="1" x14ac:dyDescent="0.2">
      <c r="A5841" s="420">
        <v>45695</v>
      </c>
      <c r="B5841" t="s">
        <v>2333</v>
      </c>
      <c r="C5841" t="s">
        <v>7493</v>
      </c>
      <c r="D5841" t="s">
        <v>2880</v>
      </c>
      <c r="E5841" t="s">
        <v>2881</v>
      </c>
      <c r="G5841">
        <v>1808.24</v>
      </c>
      <c r="H5841">
        <v>64121.61</v>
      </c>
    </row>
    <row r="5842" spans="1:8" ht="15" customHeight="1" x14ac:dyDescent="0.2">
      <c r="A5842" s="420">
        <v>45695</v>
      </c>
      <c r="B5842" t="s">
        <v>2333</v>
      </c>
      <c r="C5842" t="s">
        <v>7493</v>
      </c>
      <c r="D5842" t="s">
        <v>3780</v>
      </c>
      <c r="E5842" t="s">
        <v>3776</v>
      </c>
      <c r="G5842">
        <v>20.9</v>
      </c>
      <c r="H5842">
        <v>64100.71</v>
      </c>
    </row>
    <row r="5843" spans="1:8" ht="15" customHeight="1" x14ac:dyDescent="0.2">
      <c r="A5843" s="420">
        <v>45695</v>
      </c>
      <c r="B5843" t="s">
        <v>2333</v>
      </c>
      <c r="C5843" t="s">
        <v>7493</v>
      </c>
      <c r="D5843" t="s">
        <v>3217</v>
      </c>
      <c r="E5843" t="s">
        <v>3218</v>
      </c>
      <c r="G5843">
        <v>53.36</v>
      </c>
      <c r="H5843">
        <v>64047.35</v>
      </c>
    </row>
    <row r="5844" spans="1:8" ht="15" customHeight="1" x14ac:dyDescent="0.2">
      <c r="A5844" s="420">
        <v>45695</v>
      </c>
      <c r="B5844" t="s">
        <v>2333</v>
      </c>
      <c r="C5844" t="s">
        <v>7493</v>
      </c>
      <c r="D5844" t="s">
        <v>3219</v>
      </c>
      <c r="E5844" t="s">
        <v>3220</v>
      </c>
      <c r="G5844">
        <v>53.36</v>
      </c>
      <c r="H5844">
        <v>63993.99</v>
      </c>
    </row>
    <row r="5845" spans="1:8" ht="15" customHeight="1" x14ac:dyDescent="0.2">
      <c r="A5845" s="420">
        <v>45698</v>
      </c>
      <c r="B5845" t="s">
        <v>2333</v>
      </c>
      <c r="C5845" t="s">
        <v>7493</v>
      </c>
      <c r="D5845" t="s">
        <v>3999</v>
      </c>
      <c r="E5845" t="s">
        <v>4000</v>
      </c>
      <c r="G5845">
        <v>792.46</v>
      </c>
      <c r="H5845">
        <v>63201.53</v>
      </c>
    </row>
    <row r="5846" spans="1:8" ht="15" customHeight="1" x14ac:dyDescent="0.2">
      <c r="A5846" s="420">
        <v>45698</v>
      </c>
      <c r="B5846" t="s">
        <v>2333</v>
      </c>
      <c r="C5846" t="s">
        <v>7493</v>
      </c>
      <c r="D5846" t="s">
        <v>4001</v>
      </c>
      <c r="E5846" t="s">
        <v>4002</v>
      </c>
      <c r="G5846">
        <v>49.2</v>
      </c>
      <c r="H5846">
        <v>63152.33</v>
      </c>
    </row>
    <row r="5847" spans="1:8" ht="15" customHeight="1" x14ac:dyDescent="0.2">
      <c r="A5847" s="420">
        <v>45698</v>
      </c>
      <c r="B5847" t="s">
        <v>2333</v>
      </c>
      <c r="C5847" t="s">
        <v>7493</v>
      </c>
      <c r="D5847" t="s">
        <v>5007</v>
      </c>
      <c r="E5847" t="s">
        <v>5008</v>
      </c>
      <c r="G5847">
        <v>66.53</v>
      </c>
      <c r="H5847">
        <v>63085.8</v>
      </c>
    </row>
    <row r="5848" spans="1:8" ht="15" customHeight="1" x14ac:dyDescent="0.2">
      <c r="A5848" s="420">
        <v>45698</v>
      </c>
      <c r="B5848" t="s">
        <v>2333</v>
      </c>
      <c r="C5848" t="s">
        <v>7493</v>
      </c>
      <c r="D5848" t="s">
        <v>7235</v>
      </c>
      <c r="E5848" t="s">
        <v>7236</v>
      </c>
      <c r="F5848">
        <v>6297.32</v>
      </c>
      <c r="H5848">
        <v>69383.12</v>
      </c>
    </row>
    <row r="5849" spans="1:8" ht="15" customHeight="1" x14ac:dyDescent="0.2">
      <c r="A5849" s="420">
        <v>45698</v>
      </c>
      <c r="B5849" t="s">
        <v>2333</v>
      </c>
      <c r="C5849" t="s">
        <v>7493</v>
      </c>
      <c r="D5849" t="s">
        <v>7538</v>
      </c>
      <c r="E5849" t="s">
        <v>1312</v>
      </c>
      <c r="G5849">
        <v>0.99</v>
      </c>
      <c r="H5849">
        <v>69382.13</v>
      </c>
    </row>
    <row r="5850" spans="1:8" ht="15" customHeight="1" x14ac:dyDescent="0.2">
      <c r="A5850" s="420">
        <v>45698</v>
      </c>
      <c r="B5850" t="s">
        <v>2333</v>
      </c>
      <c r="C5850" t="s">
        <v>7493</v>
      </c>
      <c r="D5850" t="s">
        <v>4996</v>
      </c>
      <c r="E5850" t="s">
        <v>4997</v>
      </c>
      <c r="G5850">
        <v>135.4</v>
      </c>
      <c r="H5850">
        <v>69246.73</v>
      </c>
    </row>
    <row r="5851" spans="1:8" ht="15" customHeight="1" x14ac:dyDescent="0.2">
      <c r="A5851" s="420">
        <v>45698</v>
      </c>
      <c r="B5851" t="s">
        <v>2333</v>
      </c>
      <c r="C5851" t="s">
        <v>7493</v>
      </c>
      <c r="D5851" t="s">
        <v>3221</v>
      </c>
      <c r="E5851" t="s">
        <v>3222</v>
      </c>
      <c r="G5851">
        <v>53.36</v>
      </c>
      <c r="H5851">
        <v>69193.37</v>
      </c>
    </row>
    <row r="5852" spans="1:8" ht="15" customHeight="1" x14ac:dyDescent="0.2">
      <c r="A5852" s="420">
        <v>45699</v>
      </c>
      <c r="B5852" t="s">
        <v>2333</v>
      </c>
      <c r="C5852" t="s">
        <v>7493</v>
      </c>
      <c r="D5852" t="s">
        <v>3460</v>
      </c>
      <c r="E5852" t="s">
        <v>3461</v>
      </c>
      <c r="G5852">
        <v>155.46</v>
      </c>
      <c r="H5852">
        <v>69037.91</v>
      </c>
    </row>
    <row r="5853" spans="1:8" ht="15" customHeight="1" x14ac:dyDescent="0.2">
      <c r="A5853" s="420">
        <v>45699</v>
      </c>
      <c r="B5853" t="s">
        <v>2333</v>
      </c>
      <c r="C5853" t="s">
        <v>7493</v>
      </c>
      <c r="D5853" t="s">
        <v>5033</v>
      </c>
      <c r="E5853" t="s">
        <v>5034</v>
      </c>
      <c r="G5853">
        <v>187.2</v>
      </c>
      <c r="H5853">
        <v>68850.710000000006</v>
      </c>
    </row>
    <row r="5854" spans="1:8" ht="15" customHeight="1" x14ac:dyDescent="0.2">
      <c r="A5854" s="420">
        <v>45699</v>
      </c>
      <c r="B5854" t="s">
        <v>2333</v>
      </c>
      <c r="C5854" t="s">
        <v>7493</v>
      </c>
      <c r="D5854" t="s">
        <v>7539</v>
      </c>
      <c r="E5854" t="s">
        <v>7540</v>
      </c>
      <c r="G5854">
        <v>85.21</v>
      </c>
      <c r="H5854">
        <v>68765.5</v>
      </c>
    </row>
    <row r="5855" spans="1:8" ht="15" customHeight="1" x14ac:dyDescent="0.2">
      <c r="A5855" s="420">
        <v>45699</v>
      </c>
      <c r="B5855" t="s">
        <v>2333</v>
      </c>
      <c r="C5855" t="s">
        <v>7493</v>
      </c>
      <c r="D5855" t="s">
        <v>7541</v>
      </c>
      <c r="E5855" t="s">
        <v>7542</v>
      </c>
      <c r="G5855">
        <v>78.010000000000005</v>
      </c>
      <c r="H5855">
        <v>68687.490000000005</v>
      </c>
    </row>
    <row r="5856" spans="1:8" ht="15" customHeight="1" x14ac:dyDescent="0.2">
      <c r="A5856" s="420">
        <v>45699</v>
      </c>
      <c r="B5856" t="s">
        <v>2333</v>
      </c>
      <c r="C5856" t="s">
        <v>7493</v>
      </c>
      <c r="D5856" t="s">
        <v>3083</v>
      </c>
      <c r="E5856" t="s">
        <v>3084</v>
      </c>
      <c r="G5856">
        <v>11.99</v>
      </c>
      <c r="H5856">
        <v>68675.5</v>
      </c>
    </row>
    <row r="5857" spans="1:8" ht="15" customHeight="1" x14ac:dyDescent="0.2">
      <c r="A5857" s="420">
        <v>45700</v>
      </c>
      <c r="B5857" t="s">
        <v>2333</v>
      </c>
      <c r="C5857" t="s">
        <v>7493</v>
      </c>
      <c r="D5857" t="s">
        <v>5280</v>
      </c>
      <c r="E5857" t="s">
        <v>1740</v>
      </c>
      <c r="G5857">
        <v>88.01</v>
      </c>
      <c r="H5857">
        <v>68587.490000000005</v>
      </c>
    </row>
    <row r="5858" spans="1:8" ht="15" customHeight="1" x14ac:dyDescent="0.2">
      <c r="A5858" s="420">
        <v>45700</v>
      </c>
      <c r="B5858" t="s">
        <v>2333</v>
      </c>
      <c r="C5858" t="s">
        <v>7493</v>
      </c>
      <c r="D5858" t="s">
        <v>3225</v>
      </c>
      <c r="E5858" t="s">
        <v>3226</v>
      </c>
      <c r="G5858">
        <v>53.36</v>
      </c>
      <c r="H5858">
        <v>68534.13</v>
      </c>
    </row>
    <row r="5859" spans="1:8" ht="15" customHeight="1" x14ac:dyDescent="0.2">
      <c r="A5859" s="420">
        <v>45702</v>
      </c>
      <c r="B5859" t="s">
        <v>2333</v>
      </c>
      <c r="C5859" t="s">
        <v>7493</v>
      </c>
      <c r="D5859" t="s">
        <v>5807</v>
      </c>
      <c r="E5859" t="s">
        <v>5808</v>
      </c>
      <c r="F5859">
        <v>25803.9</v>
      </c>
      <c r="H5859">
        <v>94338.03</v>
      </c>
    </row>
    <row r="5860" spans="1:8" ht="15" customHeight="1" x14ac:dyDescent="0.2">
      <c r="A5860" s="420">
        <v>45702</v>
      </c>
      <c r="B5860" t="s">
        <v>2333</v>
      </c>
      <c r="C5860" t="s">
        <v>7493</v>
      </c>
      <c r="D5860" t="s">
        <v>7317</v>
      </c>
      <c r="E5860" t="s">
        <v>7318</v>
      </c>
      <c r="F5860">
        <v>10442.700000000001</v>
      </c>
      <c r="H5860">
        <v>104780.73</v>
      </c>
    </row>
    <row r="5861" spans="1:8" ht="15" customHeight="1" x14ac:dyDescent="0.2">
      <c r="A5861" s="420">
        <v>45705</v>
      </c>
      <c r="B5861" t="s">
        <v>2333</v>
      </c>
      <c r="C5861" t="s">
        <v>7493</v>
      </c>
      <c r="D5861" t="s">
        <v>2676</v>
      </c>
      <c r="E5861" t="s">
        <v>2677</v>
      </c>
      <c r="G5861">
        <v>387.72</v>
      </c>
      <c r="H5861">
        <v>104393.01</v>
      </c>
    </row>
    <row r="5862" spans="1:8" ht="15" customHeight="1" x14ac:dyDescent="0.2">
      <c r="A5862" s="420">
        <v>45705</v>
      </c>
      <c r="B5862" t="s">
        <v>2333</v>
      </c>
      <c r="C5862" t="s">
        <v>7493</v>
      </c>
      <c r="D5862" t="s">
        <v>3981</v>
      </c>
      <c r="E5862" t="s">
        <v>3982</v>
      </c>
      <c r="G5862">
        <v>39.04</v>
      </c>
      <c r="H5862">
        <v>104353.97</v>
      </c>
    </row>
    <row r="5863" spans="1:8" ht="15" customHeight="1" x14ac:dyDescent="0.2">
      <c r="A5863" s="420">
        <v>45706</v>
      </c>
      <c r="B5863" t="s">
        <v>2333</v>
      </c>
      <c r="C5863" t="s">
        <v>7493</v>
      </c>
      <c r="D5863" t="s">
        <v>6168</v>
      </c>
      <c r="E5863" t="s">
        <v>6169</v>
      </c>
      <c r="G5863">
        <v>2331</v>
      </c>
      <c r="H5863">
        <v>102022.97</v>
      </c>
    </row>
    <row r="5864" spans="1:8" ht="15" customHeight="1" x14ac:dyDescent="0.2">
      <c r="A5864" s="420">
        <v>45706</v>
      </c>
      <c r="B5864" t="s">
        <v>2333</v>
      </c>
      <c r="C5864" t="s">
        <v>7493</v>
      </c>
      <c r="D5864" t="s">
        <v>3782</v>
      </c>
      <c r="E5864" t="s">
        <v>3773</v>
      </c>
      <c r="G5864">
        <v>20.9</v>
      </c>
      <c r="H5864">
        <v>102002.07</v>
      </c>
    </row>
    <row r="5865" spans="1:8" ht="15" customHeight="1" x14ac:dyDescent="0.2">
      <c r="A5865" s="420">
        <v>45706</v>
      </c>
      <c r="B5865" t="s">
        <v>2333</v>
      </c>
      <c r="C5865" t="s">
        <v>7493</v>
      </c>
      <c r="D5865" t="s">
        <v>5487</v>
      </c>
      <c r="E5865" t="s">
        <v>5488</v>
      </c>
      <c r="G5865">
        <v>105.58</v>
      </c>
      <c r="H5865">
        <v>101896.49</v>
      </c>
    </row>
    <row r="5866" spans="1:8" ht="15" customHeight="1" x14ac:dyDescent="0.2">
      <c r="A5866" s="420">
        <v>45707</v>
      </c>
      <c r="B5866" t="s">
        <v>2333</v>
      </c>
      <c r="C5866" t="s">
        <v>7493</v>
      </c>
      <c r="D5866" t="s">
        <v>3842</v>
      </c>
      <c r="E5866" t="s">
        <v>3843</v>
      </c>
      <c r="G5866">
        <v>749.62</v>
      </c>
      <c r="H5866">
        <v>101146.87</v>
      </c>
    </row>
    <row r="5867" spans="1:8" ht="15" customHeight="1" x14ac:dyDescent="0.2">
      <c r="A5867" s="420">
        <v>45707</v>
      </c>
      <c r="B5867" t="s">
        <v>2333</v>
      </c>
      <c r="C5867" t="s">
        <v>7493</v>
      </c>
      <c r="D5867" t="s">
        <v>3635</v>
      </c>
      <c r="E5867" t="s">
        <v>3636</v>
      </c>
      <c r="G5867">
        <v>6000</v>
      </c>
      <c r="H5867">
        <v>95146.87</v>
      </c>
    </row>
    <row r="5868" spans="1:8" ht="15" customHeight="1" x14ac:dyDescent="0.2">
      <c r="A5868" s="420">
        <v>45707</v>
      </c>
      <c r="B5868" t="s">
        <v>2333</v>
      </c>
      <c r="C5868" t="s">
        <v>7493</v>
      </c>
      <c r="D5868" t="s">
        <v>7337</v>
      </c>
      <c r="E5868" t="s">
        <v>7338</v>
      </c>
      <c r="G5868">
        <v>1252</v>
      </c>
      <c r="H5868">
        <v>93894.87</v>
      </c>
    </row>
    <row r="5869" spans="1:8" ht="15" customHeight="1" x14ac:dyDescent="0.2">
      <c r="A5869" s="420">
        <v>45707</v>
      </c>
      <c r="B5869" t="s">
        <v>2333</v>
      </c>
      <c r="C5869" t="s">
        <v>7493</v>
      </c>
      <c r="D5869" t="s">
        <v>7339</v>
      </c>
      <c r="E5869" t="s">
        <v>7340</v>
      </c>
      <c r="G5869">
        <v>1252</v>
      </c>
      <c r="H5869">
        <v>92642.87</v>
      </c>
    </row>
    <row r="5870" spans="1:8" ht="15" customHeight="1" x14ac:dyDescent="0.2">
      <c r="A5870" s="420">
        <v>45707</v>
      </c>
      <c r="B5870" t="s">
        <v>2333</v>
      </c>
      <c r="C5870" t="s">
        <v>7493</v>
      </c>
      <c r="D5870" t="s">
        <v>7341</v>
      </c>
      <c r="E5870" t="s">
        <v>7342</v>
      </c>
      <c r="G5870">
        <v>1900</v>
      </c>
      <c r="H5870">
        <v>90742.87</v>
      </c>
    </row>
    <row r="5871" spans="1:8" ht="15" customHeight="1" x14ac:dyDescent="0.2">
      <c r="A5871" s="420">
        <v>45707</v>
      </c>
      <c r="B5871" t="s">
        <v>2333</v>
      </c>
      <c r="C5871" t="s">
        <v>7493</v>
      </c>
      <c r="D5871" t="s">
        <v>7343</v>
      </c>
      <c r="E5871" t="s">
        <v>7344</v>
      </c>
      <c r="G5871">
        <v>1305</v>
      </c>
      <c r="H5871">
        <v>89437.87</v>
      </c>
    </row>
    <row r="5872" spans="1:8" ht="15" customHeight="1" x14ac:dyDescent="0.2">
      <c r="A5872" s="420">
        <v>45707</v>
      </c>
      <c r="B5872" t="s">
        <v>2333</v>
      </c>
      <c r="C5872" t="s">
        <v>7493</v>
      </c>
      <c r="D5872" t="s">
        <v>5093</v>
      </c>
      <c r="E5872" t="s">
        <v>5094</v>
      </c>
      <c r="G5872">
        <v>180</v>
      </c>
      <c r="H5872">
        <v>89257.87</v>
      </c>
    </row>
    <row r="5873" spans="1:8" ht="15" customHeight="1" x14ac:dyDescent="0.2">
      <c r="A5873" s="420">
        <v>45707</v>
      </c>
      <c r="B5873" t="s">
        <v>2333</v>
      </c>
      <c r="C5873" t="s">
        <v>7493</v>
      </c>
      <c r="D5873" t="s">
        <v>7543</v>
      </c>
      <c r="E5873" t="s">
        <v>1459</v>
      </c>
      <c r="G5873">
        <v>2000</v>
      </c>
      <c r="H5873">
        <v>87257.87</v>
      </c>
    </row>
    <row r="5874" spans="1:8" ht="15" customHeight="1" x14ac:dyDescent="0.2">
      <c r="A5874" s="420">
        <v>45708</v>
      </c>
      <c r="B5874" t="s">
        <v>2333</v>
      </c>
      <c r="C5874" t="s">
        <v>7493</v>
      </c>
      <c r="D5874" t="s">
        <v>5336</v>
      </c>
      <c r="E5874" t="s">
        <v>5337</v>
      </c>
      <c r="G5874">
        <v>24</v>
      </c>
      <c r="H5874">
        <v>87233.87</v>
      </c>
    </row>
    <row r="5875" spans="1:8" ht="15" customHeight="1" x14ac:dyDescent="0.2">
      <c r="A5875" s="420">
        <v>45708</v>
      </c>
      <c r="B5875" t="s">
        <v>2333</v>
      </c>
      <c r="C5875" t="s">
        <v>7493</v>
      </c>
      <c r="D5875" t="s">
        <v>5380</v>
      </c>
      <c r="E5875" t="s">
        <v>5381</v>
      </c>
      <c r="G5875">
        <v>188.44</v>
      </c>
      <c r="H5875">
        <v>87045.43</v>
      </c>
    </row>
    <row r="5876" spans="1:8" ht="15" customHeight="1" x14ac:dyDescent="0.2">
      <c r="A5876" s="420">
        <v>45708</v>
      </c>
      <c r="B5876" t="s">
        <v>2333</v>
      </c>
      <c r="C5876" t="s">
        <v>7493</v>
      </c>
      <c r="D5876" t="s">
        <v>2859</v>
      </c>
      <c r="E5876" t="s">
        <v>2860</v>
      </c>
      <c r="G5876">
        <v>26.99</v>
      </c>
      <c r="H5876">
        <v>87018.44</v>
      </c>
    </row>
    <row r="5877" spans="1:8" ht="15" customHeight="1" x14ac:dyDescent="0.2">
      <c r="A5877" s="420">
        <v>45708</v>
      </c>
      <c r="B5877" t="s">
        <v>2333</v>
      </c>
      <c r="C5877" t="s">
        <v>7493</v>
      </c>
      <c r="D5877" t="s">
        <v>7082</v>
      </c>
      <c r="E5877" t="s">
        <v>7083</v>
      </c>
      <c r="G5877">
        <v>9</v>
      </c>
      <c r="H5877">
        <v>87009.44</v>
      </c>
    </row>
    <row r="5878" spans="1:8" ht="15" customHeight="1" x14ac:dyDescent="0.2">
      <c r="A5878" s="420">
        <v>45712</v>
      </c>
      <c r="B5878" t="s">
        <v>2333</v>
      </c>
      <c r="C5878" t="s">
        <v>7493</v>
      </c>
      <c r="D5878" t="s">
        <v>7229</v>
      </c>
      <c r="E5878" t="s">
        <v>7230</v>
      </c>
      <c r="F5878">
        <v>7331.04</v>
      </c>
      <c r="H5878">
        <v>94340.479999999996</v>
      </c>
    </row>
    <row r="5879" spans="1:8" ht="15" customHeight="1" x14ac:dyDescent="0.2">
      <c r="A5879" s="420">
        <v>45712</v>
      </c>
      <c r="B5879" t="s">
        <v>2333</v>
      </c>
      <c r="C5879" t="s">
        <v>7493</v>
      </c>
      <c r="D5879" t="s">
        <v>2802</v>
      </c>
      <c r="E5879" t="s">
        <v>1312</v>
      </c>
      <c r="G5879">
        <v>34.950000000000003</v>
      </c>
      <c r="H5879">
        <v>94305.53</v>
      </c>
    </row>
    <row r="5880" spans="1:8" ht="15" customHeight="1" x14ac:dyDescent="0.2">
      <c r="A5880" s="420">
        <v>45712</v>
      </c>
      <c r="B5880" t="s">
        <v>2333</v>
      </c>
      <c r="C5880" t="s">
        <v>7493</v>
      </c>
      <c r="D5880" t="s">
        <v>4999</v>
      </c>
      <c r="E5880" t="s">
        <v>5000</v>
      </c>
      <c r="G5880">
        <v>32.5</v>
      </c>
      <c r="H5880">
        <v>94273.03</v>
      </c>
    </row>
    <row r="5881" spans="1:8" ht="15" customHeight="1" x14ac:dyDescent="0.2">
      <c r="A5881" s="420">
        <v>45713</v>
      </c>
      <c r="B5881" t="s">
        <v>2333</v>
      </c>
      <c r="C5881" t="s">
        <v>7493</v>
      </c>
      <c r="D5881" t="s">
        <v>4732</v>
      </c>
      <c r="E5881" t="s">
        <v>4733</v>
      </c>
      <c r="G5881">
        <v>94.8</v>
      </c>
      <c r="H5881">
        <v>94178.23</v>
      </c>
    </row>
    <row r="5882" spans="1:8" ht="15" customHeight="1" x14ac:dyDescent="0.2">
      <c r="A5882" s="420">
        <v>45713</v>
      </c>
      <c r="B5882" t="s">
        <v>2333</v>
      </c>
      <c r="C5882" t="s">
        <v>7493</v>
      </c>
      <c r="D5882" t="s">
        <v>6236</v>
      </c>
      <c r="E5882" t="s">
        <v>6237</v>
      </c>
      <c r="G5882">
        <v>523.14</v>
      </c>
      <c r="H5882">
        <v>93655.09</v>
      </c>
    </row>
    <row r="5883" spans="1:8" ht="15" customHeight="1" x14ac:dyDescent="0.2">
      <c r="A5883" s="420">
        <v>45713</v>
      </c>
      <c r="B5883" t="s">
        <v>2333</v>
      </c>
      <c r="C5883" t="s">
        <v>7493</v>
      </c>
      <c r="D5883" t="s">
        <v>3464</v>
      </c>
      <c r="E5883" t="s">
        <v>3465</v>
      </c>
      <c r="G5883">
        <v>101.58</v>
      </c>
      <c r="H5883">
        <v>93553.51</v>
      </c>
    </row>
    <row r="5884" spans="1:8" ht="15" customHeight="1" x14ac:dyDescent="0.2">
      <c r="A5884" s="420">
        <v>45713</v>
      </c>
      <c r="B5884" t="s">
        <v>2333</v>
      </c>
      <c r="C5884" t="s">
        <v>7493</v>
      </c>
      <c r="D5884" t="s">
        <v>6266</v>
      </c>
      <c r="E5884" t="s">
        <v>6267</v>
      </c>
      <c r="G5884">
        <v>141</v>
      </c>
      <c r="H5884">
        <v>93412.51</v>
      </c>
    </row>
    <row r="5885" spans="1:8" ht="15" customHeight="1" x14ac:dyDescent="0.2">
      <c r="A5885" s="420">
        <v>45713</v>
      </c>
      <c r="B5885" t="s">
        <v>2333</v>
      </c>
      <c r="C5885" t="s">
        <v>7493</v>
      </c>
      <c r="D5885" t="s">
        <v>2970</v>
      </c>
      <c r="E5885" t="s">
        <v>2971</v>
      </c>
      <c r="G5885">
        <v>593.28</v>
      </c>
      <c r="H5885">
        <v>92819.23</v>
      </c>
    </row>
    <row r="5886" spans="1:8" ht="15" customHeight="1" x14ac:dyDescent="0.2">
      <c r="A5886" s="420">
        <v>45713</v>
      </c>
      <c r="B5886" t="s">
        <v>2333</v>
      </c>
      <c r="C5886" t="s">
        <v>7493</v>
      </c>
      <c r="D5886" t="s">
        <v>3547</v>
      </c>
      <c r="E5886" t="s">
        <v>3548</v>
      </c>
      <c r="G5886">
        <v>30</v>
      </c>
      <c r="H5886">
        <v>92789.23</v>
      </c>
    </row>
    <row r="5887" spans="1:8" ht="15" customHeight="1" x14ac:dyDescent="0.2">
      <c r="A5887" s="420">
        <v>45714</v>
      </c>
      <c r="B5887" t="s">
        <v>2333</v>
      </c>
      <c r="C5887" t="s">
        <v>7493</v>
      </c>
      <c r="D5887" t="s">
        <v>7544</v>
      </c>
      <c r="E5887" t="s">
        <v>1642</v>
      </c>
      <c r="G5887">
        <v>2.78</v>
      </c>
      <c r="H5887">
        <v>92786.45</v>
      </c>
    </row>
    <row r="5888" spans="1:8" ht="15" customHeight="1" x14ac:dyDescent="0.2">
      <c r="A5888" s="420">
        <v>45714</v>
      </c>
      <c r="B5888" t="s">
        <v>2333</v>
      </c>
      <c r="C5888" t="s">
        <v>7493</v>
      </c>
      <c r="D5888" t="s">
        <v>2621</v>
      </c>
      <c r="E5888" t="s">
        <v>2622</v>
      </c>
      <c r="G5888">
        <v>6.51</v>
      </c>
      <c r="H5888">
        <v>92779.94</v>
      </c>
    </row>
    <row r="5889" spans="1:8" ht="15" customHeight="1" x14ac:dyDescent="0.2">
      <c r="A5889" s="420">
        <v>45714</v>
      </c>
      <c r="B5889" t="s">
        <v>2333</v>
      </c>
      <c r="C5889" t="s">
        <v>7493</v>
      </c>
      <c r="D5889" t="s">
        <v>4855</v>
      </c>
      <c r="E5889" t="s">
        <v>4842</v>
      </c>
      <c r="G5889">
        <v>21.5</v>
      </c>
      <c r="H5889">
        <v>92758.44</v>
      </c>
    </row>
    <row r="5890" spans="1:8" ht="15" customHeight="1" x14ac:dyDescent="0.2">
      <c r="A5890" s="420">
        <v>45715</v>
      </c>
      <c r="B5890" t="s">
        <v>2333</v>
      </c>
      <c r="C5890" t="s">
        <v>7493</v>
      </c>
      <c r="D5890" t="s">
        <v>6360</v>
      </c>
      <c r="E5890" t="s">
        <v>6361</v>
      </c>
      <c r="G5890">
        <v>15452</v>
      </c>
      <c r="H5890">
        <v>77306.44</v>
      </c>
    </row>
    <row r="5891" spans="1:8" ht="15" customHeight="1" x14ac:dyDescent="0.2">
      <c r="A5891" s="420">
        <v>45715</v>
      </c>
      <c r="B5891" t="s">
        <v>2333</v>
      </c>
      <c r="C5891" t="s">
        <v>7493</v>
      </c>
      <c r="D5891" t="s">
        <v>2883</v>
      </c>
      <c r="E5891" t="s">
        <v>2884</v>
      </c>
      <c r="G5891">
        <v>418.8</v>
      </c>
      <c r="H5891">
        <v>76887.64</v>
      </c>
    </row>
    <row r="5892" spans="1:8" ht="15" customHeight="1" x14ac:dyDescent="0.2">
      <c r="A5892" s="420">
        <v>45715</v>
      </c>
      <c r="B5892" t="s">
        <v>2333</v>
      </c>
      <c r="C5892" t="s">
        <v>7493</v>
      </c>
      <c r="D5892" t="s">
        <v>4194</v>
      </c>
      <c r="E5892" t="s">
        <v>4195</v>
      </c>
      <c r="G5892">
        <v>3780</v>
      </c>
      <c r="H5892">
        <v>73107.64</v>
      </c>
    </row>
    <row r="5893" spans="1:8" ht="15" customHeight="1" x14ac:dyDescent="0.2">
      <c r="A5893" s="420">
        <v>45715</v>
      </c>
      <c r="B5893" t="s">
        <v>2333</v>
      </c>
      <c r="C5893" t="s">
        <v>7493</v>
      </c>
      <c r="D5893" t="s">
        <v>4196</v>
      </c>
      <c r="E5893" t="s">
        <v>4197</v>
      </c>
      <c r="G5893">
        <v>258</v>
      </c>
      <c r="H5893">
        <v>72849.64</v>
      </c>
    </row>
    <row r="5894" spans="1:8" ht="15" customHeight="1" x14ac:dyDescent="0.2">
      <c r="A5894" s="420">
        <v>45715</v>
      </c>
      <c r="B5894" t="s">
        <v>2333</v>
      </c>
      <c r="C5894" t="s">
        <v>7493</v>
      </c>
      <c r="D5894" t="s">
        <v>5036</v>
      </c>
      <c r="E5894" t="s">
        <v>5037</v>
      </c>
      <c r="G5894">
        <v>60</v>
      </c>
      <c r="H5894">
        <v>72789.64</v>
      </c>
    </row>
    <row r="5895" spans="1:8" ht="15" customHeight="1" x14ac:dyDescent="0.2">
      <c r="A5895" s="420">
        <v>45715</v>
      </c>
      <c r="B5895" t="s">
        <v>2333</v>
      </c>
      <c r="C5895" t="s">
        <v>7493</v>
      </c>
      <c r="D5895" t="s">
        <v>3570</v>
      </c>
      <c r="E5895" t="s">
        <v>3571</v>
      </c>
      <c r="G5895">
        <v>117</v>
      </c>
      <c r="H5895">
        <v>72672.639999999999</v>
      </c>
    </row>
    <row r="5896" spans="1:8" ht="15" customHeight="1" x14ac:dyDescent="0.2">
      <c r="A5896" s="420">
        <v>45716</v>
      </c>
      <c r="B5896" t="s">
        <v>2333</v>
      </c>
      <c r="C5896" t="s">
        <v>7493</v>
      </c>
      <c r="D5896" t="s">
        <v>2678</v>
      </c>
      <c r="E5896" t="s">
        <v>2679</v>
      </c>
      <c r="G5896">
        <v>386</v>
      </c>
      <c r="H5896">
        <v>72286.64</v>
      </c>
    </row>
    <row r="5897" spans="1:8" ht="15" customHeight="1" x14ac:dyDescent="0.2">
      <c r="A5897" s="420">
        <v>45716</v>
      </c>
      <c r="B5897" t="s">
        <v>2333</v>
      </c>
      <c r="C5897" t="s">
        <v>7493</v>
      </c>
      <c r="D5897" t="s">
        <v>5692</v>
      </c>
      <c r="E5897" t="s">
        <v>5693</v>
      </c>
      <c r="G5897">
        <v>6000</v>
      </c>
      <c r="H5897">
        <v>66286.64</v>
      </c>
    </row>
    <row r="5898" spans="1:8" ht="15" customHeight="1" x14ac:dyDescent="0.2">
      <c r="A5898" s="420">
        <v>45716</v>
      </c>
      <c r="B5898" t="s">
        <v>2333</v>
      </c>
      <c r="C5898" t="s">
        <v>7493</v>
      </c>
      <c r="D5898" t="s">
        <v>5811</v>
      </c>
      <c r="E5898" t="s">
        <v>5812</v>
      </c>
      <c r="G5898">
        <v>6000</v>
      </c>
      <c r="H5898">
        <v>60286.64</v>
      </c>
    </row>
    <row r="5899" spans="1:8" ht="15" customHeight="1" x14ac:dyDescent="0.2">
      <c r="A5899" s="420">
        <v>45716</v>
      </c>
      <c r="B5899" t="s">
        <v>2333</v>
      </c>
      <c r="C5899" t="s">
        <v>7493</v>
      </c>
      <c r="D5899" t="s">
        <v>5813</v>
      </c>
      <c r="E5899" t="s">
        <v>5814</v>
      </c>
      <c r="G5899">
        <v>1500</v>
      </c>
      <c r="H5899">
        <v>58786.64</v>
      </c>
    </row>
    <row r="5900" spans="1:8" ht="15" customHeight="1" x14ac:dyDescent="0.2">
      <c r="A5900" s="420">
        <v>45719</v>
      </c>
      <c r="B5900" t="s">
        <v>2333</v>
      </c>
      <c r="C5900" t="s">
        <v>7493</v>
      </c>
      <c r="D5900" t="s">
        <v>7545</v>
      </c>
      <c r="E5900" t="s">
        <v>7546</v>
      </c>
      <c r="G5900">
        <v>20.91</v>
      </c>
      <c r="H5900">
        <v>58765.73</v>
      </c>
    </row>
    <row r="5901" spans="1:8" ht="15" customHeight="1" x14ac:dyDescent="0.2">
      <c r="A5901" s="420">
        <v>45719</v>
      </c>
      <c r="B5901" t="s">
        <v>2333</v>
      </c>
      <c r="C5901" t="s">
        <v>7493</v>
      </c>
      <c r="D5901" t="s">
        <v>2973</v>
      </c>
      <c r="E5901" t="s">
        <v>2974</v>
      </c>
      <c r="G5901">
        <v>1752</v>
      </c>
      <c r="H5901">
        <v>57013.73</v>
      </c>
    </row>
    <row r="5902" spans="1:8" ht="15" customHeight="1" x14ac:dyDescent="0.2">
      <c r="A5902" s="420">
        <v>45719</v>
      </c>
      <c r="B5902" t="s">
        <v>2333</v>
      </c>
      <c r="C5902" t="s">
        <v>7493</v>
      </c>
      <c r="D5902" t="s">
        <v>7212</v>
      </c>
      <c r="E5902" t="s">
        <v>7213</v>
      </c>
      <c r="F5902">
        <v>15708.88</v>
      </c>
      <c r="H5902">
        <v>72722.61</v>
      </c>
    </row>
    <row r="5903" spans="1:8" ht="15" customHeight="1" x14ac:dyDescent="0.2">
      <c r="A5903" s="420">
        <v>45719</v>
      </c>
      <c r="B5903" t="s">
        <v>2333</v>
      </c>
      <c r="C5903" t="s">
        <v>7493</v>
      </c>
      <c r="D5903" t="s">
        <v>3405</v>
      </c>
      <c r="E5903" t="s">
        <v>3403</v>
      </c>
      <c r="G5903">
        <v>7080</v>
      </c>
      <c r="H5903">
        <v>65642.61</v>
      </c>
    </row>
    <row r="5904" spans="1:8" ht="15" customHeight="1" x14ac:dyDescent="0.2">
      <c r="A5904" s="420">
        <v>45719</v>
      </c>
      <c r="B5904" t="s">
        <v>2333</v>
      </c>
      <c r="C5904" t="s">
        <v>7493</v>
      </c>
      <c r="D5904" t="s">
        <v>4702</v>
      </c>
      <c r="E5904" t="s">
        <v>4698</v>
      </c>
      <c r="G5904">
        <v>19.23</v>
      </c>
      <c r="H5904">
        <v>65623.38</v>
      </c>
    </row>
    <row r="5905" spans="1:8" ht="15" customHeight="1" x14ac:dyDescent="0.2">
      <c r="A5905" s="420">
        <v>45719</v>
      </c>
      <c r="B5905" t="s">
        <v>2333</v>
      </c>
      <c r="C5905" t="s">
        <v>7493</v>
      </c>
      <c r="D5905" t="s">
        <v>4857</v>
      </c>
      <c r="E5905" t="s">
        <v>4851</v>
      </c>
      <c r="G5905">
        <v>68.099999999999994</v>
      </c>
      <c r="H5905">
        <v>65555.28</v>
      </c>
    </row>
    <row r="5906" spans="1:8" ht="15" customHeight="1" x14ac:dyDescent="0.2">
      <c r="A5906" s="420">
        <v>45719</v>
      </c>
      <c r="B5906" t="s">
        <v>2333</v>
      </c>
      <c r="C5906" t="s">
        <v>7493</v>
      </c>
      <c r="D5906" t="s">
        <v>3893</v>
      </c>
      <c r="E5906" t="s">
        <v>3894</v>
      </c>
      <c r="G5906">
        <v>35</v>
      </c>
      <c r="H5906">
        <v>65520.28</v>
      </c>
    </row>
    <row r="5907" spans="1:8" ht="15" customHeight="1" x14ac:dyDescent="0.2">
      <c r="A5907" s="420">
        <v>45719</v>
      </c>
      <c r="B5907" t="s">
        <v>2333</v>
      </c>
      <c r="C5907" t="s">
        <v>7493</v>
      </c>
      <c r="D5907" t="s">
        <v>7345</v>
      </c>
      <c r="E5907" t="s">
        <v>7346</v>
      </c>
      <c r="F5907">
        <v>2325</v>
      </c>
      <c r="H5907">
        <v>67845.279999999999</v>
      </c>
    </row>
    <row r="5908" spans="1:8" ht="15" customHeight="1" x14ac:dyDescent="0.2">
      <c r="A5908" s="420">
        <v>45719</v>
      </c>
      <c r="B5908" t="s">
        <v>2333</v>
      </c>
      <c r="C5908" t="s">
        <v>7493</v>
      </c>
      <c r="D5908" t="s">
        <v>4680</v>
      </c>
      <c r="E5908" t="s">
        <v>4678</v>
      </c>
      <c r="G5908">
        <v>16.79</v>
      </c>
      <c r="H5908">
        <v>67828.490000000005</v>
      </c>
    </row>
    <row r="5909" spans="1:8" ht="15" customHeight="1" x14ac:dyDescent="0.2">
      <c r="A5909" s="420">
        <v>45719</v>
      </c>
      <c r="B5909" t="s">
        <v>2333</v>
      </c>
      <c r="C5909" t="s">
        <v>7493</v>
      </c>
      <c r="D5909" t="s">
        <v>7547</v>
      </c>
      <c r="E5909" t="s">
        <v>1635</v>
      </c>
      <c r="G5909">
        <v>0.69</v>
      </c>
      <c r="H5909">
        <v>67827.8</v>
      </c>
    </row>
    <row r="5910" spans="1:8" ht="15" customHeight="1" x14ac:dyDescent="0.2">
      <c r="A5910" s="420">
        <v>45720</v>
      </c>
      <c r="B5910" t="s">
        <v>2333</v>
      </c>
      <c r="C5910" t="s">
        <v>7493</v>
      </c>
      <c r="D5910" t="s">
        <v>5933</v>
      </c>
      <c r="E5910" t="s">
        <v>5934</v>
      </c>
      <c r="F5910">
        <v>21085.7</v>
      </c>
      <c r="H5910">
        <v>88913.5</v>
      </c>
    </row>
    <row r="5911" spans="1:8" ht="15" customHeight="1" x14ac:dyDescent="0.2">
      <c r="A5911" s="420">
        <v>45720</v>
      </c>
      <c r="B5911" t="s">
        <v>2333</v>
      </c>
      <c r="C5911" t="s">
        <v>7493</v>
      </c>
      <c r="D5911" t="s">
        <v>7319</v>
      </c>
      <c r="E5911" t="s">
        <v>7320</v>
      </c>
      <c r="F5911">
        <v>9151.2000000000007</v>
      </c>
      <c r="H5911">
        <v>98064.7</v>
      </c>
    </row>
    <row r="5912" spans="1:8" ht="15" customHeight="1" x14ac:dyDescent="0.2">
      <c r="A5912" s="420">
        <v>45720</v>
      </c>
      <c r="B5912" t="s">
        <v>2333</v>
      </c>
      <c r="C5912" t="s">
        <v>7493</v>
      </c>
      <c r="D5912" t="s">
        <v>6083</v>
      </c>
      <c r="E5912" t="s">
        <v>6084</v>
      </c>
      <c r="G5912">
        <v>1419.01</v>
      </c>
      <c r="H5912">
        <v>96645.69</v>
      </c>
    </row>
    <row r="5913" spans="1:8" ht="15" customHeight="1" x14ac:dyDescent="0.2">
      <c r="A5913" s="420">
        <v>45720</v>
      </c>
      <c r="B5913" t="s">
        <v>2333</v>
      </c>
      <c r="C5913" t="s">
        <v>7493</v>
      </c>
      <c r="D5913" t="s">
        <v>6085</v>
      </c>
      <c r="E5913" t="s">
        <v>6086</v>
      </c>
      <c r="G5913">
        <v>1740.41</v>
      </c>
      <c r="H5913">
        <v>94905.279999999999</v>
      </c>
    </row>
    <row r="5914" spans="1:8" ht="15" customHeight="1" x14ac:dyDescent="0.2">
      <c r="A5914" s="420">
        <v>45720</v>
      </c>
      <c r="B5914" t="s">
        <v>2333</v>
      </c>
      <c r="C5914" t="s">
        <v>7493</v>
      </c>
      <c r="D5914" t="s">
        <v>3562</v>
      </c>
      <c r="E5914" t="s">
        <v>3563</v>
      </c>
      <c r="G5914">
        <v>367.2</v>
      </c>
      <c r="H5914">
        <v>94538.08</v>
      </c>
    </row>
    <row r="5915" spans="1:8" ht="15" customHeight="1" x14ac:dyDescent="0.2">
      <c r="A5915" s="420">
        <v>45720</v>
      </c>
      <c r="B5915" t="s">
        <v>2333</v>
      </c>
      <c r="C5915" t="s">
        <v>7493</v>
      </c>
      <c r="D5915" t="s">
        <v>7548</v>
      </c>
      <c r="E5915" t="s">
        <v>682</v>
      </c>
      <c r="G5915">
        <v>14.13</v>
      </c>
      <c r="H5915">
        <v>94523.95</v>
      </c>
    </row>
    <row r="5916" spans="1:8" ht="15" customHeight="1" x14ac:dyDescent="0.2">
      <c r="A5916" s="420">
        <v>45721</v>
      </c>
      <c r="B5916" t="s">
        <v>2333</v>
      </c>
      <c r="C5916" t="s">
        <v>7493</v>
      </c>
      <c r="D5916" t="s">
        <v>7549</v>
      </c>
      <c r="E5916" t="s">
        <v>7550</v>
      </c>
      <c r="G5916">
        <v>16.66</v>
      </c>
      <c r="H5916">
        <v>94507.29</v>
      </c>
    </row>
    <row r="5917" spans="1:8" ht="15" customHeight="1" x14ac:dyDescent="0.2">
      <c r="A5917" s="420">
        <v>45721</v>
      </c>
      <c r="B5917" t="s">
        <v>2333</v>
      </c>
      <c r="C5917" t="s">
        <v>7493</v>
      </c>
      <c r="D5917" t="s">
        <v>7551</v>
      </c>
      <c r="E5917" t="s">
        <v>7552</v>
      </c>
      <c r="G5917">
        <v>234.3</v>
      </c>
      <c r="H5917">
        <v>94272.99</v>
      </c>
    </row>
    <row r="5918" spans="1:8" ht="15" customHeight="1" x14ac:dyDescent="0.2">
      <c r="A5918" s="420">
        <v>45721</v>
      </c>
      <c r="B5918" t="s">
        <v>2333</v>
      </c>
      <c r="C5918" t="s">
        <v>7493</v>
      </c>
      <c r="D5918" t="s">
        <v>7553</v>
      </c>
      <c r="E5918" t="s">
        <v>7554</v>
      </c>
      <c r="G5918">
        <v>45.51</v>
      </c>
      <c r="H5918">
        <v>94227.48</v>
      </c>
    </row>
    <row r="5919" spans="1:8" ht="15" customHeight="1" x14ac:dyDescent="0.2">
      <c r="A5919" s="420">
        <v>45721</v>
      </c>
      <c r="B5919" t="s">
        <v>2333</v>
      </c>
      <c r="C5919" t="s">
        <v>7493</v>
      </c>
      <c r="D5919" t="s">
        <v>7555</v>
      </c>
      <c r="E5919" t="s">
        <v>7556</v>
      </c>
      <c r="G5919">
        <v>598.54999999999995</v>
      </c>
      <c r="H5919">
        <v>93628.93</v>
      </c>
    </row>
    <row r="5920" spans="1:8" ht="15" customHeight="1" x14ac:dyDescent="0.2">
      <c r="A5920" s="420">
        <v>45721</v>
      </c>
      <c r="B5920" t="s">
        <v>2333</v>
      </c>
      <c r="C5920" t="s">
        <v>7493</v>
      </c>
      <c r="D5920" t="s">
        <v>4049</v>
      </c>
      <c r="E5920" t="s">
        <v>4045</v>
      </c>
      <c r="G5920">
        <v>1418</v>
      </c>
      <c r="H5920">
        <v>92210.93</v>
      </c>
    </row>
    <row r="5921" spans="1:8" ht="15" customHeight="1" x14ac:dyDescent="0.2">
      <c r="A5921" s="420">
        <v>45721</v>
      </c>
      <c r="B5921" t="s">
        <v>2333</v>
      </c>
      <c r="C5921" t="s">
        <v>7493</v>
      </c>
      <c r="D5921" t="s">
        <v>7170</v>
      </c>
      <c r="E5921" t="s">
        <v>7171</v>
      </c>
      <c r="G5921">
        <v>500</v>
      </c>
      <c r="H5921">
        <v>91710.93</v>
      </c>
    </row>
    <row r="5922" spans="1:8" ht="15" customHeight="1" x14ac:dyDescent="0.2">
      <c r="A5922" s="420">
        <v>45721</v>
      </c>
      <c r="B5922" t="s">
        <v>2333</v>
      </c>
      <c r="C5922" t="s">
        <v>7493</v>
      </c>
      <c r="D5922" t="s">
        <v>4077</v>
      </c>
      <c r="E5922" t="s">
        <v>4078</v>
      </c>
      <c r="G5922">
        <v>322</v>
      </c>
      <c r="H5922">
        <v>91388.93</v>
      </c>
    </row>
    <row r="5923" spans="1:8" ht="15" customHeight="1" x14ac:dyDescent="0.2">
      <c r="A5923" s="420">
        <v>45721</v>
      </c>
      <c r="B5923" t="s">
        <v>2333</v>
      </c>
      <c r="C5923" t="s">
        <v>7493</v>
      </c>
      <c r="D5923" t="s">
        <v>5096</v>
      </c>
      <c r="E5923" t="s">
        <v>5097</v>
      </c>
      <c r="G5923">
        <v>180</v>
      </c>
      <c r="H5923">
        <v>91208.93</v>
      </c>
    </row>
    <row r="5924" spans="1:8" ht="15" customHeight="1" x14ac:dyDescent="0.2">
      <c r="A5924" s="420">
        <v>45721</v>
      </c>
      <c r="B5924" t="s">
        <v>2333</v>
      </c>
      <c r="C5924" t="s">
        <v>7493</v>
      </c>
      <c r="D5924" t="s">
        <v>5098</v>
      </c>
      <c r="E5924" t="s">
        <v>5099</v>
      </c>
      <c r="G5924">
        <v>180</v>
      </c>
      <c r="H5924">
        <v>91028.93</v>
      </c>
    </row>
    <row r="5925" spans="1:8" ht="15" customHeight="1" x14ac:dyDescent="0.2">
      <c r="A5925" s="420">
        <v>45721</v>
      </c>
      <c r="B5925" t="s">
        <v>2333</v>
      </c>
      <c r="C5925" t="s">
        <v>7493</v>
      </c>
      <c r="D5925" t="s">
        <v>3230</v>
      </c>
      <c r="E5925" t="s">
        <v>3231</v>
      </c>
      <c r="G5925">
        <v>53.36</v>
      </c>
      <c r="H5925">
        <v>90975.57</v>
      </c>
    </row>
    <row r="5926" spans="1:8" ht="15" customHeight="1" x14ac:dyDescent="0.2">
      <c r="A5926" s="420">
        <v>45721</v>
      </c>
      <c r="B5926" t="s">
        <v>2333</v>
      </c>
      <c r="C5926" t="s">
        <v>7493</v>
      </c>
      <c r="D5926" t="s">
        <v>4637</v>
      </c>
      <c r="E5926" t="s">
        <v>4638</v>
      </c>
      <c r="G5926">
        <v>934.45</v>
      </c>
      <c r="H5926">
        <v>90041.12</v>
      </c>
    </row>
    <row r="5927" spans="1:8" ht="15" customHeight="1" x14ac:dyDescent="0.2">
      <c r="A5927" s="420">
        <v>45722</v>
      </c>
      <c r="B5927" t="s">
        <v>2333</v>
      </c>
      <c r="C5927" t="s">
        <v>7493</v>
      </c>
      <c r="D5927" t="s">
        <v>4004</v>
      </c>
      <c r="E5927" t="s">
        <v>4005</v>
      </c>
      <c r="G5927">
        <v>393.82</v>
      </c>
      <c r="H5927">
        <v>89647.3</v>
      </c>
    </row>
    <row r="5928" spans="1:8" ht="15" customHeight="1" x14ac:dyDescent="0.2">
      <c r="A5928" s="420">
        <v>45722</v>
      </c>
      <c r="B5928" t="s">
        <v>2333</v>
      </c>
      <c r="C5928" t="s">
        <v>7493</v>
      </c>
      <c r="D5928" t="s">
        <v>5780</v>
      </c>
      <c r="E5928" t="s">
        <v>5781</v>
      </c>
      <c r="F5928">
        <v>200</v>
      </c>
      <c r="H5928">
        <v>89847.3</v>
      </c>
    </row>
    <row r="5929" spans="1:8" ht="15" customHeight="1" x14ac:dyDescent="0.2">
      <c r="A5929" s="420">
        <v>45722</v>
      </c>
      <c r="B5929" t="s">
        <v>2333</v>
      </c>
      <c r="C5929" t="s">
        <v>7493</v>
      </c>
      <c r="D5929" t="s">
        <v>4164</v>
      </c>
      <c r="E5929" t="s">
        <v>4165</v>
      </c>
      <c r="G5929">
        <v>16.8</v>
      </c>
      <c r="H5929">
        <v>89830.5</v>
      </c>
    </row>
    <row r="5930" spans="1:8" ht="15" customHeight="1" x14ac:dyDescent="0.2">
      <c r="A5930" s="420">
        <v>45722</v>
      </c>
      <c r="B5930" t="s">
        <v>2333</v>
      </c>
      <c r="C5930" t="s">
        <v>7493</v>
      </c>
      <c r="D5930" t="s">
        <v>7557</v>
      </c>
      <c r="E5930" t="s">
        <v>1622</v>
      </c>
      <c r="G5930">
        <v>30.6</v>
      </c>
      <c r="H5930">
        <v>89799.9</v>
      </c>
    </row>
    <row r="5931" spans="1:8" ht="15" customHeight="1" x14ac:dyDescent="0.2">
      <c r="A5931" s="420">
        <v>45723</v>
      </c>
      <c r="B5931" t="s">
        <v>2333</v>
      </c>
      <c r="C5931" t="s">
        <v>7493</v>
      </c>
      <c r="D5931" t="s">
        <v>5453</v>
      </c>
      <c r="E5931" t="s">
        <v>5454</v>
      </c>
      <c r="G5931">
        <v>65.75</v>
      </c>
      <c r="H5931">
        <v>89734.15</v>
      </c>
    </row>
    <row r="5932" spans="1:8" ht="15" customHeight="1" x14ac:dyDescent="0.2">
      <c r="A5932" s="420">
        <v>45723</v>
      </c>
      <c r="B5932" t="s">
        <v>2333</v>
      </c>
      <c r="C5932" t="s">
        <v>7493</v>
      </c>
      <c r="D5932" t="s">
        <v>5282</v>
      </c>
      <c r="E5932" t="s">
        <v>5283</v>
      </c>
      <c r="G5932">
        <v>79.319999999999993</v>
      </c>
      <c r="H5932">
        <v>89654.83</v>
      </c>
    </row>
    <row r="5933" spans="1:8" ht="15" customHeight="1" x14ac:dyDescent="0.2">
      <c r="A5933" s="420">
        <v>45723</v>
      </c>
      <c r="B5933" t="s">
        <v>2333</v>
      </c>
      <c r="C5933" t="s">
        <v>7493</v>
      </c>
      <c r="D5933" t="s">
        <v>5240</v>
      </c>
      <c r="E5933" t="s">
        <v>5241</v>
      </c>
      <c r="G5933">
        <v>85.01</v>
      </c>
      <c r="H5933">
        <v>89569.82</v>
      </c>
    </row>
    <row r="5934" spans="1:8" ht="15" customHeight="1" x14ac:dyDescent="0.2">
      <c r="A5934" s="420">
        <v>45723</v>
      </c>
      <c r="B5934" t="s">
        <v>2333</v>
      </c>
      <c r="C5934" t="s">
        <v>7493</v>
      </c>
      <c r="D5934" t="s">
        <v>3785</v>
      </c>
      <c r="E5934" t="s">
        <v>3773</v>
      </c>
      <c r="G5934">
        <v>35.520000000000003</v>
      </c>
      <c r="H5934">
        <v>89534.3</v>
      </c>
    </row>
    <row r="5935" spans="1:8" ht="15" customHeight="1" x14ac:dyDescent="0.2">
      <c r="A5935" s="420">
        <v>45723</v>
      </c>
      <c r="B5935" t="s">
        <v>2333</v>
      </c>
      <c r="C5935" t="s">
        <v>7493</v>
      </c>
      <c r="D5935" t="s">
        <v>3132</v>
      </c>
      <c r="E5935" t="s">
        <v>3133</v>
      </c>
      <c r="G5935">
        <v>547.55999999999995</v>
      </c>
      <c r="H5935">
        <v>88986.74</v>
      </c>
    </row>
    <row r="5936" spans="1:8" ht="15" customHeight="1" x14ac:dyDescent="0.2">
      <c r="A5936" s="420">
        <v>45726</v>
      </c>
      <c r="B5936" t="s">
        <v>2333</v>
      </c>
      <c r="C5936" t="s">
        <v>7493</v>
      </c>
      <c r="D5936" t="s">
        <v>4007</v>
      </c>
      <c r="E5936" t="s">
        <v>4008</v>
      </c>
      <c r="G5936">
        <v>792.46</v>
      </c>
      <c r="H5936">
        <v>88194.28</v>
      </c>
    </row>
    <row r="5937" spans="1:8" ht="15" customHeight="1" x14ac:dyDescent="0.2">
      <c r="A5937" s="420">
        <v>45726</v>
      </c>
      <c r="B5937" t="s">
        <v>2333</v>
      </c>
      <c r="C5937" t="s">
        <v>7493</v>
      </c>
      <c r="D5937" t="s">
        <v>2886</v>
      </c>
      <c r="E5937" t="s">
        <v>2887</v>
      </c>
      <c r="G5937">
        <v>2685.38</v>
      </c>
      <c r="H5937">
        <v>85508.9</v>
      </c>
    </row>
    <row r="5938" spans="1:8" ht="15" customHeight="1" x14ac:dyDescent="0.2">
      <c r="A5938" s="420">
        <v>45726</v>
      </c>
      <c r="B5938" t="s">
        <v>2333</v>
      </c>
      <c r="C5938" t="s">
        <v>7493</v>
      </c>
      <c r="D5938" t="s">
        <v>7241</v>
      </c>
      <c r="E5938" t="s">
        <v>7242</v>
      </c>
      <c r="F5938">
        <v>5889.52</v>
      </c>
      <c r="H5938">
        <v>91398.42</v>
      </c>
    </row>
    <row r="5939" spans="1:8" ht="15" customHeight="1" x14ac:dyDescent="0.2">
      <c r="A5939" s="420">
        <v>45726</v>
      </c>
      <c r="B5939" t="s">
        <v>2333</v>
      </c>
      <c r="C5939" t="s">
        <v>7493</v>
      </c>
      <c r="D5939" t="s">
        <v>2805</v>
      </c>
      <c r="E5939" t="s">
        <v>1312</v>
      </c>
      <c r="G5939">
        <v>0.99</v>
      </c>
      <c r="H5939">
        <v>91397.43</v>
      </c>
    </row>
    <row r="5940" spans="1:8" ht="15" customHeight="1" x14ac:dyDescent="0.2">
      <c r="A5940" s="420">
        <v>45726</v>
      </c>
      <c r="B5940" t="s">
        <v>2333</v>
      </c>
      <c r="C5940" t="s">
        <v>7493</v>
      </c>
      <c r="D5940" t="s">
        <v>2763</v>
      </c>
      <c r="E5940" t="s">
        <v>2761</v>
      </c>
      <c r="G5940">
        <v>31.98</v>
      </c>
      <c r="H5940">
        <v>91365.45</v>
      </c>
    </row>
    <row r="5941" spans="1:8" ht="15" customHeight="1" x14ac:dyDescent="0.2">
      <c r="A5941" s="420">
        <v>45726</v>
      </c>
      <c r="B5941" t="s">
        <v>2333</v>
      </c>
      <c r="C5941" t="s">
        <v>7493</v>
      </c>
      <c r="D5941" t="s">
        <v>3616</v>
      </c>
      <c r="E5941" t="s">
        <v>3617</v>
      </c>
      <c r="G5941">
        <v>44.62</v>
      </c>
      <c r="H5941">
        <v>91320.83</v>
      </c>
    </row>
    <row r="5942" spans="1:8" ht="15" customHeight="1" x14ac:dyDescent="0.2">
      <c r="A5942" s="420">
        <v>45727</v>
      </c>
      <c r="B5942" t="s">
        <v>2333</v>
      </c>
      <c r="C5942" t="s">
        <v>7493</v>
      </c>
      <c r="D5942" t="s">
        <v>5039</v>
      </c>
      <c r="E5942" t="s">
        <v>5040</v>
      </c>
      <c r="G5942">
        <v>187.2</v>
      </c>
      <c r="H5942">
        <v>91133.63</v>
      </c>
    </row>
    <row r="5943" spans="1:8" ht="15" customHeight="1" x14ac:dyDescent="0.2">
      <c r="A5943" s="420">
        <v>45727</v>
      </c>
      <c r="B5943" t="s">
        <v>2333</v>
      </c>
      <c r="C5943" t="s">
        <v>7493</v>
      </c>
      <c r="D5943" t="s">
        <v>7558</v>
      </c>
      <c r="E5943" t="s">
        <v>7559</v>
      </c>
      <c r="G5943">
        <v>85.21</v>
      </c>
      <c r="H5943">
        <v>91048.42</v>
      </c>
    </row>
    <row r="5944" spans="1:8" ht="15" customHeight="1" x14ac:dyDescent="0.2">
      <c r="A5944" s="420">
        <v>45727</v>
      </c>
      <c r="B5944" t="s">
        <v>2333</v>
      </c>
      <c r="C5944" t="s">
        <v>7493</v>
      </c>
      <c r="D5944" t="s">
        <v>7560</v>
      </c>
      <c r="E5944" t="s">
        <v>7561</v>
      </c>
      <c r="G5944">
        <v>78.010000000000005</v>
      </c>
      <c r="H5944">
        <v>90970.41</v>
      </c>
    </row>
    <row r="5945" spans="1:8" ht="15" customHeight="1" x14ac:dyDescent="0.2">
      <c r="A5945" s="420">
        <v>45727</v>
      </c>
      <c r="B5945" t="s">
        <v>2333</v>
      </c>
      <c r="C5945" t="s">
        <v>7493</v>
      </c>
      <c r="D5945" t="s">
        <v>3086</v>
      </c>
      <c r="E5945" t="s">
        <v>3087</v>
      </c>
      <c r="G5945">
        <v>11.99</v>
      </c>
      <c r="H5945">
        <v>90958.42</v>
      </c>
    </row>
    <row r="5946" spans="1:8" ht="15" customHeight="1" x14ac:dyDescent="0.2">
      <c r="A5946" s="420">
        <v>45728</v>
      </c>
      <c r="B5946" t="s">
        <v>2333</v>
      </c>
      <c r="C5946" t="s">
        <v>7493</v>
      </c>
      <c r="D5946" t="s">
        <v>3698</v>
      </c>
      <c r="E5946" t="s">
        <v>3699</v>
      </c>
      <c r="G5946">
        <v>1667.1</v>
      </c>
      <c r="H5946">
        <v>89291.32</v>
      </c>
    </row>
    <row r="5947" spans="1:8" ht="15" customHeight="1" x14ac:dyDescent="0.2">
      <c r="A5947" s="420">
        <v>45728</v>
      </c>
      <c r="B5947" t="s">
        <v>2333</v>
      </c>
      <c r="C5947" t="s">
        <v>7493</v>
      </c>
      <c r="D5947" t="s">
        <v>4767</v>
      </c>
      <c r="E5947" t="s">
        <v>4768</v>
      </c>
      <c r="G5947">
        <v>73</v>
      </c>
      <c r="H5947">
        <v>89218.32</v>
      </c>
    </row>
    <row r="5948" spans="1:8" ht="15" customHeight="1" x14ac:dyDescent="0.2">
      <c r="A5948" s="420">
        <v>45728</v>
      </c>
      <c r="B5948" t="s">
        <v>2333</v>
      </c>
      <c r="C5948" t="s">
        <v>7493</v>
      </c>
      <c r="D5948" t="s">
        <v>7562</v>
      </c>
      <c r="E5948" t="s">
        <v>1635</v>
      </c>
      <c r="G5948">
        <v>37.799999999999997</v>
      </c>
      <c r="H5948">
        <v>89180.52</v>
      </c>
    </row>
    <row r="5949" spans="1:8" ht="15" customHeight="1" x14ac:dyDescent="0.2">
      <c r="A5949" s="420">
        <v>45729</v>
      </c>
      <c r="B5949" t="s">
        <v>2333</v>
      </c>
      <c r="C5949" t="s">
        <v>7493</v>
      </c>
      <c r="D5949" t="s">
        <v>3235</v>
      </c>
      <c r="E5949" t="s">
        <v>3236</v>
      </c>
      <c r="G5949">
        <v>53.36</v>
      </c>
      <c r="H5949">
        <v>89127.16</v>
      </c>
    </row>
    <row r="5950" spans="1:8" ht="15" customHeight="1" x14ac:dyDescent="0.2">
      <c r="A5950" s="420">
        <v>45730</v>
      </c>
      <c r="B5950" t="s">
        <v>2333</v>
      </c>
      <c r="C5950" t="s">
        <v>7493</v>
      </c>
      <c r="D5950" t="s">
        <v>3645</v>
      </c>
      <c r="E5950" t="s">
        <v>3646</v>
      </c>
      <c r="G5950">
        <v>6000</v>
      </c>
      <c r="H5950">
        <v>83127.16</v>
      </c>
    </row>
    <row r="5951" spans="1:8" ht="15" customHeight="1" x14ac:dyDescent="0.2">
      <c r="A5951" s="420">
        <v>45730</v>
      </c>
      <c r="B5951" t="s">
        <v>2333</v>
      </c>
      <c r="C5951" t="s">
        <v>7493</v>
      </c>
      <c r="D5951" t="s">
        <v>3647</v>
      </c>
      <c r="E5951" t="s">
        <v>3648</v>
      </c>
      <c r="G5951">
        <v>6000</v>
      </c>
      <c r="H5951">
        <v>77127.16</v>
      </c>
    </row>
    <row r="5952" spans="1:8" ht="15" customHeight="1" x14ac:dyDescent="0.2">
      <c r="A5952" s="420">
        <v>45730</v>
      </c>
      <c r="B5952" t="s">
        <v>2333</v>
      </c>
      <c r="C5952" t="s">
        <v>7493</v>
      </c>
      <c r="D5952" t="s">
        <v>3649</v>
      </c>
      <c r="E5952" t="s">
        <v>3650</v>
      </c>
      <c r="G5952">
        <v>6000</v>
      </c>
      <c r="H5952">
        <v>71127.16</v>
      </c>
    </row>
    <row r="5953" spans="1:8" ht="15" customHeight="1" x14ac:dyDescent="0.2">
      <c r="A5953" s="420">
        <v>45730</v>
      </c>
      <c r="B5953" t="s">
        <v>2333</v>
      </c>
      <c r="C5953" t="s">
        <v>7493</v>
      </c>
      <c r="D5953" t="s">
        <v>3651</v>
      </c>
      <c r="E5953" t="s">
        <v>3652</v>
      </c>
      <c r="G5953">
        <v>6000</v>
      </c>
      <c r="H5953">
        <v>65127.16</v>
      </c>
    </row>
    <row r="5954" spans="1:8" ht="15" customHeight="1" x14ac:dyDescent="0.2">
      <c r="A5954" s="420">
        <v>45730</v>
      </c>
      <c r="B5954" t="s">
        <v>2333</v>
      </c>
      <c r="C5954" t="s">
        <v>7493</v>
      </c>
      <c r="D5954" t="s">
        <v>3596</v>
      </c>
      <c r="E5954" t="s">
        <v>3597</v>
      </c>
      <c r="G5954">
        <v>465</v>
      </c>
      <c r="H5954">
        <v>64662.16</v>
      </c>
    </row>
    <row r="5955" spans="1:8" ht="15" customHeight="1" x14ac:dyDescent="0.2">
      <c r="A5955" s="420">
        <v>45730</v>
      </c>
      <c r="B5955" t="s">
        <v>2333</v>
      </c>
      <c r="C5955" t="s">
        <v>7493</v>
      </c>
      <c r="D5955" t="s">
        <v>3701</v>
      </c>
      <c r="E5955" t="s">
        <v>3702</v>
      </c>
      <c r="G5955">
        <v>594.53</v>
      </c>
      <c r="H5955">
        <v>64067.63</v>
      </c>
    </row>
    <row r="5956" spans="1:8" ht="15" customHeight="1" x14ac:dyDescent="0.2">
      <c r="A5956" s="420">
        <v>45730</v>
      </c>
      <c r="B5956" t="s">
        <v>2333</v>
      </c>
      <c r="C5956" t="s">
        <v>7493</v>
      </c>
      <c r="D5956" t="s">
        <v>3923</v>
      </c>
      <c r="E5956" t="s">
        <v>3924</v>
      </c>
      <c r="G5956">
        <v>1277.6400000000001</v>
      </c>
      <c r="H5956">
        <v>62789.99</v>
      </c>
    </row>
    <row r="5957" spans="1:8" ht="15" customHeight="1" x14ac:dyDescent="0.2">
      <c r="A5957" s="420">
        <v>45733</v>
      </c>
      <c r="B5957" t="s">
        <v>2333</v>
      </c>
      <c r="C5957" t="s">
        <v>7493</v>
      </c>
      <c r="D5957" t="s">
        <v>4859</v>
      </c>
      <c r="E5957" t="s">
        <v>4851</v>
      </c>
      <c r="G5957">
        <v>164.2</v>
      </c>
      <c r="H5957">
        <v>62625.79</v>
      </c>
    </row>
    <row r="5958" spans="1:8" ht="15" customHeight="1" x14ac:dyDescent="0.2">
      <c r="A5958" s="420">
        <v>45734</v>
      </c>
      <c r="B5958" t="s">
        <v>2333</v>
      </c>
      <c r="C5958" t="s">
        <v>7493</v>
      </c>
      <c r="D5958" t="s">
        <v>6172</v>
      </c>
      <c r="E5958" t="s">
        <v>6173</v>
      </c>
      <c r="G5958">
        <v>1455</v>
      </c>
      <c r="H5958">
        <v>61170.79</v>
      </c>
    </row>
    <row r="5959" spans="1:8" ht="15" customHeight="1" x14ac:dyDescent="0.2">
      <c r="A5959" s="420">
        <v>45735</v>
      </c>
      <c r="B5959" t="s">
        <v>2333</v>
      </c>
      <c r="C5959" t="s">
        <v>7493</v>
      </c>
      <c r="D5959" t="s">
        <v>2561</v>
      </c>
      <c r="E5959" t="s">
        <v>2562</v>
      </c>
      <c r="G5959">
        <v>7565</v>
      </c>
      <c r="H5959">
        <v>53605.79</v>
      </c>
    </row>
    <row r="5960" spans="1:8" ht="15" customHeight="1" x14ac:dyDescent="0.2">
      <c r="A5960" s="420">
        <v>45736</v>
      </c>
      <c r="B5960" t="s">
        <v>2333</v>
      </c>
      <c r="C5960" t="s">
        <v>7493</v>
      </c>
      <c r="D5960" t="s">
        <v>5339</v>
      </c>
      <c r="E5960" t="s">
        <v>5340</v>
      </c>
      <c r="G5960">
        <v>24</v>
      </c>
      <c r="H5960">
        <v>53581.79</v>
      </c>
    </row>
    <row r="5961" spans="1:8" ht="15" customHeight="1" x14ac:dyDescent="0.2">
      <c r="A5961" s="420">
        <v>45736</v>
      </c>
      <c r="B5961" t="s">
        <v>2333</v>
      </c>
      <c r="C5961" t="s">
        <v>7493</v>
      </c>
      <c r="D5961" t="s">
        <v>5383</v>
      </c>
      <c r="E5961" t="s">
        <v>5384</v>
      </c>
      <c r="G5961">
        <v>37.54</v>
      </c>
      <c r="H5961">
        <v>53544.25</v>
      </c>
    </row>
    <row r="5962" spans="1:8" ht="15" customHeight="1" x14ac:dyDescent="0.2">
      <c r="A5962" s="420">
        <v>45737</v>
      </c>
      <c r="B5962" t="s">
        <v>2333</v>
      </c>
      <c r="C5962" t="s">
        <v>7493</v>
      </c>
      <c r="D5962" t="s">
        <v>3183</v>
      </c>
      <c r="E5962" t="s">
        <v>3184</v>
      </c>
      <c r="G5962">
        <v>8.0399999999999991</v>
      </c>
      <c r="H5962">
        <v>53536.21</v>
      </c>
    </row>
    <row r="5963" spans="1:8" ht="15" customHeight="1" x14ac:dyDescent="0.2">
      <c r="A5963" s="420">
        <v>45737</v>
      </c>
      <c r="B5963" t="s">
        <v>2333</v>
      </c>
      <c r="C5963" t="s">
        <v>7493</v>
      </c>
      <c r="D5963" t="s">
        <v>4861</v>
      </c>
      <c r="E5963" t="s">
        <v>4862</v>
      </c>
      <c r="G5963">
        <v>59.1</v>
      </c>
      <c r="H5963">
        <v>53477.11</v>
      </c>
    </row>
    <row r="5964" spans="1:8" ht="15" customHeight="1" x14ac:dyDescent="0.2">
      <c r="A5964" s="420">
        <v>45740</v>
      </c>
      <c r="B5964" t="s">
        <v>2333</v>
      </c>
      <c r="C5964" t="s">
        <v>7493</v>
      </c>
      <c r="D5964" t="s">
        <v>2807</v>
      </c>
      <c r="E5964" t="s">
        <v>1312</v>
      </c>
      <c r="G5964">
        <v>34.950000000000003</v>
      </c>
      <c r="H5964">
        <v>53442.16</v>
      </c>
    </row>
    <row r="5965" spans="1:8" ht="15" customHeight="1" x14ac:dyDescent="0.2">
      <c r="A5965" s="420">
        <v>45740</v>
      </c>
      <c r="B5965" t="s">
        <v>2333</v>
      </c>
      <c r="C5965" t="s">
        <v>7493</v>
      </c>
      <c r="D5965" t="s">
        <v>3242</v>
      </c>
      <c r="E5965" t="s">
        <v>3243</v>
      </c>
      <c r="G5965">
        <v>53.36</v>
      </c>
      <c r="H5965">
        <v>53388.800000000003</v>
      </c>
    </row>
    <row r="5966" spans="1:8" ht="15" customHeight="1" x14ac:dyDescent="0.2">
      <c r="A5966" s="420">
        <v>45741</v>
      </c>
      <c r="B5966" t="s">
        <v>2333</v>
      </c>
      <c r="C5966" t="s">
        <v>7493</v>
      </c>
      <c r="D5966" t="s">
        <v>4735</v>
      </c>
      <c r="E5966" t="s">
        <v>4736</v>
      </c>
      <c r="G5966">
        <v>94.8</v>
      </c>
      <c r="H5966">
        <v>53294</v>
      </c>
    </row>
    <row r="5967" spans="1:8" ht="15" customHeight="1" x14ac:dyDescent="0.2">
      <c r="A5967" s="420">
        <v>45741</v>
      </c>
      <c r="B5967" t="s">
        <v>2333</v>
      </c>
      <c r="C5967" t="s">
        <v>7493</v>
      </c>
      <c r="D5967" t="s">
        <v>6239</v>
      </c>
      <c r="E5967" t="s">
        <v>6240</v>
      </c>
      <c r="G5967">
        <v>323.94</v>
      </c>
      <c r="H5967">
        <v>52970.06</v>
      </c>
    </row>
    <row r="5968" spans="1:8" ht="15" customHeight="1" x14ac:dyDescent="0.2">
      <c r="A5968" s="420">
        <v>45741</v>
      </c>
      <c r="B5968" t="s">
        <v>2333</v>
      </c>
      <c r="C5968" t="s">
        <v>7493</v>
      </c>
      <c r="D5968" t="s">
        <v>3468</v>
      </c>
      <c r="E5968" t="s">
        <v>3469</v>
      </c>
      <c r="G5968">
        <v>53.26</v>
      </c>
      <c r="H5968">
        <v>52916.800000000003</v>
      </c>
    </row>
    <row r="5969" spans="1:8" ht="15" customHeight="1" x14ac:dyDescent="0.2">
      <c r="A5969" s="420">
        <v>45741</v>
      </c>
      <c r="B5969" t="s">
        <v>2333</v>
      </c>
      <c r="C5969" t="s">
        <v>7493</v>
      </c>
      <c r="D5969" t="s">
        <v>6268</v>
      </c>
      <c r="E5969" t="s">
        <v>6269</v>
      </c>
      <c r="G5969">
        <v>113</v>
      </c>
      <c r="H5969">
        <v>52803.8</v>
      </c>
    </row>
    <row r="5970" spans="1:8" ht="15" customHeight="1" x14ac:dyDescent="0.2">
      <c r="A5970" s="420">
        <v>45741</v>
      </c>
      <c r="B5970" t="s">
        <v>2333</v>
      </c>
      <c r="C5970" t="s">
        <v>7493</v>
      </c>
      <c r="D5970" t="s">
        <v>3653</v>
      </c>
      <c r="E5970" t="s">
        <v>3654</v>
      </c>
      <c r="G5970">
        <v>6000</v>
      </c>
      <c r="H5970">
        <v>46803.8</v>
      </c>
    </row>
    <row r="5971" spans="1:8" ht="15" customHeight="1" x14ac:dyDescent="0.2">
      <c r="A5971" s="420">
        <v>45742</v>
      </c>
      <c r="B5971" t="s">
        <v>2333</v>
      </c>
      <c r="C5971" t="s">
        <v>7493</v>
      </c>
      <c r="D5971" t="s">
        <v>3846</v>
      </c>
      <c r="E5971" t="s">
        <v>3847</v>
      </c>
      <c r="G5971">
        <v>749.62</v>
      </c>
      <c r="H5971">
        <v>46054.18</v>
      </c>
    </row>
    <row r="5972" spans="1:8" ht="15" customHeight="1" x14ac:dyDescent="0.2">
      <c r="A5972" s="420">
        <v>45742</v>
      </c>
      <c r="B5972" t="s">
        <v>2333</v>
      </c>
      <c r="C5972" t="s">
        <v>7493</v>
      </c>
      <c r="D5972" t="s">
        <v>6363</v>
      </c>
      <c r="E5972" t="s">
        <v>6364</v>
      </c>
      <c r="G5972">
        <v>16182</v>
      </c>
      <c r="H5972">
        <v>29872.18</v>
      </c>
    </row>
    <row r="5973" spans="1:8" ht="15" customHeight="1" x14ac:dyDescent="0.2">
      <c r="A5973" s="420">
        <v>45742</v>
      </c>
      <c r="B5973" t="s">
        <v>2333</v>
      </c>
      <c r="C5973" t="s">
        <v>7493</v>
      </c>
      <c r="D5973" t="s">
        <v>5087</v>
      </c>
      <c r="E5973" t="s">
        <v>5088</v>
      </c>
      <c r="G5973">
        <v>119.76</v>
      </c>
      <c r="H5973">
        <v>29752.42</v>
      </c>
    </row>
    <row r="5974" spans="1:8" ht="15" customHeight="1" x14ac:dyDescent="0.2">
      <c r="A5974" s="420">
        <v>45742</v>
      </c>
      <c r="B5974" t="s">
        <v>2333</v>
      </c>
      <c r="C5974" t="s">
        <v>7493</v>
      </c>
      <c r="D5974" t="s">
        <v>7563</v>
      </c>
      <c r="E5974" t="s">
        <v>1808</v>
      </c>
      <c r="G5974">
        <v>28.05</v>
      </c>
      <c r="H5974">
        <v>29724.37</v>
      </c>
    </row>
    <row r="5975" spans="1:8" ht="15" customHeight="1" x14ac:dyDescent="0.2">
      <c r="A5975" s="420">
        <v>45743</v>
      </c>
      <c r="B5975" t="s">
        <v>2333</v>
      </c>
      <c r="C5975" t="s">
        <v>7493</v>
      </c>
      <c r="D5975" t="s">
        <v>2889</v>
      </c>
      <c r="E5975" t="s">
        <v>2890</v>
      </c>
      <c r="G5975">
        <v>418.8</v>
      </c>
      <c r="H5975">
        <v>29305.57</v>
      </c>
    </row>
    <row r="5976" spans="1:8" ht="15" customHeight="1" x14ac:dyDescent="0.2">
      <c r="A5976" s="420">
        <v>45743</v>
      </c>
      <c r="B5976" t="s">
        <v>2333</v>
      </c>
      <c r="C5976" t="s">
        <v>7493</v>
      </c>
      <c r="D5976" t="s">
        <v>5315</v>
      </c>
      <c r="E5976" t="s">
        <v>1740</v>
      </c>
      <c r="G5976">
        <v>25.01</v>
      </c>
      <c r="H5976">
        <v>29280.560000000001</v>
      </c>
    </row>
    <row r="5977" spans="1:8" ht="15" customHeight="1" x14ac:dyDescent="0.2">
      <c r="A5977" s="420">
        <v>45744</v>
      </c>
      <c r="B5977" t="s">
        <v>2333</v>
      </c>
      <c r="C5977" t="s">
        <v>7493</v>
      </c>
      <c r="D5977" t="s">
        <v>4204</v>
      </c>
      <c r="E5977" t="s">
        <v>4205</v>
      </c>
      <c r="G5977">
        <v>50</v>
      </c>
      <c r="H5977">
        <v>29230.560000000001</v>
      </c>
    </row>
    <row r="5978" spans="1:8" ht="15" customHeight="1" x14ac:dyDescent="0.2">
      <c r="A5978" s="420">
        <v>45744</v>
      </c>
      <c r="B5978" t="s">
        <v>2333</v>
      </c>
      <c r="C5978" t="s">
        <v>7493</v>
      </c>
      <c r="D5978" t="s">
        <v>4206</v>
      </c>
      <c r="E5978" t="s">
        <v>4207</v>
      </c>
      <c r="G5978">
        <v>1884.32</v>
      </c>
      <c r="H5978">
        <v>27346.240000000002</v>
      </c>
    </row>
    <row r="5979" spans="1:8" ht="15" customHeight="1" x14ac:dyDescent="0.2">
      <c r="A5979" s="420">
        <v>45744</v>
      </c>
      <c r="B5979" t="s">
        <v>2333</v>
      </c>
      <c r="C5979" t="s">
        <v>7493</v>
      </c>
      <c r="D5979" t="s">
        <v>3159</v>
      </c>
      <c r="E5979" t="s">
        <v>3160</v>
      </c>
      <c r="G5979">
        <v>120</v>
      </c>
      <c r="H5979">
        <v>27226.240000000002</v>
      </c>
    </row>
    <row r="5980" spans="1:8" ht="15" customHeight="1" x14ac:dyDescent="0.2">
      <c r="A5980" s="420">
        <v>45744</v>
      </c>
      <c r="B5980" t="s">
        <v>2333</v>
      </c>
      <c r="C5980" t="s">
        <v>7493</v>
      </c>
      <c r="D5980" t="s">
        <v>4118</v>
      </c>
      <c r="E5980" t="s">
        <v>4119</v>
      </c>
      <c r="G5980">
        <v>129.6</v>
      </c>
      <c r="H5980">
        <v>27096.639999999999</v>
      </c>
    </row>
    <row r="5981" spans="1:8" ht="15" customHeight="1" x14ac:dyDescent="0.2">
      <c r="A5981" s="420">
        <v>45744</v>
      </c>
      <c r="B5981" t="s">
        <v>2333</v>
      </c>
      <c r="C5981" t="s">
        <v>7493</v>
      </c>
      <c r="D5981" t="s">
        <v>4863</v>
      </c>
      <c r="E5981" t="s">
        <v>4842</v>
      </c>
      <c r="G5981">
        <v>39.6</v>
      </c>
      <c r="H5981">
        <v>27057.040000000001</v>
      </c>
    </row>
    <row r="5982" spans="1:8" ht="15" customHeight="1" x14ac:dyDescent="0.2">
      <c r="A5982" s="420">
        <v>45747</v>
      </c>
      <c r="B5982" t="s">
        <v>2333</v>
      </c>
      <c r="C5982" t="s">
        <v>7493</v>
      </c>
      <c r="D5982" t="s">
        <v>2683</v>
      </c>
      <c r="E5982" t="s">
        <v>2684</v>
      </c>
      <c r="G5982">
        <v>321.60000000000002</v>
      </c>
      <c r="H5982">
        <v>26735.439999999999</v>
      </c>
    </row>
    <row r="5983" spans="1:8" ht="15" customHeight="1" x14ac:dyDescent="0.2">
      <c r="A5983" s="420">
        <v>45747</v>
      </c>
      <c r="B5983" t="s">
        <v>2333</v>
      </c>
      <c r="C5983" t="s">
        <v>7493</v>
      </c>
      <c r="D5983" t="s">
        <v>2685</v>
      </c>
      <c r="E5983" t="s">
        <v>2686</v>
      </c>
      <c r="G5983">
        <v>386</v>
      </c>
      <c r="H5983">
        <v>26349.439999999999</v>
      </c>
    </row>
    <row r="5984" spans="1:8" ht="15" customHeight="1" x14ac:dyDescent="0.2">
      <c r="A5984" s="420">
        <v>45747</v>
      </c>
      <c r="B5984" t="s">
        <v>2333</v>
      </c>
      <c r="C5984" t="s">
        <v>7493</v>
      </c>
      <c r="D5984" t="s">
        <v>2687</v>
      </c>
      <c r="E5984" t="s">
        <v>2688</v>
      </c>
      <c r="G5984">
        <v>540</v>
      </c>
      <c r="H5984">
        <v>25809.439999999999</v>
      </c>
    </row>
    <row r="5985" spans="1:8" ht="15" customHeight="1" x14ac:dyDescent="0.2">
      <c r="A5985" s="420">
        <v>45747</v>
      </c>
      <c r="B5985" t="s">
        <v>2333</v>
      </c>
      <c r="C5985" t="s">
        <v>7493</v>
      </c>
      <c r="D5985" t="s">
        <v>3787</v>
      </c>
      <c r="E5985" t="s">
        <v>3788</v>
      </c>
      <c r="G5985">
        <v>124.9</v>
      </c>
      <c r="H5985">
        <v>25684.54</v>
      </c>
    </row>
    <row r="5986" spans="1:8" ht="15" customHeight="1" x14ac:dyDescent="0.2">
      <c r="A5986" s="420">
        <v>45747</v>
      </c>
      <c r="B5986" t="s">
        <v>2333</v>
      </c>
      <c r="C5986" t="s">
        <v>7493</v>
      </c>
      <c r="D5986" t="s">
        <v>2864</v>
      </c>
      <c r="E5986" t="s">
        <v>2865</v>
      </c>
      <c r="G5986">
        <v>33.44</v>
      </c>
      <c r="H5986">
        <v>25651.1</v>
      </c>
    </row>
    <row r="5987" spans="1:8" ht="15" customHeight="1" x14ac:dyDescent="0.2">
      <c r="A5987" s="420">
        <v>45747</v>
      </c>
      <c r="B5987" t="s">
        <v>2333</v>
      </c>
      <c r="C5987" t="s">
        <v>7493</v>
      </c>
      <c r="D5987" t="s">
        <v>3581</v>
      </c>
      <c r="E5987" t="s">
        <v>3582</v>
      </c>
      <c r="G5987">
        <v>49.25</v>
      </c>
      <c r="H5987">
        <v>25601.85</v>
      </c>
    </row>
    <row r="5988" spans="1:8" ht="15" customHeight="1" x14ac:dyDescent="0.2">
      <c r="A5988" s="420">
        <v>45747</v>
      </c>
      <c r="B5988" t="s">
        <v>2333</v>
      </c>
      <c r="C5988" t="s">
        <v>7493</v>
      </c>
      <c r="D5988" t="s">
        <v>4704</v>
      </c>
      <c r="E5988" t="s">
        <v>4698</v>
      </c>
      <c r="G5988">
        <v>18.579999999999998</v>
      </c>
      <c r="H5988">
        <v>25583.27</v>
      </c>
    </row>
    <row r="5989" spans="1:8" ht="15" customHeight="1" x14ac:dyDescent="0.2">
      <c r="A5989" s="420">
        <v>45747</v>
      </c>
      <c r="B5989" t="s">
        <v>2333</v>
      </c>
      <c r="C5989" t="s">
        <v>7493</v>
      </c>
      <c r="D5989" t="s">
        <v>4770</v>
      </c>
      <c r="E5989" t="s">
        <v>4771</v>
      </c>
      <c r="G5989">
        <v>125.1</v>
      </c>
      <c r="H5989">
        <v>25458.17</v>
      </c>
    </row>
    <row r="5990" spans="1:8" ht="15" customHeight="1" x14ac:dyDescent="0.2">
      <c r="A5990" s="420">
        <v>45747</v>
      </c>
      <c r="B5990" t="s">
        <v>2333</v>
      </c>
      <c r="C5990" t="s">
        <v>7493</v>
      </c>
      <c r="D5990" t="s">
        <v>7564</v>
      </c>
      <c r="E5990" t="s">
        <v>1635</v>
      </c>
      <c r="G5990">
        <v>0.71</v>
      </c>
      <c r="H5990">
        <v>25457.46</v>
      </c>
    </row>
    <row r="5991" spans="1:8" ht="15" customHeight="1" x14ac:dyDescent="0.2">
      <c r="A5991" s="420">
        <v>45748</v>
      </c>
      <c r="B5991" t="s">
        <v>2333</v>
      </c>
      <c r="C5991" t="s">
        <v>7493</v>
      </c>
      <c r="D5991" t="s">
        <v>7565</v>
      </c>
      <c r="E5991" t="s">
        <v>7566</v>
      </c>
      <c r="G5991">
        <v>20.91</v>
      </c>
      <c r="H5991">
        <v>25436.55</v>
      </c>
    </row>
    <row r="5992" spans="1:8" ht="15" customHeight="1" x14ac:dyDescent="0.2">
      <c r="A5992" s="420">
        <v>45748</v>
      </c>
      <c r="B5992" t="s">
        <v>2333</v>
      </c>
      <c r="C5992" t="s">
        <v>7493</v>
      </c>
      <c r="D5992" t="s">
        <v>2976</v>
      </c>
      <c r="E5992" t="s">
        <v>2977</v>
      </c>
      <c r="G5992">
        <v>1752</v>
      </c>
      <c r="H5992">
        <v>23684.55</v>
      </c>
    </row>
    <row r="5993" spans="1:8" ht="15" customHeight="1" x14ac:dyDescent="0.2">
      <c r="A5993" s="420">
        <v>45748</v>
      </c>
      <c r="B5993" t="s">
        <v>2333</v>
      </c>
      <c r="C5993" t="s">
        <v>7493</v>
      </c>
      <c r="D5993" t="s">
        <v>3407</v>
      </c>
      <c r="E5993" t="s">
        <v>3403</v>
      </c>
      <c r="G5993">
        <v>7080</v>
      </c>
      <c r="H5993">
        <v>16604.55</v>
      </c>
    </row>
    <row r="5994" spans="1:8" ht="15" customHeight="1" x14ac:dyDescent="0.2">
      <c r="A5994" s="420">
        <v>45749</v>
      </c>
      <c r="B5994" t="s">
        <v>2333</v>
      </c>
      <c r="C5994" t="s">
        <v>7493</v>
      </c>
      <c r="D5994" t="s">
        <v>7321</v>
      </c>
      <c r="E5994" t="s">
        <v>7322</v>
      </c>
      <c r="F5994">
        <v>9828.4500000000007</v>
      </c>
      <c r="H5994">
        <v>26433</v>
      </c>
    </row>
    <row r="5995" spans="1:8" ht="15" customHeight="1" x14ac:dyDescent="0.2">
      <c r="A5995" s="420">
        <v>45749</v>
      </c>
      <c r="B5995" t="s">
        <v>2333</v>
      </c>
      <c r="C5995" t="s">
        <v>7493</v>
      </c>
      <c r="D5995" t="s">
        <v>5667</v>
      </c>
      <c r="E5995" t="s">
        <v>5668</v>
      </c>
      <c r="F5995">
        <v>22989.45</v>
      </c>
      <c r="H5995">
        <v>49422.45</v>
      </c>
    </row>
    <row r="5996" spans="1:8" ht="15" customHeight="1" x14ac:dyDescent="0.2">
      <c r="A5996" s="420">
        <v>45749</v>
      </c>
      <c r="B5996" t="s">
        <v>2333</v>
      </c>
      <c r="C5996" t="s">
        <v>7493</v>
      </c>
      <c r="D5996" t="s">
        <v>4682</v>
      </c>
      <c r="E5996" t="s">
        <v>4683</v>
      </c>
      <c r="G5996">
        <v>16.79</v>
      </c>
      <c r="H5996">
        <v>49405.66</v>
      </c>
    </row>
    <row r="5997" spans="1:8" ht="15" customHeight="1" x14ac:dyDescent="0.2">
      <c r="A5997" s="420">
        <v>45749</v>
      </c>
      <c r="B5997" t="s">
        <v>2333</v>
      </c>
      <c r="C5997" t="s">
        <v>7493</v>
      </c>
      <c r="D5997" t="s">
        <v>7567</v>
      </c>
      <c r="E5997" t="s">
        <v>695</v>
      </c>
      <c r="G5997">
        <v>14.13</v>
      </c>
      <c r="H5997">
        <v>49391.53</v>
      </c>
    </row>
    <row r="5998" spans="1:8" ht="15" customHeight="1" x14ac:dyDescent="0.2">
      <c r="A5998" s="420">
        <v>45751</v>
      </c>
      <c r="B5998" t="s">
        <v>2333</v>
      </c>
      <c r="C5998" t="s">
        <v>7493</v>
      </c>
      <c r="D5998" t="s">
        <v>5285</v>
      </c>
      <c r="E5998" t="s">
        <v>5286</v>
      </c>
      <c r="G5998">
        <v>61.71</v>
      </c>
      <c r="H5998">
        <v>49329.82</v>
      </c>
    </row>
    <row r="5999" spans="1:8" ht="15" customHeight="1" x14ac:dyDescent="0.2">
      <c r="A5999" s="420">
        <v>45751</v>
      </c>
      <c r="B5999" t="s">
        <v>2333</v>
      </c>
      <c r="C5999" t="s">
        <v>7493</v>
      </c>
      <c r="D5999" t="s">
        <v>3604</v>
      </c>
      <c r="E5999" t="s">
        <v>3605</v>
      </c>
      <c r="G5999">
        <v>120.11</v>
      </c>
      <c r="H5999">
        <v>49209.71</v>
      </c>
    </row>
    <row r="6000" spans="1:8" ht="15" customHeight="1" x14ac:dyDescent="0.2">
      <c r="A6000" s="420">
        <v>45751</v>
      </c>
      <c r="B6000" t="s">
        <v>2333</v>
      </c>
      <c r="C6000" t="s">
        <v>7493</v>
      </c>
      <c r="D6000" t="s">
        <v>7568</v>
      </c>
      <c r="E6000" t="s">
        <v>1816</v>
      </c>
      <c r="G6000">
        <v>62.28</v>
      </c>
      <c r="H6000">
        <v>49147.43</v>
      </c>
    </row>
    <row r="6001" spans="1:8" ht="15" customHeight="1" x14ac:dyDescent="0.2">
      <c r="A6001" s="420">
        <v>45751</v>
      </c>
      <c r="B6001" t="s">
        <v>2333</v>
      </c>
      <c r="C6001" t="s">
        <v>7493</v>
      </c>
      <c r="D6001" t="s">
        <v>6088</v>
      </c>
      <c r="E6001" t="s">
        <v>6089</v>
      </c>
      <c r="G6001">
        <v>2994.08</v>
      </c>
      <c r="H6001">
        <v>46153.35</v>
      </c>
    </row>
    <row r="6002" spans="1:8" ht="15" customHeight="1" x14ac:dyDescent="0.2">
      <c r="A6002" s="420">
        <v>45751</v>
      </c>
      <c r="B6002" t="s">
        <v>2333</v>
      </c>
      <c r="C6002" t="s">
        <v>7493</v>
      </c>
      <c r="D6002" t="s">
        <v>6090</v>
      </c>
      <c r="E6002" t="s">
        <v>6091</v>
      </c>
      <c r="G6002">
        <v>3844.44</v>
      </c>
      <c r="H6002">
        <v>42308.91</v>
      </c>
    </row>
    <row r="6003" spans="1:8" ht="15" customHeight="1" x14ac:dyDescent="0.2">
      <c r="A6003" s="420">
        <v>45751</v>
      </c>
      <c r="B6003" t="s">
        <v>2333</v>
      </c>
      <c r="C6003" t="s">
        <v>7493</v>
      </c>
      <c r="D6003" t="s">
        <v>7569</v>
      </c>
      <c r="E6003" t="s">
        <v>1635</v>
      </c>
      <c r="G6003">
        <v>2.99</v>
      </c>
      <c r="H6003">
        <v>42305.919999999998</v>
      </c>
    </row>
    <row r="6004" spans="1:8" ht="15" customHeight="1" x14ac:dyDescent="0.2">
      <c r="A6004" s="420">
        <v>45751</v>
      </c>
      <c r="B6004" t="s">
        <v>2333</v>
      </c>
      <c r="C6004" t="s">
        <v>7493</v>
      </c>
      <c r="D6004" t="s">
        <v>7570</v>
      </c>
      <c r="E6004" t="s">
        <v>1635</v>
      </c>
      <c r="G6004">
        <v>1.69</v>
      </c>
      <c r="H6004">
        <v>42304.23</v>
      </c>
    </row>
    <row r="6005" spans="1:8" ht="15" customHeight="1" x14ac:dyDescent="0.2">
      <c r="A6005" s="420">
        <v>45752</v>
      </c>
      <c r="B6005" t="s">
        <v>2333</v>
      </c>
      <c r="C6005" t="s">
        <v>7493</v>
      </c>
      <c r="D6005" t="s">
        <v>7571</v>
      </c>
      <c r="E6005" t="s">
        <v>7572</v>
      </c>
      <c r="G6005">
        <v>16.37</v>
      </c>
      <c r="H6005">
        <v>42287.86</v>
      </c>
    </row>
    <row r="6006" spans="1:8" ht="15" customHeight="1" x14ac:dyDescent="0.2">
      <c r="A6006" s="420">
        <v>45752</v>
      </c>
      <c r="B6006" t="s">
        <v>2333</v>
      </c>
      <c r="C6006" t="s">
        <v>7493</v>
      </c>
      <c r="D6006" t="s">
        <v>7573</v>
      </c>
      <c r="E6006" t="s">
        <v>7574</v>
      </c>
      <c r="G6006">
        <v>234.59</v>
      </c>
      <c r="H6006">
        <v>42053.27</v>
      </c>
    </row>
    <row r="6007" spans="1:8" ht="15" customHeight="1" x14ac:dyDescent="0.2">
      <c r="A6007" s="420">
        <v>45752</v>
      </c>
      <c r="B6007" t="s">
        <v>2333</v>
      </c>
      <c r="C6007" t="s">
        <v>7493</v>
      </c>
      <c r="D6007" t="s">
        <v>7575</v>
      </c>
      <c r="E6007" t="s">
        <v>7576</v>
      </c>
      <c r="G6007">
        <v>44.71</v>
      </c>
      <c r="H6007">
        <v>42008.56</v>
      </c>
    </row>
    <row r="6008" spans="1:8" ht="15" customHeight="1" x14ac:dyDescent="0.2">
      <c r="A6008" s="420">
        <v>45752</v>
      </c>
      <c r="B6008" t="s">
        <v>2333</v>
      </c>
      <c r="C6008" t="s">
        <v>7493</v>
      </c>
      <c r="D6008" t="s">
        <v>7577</v>
      </c>
      <c r="E6008" t="s">
        <v>7578</v>
      </c>
      <c r="G6008">
        <v>599.35</v>
      </c>
      <c r="H6008">
        <v>41409.21</v>
      </c>
    </row>
    <row r="6009" spans="1:8" ht="15" customHeight="1" x14ac:dyDescent="0.2">
      <c r="A6009" s="420">
        <v>45754</v>
      </c>
      <c r="B6009" t="s">
        <v>2333</v>
      </c>
      <c r="C6009" t="s">
        <v>7493</v>
      </c>
      <c r="D6009" t="s">
        <v>4010</v>
      </c>
      <c r="E6009" t="s">
        <v>4011</v>
      </c>
      <c r="G6009">
        <v>393.82</v>
      </c>
      <c r="H6009">
        <v>41015.39</v>
      </c>
    </row>
    <row r="6010" spans="1:8" ht="15" customHeight="1" x14ac:dyDescent="0.2">
      <c r="A6010" s="420">
        <v>45754</v>
      </c>
      <c r="B6010" t="s">
        <v>2333</v>
      </c>
      <c r="C6010" t="s">
        <v>7493</v>
      </c>
      <c r="D6010" t="s">
        <v>7207</v>
      </c>
      <c r="E6010" t="s">
        <v>7208</v>
      </c>
      <c r="F6010">
        <v>21773.96</v>
      </c>
      <c r="H6010">
        <v>62789.35</v>
      </c>
    </row>
    <row r="6011" spans="1:8" ht="15" customHeight="1" x14ac:dyDescent="0.2">
      <c r="A6011" s="420">
        <v>45754</v>
      </c>
      <c r="B6011" t="s">
        <v>2333</v>
      </c>
      <c r="C6011" t="s">
        <v>7493</v>
      </c>
      <c r="D6011" t="s">
        <v>4051</v>
      </c>
      <c r="E6011" t="s">
        <v>4045</v>
      </c>
      <c r="G6011">
        <v>1418</v>
      </c>
      <c r="H6011">
        <v>61371.35</v>
      </c>
    </row>
    <row r="6012" spans="1:8" ht="15" customHeight="1" x14ac:dyDescent="0.2">
      <c r="A6012" s="420">
        <v>45754</v>
      </c>
      <c r="B6012" t="s">
        <v>2333</v>
      </c>
      <c r="C6012" t="s">
        <v>7493</v>
      </c>
      <c r="D6012" t="s">
        <v>7172</v>
      </c>
      <c r="E6012" t="s">
        <v>7171</v>
      </c>
      <c r="G6012">
        <v>500</v>
      </c>
      <c r="H6012">
        <v>60871.35</v>
      </c>
    </row>
    <row r="6013" spans="1:8" ht="15" customHeight="1" x14ac:dyDescent="0.2">
      <c r="A6013" s="420">
        <v>45754</v>
      </c>
      <c r="B6013" t="s">
        <v>2333</v>
      </c>
      <c r="C6013" t="s">
        <v>7493</v>
      </c>
      <c r="D6013" t="s">
        <v>4080</v>
      </c>
      <c r="E6013" t="s">
        <v>4078</v>
      </c>
      <c r="G6013">
        <v>322</v>
      </c>
      <c r="H6013">
        <v>60549.35</v>
      </c>
    </row>
    <row r="6014" spans="1:8" ht="15" customHeight="1" x14ac:dyDescent="0.2">
      <c r="A6014" s="420">
        <v>45754</v>
      </c>
      <c r="B6014" t="s">
        <v>2333</v>
      </c>
      <c r="C6014" t="s">
        <v>7493</v>
      </c>
      <c r="D6014" t="s">
        <v>4147</v>
      </c>
      <c r="E6014" t="s">
        <v>4148</v>
      </c>
      <c r="G6014">
        <v>16.8</v>
      </c>
      <c r="H6014">
        <v>60532.55</v>
      </c>
    </row>
    <row r="6015" spans="1:8" ht="15" customHeight="1" x14ac:dyDescent="0.2">
      <c r="A6015" s="420">
        <v>45754</v>
      </c>
      <c r="B6015" t="s">
        <v>2333</v>
      </c>
      <c r="C6015" t="s">
        <v>7493</v>
      </c>
      <c r="D6015" t="s">
        <v>3382</v>
      </c>
      <c r="E6015" t="s">
        <v>3383</v>
      </c>
      <c r="G6015">
        <v>21.8</v>
      </c>
      <c r="H6015">
        <v>60510.75</v>
      </c>
    </row>
    <row r="6016" spans="1:8" ht="15" customHeight="1" x14ac:dyDescent="0.2">
      <c r="A6016" s="420">
        <v>45754</v>
      </c>
      <c r="B6016" t="s">
        <v>2333</v>
      </c>
      <c r="C6016" t="s">
        <v>7493</v>
      </c>
      <c r="D6016" t="s">
        <v>5102</v>
      </c>
      <c r="E6016" t="s">
        <v>5103</v>
      </c>
      <c r="G6016">
        <v>180</v>
      </c>
      <c r="H6016">
        <v>60330.75</v>
      </c>
    </row>
    <row r="6017" spans="1:8" ht="15" customHeight="1" x14ac:dyDescent="0.2">
      <c r="A6017" s="420">
        <v>45754</v>
      </c>
      <c r="B6017" t="s">
        <v>2333</v>
      </c>
      <c r="C6017" t="s">
        <v>7493</v>
      </c>
      <c r="D6017" t="s">
        <v>3790</v>
      </c>
      <c r="E6017" t="s">
        <v>3791</v>
      </c>
      <c r="G6017">
        <v>20.9</v>
      </c>
      <c r="H6017">
        <v>60309.85</v>
      </c>
    </row>
    <row r="6018" spans="1:8" ht="15" customHeight="1" x14ac:dyDescent="0.2">
      <c r="A6018" s="420">
        <v>45754</v>
      </c>
      <c r="B6018" t="s">
        <v>2333</v>
      </c>
      <c r="C6018" t="s">
        <v>7493</v>
      </c>
      <c r="D6018" t="s">
        <v>4640</v>
      </c>
      <c r="E6018" t="s">
        <v>4641</v>
      </c>
      <c r="G6018">
        <v>1626.5</v>
      </c>
      <c r="H6018">
        <v>58683.35</v>
      </c>
    </row>
    <row r="6019" spans="1:8" ht="15" customHeight="1" x14ac:dyDescent="0.2">
      <c r="A6019" s="420">
        <v>45754</v>
      </c>
      <c r="B6019" t="s">
        <v>2333</v>
      </c>
      <c r="C6019" t="s">
        <v>7493</v>
      </c>
      <c r="D6019" t="s">
        <v>7579</v>
      </c>
      <c r="E6019" t="s">
        <v>1622</v>
      </c>
      <c r="G6019">
        <v>31.8</v>
      </c>
      <c r="H6019">
        <v>58651.55</v>
      </c>
    </row>
    <row r="6020" spans="1:8" ht="15" customHeight="1" x14ac:dyDescent="0.2">
      <c r="A6020" s="420">
        <v>45755</v>
      </c>
      <c r="B6020" t="s">
        <v>2333</v>
      </c>
      <c r="C6020" t="s">
        <v>7493</v>
      </c>
      <c r="D6020" t="s">
        <v>4012</v>
      </c>
      <c r="E6020" t="s">
        <v>4013</v>
      </c>
      <c r="G6020">
        <v>792.46</v>
      </c>
      <c r="H6020">
        <v>57859.09</v>
      </c>
    </row>
    <row r="6021" spans="1:8" ht="15" customHeight="1" x14ac:dyDescent="0.2">
      <c r="A6021" s="420">
        <v>45755</v>
      </c>
      <c r="B6021" t="s">
        <v>2333</v>
      </c>
      <c r="C6021" t="s">
        <v>7493</v>
      </c>
      <c r="D6021" t="s">
        <v>7347</v>
      </c>
      <c r="E6021" t="s">
        <v>7348</v>
      </c>
      <c r="F6021">
        <v>6000</v>
      </c>
      <c r="H6021">
        <v>63859.09</v>
      </c>
    </row>
    <row r="6022" spans="1:8" ht="15" customHeight="1" x14ac:dyDescent="0.2">
      <c r="A6022" s="420">
        <v>45755</v>
      </c>
      <c r="B6022" t="s">
        <v>2333</v>
      </c>
      <c r="C6022" t="s">
        <v>7493</v>
      </c>
      <c r="D6022" t="s">
        <v>5647</v>
      </c>
      <c r="E6022" t="s">
        <v>5648</v>
      </c>
      <c r="F6022">
        <v>1200</v>
      </c>
      <c r="H6022">
        <v>65059.09</v>
      </c>
    </row>
    <row r="6023" spans="1:8" ht="15" customHeight="1" x14ac:dyDescent="0.2">
      <c r="A6023" s="420">
        <v>45755</v>
      </c>
      <c r="B6023" t="s">
        <v>2333</v>
      </c>
      <c r="C6023" t="s">
        <v>7493</v>
      </c>
      <c r="D6023" t="s">
        <v>3387</v>
      </c>
      <c r="E6023" t="s">
        <v>3388</v>
      </c>
      <c r="G6023">
        <v>236.48</v>
      </c>
      <c r="H6023">
        <v>64822.61</v>
      </c>
    </row>
    <row r="6024" spans="1:8" ht="15" customHeight="1" x14ac:dyDescent="0.2">
      <c r="A6024" s="420">
        <v>45755</v>
      </c>
      <c r="B6024" t="s">
        <v>2333</v>
      </c>
      <c r="C6024" t="s">
        <v>7493</v>
      </c>
      <c r="D6024" t="s">
        <v>4864</v>
      </c>
      <c r="E6024" t="s">
        <v>4865</v>
      </c>
      <c r="G6024">
        <v>632.63</v>
      </c>
      <c r="H6024">
        <v>64189.98</v>
      </c>
    </row>
    <row r="6025" spans="1:8" ht="15" customHeight="1" x14ac:dyDescent="0.2">
      <c r="A6025" s="420">
        <v>45755</v>
      </c>
      <c r="B6025" t="s">
        <v>2333</v>
      </c>
      <c r="C6025" t="s">
        <v>7493</v>
      </c>
      <c r="D6025" t="s">
        <v>2808</v>
      </c>
      <c r="E6025" t="s">
        <v>1312</v>
      </c>
      <c r="G6025">
        <v>0.99</v>
      </c>
      <c r="H6025">
        <v>64188.99</v>
      </c>
    </row>
    <row r="6026" spans="1:8" ht="15" customHeight="1" x14ac:dyDescent="0.2">
      <c r="A6026" s="420">
        <v>45756</v>
      </c>
      <c r="B6026" t="s">
        <v>2333</v>
      </c>
      <c r="C6026" t="s">
        <v>7493</v>
      </c>
      <c r="D6026" t="s">
        <v>5456</v>
      </c>
      <c r="E6026" t="s">
        <v>5457</v>
      </c>
      <c r="G6026">
        <v>65.75</v>
      </c>
      <c r="H6026">
        <v>64123.24</v>
      </c>
    </row>
    <row r="6027" spans="1:8" ht="15" customHeight="1" x14ac:dyDescent="0.2">
      <c r="A6027" s="420">
        <v>45756</v>
      </c>
      <c r="B6027" t="s">
        <v>2333</v>
      </c>
      <c r="C6027" t="s">
        <v>7493</v>
      </c>
      <c r="D6027" t="s">
        <v>2892</v>
      </c>
      <c r="E6027" t="s">
        <v>2893</v>
      </c>
      <c r="G6027">
        <v>2592.08</v>
      </c>
      <c r="H6027">
        <v>61531.16</v>
      </c>
    </row>
    <row r="6028" spans="1:8" ht="15" customHeight="1" x14ac:dyDescent="0.2">
      <c r="A6028" s="420">
        <v>45756</v>
      </c>
      <c r="B6028" t="s">
        <v>2333</v>
      </c>
      <c r="C6028" t="s">
        <v>7493</v>
      </c>
      <c r="D6028" t="s">
        <v>5042</v>
      </c>
      <c r="E6028" t="s">
        <v>5043</v>
      </c>
      <c r="G6028">
        <v>187.2</v>
      </c>
      <c r="H6028">
        <v>61343.96</v>
      </c>
    </row>
    <row r="6029" spans="1:8" ht="15" customHeight="1" x14ac:dyDescent="0.2">
      <c r="A6029" s="420">
        <v>45756</v>
      </c>
      <c r="B6029" t="s">
        <v>2333</v>
      </c>
      <c r="C6029" t="s">
        <v>7493</v>
      </c>
      <c r="D6029" t="s">
        <v>3610</v>
      </c>
      <c r="E6029" t="s">
        <v>3611</v>
      </c>
      <c r="G6029">
        <v>801.59</v>
      </c>
      <c r="H6029">
        <v>60542.37</v>
      </c>
    </row>
    <row r="6030" spans="1:8" ht="15" customHeight="1" x14ac:dyDescent="0.2">
      <c r="A6030" s="420">
        <v>45757</v>
      </c>
      <c r="B6030" t="s">
        <v>2333</v>
      </c>
      <c r="C6030" t="s">
        <v>7493</v>
      </c>
      <c r="D6030" t="s">
        <v>3472</v>
      </c>
      <c r="E6030" t="s">
        <v>3473</v>
      </c>
      <c r="G6030">
        <v>136.19</v>
      </c>
      <c r="H6030">
        <v>60406.18</v>
      </c>
    </row>
    <row r="6031" spans="1:8" ht="15" customHeight="1" x14ac:dyDescent="0.2">
      <c r="A6031" s="420">
        <v>45758</v>
      </c>
      <c r="B6031" t="s">
        <v>2333</v>
      </c>
      <c r="C6031" t="s">
        <v>7493</v>
      </c>
      <c r="D6031" t="s">
        <v>7580</v>
      </c>
      <c r="E6031" t="s">
        <v>7581</v>
      </c>
      <c r="G6031">
        <v>78.010000000000005</v>
      </c>
      <c r="H6031">
        <v>60328.17</v>
      </c>
    </row>
    <row r="6032" spans="1:8" ht="15" customHeight="1" x14ac:dyDescent="0.2">
      <c r="A6032" s="420">
        <v>45758</v>
      </c>
      <c r="B6032" t="s">
        <v>2333</v>
      </c>
      <c r="C6032" t="s">
        <v>7493</v>
      </c>
      <c r="D6032" t="s">
        <v>7582</v>
      </c>
      <c r="E6032" t="s">
        <v>7583</v>
      </c>
      <c r="G6032">
        <v>111.59</v>
      </c>
      <c r="H6032">
        <v>60216.58</v>
      </c>
    </row>
    <row r="6033" spans="1:8" ht="15" customHeight="1" x14ac:dyDescent="0.2">
      <c r="A6033" s="420">
        <v>45758</v>
      </c>
      <c r="B6033" t="s">
        <v>2333</v>
      </c>
      <c r="C6033" t="s">
        <v>7493</v>
      </c>
      <c r="D6033" t="s">
        <v>7584</v>
      </c>
      <c r="E6033" t="s">
        <v>7585</v>
      </c>
      <c r="G6033">
        <v>85.21</v>
      </c>
      <c r="H6033">
        <v>60131.37</v>
      </c>
    </row>
    <row r="6034" spans="1:8" ht="15" customHeight="1" x14ac:dyDescent="0.2">
      <c r="A6034" s="420">
        <v>45758</v>
      </c>
      <c r="B6034" t="s">
        <v>2333</v>
      </c>
      <c r="C6034" t="s">
        <v>7493</v>
      </c>
      <c r="D6034" t="s">
        <v>3089</v>
      </c>
      <c r="E6034" t="s">
        <v>3090</v>
      </c>
      <c r="G6034">
        <v>11.99</v>
      </c>
      <c r="H6034">
        <v>60119.38</v>
      </c>
    </row>
    <row r="6035" spans="1:8" ht="15" customHeight="1" x14ac:dyDescent="0.2">
      <c r="A6035" s="420">
        <v>45758</v>
      </c>
      <c r="B6035" t="s">
        <v>2333</v>
      </c>
      <c r="C6035" t="s">
        <v>7493</v>
      </c>
      <c r="D6035" t="s">
        <v>4868</v>
      </c>
      <c r="E6035" t="s">
        <v>4851</v>
      </c>
      <c r="G6035">
        <v>66.099999999999994</v>
      </c>
      <c r="H6035">
        <v>60053.279999999999</v>
      </c>
    </row>
    <row r="6036" spans="1:8" ht="15" customHeight="1" x14ac:dyDescent="0.2">
      <c r="A6036" s="420">
        <v>45758</v>
      </c>
      <c r="B6036" t="s">
        <v>2333</v>
      </c>
      <c r="C6036" t="s">
        <v>7493</v>
      </c>
      <c r="D6036" t="s">
        <v>3054</v>
      </c>
      <c r="E6036" t="s">
        <v>3052</v>
      </c>
      <c r="G6036">
        <v>63.7</v>
      </c>
      <c r="H6036">
        <v>59989.58</v>
      </c>
    </row>
    <row r="6037" spans="1:8" ht="15" customHeight="1" x14ac:dyDescent="0.2">
      <c r="A6037" s="420">
        <v>45761</v>
      </c>
      <c r="B6037" t="s">
        <v>2333</v>
      </c>
      <c r="C6037" t="s">
        <v>7493</v>
      </c>
      <c r="D6037" t="s">
        <v>3019</v>
      </c>
      <c r="E6037" t="s">
        <v>3020</v>
      </c>
      <c r="G6037">
        <v>356.8</v>
      </c>
      <c r="H6037">
        <v>59632.78</v>
      </c>
    </row>
    <row r="6038" spans="1:8" ht="15" customHeight="1" x14ac:dyDescent="0.2">
      <c r="A6038" s="420">
        <v>45761</v>
      </c>
      <c r="B6038" t="s">
        <v>2333</v>
      </c>
      <c r="C6038" t="s">
        <v>7493</v>
      </c>
      <c r="D6038" t="s">
        <v>3119</v>
      </c>
      <c r="E6038" t="s">
        <v>3120</v>
      </c>
      <c r="G6038">
        <v>244.3</v>
      </c>
      <c r="H6038">
        <v>59388.480000000003</v>
      </c>
    </row>
    <row r="6039" spans="1:8" ht="15" customHeight="1" x14ac:dyDescent="0.2">
      <c r="A6039" s="420">
        <v>45762</v>
      </c>
      <c r="B6039" t="s">
        <v>2333</v>
      </c>
      <c r="C6039" t="s">
        <v>7493</v>
      </c>
      <c r="D6039" t="s">
        <v>3794</v>
      </c>
      <c r="E6039" t="s">
        <v>3773</v>
      </c>
      <c r="G6039">
        <v>20.9</v>
      </c>
      <c r="H6039">
        <v>59367.58</v>
      </c>
    </row>
    <row r="6040" spans="1:8" ht="15" customHeight="1" x14ac:dyDescent="0.2">
      <c r="A6040" s="420">
        <v>45762</v>
      </c>
      <c r="B6040" t="s">
        <v>2333</v>
      </c>
      <c r="C6040" t="s">
        <v>7493</v>
      </c>
      <c r="D6040" t="s">
        <v>3366</v>
      </c>
      <c r="E6040" t="s">
        <v>3367</v>
      </c>
      <c r="G6040">
        <v>39.5</v>
      </c>
      <c r="H6040">
        <v>59328.08</v>
      </c>
    </row>
    <row r="6041" spans="1:8" ht="15" customHeight="1" x14ac:dyDescent="0.2">
      <c r="A6041" s="420">
        <v>45762</v>
      </c>
      <c r="B6041" t="s">
        <v>2333</v>
      </c>
      <c r="C6041" t="s">
        <v>7493</v>
      </c>
      <c r="D6041" t="s">
        <v>7349</v>
      </c>
      <c r="E6041" t="s">
        <v>7350</v>
      </c>
      <c r="G6041">
        <v>6000</v>
      </c>
      <c r="H6041">
        <v>53328.08</v>
      </c>
    </row>
    <row r="6042" spans="1:8" ht="15" customHeight="1" x14ac:dyDescent="0.2">
      <c r="A6042" s="420">
        <v>45763</v>
      </c>
      <c r="B6042" t="s">
        <v>2333</v>
      </c>
      <c r="C6042" t="s">
        <v>7493</v>
      </c>
      <c r="D6042" t="s">
        <v>6175</v>
      </c>
      <c r="E6042" t="s">
        <v>6176</v>
      </c>
      <c r="G6042">
        <v>4471</v>
      </c>
      <c r="H6042">
        <v>48857.08</v>
      </c>
    </row>
    <row r="6043" spans="1:8" ht="15" customHeight="1" x14ac:dyDescent="0.2">
      <c r="A6043" s="420">
        <v>45763</v>
      </c>
      <c r="B6043" t="s">
        <v>2333</v>
      </c>
      <c r="C6043" t="s">
        <v>7493</v>
      </c>
      <c r="D6043" t="s">
        <v>6001</v>
      </c>
      <c r="E6043" t="s">
        <v>6002</v>
      </c>
      <c r="G6043">
        <v>1000</v>
      </c>
      <c r="H6043">
        <v>47857.08</v>
      </c>
    </row>
    <row r="6044" spans="1:8" ht="15" customHeight="1" x14ac:dyDescent="0.2">
      <c r="A6044" s="420">
        <v>45763</v>
      </c>
      <c r="B6044" t="s">
        <v>2333</v>
      </c>
      <c r="C6044" t="s">
        <v>7493</v>
      </c>
      <c r="D6044" t="s">
        <v>3659</v>
      </c>
      <c r="E6044" t="s">
        <v>3660</v>
      </c>
      <c r="G6044">
        <v>6000</v>
      </c>
      <c r="H6044">
        <v>41857.08</v>
      </c>
    </row>
    <row r="6045" spans="1:8" ht="15" customHeight="1" x14ac:dyDescent="0.2">
      <c r="A6045" s="420">
        <v>45765</v>
      </c>
      <c r="B6045" t="s">
        <v>2333</v>
      </c>
      <c r="C6045" t="s">
        <v>7493</v>
      </c>
      <c r="D6045" t="s">
        <v>3369</v>
      </c>
      <c r="E6045" t="s">
        <v>3367</v>
      </c>
      <c r="G6045">
        <v>51.6</v>
      </c>
      <c r="H6045">
        <v>41805.480000000003</v>
      </c>
    </row>
    <row r="6046" spans="1:8" ht="15" customHeight="1" x14ac:dyDescent="0.2">
      <c r="A6046" s="420">
        <v>45769</v>
      </c>
      <c r="B6046" t="s">
        <v>2333</v>
      </c>
      <c r="C6046" t="s">
        <v>7493</v>
      </c>
      <c r="D6046" t="s">
        <v>5342</v>
      </c>
      <c r="E6046" t="s">
        <v>5343</v>
      </c>
      <c r="G6046">
        <v>24</v>
      </c>
      <c r="H6046">
        <v>41781.480000000003</v>
      </c>
    </row>
    <row r="6047" spans="1:8" ht="15" customHeight="1" x14ac:dyDescent="0.2">
      <c r="A6047" s="420">
        <v>45769</v>
      </c>
      <c r="B6047" t="s">
        <v>2333</v>
      </c>
      <c r="C6047" t="s">
        <v>7493</v>
      </c>
      <c r="D6047" t="s">
        <v>5386</v>
      </c>
      <c r="E6047" t="s">
        <v>5387</v>
      </c>
      <c r="G6047">
        <v>169.34</v>
      </c>
      <c r="H6047">
        <v>41612.14</v>
      </c>
    </row>
    <row r="6048" spans="1:8" ht="15" customHeight="1" x14ac:dyDescent="0.2">
      <c r="A6048" s="420">
        <v>45769</v>
      </c>
      <c r="B6048" t="s">
        <v>2333</v>
      </c>
      <c r="C6048" t="s">
        <v>7493</v>
      </c>
      <c r="D6048" t="s">
        <v>3849</v>
      </c>
      <c r="E6048" t="s">
        <v>3850</v>
      </c>
      <c r="G6048">
        <v>749.62</v>
      </c>
      <c r="H6048">
        <v>40862.519999999997</v>
      </c>
    </row>
    <row r="6049" spans="1:8" ht="15" customHeight="1" x14ac:dyDescent="0.2">
      <c r="A6049" s="420">
        <v>45769</v>
      </c>
      <c r="B6049" t="s">
        <v>2333</v>
      </c>
      <c r="C6049" t="s">
        <v>7493</v>
      </c>
      <c r="D6049" t="s">
        <v>3371</v>
      </c>
      <c r="E6049" t="s">
        <v>3367</v>
      </c>
      <c r="G6049">
        <v>133.19999999999999</v>
      </c>
      <c r="H6049">
        <v>40729.32</v>
      </c>
    </row>
    <row r="6050" spans="1:8" ht="15" customHeight="1" x14ac:dyDescent="0.2">
      <c r="A6050" s="420">
        <v>45769</v>
      </c>
      <c r="B6050" t="s">
        <v>2333</v>
      </c>
      <c r="C6050" t="s">
        <v>7493</v>
      </c>
      <c r="D6050" t="s">
        <v>5708</v>
      </c>
      <c r="E6050" t="s">
        <v>5709</v>
      </c>
      <c r="F6050">
        <v>19141.349999999999</v>
      </c>
      <c r="H6050">
        <v>59870.67</v>
      </c>
    </row>
    <row r="6051" spans="1:8" ht="15" customHeight="1" x14ac:dyDescent="0.2">
      <c r="A6051" s="420">
        <v>45769</v>
      </c>
      <c r="B6051" t="s">
        <v>2333</v>
      </c>
      <c r="C6051" t="s">
        <v>7493</v>
      </c>
      <c r="D6051" t="s">
        <v>7323</v>
      </c>
      <c r="E6051" t="s">
        <v>7324</v>
      </c>
      <c r="F6051">
        <v>8203.0499999999993</v>
      </c>
      <c r="H6051">
        <v>68073.72</v>
      </c>
    </row>
    <row r="6052" spans="1:8" ht="15" customHeight="1" x14ac:dyDescent="0.2">
      <c r="A6052" s="420">
        <v>45769</v>
      </c>
      <c r="B6052" t="s">
        <v>2333</v>
      </c>
      <c r="C6052" t="s">
        <v>7493</v>
      </c>
      <c r="D6052" t="s">
        <v>3248</v>
      </c>
      <c r="E6052" t="s">
        <v>3249</v>
      </c>
      <c r="G6052">
        <v>53.36</v>
      </c>
      <c r="H6052">
        <v>68020.36</v>
      </c>
    </row>
    <row r="6053" spans="1:8" ht="15" customHeight="1" x14ac:dyDescent="0.2">
      <c r="A6053" s="420">
        <v>45769</v>
      </c>
      <c r="B6053" t="s">
        <v>2333</v>
      </c>
      <c r="C6053" t="s">
        <v>7493</v>
      </c>
      <c r="D6053" t="s">
        <v>3910</v>
      </c>
      <c r="E6053" t="s">
        <v>3911</v>
      </c>
      <c r="G6053">
        <v>535.19000000000005</v>
      </c>
      <c r="H6053">
        <v>67485.17</v>
      </c>
    </row>
    <row r="6054" spans="1:8" ht="15" customHeight="1" x14ac:dyDescent="0.2">
      <c r="A6054" s="420">
        <v>45770</v>
      </c>
      <c r="B6054" t="s">
        <v>2333</v>
      </c>
      <c r="C6054" t="s">
        <v>7493</v>
      </c>
      <c r="D6054" t="s">
        <v>7245</v>
      </c>
      <c r="E6054" t="s">
        <v>7246</v>
      </c>
      <c r="F6054">
        <v>6490.52</v>
      </c>
      <c r="H6054">
        <v>73975.69</v>
      </c>
    </row>
    <row r="6055" spans="1:8" ht="15" customHeight="1" x14ac:dyDescent="0.2">
      <c r="A6055" s="420">
        <v>45770</v>
      </c>
      <c r="B6055" t="s">
        <v>2333</v>
      </c>
      <c r="C6055" t="s">
        <v>7493</v>
      </c>
      <c r="D6055" t="s">
        <v>5077</v>
      </c>
      <c r="E6055" t="s">
        <v>5078</v>
      </c>
      <c r="G6055">
        <v>225.56</v>
      </c>
      <c r="H6055">
        <v>73750.13</v>
      </c>
    </row>
    <row r="6056" spans="1:8" ht="15" customHeight="1" x14ac:dyDescent="0.2">
      <c r="A6056" s="420">
        <v>45770</v>
      </c>
      <c r="B6056" t="s">
        <v>2333</v>
      </c>
      <c r="C6056" t="s">
        <v>7493</v>
      </c>
      <c r="D6056" t="s">
        <v>3250</v>
      </c>
      <c r="E6056" t="s">
        <v>3251</v>
      </c>
      <c r="G6056">
        <v>53.36</v>
      </c>
      <c r="H6056">
        <v>73696.77</v>
      </c>
    </row>
    <row r="6057" spans="1:8" ht="15" customHeight="1" x14ac:dyDescent="0.2">
      <c r="A6057" s="420">
        <v>45770</v>
      </c>
      <c r="B6057" t="s">
        <v>2333</v>
      </c>
      <c r="C6057" t="s">
        <v>7493</v>
      </c>
      <c r="D6057" t="s">
        <v>4014</v>
      </c>
      <c r="E6057" t="s">
        <v>4015</v>
      </c>
      <c r="F6057">
        <v>792.46</v>
      </c>
      <c r="H6057">
        <v>74489.23</v>
      </c>
    </row>
    <row r="6058" spans="1:8" ht="15" customHeight="1" x14ac:dyDescent="0.2">
      <c r="A6058" s="420">
        <v>45770</v>
      </c>
      <c r="B6058" t="s">
        <v>2333</v>
      </c>
      <c r="C6058" t="s">
        <v>7493</v>
      </c>
      <c r="D6058" t="s">
        <v>5267</v>
      </c>
      <c r="E6058" t="s">
        <v>5268</v>
      </c>
      <c r="G6058">
        <v>36.799999999999997</v>
      </c>
      <c r="H6058">
        <v>74452.429999999993</v>
      </c>
    </row>
    <row r="6059" spans="1:8" ht="15" customHeight="1" x14ac:dyDescent="0.2">
      <c r="A6059" s="420">
        <v>45771</v>
      </c>
      <c r="B6059" t="s">
        <v>2333</v>
      </c>
      <c r="C6059" t="s">
        <v>7493</v>
      </c>
      <c r="D6059" t="s">
        <v>6271</v>
      </c>
      <c r="E6059" t="s">
        <v>6272</v>
      </c>
      <c r="G6059">
        <v>240</v>
      </c>
      <c r="H6059">
        <v>74212.429999999993</v>
      </c>
    </row>
    <row r="6060" spans="1:8" ht="15" customHeight="1" x14ac:dyDescent="0.2">
      <c r="A6060" s="420">
        <v>45771</v>
      </c>
      <c r="B6060" t="s">
        <v>2333</v>
      </c>
      <c r="C6060" t="s">
        <v>7493</v>
      </c>
      <c r="D6060" t="s">
        <v>6214</v>
      </c>
      <c r="E6060" t="s">
        <v>6215</v>
      </c>
      <c r="G6060">
        <v>141.26</v>
      </c>
      <c r="H6060">
        <v>74071.17</v>
      </c>
    </row>
    <row r="6061" spans="1:8" ht="15" customHeight="1" x14ac:dyDescent="0.2">
      <c r="A6061" s="420">
        <v>45771</v>
      </c>
      <c r="B6061" t="s">
        <v>2333</v>
      </c>
      <c r="C6061" t="s">
        <v>7493</v>
      </c>
      <c r="D6061" t="s">
        <v>2812</v>
      </c>
      <c r="E6061" t="s">
        <v>1312</v>
      </c>
      <c r="G6061">
        <v>34.950000000000003</v>
      </c>
      <c r="H6061">
        <v>74036.22</v>
      </c>
    </row>
    <row r="6062" spans="1:8" ht="15" customHeight="1" x14ac:dyDescent="0.2">
      <c r="A6062" s="420">
        <v>45771</v>
      </c>
      <c r="B6062" t="s">
        <v>2333</v>
      </c>
      <c r="C6062" t="s">
        <v>7493</v>
      </c>
      <c r="D6062" t="s">
        <v>3951</v>
      </c>
      <c r="E6062" t="s">
        <v>3952</v>
      </c>
      <c r="G6062">
        <v>330</v>
      </c>
      <c r="H6062">
        <v>73706.22</v>
      </c>
    </row>
    <row r="6063" spans="1:8" ht="15" customHeight="1" x14ac:dyDescent="0.2">
      <c r="A6063" s="420">
        <v>45771</v>
      </c>
      <c r="B6063" t="s">
        <v>2333</v>
      </c>
      <c r="C6063" t="s">
        <v>7493</v>
      </c>
      <c r="D6063" t="s">
        <v>2950</v>
      </c>
      <c r="E6063" t="s">
        <v>2951</v>
      </c>
      <c r="G6063">
        <v>404.49</v>
      </c>
      <c r="H6063">
        <v>73301.73</v>
      </c>
    </row>
    <row r="6064" spans="1:8" ht="15" customHeight="1" x14ac:dyDescent="0.2">
      <c r="A6064" s="420">
        <v>45771</v>
      </c>
      <c r="B6064" t="s">
        <v>2333</v>
      </c>
      <c r="C6064" t="s">
        <v>7493</v>
      </c>
      <c r="D6064" t="s">
        <v>4817</v>
      </c>
      <c r="E6064" t="s">
        <v>4818</v>
      </c>
      <c r="G6064">
        <v>366.24</v>
      </c>
      <c r="H6064">
        <v>72935.490000000005</v>
      </c>
    </row>
    <row r="6065" spans="1:8" ht="15" customHeight="1" x14ac:dyDescent="0.2">
      <c r="A6065" s="420">
        <v>45772</v>
      </c>
      <c r="B6065" t="s">
        <v>2333</v>
      </c>
      <c r="C6065" t="s">
        <v>7493</v>
      </c>
      <c r="D6065" t="s">
        <v>4738</v>
      </c>
      <c r="E6065" t="s">
        <v>4739</v>
      </c>
      <c r="G6065">
        <v>100.08</v>
      </c>
      <c r="H6065">
        <v>72835.41</v>
      </c>
    </row>
    <row r="6066" spans="1:8" ht="15" customHeight="1" x14ac:dyDescent="0.2">
      <c r="A6066" s="420">
        <v>45772</v>
      </c>
      <c r="B6066" t="s">
        <v>2333</v>
      </c>
      <c r="C6066" t="s">
        <v>7493</v>
      </c>
      <c r="D6066" t="s">
        <v>6366</v>
      </c>
      <c r="E6066" t="s">
        <v>6367</v>
      </c>
      <c r="G6066">
        <v>17228</v>
      </c>
      <c r="H6066">
        <v>55607.41</v>
      </c>
    </row>
    <row r="6067" spans="1:8" ht="15" customHeight="1" x14ac:dyDescent="0.2">
      <c r="A6067" s="420">
        <v>45772</v>
      </c>
      <c r="B6067" t="s">
        <v>2333</v>
      </c>
      <c r="C6067" t="s">
        <v>7493</v>
      </c>
      <c r="D6067" t="s">
        <v>3475</v>
      </c>
      <c r="E6067" t="s">
        <v>3476</v>
      </c>
      <c r="G6067">
        <v>47.86</v>
      </c>
      <c r="H6067">
        <v>55559.55</v>
      </c>
    </row>
    <row r="6068" spans="1:8" ht="15" customHeight="1" x14ac:dyDescent="0.2">
      <c r="A6068" s="420">
        <v>45772</v>
      </c>
      <c r="B6068" t="s">
        <v>2333</v>
      </c>
      <c r="C6068" t="s">
        <v>7493</v>
      </c>
      <c r="D6068" t="s">
        <v>6241</v>
      </c>
      <c r="E6068" t="s">
        <v>6242</v>
      </c>
      <c r="G6068">
        <v>1008.57</v>
      </c>
      <c r="H6068">
        <v>54550.98</v>
      </c>
    </row>
    <row r="6069" spans="1:8" ht="15" customHeight="1" x14ac:dyDescent="0.2">
      <c r="A6069" s="420">
        <v>45772</v>
      </c>
      <c r="B6069" t="s">
        <v>2333</v>
      </c>
      <c r="C6069" t="s">
        <v>7493</v>
      </c>
      <c r="D6069" t="s">
        <v>3621</v>
      </c>
      <c r="E6069" t="s">
        <v>3622</v>
      </c>
      <c r="G6069">
        <v>104</v>
      </c>
      <c r="H6069">
        <v>54446.98</v>
      </c>
    </row>
    <row r="6070" spans="1:8" ht="15" customHeight="1" x14ac:dyDescent="0.2">
      <c r="A6070" s="420">
        <v>45772</v>
      </c>
      <c r="B6070" t="s">
        <v>2333</v>
      </c>
      <c r="C6070" t="s">
        <v>7493</v>
      </c>
      <c r="D6070" t="s">
        <v>7224</v>
      </c>
      <c r="E6070" t="s">
        <v>7225</v>
      </c>
      <c r="F6070">
        <v>20036.43</v>
      </c>
      <c r="H6070">
        <v>74483.41</v>
      </c>
    </row>
    <row r="6071" spans="1:8" ht="15" customHeight="1" x14ac:dyDescent="0.2">
      <c r="A6071" s="420">
        <v>45772</v>
      </c>
      <c r="B6071" t="s">
        <v>2333</v>
      </c>
      <c r="C6071" t="s">
        <v>7493</v>
      </c>
      <c r="D6071" t="s">
        <v>5206</v>
      </c>
      <c r="E6071" t="s">
        <v>5204</v>
      </c>
      <c r="G6071">
        <v>500.9</v>
      </c>
      <c r="H6071">
        <v>73982.509999999995</v>
      </c>
    </row>
    <row r="6072" spans="1:8" ht="15" customHeight="1" x14ac:dyDescent="0.2">
      <c r="A6072" s="420">
        <v>45773</v>
      </c>
      <c r="B6072" t="s">
        <v>2333</v>
      </c>
      <c r="C6072" t="s">
        <v>7493</v>
      </c>
      <c r="D6072" t="s">
        <v>7325</v>
      </c>
      <c r="E6072" t="s">
        <v>7326</v>
      </c>
      <c r="F6072">
        <v>8332.2000000000007</v>
      </c>
      <c r="H6072">
        <v>82314.710000000006</v>
      </c>
    </row>
    <row r="6073" spans="1:8" ht="15" customHeight="1" x14ac:dyDescent="0.2">
      <c r="A6073" s="420">
        <v>45773</v>
      </c>
      <c r="B6073" t="s">
        <v>2333</v>
      </c>
      <c r="C6073" t="s">
        <v>7493</v>
      </c>
      <c r="D6073" t="s">
        <v>5888</v>
      </c>
      <c r="E6073" t="s">
        <v>5889</v>
      </c>
      <c r="F6073">
        <v>19339.2</v>
      </c>
      <c r="H6073">
        <v>101653.91</v>
      </c>
    </row>
    <row r="6074" spans="1:8" ht="15" customHeight="1" x14ac:dyDescent="0.2">
      <c r="A6074" s="420">
        <v>45775</v>
      </c>
      <c r="B6074" t="s">
        <v>2333</v>
      </c>
      <c r="C6074" t="s">
        <v>7493</v>
      </c>
      <c r="D6074" t="s">
        <v>3374</v>
      </c>
      <c r="E6074" t="s">
        <v>3367</v>
      </c>
      <c r="G6074">
        <v>30.05</v>
      </c>
      <c r="H6074">
        <v>101623.86</v>
      </c>
    </row>
    <row r="6075" spans="1:8" ht="15" customHeight="1" x14ac:dyDescent="0.2">
      <c r="A6075" s="420">
        <v>45776</v>
      </c>
      <c r="B6075" t="s">
        <v>2333</v>
      </c>
      <c r="C6075" t="s">
        <v>7493</v>
      </c>
      <c r="D6075" t="s">
        <v>4211</v>
      </c>
      <c r="E6075" t="s">
        <v>4212</v>
      </c>
      <c r="G6075">
        <v>50</v>
      </c>
      <c r="H6075">
        <v>101573.86</v>
      </c>
    </row>
    <row r="6076" spans="1:8" ht="15" customHeight="1" x14ac:dyDescent="0.2">
      <c r="A6076" s="420">
        <v>45776</v>
      </c>
      <c r="B6076" t="s">
        <v>2333</v>
      </c>
      <c r="C6076" t="s">
        <v>7493</v>
      </c>
      <c r="D6076" t="s">
        <v>4213</v>
      </c>
      <c r="E6076" t="s">
        <v>4214</v>
      </c>
      <c r="G6076">
        <v>1494.48</v>
      </c>
      <c r="H6076">
        <v>100079.38</v>
      </c>
    </row>
    <row r="6077" spans="1:8" ht="15" customHeight="1" x14ac:dyDescent="0.2">
      <c r="A6077" s="420">
        <v>45776</v>
      </c>
      <c r="B6077" t="s">
        <v>2333</v>
      </c>
      <c r="C6077" t="s">
        <v>7493</v>
      </c>
      <c r="D6077" t="s">
        <v>2895</v>
      </c>
      <c r="E6077" t="s">
        <v>2896</v>
      </c>
      <c r="G6077">
        <v>418.8</v>
      </c>
      <c r="H6077">
        <v>99660.58</v>
      </c>
    </row>
    <row r="6078" spans="1:8" ht="15" customHeight="1" x14ac:dyDescent="0.2">
      <c r="A6078" s="420">
        <v>45776</v>
      </c>
      <c r="B6078" t="s">
        <v>2333</v>
      </c>
      <c r="C6078" t="s">
        <v>7493</v>
      </c>
      <c r="D6078" t="s">
        <v>7351</v>
      </c>
      <c r="E6078" t="s">
        <v>7352</v>
      </c>
      <c r="G6078">
        <v>2325</v>
      </c>
      <c r="H6078">
        <v>97335.58</v>
      </c>
    </row>
    <row r="6079" spans="1:8" ht="15" customHeight="1" x14ac:dyDescent="0.2">
      <c r="A6079" s="420">
        <v>45777</v>
      </c>
      <c r="B6079" t="s">
        <v>2333</v>
      </c>
      <c r="C6079" t="s">
        <v>7493</v>
      </c>
      <c r="D6079" t="s">
        <v>2692</v>
      </c>
      <c r="E6079" t="s">
        <v>2693</v>
      </c>
      <c r="G6079">
        <v>348.81</v>
      </c>
      <c r="H6079">
        <v>96986.77</v>
      </c>
    </row>
    <row r="6080" spans="1:8" ht="15" customHeight="1" x14ac:dyDescent="0.2">
      <c r="A6080" s="420">
        <v>45777</v>
      </c>
      <c r="B6080" t="s">
        <v>2333</v>
      </c>
      <c r="C6080" t="s">
        <v>7493</v>
      </c>
      <c r="D6080" t="s">
        <v>2694</v>
      </c>
      <c r="E6080" t="s">
        <v>2695</v>
      </c>
      <c r="G6080">
        <v>386</v>
      </c>
      <c r="H6080">
        <v>96600.77</v>
      </c>
    </row>
    <row r="6081" spans="1:8" ht="15" customHeight="1" x14ac:dyDescent="0.2">
      <c r="A6081" s="420">
        <v>45777</v>
      </c>
      <c r="B6081" t="s">
        <v>2333</v>
      </c>
      <c r="C6081" t="s">
        <v>7493</v>
      </c>
      <c r="D6081" t="s">
        <v>2696</v>
      </c>
      <c r="E6081" t="s">
        <v>2697</v>
      </c>
      <c r="G6081">
        <v>540</v>
      </c>
      <c r="H6081">
        <v>96060.77</v>
      </c>
    </row>
    <row r="6082" spans="1:8" ht="15" customHeight="1" x14ac:dyDescent="0.2">
      <c r="A6082" s="420">
        <v>45777</v>
      </c>
      <c r="B6082" t="s">
        <v>2333</v>
      </c>
      <c r="C6082" t="s">
        <v>7493</v>
      </c>
      <c r="D6082" t="s">
        <v>3123</v>
      </c>
      <c r="E6082" t="s">
        <v>3120</v>
      </c>
      <c r="G6082">
        <v>205.02</v>
      </c>
      <c r="H6082">
        <v>95855.75</v>
      </c>
    </row>
    <row r="6083" spans="1:8" ht="15" customHeight="1" x14ac:dyDescent="0.2">
      <c r="A6083" s="420">
        <v>45777</v>
      </c>
      <c r="B6083" t="s">
        <v>2333</v>
      </c>
      <c r="C6083" t="s">
        <v>7493</v>
      </c>
      <c r="D6083" t="s">
        <v>3550</v>
      </c>
      <c r="E6083" t="s">
        <v>3551</v>
      </c>
      <c r="G6083">
        <v>16</v>
      </c>
      <c r="H6083">
        <v>95839.75</v>
      </c>
    </row>
    <row r="6084" spans="1:8" ht="15" customHeight="1" x14ac:dyDescent="0.2">
      <c r="A6084" s="420">
        <v>45777</v>
      </c>
      <c r="B6084" t="s">
        <v>2333</v>
      </c>
      <c r="C6084" t="s">
        <v>7493</v>
      </c>
      <c r="D6084" t="s">
        <v>4707</v>
      </c>
      <c r="E6084" t="s">
        <v>4698</v>
      </c>
      <c r="G6084">
        <v>17.59</v>
      </c>
      <c r="H6084">
        <v>95822.16</v>
      </c>
    </row>
    <row r="6085" spans="1:8" ht="15" customHeight="1" x14ac:dyDescent="0.2">
      <c r="A6085" s="420">
        <v>45777</v>
      </c>
      <c r="B6085" t="s">
        <v>2333</v>
      </c>
      <c r="C6085" t="s">
        <v>7493</v>
      </c>
      <c r="D6085" t="s">
        <v>3912</v>
      </c>
      <c r="E6085" t="s">
        <v>3913</v>
      </c>
      <c r="G6085">
        <v>1057</v>
      </c>
      <c r="H6085">
        <v>94765.16</v>
      </c>
    </row>
    <row r="6086" spans="1:8" ht="15" customHeight="1" x14ac:dyDescent="0.2">
      <c r="A6086" s="420">
        <v>45777</v>
      </c>
      <c r="B6086" t="s">
        <v>2333</v>
      </c>
      <c r="C6086" t="s">
        <v>7493</v>
      </c>
      <c r="D6086" t="s">
        <v>7586</v>
      </c>
      <c r="E6086" t="s">
        <v>7587</v>
      </c>
      <c r="F6086">
        <v>32.700000000000003</v>
      </c>
      <c r="H6086">
        <v>94797.86</v>
      </c>
    </row>
    <row r="6087" spans="1:8" ht="15" customHeight="1" x14ac:dyDescent="0.2">
      <c r="A6087" s="420">
        <v>45777</v>
      </c>
      <c r="B6087" t="s">
        <v>2333</v>
      </c>
      <c r="C6087" t="s">
        <v>7493</v>
      </c>
      <c r="D6087" t="s">
        <v>7588</v>
      </c>
      <c r="E6087" t="s">
        <v>1635</v>
      </c>
      <c r="G6087">
        <v>0.69</v>
      </c>
      <c r="H6087">
        <v>94797.17</v>
      </c>
    </row>
    <row r="6088" spans="1:8" ht="15" customHeight="1" x14ac:dyDescent="0.2">
      <c r="A6088" s="420">
        <v>45779</v>
      </c>
      <c r="B6088" t="s">
        <v>2333</v>
      </c>
      <c r="C6088" t="s">
        <v>7493</v>
      </c>
      <c r="D6088" t="s">
        <v>7589</v>
      </c>
      <c r="E6088" t="s">
        <v>7590</v>
      </c>
      <c r="G6088">
        <v>20.91</v>
      </c>
      <c r="H6088">
        <v>94776.26</v>
      </c>
    </row>
    <row r="6089" spans="1:8" ht="15" customHeight="1" x14ac:dyDescent="0.2">
      <c r="A6089" s="420">
        <v>45779</v>
      </c>
      <c r="B6089" t="s">
        <v>2333</v>
      </c>
      <c r="C6089" t="s">
        <v>7493</v>
      </c>
      <c r="D6089" t="s">
        <v>2979</v>
      </c>
      <c r="E6089" t="s">
        <v>2980</v>
      </c>
      <c r="G6089">
        <v>1752</v>
      </c>
      <c r="H6089">
        <v>93024.26</v>
      </c>
    </row>
    <row r="6090" spans="1:8" ht="15" customHeight="1" x14ac:dyDescent="0.2">
      <c r="A6090" s="420">
        <v>45779</v>
      </c>
      <c r="B6090" t="s">
        <v>2333</v>
      </c>
      <c r="C6090" t="s">
        <v>7493</v>
      </c>
      <c r="D6090" t="s">
        <v>7124</v>
      </c>
      <c r="E6090" t="s">
        <v>7125</v>
      </c>
      <c r="G6090">
        <v>315.89999999999998</v>
      </c>
      <c r="H6090">
        <v>92708.36</v>
      </c>
    </row>
    <row r="6091" spans="1:8" ht="15" customHeight="1" x14ac:dyDescent="0.2">
      <c r="A6091" s="420">
        <v>45779</v>
      </c>
      <c r="B6091" t="s">
        <v>2333</v>
      </c>
      <c r="C6091" t="s">
        <v>7493</v>
      </c>
      <c r="D6091" t="s">
        <v>3409</v>
      </c>
      <c r="E6091" t="s">
        <v>3403</v>
      </c>
      <c r="G6091">
        <v>7080</v>
      </c>
      <c r="H6091">
        <v>85628.36</v>
      </c>
    </row>
    <row r="6092" spans="1:8" ht="15" customHeight="1" x14ac:dyDescent="0.2">
      <c r="A6092" s="420">
        <v>45779</v>
      </c>
      <c r="B6092" t="s">
        <v>2333</v>
      </c>
      <c r="C6092" t="s">
        <v>7493</v>
      </c>
      <c r="D6092" t="s">
        <v>4789</v>
      </c>
      <c r="E6092" t="s">
        <v>4790</v>
      </c>
      <c r="G6092">
        <v>196.41</v>
      </c>
      <c r="H6092">
        <v>85431.95</v>
      </c>
    </row>
    <row r="6093" spans="1:8" ht="15" customHeight="1" x14ac:dyDescent="0.2">
      <c r="A6093" s="420">
        <v>45779</v>
      </c>
      <c r="B6093" t="s">
        <v>2333</v>
      </c>
      <c r="C6093" t="s">
        <v>7493</v>
      </c>
      <c r="D6093" t="s">
        <v>4873</v>
      </c>
      <c r="E6093" t="s">
        <v>4851</v>
      </c>
      <c r="G6093">
        <v>75.849999999999994</v>
      </c>
      <c r="H6093">
        <v>85356.1</v>
      </c>
    </row>
    <row r="6094" spans="1:8" ht="15" customHeight="1" x14ac:dyDescent="0.2">
      <c r="A6094" s="420">
        <v>45779</v>
      </c>
      <c r="B6094" t="s">
        <v>2333</v>
      </c>
      <c r="C6094" t="s">
        <v>7493</v>
      </c>
      <c r="D6094" t="s">
        <v>5671</v>
      </c>
      <c r="E6094" t="s">
        <v>5672</v>
      </c>
      <c r="G6094">
        <v>6000</v>
      </c>
      <c r="H6094">
        <v>79356.100000000006</v>
      </c>
    </row>
    <row r="6095" spans="1:8" ht="15" customHeight="1" x14ac:dyDescent="0.2">
      <c r="A6095" s="420">
        <v>45779</v>
      </c>
      <c r="B6095" t="s">
        <v>2333</v>
      </c>
      <c r="C6095" t="s">
        <v>7493</v>
      </c>
      <c r="D6095" t="s">
        <v>5712</v>
      </c>
      <c r="E6095" t="s">
        <v>5713</v>
      </c>
      <c r="G6095">
        <v>12000</v>
      </c>
      <c r="H6095">
        <v>67356.100000000006</v>
      </c>
    </row>
    <row r="6096" spans="1:8" ht="15" customHeight="1" x14ac:dyDescent="0.2">
      <c r="A6096" s="420">
        <v>45782</v>
      </c>
      <c r="B6096" t="s">
        <v>2333</v>
      </c>
      <c r="C6096" t="s">
        <v>7493</v>
      </c>
      <c r="D6096" t="s">
        <v>2641</v>
      </c>
      <c r="E6096" t="s">
        <v>2642</v>
      </c>
      <c r="G6096">
        <v>2833.63</v>
      </c>
      <c r="H6096">
        <v>64522.47</v>
      </c>
    </row>
    <row r="6097" spans="1:8" ht="15" customHeight="1" x14ac:dyDescent="0.2">
      <c r="A6097" s="420">
        <v>45782</v>
      </c>
      <c r="B6097" t="s">
        <v>2333</v>
      </c>
      <c r="C6097" t="s">
        <v>7493</v>
      </c>
      <c r="D6097" t="s">
        <v>5288</v>
      </c>
      <c r="E6097" t="s">
        <v>5289</v>
      </c>
      <c r="G6097">
        <v>58.77</v>
      </c>
      <c r="H6097">
        <v>64463.7</v>
      </c>
    </row>
    <row r="6098" spans="1:8" ht="15" customHeight="1" x14ac:dyDescent="0.2">
      <c r="A6098" s="420">
        <v>45782</v>
      </c>
      <c r="B6098" t="s">
        <v>2333</v>
      </c>
      <c r="C6098" t="s">
        <v>7493</v>
      </c>
      <c r="D6098" t="s">
        <v>4643</v>
      </c>
      <c r="E6098" t="s">
        <v>4644</v>
      </c>
      <c r="G6098">
        <v>1688.03</v>
      </c>
      <c r="H6098">
        <v>62775.67</v>
      </c>
    </row>
    <row r="6099" spans="1:8" ht="15" customHeight="1" x14ac:dyDescent="0.2">
      <c r="A6099" s="420">
        <v>45782</v>
      </c>
      <c r="B6099" t="s">
        <v>2333</v>
      </c>
      <c r="C6099" t="s">
        <v>7493</v>
      </c>
      <c r="D6099" t="s">
        <v>4053</v>
      </c>
      <c r="E6099" t="s">
        <v>4045</v>
      </c>
      <c r="G6099">
        <v>1418</v>
      </c>
      <c r="H6099">
        <v>61357.67</v>
      </c>
    </row>
    <row r="6100" spans="1:8" ht="15" customHeight="1" x14ac:dyDescent="0.2">
      <c r="A6100" s="420">
        <v>45782</v>
      </c>
      <c r="B6100" t="s">
        <v>2333</v>
      </c>
      <c r="C6100" t="s">
        <v>7493</v>
      </c>
      <c r="D6100" t="s">
        <v>7173</v>
      </c>
      <c r="E6100" t="s">
        <v>7171</v>
      </c>
      <c r="G6100">
        <v>500</v>
      </c>
      <c r="H6100">
        <v>60857.67</v>
      </c>
    </row>
    <row r="6101" spans="1:8" ht="15" customHeight="1" x14ac:dyDescent="0.2">
      <c r="A6101" s="420">
        <v>45782</v>
      </c>
      <c r="B6101" t="s">
        <v>2333</v>
      </c>
      <c r="C6101" t="s">
        <v>7493</v>
      </c>
      <c r="D6101" t="s">
        <v>4082</v>
      </c>
      <c r="E6101" t="s">
        <v>4078</v>
      </c>
      <c r="G6101">
        <v>322</v>
      </c>
      <c r="H6101">
        <v>60535.67</v>
      </c>
    </row>
    <row r="6102" spans="1:8" ht="15" customHeight="1" x14ac:dyDescent="0.2">
      <c r="A6102" s="420">
        <v>45782</v>
      </c>
      <c r="B6102" t="s">
        <v>2333</v>
      </c>
      <c r="C6102" t="s">
        <v>7493</v>
      </c>
      <c r="D6102" t="s">
        <v>3146</v>
      </c>
      <c r="E6102" t="s">
        <v>3144</v>
      </c>
      <c r="G6102">
        <v>25.58</v>
      </c>
      <c r="H6102">
        <v>60510.09</v>
      </c>
    </row>
    <row r="6103" spans="1:8" ht="15" customHeight="1" x14ac:dyDescent="0.2">
      <c r="A6103" s="420">
        <v>45782</v>
      </c>
      <c r="B6103" t="s">
        <v>2333</v>
      </c>
      <c r="C6103" t="s">
        <v>7493</v>
      </c>
      <c r="D6103" t="s">
        <v>3896</v>
      </c>
      <c r="E6103" t="s">
        <v>3897</v>
      </c>
      <c r="G6103">
        <v>189.65</v>
      </c>
      <c r="H6103">
        <v>60320.44</v>
      </c>
    </row>
    <row r="6104" spans="1:8" ht="15" customHeight="1" x14ac:dyDescent="0.2">
      <c r="A6104" s="420">
        <v>45782</v>
      </c>
      <c r="B6104" t="s">
        <v>2333</v>
      </c>
      <c r="C6104" t="s">
        <v>7493</v>
      </c>
      <c r="D6104" t="s">
        <v>7126</v>
      </c>
      <c r="E6104" t="s">
        <v>7127</v>
      </c>
      <c r="F6104">
        <v>315.89999999999998</v>
      </c>
      <c r="H6104">
        <v>60636.34</v>
      </c>
    </row>
    <row r="6105" spans="1:8" ht="15" customHeight="1" x14ac:dyDescent="0.2">
      <c r="A6105" s="420">
        <v>45782</v>
      </c>
      <c r="B6105" t="s">
        <v>2333</v>
      </c>
      <c r="C6105" t="s">
        <v>7493</v>
      </c>
      <c r="D6105" t="s">
        <v>7591</v>
      </c>
      <c r="E6105" t="s">
        <v>7592</v>
      </c>
      <c r="G6105">
        <v>16.079999999999998</v>
      </c>
      <c r="H6105">
        <v>60620.26</v>
      </c>
    </row>
    <row r="6106" spans="1:8" ht="15" customHeight="1" x14ac:dyDescent="0.2">
      <c r="A6106" s="420">
        <v>45782</v>
      </c>
      <c r="B6106" t="s">
        <v>2333</v>
      </c>
      <c r="C6106" t="s">
        <v>7493</v>
      </c>
      <c r="D6106" t="s">
        <v>7593</v>
      </c>
      <c r="E6106" t="s">
        <v>7594</v>
      </c>
      <c r="G6106">
        <v>234.88</v>
      </c>
      <c r="H6106">
        <v>60385.38</v>
      </c>
    </row>
    <row r="6107" spans="1:8" ht="15" customHeight="1" x14ac:dyDescent="0.2">
      <c r="A6107" s="420">
        <v>45782</v>
      </c>
      <c r="B6107" t="s">
        <v>2333</v>
      </c>
      <c r="C6107" t="s">
        <v>7493</v>
      </c>
      <c r="D6107" t="s">
        <v>7595</v>
      </c>
      <c r="E6107" t="s">
        <v>7596</v>
      </c>
      <c r="G6107">
        <v>43.91</v>
      </c>
      <c r="H6107">
        <v>60341.47</v>
      </c>
    </row>
    <row r="6108" spans="1:8" ht="15" customHeight="1" x14ac:dyDescent="0.2">
      <c r="A6108" s="420">
        <v>45782</v>
      </c>
      <c r="B6108" t="s">
        <v>2333</v>
      </c>
      <c r="C6108" t="s">
        <v>7493</v>
      </c>
      <c r="D6108" t="s">
        <v>7597</v>
      </c>
      <c r="E6108" t="s">
        <v>7598</v>
      </c>
      <c r="G6108">
        <v>600.15</v>
      </c>
      <c r="H6108">
        <v>59741.32</v>
      </c>
    </row>
    <row r="6109" spans="1:8" ht="15" customHeight="1" x14ac:dyDescent="0.2">
      <c r="A6109" s="420">
        <v>45782</v>
      </c>
      <c r="B6109" t="s">
        <v>2333</v>
      </c>
      <c r="C6109" t="s">
        <v>7493</v>
      </c>
      <c r="D6109" t="s">
        <v>7599</v>
      </c>
      <c r="E6109" t="s">
        <v>712</v>
      </c>
      <c r="G6109">
        <v>14.13</v>
      </c>
      <c r="H6109">
        <v>59727.19</v>
      </c>
    </row>
    <row r="6110" spans="1:8" ht="15" customHeight="1" x14ac:dyDescent="0.2">
      <c r="A6110" s="420">
        <v>45783</v>
      </c>
      <c r="B6110" t="s">
        <v>2333</v>
      </c>
      <c r="C6110" t="s">
        <v>7493</v>
      </c>
      <c r="D6110" t="s">
        <v>4017</v>
      </c>
      <c r="E6110" t="s">
        <v>4018</v>
      </c>
      <c r="G6110">
        <v>393.82</v>
      </c>
      <c r="H6110">
        <v>59333.37</v>
      </c>
    </row>
    <row r="6111" spans="1:8" ht="15" customHeight="1" x14ac:dyDescent="0.2">
      <c r="A6111" s="420">
        <v>45783</v>
      </c>
      <c r="B6111" t="s">
        <v>2333</v>
      </c>
      <c r="C6111" t="s">
        <v>7493</v>
      </c>
      <c r="D6111" t="s">
        <v>6093</v>
      </c>
      <c r="E6111" t="s">
        <v>6094</v>
      </c>
      <c r="G6111">
        <v>2580.63</v>
      </c>
      <c r="H6111">
        <v>56752.74</v>
      </c>
    </row>
    <row r="6112" spans="1:8" ht="15" customHeight="1" x14ac:dyDescent="0.2">
      <c r="A6112" s="420">
        <v>45783</v>
      </c>
      <c r="B6112" t="s">
        <v>2333</v>
      </c>
      <c r="C6112" t="s">
        <v>7493</v>
      </c>
      <c r="D6112" t="s">
        <v>6095</v>
      </c>
      <c r="E6112" t="s">
        <v>6096</v>
      </c>
      <c r="G6112">
        <v>4735.71</v>
      </c>
      <c r="H6112">
        <v>52017.03</v>
      </c>
    </row>
    <row r="6113" spans="1:8" ht="15" customHeight="1" x14ac:dyDescent="0.2">
      <c r="A6113" s="420">
        <v>45783</v>
      </c>
      <c r="B6113" t="s">
        <v>2333</v>
      </c>
      <c r="C6113" t="s">
        <v>7493</v>
      </c>
      <c r="D6113" t="s">
        <v>4151</v>
      </c>
      <c r="E6113" t="s">
        <v>4152</v>
      </c>
      <c r="G6113">
        <v>16.8</v>
      </c>
      <c r="H6113">
        <v>52000.23</v>
      </c>
    </row>
    <row r="6114" spans="1:8" ht="15" customHeight="1" x14ac:dyDescent="0.2">
      <c r="A6114" s="420">
        <v>45783</v>
      </c>
      <c r="B6114" t="s">
        <v>2333</v>
      </c>
      <c r="C6114" t="s">
        <v>7493</v>
      </c>
      <c r="D6114" t="s">
        <v>3376</v>
      </c>
      <c r="E6114" t="s">
        <v>3367</v>
      </c>
      <c r="G6114">
        <v>48.9</v>
      </c>
      <c r="H6114">
        <v>51951.33</v>
      </c>
    </row>
    <row r="6115" spans="1:8" ht="15" customHeight="1" x14ac:dyDescent="0.2">
      <c r="A6115" s="420">
        <v>45783</v>
      </c>
      <c r="B6115" t="s">
        <v>2333</v>
      </c>
      <c r="C6115" t="s">
        <v>7493</v>
      </c>
      <c r="D6115" t="s">
        <v>7600</v>
      </c>
      <c r="E6115" t="s">
        <v>1622</v>
      </c>
      <c r="G6115">
        <v>31.8</v>
      </c>
      <c r="H6115">
        <v>51919.53</v>
      </c>
    </row>
    <row r="6116" spans="1:8" ht="15" customHeight="1" x14ac:dyDescent="0.2">
      <c r="A6116" s="420">
        <v>45784</v>
      </c>
      <c r="B6116" t="s">
        <v>2333</v>
      </c>
      <c r="C6116" t="s">
        <v>7493</v>
      </c>
      <c r="D6116" t="s">
        <v>2898</v>
      </c>
      <c r="E6116" t="s">
        <v>2899</v>
      </c>
      <c r="G6116">
        <v>1976.28</v>
      </c>
      <c r="H6116">
        <v>49943.25</v>
      </c>
    </row>
    <row r="6117" spans="1:8" ht="15" customHeight="1" x14ac:dyDescent="0.2">
      <c r="A6117" s="420">
        <v>45784</v>
      </c>
      <c r="B6117" t="s">
        <v>2333</v>
      </c>
      <c r="C6117" t="s">
        <v>7493</v>
      </c>
      <c r="D6117" t="s">
        <v>5420</v>
      </c>
      <c r="E6117" t="s">
        <v>5421</v>
      </c>
      <c r="G6117">
        <v>493.22</v>
      </c>
      <c r="H6117">
        <v>49450.03</v>
      </c>
    </row>
    <row r="6118" spans="1:8" ht="15" customHeight="1" x14ac:dyDescent="0.2">
      <c r="A6118" s="420">
        <v>45784</v>
      </c>
      <c r="B6118" t="s">
        <v>2333</v>
      </c>
      <c r="C6118" t="s">
        <v>7493</v>
      </c>
      <c r="D6118" t="s">
        <v>4875</v>
      </c>
      <c r="E6118" t="s">
        <v>4876</v>
      </c>
      <c r="G6118">
        <v>315.89999999999998</v>
      </c>
      <c r="H6118">
        <v>49134.13</v>
      </c>
    </row>
    <row r="6119" spans="1:8" ht="15" customHeight="1" x14ac:dyDescent="0.2">
      <c r="A6119" s="420">
        <v>45785</v>
      </c>
      <c r="B6119" t="s">
        <v>2333</v>
      </c>
      <c r="C6119" t="s">
        <v>7493</v>
      </c>
      <c r="D6119" t="s">
        <v>5345</v>
      </c>
      <c r="E6119" t="s">
        <v>5346</v>
      </c>
      <c r="G6119">
        <v>24</v>
      </c>
      <c r="H6119">
        <v>49110.13</v>
      </c>
    </row>
    <row r="6120" spans="1:8" ht="15" customHeight="1" x14ac:dyDescent="0.2">
      <c r="A6120" s="420">
        <v>45786</v>
      </c>
      <c r="B6120" t="s">
        <v>2333</v>
      </c>
      <c r="C6120" t="s">
        <v>7493</v>
      </c>
      <c r="D6120" t="s">
        <v>5459</v>
      </c>
      <c r="E6120" t="s">
        <v>5460</v>
      </c>
      <c r="G6120">
        <v>65.75</v>
      </c>
      <c r="H6120">
        <v>49044.38</v>
      </c>
    </row>
    <row r="6121" spans="1:8" ht="15" customHeight="1" x14ac:dyDescent="0.2">
      <c r="A6121" s="420">
        <v>45786</v>
      </c>
      <c r="B6121" t="s">
        <v>2333</v>
      </c>
      <c r="C6121" t="s">
        <v>7493</v>
      </c>
      <c r="D6121" t="s">
        <v>5010</v>
      </c>
      <c r="E6121" t="s">
        <v>5011</v>
      </c>
      <c r="G6121">
        <v>91.09</v>
      </c>
      <c r="H6121">
        <v>48953.29</v>
      </c>
    </row>
    <row r="6122" spans="1:8" ht="15" customHeight="1" x14ac:dyDescent="0.2">
      <c r="A6122" s="420">
        <v>45786</v>
      </c>
      <c r="B6122" t="s">
        <v>2333</v>
      </c>
      <c r="C6122" t="s">
        <v>7493</v>
      </c>
      <c r="D6122" t="s">
        <v>5045</v>
      </c>
      <c r="E6122" t="s">
        <v>5046</v>
      </c>
      <c r="G6122">
        <v>195.7</v>
      </c>
      <c r="H6122">
        <v>48757.59</v>
      </c>
    </row>
    <row r="6123" spans="1:8" ht="15" customHeight="1" x14ac:dyDescent="0.2">
      <c r="A6123" s="420">
        <v>45786</v>
      </c>
      <c r="B6123" t="s">
        <v>2333</v>
      </c>
      <c r="C6123" t="s">
        <v>7493</v>
      </c>
      <c r="D6123" t="s">
        <v>5716</v>
      </c>
      <c r="E6123" t="s">
        <v>5717</v>
      </c>
      <c r="F6123">
        <v>10981.48</v>
      </c>
      <c r="H6123">
        <v>59739.07</v>
      </c>
    </row>
    <row r="6124" spans="1:8" ht="15" customHeight="1" x14ac:dyDescent="0.2">
      <c r="A6124" s="420">
        <v>45786</v>
      </c>
      <c r="B6124" t="s">
        <v>2333</v>
      </c>
      <c r="C6124" t="s">
        <v>7493</v>
      </c>
      <c r="D6124" t="s">
        <v>3432</v>
      </c>
      <c r="E6124" t="s">
        <v>3433</v>
      </c>
      <c r="G6124">
        <v>132.86000000000001</v>
      </c>
      <c r="H6124">
        <v>59606.21</v>
      </c>
    </row>
    <row r="6125" spans="1:8" ht="15" customHeight="1" x14ac:dyDescent="0.2">
      <c r="A6125" s="420">
        <v>45786</v>
      </c>
      <c r="B6125" t="s">
        <v>2333</v>
      </c>
      <c r="C6125" t="s">
        <v>7493</v>
      </c>
      <c r="D6125" t="s">
        <v>2814</v>
      </c>
      <c r="E6125" t="s">
        <v>1312</v>
      </c>
      <c r="G6125">
        <v>0.99</v>
      </c>
      <c r="H6125">
        <v>59605.22</v>
      </c>
    </row>
    <row r="6126" spans="1:8" ht="15" customHeight="1" x14ac:dyDescent="0.2">
      <c r="A6126" s="420">
        <v>45786</v>
      </c>
      <c r="B6126" t="s">
        <v>2333</v>
      </c>
      <c r="C6126" t="s">
        <v>7493</v>
      </c>
      <c r="D6126" t="s">
        <v>2765</v>
      </c>
      <c r="E6126" t="s">
        <v>2761</v>
      </c>
      <c r="G6126">
        <v>31.98</v>
      </c>
      <c r="H6126">
        <v>59573.24</v>
      </c>
    </row>
    <row r="6127" spans="1:8" ht="15" customHeight="1" x14ac:dyDescent="0.2">
      <c r="A6127" s="420">
        <v>45786</v>
      </c>
      <c r="B6127" t="s">
        <v>2333</v>
      </c>
      <c r="C6127" t="s">
        <v>7493</v>
      </c>
      <c r="D6127" t="s">
        <v>3955</v>
      </c>
      <c r="E6127" t="s">
        <v>3956</v>
      </c>
      <c r="G6127">
        <v>248.4</v>
      </c>
      <c r="H6127">
        <v>59324.84</v>
      </c>
    </row>
    <row r="6128" spans="1:8" ht="15" customHeight="1" x14ac:dyDescent="0.2">
      <c r="A6128" s="420">
        <v>45786</v>
      </c>
      <c r="B6128" t="s">
        <v>2333</v>
      </c>
      <c r="C6128" t="s">
        <v>7493</v>
      </c>
      <c r="D6128" t="s">
        <v>5783</v>
      </c>
      <c r="E6128" t="s">
        <v>5937</v>
      </c>
      <c r="F6128">
        <v>2200</v>
      </c>
      <c r="H6128">
        <v>61524.84</v>
      </c>
    </row>
    <row r="6129" spans="1:8" ht="15" customHeight="1" x14ac:dyDescent="0.2">
      <c r="A6129" s="420">
        <v>45787</v>
      </c>
      <c r="B6129" t="s">
        <v>2333</v>
      </c>
      <c r="C6129" t="s">
        <v>7493</v>
      </c>
      <c r="D6129" t="s">
        <v>7601</v>
      </c>
      <c r="E6129" t="s">
        <v>1491</v>
      </c>
      <c r="G6129">
        <v>2000</v>
      </c>
      <c r="H6129">
        <v>59524.84</v>
      </c>
    </row>
    <row r="6130" spans="1:8" ht="15" customHeight="1" x14ac:dyDescent="0.2">
      <c r="A6130" s="420">
        <v>45789</v>
      </c>
      <c r="B6130" t="s">
        <v>2333</v>
      </c>
      <c r="C6130" t="s">
        <v>7493</v>
      </c>
      <c r="D6130" t="s">
        <v>3796</v>
      </c>
      <c r="E6130" t="s">
        <v>3797</v>
      </c>
      <c r="G6130">
        <v>62.7</v>
      </c>
      <c r="H6130">
        <v>59462.14</v>
      </c>
    </row>
    <row r="6131" spans="1:8" ht="15" customHeight="1" x14ac:dyDescent="0.2">
      <c r="A6131" s="420">
        <v>45789</v>
      </c>
      <c r="B6131" t="s">
        <v>2333</v>
      </c>
      <c r="C6131" t="s">
        <v>7493</v>
      </c>
      <c r="D6131" t="s">
        <v>3480</v>
      </c>
      <c r="E6131" t="s">
        <v>3481</v>
      </c>
      <c r="G6131">
        <v>41.46</v>
      </c>
      <c r="H6131">
        <v>59420.68</v>
      </c>
    </row>
    <row r="6132" spans="1:8" ht="15" customHeight="1" x14ac:dyDescent="0.2">
      <c r="A6132" s="420">
        <v>45789</v>
      </c>
      <c r="B6132" t="s">
        <v>2333</v>
      </c>
      <c r="C6132" t="s">
        <v>7493</v>
      </c>
      <c r="D6132" t="s">
        <v>3092</v>
      </c>
      <c r="E6132" t="s">
        <v>3093</v>
      </c>
      <c r="G6132">
        <v>11.99</v>
      </c>
      <c r="H6132">
        <v>59408.69</v>
      </c>
    </row>
    <row r="6133" spans="1:8" ht="15" customHeight="1" x14ac:dyDescent="0.2">
      <c r="A6133" s="420">
        <v>45790</v>
      </c>
      <c r="B6133" t="s">
        <v>2333</v>
      </c>
      <c r="C6133" t="s">
        <v>7493</v>
      </c>
      <c r="D6133" t="s">
        <v>7602</v>
      </c>
      <c r="E6133" t="s">
        <v>7603</v>
      </c>
      <c r="G6133">
        <v>127.01</v>
      </c>
      <c r="H6133">
        <v>59281.68</v>
      </c>
    </row>
    <row r="6134" spans="1:8" ht="15" customHeight="1" x14ac:dyDescent="0.2">
      <c r="A6134" s="420">
        <v>45790</v>
      </c>
      <c r="B6134" t="s">
        <v>2333</v>
      </c>
      <c r="C6134" t="s">
        <v>7493</v>
      </c>
      <c r="D6134" t="s">
        <v>7604</v>
      </c>
      <c r="E6134" t="s">
        <v>7605</v>
      </c>
      <c r="G6134">
        <v>85.21</v>
      </c>
      <c r="H6134">
        <v>59196.47</v>
      </c>
    </row>
    <row r="6135" spans="1:8" ht="15" customHeight="1" x14ac:dyDescent="0.2">
      <c r="A6135" s="420">
        <v>45790</v>
      </c>
      <c r="B6135" t="s">
        <v>2333</v>
      </c>
      <c r="C6135" t="s">
        <v>7493</v>
      </c>
      <c r="D6135" t="s">
        <v>7606</v>
      </c>
      <c r="E6135" t="s">
        <v>7607</v>
      </c>
      <c r="G6135">
        <v>78.010000000000005</v>
      </c>
      <c r="H6135">
        <v>59118.46</v>
      </c>
    </row>
    <row r="6136" spans="1:8" ht="15" customHeight="1" x14ac:dyDescent="0.2">
      <c r="A6136" s="420">
        <v>45790</v>
      </c>
      <c r="B6136" t="s">
        <v>2333</v>
      </c>
      <c r="C6136" t="s">
        <v>7493</v>
      </c>
      <c r="D6136" t="s">
        <v>7608</v>
      </c>
      <c r="E6136" t="s">
        <v>7609</v>
      </c>
      <c r="G6136">
        <v>100.82</v>
      </c>
      <c r="H6136">
        <v>59017.64</v>
      </c>
    </row>
    <row r="6137" spans="1:8" ht="15" customHeight="1" x14ac:dyDescent="0.2">
      <c r="A6137" s="420">
        <v>45791</v>
      </c>
      <c r="B6137" t="s">
        <v>2333</v>
      </c>
      <c r="C6137" t="s">
        <v>7493</v>
      </c>
      <c r="D6137" t="s">
        <v>3259</v>
      </c>
      <c r="E6137" t="s">
        <v>3260</v>
      </c>
      <c r="G6137">
        <v>53.36</v>
      </c>
      <c r="H6137">
        <v>58964.28</v>
      </c>
    </row>
    <row r="6138" spans="1:8" ht="15" customHeight="1" x14ac:dyDescent="0.2">
      <c r="A6138" s="420">
        <v>45791</v>
      </c>
      <c r="B6138" t="s">
        <v>2333</v>
      </c>
      <c r="C6138" t="s">
        <v>7493</v>
      </c>
      <c r="D6138" t="s">
        <v>4878</v>
      </c>
      <c r="E6138" t="s">
        <v>4879</v>
      </c>
      <c r="G6138">
        <v>24</v>
      </c>
      <c r="H6138">
        <v>58940.28</v>
      </c>
    </row>
    <row r="6139" spans="1:8" ht="15" customHeight="1" x14ac:dyDescent="0.2">
      <c r="A6139" s="420">
        <v>45792</v>
      </c>
      <c r="B6139" t="s">
        <v>2333</v>
      </c>
      <c r="C6139" t="s">
        <v>7493</v>
      </c>
      <c r="D6139" t="s">
        <v>6298</v>
      </c>
      <c r="E6139" t="s">
        <v>6299</v>
      </c>
      <c r="G6139">
        <v>948</v>
      </c>
      <c r="H6139">
        <v>57992.28</v>
      </c>
    </row>
    <row r="6140" spans="1:8" ht="15" customHeight="1" x14ac:dyDescent="0.2">
      <c r="A6140" s="420">
        <v>45792</v>
      </c>
      <c r="B6140" t="s">
        <v>2333</v>
      </c>
      <c r="C6140" t="s">
        <v>7493</v>
      </c>
      <c r="D6140" t="s">
        <v>2700</v>
      </c>
      <c r="E6140" t="s">
        <v>2701</v>
      </c>
      <c r="G6140">
        <v>472.68</v>
      </c>
      <c r="H6140">
        <v>57519.6</v>
      </c>
    </row>
    <row r="6141" spans="1:8" ht="15" customHeight="1" x14ac:dyDescent="0.2">
      <c r="A6141" s="420">
        <v>45792</v>
      </c>
      <c r="B6141" t="s">
        <v>2333</v>
      </c>
      <c r="C6141" t="s">
        <v>7493</v>
      </c>
      <c r="D6141" t="s">
        <v>3162</v>
      </c>
      <c r="E6141" t="s">
        <v>3163</v>
      </c>
      <c r="G6141">
        <v>120</v>
      </c>
      <c r="H6141">
        <v>57399.6</v>
      </c>
    </row>
    <row r="6142" spans="1:8" ht="15" customHeight="1" x14ac:dyDescent="0.2">
      <c r="A6142" s="420">
        <v>45792</v>
      </c>
      <c r="B6142" t="s">
        <v>2333</v>
      </c>
      <c r="C6142" t="s">
        <v>7493</v>
      </c>
      <c r="D6142" t="s">
        <v>5105</v>
      </c>
      <c r="E6142" t="s">
        <v>5106</v>
      </c>
      <c r="G6142">
        <v>180</v>
      </c>
      <c r="H6142">
        <v>57219.6</v>
      </c>
    </row>
    <row r="6143" spans="1:8" ht="15" customHeight="1" x14ac:dyDescent="0.2">
      <c r="A6143" s="420">
        <v>45793</v>
      </c>
      <c r="B6143" t="s">
        <v>2333</v>
      </c>
      <c r="C6143" t="s">
        <v>7493</v>
      </c>
      <c r="D6143" t="s">
        <v>6181</v>
      </c>
      <c r="E6143" t="s">
        <v>6182</v>
      </c>
      <c r="G6143">
        <v>5443</v>
      </c>
      <c r="H6143">
        <v>51776.6</v>
      </c>
    </row>
    <row r="6144" spans="1:8" ht="15" customHeight="1" x14ac:dyDescent="0.2">
      <c r="A6144" s="420">
        <v>45793</v>
      </c>
      <c r="B6144" t="s">
        <v>2333</v>
      </c>
      <c r="C6144" t="s">
        <v>7493</v>
      </c>
      <c r="D6144" t="s">
        <v>5414</v>
      </c>
      <c r="E6144" t="s">
        <v>5415</v>
      </c>
      <c r="G6144">
        <v>2000</v>
      </c>
      <c r="H6144">
        <v>49776.6</v>
      </c>
    </row>
    <row r="6145" spans="1:8" ht="15" customHeight="1" x14ac:dyDescent="0.2">
      <c r="A6145" s="420">
        <v>45793</v>
      </c>
      <c r="B6145" t="s">
        <v>2333</v>
      </c>
      <c r="C6145" t="s">
        <v>7493</v>
      </c>
      <c r="D6145" t="s">
        <v>4880</v>
      </c>
      <c r="E6145" t="s">
        <v>4881</v>
      </c>
      <c r="G6145">
        <v>33</v>
      </c>
      <c r="H6145">
        <v>49743.6</v>
      </c>
    </row>
    <row r="6146" spans="1:8" ht="15" customHeight="1" x14ac:dyDescent="0.2">
      <c r="A6146" s="420">
        <v>45796</v>
      </c>
      <c r="B6146" t="s">
        <v>2333</v>
      </c>
      <c r="C6146" t="s">
        <v>7493</v>
      </c>
      <c r="D6146" t="s">
        <v>3946</v>
      </c>
      <c r="E6146" t="s">
        <v>3947</v>
      </c>
      <c r="G6146">
        <v>59</v>
      </c>
      <c r="H6146">
        <v>49684.6</v>
      </c>
    </row>
    <row r="6147" spans="1:8" ht="15" customHeight="1" x14ac:dyDescent="0.2">
      <c r="A6147" s="420">
        <v>45796</v>
      </c>
      <c r="B6147" t="s">
        <v>2333</v>
      </c>
      <c r="C6147" t="s">
        <v>7493</v>
      </c>
      <c r="D6147" t="s">
        <v>5262</v>
      </c>
      <c r="E6147" t="s">
        <v>5263</v>
      </c>
      <c r="G6147">
        <v>29</v>
      </c>
      <c r="H6147">
        <v>49655.6</v>
      </c>
    </row>
    <row r="6148" spans="1:8" ht="15" customHeight="1" x14ac:dyDescent="0.2">
      <c r="A6148" s="420">
        <v>45796</v>
      </c>
      <c r="B6148" t="s">
        <v>2333</v>
      </c>
      <c r="C6148" t="s">
        <v>7493</v>
      </c>
      <c r="D6148" t="s">
        <v>3887</v>
      </c>
      <c r="E6148" t="s">
        <v>3888</v>
      </c>
      <c r="G6148">
        <v>240.2</v>
      </c>
      <c r="H6148">
        <v>49415.4</v>
      </c>
    </row>
    <row r="6149" spans="1:8" ht="15" customHeight="1" x14ac:dyDescent="0.2">
      <c r="A6149" s="420">
        <v>45796</v>
      </c>
      <c r="B6149" t="s">
        <v>2333</v>
      </c>
      <c r="C6149" t="s">
        <v>7493</v>
      </c>
      <c r="D6149" t="s">
        <v>4884</v>
      </c>
      <c r="E6149" t="s">
        <v>4885</v>
      </c>
      <c r="G6149">
        <v>24.9</v>
      </c>
      <c r="H6149">
        <v>49390.5</v>
      </c>
    </row>
    <row r="6150" spans="1:8" ht="15" customHeight="1" x14ac:dyDescent="0.2">
      <c r="A6150" s="420">
        <v>45796</v>
      </c>
      <c r="B6150" t="s">
        <v>2333</v>
      </c>
      <c r="C6150" t="s">
        <v>7493</v>
      </c>
      <c r="D6150" t="s">
        <v>7610</v>
      </c>
      <c r="E6150" t="s">
        <v>1853</v>
      </c>
      <c r="G6150">
        <v>140</v>
      </c>
      <c r="H6150">
        <v>49250.5</v>
      </c>
    </row>
    <row r="6151" spans="1:8" ht="15" customHeight="1" x14ac:dyDescent="0.2">
      <c r="A6151" s="420">
        <v>45797</v>
      </c>
      <c r="B6151" t="s">
        <v>2333</v>
      </c>
      <c r="C6151" t="s">
        <v>7493</v>
      </c>
      <c r="D6151" t="s">
        <v>5389</v>
      </c>
      <c r="E6151" t="s">
        <v>5390</v>
      </c>
      <c r="G6151">
        <v>9.44</v>
      </c>
      <c r="H6151">
        <v>49241.06</v>
      </c>
    </row>
    <row r="6152" spans="1:8" ht="15" customHeight="1" x14ac:dyDescent="0.2">
      <c r="A6152" s="420">
        <v>45797</v>
      </c>
      <c r="B6152" t="s">
        <v>2333</v>
      </c>
      <c r="C6152" t="s">
        <v>7493</v>
      </c>
      <c r="D6152" t="s">
        <v>7611</v>
      </c>
      <c r="E6152" t="s">
        <v>840</v>
      </c>
      <c r="G6152">
        <v>3000</v>
      </c>
      <c r="H6152">
        <v>46241.06</v>
      </c>
    </row>
    <row r="6153" spans="1:8" ht="15" customHeight="1" x14ac:dyDescent="0.2">
      <c r="A6153" s="420">
        <v>45798</v>
      </c>
      <c r="B6153" t="s">
        <v>2333</v>
      </c>
      <c r="C6153" t="s">
        <v>7493</v>
      </c>
      <c r="D6153" t="s">
        <v>6274</v>
      </c>
      <c r="E6153" t="s">
        <v>6275</v>
      </c>
      <c r="G6153">
        <v>294</v>
      </c>
      <c r="H6153">
        <v>45947.06</v>
      </c>
    </row>
    <row r="6154" spans="1:8" ht="15" customHeight="1" x14ac:dyDescent="0.2">
      <c r="A6154" s="420">
        <v>45798</v>
      </c>
      <c r="B6154" t="s">
        <v>2333</v>
      </c>
      <c r="C6154" t="s">
        <v>7493</v>
      </c>
      <c r="D6154" t="s">
        <v>7353</v>
      </c>
      <c r="E6154" t="s">
        <v>7354</v>
      </c>
      <c r="F6154">
        <v>1750</v>
      </c>
      <c r="H6154">
        <v>47697.06</v>
      </c>
    </row>
    <row r="6155" spans="1:8" ht="15" customHeight="1" x14ac:dyDescent="0.2">
      <c r="A6155" s="420">
        <v>45798</v>
      </c>
      <c r="B6155" t="s">
        <v>2333</v>
      </c>
      <c r="C6155" t="s">
        <v>7493</v>
      </c>
      <c r="D6155" t="s">
        <v>5108</v>
      </c>
      <c r="E6155" t="s">
        <v>5109</v>
      </c>
      <c r="G6155">
        <v>180</v>
      </c>
      <c r="H6155">
        <v>47517.06</v>
      </c>
    </row>
    <row r="6156" spans="1:8" ht="15" customHeight="1" x14ac:dyDescent="0.2">
      <c r="A6156" s="420">
        <v>45798</v>
      </c>
      <c r="B6156" t="s">
        <v>2333</v>
      </c>
      <c r="C6156" t="s">
        <v>7493</v>
      </c>
      <c r="D6156" t="s">
        <v>5110</v>
      </c>
      <c r="E6156" t="s">
        <v>5111</v>
      </c>
      <c r="G6156">
        <v>180</v>
      </c>
      <c r="H6156">
        <v>47337.06</v>
      </c>
    </row>
    <row r="6157" spans="1:8" ht="15" customHeight="1" x14ac:dyDescent="0.2">
      <c r="A6157" s="420">
        <v>45799</v>
      </c>
      <c r="B6157" t="s">
        <v>2333</v>
      </c>
      <c r="C6157" t="s">
        <v>7493</v>
      </c>
      <c r="D6157" t="s">
        <v>7355</v>
      </c>
      <c r="E6157" t="s">
        <v>7356</v>
      </c>
      <c r="F6157">
        <v>1850</v>
      </c>
      <c r="H6157">
        <v>49187.06</v>
      </c>
    </row>
    <row r="6158" spans="1:8" ht="15" customHeight="1" x14ac:dyDescent="0.2">
      <c r="A6158" s="420">
        <v>45799</v>
      </c>
      <c r="B6158" t="s">
        <v>2333</v>
      </c>
      <c r="C6158" t="s">
        <v>7493</v>
      </c>
      <c r="D6158" t="s">
        <v>7357</v>
      </c>
      <c r="E6158" t="s">
        <v>7358</v>
      </c>
      <c r="F6158">
        <v>2320</v>
      </c>
      <c r="H6158">
        <v>51507.06</v>
      </c>
    </row>
    <row r="6159" spans="1:8" ht="15" customHeight="1" x14ac:dyDescent="0.2">
      <c r="A6159" s="420">
        <v>45799</v>
      </c>
      <c r="B6159" t="s">
        <v>2333</v>
      </c>
      <c r="C6159" t="s">
        <v>7493</v>
      </c>
      <c r="D6159" t="s">
        <v>7359</v>
      </c>
      <c r="E6159" t="s">
        <v>7360</v>
      </c>
      <c r="G6159">
        <v>1750</v>
      </c>
      <c r="H6159">
        <v>49757.06</v>
      </c>
    </row>
    <row r="6160" spans="1:8" ht="15" customHeight="1" x14ac:dyDescent="0.2">
      <c r="A6160" s="420">
        <v>45799</v>
      </c>
      <c r="B6160" t="s">
        <v>2333</v>
      </c>
      <c r="C6160" t="s">
        <v>7493</v>
      </c>
      <c r="D6160" t="s">
        <v>3378</v>
      </c>
      <c r="E6160" t="s">
        <v>3367</v>
      </c>
      <c r="G6160">
        <v>30.6</v>
      </c>
      <c r="H6160">
        <v>49726.46</v>
      </c>
    </row>
    <row r="6161" spans="1:8" ht="15" customHeight="1" x14ac:dyDescent="0.2">
      <c r="A6161" s="420">
        <v>45800</v>
      </c>
      <c r="B6161" t="s">
        <v>2333</v>
      </c>
      <c r="C6161" t="s">
        <v>7493</v>
      </c>
      <c r="D6161" t="s">
        <v>3852</v>
      </c>
      <c r="E6161" t="s">
        <v>3853</v>
      </c>
      <c r="G6161">
        <v>749.62</v>
      </c>
      <c r="H6161">
        <v>48976.84</v>
      </c>
    </row>
    <row r="6162" spans="1:8" ht="15" customHeight="1" x14ac:dyDescent="0.2">
      <c r="A6162" s="420">
        <v>45800</v>
      </c>
      <c r="B6162" t="s">
        <v>2333</v>
      </c>
      <c r="C6162" t="s">
        <v>7493</v>
      </c>
      <c r="D6162" t="s">
        <v>7327</v>
      </c>
      <c r="E6162" t="s">
        <v>7328</v>
      </c>
      <c r="F6162">
        <v>9239.9500000000007</v>
      </c>
      <c r="H6162">
        <v>58216.79</v>
      </c>
    </row>
    <row r="6163" spans="1:8" ht="15" customHeight="1" x14ac:dyDescent="0.2">
      <c r="A6163" s="420">
        <v>45800</v>
      </c>
      <c r="B6163" t="s">
        <v>2333</v>
      </c>
      <c r="C6163" t="s">
        <v>7493</v>
      </c>
      <c r="D6163" t="s">
        <v>5829</v>
      </c>
      <c r="E6163" t="s">
        <v>5830</v>
      </c>
      <c r="F6163">
        <v>21513.45</v>
      </c>
      <c r="H6163">
        <v>79730.240000000005</v>
      </c>
    </row>
    <row r="6164" spans="1:8" ht="15" customHeight="1" x14ac:dyDescent="0.2">
      <c r="A6164" s="420">
        <v>45800</v>
      </c>
      <c r="B6164" t="s">
        <v>2333</v>
      </c>
      <c r="C6164" t="s">
        <v>7493</v>
      </c>
      <c r="D6164" t="s">
        <v>4887</v>
      </c>
      <c r="E6164" t="s">
        <v>4888</v>
      </c>
      <c r="G6164">
        <v>17.3</v>
      </c>
      <c r="H6164">
        <v>79712.94</v>
      </c>
    </row>
    <row r="6165" spans="1:8" ht="15" customHeight="1" x14ac:dyDescent="0.2">
      <c r="A6165" s="420">
        <v>45801</v>
      </c>
      <c r="B6165" t="s">
        <v>2333</v>
      </c>
      <c r="C6165" t="s">
        <v>7493</v>
      </c>
      <c r="D6165" t="s">
        <v>7329</v>
      </c>
      <c r="E6165" t="s">
        <v>7330</v>
      </c>
      <c r="F6165">
        <v>10588.15</v>
      </c>
      <c r="H6165">
        <v>90301.09</v>
      </c>
    </row>
    <row r="6166" spans="1:8" ht="15" customHeight="1" x14ac:dyDescent="0.2">
      <c r="A6166" s="420">
        <v>45801</v>
      </c>
      <c r="B6166" t="s">
        <v>2333</v>
      </c>
      <c r="C6166" t="s">
        <v>7493</v>
      </c>
      <c r="D6166" t="s">
        <v>5950</v>
      </c>
      <c r="E6166" t="s">
        <v>5951</v>
      </c>
      <c r="F6166">
        <v>24735.75</v>
      </c>
      <c r="H6166">
        <v>115036.84</v>
      </c>
    </row>
    <row r="6167" spans="1:8" ht="15" customHeight="1" x14ac:dyDescent="0.2">
      <c r="A6167" s="420">
        <v>45803</v>
      </c>
      <c r="B6167" t="s">
        <v>2333</v>
      </c>
      <c r="C6167" t="s">
        <v>7493</v>
      </c>
      <c r="D6167" t="s">
        <v>4741</v>
      </c>
      <c r="E6167" t="s">
        <v>4742</v>
      </c>
      <c r="G6167">
        <v>114.13</v>
      </c>
      <c r="H6167">
        <v>114922.71</v>
      </c>
    </row>
    <row r="6168" spans="1:8" ht="15" customHeight="1" x14ac:dyDescent="0.2">
      <c r="A6168" s="420">
        <v>45803</v>
      </c>
      <c r="B6168" t="s">
        <v>2333</v>
      </c>
      <c r="C6168" t="s">
        <v>7493</v>
      </c>
      <c r="D6168" t="s">
        <v>6243</v>
      </c>
      <c r="E6168" t="s">
        <v>6244</v>
      </c>
      <c r="G6168">
        <v>1368.6</v>
      </c>
      <c r="H6168">
        <v>113554.11</v>
      </c>
    </row>
    <row r="6169" spans="1:8" ht="15" customHeight="1" x14ac:dyDescent="0.2">
      <c r="A6169" s="420">
        <v>45803</v>
      </c>
      <c r="B6169" t="s">
        <v>2333</v>
      </c>
      <c r="C6169" t="s">
        <v>7493</v>
      </c>
      <c r="D6169" t="s">
        <v>3483</v>
      </c>
      <c r="E6169" t="s">
        <v>3484</v>
      </c>
      <c r="G6169">
        <v>112.41</v>
      </c>
      <c r="H6169">
        <v>113441.7</v>
      </c>
    </row>
    <row r="6170" spans="1:8" ht="15" customHeight="1" x14ac:dyDescent="0.2">
      <c r="A6170" s="420">
        <v>45803</v>
      </c>
      <c r="B6170" t="s">
        <v>2333</v>
      </c>
      <c r="C6170" t="s">
        <v>7493</v>
      </c>
      <c r="D6170" t="s">
        <v>2816</v>
      </c>
      <c r="E6170" t="s">
        <v>1312</v>
      </c>
      <c r="G6170">
        <v>34.950000000000003</v>
      </c>
      <c r="H6170">
        <v>113406.75</v>
      </c>
    </row>
    <row r="6171" spans="1:8" ht="15" customHeight="1" x14ac:dyDescent="0.2">
      <c r="A6171" s="420">
        <v>45803</v>
      </c>
      <c r="B6171" t="s">
        <v>2333</v>
      </c>
      <c r="C6171" t="s">
        <v>7493</v>
      </c>
      <c r="D6171" t="s">
        <v>4891</v>
      </c>
      <c r="E6171" t="s">
        <v>4892</v>
      </c>
      <c r="G6171">
        <v>24.8</v>
      </c>
      <c r="H6171">
        <v>113381.95</v>
      </c>
    </row>
    <row r="6172" spans="1:8" ht="15" customHeight="1" x14ac:dyDescent="0.2">
      <c r="A6172" s="420">
        <v>45803</v>
      </c>
      <c r="B6172" t="s">
        <v>2333</v>
      </c>
      <c r="C6172" t="s">
        <v>7493</v>
      </c>
      <c r="D6172" t="s">
        <v>3541</v>
      </c>
      <c r="E6172" t="s">
        <v>3542</v>
      </c>
      <c r="G6172">
        <v>1098</v>
      </c>
      <c r="H6172">
        <v>112283.95</v>
      </c>
    </row>
    <row r="6173" spans="1:8" ht="15" customHeight="1" x14ac:dyDescent="0.2">
      <c r="A6173" s="420">
        <v>45803</v>
      </c>
      <c r="B6173" t="s">
        <v>2333</v>
      </c>
      <c r="C6173" t="s">
        <v>7493</v>
      </c>
      <c r="D6173" t="s">
        <v>4893</v>
      </c>
      <c r="E6173" t="s">
        <v>4894</v>
      </c>
      <c r="G6173">
        <v>38.5</v>
      </c>
      <c r="H6173">
        <v>112245.45</v>
      </c>
    </row>
    <row r="6174" spans="1:8" ht="15" customHeight="1" x14ac:dyDescent="0.2">
      <c r="A6174" s="420">
        <v>45803</v>
      </c>
      <c r="B6174" t="s">
        <v>2333</v>
      </c>
      <c r="C6174" t="s">
        <v>7493</v>
      </c>
      <c r="D6174" t="s">
        <v>3704</v>
      </c>
      <c r="E6174" t="s">
        <v>3705</v>
      </c>
      <c r="G6174">
        <v>187.06</v>
      </c>
      <c r="H6174">
        <v>112058.39</v>
      </c>
    </row>
    <row r="6175" spans="1:8" ht="15" customHeight="1" x14ac:dyDescent="0.2">
      <c r="A6175" s="420">
        <v>45804</v>
      </c>
      <c r="B6175" t="s">
        <v>2333</v>
      </c>
      <c r="C6175" t="s">
        <v>7493</v>
      </c>
      <c r="D6175" t="s">
        <v>4219</v>
      </c>
      <c r="E6175" t="s">
        <v>4220</v>
      </c>
      <c r="G6175">
        <v>384.01</v>
      </c>
      <c r="H6175">
        <v>111674.38</v>
      </c>
    </row>
    <row r="6176" spans="1:8" ht="15" customHeight="1" x14ac:dyDescent="0.2">
      <c r="A6176" s="420">
        <v>45804</v>
      </c>
      <c r="B6176" t="s">
        <v>2333</v>
      </c>
      <c r="C6176" t="s">
        <v>7493</v>
      </c>
      <c r="D6176" t="s">
        <v>4221</v>
      </c>
      <c r="E6176" t="s">
        <v>4222</v>
      </c>
      <c r="G6176">
        <v>931.52</v>
      </c>
      <c r="H6176">
        <v>110742.86</v>
      </c>
    </row>
    <row r="6177" spans="1:8" ht="15" customHeight="1" x14ac:dyDescent="0.2">
      <c r="A6177" s="420">
        <v>45804</v>
      </c>
      <c r="B6177" t="s">
        <v>2333</v>
      </c>
      <c r="C6177" t="s">
        <v>7493</v>
      </c>
      <c r="D6177" t="s">
        <v>2786</v>
      </c>
      <c r="E6177" t="s">
        <v>816</v>
      </c>
      <c r="G6177">
        <v>30</v>
      </c>
      <c r="H6177">
        <v>110712.86</v>
      </c>
    </row>
    <row r="6178" spans="1:8" ht="15" customHeight="1" x14ac:dyDescent="0.2">
      <c r="A6178" s="420">
        <v>45804</v>
      </c>
      <c r="B6178" t="s">
        <v>2333</v>
      </c>
      <c r="C6178" t="s">
        <v>7493</v>
      </c>
      <c r="D6178" t="s">
        <v>2787</v>
      </c>
      <c r="E6178" t="s">
        <v>816</v>
      </c>
      <c r="G6178">
        <v>30</v>
      </c>
      <c r="H6178">
        <v>110682.86</v>
      </c>
    </row>
    <row r="6179" spans="1:8" ht="15" customHeight="1" x14ac:dyDescent="0.2">
      <c r="A6179" s="420">
        <v>45804</v>
      </c>
      <c r="B6179" t="s">
        <v>2333</v>
      </c>
      <c r="C6179" t="s">
        <v>7493</v>
      </c>
      <c r="D6179" t="s">
        <v>2788</v>
      </c>
      <c r="E6179" t="s">
        <v>816</v>
      </c>
      <c r="G6179">
        <v>30</v>
      </c>
      <c r="H6179">
        <v>110652.86</v>
      </c>
    </row>
    <row r="6180" spans="1:8" ht="15" customHeight="1" x14ac:dyDescent="0.2">
      <c r="A6180" s="420">
        <v>45805</v>
      </c>
      <c r="B6180" t="s">
        <v>2333</v>
      </c>
      <c r="C6180" t="s">
        <v>7493</v>
      </c>
      <c r="D6180" t="s">
        <v>2901</v>
      </c>
      <c r="E6180" t="s">
        <v>2902</v>
      </c>
      <c r="G6180">
        <v>418.8</v>
      </c>
      <c r="H6180">
        <v>110234.06</v>
      </c>
    </row>
    <row r="6181" spans="1:8" ht="15" customHeight="1" x14ac:dyDescent="0.2">
      <c r="A6181" s="420">
        <v>45805</v>
      </c>
      <c r="B6181" t="s">
        <v>2333</v>
      </c>
      <c r="C6181" t="s">
        <v>7493</v>
      </c>
      <c r="D6181" t="s">
        <v>6369</v>
      </c>
      <c r="E6181" t="s">
        <v>6370</v>
      </c>
      <c r="G6181">
        <v>35402</v>
      </c>
      <c r="H6181">
        <v>74832.06</v>
      </c>
    </row>
    <row r="6182" spans="1:8" ht="15" customHeight="1" x14ac:dyDescent="0.2">
      <c r="A6182" s="420">
        <v>45805</v>
      </c>
      <c r="B6182" t="s">
        <v>2333</v>
      </c>
      <c r="C6182" t="s">
        <v>7493</v>
      </c>
      <c r="D6182" t="s">
        <v>5048</v>
      </c>
      <c r="E6182" t="s">
        <v>5037</v>
      </c>
      <c r="G6182">
        <v>120</v>
      </c>
      <c r="H6182">
        <v>74712.06</v>
      </c>
    </row>
    <row r="6183" spans="1:8" ht="15" customHeight="1" x14ac:dyDescent="0.2">
      <c r="A6183" s="420">
        <v>45806</v>
      </c>
      <c r="B6183" t="s">
        <v>2333</v>
      </c>
      <c r="C6183" t="s">
        <v>7493</v>
      </c>
      <c r="D6183" t="s">
        <v>7361</v>
      </c>
      <c r="E6183" t="s">
        <v>7362</v>
      </c>
      <c r="G6183">
        <v>2320</v>
      </c>
      <c r="H6183">
        <v>72392.06</v>
      </c>
    </row>
    <row r="6184" spans="1:8" ht="15" customHeight="1" x14ac:dyDescent="0.2">
      <c r="A6184" s="420">
        <v>45806</v>
      </c>
      <c r="B6184" t="s">
        <v>2333</v>
      </c>
      <c r="C6184" t="s">
        <v>7493</v>
      </c>
      <c r="D6184" t="s">
        <v>7363</v>
      </c>
      <c r="E6184" t="s">
        <v>7364</v>
      </c>
      <c r="G6184">
        <v>1850</v>
      </c>
      <c r="H6184">
        <v>70542.06</v>
      </c>
    </row>
    <row r="6185" spans="1:8" ht="15" customHeight="1" x14ac:dyDescent="0.2">
      <c r="A6185" s="420">
        <v>45807</v>
      </c>
      <c r="B6185" t="s">
        <v>2333</v>
      </c>
      <c r="C6185" t="s">
        <v>7493</v>
      </c>
      <c r="D6185" t="s">
        <v>4793</v>
      </c>
      <c r="E6185" t="s">
        <v>4794</v>
      </c>
      <c r="G6185">
        <v>7.09</v>
      </c>
      <c r="H6185">
        <v>70534.97</v>
      </c>
    </row>
    <row r="6186" spans="1:8" ht="15" customHeight="1" x14ac:dyDescent="0.2">
      <c r="A6186" s="420">
        <v>45807</v>
      </c>
      <c r="B6186" t="s">
        <v>2333</v>
      </c>
      <c r="C6186" t="s">
        <v>7493</v>
      </c>
      <c r="D6186" t="s">
        <v>7612</v>
      </c>
      <c r="E6186" t="s">
        <v>496</v>
      </c>
      <c r="G6186">
        <v>70.05</v>
      </c>
      <c r="H6186">
        <v>70464.92</v>
      </c>
    </row>
    <row r="6187" spans="1:8" ht="15" customHeight="1" x14ac:dyDescent="0.2">
      <c r="A6187" s="420">
        <v>45807</v>
      </c>
      <c r="B6187" t="s">
        <v>2333</v>
      </c>
      <c r="C6187" t="s">
        <v>7493</v>
      </c>
      <c r="D6187" t="s">
        <v>3031</v>
      </c>
      <c r="E6187" t="s">
        <v>3032</v>
      </c>
      <c r="G6187">
        <v>95</v>
      </c>
      <c r="H6187">
        <v>70369.919999999998</v>
      </c>
    </row>
    <row r="6188" spans="1:8" ht="15" customHeight="1" x14ac:dyDescent="0.2">
      <c r="A6188" s="420">
        <v>45807</v>
      </c>
      <c r="B6188" t="s">
        <v>2333</v>
      </c>
      <c r="C6188" t="s">
        <v>7493</v>
      </c>
      <c r="D6188" t="s">
        <v>4897</v>
      </c>
      <c r="E6188" t="s">
        <v>4898</v>
      </c>
      <c r="G6188">
        <v>37.5</v>
      </c>
      <c r="H6188">
        <v>70332.42</v>
      </c>
    </row>
    <row r="6189" spans="1:8" ht="15" customHeight="1" x14ac:dyDescent="0.2">
      <c r="A6189" s="420">
        <v>45807</v>
      </c>
      <c r="B6189" t="s">
        <v>2333</v>
      </c>
      <c r="C6189" t="s">
        <v>7493</v>
      </c>
      <c r="D6189" t="s">
        <v>7613</v>
      </c>
      <c r="E6189" t="s">
        <v>1635</v>
      </c>
      <c r="G6189">
        <v>0.45</v>
      </c>
      <c r="H6189">
        <v>70331.97</v>
      </c>
    </row>
    <row r="6190" spans="1:8" ht="15" customHeight="1" x14ac:dyDescent="0.2">
      <c r="A6190" s="420">
        <v>45810</v>
      </c>
      <c r="B6190" t="s">
        <v>2333</v>
      </c>
      <c r="C6190" t="s">
        <v>7493</v>
      </c>
      <c r="D6190" t="s">
        <v>5423</v>
      </c>
      <c r="E6190" t="s">
        <v>5424</v>
      </c>
      <c r="G6190">
        <v>462.38</v>
      </c>
      <c r="H6190">
        <v>69869.59</v>
      </c>
    </row>
    <row r="6191" spans="1:8" ht="15" customHeight="1" x14ac:dyDescent="0.2">
      <c r="A6191" s="420">
        <v>45810</v>
      </c>
      <c r="B6191" t="s">
        <v>2333</v>
      </c>
      <c r="C6191" t="s">
        <v>7493</v>
      </c>
      <c r="D6191" t="s">
        <v>2703</v>
      </c>
      <c r="E6191" t="s">
        <v>2704</v>
      </c>
      <c r="G6191">
        <v>960</v>
      </c>
      <c r="H6191">
        <v>68909.59</v>
      </c>
    </row>
    <row r="6192" spans="1:8" ht="15" customHeight="1" x14ac:dyDescent="0.2">
      <c r="A6192" s="420">
        <v>45810</v>
      </c>
      <c r="B6192" t="s">
        <v>2333</v>
      </c>
      <c r="C6192" t="s">
        <v>7493</v>
      </c>
      <c r="D6192" t="s">
        <v>2705</v>
      </c>
      <c r="E6192" t="s">
        <v>2706</v>
      </c>
      <c r="G6192">
        <v>385.96</v>
      </c>
      <c r="H6192">
        <v>68523.63</v>
      </c>
    </row>
    <row r="6193" spans="1:8" ht="15" customHeight="1" x14ac:dyDescent="0.2">
      <c r="A6193" s="420">
        <v>45810</v>
      </c>
      <c r="B6193" t="s">
        <v>2333</v>
      </c>
      <c r="C6193" t="s">
        <v>7493</v>
      </c>
      <c r="D6193" t="s">
        <v>7614</v>
      </c>
      <c r="E6193" t="s">
        <v>7615</v>
      </c>
      <c r="G6193">
        <v>20.91</v>
      </c>
      <c r="H6193">
        <v>68502.720000000001</v>
      </c>
    </row>
    <row r="6194" spans="1:8" ht="15" customHeight="1" x14ac:dyDescent="0.2">
      <c r="A6194" s="420">
        <v>45810</v>
      </c>
      <c r="B6194" t="s">
        <v>2333</v>
      </c>
      <c r="C6194" t="s">
        <v>7493</v>
      </c>
      <c r="D6194" t="s">
        <v>3411</v>
      </c>
      <c r="E6194" t="s">
        <v>3403</v>
      </c>
      <c r="G6194">
        <v>7080</v>
      </c>
      <c r="H6194">
        <v>61422.720000000001</v>
      </c>
    </row>
    <row r="6195" spans="1:8" ht="15" customHeight="1" x14ac:dyDescent="0.2">
      <c r="A6195" s="420">
        <v>45810</v>
      </c>
      <c r="B6195" t="s">
        <v>2333</v>
      </c>
      <c r="C6195" t="s">
        <v>7493</v>
      </c>
      <c r="D6195" t="s">
        <v>4710</v>
      </c>
      <c r="E6195" t="s">
        <v>4698</v>
      </c>
      <c r="G6195">
        <v>17.68</v>
      </c>
      <c r="H6195">
        <v>61405.04</v>
      </c>
    </row>
    <row r="6196" spans="1:8" ht="15" customHeight="1" x14ac:dyDescent="0.2">
      <c r="A6196" s="420">
        <v>45810</v>
      </c>
      <c r="B6196" t="s">
        <v>2333</v>
      </c>
      <c r="C6196" t="s">
        <v>7493</v>
      </c>
      <c r="D6196" t="s">
        <v>3590</v>
      </c>
      <c r="E6196" t="s">
        <v>3591</v>
      </c>
      <c r="G6196">
        <v>426.27</v>
      </c>
      <c r="H6196">
        <v>60978.77</v>
      </c>
    </row>
    <row r="6197" spans="1:8" ht="15" customHeight="1" x14ac:dyDescent="0.2">
      <c r="A6197" s="420">
        <v>45810</v>
      </c>
      <c r="B6197" t="s">
        <v>2333</v>
      </c>
      <c r="C6197" t="s">
        <v>7493</v>
      </c>
      <c r="D6197" t="s">
        <v>4646</v>
      </c>
      <c r="E6197" t="s">
        <v>4647</v>
      </c>
      <c r="G6197">
        <v>962.33</v>
      </c>
      <c r="H6197">
        <v>60016.44</v>
      </c>
    </row>
    <row r="6198" spans="1:8" ht="15" customHeight="1" x14ac:dyDescent="0.2">
      <c r="A6198" s="420">
        <v>45810</v>
      </c>
      <c r="B6198" t="s">
        <v>2333</v>
      </c>
      <c r="C6198" t="s">
        <v>7493</v>
      </c>
      <c r="D6198" t="s">
        <v>7616</v>
      </c>
      <c r="E6198" t="s">
        <v>1635</v>
      </c>
      <c r="G6198">
        <v>0.69</v>
      </c>
      <c r="H6198">
        <v>60015.75</v>
      </c>
    </row>
    <row r="6199" spans="1:8" ht="15" customHeight="1" x14ac:dyDescent="0.2">
      <c r="A6199" s="420">
        <v>45811</v>
      </c>
      <c r="B6199" t="s">
        <v>2333</v>
      </c>
      <c r="C6199" t="s">
        <v>7493</v>
      </c>
      <c r="D6199" t="s">
        <v>2982</v>
      </c>
      <c r="E6199" t="s">
        <v>2983</v>
      </c>
      <c r="G6199">
        <v>1752</v>
      </c>
      <c r="H6199">
        <v>58263.75</v>
      </c>
    </row>
    <row r="6200" spans="1:8" ht="15" customHeight="1" x14ac:dyDescent="0.2">
      <c r="A6200" s="420">
        <v>45811</v>
      </c>
      <c r="B6200" t="s">
        <v>2333</v>
      </c>
      <c r="C6200" t="s">
        <v>7493</v>
      </c>
      <c r="D6200" t="s">
        <v>3148</v>
      </c>
      <c r="E6200" t="s">
        <v>3144</v>
      </c>
      <c r="G6200">
        <v>56.31</v>
      </c>
      <c r="H6200">
        <v>58207.44</v>
      </c>
    </row>
    <row r="6201" spans="1:8" ht="15" customHeight="1" x14ac:dyDescent="0.2">
      <c r="A6201" s="420">
        <v>45811</v>
      </c>
      <c r="B6201" t="s">
        <v>2333</v>
      </c>
      <c r="C6201" t="s">
        <v>7493</v>
      </c>
      <c r="D6201" t="s">
        <v>5785</v>
      </c>
      <c r="E6201" t="s">
        <v>6003</v>
      </c>
      <c r="F6201">
        <v>1200</v>
      </c>
      <c r="H6201">
        <v>59407.44</v>
      </c>
    </row>
    <row r="6202" spans="1:8" ht="15" customHeight="1" x14ac:dyDescent="0.2">
      <c r="A6202" s="420">
        <v>45811</v>
      </c>
      <c r="B6202" t="s">
        <v>2333</v>
      </c>
      <c r="C6202" t="s">
        <v>7493</v>
      </c>
      <c r="D6202" t="s">
        <v>7617</v>
      </c>
      <c r="E6202" t="s">
        <v>722</v>
      </c>
      <c r="G6202">
        <v>14.13</v>
      </c>
      <c r="H6202">
        <v>59393.31</v>
      </c>
    </row>
    <row r="6203" spans="1:8" ht="15" customHeight="1" x14ac:dyDescent="0.2">
      <c r="A6203" s="420">
        <v>45812</v>
      </c>
      <c r="B6203" t="s">
        <v>2333</v>
      </c>
      <c r="C6203" t="s">
        <v>7493</v>
      </c>
      <c r="D6203" t="s">
        <v>5291</v>
      </c>
      <c r="E6203" t="s">
        <v>5292</v>
      </c>
      <c r="G6203">
        <v>53.18</v>
      </c>
      <c r="H6203">
        <v>59340.13</v>
      </c>
    </row>
    <row r="6204" spans="1:8" ht="15" customHeight="1" x14ac:dyDescent="0.2">
      <c r="A6204" s="420">
        <v>45812</v>
      </c>
      <c r="B6204" t="s">
        <v>2333</v>
      </c>
      <c r="C6204" t="s">
        <v>7493</v>
      </c>
      <c r="D6204" t="s">
        <v>5235</v>
      </c>
      <c r="E6204" t="s">
        <v>5236</v>
      </c>
      <c r="G6204">
        <v>16.2</v>
      </c>
      <c r="H6204">
        <v>59323.93</v>
      </c>
    </row>
    <row r="6205" spans="1:8" ht="15" customHeight="1" x14ac:dyDescent="0.2">
      <c r="A6205" s="420">
        <v>45812</v>
      </c>
      <c r="B6205" t="s">
        <v>2333</v>
      </c>
      <c r="C6205" t="s">
        <v>7493</v>
      </c>
      <c r="D6205" t="s">
        <v>3127</v>
      </c>
      <c r="E6205" t="s">
        <v>3128</v>
      </c>
      <c r="G6205">
        <v>86</v>
      </c>
      <c r="H6205">
        <v>59237.93</v>
      </c>
    </row>
    <row r="6206" spans="1:8" ht="15" customHeight="1" x14ac:dyDescent="0.2">
      <c r="A6206" s="420">
        <v>45812</v>
      </c>
      <c r="B6206" t="s">
        <v>2333</v>
      </c>
      <c r="C6206" t="s">
        <v>7493</v>
      </c>
      <c r="D6206" t="s">
        <v>4781</v>
      </c>
      <c r="E6206" t="s">
        <v>4782</v>
      </c>
      <c r="G6206">
        <v>2.6</v>
      </c>
      <c r="H6206">
        <v>59235.33</v>
      </c>
    </row>
    <row r="6207" spans="1:8" ht="15" customHeight="1" x14ac:dyDescent="0.2">
      <c r="A6207" s="420">
        <v>45812</v>
      </c>
      <c r="B6207" t="s">
        <v>2333</v>
      </c>
      <c r="C6207" t="s">
        <v>7493</v>
      </c>
      <c r="D6207" t="s">
        <v>4783</v>
      </c>
      <c r="E6207" t="s">
        <v>4784</v>
      </c>
      <c r="G6207">
        <v>2.5</v>
      </c>
      <c r="H6207">
        <v>59232.83</v>
      </c>
    </row>
    <row r="6208" spans="1:8" ht="15" customHeight="1" x14ac:dyDescent="0.2">
      <c r="A6208" s="420">
        <v>45812</v>
      </c>
      <c r="B6208" t="s">
        <v>2333</v>
      </c>
      <c r="C6208" t="s">
        <v>7493</v>
      </c>
      <c r="D6208" t="s">
        <v>4900</v>
      </c>
      <c r="E6208" t="s">
        <v>4901</v>
      </c>
      <c r="G6208">
        <v>38</v>
      </c>
      <c r="H6208">
        <v>59194.83</v>
      </c>
    </row>
    <row r="6209" spans="1:8" ht="15" customHeight="1" x14ac:dyDescent="0.2">
      <c r="A6209" s="420">
        <v>45812</v>
      </c>
      <c r="B6209" t="s">
        <v>2333</v>
      </c>
      <c r="C6209" t="s">
        <v>7493</v>
      </c>
      <c r="D6209" t="s">
        <v>6004</v>
      </c>
      <c r="E6209" t="s">
        <v>6005</v>
      </c>
      <c r="G6209">
        <v>1000</v>
      </c>
      <c r="H6209">
        <v>58194.83</v>
      </c>
    </row>
    <row r="6210" spans="1:8" ht="15" customHeight="1" x14ac:dyDescent="0.2">
      <c r="A6210" s="420">
        <v>45813</v>
      </c>
      <c r="B6210" t="s">
        <v>2333</v>
      </c>
      <c r="C6210" t="s">
        <v>7493</v>
      </c>
      <c r="D6210" t="s">
        <v>7618</v>
      </c>
      <c r="E6210" t="s">
        <v>7619</v>
      </c>
      <c r="G6210">
        <v>15.78</v>
      </c>
      <c r="H6210">
        <v>58179.05</v>
      </c>
    </row>
    <row r="6211" spans="1:8" ht="15" customHeight="1" x14ac:dyDescent="0.2">
      <c r="A6211" s="420">
        <v>45813</v>
      </c>
      <c r="B6211" t="s">
        <v>2333</v>
      </c>
      <c r="C6211" t="s">
        <v>7493</v>
      </c>
      <c r="D6211" t="s">
        <v>7620</v>
      </c>
      <c r="E6211" t="s">
        <v>7621</v>
      </c>
      <c r="G6211">
        <v>235.18</v>
      </c>
      <c r="H6211">
        <v>57943.87</v>
      </c>
    </row>
    <row r="6212" spans="1:8" ht="15" customHeight="1" x14ac:dyDescent="0.2">
      <c r="A6212" s="420">
        <v>45813</v>
      </c>
      <c r="B6212" t="s">
        <v>2333</v>
      </c>
      <c r="C6212" t="s">
        <v>7493</v>
      </c>
      <c r="D6212" t="s">
        <v>7622</v>
      </c>
      <c r="E6212" t="s">
        <v>7623</v>
      </c>
      <c r="G6212">
        <v>43.11</v>
      </c>
      <c r="H6212">
        <v>57900.76</v>
      </c>
    </row>
    <row r="6213" spans="1:8" ht="15" customHeight="1" x14ac:dyDescent="0.2">
      <c r="A6213" s="420">
        <v>45813</v>
      </c>
      <c r="B6213" t="s">
        <v>2333</v>
      </c>
      <c r="C6213" t="s">
        <v>7493</v>
      </c>
      <c r="D6213" t="s">
        <v>7624</v>
      </c>
      <c r="E6213" t="s">
        <v>7625</v>
      </c>
      <c r="G6213">
        <v>600.95000000000005</v>
      </c>
      <c r="H6213">
        <v>57299.81</v>
      </c>
    </row>
    <row r="6214" spans="1:8" ht="15" customHeight="1" x14ac:dyDescent="0.2">
      <c r="A6214" s="420">
        <v>45813</v>
      </c>
      <c r="B6214" t="s">
        <v>2333</v>
      </c>
      <c r="C6214" t="s">
        <v>7493</v>
      </c>
      <c r="D6214" t="s">
        <v>5348</v>
      </c>
      <c r="E6214" t="s">
        <v>5349</v>
      </c>
      <c r="G6214">
        <v>24</v>
      </c>
      <c r="H6214">
        <v>57275.81</v>
      </c>
    </row>
    <row r="6215" spans="1:8" ht="15" customHeight="1" x14ac:dyDescent="0.2">
      <c r="A6215" s="420">
        <v>45813</v>
      </c>
      <c r="B6215" t="s">
        <v>2333</v>
      </c>
      <c r="C6215" t="s">
        <v>7493</v>
      </c>
      <c r="D6215" t="s">
        <v>2644</v>
      </c>
      <c r="E6215" t="s">
        <v>2645</v>
      </c>
      <c r="G6215">
        <v>1328.25</v>
      </c>
      <c r="H6215">
        <v>55947.56</v>
      </c>
    </row>
    <row r="6216" spans="1:8" ht="15" customHeight="1" x14ac:dyDescent="0.2">
      <c r="A6216" s="420">
        <v>45813</v>
      </c>
      <c r="B6216" t="s">
        <v>2333</v>
      </c>
      <c r="C6216" t="s">
        <v>7493</v>
      </c>
      <c r="D6216" t="s">
        <v>4055</v>
      </c>
      <c r="E6216" t="s">
        <v>4045</v>
      </c>
      <c r="G6216">
        <v>1418</v>
      </c>
      <c r="H6216">
        <v>54529.56</v>
      </c>
    </row>
    <row r="6217" spans="1:8" ht="15" customHeight="1" x14ac:dyDescent="0.2">
      <c r="A6217" s="420">
        <v>45813</v>
      </c>
      <c r="B6217" t="s">
        <v>2333</v>
      </c>
      <c r="C6217" t="s">
        <v>7493</v>
      </c>
      <c r="D6217" t="s">
        <v>7174</v>
      </c>
      <c r="E6217" t="s">
        <v>7171</v>
      </c>
      <c r="G6217">
        <v>500</v>
      </c>
      <c r="H6217">
        <v>54029.56</v>
      </c>
    </row>
    <row r="6218" spans="1:8" ht="15" customHeight="1" x14ac:dyDescent="0.2">
      <c r="A6218" s="420">
        <v>45813</v>
      </c>
      <c r="B6218" t="s">
        <v>2333</v>
      </c>
      <c r="C6218" t="s">
        <v>7493</v>
      </c>
      <c r="D6218" t="s">
        <v>4084</v>
      </c>
      <c r="E6218" t="s">
        <v>4078</v>
      </c>
      <c r="G6218">
        <v>322</v>
      </c>
      <c r="H6218">
        <v>53707.56</v>
      </c>
    </row>
    <row r="6219" spans="1:8" ht="15" customHeight="1" x14ac:dyDescent="0.2">
      <c r="A6219" s="420">
        <v>45813</v>
      </c>
      <c r="B6219" t="s">
        <v>2333</v>
      </c>
      <c r="C6219" t="s">
        <v>7493</v>
      </c>
      <c r="D6219" t="s">
        <v>4154</v>
      </c>
      <c r="E6219" t="s">
        <v>4155</v>
      </c>
      <c r="G6219">
        <v>16.8</v>
      </c>
      <c r="H6219">
        <v>53690.76</v>
      </c>
    </row>
    <row r="6220" spans="1:8" ht="15" customHeight="1" x14ac:dyDescent="0.2">
      <c r="A6220" s="420">
        <v>45813</v>
      </c>
      <c r="B6220" t="s">
        <v>2333</v>
      </c>
      <c r="C6220" t="s">
        <v>7493</v>
      </c>
      <c r="D6220" t="s">
        <v>4101</v>
      </c>
      <c r="E6220" t="s">
        <v>4102</v>
      </c>
      <c r="G6220">
        <v>281.37</v>
      </c>
      <c r="H6220">
        <v>53409.39</v>
      </c>
    </row>
    <row r="6221" spans="1:8" ht="15" customHeight="1" x14ac:dyDescent="0.2">
      <c r="A6221" s="420">
        <v>45814</v>
      </c>
      <c r="B6221" t="s">
        <v>2333</v>
      </c>
      <c r="C6221" t="s">
        <v>7493</v>
      </c>
      <c r="D6221" t="s">
        <v>4020</v>
      </c>
      <c r="E6221" t="s">
        <v>4021</v>
      </c>
      <c r="G6221">
        <v>393.82</v>
      </c>
      <c r="H6221">
        <v>53015.57</v>
      </c>
    </row>
    <row r="6222" spans="1:8" ht="15" customHeight="1" x14ac:dyDescent="0.2">
      <c r="A6222" s="420">
        <v>45814</v>
      </c>
      <c r="B6222" t="s">
        <v>2333</v>
      </c>
      <c r="C6222" t="s">
        <v>7493</v>
      </c>
      <c r="D6222" t="s">
        <v>2904</v>
      </c>
      <c r="E6222" t="s">
        <v>2905</v>
      </c>
      <c r="G6222">
        <v>2530.1</v>
      </c>
      <c r="H6222">
        <v>50485.47</v>
      </c>
    </row>
    <row r="6223" spans="1:8" ht="15" customHeight="1" x14ac:dyDescent="0.2">
      <c r="A6223" s="420">
        <v>45814</v>
      </c>
      <c r="B6223" t="s">
        <v>2333</v>
      </c>
      <c r="C6223" t="s">
        <v>7493</v>
      </c>
      <c r="D6223" t="s">
        <v>6098</v>
      </c>
      <c r="E6223" t="s">
        <v>6099</v>
      </c>
      <c r="G6223">
        <v>2104.5</v>
      </c>
      <c r="H6223">
        <v>48380.97</v>
      </c>
    </row>
    <row r="6224" spans="1:8" ht="15" customHeight="1" x14ac:dyDescent="0.2">
      <c r="A6224" s="420">
        <v>45814</v>
      </c>
      <c r="B6224" t="s">
        <v>2333</v>
      </c>
      <c r="C6224" t="s">
        <v>7493</v>
      </c>
      <c r="D6224" t="s">
        <v>6100</v>
      </c>
      <c r="E6224" t="s">
        <v>6101</v>
      </c>
      <c r="G6224">
        <v>2944.96</v>
      </c>
      <c r="H6224">
        <v>45436.01</v>
      </c>
    </row>
    <row r="6225" spans="1:8" ht="15" customHeight="1" x14ac:dyDescent="0.2">
      <c r="A6225" s="420">
        <v>45814</v>
      </c>
      <c r="B6225" t="s">
        <v>2333</v>
      </c>
      <c r="C6225" t="s">
        <v>7493</v>
      </c>
      <c r="D6225" t="s">
        <v>7626</v>
      </c>
      <c r="E6225" t="s">
        <v>1622</v>
      </c>
      <c r="G6225">
        <v>31.8</v>
      </c>
      <c r="H6225">
        <v>45404.21</v>
      </c>
    </row>
    <row r="6226" spans="1:8" ht="15" customHeight="1" x14ac:dyDescent="0.2">
      <c r="A6226" s="420">
        <v>45817</v>
      </c>
      <c r="B6226" t="s">
        <v>2333</v>
      </c>
      <c r="C6226" t="s">
        <v>7493</v>
      </c>
      <c r="D6226" t="s">
        <v>5462</v>
      </c>
      <c r="E6226" t="s">
        <v>5463</v>
      </c>
      <c r="G6226">
        <v>65.75</v>
      </c>
      <c r="H6226">
        <v>45338.46</v>
      </c>
    </row>
    <row r="6227" spans="1:8" ht="15" customHeight="1" x14ac:dyDescent="0.2">
      <c r="A6227" s="420">
        <v>45818</v>
      </c>
      <c r="B6227" t="s">
        <v>2333</v>
      </c>
      <c r="C6227" t="s">
        <v>7493</v>
      </c>
      <c r="D6227" t="s">
        <v>3488</v>
      </c>
      <c r="E6227" t="s">
        <v>3489</v>
      </c>
      <c r="G6227">
        <v>120.79</v>
      </c>
      <c r="H6227">
        <v>45217.67</v>
      </c>
    </row>
    <row r="6228" spans="1:8" ht="15" customHeight="1" x14ac:dyDescent="0.2">
      <c r="A6228" s="420">
        <v>45818</v>
      </c>
      <c r="B6228" t="s">
        <v>2333</v>
      </c>
      <c r="C6228" t="s">
        <v>7493</v>
      </c>
      <c r="D6228" t="s">
        <v>5049</v>
      </c>
      <c r="E6228" t="s">
        <v>5050</v>
      </c>
      <c r="G6228">
        <v>187.2</v>
      </c>
      <c r="H6228">
        <v>45030.47</v>
      </c>
    </row>
    <row r="6229" spans="1:8" ht="15" customHeight="1" x14ac:dyDescent="0.2">
      <c r="A6229" s="420">
        <v>45818</v>
      </c>
      <c r="B6229" t="s">
        <v>2333</v>
      </c>
      <c r="C6229" t="s">
        <v>7493</v>
      </c>
      <c r="D6229" t="s">
        <v>3435</v>
      </c>
      <c r="E6229" t="s">
        <v>3433</v>
      </c>
      <c r="G6229">
        <v>84.72</v>
      </c>
      <c r="H6229">
        <v>44945.75</v>
      </c>
    </row>
    <row r="6230" spans="1:8" ht="15" customHeight="1" x14ac:dyDescent="0.2">
      <c r="A6230" s="420">
        <v>45818</v>
      </c>
      <c r="B6230" t="s">
        <v>2333</v>
      </c>
      <c r="C6230" t="s">
        <v>7493</v>
      </c>
      <c r="D6230" t="s">
        <v>2818</v>
      </c>
      <c r="E6230" t="s">
        <v>1312</v>
      </c>
      <c r="G6230">
        <v>0.99</v>
      </c>
      <c r="H6230">
        <v>44944.76</v>
      </c>
    </row>
    <row r="6231" spans="1:8" ht="15" customHeight="1" x14ac:dyDescent="0.2">
      <c r="A6231" s="420">
        <v>45818</v>
      </c>
      <c r="B6231" t="s">
        <v>2333</v>
      </c>
      <c r="C6231" t="s">
        <v>7493</v>
      </c>
      <c r="D6231" t="s">
        <v>5216</v>
      </c>
      <c r="E6231" t="s">
        <v>5217</v>
      </c>
      <c r="G6231">
        <v>236</v>
      </c>
      <c r="H6231">
        <v>44708.76</v>
      </c>
    </row>
    <row r="6232" spans="1:8" ht="15" customHeight="1" x14ac:dyDescent="0.2">
      <c r="A6232" s="420">
        <v>45818</v>
      </c>
      <c r="B6232" t="s">
        <v>2333</v>
      </c>
      <c r="C6232" t="s">
        <v>7493</v>
      </c>
      <c r="D6232" t="s">
        <v>5317</v>
      </c>
      <c r="E6232" t="s">
        <v>5318</v>
      </c>
      <c r="G6232">
        <v>20.68</v>
      </c>
      <c r="H6232">
        <v>44688.08</v>
      </c>
    </row>
    <row r="6233" spans="1:8" ht="15" customHeight="1" x14ac:dyDescent="0.2">
      <c r="A6233" s="420">
        <v>45818</v>
      </c>
      <c r="B6233" t="s">
        <v>2333</v>
      </c>
      <c r="C6233" t="s">
        <v>7493</v>
      </c>
      <c r="D6233" t="s">
        <v>3967</v>
      </c>
      <c r="E6233" t="s">
        <v>3920</v>
      </c>
      <c r="G6233">
        <v>472</v>
      </c>
      <c r="H6233">
        <v>44216.08</v>
      </c>
    </row>
    <row r="6234" spans="1:8" ht="15" customHeight="1" x14ac:dyDescent="0.2">
      <c r="A6234" s="420">
        <v>45818</v>
      </c>
      <c r="B6234" t="s">
        <v>2333</v>
      </c>
      <c r="C6234" t="s">
        <v>7493</v>
      </c>
      <c r="D6234" t="s">
        <v>4903</v>
      </c>
      <c r="E6234" t="s">
        <v>4904</v>
      </c>
      <c r="G6234">
        <v>45.9</v>
      </c>
      <c r="H6234">
        <v>44170.18</v>
      </c>
    </row>
    <row r="6235" spans="1:8" ht="15" customHeight="1" x14ac:dyDescent="0.2">
      <c r="A6235" s="420">
        <v>45818</v>
      </c>
      <c r="B6235" t="s">
        <v>2333</v>
      </c>
      <c r="C6235" t="s">
        <v>7493</v>
      </c>
      <c r="D6235" t="s">
        <v>4773</v>
      </c>
      <c r="E6235" t="s">
        <v>4768</v>
      </c>
      <c r="G6235">
        <v>92.3</v>
      </c>
      <c r="H6235">
        <v>44077.88</v>
      </c>
    </row>
    <row r="6236" spans="1:8" ht="15" customHeight="1" x14ac:dyDescent="0.2">
      <c r="A6236" s="420">
        <v>45818</v>
      </c>
      <c r="B6236" t="s">
        <v>2333</v>
      </c>
      <c r="C6236" t="s">
        <v>7493</v>
      </c>
      <c r="D6236" t="s">
        <v>5954</v>
      </c>
      <c r="E6236" t="s">
        <v>5955</v>
      </c>
      <c r="G6236">
        <v>6000</v>
      </c>
      <c r="H6236">
        <v>38077.879999999997</v>
      </c>
    </row>
    <row r="6237" spans="1:8" ht="15" customHeight="1" x14ac:dyDescent="0.2">
      <c r="A6237" s="420">
        <v>45819</v>
      </c>
      <c r="B6237" t="s">
        <v>2333</v>
      </c>
      <c r="C6237" t="s">
        <v>7493</v>
      </c>
      <c r="D6237" t="s">
        <v>7627</v>
      </c>
      <c r="E6237" t="s">
        <v>7628</v>
      </c>
      <c r="G6237">
        <v>100.82</v>
      </c>
      <c r="H6237">
        <v>37977.06</v>
      </c>
    </row>
    <row r="6238" spans="1:8" ht="15" customHeight="1" x14ac:dyDescent="0.2">
      <c r="A6238" s="420">
        <v>45819</v>
      </c>
      <c r="B6238" t="s">
        <v>2333</v>
      </c>
      <c r="C6238" t="s">
        <v>7493</v>
      </c>
      <c r="D6238" t="s">
        <v>7629</v>
      </c>
      <c r="E6238" t="s">
        <v>7630</v>
      </c>
      <c r="G6238">
        <v>85.21</v>
      </c>
      <c r="H6238">
        <v>37891.85</v>
      </c>
    </row>
    <row r="6239" spans="1:8" ht="15" customHeight="1" x14ac:dyDescent="0.2">
      <c r="A6239" s="420">
        <v>45819</v>
      </c>
      <c r="B6239" t="s">
        <v>2333</v>
      </c>
      <c r="C6239" t="s">
        <v>7493</v>
      </c>
      <c r="D6239" t="s">
        <v>7631</v>
      </c>
      <c r="E6239" t="s">
        <v>7632</v>
      </c>
      <c r="G6239">
        <v>116.38</v>
      </c>
      <c r="H6239">
        <v>37775.47</v>
      </c>
    </row>
    <row r="6240" spans="1:8" ht="15" customHeight="1" x14ac:dyDescent="0.2">
      <c r="A6240" s="420">
        <v>45819</v>
      </c>
      <c r="B6240" t="s">
        <v>2333</v>
      </c>
      <c r="C6240" t="s">
        <v>7493</v>
      </c>
      <c r="D6240" t="s">
        <v>7633</v>
      </c>
      <c r="E6240" t="s">
        <v>7634</v>
      </c>
      <c r="G6240">
        <v>78.010000000000005</v>
      </c>
      <c r="H6240">
        <v>37697.46</v>
      </c>
    </row>
    <row r="6241" spans="1:8" ht="15" customHeight="1" x14ac:dyDescent="0.2">
      <c r="A6241" s="420">
        <v>45819</v>
      </c>
      <c r="B6241" t="s">
        <v>2333</v>
      </c>
      <c r="C6241" t="s">
        <v>7493</v>
      </c>
      <c r="D6241" t="s">
        <v>7203</v>
      </c>
      <c r="E6241" t="s">
        <v>7204</v>
      </c>
      <c r="F6241">
        <v>25292.19</v>
      </c>
      <c r="H6241">
        <v>62989.65</v>
      </c>
    </row>
    <row r="6242" spans="1:8" ht="15" customHeight="1" x14ac:dyDescent="0.2">
      <c r="A6242" s="420">
        <v>45819</v>
      </c>
      <c r="B6242" t="s">
        <v>2333</v>
      </c>
      <c r="C6242" t="s">
        <v>7493</v>
      </c>
      <c r="D6242" t="s">
        <v>3095</v>
      </c>
      <c r="E6242" t="s">
        <v>3096</v>
      </c>
      <c r="G6242">
        <v>11.99</v>
      </c>
      <c r="H6242">
        <v>62977.66</v>
      </c>
    </row>
    <row r="6243" spans="1:8" ht="15" customHeight="1" x14ac:dyDescent="0.2">
      <c r="A6243" s="420">
        <v>45820</v>
      </c>
      <c r="B6243" t="s">
        <v>2333</v>
      </c>
      <c r="C6243" t="s">
        <v>7493</v>
      </c>
      <c r="D6243" t="s">
        <v>3762</v>
      </c>
      <c r="E6243" t="s">
        <v>3763</v>
      </c>
      <c r="G6243">
        <v>172.92</v>
      </c>
      <c r="H6243">
        <v>62804.74</v>
      </c>
    </row>
    <row r="6244" spans="1:8" ht="15" customHeight="1" x14ac:dyDescent="0.2">
      <c r="A6244" s="420">
        <v>45820</v>
      </c>
      <c r="B6244" t="s">
        <v>2333</v>
      </c>
      <c r="C6244" t="s">
        <v>7493</v>
      </c>
      <c r="D6244" t="s">
        <v>4906</v>
      </c>
      <c r="E6244" t="s">
        <v>4851</v>
      </c>
      <c r="G6244">
        <v>84.75</v>
      </c>
      <c r="H6244">
        <v>62719.99</v>
      </c>
    </row>
    <row r="6245" spans="1:8" ht="15" customHeight="1" x14ac:dyDescent="0.2">
      <c r="A6245" s="420">
        <v>45820</v>
      </c>
      <c r="B6245" t="s">
        <v>2333</v>
      </c>
      <c r="C6245" t="s">
        <v>7493</v>
      </c>
      <c r="D6245" t="s">
        <v>3135</v>
      </c>
      <c r="E6245" t="s">
        <v>3136</v>
      </c>
      <c r="G6245">
        <v>924.07</v>
      </c>
      <c r="H6245">
        <v>61795.92</v>
      </c>
    </row>
    <row r="6246" spans="1:8" ht="15" customHeight="1" x14ac:dyDescent="0.2">
      <c r="A6246" s="420">
        <v>45821</v>
      </c>
      <c r="B6246" t="s">
        <v>2333</v>
      </c>
      <c r="C6246" t="s">
        <v>7493</v>
      </c>
      <c r="D6246" t="s">
        <v>3269</v>
      </c>
      <c r="E6246" t="s">
        <v>3270</v>
      </c>
      <c r="G6246">
        <v>53.36</v>
      </c>
      <c r="H6246">
        <v>61742.559999999998</v>
      </c>
    </row>
    <row r="6247" spans="1:8" ht="15" customHeight="1" x14ac:dyDescent="0.2">
      <c r="A6247" s="420">
        <v>45824</v>
      </c>
      <c r="B6247" t="s">
        <v>2333</v>
      </c>
      <c r="C6247" t="s">
        <v>7493</v>
      </c>
      <c r="D6247" t="s">
        <v>5177</v>
      </c>
      <c r="E6247" t="s">
        <v>5178</v>
      </c>
      <c r="G6247">
        <v>10</v>
      </c>
      <c r="H6247">
        <v>61732.56</v>
      </c>
    </row>
    <row r="6248" spans="1:8" ht="15" customHeight="1" x14ac:dyDescent="0.2">
      <c r="A6248" s="420">
        <v>45824</v>
      </c>
      <c r="B6248" t="s">
        <v>2333</v>
      </c>
      <c r="C6248" t="s">
        <v>7493</v>
      </c>
      <c r="D6248" t="s">
        <v>7365</v>
      </c>
      <c r="E6248" t="s">
        <v>7366</v>
      </c>
      <c r="F6248">
        <v>1850</v>
      </c>
      <c r="H6248">
        <v>63582.559999999998</v>
      </c>
    </row>
    <row r="6249" spans="1:8" ht="15" customHeight="1" x14ac:dyDescent="0.2">
      <c r="A6249" s="420">
        <v>45824</v>
      </c>
      <c r="B6249" t="s">
        <v>2333</v>
      </c>
      <c r="C6249" t="s">
        <v>7493</v>
      </c>
      <c r="D6249" t="s">
        <v>5114</v>
      </c>
      <c r="E6249" t="s">
        <v>5115</v>
      </c>
      <c r="G6249">
        <v>180</v>
      </c>
      <c r="H6249">
        <v>63402.559999999998</v>
      </c>
    </row>
    <row r="6250" spans="1:8" ht="15" customHeight="1" x14ac:dyDescent="0.2">
      <c r="A6250" s="420">
        <v>45824</v>
      </c>
      <c r="B6250" t="s">
        <v>2333</v>
      </c>
      <c r="C6250" t="s">
        <v>7493</v>
      </c>
      <c r="D6250" t="s">
        <v>3575</v>
      </c>
      <c r="E6250" t="s">
        <v>3576</v>
      </c>
      <c r="G6250">
        <v>168.73</v>
      </c>
      <c r="H6250">
        <v>63233.83</v>
      </c>
    </row>
    <row r="6251" spans="1:8" ht="15" customHeight="1" x14ac:dyDescent="0.2">
      <c r="A6251" s="420">
        <v>45824</v>
      </c>
      <c r="B6251" t="s">
        <v>2333</v>
      </c>
      <c r="C6251" t="s">
        <v>7493</v>
      </c>
      <c r="D6251" t="s">
        <v>3973</v>
      </c>
      <c r="E6251" t="s">
        <v>3974</v>
      </c>
      <c r="G6251">
        <v>120</v>
      </c>
      <c r="H6251">
        <v>63113.83</v>
      </c>
    </row>
    <row r="6252" spans="1:8" ht="15" customHeight="1" x14ac:dyDescent="0.2">
      <c r="A6252" s="420">
        <v>45825</v>
      </c>
      <c r="B6252" t="s">
        <v>2333</v>
      </c>
      <c r="C6252" t="s">
        <v>7493</v>
      </c>
      <c r="D6252" t="s">
        <v>6185</v>
      </c>
      <c r="E6252" t="s">
        <v>6186</v>
      </c>
      <c r="G6252">
        <v>3613</v>
      </c>
      <c r="H6252">
        <v>59500.83</v>
      </c>
    </row>
    <row r="6253" spans="1:8" ht="15" customHeight="1" x14ac:dyDescent="0.2">
      <c r="A6253" s="420">
        <v>45826</v>
      </c>
      <c r="B6253" t="s">
        <v>2333</v>
      </c>
      <c r="C6253" t="s">
        <v>7493</v>
      </c>
      <c r="D6253" t="s">
        <v>3799</v>
      </c>
      <c r="E6253" t="s">
        <v>3800</v>
      </c>
      <c r="G6253">
        <v>83.6</v>
      </c>
      <c r="H6253">
        <v>59417.23</v>
      </c>
    </row>
    <row r="6254" spans="1:8" ht="15" customHeight="1" x14ac:dyDescent="0.2">
      <c r="A6254" s="420">
        <v>45826</v>
      </c>
      <c r="B6254" t="s">
        <v>2333</v>
      </c>
      <c r="C6254" t="s">
        <v>7493</v>
      </c>
      <c r="D6254" t="s">
        <v>5179</v>
      </c>
      <c r="E6254" t="s">
        <v>5180</v>
      </c>
      <c r="G6254">
        <v>4.99</v>
      </c>
      <c r="H6254">
        <v>59412.24</v>
      </c>
    </row>
    <row r="6255" spans="1:8" ht="15" customHeight="1" x14ac:dyDescent="0.2">
      <c r="A6255" s="420">
        <v>45826</v>
      </c>
      <c r="B6255" t="s">
        <v>2333</v>
      </c>
      <c r="C6255" t="s">
        <v>7493</v>
      </c>
      <c r="D6255" t="s">
        <v>3661</v>
      </c>
      <c r="E6255" t="s">
        <v>3662</v>
      </c>
      <c r="G6255">
        <v>6000</v>
      </c>
      <c r="H6255">
        <v>53412.24</v>
      </c>
    </row>
    <row r="6256" spans="1:8" ht="15" customHeight="1" x14ac:dyDescent="0.2">
      <c r="A6256" s="420">
        <v>45826</v>
      </c>
      <c r="B6256" t="s">
        <v>2333</v>
      </c>
      <c r="C6256" t="s">
        <v>7493</v>
      </c>
      <c r="D6256" t="s">
        <v>3663</v>
      </c>
      <c r="E6256" t="s">
        <v>3664</v>
      </c>
      <c r="G6256">
        <v>6000</v>
      </c>
      <c r="H6256">
        <v>47412.24</v>
      </c>
    </row>
    <row r="6257" spans="1:8" ht="15" customHeight="1" x14ac:dyDescent="0.2">
      <c r="A6257" s="420">
        <v>45827</v>
      </c>
      <c r="B6257" t="s">
        <v>2333</v>
      </c>
      <c r="C6257" t="s">
        <v>7493</v>
      </c>
      <c r="D6257" t="s">
        <v>3854</v>
      </c>
      <c r="E6257" t="s">
        <v>3855</v>
      </c>
      <c r="G6257">
        <v>749.62</v>
      </c>
      <c r="H6257">
        <v>46662.62</v>
      </c>
    </row>
    <row r="6258" spans="1:8" ht="15" customHeight="1" x14ac:dyDescent="0.2">
      <c r="A6258" s="420">
        <v>45828</v>
      </c>
      <c r="B6258" t="s">
        <v>2333</v>
      </c>
      <c r="C6258" t="s">
        <v>7493</v>
      </c>
      <c r="D6258" t="s">
        <v>5392</v>
      </c>
      <c r="E6258" t="s">
        <v>5393</v>
      </c>
      <c r="G6258">
        <v>161.04</v>
      </c>
      <c r="H6258">
        <v>46501.58</v>
      </c>
    </row>
    <row r="6259" spans="1:8" ht="15" customHeight="1" x14ac:dyDescent="0.2">
      <c r="A6259" s="420">
        <v>45828</v>
      </c>
      <c r="B6259" t="s">
        <v>2333</v>
      </c>
      <c r="C6259" t="s">
        <v>7493</v>
      </c>
      <c r="D6259" t="s">
        <v>5833</v>
      </c>
      <c r="E6259" t="s">
        <v>5834</v>
      </c>
      <c r="G6259">
        <v>6000</v>
      </c>
      <c r="H6259">
        <v>40501.58</v>
      </c>
    </row>
    <row r="6260" spans="1:8" ht="15" customHeight="1" x14ac:dyDescent="0.2">
      <c r="A6260" s="420">
        <v>45828</v>
      </c>
      <c r="B6260" t="s">
        <v>2333</v>
      </c>
      <c r="C6260" t="s">
        <v>7493</v>
      </c>
      <c r="D6260" t="s">
        <v>7635</v>
      </c>
      <c r="E6260" t="s">
        <v>1884</v>
      </c>
      <c r="G6260">
        <v>168.55</v>
      </c>
      <c r="H6260">
        <v>40333.03</v>
      </c>
    </row>
    <row r="6261" spans="1:8" ht="15" customHeight="1" x14ac:dyDescent="0.2">
      <c r="A6261" s="420">
        <v>45832</v>
      </c>
      <c r="B6261" t="s">
        <v>2333</v>
      </c>
      <c r="C6261" t="s">
        <v>7493</v>
      </c>
      <c r="D6261" t="s">
        <v>6277</v>
      </c>
      <c r="E6261" t="s">
        <v>6278</v>
      </c>
      <c r="G6261">
        <v>241</v>
      </c>
      <c r="H6261">
        <v>40092.03</v>
      </c>
    </row>
    <row r="6262" spans="1:8" ht="15" customHeight="1" x14ac:dyDescent="0.2">
      <c r="A6262" s="420">
        <v>45832</v>
      </c>
      <c r="B6262" t="s">
        <v>2333</v>
      </c>
      <c r="C6262" t="s">
        <v>7493</v>
      </c>
      <c r="D6262" t="s">
        <v>2820</v>
      </c>
      <c r="E6262" t="s">
        <v>1312</v>
      </c>
      <c r="G6262">
        <v>34.950000000000003</v>
      </c>
      <c r="H6262">
        <v>40057.08</v>
      </c>
    </row>
    <row r="6263" spans="1:8" ht="15" customHeight="1" x14ac:dyDescent="0.2">
      <c r="A6263" s="420">
        <v>45833</v>
      </c>
      <c r="B6263" t="s">
        <v>2333</v>
      </c>
      <c r="C6263" t="s">
        <v>7493</v>
      </c>
      <c r="D6263" t="s">
        <v>4744</v>
      </c>
      <c r="E6263" t="s">
        <v>4745</v>
      </c>
      <c r="G6263">
        <v>96.78</v>
      </c>
      <c r="H6263">
        <v>39960.300000000003</v>
      </c>
    </row>
    <row r="6264" spans="1:8" ht="15" customHeight="1" x14ac:dyDescent="0.2">
      <c r="A6264" s="420">
        <v>45833</v>
      </c>
      <c r="B6264" t="s">
        <v>2333</v>
      </c>
      <c r="C6264" t="s">
        <v>7493</v>
      </c>
      <c r="D6264" t="s">
        <v>6245</v>
      </c>
      <c r="E6264" t="s">
        <v>6246</v>
      </c>
      <c r="G6264">
        <v>620.55999999999995</v>
      </c>
      <c r="H6264">
        <v>39339.74</v>
      </c>
    </row>
    <row r="6265" spans="1:8" ht="15" customHeight="1" x14ac:dyDescent="0.2">
      <c r="A6265" s="420">
        <v>45833</v>
      </c>
      <c r="B6265" t="s">
        <v>2333</v>
      </c>
      <c r="C6265" t="s">
        <v>7493</v>
      </c>
      <c r="D6265" t="s">
        <v>5117</v>
      </c>
      <c r="E6265" t="s">
        <v>5118</v>
      </c>
      <c r="G6265">
        <v>180</v>
      </c>
      <c r="H6265">
        <v>39159.74</v>
      </c>
    </row>
    <row r="6266" spans="1:8" ht="15" customHeight="1" x14ac:dyDescent="0.2">
      <c r="A6266" s="420">
        <v>45834</v>
      </c>
      <c r="B6266" t="s">
        <v>2333</v>
      </c>
      <c r="C6266" t="s">
        <v>7493</v>
      </c>
      <c r="D6266" t="s">
        <v>3491</v>
      </c>
      <c r="E6266" t="s">
        <v>3492</v>
      </c>
      <c r="G6266">
        <v>117.89</v>
      </c>
      <c r="H6266">
        <v>39041.85</v>
      </c>
    </row>
    <row r="6267" spans="1:8" ht="15" customHeight="1" x14ac:dyDescent="0.2">
      <c r="A6267" s="420">
        <v>45835</v>
      </c>
      <c r="B6267" t="s">
        <v>2333</v>
      </c>
      <c r="C6267" t="s">
        <v>7493</v>
      </c>
      <c r="D6267" t="s">
        <v>6371</v>
      </c>
      <c r="E6267" t="s">
        <v>6372</v>
      </c>
      <c r="G6267">
        <v>31430</v>
      </c>
      <c r="H6267">
        <v>7611.85</v>
      </c>
    </row>
    <row r="6268" spans="1:8" ht="15" customHeight="1" x14ac:dyDescent="0.2">
      <c r="A6268" s="420">
        <v>45835</v>
      </c>
      <c r="B6268" t="s">
        <v>2333</v>
      </c>
      <c r="C6268" t="s">
        <v>7493</v>
      </c>
      <c r="D6268" t="s">
        <v>4223</v>
      </c>
      <c r="E6268" t="s">
        <v>4224</v>
      </c>
      <c r="G6268">
        <v>1872.8</v>
      </c>
      <c r="H6268">
        <v>5739.05</v>
      </c>
    </row>
    <row r="6269" spans="1:8" ht="15" customHeight="1" x14ac:dyDescent="0.2">
      <c r="A6269" s="420">
        <v>45835</v>
      </c>
      <c r="B6269" t="s">
        <v>2333</v>
      </c>
      <c r="C6269" t="s">
        <v>7493</v>
      </c>
      <c r="D6269" t="s">
        <v>4225</v>
      </c>
      <c r="E6269" t="s">
        <v>4441</v>
      </c>
      <c r="G6269">
        <v>467.37</v>
      </c>
      <c r="H6269">
        <v>5271.68</v>
      </c>
    </row>
    <row r="6270" spans="1:8" ht="15" customHeight="1" x14ac:dyDescent="0.2">
      <c r="A6270" s="420">
        <v>45835</v>
      </c>
      <c r="B6270" t="s">
        <v>2333</v>
      </c>
      <c r="C6270" t="s">
        <v>7493</v>
      </c>
      <c r="D6270" t="s">
        <v>2907</v>
      </c>
      <c r="E6270" t="s">
        <v>2908</v>
      </c>
      <c r="G6270">
        <v>418.8</v>
      </c>
      <c r="H6270">
        <v>4852.88</v>
      </c>
    </row>
    <row r="6271" spans="1:8" ht="15" customHeight="1" x14ac:dyDescent="0.2">
      <c r="A6271" s="420">
        <v>45835</v>
      </c>
      <c r="B6271" t="s">
        <v>2333</v>
      </c>
      <c r="C6271" t="s">
        <v>7493</v>
      </c>
      <c r="D6271" t="s">
        <v>5653</v>
      </c>
      <c r="E6271" t="s">
        <v>7636</v>
      </c>
      <c r="F6271">
        <v>42809.35</v>
      </c>
      <c r="H6271">
        <v>47662.23</v>
      </c>
    </row>
    <row r="6272" spans="1:8" ht="15" customHeight="1" x14ac:dyDescent="0.2">
      <c r="A6272" s="420">
        <v>45838</v>
      </c>
      <c r="B6272" t="s">
        <v>2333</v>
      </c>
      <c r="C6272" t="s">
        <v>7493</v>
      </c>
      <c r="D6272" t="s">
        <v>2707</v>
      </c>
      <c r="E6272" t="s">
        <v>2708</v>
      </c>
      <c r="G6272">
        <v>710.4</v>
      </c>
      <c r="H6272">
        <v>46951.83</v>
      </c>
    </row>
    <row r="6273" spans="1:8" ht="15" customHeight="1" x14ac:dyDescent="0.2">
      <c r="A6273" s="420">
        <v>45838</v>
      </c>
      <c r="B6273" t="s">
        <v>2333</v>
      </c>
      <c r="C6273" t="s">
        <v>7493</v>
      </c>
      <c r="D6273" t="s">
        <v>7367</v>
      </c>
      <c r="E6273" t="s">
        <v>7368</v>
      </c>
      <c r="G6273">
        <v>1990</v>
      </c>
      <c r="H6273">
        <v>44961.83</v>
      </c>
    </row>
    <row r="6274" spans="1:8" ht="15" customHeight="1" x14ac:dyDescent="0.2">
      <c r="A6274" s="420">
        <v>45838</v>
      </c>
      <c r="B6274" t="s">
        <v>2333</v>
      </c>
      <c r="C6274" t="s">
        <v>7493</v>
      </c>
      <c r="D6274" t="s">
        <v>7369</v>
      </c>
      <c r="E6274" t="s">
        <v>7370</v>
      </c>
      <c r="G6274">
        <v>1532.4</v>
      </c>
      <c r="H6274">
        <v>43429.43</v>
      </c>
    </row>
    <row r="6275" spans="1:8" ht="15" customHeight="1" x14ac:dyDescent="0.2">
      <c r="A6275" s="420">
        <v>45838</v>
      </c>
      <c r="B6275" t="s">
        <v>2333</v>
      </c>
      <c r="C6275" t="s">
        <v>7493</v>
      </c>
      <c r="D6275" t="s">
        <v>4797</v>
      </c>
      <c r="E6275" t="s">
        <v>4794</v>
      </c>
      <c r="G6275">
        <v>6.85</v>
      </c>
      <c r="H6275">
        <v>43422.58</v>
      </c>
    </row>
    <row r="6276" spans="1:8" ht="15" customHeight="1" x14ac:dyDescent="0.2">
      <c r="A6276" s="420">
        <v>45838</v>
      </c>
      <c r="B6276" t="s">
        <v>2333</v>
      </c>
      <c r="C6276" t="s">
        <v>7493</v>
      </c>
      <c r="D6276" t="s">
        <v>4712</v>
      </c>
      <c r="E6276" t="s">
        <v>4698</v>
      </c>
      <c r="G6276">
        <v>17.12</v>
      </c>
      <c r="H6276">
        <v>43405.46</v>
      </c>
    </row>
    <row r="6277" spans="1:8" ht="15" customHeight="1" x14ac:dyDescent="0.2">
      <c r="A6277" s="420">
        <v>45838</v>
      </c>
      <c r="B6277" t="s">
        <v>2333</v>
      </c>
      <c r="C6277" t="s">
        <v>7493</v>
      </c>
      <c r="D6277" t="s">
        <v>7637</v>
      </c>
      <c r="E6277" t="s">
        <v>1635</v>
      </c>
      <c r="G6277">
        <v>0.68</v>
      </c>
      <c r="H6277">
        <v>43404.78</v>
      </c>
    </row>
    <row r="6278" spans="1:8" ht="15" customHeight="1" x14ac:dyDescent="0.2">
      <c r="A6278" s="420">
        <v>45838</v>
      </c>
      <c r="B6278" t="s">
        <v>2333</v>
      </c>
      <c r="C6278" t="s">
        <v>7493</v>
      </c>
      <c r="D6278" t="s">
        <v>7638</v>
      </c>
      <c r="E6278" t="s">
        <v>1635</v>
      </c>
      <c r="G6278">
        <v>0.44</v>
      </c>
      <c r="H6278">
        <v>43404.34</v>
      </c>
    </row>
    <row r="6279" spans="1:8" ht="15" customHeight="1" x14ac:dyDescent="0.2">
      <c r="A6279" s="420">
        <v>45839</v>
      </c>
      <c r="B6279" t="s">
        <v>2333</v>
      </c>
      <c r="C6279" t="s">
        <v>7493</v>
      </c>
      <c r="D6279" t="s">
        <v>5425</v>
      </c>
      <c r="E6279" t="s">
        <v>5426</v>
      </c>
      <c r="G6279">
        <v>462.38</v>
      </c>
      <c r="H6279">
        <v>42941.96</v>
      </c>
    </row>
    <row r="6280" spans="1:8" ht="15" customHeight="1" x14ac:dyDescent="0.2">
      <c r="A6280" s="420">
        <v>45839</v>
      </c>
      <c r="B6280" t="s">
        <v>2333</v>
      </c>
      <c r="C6280" t="s">
        <v>7493</v>
      </c>
      <c r="D6280" t="s">
        <v>7639</v>
      </c>
      <c r="E6280" t="s">
        <v>7640</v>
      </c>
      <c r="G6280">
        <v>20.91</v>
      </c>
      <c r="H6280">
        <v>42921.05</v>
      </c>
    </row>
    <row r="6281" spans="1:8" ht="15" customHeight="1" x14ac:dyDescent="0.2">
      <c r="A6281" s="420">
        <v>45839</v>
      </c>
      <c r="B6281" t="s">
        <v>2333</v>
      </c>
      <c r="C6281" t="s">
        <v>7493</v>
      </c>
      <c r="D6281" t="s">
        <v>3413</v>
      </c>
      <c r="E6281" t="s">
        <v>3403</v>
      </c>
      <c r="G6281">
        <v>7080</v>
      </c>
      <c r="H6281">
        <v>35841.050000000003</v>
      </c>
    </row>
    <row r="6282" spans="1:8" ht="15" customHeight="1" x14ac:dyDescent="0.2">
      <c r="A6282" s="420">
        <v>45839</v>
      </c>
      <c r="B6282" t="s">
        <v>2333</v>
      </c>
      <c r="C6282" t="s">
        <v>7493</v>
      </c>
      <c r="D6282" t="s">
        <v>4122</v>
      </c>
      <c r="E6282" t="s">
        <v>4123</v>
      </c>
      <c r="G6282">
        <v>13.99</v>
      </c>
      <c r="H6282">
        <v>35827.06</v>
      </c>
    </row>
    <row r="6283" spans="1:8" ht="15" customHeight="1" x14ac:dyDescent="0.2">
      <c r="A6283" s="420">
        <v>45839</v>
      </c>
      <c r="B6283" t="s">
        <v>2333</v>
      </c>
      <c r="C6283" t="s">
        <v>7493</v>
      </c>
      <c r="D6283" t="s">
        <v>2960</v>
      </c>
      <c r="E6283" t="s">
        <v>4909</v>
      </c>
      <c r="G6283">
        <v>1804.15</v>
      </c>
      <c r="H6283">
        <v>34022.910000000003</v>
      </c>
    </row>
    <row r="6284" spans="1:8" ht="15" customHeight="1" x14ac:dyDescent="0.2">
      <c r="A6284" s="420">
        <v>45839</v>
      </c>
      <c r="B6284" t="s">
        <v>2333</v>
      </c>
      <c r="C6284" t="s">
        <v>7493</v>
      </c>
      <c r="D6284" t="s">
        <v>2766</v>
      </c>
      <c r="E6284" t="s">
        <v>2761</v>
      </c>
      <c r="G6284">
        <v>98.99</v>
      </c>
      <c r="H6284">
        <v>33923.919999999998</v>
      </c>
    </row>
    <row r="6285" spans="1:8" ht="15" customHeight="1" x14ac:dyDescent="0.2">
      <c r="A6285" s="420">
        <v>45840</v>
      </c>
      <c r="B6285" t="s">
        <v>2333</v>
      </c>
      <c r="C6285" t="s">
        <v>7493</v>
      </c>
      <c r="D6285" t="s">
        <v>2985</v>
      </c>
      <c r="E6285" t="s">
        <v>2986</v>
      </c>
      <c r="G6285">
        <v>1752</v>
      </c>
      <c r="H6285">
        <v>32171.919999999998</v>
      </c>
    </row>
    <row r="6286" spans="1:8" ht="15" customHeight="1" x14ac:dyDescent="0.2">
      <c r="A6286" s="420">
        <v>45840</v>
      </c>
      <c r="B6286" t="s">
        <v>2333</v>
      </c>
      <c r="C6286" t="s">
        <v>7493</v>
      </c>
      <c r="D6286" t="s">
        <v>4649</v>
      </c>
      <c r="E6286" t="s">
        <v>4650</v>
      </c>
      <c r="G6286">
        <v>1258.08</v>
      </c>
      <c r="H6286">
        <v>30913.84</v>
      </c>
    </row>
    <row r="6287" spans="1:8" ht="15" customHeight="1" x14ac:dyDescent="0.2">
      <c r="A6287" s="420">
        <v>45840</v>
      </c>
      <c r="B6287" t="s">
        <v>2333</v>
      </c>
      <c r="C6287" t="s">
        <v>7493</v>
      </c>
      <c r="D6287" t="s">
        <v>4915</v>
      </c>
      <c r="E6287" t="s">
        <v>3367</v>
      </c>
      <c r="G6287">
        <v>49</v>
      </c>
      <c r="H6287">
        <v>30864.84</v>
      </c>
    </row>
    <row r="6288" spans="1:8" ht="15" customHeight="1" x14ac:dyDescent="0.2">
      <c r="A6288" s="420">
        <v>45840</v>
      </c>
      <c r="B6288" t="s">
        <v>2333</v>
      </c>
      <c r="C6288" t="s">
        <v>7493</v>
      </c>
      <c r="D6288" t="s">
        <v>7641</v>
      </c>
      <c r="E6288" t="s">
        <v>735</v>
      </c>
      <c r="G6288">
        <v>14.13</v>
      </c>
      <c r="H6288">
        <v>30850.71</v>
      </c>
    </row>
    <row r="6289" spans="1:8" ht="15" customHeight="1" x14ac:dyDescent="0.2">
      <c r="A6289" s="420">
        <v>45841</v>
      </c>
      <c r="B6289" t="s">
        <v>2333</v>
      </c>
      <c r="C6289" t="s">
        <v>7493</v>
      </c>
      <c r="D6289" t="s">
        <v>4057</v>
      </c>
      <c r="E6289" t="s">
        <v>4058</v>
      </c>
      <c r="G6289">
        <v>1526</v>
      </c>
      <c r="H6289">
        <v>29324.71</v>
      </c>
    </row>
    <row r="6290" spans="1:8" ht="15" customHeight="1" x14ac:dyDescent="0.2">
      <c r="A6290" s="420">
        <v>45841</v>
      </c>
      <c r="B6290" t="s">
        <v>2333</v>
      </c>
      <c r="C6290" t="s">
        <v>7493</v>
      </c>
      <c r="D6290" t="s">
        <v>3150</v>
      </c>
      <c r="E6290" t="s">
        <v>3144</v>
      </c>
      <c r="G6290">
        <v>25.24</v>
      </c>
      <c r="H6290">
        <v>29299.47</v>
      </c>
    </row>
    <row r="6291" spans="1:8" ht="15" customHeight="1" x14ac:dyDescent="0.2">
      <c r="A6291" s="420">
        <v>45841</v>
      </c>
      <c r="B6291" t="s">
        <v>2333</v>
      </c>
      <c r="C6291" t="s">
        <v>7493</v>
      </c>
      <c r="D6291" t="s">
        <v>5120</v>
      </c>
      <c r="E6291" t="s">
        <v>5121</v>
      </c>
      <c r="G6291">
        <v>180</v>
      </c>
      <c r="H6291">
        <v>29119.47</v>
      </c>
    </row>
    <row r="6292" spans="1:8" ht="15" customHeight="1" x14ac:dyDescent="0.2">
      <c r="A6292" s="420">
        <v>45841</v>
      </c>
      <c r="B6292" t="s">
        <v>2333</v>
      </c>
      <c r="C6292" t="s">
        <v>7493</v>
      </c>
      <c r="D6292" t="s">
        <v>5122</v>
      </c>
      <c r="E6292" t="s">
        <v>5123</v>
      </c>
      <c r="G6292">
        <v>180</v>
      </c>
      <c r="H6292">
        <v>28939.47</v>
      </c>
    </row>
    <row r="6293" spans="1:8" ht="15" customHeight="1" x14ac:dyDescent="0.2">
      <c r="A6293" s="420">
        <v>45841</v>
      </c>
      <c r="B6293" t="s">
        <v>2333</v>
      </c>
      <c r="C6293" t="s">
        <v>7493</v>
      </c>
      <c r="D6293" t="s">
        <v>6103</v>
      </c>
      <c r="E6293" t="s">
        <v>6104</v>
      </c>
      <c r="G6293">
        <v>3227.66</v>
      </c>
      <c r="H6293">
        <v>25711.81</v>
      </c>
    </row>
    <row r="6294" spans="1:8" ht="15" customHeight="1" x14ac:dyDescent="0.2">
      <c r="A6294" s="420">
        <v>45841</v>
      </c>
      <c r="B6294" t="s">
        <v>2333</v>
      </c>
      <c r="C6294" t="s">
        <v>7493</v>
      </c>
      <c r="D6294" t="s">
        <v>6105</v>
      </c>
      <c r="E6294" t="s">
        <v>6106</v>
      </c>
      <c r="G6294">
        <v>2093.37</v>
      </c>
      <c r="H6294">
        <v>23618.44</v>
      </c>
    </row>
    <row r="6295" spans="1:8" ht="15" customHeight="1" x14ac:dyDescent="0.2">
      <c r="A6295" s="420">
        <v>45841</v>
      </c>
      <c r="B6295" t="s">
        <v>2333</v>
      </c>
      <c r="C6295" t="s">
        <v>7493</v>
      </c>
      <c r="D6295" t="s">
        <v>4918</v>
      </c>
      <c r="E6295" t="s">
        <v>3367</v>
      </c>
      <c r="G6295">
        <v>30.78</v>
      </c>
      <c r="H6295">
        <v>23587.66</v>
      </c>
    </row>
    <row r="6296" spans="1:8" ht="15" customHeight="1" x14ac:dyDescent="0.2">
      <c r="A6296" s="420">
        <v>45842</v>
      </c>
      <c r="B6296" t="s">
        <v>2333</v>
      </c>
      <c r="C6296" t="s">
        <v>7493</v>
      </c>
      <c r="D6296" t="s">
        <v>5656</v>
      </c>
      <c r="E6296" t="s">
        <v>5657</v>
      </c>
      <c r="G6296">
        <v>6000</v>
      </c>
      <c r="H6296">
        <v>17587.66</v>
      </c>
    </row>
    <row r="6297" spans="1:8" ht="15" customHeight="1" x14ac:dyDescent="0.2">
      <c r="A6297" s="420">
        <v>45842</v>
      </c>
      <c r="B6297" t="s">
        <v>2333</v>
      </c>
      <c r="C6297" t="s">
        <v>7493</v>
      </c>
      <c r="D6297" t="s">
        <v>5219</v>
      </c>
      <c r="E6297" t="s">
        <v>5217</v>
      </c>
      <c r="G6297">
        <v>316</v>
      </c>
      <c r="H6297">
        <v>17271.66</v>
      </c>
    </row>
    <row r="6298" spans="1:8" ht="15" customHeight="1" x14ac:dyDescent="0.2">
      <c r="A6298" s="420">
        <v>45843</v>
      </c>
      <c r="B6298" t="s">
        <v>2333</v>
      </c>
      <c r="C6298" t="s">
        <v>7493</v>
      </c>
      <c r="D6298" t="s">
        <v>7642</v>
      </c>
      <c r="E6298" t="s">
        <v>7643</v>
      </c>
      <c r="G6298">
        <v>15.49</v>
      </c>
      <c r="H6298">
        <v>17256.169999999998</v>
      </c>
    </row>
    <row r="6299" spans="1:8" ht="15" customHeight="1" x14ac:dyDescent="0.2">
      <c r="A6299" s="420">
        <v>45843</v>
      </c>
      <c r="B6299" t="s">
        <v>2333</v>
      </c>
      <c r="C6299" t="s">
        <v>7493</v>
      </c>
      <c r="D6299" t="s">
        <v>7644</v>
      </c>
      <c r="E6299" t="s">
        <v>7645</v>
      </c>
      <c r="G6299">
        <v>235.47</v>
      </c>
      <c r="H6299">
        <v>17020.7</v>
      </c>
    </row>
    <row r="6300" spans="1:8" ht="15" customHeight="1" x14ac:dyDescent="0.2">
      <c r="A6300" s="420">
        <v>45843</v>
      </c>
      <c r="B6300" t="s">
        <v>2333</v>
      </c>
      <c r="C6300" t="s">
        <v>7493</v>
      </c>
      <c r="D6300" t="s">
        <v>7646</v>
      </c>
      <c r="E6300" t="s">
        <v>7647</v>
      </c>
      <c r="G6300">
        <v>42.31</v>
      </c>
      <c r="H6300">
        <v>16978.39</v>
      </c>
    </row>
    <row r="6301" spans="1:8" ht="15" customHeight="1" x14ac:dyDescent="0.2">
      <c r="A6301" s="420">
        <v>45843</v>
      </c>
      <c r="B6301" t="s">
        <v>2333</v>
      </c>
      <c r="C6301" t="s">
        <v>7493</v>
      </c>
      <c r="D6301" t="s">
        <v>7648</v>
      </c>
      <c r="E6301" t="s">
        <v>7649</v>
      </c>
      <c r="G6301">
        <v>601.75</v>
      </c>
      <c r="H6301">
        <v>16376.64</v>
      </c>
    </row>
    <row r="6302" spans="1:8" ht="15" customHeight="1" x14ac:dyDescent="0.2">
      <c r="A6302" s="420">
        <v>45845</v>
      </c>
      <c r="B6302" t="s">
        <v>2333</v>
      </c>
      <c r="C6302" t="s">
        <v>7493</v>
      </c>
      <c r="D6302" t="s">
        <v>4023</v>
      </c>
      <c r="E6302" t="s">
        <v>4024</v>
      </c>
      <c r="G6302">
        <v>393.82</v>
      </c>
      <c r="H6302">
        <v>15982.82</v>
      </c>
    </row>
    <row r="6303" spans="1:8" ht="15" customHeight="1" x14ac:dyDescent="0.2">
      <c r="A6303" s="420">
        <v>45845</v>
      </c>
      <c r="B6303" t="s">
        <v>2333</v>
      </c>
      <c r="C6303" t="s">
        <v>7493</v>
      </c>
      <c r="D6303" t="s">
        <v>5294</v>
      </c>
      <c r="E6303" t="s">
        <v>5295</v>
      </c>
      <c r="G6303">
        <v>54.67</v>
      </c>
      <c r="H6303">
        <v>15928.15</v>
      </c>
    </row>
    <row r="6304" spans="1:8" ht="15" customHeight="1" x14ac:dyDescent="0.2">
      <c r="A6304" s="420">
        <v>45845</v>
      </c>
      <c r="B6304" t="s">
        <v>2333</v>
      </c>
      <c r="C6304" t="s">
        <v>7493</v>
      </c>
      <c r="D6304" t="s">
        <v>2647</v>
      </c>
      <c r="E6304" t="s">
        <v>2648</v>
      </c>
      <c r="G6304">
        <v>1328.25</v>
      </c>
      <c r="H6304">
        <v>14599.9</v>
      </c>
    </row>
    <row r="6305" spans="1:8" ht="15" customHeight="1" x14ac:dyDescent="0.2">
      <c r="A6305" s="420">
        <v>45845</v>
      </c>
      <c r="B6305" t="s">
        <v>2333</v>
      </c>
      <c r="C6305" t="s">
        <v>7493</v>
      </c>
      <c r="D6305" t="s">
        <v>7237</v>
      </c>
      <c r="E6305" t="s">
        <v>7238</v>
      </c>
      <c r="F6305">
        <v>37839.22</v>
      </c>
      <c r="H6305">
        <v>52439.12</v>
      </c>
    </row>
    <row r="6306" spans="1:8" ht="15" customHeight="1" x14ac:dyDescent="0.2">
      <c r="A6306" s="420">
        <v>45845</v>
      </c>
      <c r="B6306" t="s">
        <v>2333</v>
      </c>
      <c r="C6306" t="s">
        <v>7493</v>
      </c>
      <c r="D6306" t="s">
        <v>7178</v>
      </c>
      <c r="E6306" t="s">
        <v>7171</v>
      </c>
      <c r="G6306">
        <v>500</v>
      </c>
      <c r="H6306">
        <v>51939.12</v>
      </c>
    </row>
    <row r="6307" spans="1:8" ht="15" customHeight="1" x14ac:dyDescent="0.2">
      <c r="A6307" s="420">
        <v>45845</v>
      </c>
      <c r="B6307" t="s">
        <v>2333</v>
      </c>
      <c r="C6307" t="s">
        <v>7493</v>
      </c>
      <c r="D6307" t="s">
        <v>4086</v>
      </c>
      <c r="E6307" t="s">
        <v>4078</v>
      </c>
      <c r="G6307">
        <v>322</v>
      </c>
      <c r="H6307">
        <v>51617.120000000003</v>
      </c>
    </row>
    <row r="6308" spans="1:8" ht="15" customHeight="1" x14ac:dyDescent="0.2">
      <c r="A6308" s="420">
        <v>45845</v>
      </c>
      <c r="B6308" t="s">
        <v>2333</v>
      </c>
      <c r="C6308" t="s">
        <v>7493</v>
      </c>
      <c r="D6308" t="s">
        <v>4127</v>
      </c>
      <c r="E6308" t="s">
        <v>4128</v>
      </c>
      <c r="G6308">
        <v>1.19</v>
      </c>
      <c r="H6308">
        <v>51615.93</v>
      </c>
    </row>
    <row r="6309" spans="1:8" ht="15" customHeight="1" x14ac:dyDescent="0.2">
      <c r="A6309" s="420">
        <v>45845</v>
      </c>
      <c r="B6309" t="s">
        <v>2333</v>
      </c>
      <c r="C6309" t="s">
        <v>7493</v>
      </c>
      <c r="D6309" t="s">
        <v>4129</v>
      </c>
      <c r="E6309" t="s">
        <v>4130</v>
      </c>
      <c r="G6309">
        <v>19.8</v>
      </c>
      <c r="H6309">
        <v>51596.13</v>
      </c>
    </row>
    <row r="6310" spans="1:8" ht="15" customHeight="1" x14ac:dyDescent="0.2">
      <c r="A6310" s="420">
        <v>45845</v>
      </c>
      <c r="B6310" t="s">
        <v>2333</v>
      </c>
      <c r="C6310" t="s">
        <v>7493</v>
      </c>
      <c r="D6310" t="s">
        <v>7372</v>
      </c>
      <c r="E6310" t="s">
        <v>7373</v>
      </c>
      <c r="F6310">
        <v>1532.4</v>
      </c>
      <c r="H6310">
        <v>53128.53</v>
      </c>
    </row>
    <row r="6311" spans="1:8" ht="15" customHeight="1" x14ac:dyDescent="0.2">
      <c r="A6311" s="420">
        <v>45845</v>
      </c>
      <c r="B6311" t="s">
        <v>2333</v>
      </c>
      <c r="C6311" t="s">
        <v>7493</v>
      </c>
      <c r="D6311" t="s">
        <v>7374</v>
      </c>
      <c r="E6311" t="s">
        <v>7375</v>
      </c>
      <c r="F6311">
        <v>1990</v>
      </c>
      <c r="H6311">
        <v>55118.53</v>
      </c>
    </row>
    <row r="6312" spans="1:8" ht="15" customHeight="1" x14ac:dyDescent="0.2">
      <c r="A6312" s="420">
        <v>45845</v>
      </c>
      <c r="B6312" t="s">
        <v>2333</v>
      </c>
      <c r="C6312" t="s">
        <v>7493</v>
      </c>
      <c r="D6312" t="s">
        <v>3281</v>
      </c>
      <c r="E6312" t="s">
        <v>3282</v>
      </c>
      <c r="G6312">
        <v>53.36</v>
      </c>
      <c r="H6312">
        <v>55065.17</v>
      </c>
    </row>
    <row r="6313" spans="1:8" ht="15" customHeight="1" x14ac:dyDescent="0.2">
      <c r="A6313" s="420">
        <v>45845</v>
      </c>
      <c r="B6313" t="s">
        <v>2333</v>
      </c>
      <c r="C6313" t="s">
        <v>7493</v>
      </c>
      <c r="D6313" t="s">
        <v>7650</v>
      </c>
      <c r="E6313" t="s">
        <v>1622</v>
      </c>
      <c r="G6313">
        <v>31.8</v>
      </c>
      <c r="H6313">
        <v>55033.37</v>
      </c>
    </row>
    <row r="6314" spans="1:8" ht="15" customHeight="1" x14ac:dyDescent="0.2">
      <c r="A6314" s="420">
        <v>45846</v>
      </c>
      <c r="B6314" t="s">
        <v>2333</v>
      </c>
      <c r="C6314" t="s">
        <v>7493</v>
      </c>
      <c r="D6314" t="s">
        <v>2910</v>
      </c>
      <c r="E6314" t="s">
        <v>2911</v>
      </c>
      <c r="G6314">
        <v>2091.71</v>
      </c>
      <c r="H6314">
        <v>52941.66</v>
      </c>
    </row>
    <row r="6315" spans="1:8" ht="15" customHeight="1" x14ac:dyDescent="0.2">
      <c r="A6315" s="420">
        <v>45846</v>
      </c>
      <c r="B6315" t="s">
        <v>2333</v>
      </c>
      <c r="C6315" t="s">
        <v>7493</v>
      </c>
      <c r="D6315" t="s">
        <v>2822</v>
      </c>
      <c r="E6315" t="s">
        <v>1312</v>
      </c>
      <c r="G6315">
        <v>0.99</v>
      </c>
      <c r="H6315">
        <v>52940.67</v>
      </c>
    </row>
    <row r="6316" spans="1:8" ht="15" customHeight="1" x14ac:dyDescent="0.2">
      <c r="A6316" s="420">
        <v>45847</v>
      </c>
      <c r="B6316" t="s">
        <v>2333</v>
      </c>
      <c r="C6316" t="s">
        <v>7493</v>
      </c>
      <c r="D6316" t="s">
        <v>5465</v>
      </c>
      <c r="E6316" t="s">
        <v>5466</v>
      </c>
      <c r="G6316">
        <v>65.75</v>
      </c>
      <c r="H6316">
        <v>52874.92</v>
      </c>
    </row>
    <row r="6317" spans="1:8" ht="15" customHeight="1" x14ac:dyDescent="0.2">
      <c r="A6317" s="420">
        <v>45847</v>
      </c>
      <c r="B6317" t="s">
        <v>2333</v>
      </c>
      <c r="C6317" t="s">
        <v>7493</v>
      </c>
      <c r="D6317" t="s">
        <v>5053</v>
      </c>
      <c r="E6317" t="s">
        <v>5054</v>
      </c>
      <c r="G6317">
        <v>187.2</v>
      </c>
      <c r="H6317">
        <v>52687.72</v>
      </c>
    </row>
    <row r="6318" spans="1:8" ht="15" customHeight="1" x14ac:dyDescent="0.2">
      <c r="A6318" s="420">
        <v>45847</v>
      </c>
      <c r="B6318" t="s">
        <v>2333</v>
      </c>
      <c r="C6318" t="s">
        <v>7493</v>
      </c>
      <c r="D6318" t="s">
        <v>2769</v>
      </c>
      <c r="E6318" t="s">
        <v>2761</v>
      </c>
      <c r="G6318">
        <v>31.98</v>
      </c>
      <c r="H6318">
        <v>52655.74</v>
      </c>
    </row>
    <row r="6319" spans="1:8" ht="15" customHeight="1" x14ac:dyDescent="0.2">
      <c r="A6319" s="420">
        <v>45847</v>
      </c>
      <c r="B6319" t="s">
        <v>2333</v>
      </c>
      <c r="C6319" t="s">
        <v>7493</v>
      </c>
      <c r="D6319" t="s">
        <v>3283</v>
      </c>
      <c r="E6319" t="s">
        <v>3284</v>
      </c>
      <c r="G6319">
        <v>53.36</v>
      </c>
      <c r="H6319">
        <v>52602.38</v>
      </c>
    </row>
    <row r="6320" spans="1:8" ht="15" customHeight="1" x14ac:dyDescent="0.2">
      <c r="A6320" s="420">
        <v>45847</v>
      </c>
      <c r="B6320" t="s">
        <v>2333</v>
      </c>
      <c r="C6320" t="s">
        <v>7493</v>
      </c>
      <c r="D6320" t="s">
        <v>3437</v>
      </c>
      <c r="E6320" t="s">
        <v>3433</v>
      </c>
      <c r="G6320">
        <v>18.010000000000002</v>
      </c>
      <c r="H6320">
        <v>52584.37</v>
      </c>
    </row>
    <row r="6321" spans="1:8" ht="15" customHeight="1" x14ac:dyDescent="0.2">
      <c r="A6321" s="420">
        <v>45848</v>
      </c>
      <c r="B6321" t="s">
        <v>2333</v>
      </c>
      <c r="C6321" t="s">
        <v>7493</v>
      </c>
      <c r="D6321" t="s">
        <v>3495</v>
      </c>
      <c r="E6321" t="s">
        <v>3496</v>
      </c>
      <c r="G6321">
        <v>112.67</v>
      </c>
      <c r="H6321">
        <v>52471.7</v>
      </c>
    </row>
    <row r="6322" spans="1:8" ht="15" customHeight="1" x14ac:dyDescent="0.2">
      <c r="A6322" s="420">
        <v>45848</v>
      </c>
      <c r="B6322" t="s">
        <v>2333</v>
      </c>
      <c r="C6322" t="s">
        <v>7493</v>
      </c>
      <c r="D6322" t="s">
        <v>3706</v>
      </c>
      <c r="E6322" t="s">
        <v>3707</v>
      </c>
      <c r="G6322">
        <v>126.5</v>
      </c>
      <c r="H6322">
        <v>52345.2</v>
      </c>
    </row>
    <row r="6323" spans="1:8" ht="15" customHeight="1" x14ac:dyDescent="0.2">
      <c r="A6323" s="420">
        <v>45848</v>
      </c>
      <c r="B6323" t="s">
        <v>2333</v>
      </c>
      <c r="C6323" t="s">
        <v>7493</v>
      </c>
      <c r="D6323" t="s">
        <v>5126</v>
      </c>
      <c r="E6323" t="s">
        <v>5127</v>
      </c>
      <c r="G6323">
        <v>180</v>
      </c>
      <c r="H6323">
        <v>52165.2</v>
      </c>
    </row>
    <row r="6324" spans="1:8" ht="15" customHeight="1" x14ac:dyDescent="0.2">
      <c r="A6324" s="420">
        <v>45849</v>
      </c>
      <c r="B6324" t="s">
        <v>2333</v>
      </c>
      <c r="C6324" t="s">
        <v>7493</v>
      </c>
      <c r="D6324" t="s">
        <v>7651</v>
      </c>
      <c r="E6324" t="s">
        <v>7652</v>
      </c>
      <c r="G6324">
        <v>100.82</v>
      </c>
      <c r="H6324">
        <v>52064.38</v>
      </c>
    </row>
    <row r="6325" spans="1:8" ht="15" customHeight="1" x14ac:dyDescent="0.2">
      <c r="A6325" s="420">
        <v>45849</v>
      </c>
      <c r="B6325" t="s">
        <v>2333</v>
      </c>
      <c r="C6325" t="s">
        <v>7493</v>
      </c>
      <c r="D6325" t="s">
        <v>7653</v>
      </c>
      <c r="E6325" t="s">
        <v>7654</v>
      </c>
      <c r="G6325">
        <v>85.21</v>
      </c>
      <c r="H6325">
        <v>51979.17</v>
      </c>
    </row>
    <row r="6326" spans="1:8" ht="15" customHeight="1" x14ac:dyDescent="0.2">
      <c r="A6326" s="420">
        <v>45849</v>
      </c>
      <c r="B6326" t="s">
        <v>2333</v>
      </c>
      <c r="C6326" t="s">
        <v>7493</v>
      </c>
      <c r="D6326" t="s">
        <v>7655</v>
      </c>
      <c r="E6326" t="s">
        <v>7656</v>
      </c>
      <c r="G6326">
        <v>78.010000000000005</v>
      </c>
      <c r="H6326">
        <v>51901.16</v>
      </c>
    </row>
    <row r="6327" spans="1:8" ht="15" customHeight="1" x14ac:dyDescent="0.2">
      <c r="A6327" s="420">
        <v>45849</v>
      </c>
      <c r="B6327" t="s">
        <v>2333</v>
      </c>
      <c r="C6327" t="s">
        <v>7493</v>
      </c>
      <c r="D6327" t="s">
        <v>7657</v>
      </c>
      <c r="E6327" t="s">
        <v>7658</v>
      </c>
      <c r="G6327">
        <v>116.38</v>
      </c>
      <c r="H6327">
        <v>51784.78</v>
      </c>
    </row>
    <row r="6328" spans="1:8" ht="15" customHeight="1" x14ac:dyDescent="0.2">
      <c r="A6328" s="420">
        <v>45849</v>
      </c>
      <c r="B6328" t="s">
        <v>2333</v>
      </c>
      <c r="C6328" t="s">
        <v>7493</v>
      </c>
      <c r="D6328" t="s">
        <v>5351</v>
      </c>
      <c r="E6328" t="s">
        <v>5352</v>
      </c>
      <c r="G6328">
        <v>24</v>
      </c>
      <c r="H6328">
        <v>51760.78</v>
      </c>
    </row>
    <row r="6329" spans="1:8" ht="15" customHeight="1" x14ac:dyDescent="0.2">
      <c r="A6329" s="420">
        <v>45849</v>
      </c>
      <c r="B6329" t="s">
        <v>2333</v>
      </c>
      <c r="C6329" t="s">
        <v>7493</v>
      </c>
      <c r="D6329" t="s">
        <v>3098</v>
      </c>
      <c r="E6329" t="s">
        <v>3099</v>
      </c>
      <c r="G6329">
        <v>11.99</v>
      </c>
      <c r="H6329">
        <v>51748.79</v>
      </c>
    </row>
    <row r="6330" spans="1:8" ht="15" customHeight="1" x14ac:dyDescent="0.2">
      <c r="A6330" s="420">
        <v>45852</v>
      </c>
      <c r="B6330" t="s">
        <v>2333</v>
      </c>
      <c r="C6330" t="s">
        <v>7493</v>
      </c>
      <c r="D6330" t="s">
        <v>3023</v>
      </c>
      <c r="E6330" t="s">
        <v>3024</v>
      </c>
      <c r="G6330">
        <v>356.8</v>
      </c>
      <c r="H6330">
        <v>51391.99</v>
      </c>
    </row>
    <row r="6331" spans="1:8" ht="15" customHeight="1" x14ac:dyDescent="0.2">
      <c r="A6331" s="420">
        <v>45853</v>
      </c>
      <c r="B6331" t="s">
        <v>2333</v>
      </c>
      <c r="C6331" t="s">
        <v>7493</v>
      </c>
      <c r="D6331" t="s">
        <v>3809</v>
      </c>
      <c r="E6331" t="s">
        <v>3810</v>
      </c>
      <c r="G6331">
        <v>73.150000000000006</v>
      </c>
      <c r="H6331">
        <v>51318.84</v>
      </c>
    </row>
    <row r="6332" spans="1:8" ht="15" customHeight="1" x14ac:dyDescent="0.2">
      <c r="A6332" s="420">
        <v>45853</v>
      </c>
      <c r="B6332" t="s">
        <v>2333</v>
      </c>
      <c r="C6332" t="s">
        <v>7493</v>
      </c>
      <c r="D6332" t="s">
        <v>7231</v>
      </c>
      <c r="E6332" t="s">
        <v>7232</v>
      </c>
      <c r="F6332">
        <v>23239.05</v>
      </c>
      <c r="H6332">
        <v>74557.89</v>
      </c>
    </row>
    <row r="6333" spans="1:8" ht="15" customHeight="1" x14ac:dyDescent="0.2">
      <c r="A6333" s="420">
        <v>45853</v>
      </c>
      <c r="B6333" t="s">
        <v>2333</v>
      </c>
      <c r="C6333" t="s">
        <v>7493</v>
      </c>
      <c r="D6333" t="s">
        <v>3959</v>
      </c>
      <c r="E6333" t="s">
        <v>3960</v>
      </c>
      <c r="G6333">
        <v>107.7</v>
      </c>
      <c r="H6333">
        <v>74450.19</v>
      </c>
    </row>
    <row r="6334" spans="1:8" ht="15" customHeight="1" x14ac:dyDescent="0.2">
      <c r="A6334" s="420">
        <v>45853</v>
      </c>
      <c r="B6334" t="s">
        <v>2333</v>
      </c>
      <c r="C6334" t="s">
        <v>7493</v>
      </c>
      <c r="D6334" t="s">
        <v>2771</v>
      </c>
      <c r="E6334" t="s">
        <v>2772</v>
      </c>
      <c r="F6334">
        <v>31.98</v>
      </c>
      <c r="H6334">
        <v>74482.17</v>
      </c>
    </row>
    <row r="6335" spans="1:8" ht="15" customHeight="1" x14ac:dyDescent="0.2">
      <c r="A6335" s="420">
        <v>45853</v>
      </c>
      <c r="B6335" t="s">
        <v>2333</v>
      </c>
      <c r="C6335" t="s">
        <v>7493</v>
      </c>
      <c r="D6335" t="s">
        <v>3811</v>
      </c>
      <c r="E6335" t="s">
        <v>3812</v>
      </c>
      <c r="F6335">
        <v>10.45</v>
      </c>
      <c r="H6335">
        <v>74492.62</v>
      </c>
    </row>
    <row r="6336" spans="1:8" ht="15" customHeight="1" x14ac:dyDescent="0.2">
      <c r="A6336" s="420">
        <v>45854</v>
      </c>
      <c r="B6336" t="s">
        <v>2333</v>
      </c>
      <c r="C6336" t="s">
        <v>7493</v>
      </c>
      <c r="D6336" t="s">
        <v>6189</v>
      </c>
      <c r="E6336" t="s">
        <v>6190</v>
      </c>
      <c r="G6336">
        <v>3640</v>
      </c>
      <c r="H6336">
        <v>70852.62</v>
      </c>
    </row>
    <row r="6337" spans="1:8" ht="15" customHeight="1" x14ac:dyDescent="0.2">
      <c r="A6337" s="420">
        <v>45854</v>
      </c>
      <c r="B6337" t="s">
        <v>2333</v>
      </c>
      <c r="C6337" t="s">
        <v>7493</v>
      </c>
      <c r="D6337" t="s">
        <v>3288</v>
      </c>
      <c r="E6337" t="s">
        <v>3289</v>
      </c>
      <c r="G6337">
        <v>53.36</v>
      </c>
      <c r="H6337">
        <v>70799.259999999995</v>
      </c>
    </row>
    <row r="6338" spans="1:8" ht="15" customHeight="1" x14ac:dyDescent="0.2">
      <c r="A6338" s="420">
        <v>45854</v>
      </c>
      <c r="B6338" t="s">
        <v>2333</v>
      </c>
      <c r="C6338" t="s">
        <v>7493</v>
      </c>
      <c r="D6338" t="s">
        <v>3290</v>
      </c>
      <c r="E6338" t="s">
        <v>3291</v>
      </c>
      <c r="G6338">
        <v>53.36</v>
      </c>
      <c r="H6338">
        <v>70745.899999999994</v>
      </c>
    </row>
    <row r="6339" spans="1:8" ht="15" customHeight="1" x14ac:dyDescent="0.2">
      <c r="A6339" s="420">
        <v>45854</v>
      </c>
      <c r="B6339" t="s">
        <v>2333</v>
      </c>
      <c r="C6339" t="s">
        <v>7493</v>
      </c>
      <c r="D6339" t="s">
        <v>5129</v>
      </c>
      <c r="E6339" t="s">
        <v>5130</v>
      </c>
      <c r="G6339">
        <v>180</v>
      </c>
      <c r="H6339">
        <v>70565.899999999994</v>
      </c>
    </row>
    <row r="6340" spans="1:8" ht="15" customHeight="1" x14ac:dyDescent="0.2">
      <c r="A6340" s="420">
        <v>45854</v>
      </c>
      <c r="B6340" t="s">
        <v>2333</v>
      </c>
      <c r="C6340" t="s">
        <v>7493</v>
      </c>
      <c r="D6340" t="s">
        <v>4924</v>
      </c>
      <c r="E6340" t="s">
        <v>4925</v>
      </c>
      <c r="G6340">
        <v>13.45</v>
      </c>
      <c r="H6340">
        <v>70552.45</v>
      </c>
    </row>
    <row r="6341" spans="1:8" ht="15" customHeight="1" x14ac:dyDescent="0.2">
      <c r="A6341" s="420">
        <v>45855</v>
      </c>
      <c r="B6341" t="s">
        <v>2333</v>
      </c>
      <c r="C6341" t="s">
        <v>7493</v>
      </c>
      <c r="D6341" t="s">
        <v>7380</v>
      </c>
      <c r="E6341" t="s">
        <v>7381</v>
      </c>
      <c r="F6341">
        <v>810</v>
      </c>
      <c r="H6341">
        <v>71362.45</v>
      </c>
    </row>
    <row r="6342" spans="1:8" ht="15" customHeight="1" x14ac:dyDescent="0.2">
      <c r="A6342" s="420">
        <v>45855</v>
      </c>
      <c r="B6342" t="s">
        <v>2333</v>
      </c>
      <c r="C6342" t="s">
        <v>7493</v>
      </c>
      <c r="D6342" t="s">
        <v>4926</v>
      </c>
      <c r="E6342" t="s">
        <v>4927</v>
      </c>
      <c r="G6342">
        <v>70.099999999999994</v>
      </c>
      <c r="H6342">
        <v>71292.350000000006</v>
      </c>
    </row>
    <row r="6343" spans="1:8" ht="15" customHeight="1" x14ac:dyDescent="0.2">
      <c r="A6343" s="420">
        <v>45856</v>
      </c>
      <c r="B6343" t="s">
        <v>2333</v>
      </c>
      <c r="C6343" t="s">
        <v>7493</v>
      </c>
      <c r="D6343" t="s">
        <v>5395</v>
      </c>
      <c r="E6343" t="s">
        <v>5396</v>
      </c>
      <c r="G6343">
        <v>69.540000000000006</v>
      </c>
      <c r="H6343">
        <v>71222.81</v>
      </c>
    </row>
    <row r="6344" spans="1:8" ht="15" customHeight="1" x14ac:dyDescent="0.2">
      <c r="A6344" s="420">
        <v>45856</v>
      </c>
      <c r="B6344" t="s">
        <v>2333</v>
      </c>
      <c r="C6344" t="s">
        <v>7493</v>
      </c>
      <c r="D6344" t="s">
        <v>7382</v>
      </c>
      <c r="E6344" t="s">
        <v>7383</v>
      </c>
      <c r="G6344">
        <v>800</v>
      </c>
      <c r="H6344">
        <v>70422.81</v>
      </c>
    </row>
    <row r="6345" spans="1:8" ht="15" customHeight="1" x14ac:dyDescent="0.2">
      <c r="A6345" s="420">
        <v>45859</v>
      </c>
      <c r="B6345" t="s">
        <v>2333</v>
      </c>
      <c r="C6345" t="s">
        <v>7493</v>
      </c>
      <c r="D6345" t="s">
        <v>3857</v>
      </c>
      <c r="E6345" t="s">
        <v>3858</v>
      </c>
      <c r="G6345">
        <v>749.62</v>
      </c>
      <c r="H6345">
        <v>69673.19</v>
      </c>
    </row>
    <row r="6346" spans="1:8" ht="15" customHeight="1" x14ac:dyDescent="0.2">
      <c r="A6346" s="420">
        <v>45859</v>
      </c>
      <c r="B6346" t="s">
        <v>2333</v>
      </c>
      <c r="C6346" t="s">
        <v>7493</v>
      </c>
      <c r="D6346" t="s">
        <v>4929</v>
      </c>
      <c r="E6346" t="s">
        <v>4851</v>
      </c>
      <c r="G6346">
        <v>77.7</v>
      </c>
      <c r="H6346">
        <v>69595.490000000005</v>
      </c>
    </row>
    <row r="6347" spans="1:8" ht="15" customHeight="1" x14ac:dyDescent="0.2">
      <c r="A6347" s="420">
        <v>45859</v>
      </c>
      <c r="B6347" t="s">
        <v>2333</v>
      </c>
      <c r="C6347" t="s">
        <v>7493</v>
      </c>
      <c r="D6347" t="s">
        <v>4825</v>
      </c>
      <c r="E6347" t="s">
        <v>4826</v>
      </c>
      <c r="G6347">
        <v>2400</v>
      </c>
      <c r="H6347">
        <v>67195.490000000005</v>
      </c>
    </row>
    <row r="6348" spans="1:8" ht="15" customHeight="1" x14ac:dyDescent="0.2">
      <c r="A6348" s="420">
        <v>45859</v>
      </c>
      <c r="B6348" t="s">
        <v>2333</v>
      </c>
      <c r="C6348" t="s">
        <v>7493</v>
      </c>
      <c r="D6348" t="s">
        <v>3962</v>
      </c>
      <c r="E6348" t="s">
        <v>3963</v>
      </c>
      <c r="G6348">
        <v>328.67</v>
      </c>
      <c r="H6348">
        <v>66866.820000000007</v>
      </c>
    </row>
    <row r="6349" spans="1:8" ht="15" customHeight="1" x14ac:dyDescent="0.2">
      <c r="A6349" s="420">
        <v>45860</v>
      </c>
      <c r="B6349" t="s">
        <v>2333</v>
      </c>
      <c r="C6349" t="s">
        <v>7493</v>
      </c>
      <c r="D6349" t="s">
        <v>6216</v>
      </c>
      <c r="E6349" t="s">
        <v>6217</v>
      </c>
      <c r="G6349">
        <v>190.76</v>
      </c>
      <c r="H6349">
        <v>66676.06</v>
      </c>
    </row>
    <row r="6350" spans="1:8" ht="15" customHeight="1" x14ac:dyDescent="0.2">
      <c r="A6350" s="420">
        <v>45860</v>
      </c>
      <c r="B6350" t="s">
        <v>2333</v>
      </c>
      <c r="C6350" t="s">
        <v>7493</v>
      </c>
      <c r="D6350" t="s">
        <v>5183</v>
      </c>
      <c r="E6350" t="s">
        <v>5184</v>
      </c>
      <c r="G6350">
        <v>4.99</v>
      </c>
      <c r="H6350">
        <v>66671.070000000007</v>
      </c>
    </row>
    <row r="6351" spans="1:8" ht="15" customHeight="1" x14ac:dyDescent="0.2">
      <c r="A6351" s="420">
        <v>45860</v>
      </c>
      <c r="B6351" t="s">
        <v>2333</v>
      </c>
      <c r="C6351" t="s">
        <v>7493</v>
      </c>
      <c r="D6351" t="s">
        <v>3296</v>
      </c>
      <c r="E6351" t="s">
        <v>3297</v>
      </c>
      <c r="G6351">
        <v>53.36</v>
      </c>
      <c r="H6351">
        <v>66617.710000000006</v>
      </c>
    </row>
    <row r="6352" spans="1:8" ht="15" customHeight="1" x14ac:dyDescent="0.2">
      <c r="A6352" s="420">
        <v>45860</v>
      </c>
      <c r="B6352" t="s">
        <v>2333</v>
      </c>
      <c r="C6352" t="s">
        <v>7493</v>
      </c>
      <c r="D6352" t="s">
        <v>7659</v>
      </c>
      <c r="E6352" t="s">
        <v>1542</v>
      </c>
      <c r="G6352">
        <v>170</v>
      </c>
      <c r="H6352">
        <v>66447.710000000006</v>
      </c>
    </row>
    <row r="6353" spans="1:8" ht="15" customHeight="1" x14ac:dyDescent="0.2">
      <c r="A6353" s="420">
        <v>45861</v>
      </c>
      <c r="B6353" t="s">
        <v>2333</v>
      </c>
      <c r="C6353" t="s">
        <v>7493</v>
      </c>
      <c r="D6353" t="s">
        <v>6280</v>
      </c>
      <c r="E6353" t="s">
        <v>6281</v>
      </c>
      <c r="G6353">
        <v>282</v>
      </c>
      <c r="H6353">
        <v>66165.710000000006</v>
      </c>
    </row>
    <row r="6354" spans="1:8" ht="15" customHeight="1" x14ac:dyDescent="0.2">
      <c r="A6354" s="420">
        <v>45861</v>
      </c>
      <c r="B6354" t="s">
        <v>2333</v>
      </c>
      <c r="C6354" t="s">
        <v>7493</v>
      </c>
      <c r="D6354" t="s">
        <v>4827</v>
      </c>
      <c r="E6354" t="s">
        <v>4828</v>
      </c>
      <c r="G6354">
        <v>1800</v>
      </c>
      <c r="H6354">
        <v>64365.71</v>
      </c>
    </row>
    <row r="6355" spans="1:8" ht="15" customHeight="1" x14ac:dyDescent="0.2">
      <c r="A6355" s="420">
        <v>45862</v>
      </c>
      <c r="B6355" t="s">
        <v>2333</v>
      </c>
      <c r="C6355" t="s">
        <v>7493</v>
      </c>
      <c r="D6355" t="s">
        <v>6373</v>
      </c>
      <c r="E6355" t="s">
        <v>6374</v>
      </c>
      <c r="G6355">
        <v>53614</v>
      </c>
      <c r="H6355">
        <v>10751.71</v>
      </c>
    </row>
    <row r="6356" spans="1:8" ht="15" customHeight="1" x14ac:dyDescent="0.2">
      <c r="A6356" s="420">
        <v>45862</v>
      </c>
      <c r="B6356" t="s">
        <v>2333</v>
      </c>
      <c r="C6356" t="s">
        <v>7493</v>
      </c>
      <c r="D6356" t="s">
        <v>3301</v>
      </c>
      <c r="E6356" t="s">
        <v>3302</v>
      </c>
      <c r="G6356">
        <v>53.36</v>
      </c>
      <c r="H6356">
        <v>10698.35</v>
      </c>
    </row>
    <row r="6357" spans="1:8" ht="15" customHeight="1" x14ac:dyDescent="0.2">
      <c r="A6357" s="420">
        <v>45862</v>
      </c>
      <c r="B6357" t="s">
        <v>2333</v>
      </c>
      <c r="C6357" t="s">
        <v>7493</v>
      </c>
      <c r="D6357" t="s">
        <v>2824</v>
      </c>
      <c r="E6357" t="s">
        <v>1312</v>
      </c>
      <c r="G6357">
        <v>34.950000000000003</v>
      </c>
      <c r="H6357">
        <v>10663.4</v>
      </c>
    </row>
    <row r="6358" spans="1:8" ht="15" customHeight="1" x14ac:dyDescent="0.2">
      <c r="A6358" s="420">
        <v>45863</v>
      </c>
      <c r="B6358" t="s">
        <v>2333</v>
      </c>
      <c r="C6358" t="s">
        <v>7493</v>
      </c>
      <c r="D6358" t="s">
        <v>4747</v>
      </c>
      <c r="E6358" t="s">
        <v>4748</v>
      </c>
      <c r="G6358">
        <v>94.8</v>
      </c>
      <c r="H6358">
        <v>10568.6</v>
      </c>
    </row>
    <row r="6359" spans="1:8" ht="15" customHeight="1" x14ac:dyDescent="0.2">
      <c r="A6359" s="420">
        <v>45863</v>
      </c>
      <c r="B6359" t="s">
        <v>2333</v>
      </c>
      <c r="C6359" t="s">
        <v>7493</v>
      </c>
      <c r="D6359" t="s">
        <v>3499</v>
      </c>
      <c r="E6359" t="s">
        <v>3500</v>
      </c>
      <c r="G6359">
        <v>55.53</v>
      </c>
      <c r="H6359">
        <v>10513.07</v>
      </c>
    </row>
    <row r="6360" spans="1:8" ht="15" customHeight="1" x14ac:dyDescent="0.2">
      <c r="A6360" s="420">
        <v>45863</v>
      </c>
      <c r="B6360" t="s">
        <v>2333</v>
      </c>
      <c r="C6360" t="s">
        <v>7493</v>
      </c>
      <c r="D6360" t="s">
        <v>6247</v>
      </c>
      <c r="E6360" t="s">
        <v>6248</v>
      </c>
      <c r="G6360">
        <v>877.47</v>
      </c>
      <c r="H6360">
        <v>9635.6</v>
      </c>
    </row>
    <row r="6361" spans="1:8" ht="15" customHeight="1" x14ac:dyDescent="0.2">
      <c r="A6361" s="420">
        <v>45866</v>
      </c>
      <c r="B6361" t="s">
        <v>2333</v>
      </c>
      <c r="C6361" t="s">
        <v>7493</v>
      </c>
      <c r="D6361" t="s">
        <v>3940</v>
      </c>
      <c r="E6361" t="s">
        <v>3941</v>
      </c>
      <c r="G6361">
        <v>46.38</v>
      </c>
      <c r="H6361">
        <v>9589.2199999999993</v>
      </c>
    </row>
    <row r="6362" spans="1:8" ht="15" customHeight="1" x14ac:dyDescent="0.2">
      <c r="A6362" s="420">
        <v>45866</v>
      </c>
      <c r="B6362" t="s">
        <v>2333</v>
      </c>
      <c r="C6362" t="s">
        <v>7493</v>
      </c>
      <c r="D6362" t="s">
        <v>2913</v>
      </c>
      <c r="E6362" t="s">
        <v>2914</v>
      </c>
      <c r="G6362">
        <v>418.8</v>
      </c>
      <c r="H6362">
        <v>9170.42</v>
      </c>
    </row>
    <row r="6363" spans="1:8" ht="15" customHeight="1" x14ac:dyDescent="0.2">
      <c r="A6363" s="420">
        <v>45866</v>
      </c>
      <c r="B6363" t="s">
        <v>2333</v>
      </c>
      <c r="C6363" t="s">
        <v>7493</v>
      </c>
      <c r="D6363" t="s">
        <v>7216</v>
      </c>
      <c r="E6363" t="s">
        <v>7217</v>
      </c>
      <c r="F6363">
        <v>21700</v>
      </c>
      <c r="H6363">
        <v>30870.42</v>
      </c>
    </row>
    <row r="6364" spans="1:8" ht="15" customHeight="1" x14ac:dyDescent="0.2">
      <c r="A6364" s="420">
        <v>45867</v>
      </c>
      <c r="B6364" t="s">
        <v>2333</v>
      </c>
      <c r="C6364" t="s">
        <v>7493</v>
      </c>
      <c r="D6364" t="s">
        <v>4931</v>
      </c>
      <c r="E6364" t="s">
        <v>3367</v>
      </c>
      <c r="G6364">
        <v>51.9</v>
      </c>
      <c r="H6364">
        <v>30818.52</v>
      </c>
    </row>
    <row r="6365" spans="1:8" ht="15" customHeight="1" x14ac:dyDescent="0.2">
      <c r="A6365" s="420">
        <v>45867</v>
      </c>
      <c r="B6365" t="s">
        <v>2333</v>
      </c>
      <c r="C6365" t="s">
        <v>7493</v>
      </c>
      <c r="D6365" t="s">
        <v>4799</v>
      </c>
      <c r="E6365" t="s">
        <v>4794</v>
      </c>
      <c r="G6365">
        <v>6.89</v>
      </c>
      <c r="H6365">
        <v>30811.63</v>
      </c>
    </row>
    <row r="6366" spans="1:8" ht="15" customHeight="1" x14ac:dyDescent="0.2">
      <c r="A6366" s="420">
        <v>45867</v>
      </c>
      <c r="B6366" t="s">
        <v>2333</v>
      </c>
      <c r="C6366" t="s">
        <v>7493</v>
      </c>
      <c r="D6366" t="s">
        <v>5242</v>
      </c>
      <c r="E6366" t="s">
        <v>5243</v>
      </c>
      <c r="G6366">
        <v>62</v>
      </c>
      <c r="H6366">
        <v>30749.63</v>
      </c>
    </row>
    <row r="6367" spans="1:8" ht="15" customHeight="1" x14ac:dyDescent="0.2">
      <c r="A6367" s="420">
        <v>45867</v>
      </c>
      <c r="B6367" t="s">
        <v>2333</v>
      </c>
      <c r="C6367" t="s">
        <v>7493</v>
      </c>
      <c r="D6367" t="s">
        <v>7660</v>
      </c>
      <c r="E6367" t="s">
        <v>1635</v>
      </c>
      <c r="G6367">
        <v>0.45</v>
      </c>
      <c r="H6367">
        <v>30749.18</v>
      </c>
    </row>
    <row r="6368" spans="1:8" ht="15" customHeight="1" x14ac:dyDescent="0.2">
      <c r="A6368" s="420">
        <v>45868</v>
      </c>
      <c r="B6368" t="s">
        <v>2333</v>
      </c>
      <c r="C6368" t="s">
        <v>7493</v>
      </c>
      <c r="D6368" t="s">
        <v>4442</v>
      </c>
      <c r="E6368" t="s">
        <v>4443</v>
      </c>
      <c r="G6368">
        <v>1150</v>
      </c>
      <c r="H6368">
        <v>29599.18</v>
      </c>
    </row>
    <row r="6369" spans="1:8" ht="15" customHeight="1" x14ac:dyDescent="0.2">
      <c r="A6369" s="420">
        <v>45868</v>
      </c>
      <c r="B6369" t="s">
        <v>2333</v>
      </c>
      <c r="C6369" t="s">
        <v>7493</v>
      </c>
      <c r="D6369" t="s">
        <v>4244</v>
      </c>
      <c r="E6369" t="s">
        <v>4245</v>
      </c>
      <c r="G6369">
        <v>5756.24</v>
      </c>
      <c r="H6369">
        <v>23842.94</v>
      </c>
    </row>
    <row r="6370" spans="1:8" ht="15" customHeight="1" x14ac:dyDescent="0.2">
      <c r="A6370" s="420">
        <v>45868</v>
      </c>
      <c r="B6370" t="s">
        <v>2333</v>
      </c>
      <c r="C6370" t="s">
        <v>7493</v>
      </c>
      <c r="D6370" t="s">
        <v>3165</v>
      </c>
      <c r="E6370" t="s">
        <v>3166</v>
      </c>
      <c r="G6370">
        <v>60</v>
      </c>
      <c r="H6370">
        <v>23782.94</v>
      </c>
    </row>
    <row r="6371" spans="1:8" ht="15" customHeight="1" x14ac:dyDescent="0.2">
      <c r="A6371" s="420">
        <v>45868</v>
      </c>
      <c r="B6371" t="s">
        <v>2333</v>
      </c>
      <c r="C6371" t="s">
        <v>7493</v>
      </c>
      <c r="D6371" t="s">
        <v>3167</v>
      </c>
      <c r="E6371" t="s">
        <v>3168</v>
      </c>
      <c r="G6371">
        <v>60</v>
      </c>
      <c r="H6371">
        <v>23722.94</v>
      </c>
    </row>
    <row r="6372" spans="1:8" ht="15" customHeight="1" x14ac:dyDescent="0.2">
      <c r="A6372" s="420">
        <v>45868</v>
      </c>
      <c r="B6372" t="s">
        <v>2333</v>
      </c>
      <c r="C6372" t="s">
        <v>7493</v>
      </c>
      <c r="D6372" t="s">
        <v>5133</v>
      </c>
      <c r="E6372" t="s">
        <v>5134</v>
      </c>
      <c r="G6372">
        <v>180</v>
      </c>
      <c r="H6372">
        <v>23542.94</v>
      </c>
    </row>
    <row r="6373" spans="1:8" ht="15" customHeight="1" x14ac:dyDescent="0.2">
      <c r="A6373" s="420">
        <v>45869</v>
      </c>
      <c r="B6373" t="s">
        <v>2333</v>
      </c>
      <c r="C6373" t="s">
        <v>7493</v>
      </c>
      <c r="D6373" t="s">
        <v>2712</v>
      </c>
      <c r="E6373" t="s">
        <v>2713</v>
      </c>
      <c r="G6373">
        <v>710.4</v>
      </c>
      <c r="H6373">
        <v>22832.54</v>
      </c>
    </row>
    <row r="6374" spans="1:8" ht="15" customHeight="1" x14ac:dyDescent="0.2">
      <c r="A6374" s="420">
        <v>45869</v>
      </c>
      <c r="B6374" t="s">
        <v>2333</v>
      </c>
      <c r="C6374" t="s">
        <v>7493</v>
      </c>
      <c r="D6374" t="s">
        <v>7384</v>
      </c>
      <c r="E6374" t="s">
        <v>7385</v>
      </c>
      <c r="F6374">
        <v>2150</v>
      </c>
      <c r="H6374">
        <v>24982.54</v>
      </c>
    </row>
    <row r="6375" spans="1:8" ht="15" customHeight="1" x14ac:dyDescent="0.2">
      <c r="A6375" s="420">
        <v>45869</v>
      </c>
      <c r="B6375" t="s">
        <v>2333</v>
      </c>
      <c r="C6375" t="s">
        <v>7493</v>
      </c>
      <c r="D6375" t="s">
        <v>3553</v>
      </c>
      <c r="E6375" t="s">
        <v>3551</v>
      </c>
      <c r="G6375">
        <v>17</v>
      </c>
      <c r="H6375">
        <v>24965.54</v>
      </c>
    </row>
    <row r="6376" spans="1:8" ht="15" customHeight="1" x14ac:dyDescent="0.2">
      <c r="A6376" s="420">
        <v>45869</v>
      </c>
      <c r="B6376" t="s">
        <v>2333</v>
      </c>
      <c r="C6376" t="s">
        <v>7493</v>
      </c>
      <c r="D6376" t="s">
        <v>5136</v>
      </c>
      <c r="E6376" t="s">
        <v>5137</v>
      </c>
      <c r="G6376">
        <v>180</v>
      </c>
      <c r="H6376">
        <v>24785.54</v>
      </c>
    </row>
    <row r="6377" spans="1:8" ht="15" customHeight="1" x14ac:dyDescent="0.2">
      <c r="A6377" s="420">
        <v>45869</v>
      </c>
      <c r="B6377" t="s">
        <v>2333</v>
      </c>
      <c r="C6377" t="s">
        <v>7493</v>
      </c>
      <c r="D6377" t="s">
        <v>4131</v>
      </c>
      <c r="E6377" t="s">
        <v>4123</v>
      </c>
      <c r="G6377">
        <v>13.99</v>
      </c>
      <c r="H6377">
        <v>24771.55</v>
      </c>
    </row>
    <row r="6378" spans="1:8" ht="15" customHeight="1" x14ac:dyDescent="0.2">
      <c r="A6378" s="420">
        <v>45869</v>
      </c>
      <c r="B6378" t="s">
        <v>2333</v>
      </c>
      <c r="C6378" t="s">
        <v>7493</v>
      </c>
      <c r="D6378" t="s">
        <v>4714</v>
      </c>
      <c r="E6378" t="s">
        <v>4698</v>
      </c>
      <c r="G6378">
        <v>17.46</v>
      </c>
      <c r="H6378">
        <v>24754.09</v>
      </c>
    </row>
    <row r="6379" spans="1:8" ht="15" customHeight="1" x14ac:dyDescent="0.2">
      <c r="A6379" s="420">
        <v>45869</v>
      </c>
      <c r="B6379" t="s">
        <v>2333</v>
      </c>
      <c r="C6379" t="s">
        <v>7493</v>
      </c>
      <c r="D6379" t="s">
        <v>4933</v>
      </c>
      <c r="E6379" t="s">
        <v>4851</v>
      </c>
      <c r="G6379">
        <v>36.9</v>
      </c>
      <c r="H6379">
        <v>24717.19</v>
      </c>
    </row>
    <row r="6380" spans="1:8" ht="15" customHeight="1" x14ac:dyDescent="0.2">
      <c r="A6380" s="420">
        <v>45869</v>
      </c>
      <c r="B6380" t="s">
        <v>2333</v>
      </c>
      <c r="C6380" t="s">
        <v>7493</v>
      </c>
      <c r="D6380" t="s">
        <v>7661</v>
      </c>
      <c r="E6380" t="s">
        <v>1635</v>
      </c>
      <c r="G6380">
        <v>0.68</v>
      </c>
      <c r="H6380">
        <v>24716.51</v>
      </c>
    </row>
    <row r="6381" spans="1:8" ht="15" customHeight="1" x14ac:dyDescent="0.2">
      <c r="A6381" s="420">
        <v>45870</v>
      </c>
      <c r="B6381" t="s">
        <v>2333</v>
      </c>
      <c r="C6381" t="s">
        <v>7493</v>
      </c>
      <c r="D6381" t="s">
        <v>5428</v>
      </c>
      <c r="E6381" t="s">
        <v>5429</v>
      </c>
      <c r="G6381">
        <v>462.38</v>
      </c>
      <c r="H6381">
        <v>24254.13</v>
      </c>
    </row>
    <row r="6382" spans="1:8" ht="15" customHeight="1" x14ac:dyDescent="0.2">
      <c r="A6382" s="420">
        <v>45870</v>
      </c>
      <c r="B6382" t="s">
        <v>2333</v>
      </c>
      <c r="C6382" t="s">
        <v>7493</v>
      </c>
      <c r="D6382" t="s">
        <v>7662</v>
      </c>
      <c r="E6382" t="s">
        <v>7663</v>
      </c>
      <c r="G6382">
        <v>20.91</v>
      </c>
      <c r="H6382">
        <v>24233.22</v>
      </c>
    </row>
    <row r="6383" spans="1:8" ht="15" customHeight="1" x14ac:dyDescent="0.2">
      <c r="A6383" s="420">
        <v>45870</v>
      </c>
      <c r="B6383" t="s">
        <v>2333</v>
      </c>
      <c r="C6383" t="s">
        <v>7493</v>
      </c>
      <c r="D6383" t="s">
        <v>7386</v>
      </c>
      <c r="E6383" t="s">
        <v>7387</v>
      </c>
      <c r="F6383">
        <v>2495</v>
      </c>
      <c r="H6383">
        <v>26728.22</v>
      </c>
    </row>
    <row r="6384" spans="1:8" ht="15" customHeight="1" x14ac:dyDescent="0.2">
      <c r="A6384" s="420">
        <v>45870</v>
      </c>
      <c r="B6384" t="s">
        <v>2333</v>
      </c>
      <c r="C6384" t="s">
        <v>7493</v>
      </c>
      <c r="D6384" t="s">
        <v>3415</v>
      </c>
      <c r="E6384" t="s">
        <v>3403</v>
      </c>
      <c r="G6384">
        <v>7080</v>
      </c>
      <c r="H6384">
        <v>19648.22</v>
      </c>
    </row>
    <row r="6385" spans="1:8" ht="15" customHeight="1" x14ac:dyDescent="0.2">
      <c r="A6385" s="420">
        <v>45870</v>
      </c>
      <c r="B6385" t="s">
        <v>2333</v>
      </c>
      <c r="C6385" t="s">
        <v>7493</v>
      </c>
      <c r="D6385" t="s">
        <v>4654</v>
      </c>
      <c r="E6385" t="s">
        <v>4655</v>
      </c>
      <c r="G6385">
        <v>1342.88</v>
      </c>
      <c r="H6385">
        <v>18305.34</v>
      </c>
    </row>
    <row r="6386" spans="1:8" ht="15" customHeight="1" x14ac:dyDescent="0.2">
      <c r="A6386" s="420">
        <v>45873</v>
      </c>
      <c r="B6386" t="s">
        <v>2333</v>
      </c>
      <c r="C6386" t="s">
        <v>7493</v>
      </c>
      <c r="D6386" t="s">
        <v>2988</v>
      </c>
      <c r="E6386" t="s">
        <v>2989</v>
      </c>
      <c r="G6386">
        <v>1752</v>
      </c>
      <c r="H6386">
        <v>16553.34</v>
      </c>
    </row>
    <row r="6387" spans="1:8" ht="15" customHeight="1" x14ac:dyDescent="0.2">
      <c r="A6387" s="420">
        <v>45873</v>
      </c>
      <c r="B6387" t="s">
        <v>2333</v>
      </c>
      <c r="C6387" t="s">
        <v>7493</v>
      </c>
      <c r="D6387" t="s">
        <v>4060</v>
      </c>
      <c r="E6387" t="s">
        <v>4058</v>
      </c>
      <c r="G6387">
        <v>1526</v>
      </c>
      <c r="H6387">
        <v>15027.34</v>
      </c>
    </row>
    <row r="6388" spans="1:8" ht="15" customHeight="1" x14ac:dyDescent="0.2">
      <c r="A6388" s="420">
        <v>45873</v>
      </c>
      <c r="B6388" t="s">
        <v>2333</v>
      </c>
      <c r="C6388" t="s">
        <v>7493</v>
      </c>
      <c r="D6388" t="s">
        <v>7130</v>
      </c>
      <c r="E6388" t="s">
        <v>7131</v>
      </c>
      <c r="G6388">
        <v>5.34</v>
      </c>
      <c r="H6388">
        <v>15022</v>
      </c>
    </row>
    <row r="6389" spans="1:8" ht="15" customHeight="1" x14ac:dyDescent="0.2">
      <c r="A6389" s="420">
        <v>45873</v>
      </c>
      <c r="B6389" t="s">
        <v>2333</v>
      </c>
      <c r="C6389" t="s">
        <v>7493</v>
      </c>
      <c r="D6389" t="s">
        <v>3734</v>
      </c>
      <c r="E6389" t="s">
        <v>3735</v>
      </c>
      <c r="G6389">
        <v>48</v>
      </c>
      <c r="H6389">
        <v>14974</v>
      </c>
    </row>
    <row r="6390" spans="1:8" ht="15" customHeight="1" x14ac:dyDescent="0.2">
      <c r="A6390" s="420">
        <v>45873</v>
      </c>
      <c r="B6390" t="s">
        <v>2333</v>
      </c>
      <c r="C6390" t="s">
        <v>7493</v>
      </c>
      <c r="D6390" t="s">
        <v>7132</v>
      </c>
      <c r="E6390" t="s">
        <v>7133</v>
      </c>
      <c r="G6390">
        <v>25.45</v>
      </c>
      <c r="H6390">
        <v>14948.55</v>
      </c>
    </row>
    <row r="6391" spans="1:8" ht="15" customHeight="1" x14ac:dyDescent="0.2">
      <c r="A6391" s="420">
        <v>45873</v>
      </c>
      <c r="B6391" t="s">
        <v>2333</v>
      </c>
      <c r="C6391" t="s">
        <v>7493</v>
      </c>
      <c r="D6391" t="s">
        <v>3152</v>
      </c>
      <c r="E6391" t="s">
        <v>3144</v>
      </c>
      <c r="G6391">
        <v>65.12</v>
      </c>
      <c r="H6391">
        <v>14883.43</v>
      </c>
    </row>
    <row r="6392" spans="1:8" ht="15" customHeight="1" x14ac:dyDescent="0.2">
      <c r="A6392" s="420">
        <v>45873</v>
      </c>
      <c r="B6392" t="s">
        <v>2333</v>
      </c>
      <c r="C6392" t="s">
        <v>7493</v>
      </c>
      <c r="D6392" t="s">
        <v>7664</v>
      </c>
      <c r="E6392" t="s">
        <v>747</v>
      </c>
      <c r="G6392">
        <v>14.13</v>
      </c>
      <c r="H6392">
        <v>14869.3</v>
      </c>
    </row>
    <row r="6393" spans="1:8" ht="15" customHeight="1" x14ac:dyDescent="0.2">
      <c r="A6393" s="420">
        <v>45874</v>
      </c>
      <c r="B6393" t="s">
        <v>2333</v>
      </c>
      <c r="C6393" t="s">
        <v>7493</v>
      </c>
      <c r="D6393" t="s">
        <v>7665</v>
      </c>
      <c r="E6393" t="s">
        <v>7666</v>
      </c>
      <c r="G6393">
        <v>15.2</v>
      </c>
      <c r="H6393">
        <v>14854.1</v>
      </c>
    </row>
    <row r="6394" spans="1:8" ht="15" customHeight="1" x14ac:dyDescent="0.2">
      <c r="A6394" s="420">
        <v>45874</v>
      </c>
      <c r="B6394" t="s">
        <v>2333</v>
      </c>
      <c r="C6394" t="s">
        <v>7493</v>
      </c>
      <c r="D6394" t="s">
        <v>7667</v>
      </c>
      <c r="E6394" t="s">
        <v>7668</v>
      </c>
      <c r="G6394">
        <v>235.76</v>
      </c>
      <c r="H6394">
        <v>14618.34</v>
      </c>
    </row>
    <row r="6395" spans="1:8" ht="15" customHeight="1" x14ac:dyDescent="0.2">
      <c r="A6395" s="420">
        <v>45874</v>
      </c>
      <c r="B6395" t="s">
        <v>2333</v>
      </c>
      <c r="C6395" t="s">
        <v>7493</v>
      </c>
      <c r="D6395" t="s">
        <v>7669</v>
      </c>
      <c r="E6395" t="s">
        <v>7670</v>
      </c>
      <c r="G6395">
        <v>41.51</v>
      </c>
      <c r="H6395">
        <v>14576.83</v>
      </c>
    </row>
    <row r="6396" spans="1:8" ht="15" customHeight="1" x14ac:dyDescent="0.2">
      <c r="A6396" s="420">
        <v>45874</v>
      </c>
      <c r="B6396" t="s">
        <v>2333</v>
      </c>
      <c r="C6396" t="s">
        <v>7493</v>
      </c>
      <c r="D6396" t="s">
        <v>7671</v>
      </c>
      <c r="E6396" t="s">
        <v>7672</v>
      </c>
      <c r="G6396">
        <v>602.54999999999995</v>
      </c>
      <c r="H6396">
        <v>13974.28</v>
      </c>
    </row>
    <row r="6397" spans="1:8" ht="15" customHeight="1" x14ac:dyDescent="0.2">
      <c r="A6397" s="420">
        <v>45874</v>
      </c>
      <c r="B6397" t="s">
        <v>2333</v>
      </c>
      <c r="C6397" t="s">
        <v>7493</v>
      </c>
      <c r="D6397" t="s">
        <v>2650</v>
      </c>
      <c r="E6397" t="s">
        <v>2651</v>
      </c>
      <c r="G6397">
        <v>1328.25</v>
      </c>
      <c r="H6397">
        <v>12646.03</v>
      </c>
    </row>
    <row r="6398" spans="1:8" ht="15" customHeight="1" x14ac:dyDescent="0.2">
      <c r="A6398" s="420">
        <v>45874</v>
      </c>
      <c r="B6398" t="s">
        <v>2333</v>
      </c>
      <c r="C6398" t="s">
        <v>7493</v>
      </c>
      <c r="D6398" t="s">
        <v>7179</v>
      </c>
      <c r="E6398" t="s">
        <v>7171</v>
      </c>
      <c r="G6398">
        <v>500</v>
      </c>
      <c r="H6398">
        <v>12146.03</v>
      </c>
    </row>
    <row r="6399" spans="1:8" ht="15" customHeight="1" x14ac:dyDescent="0.2">
      <c r="A6399" s="420">
        <v>45874</v>
      </c>
      <c r="B6399" t="s">
        <v>2333</v>
      </c>
      <c r="C6399" t="s">
        <v>7493</v>
      </c>
      <c r="D6399" t="s">
        <v>4088</v>
      </c>
      <c r="E6399" t="s">
        <v>4078</v>
      </c>
      <c r="G6399">
        <v>322</v>
      </c>
      <c r="H6399">
        <v>11824.03</v>
      </c>
    </row>
    <row r="6400" spans="1:8" ht="15" customHeight="1" x14ac:dyDescent="0.2">
      <c r="A6400" s="420">
        <v>45874</v>
      </c>
      <c r="B6400" t="s">
        <v>2333</v>
      </c>
      <c r="C6400" t="s">
        <v>7493</v>
      </c>
      <c r="D6400" t="s">
        <v>5875</v>
      </c>
      <c r="E6400" t="s">
        <v>5876</v>
      </c>
      <c r="F6400">
        <v>25526.1</v>
      </c>
      <c r="H6400">
        <v>37350.129999999997</v>
      </c>
    </row>
    <row r="6401" spans="1:8" ht="15" customHeight="1" x14ac:dyDescent="0.2">
      <c r="A6401" s="420">
        <v>45874</v>
      </c>
      <c r="B6401" t="s">
        <v>2333</v>
      </c>
      <c r="C6401" t="s">
        <v>7493</v>
      </c>
      <c r="D6401" t="s">
        <v>7423</v>
      </c>
      <c r="E6401" t="s">
        <v>7424</v>
      </c>
      <c r="F6401">
        <v>10934.65</v>
      </c>
      <c r="H6401">
        <v>48284.78</v>
      </c>
    </row>
    <row r="6402" spans="1:8" ht="15" customHeight="1" x14ac:dyDescent="0.2">
      <c r="A6402" s="420">
        <v>45874</v>
      </c>
      <c r="B6402" t="s">
        <v>2333</v>
      </c>
      <c r="C6402" t="s">
        <v>7493</v>
      </c>
      <c r="D6402" t="s">
        <v>6108</v>
      </c>
      <c r="E6402" t="s">
        <v>6109</v>
      </c>
      <c r="G6402">
        <v>5011.5</v>
      </c>
      <c r="H6402">
        <v>43273.279999999999</v>
      </c>
    </row>
    <row r="6403" spans="1:8" ht="15" customHeight="1" x14ac:dyDescent="0.2">
      <c r="A6403" s="420">
        <v>45874</v>
      </c>
      <c r="B6403" t="s">
        <v>2333</v>
      </c>
      <c r="C6403" t="s">
        <v>7493</v>
      </c>
      <c r="D6403" t="s">
        <v>6110</v>
      </c>
      <c r="E6403" t="s">
        <v>6111</v>
      </c>
      <c r="G6403">
        <v>2191.79</v>
      </c>
      <c r="H6403">
        <v>41081.49</v>
      </c>
    </row>
    <row r="6404" spans="1:8" ht="15" customHeight="1" x14ac:dyDescent="0.2">
      <c r="A6404" s="420">
        <v>45875</v>
      </c>
      <c r="B6404" t="s">
        <v>2333</v>
      </c>
      <c r="C6404" t="s">
        <v>7493</v>
      </c>
      <c r="D6404" t="s">
        <v>4026</v>
      </c>
      <c r="E6404" t="s">
        <v>4027</v>
      </c>
      <c r="G6404">
        <v>393.82</v>
      </c>
      <c r="H6404">
        <v>40687.67</v>
      </c>
    </row>
    <row r="6405" spans="1:8" ht="15" customHeight="1" x14ac:dyDescent="0.2">
      <c r="A6405" s="420">
        <v>45875</v>
      </c>
      <c r="B6405" t="s">
        <v>2333</v>
      </c>
      <c r="C6405" t="s">
        <v>7493</v>
      </c>
      <c r="D6405" t="s">
        <v>2777</v>
      </c>
      <c r="E6405" t="s">
        <v>2761</v>
      </c>
      <c r="G6405">
        <v>95.47</v>
      </c>
      <c r="H6405">
        <v>40592.199999999997</v>
      </c>
    </row>
    <row r="6406" spans="1:8" ht="15" customHeight="1" x14ac:dyDescent="0.2">
      <c r="A6406" s="420">
        <v>45875</v>
      </c>
      <c r="B6406" t="s">
        <v>2333</v>
      </c>
      <c r="C6406" t="s">
        <v>7493</v>
      </c>
      <c r="D6406" t="s">
        <v>5561</v>
      </c>
      <c r="E6406" t="s">
        <v>5562</v>
      </c>
      <c r="F6406">
        <v>53348.2</v>
      </c>
      <c r="H6406">
        <v>93940.4</v>
      </c>
    </row>
    <row r="6407" spans="1:8" ht="15" customHeight="1" x14ac:dyDescent="0.2">
      <c r="A6407" s="420">
        <v>45875</v>
      </c>
      <c r="B6407" t="s">
        <v>2333</v>
      </c>
      <c r="C6407" t="s">
        <v>7493</v>
      </c>
      <c r="D6407" t="s">
        <v>7673</v>
      </c>
      <c r="E6407" t="s">
        <v>1622</v>
      </c>
      <c r="G6407">
        <v>31.8</v>
      </c>
      <c r="H6407">
        <v>93908.6</v>
      </c>
    </row>
    <row r="6408" spans="1:8" ht="15" customHeight="1" x14ac:dyDescent="0.2">
      <c r="A6408" s="420">
        <v>45876</v>
      </c>
      <c r="B6408" t="s">
        <v>2333</v>
      </c>
      <c r="C6408" t="s">
        <v>7493</v>
      </c>
      <c r="D6408" t="s">
        <v>5468</v>
      </c>
      <c r="E6408" t="s">
        <v>5469</v>
      </c>
      <c r="G6408">
        <v>65.75</v>
      </c>
      <c r="H6408">
        <v>93842.85</v>
      </c>
    </row>
    <row r="6409" spans="1:8" ht="15" customHeight="1" x14ac:dyDescent="0.2">
      <c r="A6409" s="420">
        <v>45876</v>
      </c>
      <c r="B6409" t="s">
        <v>2333</v>
      </c>
      <c r="C6409" t="s">
        <v>7493</v>
      </c>
      <c r="D6409" t="s">
        <v>2916</v>
      </c>
      <c r="E6409" t="s">
        <v>2917</v>
      </c>
      <c r="G6409">
        <v>4048.36</v>
      </c>
      <c r="H6409">
        <v>89794.49</v>
      </c>
    </row>
    <row r="6410" spans="1:8" ht="15" customHeight="1" x14ac:dyDescent="0.2">
      <c r="A6410" s="420">
        <v>45877</v>
      </c>
      <c r="B6410" t="s">
        <v>2333</v>
      </c>
      <c r="C6410" t="s">
        <v>7493</v>
      </c>
      <c r="D6410" t="s">
        <v>5354</v>
      </c>
      <c r="E6410" t="s">
        <v>5355</v>
      </c>
      <c r="G6410">
        <v>24</v>
      </c>
      <c r="H6410">
        <v>89770.49</v>
      </c>
    </row>
    <row r="6411" spans="1:8" ht="15" customHeight="1" x14ac:dyDescent="0.2">
      <c r="A6411" s="420">
        <v>45877</v>
      </c>
      <c r="B6411" t="s">
        <v>2333</v>
      </c>
      <c r="C6411" t="s">
        <v>7493</v>
      </c>
      <c r="D6411" t="s">
        <v>3428</v>
      </c>
      <c r="E6411" t="s">
        <v>3429</v>
      </c>
      <c r="G6411">
        <v>1199</v>
      </c>
      <c r="H6411">
        <v>88571.49</v>
      </c>
    </row>
    <row r="6412" spans="1:8" ht="15" customHeight="1" x14ac:dyDescent="0.2">
      <c r="A6412" s="420">
        <v>45877</v>
      </c>
      <c r="B6412" t="s">
        <v>2333</v>
      </c>
      <c r="C6412" t="s">
        <v>7493</v>
      </c>
      <c r="D6412" t="s">
        <v>2826</v>
      </c>
      <c r="E6412" t="s">
        <v>1312</v>
      </c>
      <c r="G6412">
        <v>0.99</v>
      </c>
      <c r="H6412">
        <v>88570.5</v>
      </c>
    </row>
    <row r="6413" spans="1:8" ht="15" customHeight="1" x14ac:dyDescent="0.2">
      <c r="A6413" s="420">
        <v>45880</v>
      </c>
      <c r="B6413" t="s">
        <v>2333</v>
      </c>
      <c r="C6413" t="s">
        <v>7493</v>
      </c>
      <c r="D6413" t="s">
        <v>3503</v>
      </c>
      <c r="E6413" t="s">
        <v>3504</v>
      </c>
      <c r="G6413">
        <v>114.4</v>
      </c>
      <c r="H6413">
        <v>88456.1</v>
      </c>
    </row>
    <row r="6414" spans="1:8" ht="15" customHeight="1" x14ac:dyDescent="0.2">
      <c r="A6414" s="420">
        <v>45880</v>
      </c>
      <c r="B6414" t="s">
        <v>2333</v>
      </c>
      <c r="C6414" t="s">
        <v>7493</v>
      </c>
      <c r="D6414" t="s">
        <v>5013</v>
      </c>
      <c r="E6414" t="s">
        <v>5014</v>
      </c>
      <c r="G6414">
        <v>110.8</v>
      </c>
      <c r="H6414">
        <v>88345.3</v>
      </c>
    </row>
    <row r="6415" spans="1:8" ht="15" customHeight="1" x14ac:dyDescent="0.2">
      <c r="A6415" s="420">
        <v>45880</v>
      </c>
      <c r="B6415" t="s">
        <v>2333</v>
      </c>
      <c r="C6415" t="s">
        <v>7493</v>
      </c>
      <c r="D6415" t="s">
        <v>5056</v>
      </c>
      <c r="E6415" t="s">
        <v>5057</v>
      </c>
      <c r="G6415">
        <v>198.01</v>
      </c>
      <c r="H6415">
        <v>88147.29</v>
      </c>
    </row>
    <row r="6416" spans="1:8" ht="15" customHeight="1" x14ac:dyDescent="0.2">
      <c r="A6416" s="420">
        <v>45880</v>
      </c>
      <c r="B6416" t="s">
        <v>2333</v>
      </c>
      <c r="C6416" t="s">
        <v>7493</v>
      </c>
      <c r="D6416" t="s">
        <v>3310</v>
      </c>
      <c r="E6416" t="s">
        <v>3311</v>
      </c>
      <c r="G6416">
        <v>53.36</v>
      </c>
      <c r="H6416">
        <v>88093.93</v>
      </c>
    </row>
    <row r="6417" spans="1:8" ht="15" customHeight="1" x14ac:dyDescent="0.2">
      <c r="A6417" s="420">
        <v>45880</v>
      </c>
      <c r="B6417" t="s">
        <v>2333</v>
      </c>
      <c r="C6417" t="s">
        <v>7493</v>
      </c>
      <c r="D6417" t="s">
        <v>3101</v>
      </c>
      <c r="E6417" t="s">
        <v>3102</v>
      </c>
      <c r="G6417">
        <v>11.99</v>
      </c>
      <c r="H6417">
        <v>88081.94</v>
      </c>
    </row>
    <row r="6418" spans="1:8" ht="15" customHeight="1" x14ac:dyDescent="0.2">
      <c r="A6418" s="420">
        <v>45881</v>
      </c>
      <c r="B6418" t="s">
        <v>2333</v>
      </c>
      <c r="C6418" t="s">
        <v>7493</v>
      </c>
      <c r="D6418" t="s">
        <v>7674</v>
      </c>
      <c r="E6418" t="s">
        <v>7675</v>
      </c>
      <c r="G6418">
        <v>85.21</v>
      </c>
      <c r="H6418">
        <v>87996.73</v>
      </c>
    </row>
    <row r="6419" spans="1:8" ht="15" customHeight="1" x14ac:dyDescent="0.2">
      <c r="A6419" s="420">
        <v>45881</v>
      </c>
      <c r="B6419" t="s">
        <v>2333</v>
      </c>
      <c r="C6419" t="s">
        <v>7493</v>
      </c>
      <c r="D6419" t="s">
        <v>7676</v>
      </c>
      <c r="E6419" t="s">
        <v>7677</v>
      </c>
      <c r="G6419">
        <v>78.010000000000005</v>
      </c>
      <c r="H6419">
        <v>87918.720000000001</v>
      </c>
    </row>
    <row r="6420" spans="1:8" ht="15" customHeight="1" x14ac:dyDescent="0.2">
      <c r="A6420" s="420">
        <v>45881</v>
      </c>
      <c r="B6420" t="s">
        <v>2333</v>
      </c>
      <c r="C6420" t="s">
        <v>7493</v>
      </c>
      <c r="D6420" t="s">
        <v>7678</v>
      </c>
      <c r="E6420" t="s">
        <v>7679</v>
      </c>
      <c r="G6420">
        <v>116.38</v>
      </c>
      <c r="H6420">
        <v>87802.34</v>
      </c>
    </row>
    <row r="6421" spans="1:8" ht="15" customHeight="1" x14ac:dyDescent="0.2">
      <c r="A6421" s="420">
        <v>45881</v>
      </c>
      <c r="B6421" t="s">
        <v>2333</v>
      </c>
      <c r="C6421" t="s">
        <v>7493</v>
      </c>
      <c r="D6421" t="s">
        <v>7680</v>
      </c>
      <c r="E6421" t="s">
        <v>7681</v>
      </c>
      <c r="G6421">
        <v>100.82</v>
      </c>
      <c r="H6421">
        <v>87701.52</v>
      </c>
    </row>
    <row r="6422" spans="1:8" ht="15" customHeight="1" x14ac:dyDescent="0.2">
      <c r="A6422" s="420">
        <v>45881</v>
      </c>
      <c r="B6422" t="s">
        <v>2333</v>
      </c>
      <c r="C6422" t="s">
        <v>7493</v>
      </c>
      <c r="D6422" t="s">
        <v>3439</v>
      </c>
      <c r="E6422" t="s">
        <v>3433</v>
      </c>
      <c r="G6422">
        <v>40.450000000000003</v>
      </c>
      <c r="H6422">
        <v>87661.07</v>
      </c>
    </row>
    <row r="6423" spans="1:8" ht="15" customHeight="1" x14ac:dyDescent="0.2">
      <c r="A6423" s="420">
        <v>45882</v>
      </c>
      <c r="B6423" t="s">
        <v>2333</v>
      </c>
      <c r="C6423" t="s">
        <v>7493</v>
      </c>
      <c r="D6423" t="s">
        <v>3814</v>
      </c>
      <c r="E6423" t="s">
        <v>3815</v>
      </c>
      <c r="G6423">
        <v>70.36</v>
      </c>
      <c r="H6423">
        <v>87590.71</v>
      </c>
    </row>
    <row r="6424" spans="1:8" ht="15" customHeight="1" x14ac:dyDescent="0.2">
      <c r="A6424" s="420">
        <v>45882</v>
      </c>
      <c r="B6424" t="s">
        <v>2333</v>
      </c>
      <c r="C6424" t="s">
        <v>7493</v>
      </c>
      <c r="D6424" t="s">
        <v>3709</v>
      </c>
      <c r="E6424" t="s">
        <v>3710</v>
      </c>
      <c r="G6424">
        <v>2140.3000000000002</v>
      </c>
      <c r="H6424">
        <v>85450.41</v>
      </c>
    </row>
    <row r="6425" spans="1:8" ht="15" customHeight="1" x14ac:dyDescent="0.2">
      <c r="A6425" s="420">
        <v>45882</v>
      </c>
      <c r="B6425" t="s">
        <v>2333</v>
      </c>
      <c r="C6425" t="s">
        <v>7493</v>
      </c>
      <c r="D6425" t="s">
        <v>4664</v>
      </c>
      <c r="E6425" t="s">
        <v>4665</v>
      </c>
      <c r="G6425">
        <v>106.2</v>
      </c>
      <c r="H6425">
        <v>85344.21</v>
      </c>
    </row>
    <row r="6426" spans="1:8" ht="15" customHeight="1" x14ac:dyDescent="0.2">
      <c r="A6426" s="420">
        <v>45883</v>
      </c>
      <c r="B6426" t="s">
        <v>2333</v>
      </c>
      <c r="C6426" t="s">
        <v>7493</v>
      </c>
      <c r="D6426" t="s">
        <v>7682</v>
      </c>
      <c r="E6426" t="s">
        <v>7683</v>
      </c>
      <c r="F6426">
        <v>2100</v>
      </c>
      <c r="H6426">
        <v>87444.21</v>
      </c>
    </row>
    <row r="6427" spans="1:8" ht="15" customHeight="1" x14ac:dyDescent="0.2">
      <c r="A6427" s="420">
        <v>45884</v>
      </c>
      <c r="B6427" t="s">
        <v>2333</v>
      </c>
      <c r="C6427" t="s">
        <v>7493</v>
      </c>
      <c r="D6427" t="s">
        <v>2716</v>
      </c>
      <c r="E6427" t="s">
        <v>2717</v>
      </c>
      <c r="G6427">
        <v>353.28</v>
      </c>
      <c r="H6427">
        <v>87090.93</v>
      </c>
    </row>
    <row r="6428" spans="1:8" ht="15" customHeight="1" x14ac:dyDescent="0.2">
      <c r="A6428" s="420">
        <v>45887</v>
      </c>
      <c r="B6428" t="s">
        <v>2333</v>
      </c>
      <c r="C6428" t="s">
        <v>7493</v>
      </c>
      <c r="D6428" t="s">
        <v>3900</v>
      </c>
      <c r="E6428" t="s">
        <v>3894</v>
      </c>
      <c r="G6428">
        <v>420.25</v>
      </c>
      <c r="H6428">
        <v>86670.68</v>
      </c>
    </row>
    <row r="6429" spans="1:8" ht="15" customHeight="1" x14ac:dyDescent="0.2">
      <c r="A6429" s="420">
        <v>45887</v>
      </c>
      <c r="B6429" t="s">
        <v>2333</v>
      </c>
      <c r="C6429" t="s">
        <v>7493</v>
      </c>
      <c r="D6429" t="s">
        <v>7134</v>
      </c>
      <c r="E6429" t="s">
        <v>7135</v>
      </c>
      <c r="G6429">
        <v>82.7</v>
      </c>
      <c r="H6429">
        <v>86587.98</v>
      </c>
    </row>
    <row r="6430" spans="1:8" ht="15" customHeight="1" x14ac:dyDescent="0.2">
      <c r="A6430" s="420">
        <v>45888</v>
      </c>
      <c r="B6430" t="s">
        <v>2333</v>
      </c>
      <c r="C6430" t="s">
        <v>7493</v>
      </c>
      <c r="D6430" t="s">
        <v>6192</v>
      </c>
      <c r="E6430" t="s">
        <v>6193</v>
      </c>
      <c r="G6430">
        <v>4531</v>
      </c>
      <c r="H6430">
        <v>82056.98</v>
      </c>
    </row>
    <row r="6431" spans="1:8" ht="15" customHeight="1" x14ac:dyDescent="0.2">
      <c r="A6431" s="420">
        <v>45888</v>
      </c>
      <c r="B6431" t="s">
        <v>2333</v>
      </c>
      <c r="C6431" t="s">
        <v>7493</v>
      </c>
      <c r="D6431" t="s">
        <v>5187</v>
      </c>
      <c r="E6431" t="s">
        <v>5188</v>
      </c>
      <c r="G6431">
        <v>4.99</v>
      </c>
      <c r="H6431">
        <v>82051.990000000005</v>
      </c>
    </row>
    <row r="6432" spans="1:8" ht="15" customHeight="1" x14ac:dyDescent="0.2">
      <c r="A6432" s="420">
        <v>45888</v>
      </c>
      <c r="B6432" t="s">
        <v>2333</v>
      </c>
      <c r="C6432" t="s">
        <v>7493</v>
      </c>
      <c r="D6432" t="s">
        <v>3930</v>
      </c>
      <c r="E6432" t="s">
        <v>3931</v>
      </c>
      <c r="G6432">
        <v>56</v>
      </c>
      <c r="H6432">
        <v>81995.990000000005</v>
      </c>
    </row>
    <row r="6433" spans="1:8" ht="15" customHeight="1" x14ac:dyDescent="0.2">
      <c r="A6433" s="420">
        <v>45889</v>
      </c>
      <c r="B6433" t="s">
        <v>2333</v>
      </c>
      <c r="C6433" t="s">
        <v>7493</v>
      </c>
      <c r="D6433" t="s">
        <v>3860</v>
      </c>
      <c r="E6433" t="s">
        <v>3861</v>
      </c>
      <c r="G6433">
        <v>749.62</v>
      </c>
      <c r="H6433">
        <v>81246.37</v>
      </c>
    </row>
    <row r="6434" spans="1:8" ht="15" customHeight="1" x14ac:dyDescent="0.2">
      <c r="A6434" s="420">
        <v>45889</v>
      </c>
      <c r="B6434" t="s">
        <v>2333</v>
      </c>
      <c r="C6434" t="s">
        <v>7493</v>
      </c>
      <c r="D6434" t="s">
        <v>5398</v>
      </c>
      <c r="E6434" t="s">
        <v>5399</v>
      </c>
      <c r="G6434">
        <v>58.74</v>
      </c>
      <c r="H6434">
        <v>81187.63</v>
      </c>
    </row>
    <row r="6435" spans="1:8" ht="15" customHeight="1" x14ac:dyDescent="0.2">
      <c r="A6435" s="420">
        <v>45889</v>
      </c>
      <c r="B6435" t="s">
        <v>2333</v>
      </c>
      <c r="C6435" t="s">
        <v>7493</v>
      </c>
      <c r="D6435" t="s">
        <v>7110</v>
      </c>
      <c r="E6435" t="s">
        <v>7111</v>
      </c>
      <c r="G6435">
        <v>10000</v>
      </c>
      <c r="H6435">
        <v>71187.63</v>
      </c>
    </row>
    <row r="6436" spans="1:8" ht="15" customHeight="1" x14ac:dyDescent="0.2">
      <c r="A6436" s="420">
        <v>45889</v>
      </c>
      <c r="B6436" t="s">
        <v>2333</v>
      </c>
      <c r="C6436" t="s">
        <v>7493</v>
      </c>
      <c r="D6436" t="s">
        <v>3835</v>
      </c>
      <c r="E6436" t="s">
        <v>3836</v>
      </c>
      <c r="G6436">
        <v>50</v>
      </c>
      <c r="H6436">
        <v>71137.63</v>
      </c>
    </row>
    <row r="6437" spans="1:8" ht="15" customHeight="1" x14ac:dyDescent="0.2">
      <c r="A6437" s="420">
        <v>45891</v>
      </c>
      <c r="B6437" t="s">
        <v>2333</v>
      </c>
      <c r="C6437" t="s">
        <v>7493</v>
      </c>
      <c r="D6437" t="s">
        <v>5059</v>
      </c>
      <c r="E6437" t="s">
        <v>5037</v>
      </c>
      <c r="G6437">
        <v>120</v>
      </c>
      <c r="H6437">
        <v>71017.63</v>
      </c>
    </row>
    <row r="6438" spans="1:8" ht="15" customHeight="1" x14ac:dyDescent="0.2">
      <c r="A6438" s="420">
        <v>45894</v>
      </c>
      <c r="B6438" t="s">
        <v>2333</v>
      </c>
      <c r="C6438" t="s">
        <v>7493</v>
      </c>
      <c r="D6438" t="s">
        <v>4750</v>
      </c>
      <c r="E6438" t="s">
        <v>4751</v>
      </c>
      <c r="G6438">
        <v>97</v>
      </c>
      <c r="H6438">
        <v>70920.63</v>
      </c>
    </row>
    <row r="6439" spans="1:8" ht="15" customHeight="1" x14ac:dyDescent="0.2">
      <c r="A6439" s="420">
        <v>45894</v>
      </c>
      <c r="B6439" t="s">
        <v>2333</v>
      </c>
      <c r="C6439" t="s">
        <v>7493</v>
      </c>
      <c r="D6439" t="s">
        <v>6249</v>
      </c>
      <c r="E6439" t="s">
        <v>6250</v>
      </c>
      <c r="G6439">
        <v>1476</v>
      </c>
      <c r="H6439">
        <v>69444.63</v>
      </c>
    </row>
    <row r="6440" spans="1:8" ht="15" customHeight="1" x14ac:dyDescent="0.2">
      <c r="A6440" s="420">
        <v>45894</v>
      </c>
      <c r="B6440" t="s">
        <v>2333</v>
      </c>
      <c r="C6440" t="s">
        <v>7493</v>
      </c>
      <c r="D6440" t="s">
        <v>2828</v>
      </c>
      <c r="E6440" t="s">
        <v>2829</v>
      </c>
      <c r="G6440">
        <v>34.950000000000003</v>
      </c>
      <c r="H6440">
        <v>69409.679999999993</v>
      </c>
    </row>
    <row r="6441" spans="1:8" ht="15" customHeight="1" x14ac:dyDescent="0.2">
      <c r="A6441" s="420">
        <v>45894</v>
      </c>
      <c r="B6441" t="s">
        <v>2333</v>
      </c>
      <c r="C6441" t="s">
        <v>7493</v>
      </c>
      <c r="D6441" t="s">
        <v>5245</v>
      </c>
      <c r="E6441" t="s">
        <v>5241</v>
      </c>
      <c r="G6441">
        <v>35.01</v>
      </c>
      <c r="H6441">
        <v>69374.67</v>
      </c>
    </row>
    <row r="6442" spans="1:8" ht="15" customHeight="1" x14ac:dyDescent="0.2">
      <c r="A6442" s="420">
        <v>45894</v>
      </c>
      <c r="B6442" t="s">
        <v>2333</v>
      </c>
      <c r="C6442" t="s">
        <v>7493</v>
      </c>
      <c r="D6442" t="s">
        <v>4936</v>
      </c>
      <c r="E6442" t="s">
        <v>3367</v>
      </c>
      <c r="G6442">
        <v>85.7</v>
      </c>
      <c r="H6442">
        <v>69288.97</v>
      </c>
    </row>
    <row r="6443" spans="1:8" ht="15" customHeight="1" x14ac:dyDescent="0.2">
      <c r="A6443" s="420">
        <v>45895</v>
      </c>
      <c r="B6443" t="s">
        <v>2333</v>
      </c>
      <c r="C6443" t="s">
        <v>7493</v>
      </c>
      <c r="D6443" t="s">
        <v>3506</v>
      </c>
      <c r="E6443" t="s">
        <v>3507</v>
      </c>
      <c r="G6443">
        <v>218.13</v>
      </c>
      <c r="H6443">
        <v>69070.84</v>
      </c>
    </row>
    <row r="6444" spans="1:8" ht="15" customHeight="1" x14ac:dyDescent="0.2">
      <c r="A6444" s="420">
        <v>45895</v>
      </c>
      <c r="B6444" t="s">
        <v>2333</v>
      </c>
      <c r="C6444" t="s">
        <v>7493</v>
      </c>
      <c r="D6444" t="s">
        <v>6282</v>
      </c>
      <c r="E6444" t="s">
        <v>6283</v>
      </c>
      <c r="G6444">
        <v>393</v>
      </c>
      <c r="H6444">
        <v>68677.84</v>
      </c>
    </row>
    <row r="6445" spans="1:8" ht="15" customHeight="1" x14ac:dyDescent="0.2">
      <c r="A6445" s="420">
        <v>45895</v>
      </c>
      <c r="B6445" t="s">
        <v>2333</v>
      </c>
      <c r="C6445" t="s">
        <v>7493</v>
      </c>
      <c r="D6445" t="s">
        <v>7218</v>
      </c>
      <c r="E6445" t="s">
        <v>7219</v>
      </c>
      <c r="F6445">
        <v>25017.5</v>
      </c>
      <c r="H6445">
        <v>93695.34</v>
      </c>
    </row>
    <row r="6446" spans="1:8" ht="15" customHeight="1" x14ac:dyDescent="0.2">
      <c r="A6446" s="420">
        <v>45896</v>
      </c>
      <c r="B6446" t="s">
        <v>2333</v>
      </c>
      <c r="C6446" t="s">
        <v>7493</v>
      </c>
      <c r="D6446" t="s">
        <v>2919</v>
      </c>
      <c r="E6446" t="s">
        <v>2920</v>
      </c>
      <c r="G6446">
        <v>418.8</v>
      </c>
      <c r="H6446">
        <v>93276.54</v>
      </c>
    </row>
    <row r="6447" spans="1:8" ht="15" customHeight="1" x14ac:dyDescent="0.2">
      <c r="A6447" s="420">
        <v>45896</v>
      </c>
      <c r="B6447" t="s">
        <v>2333</v>
      </c>
      <c r="C6447" t="s">
        <v>7493</v>
      </c>
      <c r="D6447" t="s">
        <v>6379</v>
      </c>
      <c r="E6447" t="s">
        <v>6380</v>
      </c>
      <c r="G6447">
        <v>42891</v>
      </c>
      <c r="H6447">
        <v>50385.54</v>
      </c>
    </row>
    <row r="6448" spans="1:8" ht="15" customHeight="1" x14ac:dyDescent="0.2">
      <c r="A6448" s="420">
        <v>45896</v>
      </c>
      <c r="B6448" t="s">
        <v>2333</v>
      </c>
      <c r="C6448" t="s">
        <v>7493</v>
      </c>
      <c r="D6448" t="s">
        <v>7136</v>
      </c>
      <c r="E6448" t="s">
        <v>7137</v>
      </c>
      <c r="G6448">
        <v>14.99</v>
      </c>
      <c r="H6448">
        <v>50370.55</v>
      </c>
    </row>
    <row r="6449" spans="1:8" ht="15" customHeight="1" x14ac:dyDescent="0.2">
      <c r="A6449" s="420">
        <v>45897</v>
      </c>
      <c r="B6449" t="s">
        <v>2333</v>
      </c>
      <c r="C6449" t="s">
        <v>7493</v>
      </c>
      <c r="D6449" t="s">
        <v>5563</v>
      </c>
      <c r="E6449" t="s">
        <v>5564</v>
      </c>
      <c r="G6449">
        <v>6000</v>
      </c>
      <c r="H6449">
        <v>44370.55</v>
      </c>
    </row>
    <row r="6450" spans="1:8" ht="15" customHeight="1" x14ac:dyDescent="0.2">
      <c r="A6450" s="420">
        <v>45897</v>
      </c>
      <c r="B6450" t="s">
        <v>2333</v>
      </c>
      <c r="C6450" t="s">
        <v>7493</v>
      </c>
      <c r="D6450" t="s">
        <v>5879</v>
      </c>
      <c r="E6450" t="s">
        <v>5880</v>
      </c>
      <c r="G6450">
        <v>6000</v>
      </c>
      <c r="H6450">
        <v>38370.550000000003</v>
      </c>
    </row>
    <row r="6451" spans="1:8" ht="15" customHeight="1" x14ac:dyDescent="0.2">
      <c r="A6451" s="420">
        <v>45898</v>
      </c>
      <c r="B6451" t="s">
        <v>2333</v>
      </c>
      <c r="C6451" t="s">
        <v>7493</v>
      </c>
      <c r="D6451" t="s">
        <v>4256</v>
      </c>
      <c r="E6451" t="s">
        <v>4257</v>
      </c>
      <c r="G6451">
        <v>2217.04</v>
      </c>
      <c r="H6451">
        <v>36153.51</v>
      </c>
    </row>
    <row r="6452" spans="1:8" ht="15" customHeight="1" x14ac:dyDescent="0.2">
      <c r="A6452" s="420">
        <v>45898</v>
      </c>
      <c r="B6452" t="s">
        <v>2333</v>
      </c>
      <c r="C6452" t="s">
        <v>7493</v>
      </c>
      <c r="D6452" t="s">
        <v>4258</v>
      </c>
      <c r="E6452" t="s">
        <v>4259</v>
      </c>
      <c r="G6452">
        <v>2964</v>
      </c>
      <c r="H6452">
        <v>33189.51</v>
      </c>
    </row>
    <row r="6453" spans="1:8" ht="15" customHeight="1" x14ac:dyDescent="0.2">
      <c r="A6453" s="420">
        <v>45898</v>
      </c>
      <c r="B6453" t="s">
        <v>2333</v>
      </c>
      <c r="C6453" t="s">
        <v>7493</v>
      </c>
      <c r="D6453" t="s">
        <v>4802</v>
      </c>
      <c r="E6453" t="s">
        <v>4794</v>
      </c>
      <c r="G6453">
        <v>6.89</v>
      </c>
      <c r="H6453">
        <v>33182.620000000003</v>
      </c>
    </row>
    <row r="6454" spans="1:8" ht="15" customHeight="1" x14ac:dyDescent="0.2">
      <c r="A6454" s="420">
        <v>45898</v>
      </c>
      <c r="B6454" t="s">
        <v>2333</v>
      </c>
      <c r="C6454" t="s">
        <v>7493</v>
      </c>
      <c r="D6454" t="s">
        <v>7684</v>
      </c>
      <c r="E6454" t="s">
        <v>1635</v>
      </c>
      <c r="G6454">
        <v>0.45</v>
      </c>
      <c r="H6454">
        <v>33182.17</v>
      </c>
    </row>
    <row r="6455" spans="1:8" ht="15" customHeight="1" x14ac:dyDescent="0.2">
      <c r="A6455" s="420">
        <v>45901</v>
      </c>
      <c r="B6455" t="s">
        <v>2333</v>
      </c>
      <c r="C6455" t="s">
        <v>7493</v>
      </c>
      <c r="D6455" t="s">
        <v>5431</v>
      </c>
      <c r="E6455" t="s">
        <v>5432</v>
      </c>
      <c r="G6455">
        <v>462.38</v>
      </c>
      <c r="H6455">
        <v>32719.79</v>
      </c>
    </row>
    <row r="6456" spans="1:8" ht="15" customHeight="1" x14ac:dyDescent="0.2">
      <c r="A6456" s="420">
        <v>45901</v>
      </c>
      <c r="B6456" t="s">
        <v>2333</v>
      </c>
      <c r="C6456" t="s">
        <v>7493</v>
      </c>
      <c r="D6456" t="s">
        <v>2720</v>
      </c>
      <c r="E6456" t="s">
        <v>2721</v>
      </c>
      <c r="G6456">
        <v>710.4</v>
      </c>
      <c r="H6456">
        <v>32009.39</v>
      </c>
    </row>
    <row r="6457" spans="1:8" ht="15" customHeight="1" x14ac:dyDescent="0.2">
      <c r="A6457" s="420">
        <v>45901</v>
      </c>
      <c r="B6457" t="s">
        <v>2333</v>
      </c>
      <c r="C6457" t="s">
        <v>7493</v>
      </c>
      <c r="D6457" t="s">
        <v>3391</v>
      </c>
      <c r="E6457" t="s">
        <v>3392</v>
      </c>
      <c r="G6457">
        <v>22.6</v>
      </c>
      <c r="H6457">
        <v>31986.79</v>
      </c>
    </row>
    <row r="6458" spans="1:8" ht="15" customHeight="1" x14ac:dyDescent="0.2">
      <c r="A6458" s="420">
        <v>45901</v>
      </c>
      <c r="B6458" t="s">
        <v>2333</v>
      </c>
      <c r="C6458" t="s">
        <v>7493</v>
      </c>
      <c r="D6458" t="s">
        <v>3417</v>
      </c>
      <c r="E6458" t="s">
        <v>3403</v>
      </c>
      <c r="G6458">
        <v>7080</v>
      </c>
      <c r="H6458">
        <v>24906.79</v>
      </c>
    </row>
    <row r="6459" spans="1:8" ht="15" customHeight="1" x14ac:dyDescent="0.2">
      <c r="A6459" s="420">
        <v>45901</v>
      </c>
      <c r="B6459" t="s">
        <v>2333</v>
      </c>
      <c r="C6459" t="s">
        <v>7493</v>
      </c>
      <c r="D6459" t="s">
        <v>4133</v>
      </c>
      <c r="E6459" t="s">
        <v>4134</v>
      </c>
      <c r="G6459">
        <v>13.99</v>
      </c>
      <c r="H6459">
        <v>24892.799999999999</v>
      </c>
    </row>
    <row r="6460" spans="1:8" ht="15" customHeight="1" x14ac:dyDescent="0.2">
      <c r="A6460" s="420">
        <v>45901</v>
      </c>
      <c r="B6460" t="s">
        <v>2333</v>
      </c>
      <c r="C6460" t="s">
        <v>7493</v>
      </c>
      <c r="D6460" t="s">
        <v>4718</v>
      </c>
      <c r="E6460" t="s">
        <v>4698</v>
      </c>
      <c r="G6460">
        <v>17.170000000000002</v>
      </c>
      <c r="H6460">
        <v>24875.63</v>
      </c>
    </row>
    <row r="6461" spans="1:8" ht="15" customHeight="1" x14ac:dyDescent="0.2">
      <c r="A6461" s="420">
        <v>45901</v>
      </c>
      <c r="B6461" t="s">
        <v>2333</v>
      </c>
      <c r="C6461" t="s">
        <v>7493</v>
      </c>
      <c r="D6461" t="s">
        <v>7388</v>
      </c>
      <c r="E6461" t="s">
        <v>7389</v>
      </c>
      <c r="G6461">
        <v>2355</v>
      </c>
      <c r="H6461">
        <v>22520.63</v>
      </c>
    </row>
    <row r="6462" spans="1:8" ht="15" customHeight="1" x14ac:dyDescent="0.2">
      <c r="A6462" s="420">
        <v>45901</v>
      </c>
      <c r="B6462" t="s">
        <v>2333</v>
      </c>
      <c r="C6462" t="s">
        <v>7493</v>
      </c>
      <c r="D6462" t="s">
        <v>3171</v>
      </c>
      <c r="E6462" t="s">
        <v>3172</v>
      </c>
      <c r="G6462">
        <v>60</v>
      </c>
      <c r="H6462">
        <v>22460.63</v>
      </c>
    </row>
    <row r="6463" spans="1:8" ht="15" customHeight="1" x14ac:dyDescent="0.2">
      <c r="A6463" s="420">
        <v>45901</v>
      </c>
      <c r="B6463" t="s">
        <v>2333</v>
      </c>
      <c r="C6463" t="s">
        <v>7493</v>
      </c>
      <c r="D6463" t="s">
        <v>7685</v>
      </c>
      <c r="E6463" t="s">
        <v>1635</v>
      </c>
      <c r="G6463">
        <v>0.68</v>
      </c>
      <c r="H6463">
        <v>22459.95</v>
      </c>
    </row>
    <row r="6464" spans="1:8" ht="15" customHeight="1" x14ac:dyDescent="0.2">
      <c r="A6464" s="420">
        <v>45902</v>
      </c>
      <c r="B6464" t="s">
        <v>2333</v>
      </c>
      <c r="C6464" t="s">
        <v>7493</v>
      </c>
      <c r="D6464" t="s">
        <v>2992</v>
      </c>
      <c r="E6464" t="s">
        <v>2993</v>
      </c>
      <c r="G6464">
        <v>2220</v>
      </c>
      <c r="H6464">
        <v>20239.95</v>
      </c>
    </row>
    <row r="6465" spans="1:8" ht="15" customHeight="1" x14ac:dyDescent="0.2">
      <c r="A6465" s="420">
        <v>45902</v>
      </c>
      <c r="B6465" t="s">
        <v>2333</v>
      </c>
      <c r="C6465" t="s">
        <v>7493</v>
      </c>
      <c r="D6465" t="s">
        <v>7390</v>
      </c>
      <c r="E6465" t="s">
        <v>7391</v>
      </c>
      <c r="F6465">
        <v>3905</v>
      </c>
      <c r="H6465">
        <v>24144.95</v>
      </c>
    </row>
    <row r="6466" spans="1:8" ht="15" customHeight="1" x14ac:dyDescent="0.2">
      <c r="A6466" s="420">
        <v>45902</v>
      </c>
      <c r="B6466" t="s">
        <v>2333</v>
      </c>
      <c r="C6466" t="s">
        <v>7493</v>
      </c>
      <c r="D6466" t="s">
        <v>5139</v>
      </c>
      <c r="E6466" t="s">
        <v>5140</v>
      </c>
      <c r="G6466">
        <v>180</v>
      </c>
      <c r="H6466">
        <v>23964.95</v>
      </c>
    </row>
    <row r="6467" spans="1:8" ht="15" customHeight="1" x14ac:dyDescent="0.2">
      <c r="A6467" s="420">
        <v>45902</v>
      </c>
      <c r="B6467" t="s">
        <v>2333</v>
      </c>
      <c r="C6467" t="s">
        <v>7493</v>
      </c>
      <c r="D6467" t="s">
        <v>7686</v>
      </c>
      <c r="E6467" t="s">
        <v>754</v>
      </c>
      <c r="G6467">
        <v>14.13</v>
      </c>
      <c r="H6467">
        <v>23950.82</v>
      </c>
    </row>
    <row r="6468" spans="1:8" ht="15" customHeight="1" x14ac:dyDescent="0.2">
      <c r="A6468" s="420">
        <v>45903</v>
      </c>
      <c r="B6468" t="s">
        <v>2333</v>
      </c>
      <c r="C6468" t="s">
        <v>7493</v>
      </c>
      <c r="D6468" t="s">
        <v>4062</v>
      </c>
      <c r="E6468" t="s">
        <v>4058</v>
      </c>
      <c r="G6468">
        <v>1526</v>
      </c>
      <c r="H6468">
        <v>22424.82</v>
      </c>
    </row>
    <row r="6469" spans="1:8" ht="15" customHeight="1" x14ac:dyDescent="0.2">
      <c r="A6469" s="420">
        <v>45903</v>
      </c>
      <c r="B6469" t="s">
        <v>2333</v>
      </c>
      <c r="C6469" t="s">
        <v>7493</v>
      </c>
      <c r="D6469" t="s">
        <v>3154</v>
      </c>
      <c r="E6469" t="s">
        <v>3144</v>
      </c>
      <c r="G6469">
        <v>80.55</v>
      </c>
      <c r="H6469">
        <v>22344.27</v>
      </c>
    </row>
    <row r="6470" spans="1:8" ht="15" customHeight="1" x14ac:dyDescent="0.2">
      <c r="A6470" s="420">
        <v>45904</v>
      </c>
      <c r="B6470" t="s">
        <v>2333</v>
      </c>
      <c r="C6470" t="s">
        <v>7493</v>
      </c>
      <c r="D6470" t="s">
        <v>5298</v>
      </c>
      <c r="E6470" t="s">
        <v>5299</v>
      </c>
      <c r="G6470">
        <v>53.23</v>
      </c>
      <c r="H6470">
        <v>22291.040000000001</v>
      </c>
    </row>
    <row r="6471" spans="1:8" ht="15" customHeight="1" x14ac:dyDescent="0.2">
      <c r="A6471" s="420">
        <v>45904</v>
      </c>
      <c r="B6471" t="s">
        <v>2333</v>
      </c>
      <c r="C6471" t="s">
        <v>7493</v>
      </c>
      <c r="D6471" t="s">
        <v>2853</v>
      </c>
      <c r="E6471" t="s">
        <v>2854</v>
      </c>
      <c r="G6471">
        <v>33.43</v>
      </c>
      <c r="H6471">
        <v>22257.61</v>
      </c>
    </row>
    <row r="6472" spans="1:8" ht="15" customHeight="1" x14ac:dyDescent="0.2">
      <c r="A6472" s="420">
        <v>45904</v>
      </c>
      <c r="B6472" t="s">
        <v>2333</v>
      </c>
      <c r="C6472" t="s">
        <v>7493</v>
      </c>
      <c r="D6472" t="s">
        <v>5143</v>
      </c>
      <c r="E6472" t="s">
        <v>5144</v>
      </c>
      <c r="G6472">
        <v>180</v>
      </c>
      <c r="H6472">
        <v>22077.61</v>
      </c>
    </row>
    <row r="6473" spans="1:8" ht="15" customHeight="1" x14ac:dyDescent="0.2">
      <c r="A6473" s="420">
        <v>45905</v>
      </c>
      <c r="B6473" t="s">
        <v>2333</v>
      </c>
      <c r="C6473" t="s">
        <v>7493</v>
      </c>
      <c r="D6473" t="s">
        <v>7687</v>
      </c>
      <c r="E6473" t="s">
        <v>7688</v>
      </c>
      <c r="G6473">
        <v>14.9</v>
      </c>
      <c r="H6473">
        <v>22062.71</v>
      </c>
    </row>
    <row r="6474" spans="1:8" ht="15" customHeight="1" x14ac:dyDescent="0.2">
      <c r="A6474" s="420">
        <v>45905</v>
      </c>
      <c r="B6474" t="s">
        <v>2333</v>
      </c>
      <c r="C6474" t="s">
        <v>7493</v>
      </c>
      <c r="D6474" t="s">
        <v>7689</v>
      </c>
      <c r="E6474" t="s">
        <v>7690</v>
      </c>
      <c r="G6474">
        <v>236.06</v>
      </c>
      <c r="H6474">
        <v>21826.65</v>
      </c>
    </row>
    <row r="6475" spans="1:8" ht="15" customHeight="1" x14ac:dyDescent="0.2">
      <c r="A6475" s="420">
        <v>45905</v>
      </c>
      <c r="B6475" t="s">
        <v>2333</v>
      </c>
      <c r="C6475" t="s">
        <v>7493</v>
      </c>
      <c r="D6475" t="s">
        <v>7691</v>
      </c>
      <c r="E6475" t="s">
        <v>7692</v>
      </c>
      <c r="G6475">
        <v>40.71</v>
      </c>
      <c r="H6475">
        <v>21785.94</v>
      </c>
    </row>
    <row r="6476" spans="1:8" ht="15" customHeight="1" x14ac:dyDescent="0.2">
      <c r="A6476" s="420">
        <v>45905</v>
      </c>
      <c r="B6476" t="s">
        <v>2333</v>
      </c>
      <c r="C6476" t="s">
        <v>7493</v>
      </c>
      <c r="D6476" t="s">
        <v>7693</v>
      </c>
      <c r="E6476" t="s">
        <v>7694</v>
      </c>
      <c r="G6476">
        <v>603.35</v>
      </c>
      <c r="H6476">
        <v>21182.59</v>
      </c>
    </row>
    <row r="6477" spans="1:8" ht="15" customHeight="1" x14ac:dyDescent="0.2">
      <c r="A6477" s="420">
        <v>45905</v>
      </c>
      <c r="B6477" t="s">
        <v>2333</v>
      </c>
      <c r="C6477" t="s">
        <v>7493</v>
      </c>
      <c r="D6477" t="s">
        <v>2994</v>
      </c>
      <c r="E6477" t="s">
        <v>2995</v>
      </c>
      <c r="G6477">
        <v>2766.24</v>
      </c>
      <c r="H6477">
        <v>18416.349999999999</v>
      </c>
    </row>
    <row r="6478" spans="1:8" ht="15" customHeight="1" x14ac:dyDescent="0.2">
      <c r="A6478" s="420">
        <v>45905</v>
      </c>
      <c r="B6478" t="s">
        <v>2333</v>
      </c>
      <c r="C6478" t="s">
        <v>7493</v>
      </c>
      <c r="D6478" t="s">
        <v>2653</v>
      </c>
      <c r="E6478" t="s">
        <v>2654</v>
      </c>
      <c r="G6478">
        <v>1328.25</v>
      </c>
      <c r="H6478">
        <v>17088.099999999999</v>
      </c>
    </row>
    <row r="6479" spans="1:8" ht="15" customHeight="1" x14ac:dyDescent="0.2">
      <c r="A6479" s="420">
        <v>45905</v>
      </c>
      <c r="B6479" t="s">
        <v>2333</v>
      </c>
      <c r="C6479" t="s">
        <v>7493</v>
      </c>
      <c r="D6479" t="s">
        <v>7392</v>
      </c>
      <c r="E6479" t="s">
        <v>7393</v>
      </c>
      <c r="F6479">
        <v>2745</v>
      </c>
      <c r="H6479">
        <v>19833.099999999999</v>
      </c>
    </row>
    <row r="6480" spans="1:8" ht="15" customHeight="1" x14ac:dyDescent="0.2">
      <c r="A6480" s="420">
        <v>45905</v>
      </c>
      <c r="B6480" t="s">
        <v>2333</v>
      </c>
      <c r="C6480" t="s">
        <v>7493</v>
      </c>
      <c r="D6480" t="s">
        <v>7180</v>
      </c>
      <c r="E6480" t="s">
        <v>7171</v>
      </c>
      <c r="G6480">
        <v>500</v>
      </c>
      <c r="H6480">
        <v>19333.099999999999</v>
      </c>
    </row>
    <row r="6481" spans="1:8" ht="15" customHeight="1" x14ac:dyDescent="0.2">
      <c r="A6481" s="420">
        <v>45905</v>
      </c>
      <c r="B6481" t="s">
        <v>2333</v>
      </c>
      <c r="C6481" t="s">
        <v>7493</v>
      </c>
      <c r="D6481" t="s">
        <v>4090</v>
      </c>
      <c r="E6481" t="s">
        <v>4078</v>
      </c>
      <c r="G6481">
        <v>322</v>
      </c>
      <c r="H6481">
        <v>19011.099999999999</v>
      </c>
    </row>
    <row r="6482" spans="1:8" ht="15" customHeight="1" x14ac:dyDescent="0.2">
      <c r="A6482" s="420">
        <v>45905</v>
      </c>
      <c r="B6482" t="s">
        <v>2333</v>
      </c>
      <c r="C6482" t="s">
        <v>7493</v>
      </c>
      <c r="D6482" t="s">
        <v>6113</v>
      </c>
      <c r="E6482" t="s">
        <v>6114</v>
      </c>
      <c r="G6482">
        <v>3834.98</v>
      </c>
      <c r="H6482">
        <v>15176.12</v>
      </c>
    </row>
    <row r="6483" spans="1:8" ht="15" customHeight="1" x14ac:dyDescent="0.2">
      <c r="A6483" s="420">
        <v>45905</v>
      </c>
      <c r="B6483" t="s">
        <v>2333</v>
      </c>
      <c r="C6483" t="s">
        <v>7493</v>
      </c>
      <c r="D6483" t="s">
        <v>6115</v>
      </c>
      <c r="E6483" t="s">
        <v>6116</v>
      </c>
      <c r="G6483">
        <v>2009.75</v>
      </c>
      <c r="H6483">
        <v>13166.37</v>
      </c>
    </row>
    <row r="6484" spans="1:8" ht="15" customHeight="1" x14ac:dyDescent="0.2">
      <c r="A6484" s="420">
        <v>45905</v>
      </c>
      <c r="B6484" t="s">
        <v>2333</v>
      </c>
      <c r="C6484" t="s">
        <v>7493</v>
      </c>
      <c r="D6484" t="s">
        <v>6117</v>
      </c>
      <c r="E6484" t="s">
        <v>6118</v>
      </c>
      <c r="G6484">
        <v>1386.64</v>
      </c>
      <c r="H6484">
        <v>11779.73</v>
      </c>
    </row>
    <row r="6485" spans="1:8" ht="15" customHeight="1" x14ac:dyDescent="0.2">
      <c r="A6485" s="420">
        <v>45905</v>
      </c>
      <c r="B6485" t="s">
        <v>2333</v>
      </c>
      <c r="C6485" t="s">
        <v>7493</v>
      </c>
      <c r="D6485" t="s">
        <v>4657</v>
      </c>
      <c r="E6485" t="s">
        <v>4658</v>
      </c>
      <c r="G6485">
        <v>979.32</v>
      </c>
      <c r="H6485">
        <v>10800.41</v>
      </c>
    </row>
    <row r="6486" spans="1:8" ht="15" customHeight="1" x14ac:dyDescent="0.2">
      <c r="A6486" s="420">
        <v>45905</v>
      </c>
      <c r="B6486" t="s">
        <v>2333</v>
      </c>
      <c r="C6486" t="s">
        <v>7493</v>
      </c>
      <c r="D6486" t="s">
        <v>4156</v>
      </c>
      <c r="E6486" t="s">
        <v>4157</v>
      </c>
      <c r="G6486">
        <v>18.46</v>
      </c>
      <c r="H6486">
        <v>10781.95</v>
      </c>
    </row>
    <row r="6487" spans="1:8" ht="15" customHeight="1" x14ac:dyDescent="0.2">
      <c r="A6487" s="420">
        <v>45905</v>
      </c>
      <c r="B6487" t="s">
        <v>2333</v>
      </c>
      <c r="C6487" t="s">
        <v>7493</v>
      </c>
      <c r="D6487" t="s">
        <v>4938</v>
      </c>
      <c r="E6487" t="s">
        <v>4842</v>
      </c>
      <c r="G6487">
        <v>25.1</v>
      </c>
      <c r="H6487">
        <v>10756.85</v>
      </c>
    </row>
    <row r="6488" spans="1:8" ht="15" customHeight="1" x14ac:dyDescent="0.2">
      <c r="A6488" s="420">
        <v>45908</v>
      </c>
      <c r="B6488" t="s">
        <v>2333</v>
      </c>
      <c r="C6488" t="s">
        <v>7493</v>
      </c>
      <c r="D6488" t="s">
        <v>4029</v>
      </c>
      <c r="E6488" t="s">
        <v>4030</v>
      </c>
      <c r="G6488">
        <v>393.82</v>
      </c>
      <c r="H6488">
        <v>10363.030000000001</v>
      </c>
    </row>
    <row r="6489" spans="1:8" ht="15" customHeight="1" x14ac:dyDescent="0.2">
      <c r="A6489" s="420">
        <v>45908</v>
      </c>
      <c r="B6489" t="s">
        <v>2333</v>
      </c>
      <c r="C6489" t="s">
        <v>7493</v>
      </c>
      <c r="D6489" t="s">
        <v>2779</v>
      </c>
      <c r="E6489" t="s">
        <v>2761</v>
      </c>
      <c r="G6489">
        <v>31.98</v>
      </c>
      <c r="H6489">
        <v>10331.049999999999</v>
      </c>
    </row>
    <row r="6490" spans="1:8" ht="15" customHeight="1" x14ac:dyDescent="0.2">
      <c r="A6490" s="420">
        <v>45908</v>
      </c>
      <c r="B6490" t="s">
        <v>2333</v>
      </c>
      <c r="C6490" t="s">
        <v>7493</v>
      </c>
      <c r="D6490" t="s">
        <v>7138</v>
      </c>
      <c r="E6490" t="s">
        <v>7139</v>
      </c>
      <c r="G6490">
        <v>0.99</v>
      </c>
      <c r="H6490">
        <v>10330.06</v>
      </c>
    </row>
    <row r="6491" spans="1:8" ht="15" customHeight="1" x14ac:dyDescent="0.2">
      <c r="A6491" s="420">
        <v>45908</v>
      </c>
      <c r="B6491" t="s">
        <v>2333</v>
      </c>
      <c r="C6491" t="s">
        <v>7493</v>
      </c>
      <c r="D6491" t="s">
        <v>7695</v>
      </c>
      <c r="E6491" t="s">
        <v>1622</v>
      </c>
      <c r="G6491">
        <v>31.8</v>
      </c>
      <c r="H6491">
        <v>10298.26</v>
      </c>
    </row>
    <row r="6492" spans="1:8" ht="15" customHeight="1" x14ac:dyDescent="0.2">
      <c r="A6492" s="420">
        <v>45909</v>
      </c>
      <c r="B6492" t="s">
        <v>2333</v>
      </c>
      <c r="C6492" t="s">
        <v>7493</v>
      </c>
      <c r="D6492" t="s">
        <v>5471</v>
      </c>
      <c r="E6492" t="s">
        <v>5472</v>
      </c>
      <c r="G6492">
        <v>65.75</v>
      </c>
      <c r="H6492">
        <v>10232.51</v>
      </c>
    </row>
    <row r="6493" spans="1:8" ht="15" customHeight="1" x14ac:dyDescent="0.2">
      <c r="A6493" s="420">
        <v>45909</v>
      </c>
      <c r="B6493" t="s">
        <v>2333</v>
      </c>
      <c r="C6493" t="s">
        <v>7493</v>
      </c>
      <c r="D6493" t="s">
        <v>2922</v>
      </c>
      <c r="E6493" t="s">
        <v>2923</v>
      </c>
      <c r="G6493">
        <v>3036.49</v>
      </c>
      <c r="H6493">
        <v>7196.02</v>
      </c>
    </row>
    <row r="6494" spans="1:8" ht="15" customHeight="1" x14ac:dyDescent="0.2">
      <c r="A6494" s="420">
        <v>45909</v>
      </c>
      <c r="B6494" t="s">
        <v>2333</v>
      </c>
      <c r="C6494" t="s">
        <v>7493</v>
      </c>
      <c r="D6494" t="s">
        <v>5061</v>
      </c>
      <c r="E6494" t="s">
        <v>5062</v>
      </c>
      <c r="G6494">
        <v>187.2</v>
      </c>
      <c r="H6494">
        <v>7008.82</v>
      </c>
    </row>
    <row r="6495" spans="1:8" ht="15" customHeight="1" x14ac:dyDescent="0.2">
      <c r="A6495" s="420">
        <v>45909</v>
      </c>
      <c r="B6495" t="s">
        <v>2333</v>
      </c>
      <c r="C6495" t="s">
        <v>7493</v>
      </c>
      <c r="D6495" t="s">
        <v>5357</v>
      </c>
      <c r="E6495" t="s">
        <v>5358</v>
      </c>
      <c r="G6495">
        <v>24</v>
      </c>
      <c r="H6495">
        <v>6984.82</v>
      </c>
    </row>
    <row r="6496" spans="1:8" ht="15" customHeight="1" x14ac:dyDescent="0.2">
      <c r="A6496" s="420">
        <v>45909</v>
      </c>
      <c r="B6496" t="s">
        <v>2333</v>
      </c>
      <c r="C6496" t="s">
        <v>7493</v>
      </c>
      <c r="D6496" t="s">
        <v>4813</v>
      </c>
      <c r="E6496" t="s">
        <v>4814</v>
      </c>
      <c r="G6496">
        <v>145.22</v>
      </c>
      <c r="H6496">
        <v>6839.6</v>
      </c>
    </row>
    <row r="6497" spans="1:8" ht="15" customHeight="1" x14ac:dyDescent="0.2">
      <c r="A6497" s="420">
        <v>45909</v>
      </c>
      <c r="B6497" t="s">
        <v>2333</v>
      </c>
      <c r="C6497" t="s">
        <v>7493</v>
      </c>
      <c r="D6497" t="s">
        <v>3441</v>
      </c>
      <c r="E6497" t="s">
        <v>3442</v>
      </c>
      <c r="G6497">
        <v>49.12</v>
      </c>
      <c r="H6497">
        <v>6790.48</v>
      </c>
    </row>
    <row r="6498" spans="1:8" ht="15" customHeight="1" x14ac:dyDescent="0.2">
      <c r="A6498" s="420">
        <v>45909</v>
      </c>
      <c r="B6498" t="s">
        <v>2333</v>
      </c>
      <c r="C6498" t="s">
        <v>7493</v>
      </c>
      <c r="D6498" t="s">
        <v>2954</v>
      </c>
      <c r="E6498" t="s">
        <v>2955</v>
      </c>
      <c r="G6498">
        <v>95</v>
      </c>
      <c r="H6498">
        <v>6695.48</v>
      </c>
    </row>
    <row r="6499" spans="1:8" ht="15" customHeight="1" x14ac:dyDescent="0.2">
      <c r="A6499" s="420">
        <v>45910</v>
      </c>
      <c r="B6499" t="s">
        <v>2333</v>
      </c>
      <c r="C6499" t="s">
        <v>7493</v>
      </c>
      <c r="D6499" t="s">
        <v>3510</v>
      </c>
      <c r="E6499" t="s">
        <v>3511</v>
      </c>
      <c r="G6499">
        <v>120.32</v>
      </c>
      <c r="H6499">
        <v>6575.16</v>
      </c>
    </row>
    <row r="6500" spans="1:8" ht="15" customHeight="1" x14ac:dyDescent="0.2">
      <c r="A6500" s="420">
        <v>45910</v>
      </c>
      <c r="B6500" t="s">
        <v>2333</v>
      </c>
      <c r="C6500" t="s">
        <v>7493</v>
      </c>
      <c r="D6500" t="s">
        <v>7140</v>
      </c>
      <c r="E6500" t="s">
        <v>5225</v>
      </c>
      <c r="G6500">
        <v>180</v>
      </c>
      <c r="H6500">
        <v>6395.16</v>
      </c>
    </row>
    <row r="6501" spans="1:8" ht="15" customHeight="1" x14ac:dyDescent="0.2">
      <c r="A6501" s="420">
        <v>45910</v>
      </c>
      <c r="B6501" t="s">
        <v>2333</v>
      </c>
      <c r="C6501" t="s">
        <v>7493</v>
      </c>
      <c r="D6501" t="s">
        <v>7696</v>
      </c>
      <c r="E6501" t="s">
        <v>7697</v>
      </c>
      <c r="F6501">
        <v>357.29</v>
      </c>
      <c r="H6501">
        <v>6752.45</v>
      </c>
    </row>
    <row r="6502" spans="1:8" ht="15" customHeight="1" x14ac:dyDescent="0.2">
      <c r="A6502" s="420">
        <v>45911</v>
      </c>
      <c r="B6502" t="s">
        <v>2333</v>
      </c>
      <c r="C6502" t="s">
        <v>7493</v>
      </c>
      <c r="D6502" t="s">
        <v>7698</v>
      </c>
      <c r="E6502" t="s">
        <v>7699</v>
      </c>
      <c r="G6502">
        <v>116.38</v>
      </c>
      <c r="H6502">
        <v>6636.07</v>
      </c>
    </row>
    <row r="6503" spans="1:8" ht="15" customHeight="1" x14ac:dyDescent="0.2">
      <c r="A6503" s="420">
        <v>45911</v>
      </c>
      <c r="B6503" t="s">
        <v>2333</v>
      </c>
      <c r="C6503" t="s">
        <v>7493</v>
      </c>
      <c r="D6503" t="s">
        <v>7700</v>
      </c>
      <c r="E6503" t="s">
        <v>7701</v>
      </c>
      <c r="G6503">
        <v>85.21</v>
      </c>
      <c r="H6503">
        <v>6550.86</v>
      </c>
    </row>
    <row r="6504" spans="1:8" ht="15" customHeight="1" x14ac:dyDescent="0.2">
      <c r="A6504" s="420">
        <v>45911</v>
      </c>
      <c r="B6504" t="s">
        <v>2333</v>
      </c>
      <c r="C6504" t="s">
        <v>7493</v>
      </c>
      <c r="D6504" t="s">
        <v>7702</v>
      </c>
      <c r="E6504" t="s">
        <v>7703</v>
      </c>
      <c r="G6504">
        <v>100.82</v>
      </c>
      <c r="H6504">
        <v>6450.04</v>
      </c>
    </row>
    <row r="6505" spans="1:8" ht="15" customHeight="1" x14ac:dyDescent="0.2">
      <c r="A6505" s="420">
        <v>45911</v>
      </c>
      <c r="B6505" t="s">
        <v>2333</v>
      </c>
      <c r="C6505" t="s">
        <v>7493</v>
      </c>
      <c r="D6505" t="s">
        <v>7272</v>
      </c>
      <c r="E6505" t="s">
        <v>7273</v>
      </c>
      <c r="F6505">
        <v>20000</v>
      </c>
      <c r="H6505">
        <v>26450.04</v>
      </c>
    </row>
    <row r="6506" spans="1:8" ht="15" customHeight="1" x14ac:dyDescent="0.2">
      <c r="A6506" s="420">
        <v>45911</v>
      </c>
      <c r="B6506" t="s">
        <v>2333</v>
      </c>
      <c r="C6506" t="s">
        <v>7493</v>
      </c>
      <c r="D6506" t="s">
        <v>3104</v>
      </c>
      <c r="E6506" t="s">
        <v>3105</v>
      </c>
      <c r="G6506">
        <v>11.99</v>
      </c>
      <c r="H6506">
        <v>26438.05</v>
      </c>
    </row>
    <row r="6507" spans="1:8" ht="15" customHeight="1" x14ac:dyDescent="0.2">
      <c r="A6507" s="420">
        <v>45911</v>
      </c>
      <c r="B6507" t="s">
        <v>2333</v>
      </c>
      <c r="C6507" t="s">
        <v>7493</v>
      </c>
      <c r="D6507" t="s">
        <v>4940</v>
      </c>
      <c r="E6507" t="s">
        <v>3367</v>
      </c>
      <c r="G6507">
        <v>54.9</v>
      </c>
      <c r="H6507">
        <v>26383.15</v>
      </c>
    </row>
    <row r="6508" spans="1:8" ht="15" customHeight="1" x14ac:dyDescent="0.2">
      <c r="A6508" s="420">
        <v>45911</v>
      </c>
      <c r="B6508" t="s">
        <v>2333</v>
      </c>
      <c r="C6508" t="s">
        <v>7493</v>
      </c>
      <c r="D6508" t="s">
        <v>5146</v>
      </c>
      <c r="E6508" t="s">
        <v>5147</v>
      </c>
      <c r="G6508">
        <v>180</v>
      </c>
      <c r="H6508">
        <v>26203.15</v>
      </c>
    </row>
    <row r="6509" spans="1:8" ht="15" customHeight="1" x14ac:dyDescent="0.2">
      <c r="A6509" s="420">
        <v>45911</v>
      </c>
      <c r="B6509" t="s">
        <v>2333</v>
      </c>
      <c r="C6509" t="s">
        <v>7493</v>
      </c>
      <c r="D6509" t="s">
        <v>5148</v>
      </c>
      <c r="E6509" t="s">
        <v>5149</v>
      </c>
      <c r="G6509">
        <v>180</v>
      </c>
      <c r="H6509">
        <v>26023.15</v>
      </c>
    </row>
    <row r="6510" spans="1:8" ht="15" customHeight="1" x14ac:dyDescent="0.2">
      <c r="A6510" s="420">
        <v>45912</v>
      </c>
      <c r="B6510" t="s">
        <v>2333</v>
      </c>
      <c r="C6510" t="s">
        <v>7493</v>
      </c>
      <c r="D6510" t="s">
        <v>3817</v>
      </c>
      <c r="E6510" t="s">
        <v>3818</v>
      </c>
      <c r="G6510">
        <v>135.85</v>
      </c>
      <c r="H6510">
        <v>25887.3</v>
      </c>
    </row>
    <row r="6511" spans="1:8" ht="15" customHeight="1" x14ac:dyDescent="0.2">
      <c r="A6511" s="420">
        <v>45915</v>
      </c>
      <c r="B6511" t="s">
        <v>2333</v>
      </c>
      <c r="C6511" t="s">
        <v>7493</v>
      </c>
      <c r="D6511" t="s">
        <v>3667</v>
      </c>
      <c r="E6511" t="s">
        <v>3668</v>
      </c>
      <c r="G6511">
        <v>6000</v>
      </c>
      <c r="H6511">
        <v>19887.3</v>
      </c>
    </row>
    <row r="6512" spans="1:8" ht="15" customHeight="1" x14ac:dyDescent="0.2">
      <c r="A6512" s="420">
        <v>45915</v>
      </c>
      <c r="B6512" t="s">
        <v>2333</v>
      </c>
      <c r="C6512" t="s">
        <v>7493</v>
      </c>
      <c r="D6512" t="s">
        <v>3669</v>
      </c>
      <c r="E6512" t="s">
        <v>3670</v>
      </c>
      <c r="G6512">
        <v>6000</v>
      </c>
      <c r="H6512">
        <v>13887.3</v>
      </c>
    </row>
    <row r="6513" spans="1:9" ht="15" customHeight="1" x14ac:dyDescent="0.2">
      <c r="A6513" s="420">
        <v>45915</v>
      </c>
      <c r="B6513" t="s">
        <v>2333</v>
      </c>
      <c r="C6513" t="s">
        <v>7493</v>
      </c>
      <c r="D6513" t="s">
        <v>3671</v>
      </c>
      <c r="E6513" t="s">
        <v>3672</v>
      </c>
      <c r="G6513">
        <v>6000</v>
      </c>
      <c r="H6513">
        <v>7887.3</v>
      </c>
    </row>
    <row r="6514" spans="1:9" ht="15" customHeight="1" x14ac:dyDescent="0.2">
      <c r="A6514" s="420">
        <v>45915</v>
      </c>
      <c r="B6514" t="s">
        <v>2333</v>
      </c>
      <c r="C6514" t="s">
        <v>7493</v>
      </c>
      <c r="D6514" t="s">
        <v>2869</v>
      </c>
      <c r="E6514" t="s">
        <v>2870</v>
      </c>
      <c r="G6514">
        <v>128.19999999999999</v>
      </c>
      <c r="H6514">
        <v>7759.1</v>
      </c>
    </row>
    <row r="6515" spans="1:9" ht="15" customHeight="1" x14ac:dyDescent="0.2">
      <c r="A6515" s="420">
        <v>45916</v>
      </c>
      <c r="B6515" t="s">
        <v>2333</v>
      </c>
      <c r="C6515" t="s">
        <v>7493</v>
      </c>
      <c r="D6515" t="s">
        <v>6195</v>
      </c>
      <c r="E6515" t="s">
        <v>6196</v>
      </c>
      <c r="G6515">
        <v>4428</v>
      </c>
      <c r="H6515">
        <v>3331.1</v>
      </c>
    </row>
    <row r="6516" spans="1:9" ht="15" customHeight="1" x14ac:dyDescent="0.2">
      <c r="A6516" s="420">
        <v>45917</v>
      </c>
      <c r="B6516" t="s">
        <v>2333</v>
      </c>
      <c r="C6516" t="s">
        <v>7493</v>
      </c>
      <c r="D6516" t="s">
        <v>7704</v>
      </c>
      <c r="E6516" t="s">
        <v>7705</v>
      </c>
      <c r="F6516">
        <v>416.66</v>
      </c>
      <c r="H6516">
        <v>3747.76</v>
      </c>
    </row>
    <row r="6517" spans="1:9" ht="15" customHeight="1" x14ac:dyDescent="0.2">
      <c r="A6517" s="420">
        <v>45917</v>
      </c>
      <c r="B6517" t="s">
        <v>2333</v>
      </c>
      <c r="C6517" t="s">
        <v>7493</v>
      </c>
      <c r="D6517" t="s">
        <v>5247</v>
      </c>
      <c r="E6517" t="s">
        <v>5243</v>
      </c>
      <c r="G6517">
        <v>44</v>
      </c>
      <c r="H6517">
        <v>3703.76</v>
      </c>
    </row>
    <row r="6518" spans="1:9" ht="15" customHeight="1" x14ac:dyDescent="0.2">
      <c r="A6518" s="420">
        <v>45918</v>
      </c>
      <c r="B6518" t="s">
        <v>2333</v>
      </c>
      <c r="C6518" t="s">
        <v>7493</v>
      </c>
      <c r="D6518" t="s">
        <v>7706</v>
      </c>
      <c r="E6518" t="s">
        <v>1939</v>
      </c>
      <c r="G6518">
        <v>202.48</v>
      </c>
      <c r="H6518">
        <v>3501.28</v>
      </c>
    </row>
    <row r="6519" spans="1:9" ht="15" customHeight="1" x14ac:dyDescent="0.2">
      <c r="A6519" s="420">
        <v>45919</v>
      </c>
      <c r="B6519" t="s">
        <v>2333</v>
      </c>
      <c r="C6519" t="s">
        <v>7493</v>
      </c>
      <c r="D6519" t="s">
        <v>3863</v>
      </c>
      <c r="E6519" t="s">
        <v>3864</v>
      </c>
      <c r="G6519">
        <v>749.62</v>
      </c>
      <c r="H6519">
        <v>2751.66</v>
      </c>
    </row>
    <row r="6520" spans="1:9" ht="15" customHeight="1" x14ac:dyDescent="0.2">
      <c r="A6520" s="420">
        <v>45919</v>
      </c>
      <c r="B6520" t="s">
        <v>2333</v>
      </c>
      <c r="C6520" t="s">
        <v>7493</v>
      </c>
      <c r="D6520" t="s">
        <v>5401</v>
      </c>
      <c r="E6520" t="s">
        <v>5402</v>
      </c>
      <c r="G6520">
        <v>55.74</v>
      </c>
      <c r="H6520">
        <v>2695.92</v>
      </c>
    </row>
    <row r="6521" spans="1:9" ht="15" customHeight="1" x14ac:dyDescent="0.2">
      <c r="A6521" s="420">
        <v>45919</v>
      </c>
      <c r="B6521" t="s">
        <v>2333</v>
      </c>
      <c r="C6521" t="s">
        <v>7493</v>
      </c>
      <c r="D6521" t="s">
        <v>5190</v>
      </c>
      <c r="E6521" t="s">
        <v>5191</v>
      </c>
      <c r="G6521">
        <v>4.99</v>
      </c>
      <c r="H6521">
        <v>2690.93</v>
      </c>
    </row>
    <row r="6522" spans="1:9" ht="15" customHeight="1" x14ac:dyDescent="0.2">
      <c r="A6522" s="420">
        <v>45920</v>
      </c>
      <c r="B6522" t="s">
        <v>2333</v>
      </c>
      <c r="C6522" t="s">
        <v>7493</v>
      </c>
      <c r="D6522" t="s">
        <v>3138</v>
      </c>
      <c r="E6522" t="s">
        <v>3139</v>
      </c>
      <c r="G6522">
        <v>2544.5300000000002</v>
      </c>
      <c r="H6522">
        <v>146.4</v>
      </c>
    </row>
    <row r="6523" spans="1:9" ht="15" customHeight="1" x14ac:dyDescent="0.2">
      <c r="A6523" s="420">
        <v>45923</v>
      </c>
      <c r="B6523" t="s">
        <v>2333</v>
      </c>
      <c r="C6523" t="s">
        <v>7493</v>
      </c>
      <c r="D6523" t="s">
        <v>6284</v>
      </c>
      <c r="E6523" t="s">
        <v>6285</v>
      </c>
      <c r="G6523">
        <v>264</v>
      </c>
      <c r="I6523">
        <v>117.6</v>
      </c>
    </row>
    <row r="6524" spans="1:9" ht="15" customHeight="1" x14ac:dyDescent="0.2">
      <c r="A6524" s="420">
        <v>45923</v>
      </c>
      <c r="B6524" t="s">
        <v>2333</v>
      </c>
      <c r="C6524" t="s">
        <v>7493</v>
      </c>
      <c r="D6524" t="s">
        <v>7112</v>
      </c>
      <c r="E6524" t="s">
        <v>7113</v>
      </c>
      <c r="F6524">
        <v>10000</v>
      </c>
      <c r="H6524">
        <v>9882.4</v>
      </c>
    </row>
    <row r="6525" spans="1:9" ht="15" customHeight="1" x14ac:dyDescent="0.2">
      <c r="A6525" s="420">
        <v>45924</v>
      </c>
      <c r="B6525" t="s">
        <v>2333</v>
      </c>
      <c r="C6525" t="s">
        <v>7493</v>
      </c>
      <c r="D6525" t="s">
        <v>2831</v>
      </c>
      <c r="E6525" t="s">
        <v>1312</v>
      </c>
      <c r="G6525">
        <v>34.950000000000003</v>
      </c>
      <c r="H6525">
        <v>9847.4500000000007</v>
      </c>
    </row>
    <row r="6526" spans="1:9" ht="15" customHeight="1" x14ac:dyDescent="0.2">
      <c r="A6526" s="420">
        <v>45925</v>
      </c>
      <c r="B6526" t="s">
        <v>2333</v>
      </c>
      <c r="C6526" t="s">
        <v>7493</v>
      </c>
      <c r="D6526" t="s">
        <v>4753</v>
      </c>
      <c r="E6526" t="s">
        <v>4754</v>
      </c>
      <c r="G6526">
        <v>94.8</v>
      </c>
      <c r="H6526">
        <v>9752.65</v>
      </c>
    </row>
    <row r="6527" spans="1:9" ht="15" customHeight="1" x14ac:dyDescent="0.2">
      <c r="A6527" s="420">
        <v>45925</v>
      </c>
      <c r="B6527" t="s">
        <v>2333</v>
      </c>
      <c r="C6527" t="s">
        <v>7493</v>
      </c>
      <c r="D6527" t="s">
        <v>3513</v>
      </c>
      <c r="E6527" t="s">
        <v>3514</v>
      </c>
      <c r="G6527">
        <v>179.49</v>
      </c>
      <c r="H6527">
        <v>9573.16</v>
      </c>
    </row>
    <row r="6528" spans="1:9" ht="15" customHeight="1" x14ac:dyDescent="0.2">
      <c r="A6528" s="420">
        <v>45925</v>
      </c>
      <c r="B6528" t="s">
        <v>2333</v>
      </c>
      <c r="C6528" t="s">
        <v>7493</v>
      </c>
      <c r="D6528" t="s">
        <v>6251</v>
      </c>
      <c r="E6528" t="s">
        <v>6252</v>
      </c>
      <c r="G6528">
        <v>778.61</v>
      </c>
      <c r="H6528">
        <v>8794.5499999999993</v>
      </c>
    </row>
    <row r="6529" spans="1:9" ht="15" customHeight="1" x14ac:dyDescent="0.2">
      <c r="A6529" s="420">
        <v>45926</v>
      </c>
      <c r="B6529" t="s">
        <v>2333</v>
      </c>
      <c r="C6529" t="s">
        <v>7493</v>
      </c>
      <c r="D6529" t="s">
        <v>7707</v>
      </c>
      <c r="E6529" t="s">
        <v>7708</v>
      </c>
      <c r="G6529">
        <v>2000</v>
      </c>
      <c r="H6529">
        <v>6794.55</v>
      </c>
    </row>
    <row r="6530" spans="1:9" ht="15" customHeight="1" x14ac:dyDescent="0.2">
      <c r="A6530" s="420">
        <v>45929</v>
      </c>
      <c r="B6530" t="s">
        <v>2333</v>
      </c>
      <c r="C6530" t="s">
        <v>7493</v>
      </c>
      <c r="D6530" t="s">
        <v>6382</v>
      </c>
      <c r="E6530" t="s">
        <v>6383</v>
      </c>
      <c r="G6530">
        <v>9402</v>
      </c>
      <c r="I6530">
        <v>2607.4499999999998</v>
      </c>
    </row>
    <row r="6531" spans="1:9" ht="15" customHeight="1" x14ac:dyDescent="0.2">
      <c r="A6531" s="420">
        <v>45929</v>
      </c>
      <c r="B6531" t="s">
        <v>2333</v>
      </c>
      <c r="C6531" t="s">
        <v>7493</v>
      </c>
      <c r="D6531" t="s">
        <v>4264</v>
      </c>
      <c r="E6531" t="s">
        <v>4265</v>
      </c>
      <c r="G6531">
        <v>3760.88</v>
      </c>
      <c r="I6531">
        <v>6368.33</v>
      </c>
    </row>
    <row r="6532" spans="1:9" ht="15" customHeight="1" x14ac:dyDescent="0.2">
      <c r="A6532" s="420">
        <v>45929</v>
      </c>
      <c r="B6532" t="s">
        <v>2333</v>
      </c>
      <c r="C6532" t="s">
        <v>7493</v>
      </c>
      <c r="D6532" t="s">
        <v>2925</v>
      </c>
      <c r="E6532" t="s">
        <v>2926</v>
      </c>
      <c r="G6532">
        <v>418.8</v>
      </c>
      <c r="I6532">
        <v>6787.13</v>
      </c>
    </row>
    <row r="6533" spans="1:9" ht="15" customHeight="1" x14ac:dyDescent="0.2">
      <c r="A6533" s="420">
        <v>45929</v>
      </c>
      <c r="B6533" t="s">
        <v>2333</v>
      </c>
      <c r="C6533" t="s">
        <v>7493</v>
      </c>
      <c r="D6533" t="s">
        <v>4160</v>
      </c>
      <c r="E6533" t="s">
        <v>4161</v>
      </c>
      <c r="G6533">
        <v>842.4</v>
      </c>
      <c r="I6533">
        <v>7629.53</v>
      </c>
    </row>
    <row r="6534" spans="1:9" ht="15" customHeight="1" x14ac:dyDescent="0.2">
      <c r="A6534" s="420">
        <v>45929</v>
      </c>
      <c r="B6534" t="s">
        <v>2333</v>
      </c>
      <c r="C6534" t="s">
        <v>7493</v>
      </c>
      <c r="D6534" t="s">
        <v>4805</v>
      </c>
      <c r="E6534" t="s">
        <v>4794</v>
      </c>
      <c r="G6534">
        <v>6.87</v>
      </c>
      <c r="I6534">
        <v>7636.4</v>
      </c>
    </row>
    <row r="6535" spans="1:9" ht="15" customHeight="1" x14ac:dyDescent="0.2">
      <c r="A6535" s="420">
        <v>45929</v>
      </c>
      <c r="B6535" t="s">
        <v>2333</v>
      </c>
      <c r="C6535" t="s">
        <v>7493</v>
      </c>
      <c r="D6535" t="s">
        <v>7709</v>
      </c>
      <c r="E6535" t="s">
        <v>1635</v>
      </c>
      <c r="G6535">
        <v>0.44</v>
      </c>
      <c r="I6535">
        <v>7636.84</v>
      </c>
    </row>
    <row r="6536" spans="1:9" ht="15" customHeight="1" x14ac:dyDescent="0.2">
      <c r="A6536" s="420">
        <v>45930</v>
      </c>
      <c r="B6536" t="s">
        <v>2333</v>
      </c>
      <c r="C6536" t="s">
        <v>7493</v>
      </c>
      <c r="D6536" t="s">
        <v>2626</v>
      </c>
      <c r="E6536" t="s">
        <v>2627</v>
      </c>
      <c r="G6536">
        <v>288</v>
      </c>
      <c r="I6536">
        <v>7924.84</v>
      </c>
    </row>
    <row r="6537" spans="1:9" ht="15" customHeight="1" x14ac:dyDescent="0.2">
      <c r="A6537" s="420">
        <v>45930</v>
      </c>
      <c r="B6537" t="s">
        <v>2333</v>
      </c>
      <c r="C6537" t="s">
        <v>7493</v>
      </c>
      <c r="D6537" t="s">
        <v>2722</v>
      </c>
      <c r="E6537" t="s">
        <v>2723</v>
      </c>
      <c r="G6537">
        <v>710.4</v>
      </c>
      <c r="I6537">
        <v>8635.24</v>
      </c>
    </row>
    <row r="6538" spans="1:9" ht="15" customHeight="1" x14ac:dyDescent="0.2">
      <c r="A6538" s="420">
        <v>45930</v>
      </c>
      <c r="B6538" t="s">
        <v>2333</v>
      </c>
      <c r="C6538" t="s">
        <v>7493</v>
      </c>
      <c r="D6538" t="s">
        <v>5860</v>
      </c>
      <c r="E6538" t="s">
        <v>5861</v>
      </c>
      <c r="F6538">
        <v>54222.559999999998</v>
      </c>
      <c r="H6538">
        <v>45587.32</v>
      </c>
    </row>
    <row r="6539" spans="1:9" ht="15" customHeight="1" x14ac:dyDescent="0.2">
      <c r="A6539" s="420">
        <v>45930</v>
      </c>
      <c r="B6539" t="s">
        <v>2333</v>
      </c>
      <c r="C6539" t="s">
        <v>7493</v>
      </c>
      <c r="D6539" t="s">
        <v>4719</v>
      </c>
      <c r="E6539" t="s">
        <v>4698</v>
      </c>
      <c r="G6539">
        <v>17.100000000000001</v>
      </c>
      <c r="H6539">
        <v>45570.22</v>
      </c>
    </row>
    <row r="6540" spans="1:9" ht="15" customHeight="1" x14ac:dyDescent="0.2">
      <c r="A6540" s="420">
        <v>45930</v>
      </c>
      <c r="B6540" t="s">
        <v>2333</v>
      </c>
      <c r="C6540" t="s">
        <v>7493</v>
      </c>
      <c r="D6540" t="s">
        <v>4135</v>
      </c>
      <c r="E6540" t="s">
        <v>4134</v>
      </c>
      <c r="G6540">
        <v>13.99</v>
      </c>
      <c r="H6540">
        <v>45556.23</v>
      </c>
    </row>
    <row r="6541" spans="1:9" ht="15" customHeight="1" x14ac:dyDescent="0.2">
      <c r="A6541" s="420">
        <v>45930</v>
      </c>
      <c r="B6541" t="s">
        <v>2333</v>
      </c>
      <c r="C6541" t="s">
        <v>7493</v>
      </c>
      <c r="D6541" t="s">
        <v>7710</v>
      </c>
      <c r="E6541" t="s">
        <v>1635</v>
      </c>
      <c r="G6541">
        <v>0.67</v>
      </c>
      <c r="H6541">
        <v>45555.56</v>
      </c>
    </row>
    <row r="6542" spans="1:9" ht="15" customHeight="1" x14ac:dyDescent="0.2">
      <c r="A6542" s="420">
        <v>45931</v>
      </c>
      <c r="B6542" t="s">
        <v>2333</v>
      </c>
      <c r="C6542" t="s">
        <v>7493</v>
      </c>
      <c r="D6542" t="s">
        <v>5435</v>
      </c>
      <c r="E6542" t="s">
        <v>5436</v>
      </c>
      <c r="G6542">
        <v>462.38</v>
      </c>
      <c r="H6542">
        <v>45093.18</v>
      </c>
    </row>
    <row r="6543" spans="1:9" ht="15" customHeight="1" x14ac:dyDescent="0.2">
      <c r="A6543" s="420">
        <v>45931</v>
      </c>
      <c r="B6543" t="s">
        <v>2333</v>
      </c>
      <c r="C6543" t="s">
        <v>7493</v>
      </c>
      <c r="D6543" t="s">
        <v>3394</v>
      </c>
      <c r="E6543" t="s">
        <v>3395</v>
      </c>
      <c r="G6543">
        <v>22.58</v>
      </c>
      <c r="H6543">
        <v>45070.6</v>
      </c>
    </row>
    <row r="6544" spans="1:9" ht="15" customHeight="1" x14ac:dyDescent="0.2">
      <c r="A6544" s="420">
        <v>45931</v>
      </c>
      <c r="B6544" t="s">
        <v>2333</v>
      </c>
      <c r="C6544" t="s">
        <v>7493</v>
      </c>
      <c r="D6544" t="s">
        <v>3419</v>
      </c>
      <c r="E6544" t="s">
        <v>3403</v>
      </c>
      <c r="G6544">
        <v>7080</v>
      </c>
      <c r="H6544">
        <v>37990.6</v>
      </c>
    </row>
    <row r="6545" spans="1:8" ht="15" customHeight="1" x14ac:dyDescent="0.2">
      <c r="A6545" s="420">
        <v>45931</v>
      </c>
      <c r="B6545" t="s">
        <v>2333</v>
      </c>
      <c r="C6545" t="s">
        <v>7493</v>
      </c>
      <c r="D6545" t="s">
        <v>5736</v>
      </c>
      <c r="E6545" t="s">
        <v>5737</v>
      </c>
      <c r="F6545">
        <v>23232.2</v>
      </c>
      <c r="H6545">
        <v>61222.8</v>
      </c>
    </row>
    <row r="6546" spans="1:8" ht="15" customHeight="1" x14ac:dyDescent="0.2">
      <c r="A6546" s="420">
        <v>45931</v>
      </c>
      <c r="B6546" t="s">
        <v>2333</v>
      </c>
      <c r="C6546" t="s">
        <v>7493</v>
      </c>
      <c r="D6546" t="s">
        <v>2832</v>
      </c>
      <c r="E6546" t="s">
        <v>2833</v>
      </c>
      <c r="G6546">
        <v>89</v>
      </c>
      <c r="H6546">
        <v>61133.8</v>
      </c>
    </row>
    <row r="6547" spans="1:8" ht="15" customHeight="1" x14ac:dyDescent="0.2">
      <c r="A6547" s="420">
        <v>45931</v>
      </c>
      <c r="B6547" t="s">
        <v>2333</v>
      </c>
      <c r="C6547" t="s">
        <v>7493</v>
      </c>
      <c r="D6547" t="s">
        <v>2834</v>
      </c>
      <c r="E6547" t="s">
        <v>2833</v>
      </c>
      <c r="G6547">
        <v>1479</v>
      </c>
      <c r="H6547">
        <v>59654.8</v>
      </c>
    </row>
    <row r="6548" spans="1:8" ht="15" customHeight="1" x14ac:dyDescent="0.2">
      <c r="A6548" s="420">
        <v>45931</v>
      </c>
      <c r="B6548" t="s">
        <v>2333</v>
      </c>
      <c r="C6548" t="s">
        <v>7493</v>
      </c>
      <c r="D6548" t="s">
        <v>5230</v>
      </c>
      <c r="E6548" t="s">
        <v>5231</v>
      </c>
      <c r="G6548">
        <v>150</v>
      </c>
      <c r="H6548">
        <v>59504.800000000003</v>
      </c>
    </row>
    <row r="6549" spans="1:8" ht="15" customHeight="1" x14ac:dyDescent="0.2">
      <c r="A6549" s="420">
        <v>45931</v>
      </c>
      <c r="B6549" t="s">
        <v>2333</v>
      </c>
      <c r="C6549" t="s">
        <v>7493</v>
      </c>
      <c r="D6549" t="s">
        <v>4942</v>
      </c>
      <c r="E6549" t="s">
        <v>4943</v>
      </c>
      <c r="G6549">
        <v>35</v>
      </c>
      <c r="H6549">
        <v>59469.8</v>
      </c>
    </row>
    <row r="6550" spans="1:8" ht="15" customHeight="1" x14ac:dyDescent="0.2">
      <c r="A6550" s="420">
        <v>45932</v>
      </c>
      <c r="B6550" t="s">
        <v>2333</v>
      </c>
      <c r="C6550" t="s">
        <v>7493</v>
      </c>
      <c r="D6550" t="s">
        <v>2997</v>
      </c>
      <c r="E6550" t="s">
        <v>2998</v>
      </c>
      <c r="G6550">
        <v>2220</v>
      </c>
      <c r="H6550">
        <v>57249.8</v>
      </c>
    </row>
    <row r="6551" spans="1:8" ht="15" customHeight="1" x14ac:dyDescent="0.2">
      <c r="A6551" s="420">
        <v>45932</v>
      </c>
      <c r="B6551" t="s">
        <v>2333</v>
      </c>
      <c r="C6551" t="s">
        <v>7493</v>
      </c>
      <c r="D6551" t="s">
        <v>5224</v>
      </c>
      <c r="E6551" t="s">
        <v>5225</v>
      </c>
      <c r="G6551">
        <v>120</v>
      </c>
      <c r="H6551">
        <v>57129.8</v>
      </c>
    </row>
    <row r="6552" spans="1:8" ht="15" customHeight="1" x14ac:dyDescent="0.2">
      <c r="A6552" s="420">
        <v>45932</v>
      </c>
      <c r="B6552" t="s">
        <v>2333</v>
      </c>
      <c r="C6552" t="s">
        <v>7493</v>
      </c>
      <c r="D6552" t="s">
        <v>7711</v>
      </c>
      <c r="E6552" t="s">
        <v>1945</v>
      </c>
      <c r="G6552">
        <v>31.67</v>
      </c>
      <c r="H6552">
        <v>57098.13</v>
      </c>
    </row>
    <row r="6553" spans="1:8" ht="15" customHeight="1" x14ac:dyDescent="0.2">
      <c r="A6553" s="420">
        <v>45932</v>
      </c>
      <c r="B6553" t="s">
        <v>2333</v>
      </c>
      <c r="C6553" t="s">
        <v>7493</v>
      </c>
      <c r="D6553" t="s">
        <v>7712</v>
      </c>
      <c r="E6553" t="s">
        <v>1946</v>
      </c>
      <c r="G6553">
        <v>124.5</v>
      </c>
      <c r="H6553">
        <v>56973.63</v>
      </c>
    </row>
    <row r="6554" spans="1:8" ht="15" customHeight="1" x14ac:dyDescent="0.2">
      <c r="A6554" s="420">
        <v>45932</v>
      </c>
      <c r="B6554" t="s">
        <v>2333</v>
      </c>
      <c r="C6554" t="s">
        <v>7493</v>
      </c>
      <c r="D6554" t="s">
        <v>7713</v>
      </c>
      <c r="E6554" t="s">
        <v>764</v>
      </c>
      <c r="G6554">
        <v>14.13</v>
      </c>
      <c r="H6554">
        <v>56959.5</v>
      </c>
    </row>
    <row r="6555" spans="1:8" ht="15" customHeight="1" x14ac:dyDescent="0.2">
      <c r="A6555" s="420">
        <v>45933</v>
      </c>
      <c r="B6555" t="s">
        <v>2333</v>
      </c>
      <c r="C6555" t="s">
        <v>7493</v>
      </c>
      <c r="D6555" t="s">
        <v>7394</v>
      </c>
      <c r="E6555" t="s">
        <v>7395</v>
      </c>
      <c r="F6555">
        <v>3295</v>
      </c>
      <c r="H6555">
        <v>60254.5</v>
      </c>
    </row>
    <row r="6556" spans="1:8" ht="15" customHeight="1" x14ac:dyDescent="0.2">
      <c r="A6556" s="420">
        <v>45933</v>
      </c>
      <c r="B6556" t="s">
        <v>2333</v>
      </c>
      <c r="C6556" t="s">
        <v>7493</v>
      </c>
      <c r="D6556" t="s">
        <v>4064</v>
      </c>
      <c r="E6556" t="s">
        <v>4058</v>
      </c>
      <c r="G6556">
        <v>1526</v>
      </c>
      <c r="H6556">
        <v>58728.5</v>
      </c>
    </row>
    <row r="6557" spans="1:8" ht="15" customHeight="1" x14ac:dyDescent="0.2">
      <c r="A6557" s="420">
        <v>45933</v>
      </c>
      <c r="B6557" t="s">
        <v>2333</v>
      </c>
      <c r="C6557" t="s">
        <v>7493</v>
      </c>
      <c r="D6557" t="s">
        <v>3156</v>
      </c>
      <c r="E6557" t="s">
        <v>3144</v>
      </c>
      <c r="G6557">
        <v>35.6</v>
      </c>
      <c r="H6557">
        <v>58692.9</v>
      </c>
    </row>
    <row r="6558" spans="1:8" ht="15" customHeight="1" x14ac:dyDescent="0.2">
      <c r="A6558" s="420">
        <v>45933</v>
      </c>
      <c r="B6558" t="s">
        <v>2333</v>
      </c>
      <c r="C6558" t="s">
        <v>7493</v>
      </c>
      <c r="D6558" t="s">
        <v>7714</v>
      </c>
      <c r="E6558" t="s">
        <v>1690</v>
      </c>
      <c r="G6558">
        <v>3.97</v>
      </c>
      <c r="H6558">
        <v>58688.93</v>
      </c>
    </row>
    <row r="6559" spans="1:8" ht="15" customHeight="1" x14ac:dyDescent="0.2">
      <c r="A6559" s="420">
        <v>45934</v>
      </c>
      <c r="B6559" t="s">
        <v>2333</v>
      </c>
      <c r="C6559" t="s">
        <v>7493</v>
      </c>
      <c r="D6559" t="s">
        <v>5751</v>
      </c>
      <c r="E6559" t="s">
        <v>5752</v>
      </c>
      <c r="F6559">
        <v>53991.5</v>
      </c>
      <c r="H6559">
        <v>112680.43</v>
      </c>
    </row>
    <row r="6560" spans="1:8" ht="15" customHeight="1" x14ac:dyDescent="0.2">
      <c r="A6560" s="420">
        <v>45934</v>
      </c>
      <c r="B6560" t="s">
        <v>2333</v>
      </c>
      <c r="C6560" t="s">
        <v>7493</v>
      </c>
      <c r="D6560" t="s">
        <v>5753</v>
      </c>
      <c r="E6560" t="s">
        <v>5754</v>
      </c>
      <c r="F6560">
        <v>26031</v>
      </c>
      <c r="H6560">
        <v>138711.43</v>
      </c>
    </row>
    <row r="6561" spans="1:8" ht="15" customHeight="1" x14ac:dyDescent="0.2">
      <c r="A6561" s="420">
        <v>45935</v>
      </c>
      <c r="B6561" t="s">
        <v>2333</v>
      </c>
      <c r="C6561" t="s">
        <v>7493</v>
      </c>
      <c r="D6561" t="s">
        <v>7715</v>
      </c>
      <c r="E6561" t="s">
        <v>7716</v>
      </c>
      <c r="G6561">
        <v>14.61</v>
      </c>
      <c r="H6561">
        <v>138696.82</v>
      </c>
    </row>
    <row r="6562" spans="1:8" ht="15" customHeight="1" x14ac:dyDescent="0.2">
      <c r="A6562" s="420">
        <v>45935</v>
      </c>
      <c r="B6562" t="s">
        <v>2333</v>
      </c>
      <c r="C6562" t="s">
        <v>7493</v>
      </c>
      <c r="D6562" t="s">
        <v>7717</v>
      </c>
      <c r="E6562" t="s">
        <v>7718</v>
      </c>
      <c r="G6562">
        <v>236.35</v>
      </c>
      <c r="H6562">
        <v>138460.47</v>
      </c>
    </row>
    <row r="6563" spans="1:8" ht="15" customHeight="1" x14ac:dyDescent="0.2">
      <c r="A6563" s="420">
        <v>45935</v>
      </c>
      <c r="B6563" t="s">
        <v>2333</v>
      </c>
      <c r="C6563" t="s">
        <v>7493</v>
      </c>
      <c r="D6563" t="s">
        <v>7719</v>
      </c>
      <c r="E6563" t="s">
        <v>7720</v>
      </c>
      <c r="G6563">
        <v>39.9</v>
      </c>
      <c r="H6563">
        <v>138420.57</v>
      </c>
    </row>
    <row r="6564" spans="1:8" ht="15" customHeight="1" x14ac:dyDescent="0.2">
      <c r="A6564" s="420">
        <v>45935</v>
      </c>
      <c r="B6564" t="s">
        <v>2333</v>
      </c>
      <c r="C6564" t="s">
        <v>7493</v>
      </c>
      <c r="D6564" t="s">
        <v>7721</v>
      </c>
      <c r="E6564" t="s">
        <v>7722</v>
      </c>
      <c r="G6564">
        <v>604.16</v>
      </c>
      <c r="H6564">
        <v>137816.41</v>
      </c>
    </row>
    <row r="6565" spans="1:8" ht="15" customHeight="1" x14ac:dyDescent="0.2">
      <c r="A6565" s="420">
        <v>45936</v>
      </c>
      <c r="B6565" t="s">
        <v>2333</v>
      </c>
      <c r="C6565" t="s">
        <v>7493</v>
      </c>
      <c r="D6565" t="s">
        <v>4032</v>
      </c>
      <c r="E6565" t="s">
        <v>4033</v>
      </c>
      <c r="G6565">
        <v>393.82</v>
      </c>
      <c r="H6565">
        <v>137422.59</v>
      </c>
    </row>
    <row r="6566" spans="1:8" ht="15" customHeight="1" x14ac:dyDescent="0.2">
      <c r="A6566" s="420">
        <v>45936</v>
      </c>
      <c r="B6566" t="s">
        <v>2333</v>
      </c>
      <c r="C6566" t="s">
        <v>7493</v>
      </c>
      <c r="D6566" t="s">
        <v>5301</v>
      </c>
      <c r="E6566" t="s">
        <v>5302</v>
      </c>
      <c r="G6566">
        <v>49.78</v>
      </c>
      <c r="H6566">
        <v>137372.81</v>
      </c>
    </row>
    <row r="6567" spans="1:8" ht="15" customHeight="1" x14ac:dyDescent="0.2">
      <c r="A6567" s="420">
        <v>45936</v>
      </c>
      <c r="B6567" t="s">
        <v>2333</v>
      </c>
      <c r="C6567" t="s">
        <v>7493</v>
      </c>
      <c r="D6567" t="s">
        <v>2656</v>
      </c>
      <c r="E6567" t="s">
        <v>2657</v>
      </c>
      <c r="G6567">
        <v>1328.25</v>
      </c>
      <c r="H6567">
        <v>136044.56</v>
      </c>
    </row>
    <row r="6568" spans="1:8" ht="15" customHeight="1" x14ac:dyDescent="0.2">
      <c r="A6568" s="420">
        <v>45936</v>
      </c>
      <c r="B6568" t="s">
        <v>2333</v>
      </c>
      <c r="C6568" t="s">
        <v>7493</v>
      </c>
      <c r="D6568" t="s">
        <v>3903</v>
      </c>
      <c r="E6568" t="s">
        <v>3904</v>
      </c>
      <c r="G6568">
        <v>27.26</v>
      </c>
      <c r="H6568">
        <v>136017.29999999999</v>
      </c>
    </row>
    <row r="6569" spans="1:8" ht="15" customHeight="1" x14ac:dyDescent="0.2">
      <c r="A6569" s="420">
        <v>45936</v>
      </c>
      <c r="B6569" t="s">
        <v>2333</v>
      </c>
      <c r="C6569" t="s">
        <v>7493</v>
      </c>
      <c r="D6569" t="s">
        <v>2615</v>
      </c>
      <c r="E6569" t="s">
        <v>7723</v>
      </c>
      <c r="G6569">
        <v>201.82</v>
      </c>
      <c r="H6569">
        <v>135815.48000000001</v>
      </c>
    </row>
    <row r="6570" spans="1:8" ht="15" customHeight="1" x14ac:dyDescent="0.2">
      <c r="A6570" s="420">
        <v>45936</v>
      </c>
      <c r="B6570" t="s">
        <v>2333</v>
      </c>
      <c r="C6570" t="s">
        <v>7493</v>
      </c>
      <c r="D6570" t="s">
        <v>7181</v>
      </c>
      <c r="E6570" t="s">
        <v>7171</v>
      </c>
      <c r="G6570">
        <v>500</v>
      </c>
      <c r="H6570">
        <v>135315.48000000001</v>
      </c>
    </row>
    <row r="6571" spans="1:8" ht="15" customHeight="1" x14ac:dyDescent="0.2">
      <c r="A6571" s="420">
        <v>45936</v>
      </c>
      <c r="B6571" t="s">
        <v>2333</v>
      </c>
      <c r="C6571" t="s">
        <v>7493</v>
      </c>
      <c r="D6571" t="s">
        <v>4092</v>
      </c>
      <c r="E6571" t="s">
        <v>4078</v>
      </c>
      <c r="G6571">
        <v>322</v>
      </c>
      <c r="H6571">
        <v>134993.48000000001</v>
      </c>
    </row>
    <row r="6572" spans="1:8" ht="15" customHeight="1" x14ac:dyDescent="0.2">
      <c r="A6572" s="420">
        <v>45936</v>
      </c>
      <c r="B6572" t="s">
        <v>2333</v>
      </c>
      <c r="C6572" t="s">
        <v>7493</v>
      </c>
      <c r="D6572" t="s">
        <v>4951</v>
      </c>
      <c r="E6572" t="s">
        <v>3367</v>
      </c>
      <c r="G6572">
        <v>71.900000000000006</v>
      </c>
      <c r="H6572">
        <v>134921.57999999999</v>
      </c>
    </row>
    <row r="6573" spans="1:8" ht="15" customHeight="1" x14ac:dyDescent="0.2">
      <c r="A6573" s="420">
        <v>45936</v>
      </c>
      <c r="B6573" t="s">
        <v>2333</v>
      </c>
      <c r="C6573" t="s">
        <v>7493</v>
      </c>
      <c r="D6573" t="s">
        <v>7142</v>
      </c>
      <c r="E6573" t="s">
        <v>7143</v>
      </c>
      <c r="G6573">
        <v>21.76</v>
      </c>
      <c r="H6573">
        <v>134899.82</v>
      </c>
    </row>
    <row r="6574" spans="1:8" ht="15" customHeight="1" x14ac:dyDescent="0.2">
      <c r="A6574" s="420">
        <v>45936</v>
      </c>
      <c r="B6574" t="s">
        <v>2333</v>
      </c>
      <c r="C6574" t="s">
        <v>7493</v>
      </c>
      <c r="D6574" t="s">
        <v>7114</v>
      </c>
      <c r="E6574" t="s">
        <v>7115</v>
      </c>
      <c r="G6574">
        <v>10000</v>
      </c>
      <c r="H6574">
        <v>124899.82</v>
      </c>
    </row>
    <row r="6575" spans="1:8" ht="15" customHeight="1" x14ac:dyDescent="0.2">
      <c r="A6575" s="420">
        <v>45936</v>
      </c>
      <c r="B6575" t="s">
        <v>2333</v>
      </c>
      <c r="C6575" t="s">
        <v>7493</v>
      </c>
      <c r="D6575" t="s">
        <v>7282</v>
      </c>
      <c r="E6575" t="s">
        <v>7283</v>
      </c>
      <c r="G6575">
        <v>10052.4</v>
      </c>
      <c r="H6575">
        <v>114847.42</v>
      </c>
    </row>
    <row r="6576" spans="1:8" ht="15" customHeight="1" x14ac:dyDescent="0.2">
      <c r="A6576" s="420">
        <v>45936</v>
      </c>
      <c r="B6576" t="s">
        <v>2333</v>
      </c>
      <c r="C6576" t="s">
        <v>7493</v>
      </c>
      <c r="D6576" t="s">
        <v>5738</v>
      </c>
      <c r="E6576" t="s">
        <v>5739</v>
      </c>
      <c r="G6576">
        <v>11550.7</v>
      </c>
      <c r="H6576">
        <v>103296.72</v>
      </c>
    </row>
    <row r="6577" spans="1:8" ht="15" customHeight="1" x14ac:dyDescent="0.2">
      <c r="A6577" s="420">
        <v>45936</v>
      </c>
      <c r="B6577" t="s">
        <v>2333</v>
      </c>
      <c r="C6577" t="s">
        <v>7493</v>
      </c>
      <c r="D6577" t="s">
        <v>6120</v>
      </c>
      <c r="E6577" t="s">
        <v>6121</v>
      </c>
      <c r="G6577">
        <v>2479.56</v>
      </c>
      <c r="H6577">
        <v>100817.16</v>
      </c>
    </row>
    <row r="6578" spans="1:8" ht="15" customHeight="1" x14ac:dyDescent="0.2">
      <c r="A6578" s="420">
        <v>45936</v>
      </c>
      <c r="B6578" t="s">
        <v>2333</v>
      </c>
      <c r="C6578" t="s">
        <v>7493</v>
      </c>
      <c r="D6578" t="s">
        <v>6122</v>
      </c>
      <c r="E6578" t="s">
        <v>6123</v>
      </c>
      <c r="G6578">
        <v>1387.96</v>
      </c>
      <c r="H6578">
        <v>99429.2</v>
      </c>
    </row>
    <row r="6579" spans="1:8" ht="15" customHeight="1" x14ac:dyDescent="0.2">
      <c r="A6579" s="420">
        <v>45936</v>
      </c>
      <c r="B6579" t="s">
        <v>2333</v>
      </c>
      <c r="C6579" t="s">
        <v>7493</v>
      </c>
      <c r="D6579" t="s">
        <v>6124</v>
      </c>
      <c r="E6579" t="s">
        <v>6125</v>
      </c>
      <c r="G6579">
        <v>1386.64</v>
      </c>
      <c r="H6579">
        <v>98042.559999999998</v>
      </c>
    </row>
    <row r="6580" spans="1:8" ht="15" customHeight="1" x14ac:dyDescent="0.2">
      <c r="A6580" s="420">
        <v>45936</v>
      </c>
      <c r="B6580" t="s">
        <v>2333</v>
      </c>
      <c r="C6580" t="s">
        <v>7493</v>
      </c>
      <c r="D6580" t="s">
        <v>6126</v>
      </c>
      <c r="E6580" t="s">
        <v>6127</v>
      </c>
      <c r="G6580">
        <v>3319.91</v>
      </c>
      <c r="H6580">
        <v>94722.65</v>
      </c>
    </row>
    <row r="6581" spans="1:8" ht="15" customHeight="1" x14ac:dyDescent="0.2">
      <c r="A6581" s="420">
        <v>45936</v>
      </c>
      <c r="B6581" t="s">
        <v>2333</v>
      </c>
      <c r="C6581" t="s">
        <v>7493</v>
      </c>
      <c r="D6581" t="s">
        <v>7396</v>
      </c>
      <c r="E6581" t="s">
        <v>7397</v>
      </c>
      <c r="G6581">
        <v>2745</v>
      </c>
      <c r="H6581">
        <v>91977.65</v>
      </c>
    </row>
    <row r="6582" spans="1:8" ht="15" customHeight="1" x14ac:dyDescent="0.2">
      <c r="A6582" s="420">
        <v>45936</v>
      </c>
      <c r="B6582" t="s">
        <v>2333</v>
      </c>
      <c r="C6582" t="s">
        <v>7493</v>
      </c>
      <c r="D6582" t="s">
        <v>4952</v>
      </c>
      <c r="E6582" t="s">
        <v>3367</v>
      </c>
      <c r="G6582">
        <v>79.900000000000006</v>
      </c>
      <c r="H6582">
        <v>91897.75</v>
      </c>
    </row>
    <row r="6583" spans="1:8" ht="15" customHeight="1" x14ac:dyDescent="0.2">
      <c r="A6583" s="420">
        <v>45936</v>
      </c>
      <c r="B6583" t="s">
        <v>2333</v>
      </c>
      <c r="C6583" t="s">
        <v>7493</v>
      </c>
      <c r="D6583" t="s">
        <v>7724</v>
      </c>
      <c r="E6583" t="s">
        <v>1622</v>
      </c>
      <c r="G6583">
        <v>39.799999999999997</v>
      </c>
      <c r="H6583">
        <v>91857.95</v>
      </c>
    </row>
    <row r="6584" spans="1:8" ht="15" customHeight="1" x14ac:dyDescent="0.2">
      <c r="A6584" s="420">
        <v>45937</v>
      </c>
      <c r="B6584" t="s">
        <v>2333</v>
      </c>
      <c r="C6584" t="s">
        <v>7493</v>
      </c>
      <c r="D6584" t="s">
        <v>7265</v>
      </c>
      <c r="E6584" t="s">
        <v>7266</v>
      </c>
      <c r="G6584">
        <v>9825.2999999999993</v>
      </c>
      <c r="H6584">
        <v>82032.649999999994</v>
      </c>
    </row>
    <row r="6585" spans="1:8" ht="15" customHeight="1" x14ac:dyDescent="0.2">
      <c r="A6585" s="420">
        <v>45937</v>
      </c>
      <c r="B6585" t="s">
        <v>2333</v>
      </c>
      <c r="C6585" t="s">
        <v>7493</v>
      </c>
      <c r="D6585" t="s">
        <v>3677</v>
      </c>
      <c r="E6585" t="s">
        <v>3678</v>
      </c>
      <c r="G6585">
        <v>24000</v>
      </c>
      <c r="H6585">
        <v>58032.65</v>
      </c>
    </row>
    <row r="6586" spans="1:8" ht="15" customHeight="1" x14ac:dyDescent="0.2">
      <c r="A6586" s="420">
        <v>45937</v>
      </c>
      <c r="B6586" t="s">
        <v>2333</v>
      </c>
      <c r="C6586" t="s">
        <v>7493</v>
      </c>
      <c r="D6586" t="s">
        <v>4660</v>
      </c>
      <c r="E6586" t="s">
        <v>4661</v>
      </c>
      <c r="G6586">
        <v>609.72</v>
      </c>
      <c r="H6586">
        <v>57422.93</v>
      </c>
    </row>
    <row r="6587" spans="1:8" ht="15" customHeight="1" x14ac:dyDescent="0.2">
      <c r="A6587" s="420">
        <v>45937</v>
      </c>
      <c r="B6587" t="s">
        <v>2333</v>
      </c>
      <c r="C6587" t="s">
        <v>7493</v>
      </c>
      <c r="D6587" t="s">
        <v>7288</v>
      </c>
      <c r="E6587" t="s">
        <v>7289</v>
      </c>
      <c r="G6587">
        <v>9997.68</v>
      </c>
      <c r="H6587">
        <v>47425.25</v>
      </c>
    </row>
    <row r="6588" spans="1:8" ht="15" customHeight="1" x14ac:dyDescent="0.2">
      <c r="A6588" s="420">
        <v>45937</v>
      </c>
      <c r="B6588" t="s">
        <v>2333</v>
      </c>
      <c r="C6588" t="s">
        <v>7493</v>
      </c>
      <c r="D6588" t="s">
        <v>7144</v>
      </c>
      <c r="E6588" t="s">
        <v>7145</v>
      </c>
      <c r="F6588">
        <v>21.76</v>
      </c>
      <c r="H6588">
        <v>47447.01</v>
      </c>
    </row>
    <row r="6589" spans="1:8" ht="15" customHeight="1" x14ac:dyDescent="0.2">
      <c r="A6589" s="420">
        <v>45937</v>
      </c>
      <c r="B6589" t="s">
        <v>2333</v>
      </c>
      <c r="C6589" t="s">
        <v>7493</v>
      </c>
      <c r="D6589" t="s">
        <v>2792</v>
      </c>
      <c r="E6589" t="s">
        <v>2793</v>
      </c>
      <c r="G6589">
        <v>64</v>
      </c>
      <c r="H6589">
        <v>47383.01</v>
      </c>
    </row>
    <row r="6590" spans="1:8" ht="15" customHeight="1" x14ac:dyDescent="0.2">
      <c r="A6590" s="420">
        <v>45937</v>
      </c>
      <c r="B6590" t="s">
        <v>2333</v>
      </c>
      <c r="C6590" t="s">
        <v>7493</v>
      </c>
      <c r="D6590" t="s">
        <v>5150</v>
      </c>
      <c r="E6590" t="s">
        <v>5151</v>
      </c>
      <c r="G6590">
        <v>180</v>
      </c>
      <c r="H6590">
        <v>47203.01</v>
      </c>
    </row>
    <row r="6591" spans="1:8" ht="15" customHeight="1" x14ac:dyDescent="0.2">
      <c r="A6591" s="420">
        <v>45938</v>
      </c>
      <c r="B6591" t="s">
        <v>2333</v>
      </c>
      <c r="C6591" t="s">
        <v>7493</v>
      </c>
      <c r="D6591" t="s">
        <v>2928</v>
      </c>
      <c r="E6591" t="s">
        <v>2929</v>
      </c>
      <c r="G6591">
        <v>3892.96</v>
      </c>
      <c r="H6591">
        <v>43310.05</v>
      </c>
    </row>
    <row r="6592" spans="1:8" ht="15" customHeight="1" x14ac:dyDescent="0.2">
      <c r="A6592" s="420">
        <v>45938</v>
      </c>
      <c r="B6592" t="s">
        <v>2333</v>
      </c>
      <c r="C6592" t="s">
        <v>7493</v>
      </c>
      <c r="D6592" t="s">
        <v>5474</v>
      </c>
      <c r="E6592" t="s">
        <v>5475</v>
      </c>
      <c r="G6592">
        <v>65.75</v>
      </c>
      <c r="H6592">
        <v>43244.3</v>
      </c>
    </row>
    <row r="6593" spans="1:8" ht="15" customHeight="1" x14ac:dyDescent="0.2">
      <c r="A6593" s="420">
        <v>45938</v>
      </c>
      <c r="B6593" t="s">
        <v>2333</v>
      </c>
      <c r="C6593" t="s">
        <v>7493</v>
      </c>
      <c r="D6593" t="s">
        <v>5360</v>
      </c>
      <c r="E6593" t="s">
        <v>5361</v>
      </c>
      <c r="G6593">
        <v>24</v>
      </c>
      <c r="H6593">
        <v>43220.3</v>
      </c>
    </row>
    <row r="6594" spans="1:8" ht="15" customHeight="1" x14ac:dyDescent="0.2">
      <c r="A6594" s="420">
        <v>45938</v>
      </c>
      <c r="B6594" t="s">
        <v>2333</v>
      </c>
      <c r="C6594" t="s">
        <v>7493</v>
      </c>
      <c r="D6594" t="s">
        <v>3444</v>
      </c>
      <c r="E6594" t="s">
        <v>3433</v>
      </c>
      <c r="G6594">
        <v>53.37</v>
      </c>
      <c r="H6594">
        <v>43166.93</v>
      </c>
    </row>
    <row r="6595" spans="1:8" ht="15" customHeight="1" x14ac:dyDescent="0.2">
      <c r="A6595" s="420">
        <v>45938</v>
      </c>
      <c r="B6595" t="s">
        <v>2333</v>
      </c>
      <c r="C6595" t="s">
        <v>7493</v>
      </c>
      <c r="D6595" t="s">
        <v>7725</v>
      </c>
      <c r="E6595" t="s">
        <v>865</v>
      </c>
      <c r="G6595">
        <v>45</v>
      </c>
      <c r="H6595">
        <v>43121.93</v>
      </c>
    </row>
    <row r="6596" spans="1:8" ht="15" customHeight="1" x14ac:dyDescent="0.2">
      <c r="A6596" s="420">
        <v>45938</v>
      </c>
      <c r="B6596" t="s">
        <v>2333</v>
      </c>
      <c r="C6596" t="s">
        <v>7493</v>
      </c>
      <c r="D6596" t="s">
        <v>2794</v>
      </c>
      <c r="E6596" t="s">
        <v>816</v>
      </c>
      <c r="G6596">
        <v>30</v>
      </c>
      <c r="H6596">
        <v>43091.93</v>
      </c>
    </row>
    <row r="6597" spans="1:8" ht="15" customHeight="1" x14ac:dyDescent="0.2">
      <c r="A6597" s="420">
        <v>45938</v>
      </c>
      <c r="B6597" t="s">
        <v>2333</v>
      </c>
      <c r="C6597" t="s">
        <v>7493</v>
      </c>
      <c r="D6597" t="s">
        <v>2795</v>
      </c>
      <c r="E6597" t="s">
        <v>816</v>
      </c>
      <c r="G6597">
        <v>30</v>
      </c>
      <c r="H6597">
        <v>43061.93</v>
      </c>
    </row>
    <row r="6598" spans="1:8" ht="15" customHeight="1" x14ac:dyDescent="0.2">
      <c r="A6598" s="420">
        <v>45938</v>
      </c>
      <c r="B6598" t="s">
        <v>2333</v>
      </c>
      <c r="C6598" t="s">
        <v>7493</v>
      </c>
      <c r="D6598" t="s">
        <v>5169</v>
      </c>
      <c r="E6598" t="s">
        <v>5170</v>
      </c>
      <c r="G6598">
        <v>8.4</v>
      </c>
      <c r="H6598">
        <v>43053.53</v>
      </c>
    </row>
    <row r="6599" spans="1:8" ht="15" customHeight="1" x14ac:dyDescent="0.2">
      <c r="A6599" s="420">
        <v>45938</v>
      </c>
      <c r="B6599" t="s">
        <v>2333</v>
      </c>
      <c r="C6599" t="s">
        <v>7493</v>
      </c>
      <c r="D6599" t="s">
        <v>3768</v>
      </c>
      <c r="E6599" t="s">
        <v>3769</v>
      </c>
      <c r="G6599">
        <v>900</v>
      </c>
      <c r="H6599">
        <v>42153.53</v>
      </c>
    </row>
    <row r="6600" spans="1:8" ht="15" customHeight="1" x14ac:dyDescent="0.2">
      <c r="A6600" s="420">
        <v>45938</v>
      </c>
      <c r="B6600" t="s">
        <v>2333</v>
      </c>
      <c r="C6600" t="s">
        <v>7493</v>
      </c>
      <c r="D6600" t="s">
        <v>5862</v>
      </c>
      <c r="E6600" t="s">
        <v>5863</v>
      </c>
      <c r="G6600">
        <v>6000</v>
      </c>
      <c r="H6600">
        <v>36153.53</v>
      </c>
    </row>
    <row r="6601" spans="1:8" ht="15" customHeight="1" x14ac:dyDescent="0.2">
      <c r="A6601" s="420">
        <v>45938</v>
      </c>
      <c r="B6601" t="s">
        <v>2333</v>
      </c>
      <c r="C6601" t="s">
        <v>7493</v>
      </c>
      <c r="D6601" t="s">
        <v>7146</v>
      </c>
      <c r="E6601" t="s">
        <v>7147</v>
      </c>
      <c r="G6601">
        <v>780</v>
      </c>
      <c r="H6601">
        <v>35373.53</v>
      </c>
    </row>
    <row r="6602" spans="1:8" ht="15" customHeight="1" x14ac:dyDescent="0.2">
      <c r="A6602" s="420">
        <v>45938</v>
      </c>
      <c r="B6602" t="s">
        <v>2333</v>
      </c>
      <c r="C6602" t="s">
        <v>7493</v>
      </c>
      <c r="D6602" t="s">
        <v>7726</v>
      </c>
      <c r="E6602" t="s">
        <v>7727</v>
      </c>
      <c r="G6602">
        <v>150</v>
      </c>
      <c r="H6602">
        <v>35223.53</v>
      </c>
    </row>
    <row r="6603" spans="1:8" ht="15" customHeight="1" x14ac:dyDescent="0.2">
      <c r="A6603" s="420">
        <v>45938</v>
      </c>
      <c r="B6603" t="s">
        <v>2333</v>
      </c>
      <c r="C6603" t="s">
        <v>7493</v>
      </c>
      <c r="D6603" t="s">
        <v>2836</v>
      </c>
      <c r="E6603" t="s">
        <v>1312</v>
      </c>
      <c r="G6603">
        <v>0.99</v>
      </c>
      <c r="H6603">
        <v>35222.54</v>
      </c>
    </row>
    <row r="6604" spans="1:8" ht="15" customHeight="1" x14ac:dyDescent="0.2">
      <c r="A6604" s="420">
        <v>45939</v>
      </c>
      <c r="B6604" t="s">
        <v>2333</v>
      </c>
      <c r="C6604" t="s">
        <v>7493</v>
      </c>
      <c r="D6604" t="s">
        <v>5064</v>
      </c>
      <c r="E6604" t="s">
        <v>5065</v>
      </c>
      <c r="G6604">
        <v>187.2</v>
      </c>
      <c r="H6604">
        <v>35035.339999999997</v>
      </c>
    </row>
    <row r="6605" spans="1:8" ht="15" customHeight="1" x14ac:dyDescent="0.2">
      <c r="A6605" s="420">
        <v>45939</v>
      </c>
      <c r="B6605" t="s">
        <v>2333</v>
      </c>
      <c r="C6605" t="s">
        <v>7493</v>
      </c>
      <c r="D6605" t="s">
        <v>7398</v>
      </c>
      <c r="E6605" t="s">
        <v>7399</v>
      </c>
      <c r="F6605">
        <v>2704</v>
      </c>
      <c r="H6605">
        <v>37739.339999999997</v>
      </c>
    </row>
    <row r="6606" spans="1:8" ht="15" customHeight="1" x14ac:dyDescent="0.2">
      <c r="A6606" s="420">
        <v>45940</v>
      </c>
      <c r="B6606" t="s">
        <v>2333</v>
      </c>
      <c r="C6606" t="s">
        <v>7493</v>
      </c>
      <c r="D6606" t="s">
        <v>3517</v>
      </c>
      <c r="E6606" t="s">
        <v>3518</v>
      </c>
      <c r="G6606">
        <v>120.87</v>
      </c>
      <c r="H6606">
        <v>37618.47</v>
      </c>
    </row>
    <row r="6607" spans="1:8" ht="15" customHeight="1" x14ac:dyDescent="0.2">
      <c r="A6607" s="420">
        <v>45943</v>
      </c>
      <c r="B6607" t="s">
        <v>2333</v>
      </c>
      <c r="C6607" t="s">
        <v>7493</v>
      </c>
      <c r="D6607" t="s">
        <v>3188</v>
      </c>
      <c r="E6607" t="s">
        <v>3189</v>
      </c>
      <c r="G6607">
        <v>1772</v>
      </c>
      <c r="H6607">
        <v>35846.47</v>
      </c>
    </row>
    <row r="6608" spans="1:8" ht="15" customHeight="1" x14ac:dyDescent="0.2">
      <c r="A6608" s="420">
        <v>45943</v>
      </c>
      <c r="B6608" t="s">
        <v>2333</v>
      </c>
      <c r="C6608" t="s">
        <v>7493</v>
      </c>
      <c r="D6608" t="s">
        <v>3026</v>
      </c>
      <c r="E6608" t="s">
        <v>3027</v>
      </c>
      <c r="G6608">
        <v>366.42</v>
      </c>
      <c r="H6608">
        <v>35480.050000000003</v>
      </c>
    </row>
    <row r="6609" spans="1:8" ht="15" customHeight="1" x14ac:dyDescent="0.2">
      <c r="A6609" s="420">
        <v>45943</v>
      </c>
      <c r="B6609" t="s">
        <v>2333</v>
      </c>
      <c r="C6609" t="s">
        <v>7493</v>
      </c>
      <c r="D6609" t="s">
        <v>7728</v>
      </c>
      <c r="E6609" t="s">
        <v>7729</v>
      </c>
      <c r="G6609">
        <v>100.82</v>
      </c>
      <c r="H6609">
        <v>35379.230000000003</v>
      </c>
    </row>
    <row r="6610" spans="1:8" ht="15" customHeight="1" x14ac:dyDescent="0.2">
      <c r="A6610" s="420">
        <v>45943</v>
      </c>
      <c r="B6610" t="s">
        <v>2333</v>
      </c>
      <c r="C6610" t="s">
        <v>7493</v>
      </c>
      <c r="D6610" t="s">
        <v>7730</v>
      </c>
      <c r="E6610" t="s">
        <v>7731</v>
      </c>
      <c r="G6610">
        <v>116.38</v>
      </c>
      <c r="H6610">
        <v>35262.85</v>
      </c>
    </row>
    <row r="6611" spans="1:8" ht="15" customHeight="1" x14ac:dyDescent="0.2">
      <c r="A6611" s="420">
        <v>45943</v>
      </c>
      <c r="B6611" t="s">
        <v>2333</v>
      </c>
      <c r="C6611" t="s">
        <v>7493</v>
      </c>
      <c r="D6611" t="s">
        <v>7732</v>
      </c>
      <c r="E6611" t="s">
        <v>7733</v>
      </c>
      <c r="G6611">
        <v>85.21</v>
      </c>
      <c r="H6611">
        <v>35177.64</v>
      </c>
    </row>
    <row r="6612" spans="1:8" ht="15" customHeight="1" x14ac:dyDescent="0.2">
      <c r="A6612" s="420">
        <v>45943</v>
      </c>
      <c r="B6612" t="s">
        <v>2333</v>
      </c>
      <c r="C6612" t="s">
        <v>7493</v>
      </c>
      <c r="D6612" t="s">
        <v>7274</v>
      </c>
      <c r="E6612" t="s">
        <v>7275</v>
      </c>
      <c r="F6612">
        <v>6273.16</v>
      </c>
      <c r="H6612">
        <v>41450.800000000003</v>
      </c>
    </row>
    <row r="6613" spans="1:8" ht="15" customHeight="1" x14ac:dyDescent="0.2">
      <c r="A6613" s="420">
        <v>45943</v>
      </c>
      <c r="B6613" t="s">
        <v>2333</v>
      </c>
      <c r="C6613" t="s">
        <v>7493</v>
      </c>
      <c r="D6613" t="s">
        <v>7734</v>
      </c>
      <c r="E6613" t="s">
        <v>1945</v>
      </c>
      <c r="G6613">
        <v>13.97</v>
      </c>
      <c r="H6613">
        <v>41436.83</v>
      </c>
    </row>
    <row r="6614" spans="1:8" ht="15" customHeight="1" x14ac:dyDescent="0.2">
      <c r="A6614" s="420">
        <v>45943</v>
      </c>
      <c r="B6614" t="s">
        <v>2333</v>
      </c>
      <c r="C6614" t="s">
        <v>7493</v>
      </c>
      <c r="D6614" t="s">
        <v>7735</v>
      </c>
      <c r="E6614" t="s">
        <v>1945</v>
      </c>
      <c r="G6614">
        <v>12.98</v>
      </c>
      <c r="H6614">
        <v>41423.85</v>
      </c>
    </row>
    <row r="6615" spans="1:8" ht="15" customHeight="1" x14ac:dyDescent="0.2">
      <c r="A6615" s="420">
        <v>45943</v>
      </c>
      <c r="B6615" t="s">
        <v>2333</v>
      </c>
      <c r="C6615" t="s">
        <v>7493</v>
      </c>
      <c r="D6615" t="s">
        <v>2838</v>
      </c>
      <c r="E6615" t="s">
        <v>1296</v>
      </c>
      <c r="G6615">
        <v>99</v>
      </c>
      <c r="H6615">
        <v>41324.85</v>
      </c>
    </row>
    <row r="6616" spans="1:8" ht="15" customHeight="1" x14ac:dyDescent="0.2">
      <c r="A6616" s="420">
        <v>45943</v>
      </c>
      <c r="B6616" t="s">
        <v>2333</v>
      </c>
      <c r="C6616" t="s">
        <v>7493</v>
      </c>
      <c r="D6616" t="s">
        <v>3107</v>
      </c>
      <c r="E6616" t="s">
        <v>3108</v>
      </c>
      <c r="G6616">
        <v>11.99</v>
      </c>
      <c r="H6616">
        <v>41312.86</v>
      </c>
    </row>
    <row r="6617" spans="1:8" ht="15" customHeight="1" x14ac:dyDescent="0.2">
      <c r="A6617" s="420">
        <v>45943</v>
      </c>
      <c r="B6617" t="s">
        <v>2333</v>
      </c>
      <c r="C6617" t="s">
        <v>7493</v>
      </c>
      <c r="D6617" t="s">
        <v>4954</v>
      </c>
      <c r="E6617" t="s">
        <v>4955</v>
      </c>
      <c r="G6617">
        <v>233</v>
      </c>
      <c r="H6617">
        <v>41079.86</v>
      </c>
    </row>
    <row r="6618" spans="1:8" ht="15" customHeight="1" x14ac:dyDescent="0.2">
      <c r="A6618" s="420">
        <v>45944</v>
      </c>
      <c r="B6618" t="s">
        <v>2333</v>
      </c>
      <c r="C6618" t="s">
        <v>7493</v>
      </c>
      <c r="D6618" t="s">
        <v>3822</v>
      </c>
      <c r="E6618" t="s">
        <v>3823</v>
      </c>
      <c r="G6618">
        <v>68.400000000000006</v>
      </c>
      <c r="H6618">
        <v>41011.46</v>
      </c>
    </row>
    <row r="6619" spans="1:8" ht="15" customHeight="1" x14ac:dyDescent="0.2">
      <c r="A6619" s="420">
        <v>45944</v>
      </c>
      <c r="B6619" t="s">
        <v>2333</v>
      </c>
      <c r="C6619" t="s">
        <v>7493</v>
      </c>
      <c r="D6619" t="s">
        <v>3556</v>
      </c>
      <c r="E6619" t="s">
        <v>3551</v>
      </c>
      <c r="G6619">
        <v>12</v>
      </c>
      <c r="H6619">
        <v>40999.46</v>
      </c>
    </row>
    <row r="6620" spans="1:8" ht="15" customHeight="1" x14ac:dyDescent="0.2">
      <c r="A6620" s="420">
        <v>45944</v>
      </c>
      <c r="B6620" t="s">
        <v>2333</v>
      </c>
      <c r="C6620" t="s">
        <v>7493</v>
      </c>
      <c r="D6620" t="s">
        <v>3557</v>
      </c>
      <c r="E6620" t="s">
        <v>3551</v>
      </c>
      <c r="G6620">
        <v>12</v>
      </c>
      <c r="H6620">
        <v>40987.46</v>
      </c>
    </row>
    <row r="6621" spans="1:8" ht="15" customHeight="1" x14ac:dyDescent="0.2">
      <c r="A6621" s="420">
        <v>45945</v>
      </c>
      <c r="B6621" t="s">
        <v>2333</v>
      </c>
      <c r="C6621" t="s">
        <v>7493</v>
      </c>
      <c r="D6621" t="s">
        <v>7400</v>
      </c>
      <c r="E6621" t="s">
        <v>7401</v>
      </c>
      <c r="G6621">
        <v>2704</v>
      </c>
      <c r="H6621">
        <v>38283.46</v>
      </c>
    </row>
    <row r="6622" spans="1:8" ht="15" customHeight="1" x14ac:dyDescent="0.2">
      <c r="A6622" s="420">
        <v>45946</v>
      </c>
      <c r="B6622" t="s">
        <v>2333</v>
      </c>
      <c r="C6622" t="s">
        <v>7493</v>
      </c>
      <c r="D6622" t="s">
        <v>6198</v>
      </c>
      <c r="E6622" t="s">
        <v>6199</v>
      </c>
      <c r="G6622">
        <v>4462</v>
      </c>
      <c r="H6622">
        <v>33821.46</v>
      </c>
    </row>
    <row r="6623" spans="1:8" ht="15" customHeight="1" x14ac:dyDescent="0.2">
      <c r="A6623" s="420">
        <v>45947</v>
      </c>
      <c r="B6623" t="s">
        <v>2333</v>
      </c>
      <c r="C6623" t="s">
        <v>7493</v>
      </c>
      <c r="D6623" t="s">
        <v>4688</v>
      </c>
      <c r="E6623" t="s">
        <v>4689</v>
      </c>
      <c r="G6623">
        <v>720</v>
      </c>
      <c r="H6623">
        <v>33101.46</v>
      </c>
    </row>
    <row r="6624" spans="1:8" ht="15" customHeight="1" x14ac:dyDescent="0.2">
      <c r="A6624" s="420">
        <v>45947</v>
      </c>
      <c r="B6624" t="s">
        <v>2333</v>
      </c>
      <c r="C6624" t="s">
        <v>7493</v>
      </c>
      <c r="D6624" t="s">
        <v>2609</v>
      </c>
      <c r="E6624" t="s">
        <v>2610</v>
      </c>
      <c r="G6624">
        <v>720</v>
      </c>
      <c r="H6624">
        <v>32381.46</v>
      </c>
    </row>
    <row r="6625" spans="1:8" ht="15" customHeight="1" x14ac:dyDescent="0.2">
      <c r="A6625" s="420">
        <v>45947</v>
      </c>
      <c r="B6625" t="s">
        <v>2333</v>
      </c>
      <c r="C6625" t="s">
        <v>7493</v>
      </c>
      <c r="D6625" t="s">
        <v>7116</v>
      </c>
      <c r="E6625" t="s">
        <v>7117</v>
      </c>
      <c r="G6625">
        <v>1000</v>
      </c>
      <c r="H6625">
        <v>31381.46</v>
      </c>
    </row>
    <row r="6626" spans="1:8" ht="15" customHeight="1" x14ac:dyDescent="0.2">
      <c r="A6626" s="420">
        <v>45950</v>
      </c>
      <c r="B6626" t="s">
        <v>2333</v>
      </c>
      <c r="C6626" t="s">
        <v>7493</v>
      </c>
      <c r="D6626" t="s">
        <v>5404</v>
      </c>
      <c r="E6626" t="s">
        <v>5405</v>
      </c>
      <c r="G6626">
        <v>117.14</v>
      </c>
      <c r="H6626">
        <v>31264.32</v>
      </c>
    </row>
    <row r="6627" spans="1:8" ht="15" customHeight="1" x14ac:dyDescent="0.2">
      <c r="A6627" s="420">
        <v>45950</v>
      </c>
      <c r="B6627" t="s">
        <v>2333</v>
      </c>
      <c r="C6627" t="s">
        <v>7493</v>
      </c>
      <c r="D6627" t="s">
        <v>5193</v>
      </c>
      <c r="E6627" t="s">
        <v>5194</v>
      </c>
      <c r="G6627">
        <v>4.99</v>
      </c>
      <c r="H6627">
        <v>31259.33</v>
      </c>
    </row>
    <row r="6628" spans="1:8" ht="15" customHeight="1" x14ac:dyDescent="0.2">
      <c r="A6628" s="420">
        <v>45950</v>
      </c>
      <c r="B6628" t="s">
        <v>2333</v>
      </c>
      <c r="C6628" t="s">
        <v>7493</v>
      </c>
      <c r="D6628" t="s">
        <v>3057</v>
      </c>
      <c r="E6628" t="s">
        <v>3052</v>
      </c>
      <c r="G6628">
        <v>91.8</v>
      </c>
      <c r="H6628">
        <v>31167.53</v>
      </c>
    </row>
    <row r="6629" spans="1:8" ht="15" customHeight="1" x14ac:dyDescent="0.2">
      <c r="A6629" s="420">
        <v>45950</v>
      </c>
      <c r="B6629" t="s">
        <v>2333</v>
      </c>
      <c r="C6629" t="s">
        <v>7493</v>
      </c>
      <c r="D6629" t="s">
        <v>3046</v>
      </c>
      <c r="E6629" t="s">
        <v>3047</v>
      </c>
      <c r="G6629">
        <v>28.48</v>
      </c>
      <c r="H6629">
        <v>31139.05</v>
      </c>
    </row>
    <row r="6630" spans="1:8" ht="15" customHeight="1" x14ac:dyDescent="0.2">
      <c r="A6630" s="420">
        <v>45950</v>
      </c>
      <c r="B6630" t="s">
        <v>2333</v>
      </c>
      <c r="C6630" t="s">
        <v>7493</v>
      </c>
      <c r="D6630" t="s">
        <v>3058</v>
      </c>
      <c r="E6630" t="s">
        <v>3052</v>
      </c>
      <c r="G6630">
        <v>197.65</v>
      </c>
      <c r="H6630">
        <v>30941.4</v>
      </c>
    </row>
    <row r="6631" spans="1:8" ht="15" customHeight="1" x14ac:dyDescent="0.2">
      <c r="A6631" s="420">
        <v>45950</v>
      </c>
      <c r="B6631" t="s">
        <v>2333</v>
      </c>
      <c r="C6631" t="s">
        <v>7493</v>
      </c>
      <c r="D6631" t="s">
        <v>4957</v>
      </c>
      <c r="E6631" t="s">
        <v>4958</v>
      </c>
      <c r="G6631">
        <v>66.8</v>
      </c>
      <c r="H6631">
        <v>30874.6</v>
      </c>
    </row>
    <row r="6632" spans="1:8" ht="15" customHeight="1" x14ac:dyDescent="0.2">
      <c r="A6632" s="420">
        <v>45951</v>
      </c>
      <c r="B6632" t="s">
        <v>2333</v>
      </c>
      <c r="C6632" t="s">
        <v>7493</v>
      </c>
      <c r="D6632" t="s">
        <v>6224</v>
      </c>
      <c r="E6632" t="s">
        <v>6225</v>
      </c>
      <c r="G6632">
        <v>413</v>
      </c>
      <c r="H6632">
        <v>30461.599999999999</v>
      </c>
    </row>
    <row r="6633" spans="1:8" ht="15" customHeight="1" x14ac:dyDescent="0.2">
      <c r="A6633" s="420">
        <v>45951</v>
      </c>
      <c r="B6633" t="s">
        <v>2333</v>
      </c>
      <c r="C6633" t="s">
        <v>7493</v>
      </c>
      <c r="D6633" t="s">
        <v>5613</v>
      </c>
      <c r="E6633" t="s">
        <v>5614</v>
      </c>
      <c r="F6633">
        <v>33527.050000000003</v>
      </c>
      <c r="H6633">
        <v>63988.65</v>
      </c>
    </row>
    <row r="6634" spans="1:8" ht="15" customHeight="1" x14ac:dyDescent="0.2">
      <c r="A6634" s="420">
        <v>45952</v>
      </c>
      <c r="B6634" t="s">
        <v>2333</v>
      </c>
      <c r="C6634" t="s">
        <v>7493</v>
      </c>
      <c r="D6634" t="s">
        <v>6286</v>
      </c>
      <c r="E6634" t="s">
        <v>6287</v>
      </c>
      <c r="G6634">
        <v>276</v>
      </c>
      <c r="H6634">
        <v>63712.65</v>
      </c>
    </row>
    <row r="6635" spans="1:8" ht="15" customHeight="1" x14ac:dyDescent="0.2">
      <c r="A6635" s="420">
        <v>45952</v>
      </c>
      <c r="B6635" t="s">
        <v>2333</v>
      </c>
      <c r="C6635" t="s">
        <v>7493</v>
      </c>
      <c r="D6635" t="s">
        <v>3870</v>
      </c>
      <c r="E6635" t="s">
        <v>3871</v>
      </c>
      <c r="G6635">
        <v>749.62</v>
      </c>
      <c r="H6635">
        <v>62963.03</v>
      </c>
    </row>
    <row r="6636" spans="1:8" ht="15" customHeight="1" x14ac:dyDescent="0.2">
      <c r="A6636" s="420">
        <v>45952</v>
      </c>
      <c r="B6636" t="s">
        <v>2333</v>
      </c>
      <c r="C6636" t="s">
        <v>7493</v>
      </c>
      <c r="D6636" t="s">
        <v>3679</v>
      </c>
      <c r="E6636" t="s">
        <v>3680</v>
      </c>
      <c r="G6636">
        <v>6000</v>
      </c>
      <c r="H6636">
        <v>56963.03</v>
      </c>
    </row>
    <row r="6637" spans="1:8" ht="15" customHeight="1" x14ac:dyDescent="0.2">
      <c r="A6637" s="420">
        <v>45952</v>
      </c>
      <c r="B6637" t="s">
        <v>2333</v>
      </c>
      <c r="C6637" t="s">
        <v>7493</v>
      </c>
      <c r="D6637" t="s">
        <v>3681</v>
      </c>
      <c r="E6637" t="s">
        <v>3682</v>
      </c>
      <c r="G6637">
        <v>6000</v>
      </c>
      <c r="H6637">
        <v>50963.03</v>
      </c>
    </row>
    <row r="6638" spans="1:8" ht="15" customHeight="1" x14ac:dyDescent="0.2">
      <c r="A6638" s="420">
        <v>45953</v>
      </c>
      <c r="B6638" t="s">
        <v>2333</v>
      </c>
      <c r="C6638" t="s">
        <v>7493</v>
      </c>
      <c r="D6638" t="s">
        <v>6220</v>
      </c>
      <c r="E6638" t="s">
        <v>6221</v>
      </c>
      <c r="G6638">
        <v>244.1</v>
      </c>
      <c r="H6638">
        <v>50718.93</v>
      </c>
    </row>
    <row r="6639" spans="1:8" ht="15" customHeight="1" x14ac:dyDescent="0.2">
      <c r="A6639" s="420">
        <v>45953</v>
      </c>
      <c r="B6639" t="s">
        <v>2333</v>
      </c>
      <c r="C6639" t="s">
        <v>7493</v>
      </c>
      <c r="D6639" t="s">
        <v>4829</v>
      </c>
      <c r="E6639" t="s">
        <v>4830</v>
      </c>
      <c r="G6639">
        <v>3600</v>
      </c>
      <c r="H6639">
        <v>47118.93</v>
      </c>
    </row>
    <row r="6640" spans="1:8" ht="15" customHeight="1" x14ac:dyDescent="0.2">
      <c r="A6640" s="420">
        <v>45953</v>
      </c>
      <c r="B6640" t="s">
        <v>2333</v>
      </c>
      <c r="C6640" t="s">
        <v>7493</v>
      </c>
      <c r="D6640" t="s">
        <v>3174</v>
      </c>
      <c r="E6640" t="s">
        <v>3175</v>
      </c>
      <c r="G6640">
        <v>60</v>
      </c>
      <c r="H6640">
        <v>47058.93</v>
      </c>
    </row>
    <row r="6641" spans="1:8" ht="15" customHeight="1" x14ac:dyDescent="0.2">
      <c r="A6641" s="420">
        <v>45953</v>
      </c>
      <c r="B6641" t="s">
        <v>2333</v>
      </c>
      <c r="C6641" t="s">
        <v>7493</v>
      </c>
      <c r="D6641" t="s">
        <v>5740</v>
      </c>
      <c r="E6641" t="s">
        <v>5741</v>
      </c>
      <c r="G6641">
        <v>6000</v>
      </c>
      <c r="H6641">
        <v>41058.93</v>
      </c>
    </row>
    <row r="6642" spans="1:8" ht="15" customHeight="1" x14ac:dyDescent="0.2">
      <c r="A6642" s="420">
        <v>45953</v>
      </c>
      <c r="B6642" t="s">
        <v>2333</v>
      </c>
      <c r="C6642" t="s">
        <v>7493</v>
      </c>
      <c r="D6642" t="s">
        <v>4960</v>
      </c>
      <c r="E6642" t="s">
        <v>4961</v>
      </c>
      <c r="G6642">
        <v>51.6</v>
      </c>
      <c r="H6642">
        <v>41007.33</v>
      </c>
    </row>
    <row r="6643" spans="1:8" ht="15" customHeight="1" x14ac:dyDescent="0.2">
      <c r="A6643" s="420">
        <v>45954</v>
      </c>
      <c r="B6643" t="s">
        <v>2333</v>
      </c>
      <c r="C6643" t="s">
        <v>7493</v>
      </c>
      <c r="D6643" t="s">
        <v>5154</v>
      </c>
      <c r="E6643" t="s">
        <v>5155</v>
      </c>
      <c r="G6643">
        <v>360</v>
      </c>
      <c r="H6643">
        <v>40647.33</v>
      </c>
    </row>
    <row r="6644" spans="1:8" ht="15" customHeight="1" x14ac:dyDescent="0.2">
      <c r="A6644" s="420">
        <v>45954</v>
      </c>
      <c r="B6644" t="s">
        <v>2333</v>
      </c>
      <c r="C6644" t="s">
        <v>7493</v>
      </c>
      <c r="D6644" t="s">
        <v>5756</v>
      </c>
      <c r="E6644" t="s">
        <v>5757</v>
      </c>
      <c r="G6644">
        <v>1350</v>
      </c>
      <c r="H6644">
        <v>39297.33</v>
      </c>
    </row>
    <row r="6645" spans="1:8" ht="15" customHeight="1" x14ac:dyDescent="0.2">
      <c r="A6645" s="420">
        <v>45954</v>
      </c>
      <c r="B6645" t="s">
        <v>2333</v>
      </c>
      <c r="C6645" t="s">
        <v>7493</v>
      </c>
      <c r="D6645" t="s">
        <v>5758</v>
      </c>
      <c r="E6645" t="s">
        <v>5759</v>
      </c>
      <c r="G6645">
        <v>6000</v>
      </c>
      <c r="H6645">
        <v>33297.33</v>
      </c>
    </row>
    <row r="6646" spans="1:8" ht="15" customHeight="1" x14ac:dyDescent="0.2">
      <c r="A6646" s="420">
        <v>45954</v>
      </c>
      <c r="B6646" t="s">
        <v>2333</v>
      </c>
      <c r="C6646" t="s">
        <v>7493</v>
      </c>
      <c r="D6646" t="s">
        <v>7402</v>
      </c>
      <c r="E6646" t="s">
        <v>7403</v>
      </c>
      <c r="F6646">
        <v>1700</v>
      </c>
      <c r="H6646">
        <v>34997.33</v>
      </c>
    </row>
    <row r="6647" spans="1:8" ht="15" customHeight="1" x14ac:dyDescent="0.2">
      <c r="A6647" s="420">
        <v>45954</v>
      </c>
      <c r="B6647" t="s">
        <v>2333</v>
      </c>
      <c r="C6647" t="s">
        <v>7493</v>
      </c>
      <c r="D6647" t="s">
        <v>7404</v>
      </c>
      <c r="E6647" t="s">
        <v>7405</v>
      </c>
      <c r="F6647">
        <v>1266.75</v>
      </c>
      <c r="H6647">
        <v>36264.080000000002</v>
      </c>
    </row>
    <row r="6648" spans="1:8" ht="15" customHeight="1" x14ac:dyDescent="0.2">
      <c r="A6648" s="420">
        <v>45954</v>
      </c>
      <c r="B6648" t="s">
        <v>2333</v>
      </c>
      <c r="C6648" t="s">
        <v>7493</v>
      </c>
      <c r="D6648" t="s">
        <v>2840</v>
      </c>
      <c r="E6648" t="s">
        <v>2829</v>
      </c>
      <c r="G6648">
        <v>34.950000000000003</v>
      </c>
      <c r="H6648">
        <v>36229.129999999997</v>
      </c>
    </row>
    <row r="6649" spans="1:8" ht="15" customHeight="1" x14ac:dyDescent="0.2">
      <c r="A6649" s="420">
        <v>45954</v>
      </c>
      <c r="B6649" t="s">
        <v>2333</v>
      </c>
      <c r="C6649" t="s">
        <v>7493</v>
      </c>
      <c r="D6649" t="s">
        <v>4963</v>
      </c>
      <c r="E6649" t="s">
        <v>4851</v>
      </c>
      <c r="G6649">
        <v>86.85</v>
      </c>
      <c r="H6649">
        <v>36142.28</v>
      </c>
    </row>
    <row r="6650" spans="1:8" ht="15" customHeight="1" x14ac:dyDescent="0.2">
      <c r="A6650" s="420">
        <v>45955</v>
      </c>
      <c r="B6650" t="s">
        <v>2333</v>
      </c>
      <c r="C6650" t="s">
        <v>7493</v>
      </c>
      <c r="D6650" t="s">
        <v>7406</v>
      </c>
      <c r="E6650" t="s">
        <v>7407</v>
      </c>
      <c r="G6650">
        <v>1266.75</v>
      </c>
      <c r="H6650">
        <v>34875.53</v>
      </c>
    </row>
    <row r="6651" spans="1:8" ht="15" customHeight="1" x14ac:dyDescent="0.2">
      <c r="A6651" s="420">
        <v>45957</v>
      </c>
      <c r="B6651" t="s">
        <v>2333</v>
      </c>
      <c r="C6651" t="s">
        <v>7493</v>
      </c>
      <c r="D6651" t="s">
        <v>4756</v>
      </c>
      <c r="E6651" t="s">
        <v>4757</v>
      </c>
      <c r="G6651">
        <v>94.8</v>
      </c>
      <c r="H6651">
        <v>34780.730000000003</v>
      </c>
    </row>
    <row r="6652" spans="1:8" ht="15" customHeight="1" x14ac:dyDescent="0.2">
      <c r="A6652" s="420">
        <v>45957</v>
      </c>
      <c r="B6652" t="s">
        <v>2333</v>
      </c>
      <c r="C6652" t="s">
        <v>7493</v>
      </c>
      <c r="D6652" t="s">
        <v>3520</v>
      </c>
      <c r="E6652" t="s">
        <v>3521</v>
      </c>
      <c r="G6652">
        <v>167.3</v>
      </c>
      <c r="H6652">
        <v>34613.43</v>
      </c>
    </row>
    <row r="6653" spans="1:8" ht="15" customHeight="1" x14ac:dyDescent="0.2">
      <c r="A6653" s="420">
        <v>45957</v>
      </c>
      <c r="B6653" t="s">
        <v>2333</v>
      </c>
      <c r="C6653" t="s">
        <v>7493</v>
      </c>
      <c r="D6653" t="s">
        <v>6253</v>
      </c>
      <c r="E6653" t="s">
        <v>6254</v>
      </c>
      <c r="G6653">
        <v>890.2</v>
      </c>
      <c r="H6653">
        <v>33723.230000000003</v>
      </c>
    </row>
    <row r="6654" spans="1:8" ht="15" customHeight="1" x14ac:dyDescent="0.2">
      <c r="A6654" s="420">
        <v>45957</v>
      </c>
      <c r="B6654" t="s">
        <v>2333</v>
      </c>
      <c r="C6654" t="s">
        <v>7493</v>
      </c>
      <c r="D6654" t="s">
        <v>7249</v>
      </c>
      <c r="E6654" t="s">
        <v>7250</v>
      </c>
      <c r="F6654">
        <v>20618.43</v>
      </c>
      <c r="H6654">
        <v>54341.66</v>
      </c>
    </row>
    <row r="6655" spans="1:8" ht="15" customHeight="1" x14ac:dyDescent="0.2">
      <c r="A6655" s="420">
        <v>45957</v>
      </c>
      <c r="B6655" t="s">
        <v>2333</v>
      </c>
      <c r="C6655" t="s">
        <v>7493</v>
      </c>
      <c r="D6655" t="s">
        <v>3061</v>
      </c>
      <c r="E6655" t="s">
        <v>3052</v>
      </c>
      <c r="G6655">
        <v>119.7</v>
      </c>
      <c r="H6655">
        <v>54221.96</v>
      </c>
    </row>
    <row r="6656" spans="1:8" ht="15" customHeight="1" x14ac:dyDescent="0.2">
      <c r="A6656" s="420">
        <v>45958</v>
      </c>
      <c r="B6656" t="s">
        <v>2333</v>
      </c>
      <c r="C6656" t="s">
        <v>7493</v>
      </c>
      <c r="D6656" t="s">
        <v>4671</v>
      </c>
      <c r="E6656" t="s">
        <v>4672</v>
      </c>
      <c r="G6656">
        <v>1000</v>
      </c>
      <c r="H6656">
        <v>53221.96</v>
      </c>
    </row>
    <row r="6657" spans="1:8" ht="15" customHeight="1" x14ac:dyDescent="0.2">
      <c r="A6657" s="420">
        <v>45959</v>
      </c>
      <c r="B6657" t="s">
        <v>2333</v>
      </c>
      <c r="C6657" t="s">
        <v>7493</v>
      </c>
      <c r="D6657" t="s">
        <v>6385</v>
      </c>
      <c r="E6657" t="s">
        <v>6386</v>
      </c>
      <c r="G6657">
        <v>5816</v>
      </c>
      <c r="H6657">
        <v>47405.96</v>
      </c>
    </row>
    <row r="6658" spans="1:8" ht="15" customHeight="1" x14ac:dyDescent="0.2">
      <c r="A6658" s="420">
        <v>45959</v>
      </c>
      <c r="B6658" t="s">
        <v>2333</v>
      </c>
      <c r="C6658" t="s">
        <v>7493</v>
      </c>
      <c r="D6658" t="s">
        <v>2931</v>
      </c>
      <c r="E6658" t="s">
        <v>2932</v>
      </c>
      <c r="G6658">
        <v>418.8</v>
      </c>
      <c r="H6658">
        <v>46987.16</v>
      </c>
    </row>
    <row r="6659" spans="1:8" ht="15" customHeight="1" x14ac:dyDescent="0.2">
      <c r="A6659" s="420">
        <v>45959</v>
      </c>
      <c r="B6659" t="s">
        <v>2333</v>
      </c>
      <c r="C6659" t="s">
        <v>7493</v>
      </c>
      <c r="D6659" t="s">
        <v>5866</v>
      </c>
      <c r="E6659" t="s">
        <v>5867</v>
      </c>
      <c r="F6659">
        <v>27400.92</v>
      </c>
      <c r="H6659">
        <v>74388.08</v>
      </c>
    </row>
    <row r="6660" spans="1:8" ht="15" customHeight="1" x14ac:dyDescent="0.2">
      <c r="A6660" s="420">
        <v>45959</v>
      </c>
      <c r="B6660" t="s">
        <v>2333</v>
      </c>
      <c r="C6660" t="s">
        <v>7493</v>
      </c>
      <c r="D6660" t="s">
        <v>5617</v>
      </c>
      <c r="E6660" t="s">
        <v>5618</v>
      </c>
      <c r="G6660">
        <v>6000</v>
      </c>
      <c r="H6660">
        <v>68388.08</v>
      </c>
    </row>
    <row r="6661" spans="1:8" ht="15" customHeight="1" x14ac:dyDescent="0.2">
      <c r="A6661" s="420">
        <v>45959</v>
      </c>
      <c r="B6661" t="s">
        <v>2333</v>
      </c>
      <c r="C6661" t="s">
        <v>7493</v>
      </c>
      <c r="D6661" t="s">
        <v>4808</v>
      </c>
      <c r="E6661" t="s">
        <v>4794</v>
      </c>
      <c r="G6661">
        <v>6.88</v>
      </c>
      <c r="H6661">
        <v>68381.2</v>
      </c>
    </row>
    <row r="6662" spans="1:8" ht="15" customHeight="1" x14ac:dyDescent="0.2">
      <c r="A6662" s="420">
        <v>45959</v>
      </c>
      <c r="B6662" t="s">
        <v>2333</v>
      </c>
      <c r="C6662" t="s">
        <v>7493</v>
      </c>
      <c r="D6662" t="s">
        <v>7148</v>
      </c>
      <c r="E6662" t="s">
        <v>7149</v>
      </c>
      <c r="G6662">
        <v>49.45</v>
      </c>
      <c r="H6662">
        <v>68331.75</v>
      </c>
    </row>
    <row r="6663" spans="1:8" ht="15" customHeight="1" x14ac:dyDescent="0.2">
      <c r="A6663" s="420">
        <v>45959</v>
      </c>
      <c r="B6663" t="s">
        <v>2333</v>
      </c>
      <c r="C6663" t="s">
        <v>7493</v>
      </c>
      <c r="D6663" t="s">
        <v>7736</v>
      </c>
      <c r="E6663" t="s">
        <v>1635</v>
      </c>
      <c r="G6663">
        <v>0.44</v>
      </c>
      <c r="H6663">
        <v>68331.31</v>
      </c>
    </row>
    <row r="6664" spans="1:8" ht="15" customHeight="1" x14ac:dyDescent="0.2">
      <c r="A6664" s="420">
        <v>45960</v>
      </c>
      <c r="B6664" t="s">
        <v>2333</v>
      </c>
      <c r="C6664" t="s">
        <v>7493</v>
      </c>
      <c r="D6664" t="s">
        <v>2629</v>
      </c>
      <c r="E6664" t="s">
        <v>2630</v>
      </c>
      <c r="G6664">
        <v>288</v>
      </c>
      <c r="H6664">
        <v>68043.31</v>
      </c>
    </row>
    <row r="6665" spans="1:8" ht="15" customHeight="1" x14ac:dyDescent="0.2">
      <c r="A6665" s="420">
        <v>45960</v>
      </c>
      <c r="B6665" t="s">
        <v>2333</v>
      </c>
      <c r="C6665" t="s">
        <v>7493</v>
      </c>
      <c r="D6665" t="s">
        <v>4270</v>
      </c>
      <c r="E6665" t="s">
        <v>4271</v>
      </c>
      <c r="G6665">
        <v>533.27</v>
      </c>
      <c r="H6665">
        <v>67510.039999999994</v>
      </c>
    </row>
    <row r="6666" spans="1:8" ht="15" customHeight="1" x14ac:dyDescent="0.2">
      <c r="A6666" s="420">
        <v>45960</v>
      </c>
      <c r="B6666" t="s">
        <v>2333</v>
      </c>
      <c r="C6666" t="s">
        <v>7493</v>
      </c>
      <c r="D6666" t="s">
        <v>5868</v>
      </c>
      <c r="E6666" t="s">
        <v>5869</v>
      </c>
      <c r="G6666">
        <v>27400.92</v>
      </c>
      <c r="H6666">
        <v>40109.120000000003</v>
      </c>
    </row>
    <row r="6667" spans="1:8" ht="15" customHeight="1" x14ac:dyDescent="0.2">
      <c r="A6667" s="420">
        <v>45960</v>
      </c>
      <c r="B6667" t="s">
        <v>2333</v>
      </c>
      <c r="C6667" t="s">
        <v>7493</v>
      </c>
      <c r="D6667" t="s">
        <v>3565</v>
      </c>
      <c r="E6667" t="s">
        <v>3566</v>
      </c>
      <c r="G6667">
        <v>374.83</v>
      </c>
      <c r="H6667">
        <v>39734.29</v>
      </c>
    </row>
    <row r="6668" spans="1:8" ht="15" customHeight="1" x14ac:dyDescent="0.2">
      <c r="A6668" s="420">
        <v>45960</v>
      </c>
      <c r="B6668" t="s">
        <v>2333</v>
      </c>
      <c r="C6668" t="s">
        <v>7493</v>
      </c>
      <c r="D6668" t="s">
        <v>4137</v>
      </c>
      <c r="E6668" t="s">
        <v>4134</v>
      </c>
      <c r="G6668">
        <v>13.99</v>
      </c>
      <c r="H6668">
        <v>39720.300000000003</v>
      </c>
    </row>
    <row r="6669" spans="1:8" ht="15" customHeight="1" x14ac:dyDescent="0.2">
      <c r="A6669" s="420">
        <v>45961</v>
      </c>
      <c r="B6669" t="s">
        <v>2333</v>
      </c>
      <c r="C6669" t="s">
        <v>7493</v>
      </c>
      <c r="D6669" t="s">
        <v>2732</v>
      </c>
      <c r="E6669" t="s">
        <v>2733</v>
      </c>
      <c r="G6669">
        <v>1620</v>
      </c>
      <c r="H6669">
        <v>38100.300000000003</v>
      </c>
    </row>
    <row r="6670" spans="1:8" ht="15" customHeight="1" x14ac:dyDescent="0.2">
      <c r="A6670" s="420">
        <v>45961</v>
      </c>
      <c r="B6670" t="s">
        <v>2333</v>
      </c>
      <c r="C6670" t="s">
        <v>7493</v>
      </c>
      <c r="D6670" t="s">
        <v>2734</v>
      </c>
      <c r="E6670" t="s">
        <v>2735</v>
      </c>
      <c r="G6670">
        <v>710.4</v>
      </c>
      <c r="H6670">
        <v>37389.9</v>
      </c>
    </row>
    <row r="6671" spans="1:8" ht="15" customHeight="1" x14ac:dyDescent="0.2">
      <c r="A6671" s="420">
        <v>45961</v>
      </c>
      <c r="B6671" t="s">
        <v>2333</v>
      </c>
      <c r="C6671" t="s">
        <v>7493</v>
      </c>
      <c r="D6671" t="s">
        <v>2736</v>
      </c>
      <c r="E6671" t="s">
        <v>2737</v>
      </c>
      <c r="G6671">
        <v>744</v>
      </c>
      <c r="H6671">
        <v>36645.9</v>
      </c>
    </row>
    <row r="6672" spans="1:8" ht="15" customHeight="1" x14ac:dyDescent="0.2">
      <c r="A6672" s="420">
        <v>45961</v>
      </c>
      <c r="B6672" t="s">
        <v>2333</v>
      </c>
      <c r="C6672" t="s">
        <v>7493</v>
      </c>
      <c r="D6672" t="s">
        <v>5849</v>
      </c>
      <c r="E6672" t="s">
        <v>5850</v>
      </c>
      <c r="F6672">
        <v>21107.7</v>
      </c>
      <c r="H6672">
        <v>57753.599999999999</v>
      </c>
    </row>
    <row r="6673" spans="1:8" ht="15" customHeight="1" x14ac:dyDescent="0.2">
      <c r="A6673" s="420">
        <v>45961</v>
      </c>
      <c r="B6673" t="s">
        <v>2333</v>
      </c>
      <c r="C6673" t="s">
        <v>7493</v>
      </c>
      <c r="D6673" t="s">
        <v>7425</v>
      </c>
      <c r="E6673" t="s">
        <v>7426</v>
      </c>
      <c r="F6673">
        <v>9032.0499999999993</v>
      </c>
      <c r="H6673">
        <v>66785.649999999994</v>
      </c>
    </row>
    <row r="6674" spans="1:8" ht="15" customHeight="1" x14ac:dyDescent="0.2">
      <c r="A6674" s="420">
        <v>45961</v>
      </c>
      <c r="B6674" t="s">
        <v>2333</v>
      </c>
      <c r="C6674" t="s">
        <v>7493</v>
      </c>
      <c r="D6674" t="s">
        <v>4721</v>
      </c>
      <c r="E6674" t="s">
        <v>4698</v>
      </c>
      <c r="G6674">
        <v>17.32</v>
      </c>
      <c r="H6674">
        <v>66768.33</v>
      </c>
    </row>
    <row r="6675" spans="1:8" ht="15" customHeight="1" x14ac:dyDescent="0.2">
      <c r="A6675" s="420">
        <v>45961</v>
      </c>
      <c r="B6675" t="s">
        <v>2333</v>
      </c>
      <c r="C6675" t="s">
        <v>7493</v>
      </c>
      <c r="D6675" t="s">
        <v>7737</v>
      </c>
      <c r="E6675" t="s">
        <v>1414</v>
      </c>
      <c r="F6675">
        <v>6.67</v>
      </c>
      <c r="H6675">
        <v>66775</v>
      </c>
    </row>
    <row r="6676" spans="1:8" ht="15" customHeight="1" x14ac:dyDescent="0.2">
      <c r="A6676" s="420">
        <v>45961</v>
      </c>
      <c r="B6676" t="s">
        <v>2333</v>
      </c>
      <c r="C6676" t="s">
        <v>7493</v>
      </c>
      <c r="D6676" t="s">
        <v>7738</v>
      </c>
      <c r="E6676" t="s">
        <v>1635</v>
      </c>
      <c r="F6676">
        <v>0.44</v>
      </c>
      <c r="H6676">
        <v>66775.44</v>
      </c>
    </row>
    <row r="6677" spans="1:8" ht="15" customHeight="1" x14ac:dyDescent="0.2">
      <c r="A6677" s="420">
        <v>45961</v>
      </c>
      <c r="B6677" t="s">
        <v>2333</v>
      </c>
      <c r="C6677" t="s">
        <v>7493</v>
      </c>
      <c r="D6677" t="s">
        <v>7739</v>
      </c>
      <c r="E6677" t="s">
        <v>1635</v>
      </c>
      <c r="G6677">
        <v>0.68</v>
      </c>
      <c r="H6677">
        <v>66774.759999999995</v>
      </c>
    </row>
    <row r="6678" spans="1:8" ht="15" customHeight="1" x14ac:dyDescent="0.2">
      <c r="A6678" s="420">
        <v>45964</v>
      </c>
      <c r="B6678" t="s">
        <v>2333</v>
      </c>
      <c r="C6678" t="s">
        <v>7493</v>
      </c>
      <c r="D6678" t="s">
        <v>5439</v>
      </c>
      <c r="E6678" t="s">
        <v>5440</v>
      </c>
      <c r="G6678">
        <v>462.38</v>
      </c>
      <c r="H6678">
        <v>66312.38</v>
      </c>
    </row>
    <row r="6679" spans="1:8" ht="15" customHeight="1" x14ac:dyDescent="0.2">
      <c r="A6679" s="420">
        <v>45964</v>
      </c>
      <c r="B6679" t="s">
        <v>2333</v>
      </c>
      <c r="C6679" t="s">
        <v>7493</v>
      </c>
      <c r="D6679" t="s">
        <v>3396</v>
      </c>
      <c r="E6679" t="s">
        <v>3397</v>
      </c>
      <c r="G6679">
        <v>22.58</v>
      </c>
      <c r="H6679">
        <v>66289.8</v>
      </c>
    </row>
    <row r="6680" spans="1:8" ht="15" customHeight="1" x14ac:dyDescent="0.2">
      <c r="A6680" s="420">
        <v>45964</v>
      </c>
      <c r="B6680" t="s">
        <v>2333</v>
      </c>
      <c r="C6680" t="s">
        <v>7493</v>
      </c>
      <c r="D6680" t="s">
        <v>7253</v>
      </c>
      <c r="E6680" t="s">
        <v>7254</v>
      </c>
      <c r="F6680">
        <v>17793.87</v>
      </c>
      <c r="H6680">
        <v>84083.67</v>
      </c>
    </row>
    <row r="6681" spans="1:8" ht="15" customHeight="1" x14ac:dyDescent="0.2">
      <c r="A6681" s="420">
        <v>45964</v>
      </c>
      <c r="B6681" t="s">
        <v>2333</v>
      </c>
      <c r="C6681" t="s">
        <v>7493</v>
      </c>
      <c r="D6681" t="s">
        <v>3421</v>
      </c>
      <c r="E6681" t="s">
        <v>3403</v>
      </c>
      <c r="G6681">
        <v>7080</v>
      </c>
      <c r="H6681">
        <v>77003.67</v>
      </c>
    </row>
    <row r="6682" spans="1:8" ht="15" customHeight="1" x14ac:dyDescent="0.2">
      <c r="A6682" s="420">
        <v>45964</v>
      </c>
      <c r="B6682" t="s">
        <v>2333</v>
      </c>
      <c r="C6682" t="s">
        <v>7493</v>
      </c>
      <c r="D6682" t="s">
        <v>4066</v>
      </c>
      <c r="E6682" t="s">
        <v>4058</v>
      </c>
      <c r="G6682">
        <v>1526</v>
      </c>
      <c r="H6682">
        <v>75477.67</v>
      </c>
    </row>
    <row r="6683" spans="1:8" ht="15" customHeight="1" x14ac:dyDescent="0.2">
      <c r="A6683" s="420">
        <v>45964</v>
      </c>
      <c r="B6683" t="s">
        <v>2333</v>
      </c>
      <c r="C6683" t="s">
        <v>7493</v>
      </c>
      <c r="D6683" t="s">
        <v>3713</v>
      </c>
      <c r="E6683" t="s">
        <v>3714</v>
      </c>
      <c r="G6683">
        <v>950.56</v>
      </c>
      <c r="H6683">
        <v>74527.11</v>
      </c>
    </row>
    <row r="6684" spans="1:8" ht="15" customHeight="1" x14ac:dyDescent="0.2">
      <c r="A6684" s="420">
        <v>45964</v>
      </c>
      <c r="B6684" t="s">
        <v>2333</v>
      </c>
      <c r="C6684" t="s">
        <v>7493</v>
      </c>
      <c r="D6684" t="s">
        <v>4775</v>
      </c>
      <c r="E6684" t="s">
        <v>4776</v>
      </c>
      <c r="G6684">
        <v>128</v>
      </c>
      <c r="H6684">
        <v>74399.11</v>
      </c>
    </row>
    <row r="6685" spans="1:8" ht="15" customHeight="1" x14ac:dyDescent="0.2">
      <c r="A6685" s="420">
        <v>45964</v>
      </c>
      <c r="B6685" t="s">
        <v>2333</v>
      </c>
      <c r="C6685" t="s">
        <v>7493</v>
      </c>
      <c r="D6685" t="s">
        <v>3070</v>
      </c>
      <c r="E6685" t="s">
        <v>3071</v>
      </c>
      <c r="G6685">
        <v>218.54</v>
      </c>
      <c r="H6685">
        <v>74180.570000000007</v>
      </c>
    </row>
    <row r="6686" spans="1:8" ht="15" customHeight="1" x14ac:dyDescent="0.2">
      <c r="A6686" s="420">
        <v>45964</v>
      </c>
      <c r="B6686" t="s">
        <v>2333</v>
      </c>
      <c r="C6686" t="s">
        <v>7493</v>
      </c>
      <c r="D6686" t="s">
        <v>7740</v>
      </c>
      <c r="E6686" t="s">
        <v>1707</v>
      </c>
      <c r="G6686">
        <v>21.68</v>
      </c>
      <c r="H6686">
        <v>74158.89</v>
      </c>
    </row>
    <row r="6687" spans="1:8" ht="15" customHeight="1" x14ac:dyDescent="0.2">
      <c r="A6687" s="420">
        <v>45965</v>
      </c>
      <c r="B6687" t="s">
        <v>2333</v>
      </c>
      <c r="C6687" t="s">
        <v>7493</v>
      </c>
      <c r="D6687" t="s">
        <v>3000</v>
      </c>
      <c r="E6687" t="s">
        <v>3001</v>
      </c>
      <c r="G6687">
        <v>2220</v>
      </c>
      <c r="H6687">
        <v>71938.89</v>
      </c>
    </row>
    <row r="6688" spans="1:8" ht="15" customHeight="1" x14ac:dyDescent="0.2">
      <c r="A6688" s="420">
        <v>45965</v>
      </c>
      <c r="B6688" t="s">
        <v>2333</v>
      </c>
      <c r="C6688" t="s">
        <v>7493</v>
      </c>
      <c r="D6688" t="s">
        <v>5304</v>
      </c>
      <c r="E6688" t="s">
        <v>5305</v>
      </c>
      <c r="G6688">
        <v>58.12</v>
      </c>
      <c r="H6688">
        <v>71880.77</v>
      </c>
    </row>
    <row r="6689" spans="1:8" ht="15" customHeight="1" x14ac:dyDescent="0.2">
      <c r="A6689" s="420">
        <v>45965</v>
      </c>
      <c r="B6689" t="s">
        <v>2333</v>
      </c>
      <c r="C6689" t="s">
        <v>7493</v>
      </c>
      <c r="D6689" t="s">
        <v>5165</v>
      </c>
      <c r="E6689" t="s">
        <v>5166</v>
      </c>
      <c r="G6689">
        <v>115.86</v>
      </c>
      <c r="H6689">
        <v>71764.91</v>
      </c>
    </row>
    <row r="6690" spans="1:8" ht="15" customHeight="1" x14ac:dyDescent="0.2">
      <c r="A6690" s="420">
        <v>45965</v>
      </c>
      <c r="B6690" t="s">
        <v>2333</v>
      </c>
      <c r="C6690" t="s">
        <v>7493</v>
      </c>
      <c r="D6690" t="s">
        <v>7741</v>
      </c>
      <c r="E6690" t="s">
        <v>782</v>
      </c>
      <c r="G6690">
        <v>14.13</v>
      </c>
      <c r="H6690">
        <v>71750.78</v>
      </c>
    </row>
    <row r="6691" spans="1:8" ht="15" customHeight="1" x14ac:dyDescent="0.2">
      <c r="A6691" s="420">
        <v>45966</v>
      </c>
      <c r="B6691" t="s">
        <v>2333</v>
      </c>
      <c r="C6691" t="s">
        <v>7493</v>
      </c>
      <c r="D6691" t="s">
        <v>7742</v>
      </c>
      <c r="E6691" t="s">
        <v>7743</v>
      </c>
      <c r="G6691">
        <v>14.31</v>
      </c>
      <c r="H6691">
        <v>71736.47</v>
      </c>
    </row>
    <row r="6692" spans="1:8" ht="15" customHeight="1" x14ac:dyDescent="0.2">
      <c r="A6692" s="420">
        <v>45966</v>
      </c>
      <c r="B6692" t="s">
        <v>2333</v>
      </c>
      <c r="C6692" t="s">
        <v>7493</v>
      </c>
      <c r="D6692" t="s">
        <v>7744</v>
      </c>
      <c r="E6692" t="s">
        <v>7745</v>
      </c>
      <c r="G6692">
        <v>236.65</v>
      </c>
      <c r="H6692">
        <v>71499.820000000007</v>
      </c>
    </row>
    <row r="6693" spans="1:8" ht="15" customHeight="1" x14ac:dyDescent="0.2">
      <c r="A6693" s="420">
        <v>45966</v>
      </c>
      <c r="B6693" t="s">
        <v>2333</v>
      </c>
      <c r="C6693" t="s">
        <v>7493</v>
      </c>
      <c r="D6693" t="s">
        <v>7746</v>
      </c>
      <c r="E6693" t="s">
        <v>7747</v>
      </c>
      <c r="G6693">
        <v>39.1</v>
      </c>
      <c r="H6693">
        <v>71460.72</v>
      </c>
    </row>
    <row r="6694" spans="1:8" ht="15" customHeight="1" x14ac:dyDescent="0.2">
      <c r="A6694" s="420">
        <v>45966</v>
      </c>
      <c r="B6694" t="s">
        <v>2333</v>
      </c>
      <c r="C6694" t="s">
        <v>7493</v>
      </c>
      <c r="D6694" t="s">
        <v>7748</v>
      </c>
      <c r="E6694" t="s">
        <v>7749</v>
      </c>
      <c r="G6694">
        <v>604.96</v>
      </c>
      <c r="H6694">
        <v>70855.759999999995</v>
      </c>
    </row>
    <row r="6695" spans="1:8" ht="15" customHeight="1" x14ac:dyDescent="0.2">
      <c r="A6695" s="420">
        <v>45966</v>
      </c>
      <c r="B6695" t="s">
        <v>2333</v>
      </c>
      <c r="C6695" t="s">
        <v>7493</v>
      </c>
      <c r="D6695" t="s">
        <v>2659</v>
      </c>
      <c r="E6695" t="s">
        <v>2660</v>
      </c>
      <c r="G6695">
        <v>1328.25</v>
      </c>
      <c r="H6695">
        <v>69527.509999999995</v>
      </c>
    </row>
    <row r="6696" spans="1:8" ht="15" customHeight="1" x14ac:dyDescent="0.2">
      <c r="A6696" s="420">
        <v>45966</v>
      </c>
      <c r="B6696" t="s">
        <v>2333</v>
      </c>
      <c r="C6696" t="s">
        <v>7493</v>
      </c>
      <c r="D6696" t="s">
        <v>3825</v>
      </c>
      <c r="E6696" t="s">
        <v>3826</v>
      </c>
      <c r="G6696">
        <v>100.28</v>
      </c>
      <c r="H6696">
        <v>69427.23</v>
      </c>
    </row>
    <row r="6697" spans="1:8" ht="15" customHeight="1" x14ac:dyDescent="0.2">
      <c r="A6697" s="420">
        <v>45966</v>
      </c>
      <c r="B6697" t="s">
        <v>2333</v>
      </c>
      <c r="C6697" t="s">
        <v>7493</v>
      </c>
      <c r="D6697" t="s">
        <v>7750</v>
      </c>
      <c r="E6697" t="s">
        <v>7751</v>
      </c>
      <c r="F6697">
        <v>416.66</v>
      </c>
      <c r="H6697">
        <v>69843.89</v>
      </c>
    </row>
    <row r="6698" spans="1:8" ht="15" customHeight="1" x14ac:dyDescent="0.2">
      <c r="A6698" s="420">
        <v>45966</v>
      </c>
      <c r="B6698" t="s">
        <v>2333</v>
      </c>
      <c r="C6698" t="s">
        <v>7493</v>
      </c>
      <c r="D6698" t="s">
        <v>7182</v>
      </c>
      <c r="E6698" t="s">
        <v>7171</v>
      </c>
      <c r="G6698">
        <v>500</v>
      </c>
      <c r="H6698">
        <v>69343.89</v>
      </c>
    </row>
    <row r="6699" spans="1:8" ht="15" customHeight="1" x14ac:dyDescent="0.2">
      <c r="A6699" s="420">
        <v>45966</v>
      </c>
      <c r="B6699" t="s">
        <v>2333</v>
      </c>
      <c r="C6699" t="s">
        <v>7493</v>
      </c>
      <c r="D6699" t="s">
        <v>4094</v>
      </c>
      <c r="E6699" t="s">
        <v>4078</v>
      </c>
      <c r="G6699">
        <v>322</v>
      </c>
      <c r="H6699">
        <v>69021.89</v>
      </c>
    </row>
    <row r="6700" spans="1:8" ht="15" customHeight="1" x14ac:dyDescent="0.2">
      <c r="A6700" s="420">
        <v>45966</v>
      </c>
      <c r="B6700" t="s">
        <v>2333</v>
      </c>
      <c r="C6700" t="s">
        <v>7493</v>
      </c>
      <c r="D6700" t="s">
        <v>5172</v>
      </c>
      <c r="E6700" t="s">
        <v>5173</v>
      </c>
      <c r="G6700">
        <v>8.4</v>
      </c>
      <c r="H6700">
        <v>69013.490000000005</v>
      </c>
    </row>
    <row r="6701" spans="1:8" ht="15" customHeight="1" x14ac:dyDescent="0.2">
      <c r="A6701" s="420">
        <v>45966</v>
      </c>
      <c r="B6701" t="s">
        <v>2333</v>
      </c>
      <c r="C6701" t="s">
        <v>7493</v>
      </c>
      <c r="D6701" t="s">
        <v>6129</v>
      </c>
      <c r="E6701" t="s">
        <v>6130</v>
      </c>
      <c r="G6701">
        <v>1544.15</v>
      </c>
      <c r="H6701">
        <v>67469.34</v>
      </c>
    </row>
    <row r="6702" spans="1:8" ht="15" customHeight="1" x14ac:dyDescent="0.2">
      <c r="A6702" s="420">
        <v>45966</v>
      </c>
      <c r="B6702" t="s">
        <v>2333</v>
      </c>
      <c r="C6702" t="s">
        <v>7493</v>
      </c>
      <c r="D6702" t="s">
        <v>6131</v>
      </c>
      <c r="E6702" t="s">
        <v>6132</v>
      </c>
      <c r="G6702">
        <v>3834.98</v>
      </c>
      <c r="H6702">
        <v>63634.36</v>
      </c>
    </row>
    <row r="6703" spans="1:8" ht="15" customHeight="1" x14ac:dyDescent="0.2">
      <c r="A6703" s="420">
        <v>45966</v>
      </c>
      <c r="B6703" t="s">
        <v>2333</v>
      </c>
      <c r="C6703" t="s">
        <v>7493</v>
      </c>
      <c r="D6703" t="s">
        <v>6133</v>
      </c>
      <c r="E6703" t="s">
        <v>6134</v>
      </c>
      <c r="G6703">
        <v>1387.96</v>
      </c>
      <c r="H6703">
        <v>62246.400000000001</v>
      </c>
    </row>
    <row r="6704" spans="1:8" ht="15" customHeight="1" x14ac:dyDescent="0.2">
      <c r="A6704" s="420">
        <v>45967</v>
      </c>
      <c r="B6704" t="s">
        <v>2333</v>
      </c>
      <c r="C6704" t="s">
        <v>7493</v>
      </c>
      <c r="D6704" t="s">
        <v>4035</v>
      </c>
      <c r="E6704" t="s">
        <v>4036</v>
      </c>
      <c r="G6704">
        <v>393.82</v>
      </c>
      <c r="H6704">
        <v>61852.58</v>
      </c>
    </row>
    <row r="6705" spans="1:8" ht="15" customHeight="1" x14ac:dyDescent="0.2">
      <c r="A6705" s="420">
        <v>45967</v>
      </c>
      <c r="B6705" t="s">
        <v>2333</v>
      </c>
      <c r="C6705" t="s">
        <v>7493</v>
      </c>
      <c r="D6705" t="s">
        <v>5363</v>
      </c>
      <c r="E6705" t="s">
        <v>5364</v>
      </c>
      <c r="G6705">
        <v>24</v>
      </c>
      <c r="H6705">
        <v>61828.58</v>
      </c>
    </row>
    <row r="6706" spans="1:8" ht="15" customHeight="1" x14ac:dyDescent="0.2">
      <c r="A6706" s="420">
        <v>45967</v>
      </c>
      <c r="B6706" t="s">
        <v>2333</v>
      </c>
      <c r="C6706" t="s">
        <v>7493</v>
      </c>
      <c r="D6706" t="s">
        <v>3446</v>
      </c>
      <c r="E6706" t="s">
        <v>3433</v>
      </c>
      <c r="G6706">
        <v>73.739999999999995</v>
      </c>
      <c r="H6706">
        <v>61754.84</v>
      </c>
    </row>
    <row r="6707" spans="1:8" ht="15" customHeight="1" x14ac:dyDescent="0.2">
      <c r="A6707" s="420">
        <v>45967</v>
      </c>
      <c r="B6707" t="s">
        <v>2333</v>
      </c>
      <c r="C6707" t="s">
        <v>7493</v>
      </c>
      <c r="D6707" t="s">
        <v>5591</v>
      </c>
      <c r="E6707" t="s">
        <v>5592</v>
      </c>
      <c r="F6707">
        <v>24820.2</v>
      </c>
      <c r="H6707">
        <v>86575.039999999994</v>
      </c>
    </row>
    <row r="6708" spans="1:8" ht="15" customHeight="1" x14ac:dyDescent="0.2">
      <c r="A6708" s="420">
        <v>45967</v>
      </c>
      <c r="B6708" t="s">
        <v>2333</v>
      </c>
      <c r="C6708" t="s">
        <v>7493</v>
      </c>
      <c r="D6708" t="s">
        <v>7427</v>
      </c>
      <c r="E6708" t="s">
        <v>7428</v>
      </c>
      <c r="F6708">
        <v>10619.65</v>
      </c>
      <c r="H6708">
        <v>97194.69</v>
      </c>
    </row>
    <row r="6709" spans="1:8" ht="15" customHeight="1" x14ac:dyDescent="0.2">
      <c r="A6709" s="420">
        <v>45967</v>
      </c>
      <c r="B6709" t="s">
        <v>2333</v>
      </c>
      <c r="C6709" t="s">
        <v>7493</v>
      </c>
      <c r="D6709" t="s">
        <v>7752</v>
      </c>
      <c r="E6709" t="s">
        <v>1622</v>
      </c>
      <c r="G6709">
        <v>31.8</v>
      </c>
      <c r="H6709">
        <v>97162.89</v>
      </c>
    </row>
    <row r="6710" spans="1:8" ht="15" customHeight="1" x14ac:dyDescent="0.2">
      <c r="A6710" s="420">
        <v>45968</v>
      </c>
      <c r="B6710" t="s">
        <v>2333</v>
      </c>
      <c r="C6710" t="s">
        <v>7493</v>
      </c>
      <c r="D6710" t="s">
        <v>5477</v>
      </c>
      <c r="E6710" t="s">
        <v>5478</v>
      </c>
      <c r="G6710">
        <v>65.75</v>
      </c>
      <c r="H6710">
        <v>97097.14</v>
      </c>
    </row>
    <row r="6711" spans="1:8" ht="15" customHeight="1" x14ac:dyDescent="0.2">
      <c r="A6711" s="420">
        <v>45971</v>
      </c>
      <c r="B6711" t="s">
        <v>2333</v>
      </c>
      <c r="C6711" t="s">
        <v>7493</v>
      </c>
      <c r="D6711" t="s">
        <v>2934</v>
      </c>
      <c r="E6711" t="s">
        <v>2935</v>
      </c>
      <c r="G6711">
        <v>2306.5</v>
      </c>
      <c r="H6711">
        <v>94790.64</v>
      </c>
    </row>
    <row r="6712" spans="1:8" ht="15" customHeight="1" x14ac:dyDescent="0.2">
      <c r="A6712" s="420">
        <v>45971</v>
      </c>
      <c r="B6712" t="s">
        <v>2333</v>
      </c>
      <c r="C6712" t="s">
        <v>7493</v>
      </c>
      <c r="D6712" t="s">
        <v>5017</v>
      </c>
      <c r="E6712" t="s">
        <v>5018</v>
      </c>
      <c r="G6712">
        <v>123.78</v>
      </c>
      <c r="H6712">
        <v>94666.86</v>
      </c>
    </row>
    <row r="6713" spans="1:8" ht="15" customHeight="1" x14ac:dyDescent="0.2">
      <c r="A6713" s="420">
        <v>45971</v>
      </c>
      <c r="B6713" t="s">
        <v>2333</v>
      </c>
      <c r="C6713" t="s">
        <v>7493</v>
      </c>
      <c r="D6713" t="s">
        <v>7278</v>
      </c>
      <c r="E6713" t="s">
        <v>7279</v>
      </c>
      <c r="F6713">
        <v>17362.39</v>
      </c>
      <c r="H6713">
        <v>112029.25</v>
      </c>
    </row>
    <row r="6714" spans="1:8" ht="15" customHeight="1" x14ac:dyDescent="0.2">
      <c r="A6714" s="420">
        <v>45971</v>
      </c>
      <c r="B6714" t="s">
        <v>2333</v>
      </c>
      <c r="C6714" t="s">
        <v>7493</v>
      </c>
      <c r="D6714" t="s">
        <v>2841</v>
      </c>
      <c r="E6714" t="s">
        <v>2829</v>
      </c>
      <c r="G6714">
        <v>0.99</v>
      </c>
      <c r="H6714">
        <v>112028.26</v>
      </c>
    </row>
    <row r="6715" spans="1:8" ht="15" customHeight="1" x14ac:dyDescent="0.2">
      <c r="A6715" s="420">
        <v>45971</v>
      </c>
      <c r="B6715" t="s">
        <v>2333</v>
      </c>
      <c r="C6715" t="s">
        <v>7493</v>
      </c>
      <c r="D6715" t="s">
        <v>5324</v>
      </c>
      <c r="E6715" t="s">
        <v>1945</v>
      </c>
      <c r="G6715">
        <v>39.950000000000003</v>
      </c>
      <c r="H6715">
        <v>111988.31</v>
      </c>
    </row>
    <row r="6716" spans="1:8" ht="15" customHeight="1" x14ac:dyDescent="0.2">
      <c r="A6716" s="420">
        <v>45971</v>
      </c>
      <c r="B6716" t="s">
        <v>2333</v>
      </c>
      <c r="C6716" t="s">
        <v>7493</v>
      </c>
      <c r="D6716" t="s">
        <v>7753</v>
      </c>
      <c r="E6716" t="s">
        <v>2761</v>
      </c>
      <c r="G6716">
        <v>31.98</v>
      </c>
      <c r="H6716">
        <v>111956.33</v>
      </c>
    </row>
    <row r="6717" spans="1:8" ht="15" customHeight="1" x14ac:dyDescent="0.2">
      <c r="A6717" s="420">
        <v>45971</v>
      </c>
      <c r="B6717" t="s">
        <v>2333</v>
      </c>
      <c r="C6717" t="s">
        <v>7493</v>
      </c>
      <c r="D6717" t="s">
        <v>3716</v>
      </c>
      <c r="E6717" t="s">
        <v>3717</v>
      </c>
      <c r="G6717">
        <v>129.66</v>
      </c>
      <c r="H6717">
        <v>111826.67</v>
      </c>
    </row>
    <row r="6718" spans="1:8" ht="15" customHeight="1" x14ac:dyDescent="0.2">
      <c r="A6718" s="420">
        <v>45972</v>
      </c>
      <c r="B6718" t="s">
        <v>2333</v>
      </c>
      <c r="C6718" t="s">
        <v>7493</v>
      </c>
      <c r="D6718" t="s">
        <v>5067</v>
      </c>
      <c r="E6718" t="s">
        <v>5068</v>
      </c>
      <c r="G6718">
        <v>204.12</v>
      </c>
      <c r="H6718">
        <v>111622.55</v>
      </c>
    </row>
    <row r="6719" spans="1:8" ht="15" customHeight="1" x14ac:dyDescent="0.2">
      <c r="A6719" s="420">
        <v>45972</v>
      </c>
      <c r="B6719" t="s">
        <v>2333</v>
      </c>
      <c r="C6719" t="s">
        <v>7493</v>
      </c>
      <c r="D6719" t="s">
        <v>7754</v>
      </c>
      <c r="E6719" t="s">
        <v>7755</v>
      </c>
      <c r="G6719">
        <v>100.82</v>
      </c>
      <c r="H6719">
        <v>111521.73</v>
      </c>
    </row>
    <row r="6720" spans="1:8" ht="15" customHeight="1" x14ac:dyDescent="0.2">
      <c r="A6720" s="420">
        <v>45972</v>
      </c>
      <c r="B6720" t="s">
        <v>2333</v>
      </c>
      <c r="C6720" t="s">
        <v>7493</v>
      </c>
      <c r="D6720" t="s">
        <v>3524</v>
      </c>
      <c r="E6720" t="s">
        <v>3525</v>
      </c>
      <c r="G6720">
        <v>168.04</v>
      </c>
      <c r="H6720">
        <v>111353.69</v>
      </c>
    </row>
    <row r="6721" spans="1:8" ht="15" customHeight="1" x14ac:dyDescent="0.2">
      <c r="A6721" s="420">
        <v>45972</v>
      </c>
      <c r="B6721" t="s">
        <v>2333</v>
      </c>
      <c r="C6721" t="s">
        <v>7493</v>
      </c>
      <c r="D6721" t="s">
        <v>7756</v>
      </c>
      <c r="E6721" t="s">
        <v>7757</v>
      </c>
      <c r="G6721">
        <v>85.21</v>
      </c>
      <c r="H6721">
        <v>111268.48</v>
      </c>
    </row>
    <row r="6722" spans="1:8" ht="15" customHeight="1" x14ac:dyDescent="0.2">
      <c r="A6722" s="420">
        <v>45972</v>
      </c>
      <c r="B6722" t="s">
        <v>2333</v>
      </c>
      <c r="C6722" t="s">
        <v>7493</v>
      </c>
      <c r="D6722" t="s">
        <v>7758</v>
      </c>
      <c r="E6722" t="s">
        <v>7759</v>
      </c>
      <c r="G6722">
        <v>116.38</v>
      </c>
      <c r="H6722">
        <v>111152.1</v>
      </c>
    </row>
    <row r="6723" spans="1:8" ht="15" customHeight="1" x14ac:dyDescent="0.2">
      <c r="A6723" s="420">
        <v>45973</v>
      </c>
      <c r="B6723" t="s">
        <v>2333</v>
      </c>
      <c r="C6723" t="s">
        <v>7493</v>
      </c>
      <c r="D6723" t="s">
        <v>3110</v>
      </c>
      <c r="E6723" t="s">
        <v>3111</v>
      </c>
      <c r="G6723">
        <v>11.99</v>
      </c>
      <c r="H6723">
        <v>111140.11</v>
      </c>
    </row>
    <row r="6724" spans="1:8" ht="15" customHeight="1" x14ac:dyDescent="0.2">
      <c r="A6724" s="420">
        <v>45973</v>
      </c>
      <c r="B6724" t="s">
        <v>2333</v>
      </c>
      <c r="C6724" t="s">
        <v>7493</v>
      </c>
      <c r="D6724" t="s">
        <v>5326</v>
      </c>
      <c r="E6724" t="s">
        <v>1945</v>
      </c>
      <c r="G6724">
        <v>103.85</v>
      </c>
      <c r="H6724">
        <v>111036.26</v>
      </c>
    </row>
    <row r="6725" spans="1:8" ht="15" customHeight="1" x14ac:dyDescent="0.2">
      <c r="A6725" s="420">
        <v>45974</v>
      </c>
      <c r="B6725" t="s">
        <v>2333</v>
      </c>
      <c r="C6725" t="s">
        <v>7493</v>
      </c>
      <c r="D6725" t="s">
        <v>3827</v>
      </c>
      <c r="E6725" t="s">
        <v>3828</v>
      </c>
      <c r="G6725">
        <v>84.12</v>
      </c>
      <c r="H6725">
        <v>110952.14</v>
      </c>
    </row>
    <row r="6726" spans="1:8" ht="15" customHeight="1" x14ac:dyDescent="0.2">
      <c r="A6726" s="420">
        <v>45974</v>
      </c>
      <c r="B6726" t="s">
        <v>2333</v>
      </c>
      <c r="C6726" t="s">
        <v>7493</v>
      </c>
      <c r="D6726" t="s">
        <v>6135</v>
      </c>
      <c r="E6726" t="s">
        <v>6136</v>
      </c>
      <c r="G6726">
        <v>4315.6499999999996</v>
      </c>
      <c r="H6726">
        <v>106636.49</v>
      </c>
    </row>
    <row r="6727" spans="1:8" ht="15" customHeight="1" x14ac:dyDescent="0.2">
      <c r="A6727" s="420">
        <v>45975</v>
      </c>
      <c r="B6727" t="s">
        <v>2333</v>
      </c>
      <c r="C6727" t="s">
        <v>7493</v>
      </c>
      <c r="D6727" t="s">
        <v>7760</v>
      </c>
      <c r="E6727" t="s">
        <v>7761</v>
      </c>
      <c r="F6727">
        <v>31.98</v>
      </c>
      <c r="H6727">
        <v>106668.47</v>
      </c>
    </row>
    <row r="6728" spans="1:8" ht="15" customHeight="1" x14ac:dyDescent="0.2">
      <c r="A6728" s="420">
        <v>45978</v>
      </c>
      <c r="B6728" t="s">
        <v>2333</v>
      </c>
      <c r="C6728" t="s">
        <v>7493</v>
      </c>
      <c r="D6728" t="s">
        <v>2740</v>
      </c>
      <c r="E6728" t="s">
        <v>2741</v>
      </c>
      <c r="G6728">
        <v>500.64</v>
      </c>
      <c r="H6728">
        <v>106167.83</v>
      </c>
    </row>
    <row r="6729" spans="1:8" ht="15" customHeight="1" x14ac:dyDescent="0.2">
      <c r="A6729" s="420">
        <v>45978</v>
      </c>
      <c r="B6729" t="s">
        <v>2333</v>
      </c>
      <c r="C6729" t="s">
        <v>7493</v>
      </c>
      <c r="D6729" t="s">
        <v>3064</v>
      </c>
      <c r="E6729" t="s">
        <v>3052</v>
      </c>
      <c r="G6729">
        <v>91.99</v>
      </c>
      <c r="H6729">
        <v>106075.84</v>
      </c>
    </row>
    <row r="6730" spans="1:8" ht="15" customHeight="1" x14ac:dyDescent="0.2">
      <c r="A6730" s="420">
        <v>45978</v>
      </c>
      <c r="B6730" t="s">
        <v>2333</v>
      </c>
      <c r="C6730" t="s">
        <v>7493</v>
      </c>
      <c r="D6730" t="s">
        <v>3065</v>
      </c>
      <c r="E6730" t="s">
        <v>3052</v>
      </c>
      <c r="G6730">
        <v>85</v>
      </c>
      <c r="H6730">
        <v>105990.84</v>
      </c>
    </row>
    <row r="6731" spans="1:8" ht="15" customHeight="1" x14ac:dyDescent="0.2">
      <c r="A6731" s="420">
        <v>45978</v>
      </c>
      <c r="B6731" t="s">
        <v>2333</v>
      </c>
      <c r="C6731" t="s">
        <v>7493</v>
      </c>
      <c r="D6731" t="s">
        <v>5854</v>
      </c>
      <c r="E6731" t="s">
        <v>5855</v>
      </c>
      <c r="G6731">
        <v>6000</v>
      </c>
      <c r="H6731">
        <v>99990.84</v>
      </c>
    </row>
    <row r="6732" spans="1:8" ht="15" customHeight="1" x14ac:dyDescent="0.2">
      <c r="A6732" s="420">
        <v>45978</v>
      </c>
      <c r="B6732" t="s">
        <v>2333</v>
      </c>
      <c r="C6732" t="s">
        <v>7493</v>
      </c>
      <c r="D6732" t="s">
        <v>5596</v>
      </c>
      <c r="E6732" t="s">
        <v>5597</v>
      </c>
      <c r="G6732">
        <v>6000</v>
      </c>
      <c r="H6732">
        <v>93990.84</v>
      </c>
    </row>
    <row r="6733" spans="1:8" ht="15" customHeight="1" x14ac:dyDescent="0.2">
      <c r="A6733" s="420">
        <v>45979</v>
      </c>
      <c r="B6733" t="s">
        <v>2333</v>
      </c>
      <c r="C6733" t="s">
        <v>7493</v>
      </c>
      <c r="D6733" t="s">
        <v>6201</v>
      </c>
      <c r="E6733" t="s">
        <v>6202</v>
      </c>
      <c r="G6733">
        <v>5374</v>
      </c>
      <c r="H6733">
        <v>88616.84</v>
      </c>
    </row>
    <row r="6734" spans="1:8" ht="15" customHeight="1" x14ac:dyDescent="0.2">
      <c r="A6734" s="420">
        <v>45979</v>
      </c>
      <c r="B6734" t="s">
        <v>2333</v>
      </c>
      <c r="C6734" t="s">
        <v>7493</v>
      </c>
      <c r="D6734" t="s">
        <v>3916</v>
      </c>
      <c r="E6734" t="s">
        <v>3917</v>
      </c>
      <c r="G6734">
        <v>262.5</v>
      </c>
      <c r="H6734">
        <v>88354.34</v>
      </c>
    </row>
    <row r="6735" spans="1:8" ht="15" customHeight="1" x14ac:dyDescent="0.2">
      <c r="A6735" s="420">
        <v>45979</v>
      </c>
      <c r="B6735" t="s">
        <v>2333</v>
      </c>
      <c r="C6735" t="s">
        <v>7493</v>
      </c>
      <c r="D6735" t="s">
        <v>7762</v>
      </c>
      <c r="E6735" t="s">
        <v>7763</v>
      </c>
      <c r="F6735">
        <v>262.5</v>
      </c>
      <c r="H6735">
        <v>88616.84</v>
      </c>
    </row>
    <row r="6736" spans="1:8" ht="15" customHeight="1" x14ac:dyDescent="0.2">
      <c r="A6736" s="420">
        <v>45979</v>
      </c>
      <c r="B6736" t="s">
        <v>2333</v>
      </c>
      <c r="C6736" t="s">
        <v>7493</v>
      </c>
      <c r="D6736" t="s">
        <v>7764</v>
      </c>
      <c r="E6736" t="s">
        <v>7765</v>
      </c>
      <c r="G6736">
        <v>262.5</v>
      </c>
      <c r="H6736">
        <v>88354.34</v>
      </c>
    </row>
    <row r="6737" spans="1:8" ht="15" customHeight="1" x14ac:dyDescent="0.2">
      <c r="A6737" s="420">
        <v>45979</v>
      </c>
      <c r="B6737" t="s">
        <v>2333</v>
      </c>
      <c r="C6737" t="s">
        <v>7493</v>
      </c>
      <c r="D6737" t="s">
        <v>3074</v>
      </c>
      <c r="E6737" t="s">
        <v>3075</v>
      </c>
      <c r="G6737">
        <v>780</v>
      </c>
      <c r="H6737">
        <v>87574.34</v>
      </c>
    </row>
    <row r="6738" spans="1:8" ht="15" customHeight="1" x14ac:dyDescent="0.2">
      <c r="A6738" s="420">
        <v>45980</v>
      </c>
      <c r="B6738" t="s">
        <v>2333</v>
      </c>
      <c r="C6738" t="s">
        <v>7493</v>
      </c>
      <c r="D6738" t="s">
        <v>5196</v>
      </c>
      <c r="E6738" t="s">
        <v>5197</v>
      </c>
      <c r="G6738">
        <v>4.99</v>
      </c>
      <c r="H6738">
        <v>87569.35</v>
      </c>
    </row>
    <row r="6739" spans="1:8" ht="15" customHeight="1" x14ac:dyDescent="0.2">
      <c r="A6739" s="420">
        <v>45981</v>
      </c>
      <c r="B6739" t="s">
        <v>2333</v>
      </c>
      <c r="C6739" t="s">
        <v>7493</v>
      </c>
      <c r="D6739" t="s">
        <v>5407</v>
      </c>
      <c r="E6739" t="s">
        <v>5408</v>
      </c>
      <c r="G6739">
        <v>72.94</v>
      </c>
      <c r="H6739">
        <v>87496.41</v>
      </c>
    </row>
    <row r="6740" spans="1:8" ht="15" customHeight="1" x14ac:dyDescent="0.2">
      <c r="A6740" s="420">
        <v>45981</v>
      </c>
      <c r="B6740" t="s">
        <v>2333</v>
      </c>
      <c r="C6740" t="s">
        <v>7493</v>
      </c>
      <c r="D6740" t="s">
        <v>3559</v>
      </c>
      <c r="E6740" t="s">
        <v>3551</v>
      </c>
      <c r="G6740">
        <v>16</v>
      </c>
      <c r="H6740">
        <v>87480.41</v>
      </c>
    </row>
    <row r="6741" spans="1:8" ht="15" customHeight="1" x14ac:dyDescent="0.2">
      <c r="A6741" s="420">
        <v>45981</v>
      </c>
      <c r="B6741" t="s">
        <v>2333</v>
      </c>
      <c r="C6741" t="s">
        <v>7493</v>
      </c>
      <c r="D6741" t="s">
        <v>3177</v>
      </c>
      <c r="E6741" t="s">
        <v>3178</v>
      </c>
      <c r="G6741">
        <v>60</v>
      </c>
      <c r="H6741">
        <v>87420.41</v>
      </c>
    </row>
    <row r="6742" spans="1:8" ht="15" customHeight="1" x14ac:dyDescent="0.2">
      <c r="A6742" s="420">
        <v>45981</v>
      </c>
      <c r="B6742" t="s">
        <v>2333</v>
      </c>
      <c r="C6742" t="s">
        <v>7493</v>
      </c>
      <c r="D6742" t="s">
        <v>4967</v>
      </c>
      <c r="E6742" t="s">
        <v>1808</v>
      </c>
      <c r="G6742">
        <v>26</v>
      </c>
      <c r="H6742">
        <v>87394.41</v>
      </c>
    </row>
    <row r="6743" spans="1:8" ht="15" customHeight="1" x14ac:dyDescent="0.2">
      <c r="A6743" s="420">
        <v>45982</v>
      </c>
      <c r="B6743" t="s">
        <v>2333</v>
      </c>
      <c r="C6743" t="s">
        <v>7493</v>
      </c>
      <c r="D6743" t="s">
        <v>4969</v>
      </c>
      <c r="E6743" t="s">
        <v>4851</v>
      </c>
      <c r="G6743">
        <v>78.95</v>
      </c>
      <c r="H6743">
        <v>87315.46</v>
      </c>
    </row>
    <row r="6744" spans="1:8" ht="15" customHeight="1" x14ac:dyDescent="0.2">
      <c r="A6744" s="420">
        <v>45982</v>
      </c>
      <c r="B6744" t="s">
        <v>2333</v>
      </c>
      <c r="C6744" t="s">
        <v>7493</v>
      </c>
      <c r="D6744" t="s">
        <v>5905</v>
      </c>
      <c r="E6744" t="s">
        <v>5906</v>
      </c>
      <c r="F6744">
        <v>28275.75</v>
      </c>
      <c r="H6744">
        <v>115591.21</v>
      </c>
    </row>
    <row r="6745" spans="1:8" ht="15" customHeight="1" x14ac:dyDescent="0.2">
      <c r="A6745" s="420">
        <v>45982</v>
      </c>
      <c r="B6745" t="s">
        <v>2333</v>
      </c>
      <c r="C6745" t="s">
        <v>7493</v>
      </c>
      <c r="D6745" t="s">
        <v>7151</v>
      </c>
      <c r="E6745" t="s">
        <v>7152</v>
      </c>
      <c r="F6745">
        <v>780</v>
      </c>
      <c r="H6745">
        <v>116371.21</v>
      </c>
    </row>
    <row r="6746" spans="1:8" ht="15" customHeight="1" x14ac:dyDescent="0.2">
      <c r="A6746" s="420">
        <v>45983</v>
      </c>
      <c r="B6746" t="s">
        <v>2333</v>
      </c>
      <c r="C6746" t="s">
        <v>7493</v>
      </c>
      <c r="D6746" t="s">
        <v>7429</v>
      </c>
      <c r="E6746" t="s">
        <v>7430</v>
      </c>
      <c r="F6746">
        <v>12068.65</v>
      </c>
      <c r="H6746">
        <v>128439.86</v>
      </c>
    </row>
    <row r="6747" spans="1:8" ht="15" customHeight="1" x14ac:dyDescent="0.2">
      <c r="A6747" s="420">
        <v>45985</v>
      </c>
      <c r="B6747" t="s">
        <v>2333</v>
      </c>
      <c r="C6747" t="s">
        <v>7493</v>
      </c>
      <c r="D6747" t="s">
        <v>2845</v>
      </c>
      <c r="E6747" t="s">
        <v>2829</v>
      </c>
      <c r="G6747">
        <v>34.950000000000003</v>
      </c>
      <c r="H6747">
        <v>128404.91</v>
      </c>
    </row>
    <row r="6748" spans="1:8" ht="15" customHeight="1" x14ac:dyDescent="0.2">
      <c r="A6748" s="420">
        <v>45986</v>
      </c>
      <c r="B6748" t="s">
        <v>2333</v>
      </c>
      <c r="C6748" t="s">
        <v>7493</v>
      </c>
      <c r="D6748" t="s">
        <v>4759</v>
      </c>
      <c r="E6748" t="s">
        <v>4760</v>
      </c>
      <c r="G6748">
        <v>94.8</v>
      </c>
      <c r="H6748">
        <v>128310.11</v>
      </c>
    </row>
    <row r="6749" spans="1:8" ht="15" customHeight="1" x14ac:dyDescent="0.2">
      <c r="A6749" s="420">
        <v>45986</v>
      </c>
      <c r="B6749" t="s">
        <v>2333</v>
      </c>
      <c r="C6749" t="s">
        <v>7493</v>
      </c>
      <c r="D6749" t="s">
        <v>6255</v>
      </c>
      <c r="E6749" t="s">
        <v>6256</v>
      </c>
      <c r="G6749">
        <v>772.1</v>
      </c>
      <c r="H6749">
        <v>127538.01</v>
      </c>
    </row>
    <row r="6750" spans="1:8" ht="15" customHeight="1" x14ac:dyDescent="0.2">
      <c r="A6750" s="420">
        <v>45986</v>
      </c>
      <c r="B6750" t="s">
        <v>2333</v>
      </c>
      <c r="C6750" t="s">
        <v>7493</v>
      </c>
      <c r="D6750" t="s">
        <v>3527</v>
      </c>
      <c r="E6750" t="s">
        <v>3528</v>
      </c>
      <c r="G6750">
        <v>92.08</v>
      </c>
      <c r="H6750">
        <v>127445.93</v>
      </c>
    </row>
    <row r="6751" spans="1:8" ht="15" customHeight="1" x14ac:dyDescent="0.2">
      <c r="A6751" s="420">
        <v>45986</v>
      </c>
      <c r="B6751" t="s">
        <v>2333</v>
      </c>
      <c r="C6751" t="s">
        <v>7493</v>
      </c>
      <c r="D6751" t="s">
        <v>6289</v>
      </c>
      <c r="E6751" t="s">
        <v>6290</v>
      </c>
      <c r="G6751">
        <v>251</v>
      </c>
      <c r="H6751">
        <v>127194.93</v>
      </c>
    </row>
    <row r="6752" spans="1:8" ht="15" customHeight="1" x14ac:dyDescent="0.2">
      <c r="A6752" s="420">
        <v>45986</v>
      </c>
      <c r="B6752" t="s">
        <v>2333</v>
      </c>
      <c r="C6752" t="s">
        <v>7493</v>
      </c>
      <c r="D6752" t="s">
        <v>3874</v>
      </c>
      <c r="E6752" t="s">
        <v>3875</v>
      </c>
      <c r="G6752">
        <v>749.62</v>
      </c>
      <c r="H6752">
        <v>126445.31</v>
      </c>
    </row>
    <row r="6753" spans="1:8" ht="15" customHeight="1" x14ac:dyDescent="0.2">
      <c r="A6753" s="420">
        <v>45986</v>
      </c>
      <c r="B6753" t="s">
        <v>2333</v>
      </c>
      <c r="C6753" t="s">
        <v>7493</v>
      </c>
      <c r="D6753" t="s">
        <v>3752</v>
      </c>
      <c r="E6753" t="s">
        <v>3753</v>
      </c>
      <c r="G6753">
        <v>280</v>
      </c>
      <c r="H6753">
        <v>126165.31</v>
      </c>
    </row>
    <row r="6754" spans="1:8" ht="15" customHeight="1" x14ac:dyDescent="0.2">
      <c r="A6754" s="420">
        <v>45987</v>
      </c>
      <c r="B6754" t="s">
        <v>2333</v>
      </c>
      <c r="C6754" t="s">
        <v>7493</v>
      </c>
      <c r="D6754" t="s">
        <v>5307</v>
      </c>
      <c r="E6754" t="s">
        <v>5308</v>
      </c>
      <c r="G6754">
        <v>53.94</v>
      </c>
      <c r="H6754">
        <v>126111.37</v>
      </c>
    </row>
    <row r="6755" spans="1:8" ht="15" customHeight="1" x14ac:dyDescent="0.2">
      <c r="A6755" s="420">
        <v>45987</v>
      </c>
      <c r="B6755" t="s">
        <v>2333</v>
      </c>
      <c r="C6755" t="s">
        <v>7493</v>
      </c>
      <c r="D6755" t="s">
        <v>4971</v>
      </c>
      <c r="E6755" t="s">
        <v>4851</v>
      </c>
      <c r="G6755">
        <v>78.48</v>
      </c>
      <c r="H6755">
        <v>126032.89</v>
      </c>
    </row>
    <row r="6756" spans="1:8" ht="15" customHeight="1" x14ac:dyDescent="0.2">
      <c r="A6756" s="420">
        <v>45987</v>
      </c>
      <c r="B6756" t="s">
        <v>2333</v>
      </c>
      <c r="C6756" t="s">
        <v>7493</v>
      </c>
      <c r="D6756" t="s">
        <v>6008</v>
      </c>
      <c r="E6756" t="s">
        <v>7766</v>
      </c>
      <c r="F6756">
        <v>51553.65</v>
      </c>
      <c r="H6756">
        <v>177586.54</v>
      </c>
    </row>
    <row r="6757" spans="1:8" ht="15" customHeight="1" x14ac:dyDescent="0.2">
      <c r="A6757" s="420">
        <v>45988</v>
      </c>
      <c r="B6757" t="s">
        <v>2333</v>
      </c>
      <c r="C6757" t="s">
        <v>7493</v>
      </c>
      <c r="D6757" t="s">
        <v>6388</v>
      </c>
      <c r="E6757" t="s">
        <v>6389</v>
      </c>
      <c r="G6757">
        <v>54764</v>
      </c>
      <c r="H6757">
        <v>122822.54</v>
      </c>
    </row>
    <row r="6758" spans="1:8" ht="15" customHeight="1" x14ac:dyDescent="0.2">
      <c r="A6758" s="420">
        <v>45988</v>
      </c>
      <c r="B6758" t="s">
        <v>2333</v>
      </c>
      <c r="C6758" t="s">
        <v>7493</v>
      </c>
      <c r="D6758" t="s">
        <v>2938</v>
      </c>
      <c r="E6758" t="s">
        <v>2939</v>
      </c>
      <c r="G6758">
        <v>418.8</v>
      </c>
      <c r="H6758">
        <v>122403.74</v>
      </c>
    </row>
    <row r="6759" spans="1:8" ht="15" customHeight="1" x14ac:dyDescent="0.2">
      <c r="A6759" s="420">
        <v>45988</v>
      </c>
      <c r="B6759" t="s">
        <v>2333</v>
      </c>
      <c r="C6759" t="s">
        <v>7493</v>
      </c>
      <c r="D6759" t="s">
        <v>4693</v>
      </c>
      <c r="E6759" t="s">
        <v>4694</v>
      </c>
      <c r="G6759">
        <v>510</v>
      </c>
      <c r="H6759">
        <v>121893.74</v>
      </c>
    </row>
    <row r="6760" spans="1:8" ht="15" customHeight="1" x14ac:dyDescent="0.2">
      <c r="A6760" s="420">
        <v>45989</v>
      </c>
      <c r="B6760" t="s">
        <v>2333</v>
      </c>
      <c r="C6760" t="s">
        <v>7493</v>
      </c>
      <c r="D6760" t="s">
        <v>4281</v>
      </c>
      <c r="E6760" t="s">
        <v>4282</v>
      </c>
      <c r="G6760">
        <v>1662.64</v>
      </c>
      <c r="H6760">
        <v>120231.1</v>
      </c>
    </row>
    <row r="6761" spans="1:8" ht="15" customHeight="1" x14ac:dyDescent="0.2">
      <c r="A6761" s="420">
        <v>45989</v>
      </c>
      <c r="B6761" t="s">
        <v>2333</v>
      </c>
      <c r="C6761" t="s">
        <v>7493</v>
      </c>
      <c r="D6761" t="s">
        <v>4283</v>
      </c>
      <c r="E6761" t="s">
        <v>4284</v>
      </c>
      <c r="G6761">
        <v>50</v>
      </c>
      <c r="H6761">
        <v>120181.1</v>
      </c>
    </row>
    <row r="6762" spans="1:8" ht="15" customHeight="1" x14ac:dyDescent="0.2">
      <c r="A6762" s="420">
        <v>45989</v>
      </c>
      <c r="B6762" t="s">
        <v>2333</v>
      </c>
      <c r="C6762" t="s">
        <v>7493</v>
      </c>
      <c r="D6762" t="s">
        <v>5019</v>
      </c>
      <c r="E6762" t="s">
        <v>5020</v>
      </c>
      <c r="G6762">
        <v>10</v>
      </c>
      <c r="H6762">
        <v>120171.1</v>
      </c>
    </row>
    <row r="6763" spans="1:8" ht="15" customHeight="1" x14ac:dyDescent="0.2">
      <c r="A6763" s="420">
        <v>45989</v>
      </c>
      <c r="B6763" t="s">
        <v>2333</v>
      </c>
      <c r="C6763" t="s">
        <v>7493</v>
      </c>
      <c r="D6763" t="s">
        <v>4973</v>
      </c>
      <c r="E6763" t="s">
        <v>1738</v>
      </c>
      <c r="G6763">
        <v>40.299999999999997</v>
      </c>
      <c r="H6763">
        <v>120130.8</v>
      </c>
    </row>
    <row r="6764" spans="1:8" ht="15" customHeight="1" x14ac:dyDescent="0.2">
      <c r="A6764" s="420">
        <v>45989</v>
      </c>
      <c r="B6764" t="s">
        <v>2333</v>
      </c>
      <c r="C6764" t="s">
        <v>7493</v>
      </c>
      <c r="D6764" t="s">
        <v>3685</v>
      </c>
      <c r="E6764" t="s">
        <v>3686</v>
      </c>
      <c r="G6764">
        <v>6000</v>
      </c>
      <c r="H6764">
        <v>114130.8</v>
      </c>
    </row>
    <row r="6765" spans="1:8" ht="15" customHeight="1" x14ac:dyDescent="0.2">
      <c r="A6765" s="420">
        <v>45989</v>
      </c>
      <c r="B6765" t="s">
        <v>2333</v>
      </c>
      <c r="C6765" t="s">
        <v>7493</v>
      </c>
      <c r="D6765" t="s">
        <v>5910</v>
      </c>
      <c r="E6765" t="s">
        <v>5911</v>
      </c>
      <c r="G6765">
        <v>6000</v>
      </c>
      <c r="H6765">
        <v>108130.8</v>
      </c>
    </row>
    <row r="6766" spans="1:8" ht="15" customHeight="1" x14ac:dyDescent="0.2">
      <c r="A6766" s="420">
        <v>45992</v>
      </c>
      <c r="B6766" t="s">
        <v>2333</v>
      </c>
      <c r="C6766" t="s">
        <v>7493</v>
      </c>
      <c r="D6766" t="s">
        <v>2633</v>
      </c>
      <c r="E6766" t="s">
        <v>2634</v>
      </c>
      <c r="G6766">
        <v>288</v>
      </c>
      <c r="H6766">
        <v>107842.8</v>
      </c>
    </row>
    <row r="6767" spans="1:8" ht="15" customHeight="1" x14ac:dyDescent="0.2">
      <c r="A6767" s="420">
        <v>45992</v>
      </c>
      <c r="B6767" t="s">
        <v>2333</v>
      </c>
      <c r="C6767" t="s">
        <v>7493</v>
      </c>
      <c r="D6767" t="s">
        <v>5441</v>
      </c>
      <c r="E6767" t="s">
        <v>5442</v>
      </c>
      <c r="G6767">
        <v>462.38</v>
      </c>
      <c r="H6767">
        <v>107380.42</v>
      </c>
    </row>
    <row r="6768" spans="1:8" ht="15" customHeight="1" x14ac:dyDescent="0.2">
      <c r="A6768" s="420">
        <v>45992</v>
      </c>
      <c r="B6768" t="s">
        <v>2333</v>
      </c>
      <c r="C6768" t="s">
        <v>7493</v>
      </c>
      <c r="D6768" t="s">
        <v>2744</v>
      </c>
      <c r="E6768" t="s">
        <v>2745</v>
      </c>
      <c r="G6768">
        <v>710.4</v>
      </c>
      <c r="H6768">
        <v>106670.02</v>
      </c>
    </row>
    <row r="6769" spans="1:8" ht="15" customHeight="1" x14ac:dyDescent="0.2">
      <c r="A6769" s="420">
        <v>45992</v>
      </c>
      <c r="B6769" t="s">
        <v>2333</v>
      </c>
      <c r="C6769" t="s">
        <v>7493</v>
      </c>
      <c r="D6769" t="s">
        <v>3586</v>
      </c>
      <c r="E6769" t="s">
        <v>3587</v>
      </c>
      <c r="G6769">
        <v>1140</v>
      </c>
      <c r="H6769">
        <v>105530.02</v>
      </c>
    </row>
    <row r="6770" spans="1:8" ht="15" customHeight="1" x14ac:dyDescent="0.2">
      <c r="A6770" s="420">
        <v>45992</v>
      </c>
      <c r="B6770" t="s">
        <v>2333</v>
      </c>
      <c r="C6770" t="s">
        <v>7493</v>
      </c>
      <c r="D6770" t="s">
        <v>3398</v>
      </c>
      <c r="E6770" t="s">
        <v>3399</v>
      </c>
      <c r="G6770">
        <v>22.58</v>
      </c>
      <c r="H6770">
        <v>105507.44</v>
      </c>
    </row>
    <row r="6771" spans="1:8" ht="15" customHeight="1" x14ac:dyDescent="0.2">
      <c r="A6771" s="420">
        <v>45992</v>
      </c>
      <c r="B6771" t="s">
        <v>2333</v>
      </c>
      <c r="C6771" t="s">
        <v>7493</v>
      </c>
      <c r="D6771" t="s">
        <v>7292</v>
      </c>
      <c r="E6771" t="s">
        <v>7293</v>
      </c>
      <c r="F6771">
        <v>6987.67</v>
      </c>
      <c r="H6771">
        <v>112495.11</v>
      </c>
    </row>
    <row r="6772" spans="1:8" ht="15" customHeight="1" x14ac:dyDescent="0.2">
      <c r="A6772" s="420">
        <v>45992</v>
      </c>
      <c r="B6772" t="s">
        <v>2333</v>
      </c>
      <c r="C6772" t="s">
        <v>7493</v>
      </c>
      <c r="D6772" t="s">
        <v>3423</v>
      </c>
      <c r="E6772" t="s">
        <v>3403</v>
      </c>
      <c r="G6772">
        <v>7080</v>
      </c>
      <c r="H6772">
        <v>105415.11</v>
      </c>
    </row>
    <row r="6773" spans="1:8" ht="15" customHeight="1" x14ac:dyDescent="0.2">
      <c r="A6773" s="420">
        <v>45992</v>
      </c>
      <c r="B6773" t="s">
        <v>2333</v>
      </c>
      <c r="C6773" t="s">
        <v>7493</v>
      </c>
      <c r="D6773" t="s">
        <v>4725</v>
      </c>
      <c r="E6773" t="s">
        <v>4698</v>
      </c>
      <c r="G6773">
        <v>17.309999999999999</v>
      </c>
      <c r="H6773">
        <v>105397.8</v>
      </c>
    </row>
    <row r="6774" spans="1:8" ht="15" customHeight="1" x14ac:dyDescent="0.2">
      <c r="A6774" s="420">
        <v>45992</v>
      </c>
      <c r="B6774" t="s">
        <v>2333</v>
      </c>
      <c r="C6774" t="s">
        <v>7493</v>
      </c>
      <c r="D6774" t="s">
        <v>5002</v>
      </c>
      <c r="E6774" t="s">
        <v>5003</v>
      </c>
      <c r="G6774">
        <v>21.55</v>
      </c>
      <c r="H6774">
        <v>105376.25</v>
      </c>
    </row>
    <row r="6775" spans="1:8" ht="15" customHeight="1" x14ac:dyDescent="0.2">
      <c r="A6775" s="420">
        <v>45992</v>
      </c>
      <c r="B6775" t="s">
        <v>2333</v>
      </c>
      <c r="C6775" t="s">
        <v>7493</v>
      </c>
      <c r="D6775" t="s">
        <v>7767</v>
      </c>
      <c r="E6775" t="s">
        <v>1635</v>
      </c>
      <c r="G6775">
        <v>0.68</v>
      </c>
      <c r="H6775">
        <v>105375.57</v>
      </c>
    </row>
    <row r="6776" spans="1:8" ht="15" customHeight="1" x14ac:dyDescent="0.2">
      <c r="A6776" s="420">
        <v>45993</v>
      </c>
      <c r="B6776" t="s">
        <v>2333</v>
      </c>
      <c r="C6776" t="s">
        <v>7493</v>
      </c>
      <c r="D6776" t="s">
        <v>3003</v>
      </c>
      <c r="E6776" t="s">
        <v>3004</v>
      </c>
      <c r="G6776">
        <v>2220</v>
      </c>
      <c r="H6776">
        <v>103155.57</v>
      </c>
    </row>
    <row r="6777" spans="1:8" ht="15" customHeight="1" x14ac:dyDescent="0.2">
      <c r="A6777" s="420">
        <v>45993</v>
      </c>
      <c r="B6777" t="s">
        <v>2333</v>
      </c>
      <c r="C6777" t="s">
        <v>7493</v>
      </c>
      <c r="D6777" t="s">
        <v>7768</v>
      </c>
      <c r="E6777" t="s">
        <v>793</v>
      </c>
      <c r="G6777">
        <v>14.13</v>
      </c>
      <c r="H6777">
        <v>103141.44</v>
      </c>
    </row>
    <row r="6778" spans="1:8" ht="15" customHeight="1" x14ac:dyDescent="0.2">
      <c r="A6778" s="420">
        <v>45994</v>
      </c>
      <c r="B6778" t="s">
        <v>2333</v>
      </c>
      <c r="C6778" t="s">
        <v>7493</v>
      </c>
      <c r="D6778" t="s">
        <v>4068</v>
      </c>
      <c r="E6778" t="s">
        <v>4058</v>
      </c>
      <c r="G6778">
        <v>1526</v>
      </c>
      <c r="H6778">
        <v>101615.44</v>
      </c>
    </row>
    <row r="6779" spans="1:8" ht="15" customHeight="1" x14ac:dyDescent="0.2">
      <c r="A6779" s="420">
        <v>45994</v>
      </c>
      <c r="B6779" t="s">
        <v>2333</v>
      </c>
      <c r="C6779" t="s">
        <v>7493</v>
      </c>
      <c r="D6779" t="s">
        <v>5156</v>
      </c>
      <c r="E6779" t="s">
        <v>5157</v>
      </c>
      <c r="G6779">
        <v>180</v>
      </c>
      <c r="H6779">
        <v>101435.44</v>
      </c>
    </row>
    <row r="6780" spans="1:8" ht="15" customHeight="1" x14ac:dyDescent="0.2">
      <c r="A6780" s="420">
        <v>45994</v>
      </c>
      <c r="B6780" t="s">
        <v>2333</v>
      </c>
      <c r="C6780" t="s">
        <v>7493</v>
      </c>
      <c r="D6780" t="s">
        <v>7408</v>
      </c>
      <c r="E6780" t="s">
        <v>7409</v>
      </c>
      <c r="F6780">
        <v>1230</v>
      </c>
      <c r="H6780">
        <v>102665.44</v>
      </c>
    </row>
    <row r="6781" spans="1:8" ht="15" customHeight="1" x14ac:dyDescent="0.2">
      <c r="A6781" s="420">
        <v>45995</v>
      </c>
      <c r="B6781" t="s">
        <v>2333</v>
      </c>
      <c r="C6781" t="s">
        <v>7493</v>
      </c>
      <c r="D6781" t="s">
        <v>7769</v>
      </c>
      <c r="E6781" t="s">
        <v>7770</v>
      </c>
      <c r="F6781">
        <v>416.66</v>
      </c>
      <c r="H6781">
        <v>103082.1</v>
      </c>
    </row>
    <row r="6782" spans="1:8" ht="15" customHeight="1" x14ac:dyDescent="0.2">
      <c r="A6782" s="420">
        <v>45995</v>
      </c>
      <c r="B6782" t="s">
        <v>2333</v>
      </c>
      <c r="C6782" t="s">
        <v>7493</v>
      </c>
      <c r="D6782" t="s">
        <v>4976</v>
      </c>
      <c r="E6782" t="s">
        <v>4977</v>
      </c>
      <c r="G6782">
        <v>231.5</v>
      </c>
      <c r="H6782">
        <v>102850.6</v>
      </c>
    </row>
    <row r="6783" spans="1:8" ht="15" customHeight="1" x14ac:dyDescent="0.2">
      <c r="A6783" s="420">
        <v>45995</v>
      </c>
      <c r="B6783" t="s">
        <v>2333</v>
      </c>
      <c r="C6783" t="s">
        <v>7493</v>
      </c>
      <c r="D6783" t="s">
        <v>5070</v>
      </c>
      <c r="E6783" t="s">
        <v>5037</v>
      </c>
      <c r="G6783">
        <v>120</v>
      </c>
      <c r="H6783">
        <v>102730.6</v>
      </c>
    </row>
    <row r="6784" spans="1:8" ht="15" customHeight="1" x14ac:dyDescent="0.2">
      <c r="A6784" s="420">
        <v>45996</v>
      </c>
      <c r="B6784" t="s">
        <v>2333</v>
      </c>
      <c r="C6784" t="s">
        <v>7493</v>
      </c>
      <c r="D6784" t="s">
        <v>7771</v>
      </c>
      <c r="E6784" t="s">
        <v>7772</v>
      </c>
      <c r="G6784">
        <v>14.01</v>
      </c>
      <c r="H6784">
        <v>102716.59</v>
      </c>
    </row>
    <row r="6785" spans="1:8" ht="15" customHeight="1" x14ac:dyDescent="0.2">
      <c r="A6785" s="420">
        <v>45996</v>
      </c>
      <c r="B6785" t="s">
        <v>2333</v>
      </c>
      <c r="C6785" t="s">
        <v>7493</v>
      </c>
      <c r="D6785" t="s">
        <v>7773</v>
      </c>
      <c r="E6785" t="s">
        <v>7774</v>
      </c>
      <c r="G6785">
        <v>236.95</v>
      </c>
      <c r="H6785">
        <v>102479.64</v>
      </c>
    </row>
    <row r="6786" spans="1:8" ht="15" customHeight="1" x14ac:dyDescent="0.2">
      <c r="A6786" s="420">
        <v>45996</v>
      </c>
      <c r="B6786" t="s">
        <v>2333</v>
      </c>
      <c r="C6786" t="s">
        <v>7493</v>
      </c>
      <c r="D6786" t="s">
        <v>7775</v>
      </c>
      <c r="E6786" t="s">
        <v>7776</v>
      </c>
      <c r="G6786">
        <v>38.29</v>
      </c>
      <c r="H6786">
        <v>102441.35</v>
      </c>
    </row>
    <row r="6787" spans="1:8" ht="15" customHeight="1" x14ac:dyDescent="0.2">
      <c r="A6787" s="420">
        <v>45996</v>
      </c>
      <c r="B6787" t="s">
        <v>2333</v>
      </c>
      <c r="C6787" t="s">
        <v>7493</v>
      </c>
      <c r="D6787" t="s">
        <v>7777</v>
      </c>
      <c r="E6787" t="s">
        <v>7778</v>
      </c>
      <c r="G6787">
        <v>605.77</v>
      </c>
      <c r="H6787">
        <v>101835.58</v>
      </c>
    </row>
    <row r="6788" spans="1:8" ht="15" customHeight="1" x14ac:dyDescent="0.2">
      <c r="A6788" s="420">
        <v>45996</v>
      </c>
      <c r="B6788" t="s">
        <v>2333</v>
      </c>
      <c r="C6788" t="s">
        <v>7493</v>
      </c>
      <c r="D6788" t="s">
        <v>2662</v>
      </c>
      <c r="E6788" t="s">
        <v>2663</v>
      </c>
      <c r="G6788">
        <v>1328.25</v>
      </c>
      <c r="H6788">
        <v>100507.33</v>
      </c>
    </row>
    <row r="6789" spans="1:8" ht="15" customHeight="1" x14ac:dyDescent="0.2">
      <c r="A6789" s="420">
        <v>45996</v>
      </c>
      <c r="B6789" t="s">
        <v>2333</v>
      </c>
      <c r="C6789" t="s">
        <v>7493</v>
      </c>
      <c r="D6789" t="s">
        <v>5309</v>
      </c>
      <c r="E6789" t="s">
        <v>5310</v>
      </c>
      <c r="G6789">
        <v>55.66</v>
      </c>
      <c r="H6789">
        <v>100451.67</v>
      </c>
    </row>
    <row r="6790" spans="1:8" ht="15" customHeight="1" x14ac:dyDescent="0.2">
      <c r="A6790" s="420">
        <v>45996</v>
      </c>
      <c r="B6790" t="s">
        <v>2333</v>
      </c>
      <c r="C6790" t="s">
        <v>7493</v>
      </c>
      <c r="D6790" t="s">
        <v>7183</v>
      </c>
      <c r="E6790" t="s">
        <v>7171</v>
      </c>
      <c r="G6790">
        <v>500</v>
      </c>
      <c r="H6790">
        <v>99951.67</v>
      </c>
    </row>
    <row r="6791" spans="1:8" ht="15" customHeight="1" x14ac:dyDescent="0.2">
      <c r="A6791" s="420">
        <v>45996</v>
      </c>
      <c r="B6791" t="s">
        <v>2333</v>
      </c>
      <c r="C6791" t="s">
        <v>7493</v>
      </c>
      <c r="D6791" t="s">
        <v>4096</v>
      </c>
      <c r="E6791" t="s">
        <v>4078</v>
      </c>
      <c r="G6791">
        <v>322</v>
      </c>
      <c r="H6791">
        <v>99629.67</v>
      </c>
    </row>
    <row r="6792" spans="1:8" ht="15" customHeight="1" x14ac:dyDescent="0.2">
      <c r="A6792" s="420">
        <v>45996</v>
      </c>
      <c r="B6792" t="s">
        <v>2333</v>
      </c>
      <c r="C6792" t="s">
        <v>7493</v>
      </c>
      <c r="D6792" t="s">
        <v>5174</v>
      </c>
      <c r="E6792" t="s">
        <v>5173</v>
      </c>
      <c r="G6792">
        <v>8.4</v>
      </c>
      <c r="H6792">
        <v>99621.27</v>
      </c>
    </row>
    <row r="6793" spans="1:8" ht="15" customHeight="1" x14ac:dyDescent="0.2">
      <c r="A6793" s="420">
        <v>45996</v>
      </c>
      <c r="B6793" t="s">
        <v>2333</v>
      </c>
      <c r="C6793" t="s">
        <v>7493</v>
      </c>
      <c r="D6793" t="s">
        <v>6012</v>
      </c>
      <c r="E6793" t="s">
        <v>6013</v>
      </c>
      <c r="G6793">
        <v>6000</v>
      </c>
      <c r="H6793">
        <v>93621.27</v>
      </c>
    </row>
    <row r="6794" spans="1:8" ht="15" customHeight="1" x14ac:dyDescent="0.2">
      <c r="A6794" s="420">
        <v>45996</v>
      </c>
      <c r="B6794" t="s">
        <v>2333</v>
      </c>
      <c r="C6794" t="s">
        <v>7493</v>
      </c>
      <c r="D6794" t="s">
        <v>6138</v>
      </c>
      <c r="E6794" t="s">
        <v>6139</v>
      </c>
      <c r="G6794">
        <v>1622.9</v>
      </c>
      <c r="H6794">
        <v>91998.37</v>
      </c>
    </row>
    <row r="6795" spans="1:8" ht="15" customHeight="1" x14ac:dyDescent="0.2">
      <c r="A6795" s="420">
        <v>45996</v>
      </c>
      <c r="B6795" t="s">
        <v>2333</v>
      </c>
      <c r="C6795" t="s">
        <v>7493</v>
      </c>
      <c r="D6795" t="s">
        <v>6140</v>
      </c>
      <c r="E6795" t="s">
        <v>6141</v>
      </c>
      <c r="G6795">
        <v>2881.49</v>
      </c>
      <c r="H6795">
        <v>89116.88</v>
      </c>
    </row>
    <row r="6796" spans="1:8" ht="15" customHeight="1" x14ac:dyDescent="0.2">
      <c r="A6796" s="420">
        <v>45996</v>
      </c>
      <c r="B6796" t="s">
        <v>2333</v>
      </c>
      <c r="C6796" t="s">
        <v>7493</v>
      </c>
      <c r="D6796" t="s">
        <v>6142</v>
      </c>
      <c r="E6796" t="s">
        <v>6143</v>
      </c>
      <c r="G6796">
        <v>1387.96</v>
      </c>
      <c r="H6796">
        <v>87728.92</v>
      </c>
    </row>
    <row r="6797" spans="1:8" ht="15" customHeight="1" x14ac:dyDescent="0.2">
      <c r="A6797" s="420">
        <v>45996</v>
      </c>
      <c r="B6797" t="s">
        <v>2333</v>
      </c>
      <c r="C6797" t="s">
        <v>7493</v>
      </c>
      <c r="D6797" t="s">
        <v>3722</v>
      </c>
      <c r="E6797" t="s">
        <v>3723</v>
      </c>
      <c r="G6797">
        <v>275.05</v>
      </c>
      <c r="H6797">
        <v>87453.87</v>
      </c>
    </row>
    <row r="6798" spans="1:8" ht="15" customHeight="1" x14ac:dyDescent="0.2">
      <c r="A6798" s="420">
        <v>45996</v>
      </c>
      <c r="B6798" t="s">
        <v>2333</v>
      </c>
      <c r="C6798" t="s">
        <v>7493</v>
      </c>
      <c r="D6798" t="s">
        <v>3448</v>
      </c>
      <c r="E6798" t="s">
        <v>3442</v>
      </c>
      <c r="G6798">
        <v>50.75</v>
      </c>
      <c r="H6798">
        <v>87403.12</v>
      </c>
    </row>
    <row r="6799" spans="1:8" ht="15" customHeight="1" x14ac:dyDescent="0.2">
      <c r="A6799" s="420">
        <v>45999</v>
      </c>
      <c r="B6799" t="s">
        <v>2333</v>
      </c>
      <c r="C6799" t="s">
        <v>7493</v>
      </c>
      <c r="D6799" t="s">
        <v>4038</v>
      </c>
      <c r="E6799" t="s">
        <v>4039</v>
      </c>
      <c r="G6799">
        <v>393.82</v>
      </c>
      <c r="H6799">
        <v>87009.3</v>
      </c>
    </row>
    <row r="6800" spans="1:8" ht="15" customHeight="1" x14ac:dyDescent="0.2">
      <c r="A6800" s="420">
        <v>45999</v>
      </c>
      <c r="B6800" t="s">
        <v>2333</v>
      </c>
      <c r="C6800" t="s">
        <v>7493</v>
      </c>
      <c r="D6800" t="s">
        <v>5370</v>
      </c>
      <c r="E6800" t="s">
        <v>5371</v>
      </c>
      <c r="G6800">
        <v>24</v>
      </c>
      <c r="H6800">
        <v>86985.3</v>
      </c>
    </row>
    <row r="6801" spans="1:8" ht="15" customHeight="1" x14ac:dyDescent="0.2">
      <c r="A6801" s="420">
        <v>45999</v>
      </c>
      <c r="B6801" t="s">
        <v>2333</v>
      </c>
      <c r="C6801" t="s">
        <v>7493</v>
      </c>
      <c r="D6801" t="s">
        <v>7257</v>
      </c>
      <c r="E6801" t="s">
        <v>7258</v>
      </c>
      <c r="F6801">
        <v>21043.919999999998</v>
      </c>
      <c r="H6801">
        <v>108029.22</v>
      </c>
    </row>
    <row r="6802" spans="1:8" ht="15" customHeight="1" x14ac:dyDescent="0.2">
      <c r="A6802" s="420">
        <v>45999</v>
      </c>
      <c r="B6802" t="s">
        <v>2333</v>
      </c>
      <c r="C6802" t="s">
        <v>7493</v>
      </c>
      <c r="D6802" t="s">
        <v>7296</v>
      </c>
      <c r="E6802" t="s">
        <v>7297</v>
      </c>
      <c r="G6802">
        <v>10277.41</v>
      </c>
      <c r="H6802">
        <v>97751.81</v>
      </c>
    </row>
    <row r="6803" spans="1:8" ht="15" customHeight="1" x14ac:dyDescent="0.2">
      <c r="A6803" s="420">
        <v>45999</v>
      </c>
      <c r="B6803" t="s">
        <v>2333</v>
      </c>
      <c r="C6803" t="s">
        <v>7493</v>
      </c>
      <c r="D6803" t="s">
        <v>4978</v>
      </c>
      <c r="E6803" t="s">
        <v>4979</v>
      </c>
      <c r="G6803">
        <v>1078.2</v>
      </c>
      <c r="H6803">
        <v>96673.61</v>
      </c>
    </row>
    <row r="6804" spans="1:8" ht="15" customHeight="1" x14ac:dyDescent="0.2">
      <c r="A6804" s="420">
        <v>45999</v>
      </c>
      <c r="B6804" t="s">
        <v>2333</v>
      </c>
      <c r="C6804" t="s">
        <v>7493</v>
      </c>
      <c r="D6804" t="s">
        <v>2846</v>
      </c>
      <c r="E6804" t="s">
        <v>2829</v>
      </c>
      <c r="G6804">
        <v>0.99</v>
      </c>
      <c r="H6804">
        <v>96672.62</v>
      </c>
    </row>
    <row r="6805" spans="1:8" ht="15" customHeight="1" x14ac:dyDescent="0.2">
      <c r="A6805" s="420">
        <v>45999</v>
      </c>
      <c r="B6805" t="s">
        <v>2333</v>
      </c>
      <c r="C6805" t="s">
        <v>7493</v>
      </c>
      <c r="D6805" t="s">
        <v>7779</v>
      </c>
      <c r="E6805" t="s">
        <v>1622</v>
      </c>
      <c r="G6805">
        <v>43.7</v>
      </c>
      <c r="H6805">
        <v>96628.92</v>
      </c>
    </row>
    <row r="6806" spans="1:8" ht="15" customHeight="1" x14ac:dyDescent="0.2">
      <c r="A6806" s="420">
        <v>46000</v>
      </c>
      <c r="B6806" t="s">
        <v>2333</v>
      </c>
      <c r="C6806" t="s">
        <v>7493</v>
      </c>
      <c r="D6806" t="s">
        <v>5480</v>
      </c>
      <c r="E6806" t="s">
        <v>5481</v>
      </c>
      <c r="G6806">
        <v>65.75</v>
      </c>
      <c r="H6806">
        <v>96563.17</v>
      </c>
    </row>
    <row r="6807" spans="1:8" ht="15" customHeight="1" x14ac:dyDescent="0.2">
      <c r="A6807" s="420">
        <v>46000</v>
      </c>
      <c r="B6807" t="s">
        <v>2333</v>
      </c>
      <c r="C6807" t="s">
        <v>7493</v>
      </c>
      <c r="D6807" t="s">
        <v>2942</v>
      </c>
      <c r="E6807" t="s">
        <v>2943</v>
      </c>
      <c r="G6807">
        <v>1640.33</v>
      </c>
      <c r="H6807">
        <v>94922.84</v>
      </c>
    </row>
    <row r="6808" spans="1:8" ht="15" customHeight="1" x14ac:dyDescent="0.2">
      <c r="A6808" s="420">
        <v>46000</v>
      </c>
      <c r="B6808" t="s">
        <v>2333</v>
      </c>
      <c r="C6808" t="s">
        <v>7493</v>
      </c>
      <c r="D6808" t="s">
        <v>5072</v>
      </c>
      <c r="E6808" t="s">
        <v>5073</v>
      </c>
      <c r="G6808">
        <v>187.2</v>
      </c>
      <c r="H6808">
        <v>94735.64</v>
      </c>
    </row>
    <row r="6809" spans="1:8" ht="15" customHeight="1" x14ac:dyDescent="0.2">
      <c r="A6809" s="420">
        <v>46000</v>
      </c>
      <c r="B6809" t="s">
        <v>2333</v>
      </c>
      <c r="C6809" t="s">
        <v>7493</v>
      </c>
      <c r="D6809" t="s">
        <v>5321</v>
      </c>
      <c r="E6809" t="s">
        <v>1740</v>
      </c>
      <c r="G6809">
        <v>72.010000000000005</v>
      </c>
      <c r="H6809">
        <v>94663.63</v>
      </c>
    </row>
    <row r="6810" spans="1:8" ht="15" customHeight="1" x14ac:dyDescent="0.2">
      <c r="A6810" s="420">
        <v>46000</v>
      </c>
      <c r="B6810" t="s">
        <v>2333</v>
      </c>
      <c r="C6810" t="s">
        <v>7493</v>
      </c>
      <c r="D6810" t="s">
        <v>3009</v>
      </c>
      <c r="E6810" t="s">
        <v>3010</v>
      </c>
      <c r="G6810">
        <v>429.68</v>
      </c>
      <c r="H6810">
        <v>94233.95</v>
      </c>
    </row>
    <row r="6811" spans="1:8" ht="15" customHeight="1" x14ac:dyDescent="0.2">
      <c r="A6811" s="420">
        <v>46000</v>
      </c>
      <c r="B6811" t="s">
        <v>2333</v>
      </c>
      <c r="C6811" t="s">
        <v>7493</v>
      </c>
      <c r="D6811" t="s">
        <v>2797</v>
      </c>
      <c r="E6811" t="s">
        <v>816</v>
      </c>
      <c r="G6811">
        <v>30</v>
      </c>
      <c r="H6811">
        <v>94203.95</v>
      </c>
    </row>
    <row r="6812" spans="1:8" ht="15" customHeight="1" x14ac:dyDescent="0.2">
      <c r="A6812" s="420">
        <v>46000</v>
      </c>
      <c r="B6812" t="s">
        <v>2333</v>
      </c>
      <c r="C6812" t="s">
        <v>7493</v>
      </c>
      <c r="D6812" t="s">
        <v>4981</v>
      </c>
      <c r="E6812" t="s">
        <v>4982</v>
      </c>
      <c r="G6812">
        <v>45.3</v>
      </c>
      <c r="H6812">
        <v>94158.65</v>
      </c>
    </row>
    <row r="6813" spans="1:8" ht="15" customHeight="1" x14ac:dyDescent="0.2">
      <c r="A6813" s="420">
        <v>46000</v>
      </c>
      <c r="B6813" t="s">
        <v>2333</v>
      </c>
      <c r="C6813" t="s">
        <v>7493</v>
      </c>
      <c r="D6813" t="s">
        <v>2781</v>
      </c>
      <c r="E6813" t="s">
        <v>2782</v>
      </c>
      <c r="G6813">
        <v>15.66</v>
      </c>
      <c r="H6813">
        <v>94142.99</v>
      </c>
    </row>
    <row r="6814" spans="1:8" ht="15" customHeight="1" x14ac:dyDescent="0.2">
      <c r="A6814" s="420">
        <v>46001</v>
      </c>
      <c r="B6814" t="s">
        <v>2333</v>
      </c>
      <c r="C6814" t="s">
        <v>7493</v>
      </c>
      <c r="D6814" t="s">
        <v>3531</v>
      </c>
      <c r="E6814" t="s">
        <v>3532</v>
      </c>
      <c r="G6814">
        <v>165.4</v>
      </c>
      <c r="H6814">
        <v>93977.59</v>
      </c>
    </row>
    <row r="6815" spans="1:8" ht="15" customHeight="1" x14ac:dyDescent="0.2">
      <c r="A6815" s="420">
        <v>46001</v>
      </c>
      <c r="B6815" t="s">
        <v>2333</v>
      </c>
      <c r="C6815" t="s">
        <v>7493</v>
      </c>
      <c r="D6815" t="s">
        <v>5602</v>
      </c>
      <c r="E6815" t="s">
        <v>5603</v>
      </c>
      <c r="F6815">
        <v>24879.15</v>
      </c>
      <c r="H6815">
        <v>118856.74</v>
      </c>
    </row>
    <row r="6816" spans="1:8" ht="15" customHeight="1" x14ac:dyDescent="0.2">
      <c r="A6816" s="420">
        <v>46001</v>
      </c>
      <c r="B6816" t="s">
        <v>2333</v>
      </c>
      <c r="C6816" t="s">
        <v>7493</v>
      </c>
      <c r="D6816" t="s">
        <v>7432</v>
      </c>
      <c r="E6816" t="s">
        <v>7433</v>
      </c>
      <c r="F6816">
        <v>10594.45</v>
      </c>
      <c r="H6816">
        <v>129451.19</v>
      </c>
    </row>
    <row r="6817" spans="1:8" ht="15" customHeight="1" x14ac:dyDescent="0.2">
      <c r="A6817" s="420">
        <v>46001</v>
      </c>
      <c r="B6817" t="s">
        <v>2333</v>
      </c>
      <c r="C6817" t="s">
        <v>7493</v>
      </c>
      <c r="D6817" t="s">
        <v>4104</v>
      </c>
      <c r="E6817" t="s">
        <v>4102</v>
      </c>
      <c r="G6817">
        <v>472.02</v>
      </c>
      <c r="H6817">
        <v>128979.17</v>
      </c>
    </row>
    <row r="6818" spans="1:8" ht="15" customHeight="1" x14ac:dyDescent="0.2">
      <c r="A6818" s="420">
        <v>46002</v>
      </c>
      <c r="B6818" t="s">
        <v>2333</v>
      </c>
      <c r="C6818" t="s">
        <v>7493</v>
      </c>
      <c r="D6818" t="s">
        <v>3830</v>
      </c>
      <c r="E6818" t="s">
        <v>3831</v>
      </c>
      <c r="G6818">
        <v>101.71</v>
      </c>
      <c r="H6818">
        <v>128877.46</v>
      </c>
    </row>
    <row r="6819" spans="1:8" ht="15" customHeight="1" x14ac:dyDescent="0.2">
      <c r="A6819" s="420">
        <v>46002</v>
      </c>
      <c r="B6819" t="s">
        <v>2333</v>
      </c>
      <c r="C6819" t="s">
        <v>7493</v>
      </c>
      <c r="D6819" t="s">
        <v>7780</v>
      </c>
      <c r="E6819" t="s">
        <v>7781</v>
      </c>
      <c r="G6819">
        <v>116.38</v>
      </c>
      <c r="H6819">
        <v>128761.08</v>
      </c>
    </row>
    <row r="6820" spans="1:8" ht="15" customHeight="1" x14ac:dyDescent="0.2">
      <c r="A6820" s="420">
        <v>46002</v>
      </c>
      <c r="B6820" t="s">
        <v>2333</v>
      </c>
      <c r="C6820" t="s">
        <v>7493</v>
      </c>
      <c r="D6820" t="s">
        <v>7782</v>
      </c>
      <c r="E6820" t="s">
        <v>7783</v>
      </c>
      <c r="G6820">
        <v>100.82</v>
      </c>
      <c r="H6820">
        <v>128660.26</v>
      </c>
    </row>
    <row r="6821" spans="1:8" ht="15" customHeight="1" x14ac:dyDescent="0.2">
      <c r="A6821" s="420">
        <v>46002</v>
      </c>
      <c r="B6821" t="s">
        <v>2333</v>
      </c>
      <c r="C6821" t="s">
        <v>7493</v>
      </c>
      <c r="D6821" t="s">
        <v>7784</v>
      </c>
      <c r="E6821" t="s">
        <v>7785</v>
      </c>
      <c r="G6821">
        <v>85.21</v>
      </c>
      <c r="H6821">
        <v>128575.05</v>
      </c>
    </row>
    <row r="6822" spans="1:8" ht="15" customHeight="1" x14ac:dyDescent="0.2">
      <c r="A6822" s="420">
        <v>46002</v>
      </c>
      <c r="B6822" t="s">
        <v>2333</v>
      </c>
      <c r="C6822" t="s">
        <v>7493</v>
      </c>
      <c r="D6822" t="s">
        <v>3113</v>
      </c>
      <c r="E6822" t="s">
        <v>3114</v>
      </c>
      <c r="G6822">
        <v>11.99</v>
      </c>
      <c r="H6822">
        <v>128563.06</v>
      </c>
    </row>
    <row r="6823" spans="1:8" ht="15" customHeight="1" x14ac:dyDescent="0.2">
      <c r="A6823" s="420">
        <v>46002</v>
      </c>
      <c r="B6823" t="s">
        <v>2333</v>
      </c>
      <c r="C6823" t="s">
        <v>7493</v>
      </c>
      <c r="D6823" t="s">
        <v>4984</v>
      </c>
      <c r="E6823" t="s">
        <v>4985</v>
      </c>
      <c r="G6823">
        <v>260</v>
      </c>
      <c r="H6823">
        <v>128303.06</v>
      </c>
    </row>
    <row r="6824" spans="1:8" ht="15" customHeight="1" x14ac:dyDescent="0.2">
      <c r="A6824" s="420">
        <v>46002</v>
      </c>
      <c r="B6824" t="s">
        <v>2333</v>
      </c>
      <c r="C6824" t="s">
        <v>7493</v>
      </c>
      <c r="D6824" t="s">
        <v>4986</v>
      </c>
      <c r="E6824" t="s">
        <v>4987</v>
      </c>
      <c r="G6824">
        <v>54</v>
      </c>
      <c r="H6824">
        <v>128249.06</v>
      </c>
    </row>
    <row r="6825" spans="1:8" ht="15" customHeight="1" x14ac:dyDescent="0.2">
      <c r="A6825" s="420">
        <v>46003</v>
      </c>
      <c r="B6825" t="s">
        <v>2333</v>
      </c>
      <c r="C6825" t="s">
        <v>7493</v>
      </c>
      <c r="D6825" t="s">
        <v>3359</v>
      </c>
      <c r="E6825" t="s">
        <v>3360</v>
      </c>
      <c r="G6825">
        <v>480.24</v>
      </c>
      <c r="H6825">
        <v>127768.82</v>
      </c>
    </row>
    <row r="6826" spans="1:8" ht="15" customHeight="1" x14ac:dyDescent="0.2">
      <c r="A6826" s="420">
        <v>46006</v>
      </c>
      <c r="B6826" t="s">
        <v>2333</v>
      </c>
      <c r="C6826" t="s">
        <v>7493</v>
      </c>
      <c r="D6826" t="s">
        <v>7302</v>
      </c>
      <c r="E6826" t="s">
        <v>7303</v>
      </c>
      <c r="F6826">
        <v>6195.13</v>
      </c>
      <c r="H6826">
        <v>133963.95000000001</v>
      </c>
    </row>
    <row r="6827" spans="1:8" ht="15" customHeight="1" x14ac:dyDescent="0.2">
      <c r="A6827" s="420">
        <v>46006</v>
      </c>
      <c r="B6827" t="s">
        <v>2333</v>
      </c>
      <c r="C6827" t="s">
        <v>7493</v>
      </c>
      <c r="D6827" t="s">
        <v>4990</v>
      </c>
      <c r="E6827" t="s">
        <v>4842</v>
      </c>
      <c r="G6827">
        <v>50.3</v>
      </c>
      <c r="H6827">
        <v>133913.65</v>
      </c>
    </row>
    <row r="6828" spans="1:8" ht="15" customHeight="1" x14ac:dyDescent="0.2">
      <c r="A6828" s="420">
        <v>46007</v>
      </c>
      <c r="B6828" t="s">
        <v>2333</v>
      </c>
      <c r="C6828" t="s">
        <v>7493</v>
      </c>
      <c r="D6828" t="s">
        <v>6203</v>
      </c>
      <c r="E6828" t="s">
        <v>6204</v>
      </c>
      <c r="G6828">
        <v>5177</v>
      </c>
      <c r="H6828">
        <v>128736.65</v>
      </c>
    </row>
    <row r="6829" spans="1:8" ht="15" customHeight="1" x14ac:dyDescent="0.2">
      <c r="A6829" s="420">
        <v>46007</v>
      </c>
      <c r="B6829" t="s">
        <v>2333</v>
      </c>
      <c r="C6829" t="s">
        <v>7493</v>
      </c>
      <c r="D6829" t="s">
        <v>4667</v>
      </c>
      <c r="E6829" t="s">
        <v>4665</v>
      </c>
      <c r="G6829">
        <v>124.8</v>
      </c>
      <c r="H6829">
        <v>128611.85</v>
      </c>
    </row>
    <row r="6830" spans="1:8" ht="15" customHeight="1" x14ac:dyDescent="0.2">
      <c r="A6830" s="420">
        <v>46008</v>
      </c>
      <c r="B6830" t="s">
        <v>2333</v>
      </c>
      <c r="C6830" t="s">
        <v>7493</v>
      </c>
      <c r="D6830" t="s">
        <v>5159</v>
      </c>
      <c r="E6830" t="s">
        <v>5160</v>
      </c>
      <c r="G6830">
        <v>180</v>
      </c>
      <c r="H6830">
        <v>128431.85</v>
      </c>
    </row>
    <row r="6831" spans="1:8" ht="15" customHeight="1" x14ac:dyDescent="0.2">
      <c r="A6831" s="420">
        <v>46009</v>
      </c>
      <c r="B6831" t="s">
        <v>2333</v>
      </c>
      <c r="C6831" t="s">
        <v>7493</v>
      </c>
      <c r="D6831" t="s">
        <v>4992</v>
      </c>
      <c r="E6831" t="s">
        <v>4993</v>
      </c>
      <c r="G6831">
        <v>92.5</v>
      </c>
      <c r="H6831">
        <v>128339.35</v>
      </c>
    </row>
    <row r="6832" spans="1:8" ht="15" customHeight="1" x14ac:dyDescent="0.2">
      <c r="A6832" s="420">
        <v>46009</v>
      </c>
      <c r="B6832" t="s">
        <v>2333</v>
      </c>
      <c r="C6832" t="s">
        <v>7493</v>
      </c>
      <c r="D6832" t="s">
        <v>3191</v>
      </c>
      <c r="E6832" t="s">
        <v>3192</v>
      </c>
      <c r="G6832">
        <v>86.87</v>
      </c>
      <c r="H6832">
        <v>128252.48</v>
      </c>
    </row>
    <row r="6833" spans="1:8" ht="15" customHeight="1" x14ac:dyDescent="0.2">
      <c r="A6833" s="420">
        <v>46009</v>
      </c>
      <c r="B6833" t="s">
        <v>2333</v>
      </c>
      <c r="C6833" t="s">
        <v>7493</v>
      </c>
      <c r="D6833" t="s">
        <v>7410</v>
      </c>
      <c r="E6833" t="s">
        <v>7411</v>
      </c>
      <c r="G6833">
        <v>4525.95</v>
      </c>
      <c r="H6833">
        <v>123726.53</v>
      </c>
    </row>
    <row r="6834" spans="1:8" ht="15" customHeight="1" x14ac:dyDescent="0.2">
      <c r="A6834" s="420">
        <v>46009</v>
      </c>
      <c r="B6834" t="s">
        <v>2333</v>
      </c>
      <c r="C6834" t="s">
        <v>7493</v>
      </c>
      <c r="D6834" t="s">
        <v>7412</v>
      </c>
      <c r="E6834" t="s">
        <v>7413</v>
      </c>
      <c r="F6834">
        <v>4525.95</v>
      </c>
      <c r="H6834">
        <v>128252.48</v>
      </c>
    </row>
    <row r="6835" spans="1:8" ht="15" customHeight="1" x14ac:dyDescent="0.2">
      <c r="A6835" s="420">
        <v>46010</v>
      </c>
      <c r="B6835" t="s">
        <v>2333</v>
      </c>
      <c r="C6835" t="s">
        <v>7493</v>
      </c>
      <c r="D6835" t="s">
        <v>5410</v>
      </c>
      <c r="E6835" t="s">
        <v>5411</v>
      </c>
      <c r="G6835">
        <v>69.34</v>
      </c>
      <c r="H6835">
        <v>128183.14</v>
      </c>
    </row>
    <row r="6836" spans="1:8" ht="15" customHeight="1" x14ac:dyDescent="0.2">
      <c r="A6836" s="420">
        <v>46010</v>
      </c>
      <c r="B6836" t="s">
        <v>2333</v>
      </c>
      <c r="C6836" t="s">
        <v>7493</v>
      </c>
      <c r="D6836" t="s">
        <v>5199</v>
      </c>
      <c r="E6836" t="s">
        <v>5200</v>
      </c>
      <c r="G6836">
        <v>4.99</v>
      </c>
      <c r="H6836">
        <v>128178.15</v>
      </c>
    </row>
    <row r="6837" spans="1:8" ht="15" customHeight="1" x14ac:dyDescent="0.2">
      <c r="A6837" s="420">
        <v>46010</v>
      </c>
      <c r="B6837" t="s">
        <v>2333</v>
      </c>
      <c r="C6837" t="s">
        <v>7493</v>
      </c>
      <c r="D6837" t="s">
        <v>5252</v>
      </c>
      <c r="E6837" t="s">
        <v>5253</v>
      </c>
      <c r="G6837">
        <v>100.67</v>
      </c>
      <c r="H6837">
        <v>128077.48</v>
      </c>
    </row>
    <row r="6838" spans="1:8" ht="15" customHeight="1" x14ac:dyDescent="0.2">
      <c r="A6838" s="420">
        <v>46010</v>
      </c>
      <c r="B6838" t="s">
        <v>2333</v>
      </c>
      <c r="C6838" t="s">
        <v>7493</v>
      </c>
      <c r="D6838" t="s">
        <v>7414</v>
      </c>
      <c r="E6838" t="s">
        <v>7415</v>
      </c>
      <c r="G6838">
        <v>1230</v>
      </c>
      <c r="H6838">
        <v>126847.48</v>
      </c>
    </row>
    <row r="6839" spans="1:8" ht="15" customHeight="1" x14ac:dyDescent="0.2">
      <c r="A6839" s="420">
        <v>46013</v>
      </c>
      <c r="B6839" t="s">
        <v>2333</v>
      </c>
      <c r="C6839" t="s">
        <v>7493</v>
      </c>
      <c r="D6839" t="s">
        <v>3600</v>
      </c>
      <c r="E6839" t="s">
        <v>3601</v>
      </c>
      <c r="G6839">
        <v>62.83</v>
      </c>
      <c r="H6839">
        <v>126784.65</v>
      </c>
    </row>
    <row r="6840" spans="1:8" ht="15" customHeight="1" x14ac:dyDescent="0.2">
      <c r="A6840" s="420">
        <v>46013</v>
      </c>
      <c r="B6840" t="s">
        <v>2333</v>
      </c>
      <c r="C6840" t="s">
        <v>7493</v>
      </c>
      <c r="D6840" t="s">
        <v>3724</v>
      </c>
      <c r="E6840" t="s">
        <v>816</v>
      </c>
      <c r="G6840">
        <v>30</v>
      </c>
      <c r="H6840">
        <v>126754.65</v>
      </c>
    </row>
    <row r="6841" spans="1:8" ht="15" customHeight="1" x14ac:dyDescent="0.2">
      <c r="A6841" s="420">
        <v>46014</v>
      </c>
      <c r="B6841" t="s">
        <v>2333</v>
      </c>
      <c r="C6841" t="s">
        <v>7493</v>
      </c>
      <c r="D6841" t="s">
        <v>6291</v>
      </c>
      <c r="E6841" t="s">
        <v>6292</v>
      </c>
      <c r="G6841">
        <v>105</v>
      </c>
      <c r="H6841">
        <v>126649.65</v>
      </c>
    </row>
    <row r="6842" spans="1:8" ht="15" customHeight="1" x14ac:dyDescent="0.2">
      <c r="A6842" s="420">
        <v>46014</v>
      </c>
      <c r="B6842" t="s">
        <v>2333</v>
      </c>
      <c r="C6842" t="s">
        <v>7493</v>
      </c>
      <c r="D6842" t="s">
        <v>3919</v>
      </c>
      <c r="E6842" t="s">
        <v>3920</v>
      </c>
      <c r="G6842">
        <v>262.5</v>
      </c>
      <c r="H6842">
        <v>126387.15</v>
      </c>
    </row>
    <row r="6843" spans="1:8" ht="15" customHeight="1" x14ac:dyDescent="0.2">
      <c r="A6843" s="420">
        <v>46014</v>
      </c>
      <c r="B6843" t="s">
        <v>2333</v>
      </c>
      <c r="C6843" t="s">
        <v>7493</v>
      </c>
      <c r="D6843" t="s">
        <v>3756</v>
      </c>
      <c r="E6843" t="s">
        <v>3757</v>
      </c>
      <c r="G6843">
        <v>80</v>
      </c>
      <c r="H6843">
        <v>126307.15</v>
      </c>
    </row>
    <row r="6844" spans="1:8" ht="15" customHeight="1" x14ac:dyDescent="0.2">
      <c r="A6844" s="420">
        <v>46015</v>
      </c>
      <c r="B6844" t="s">
        <v>2333</v>
      </c>
      <c r="C6844" t="s">
        <v>7493</v>
      </c>
      <c r="D6844" t="s">
        <v>6391</v>
      </c>
      <c r="E6844" t="s">
        <v>6392</v>
      </c>
      <c r="G6844">
        <v>33680</v>
      </c>
      <c r="H6844">
        <v>92627.15</v>
      </c>
    </row>
    <row r="6845" spans="1:8" ht="15" customHeight="1" x14ac:dyDescent="0.2">
      <c r="A6845" s="420">
        <v>46015</v>
      </c>
      <c r="B6845" t="s">
        <v>2333</v>
      </c>
      <c r="C6845" t="s">
        <v>7493</v>
      </c>
      <c r="D6845" t="s">
        <v>2849</v>
      </c>
      <c r="E6845" t="s">
        <v>2829</v>
      </c>
      <c r="G6845">
        <v>34.950000000000003</v>
      </c>
      <c r="H6845">
        <v>92592.2</v>
      </c>
    </row>
    <row r="6846" spans="1:8" ht="15" customHeight="1" x14ac:dyDescent="0.2">
      <c r="A6846" s="420">
        <v>46015</v>
      </c>
      <c r="B6846" t="s">
        <v>2333</v>
      </c>
      <c r="C6846" t="s">
        <v>7493</v>
      </c>
      <c r="D6846" t="s">
        <v>3037</v>
      </c>
      <c r="E6846" t="s">
        <v>3038</v>
      </c>
      <c r="G6846">
        <v>205.75</v>
      </c>
      <c r="H6846">
        <v>92386.45</v>
      </c>
    </row>
    <row r="6847" spans="1:8" ht="15" customHeight="1" x14ac:dyDescent="0.2">
      <c r="A6847" s="420">
        <v>46015</v>
      </c>
      <c r="B6847" t="s">
        <v>2333</v>
      </c>
      <c r="C6847" t="s">
        <v>7493</v>
      </c>
      <c r="D6847" t="s">
        <v>5607</v>
      </c>
      <c r="E6847" t="s">
        <v>5608</v>
      </c>
      <c r="G6847">
        <v>6000</v>
      </c>
      <c r="H6847">
        <v>86386.45</v>
      </c>
    </row>
    <row r="6848" spans="1:8" ht="15" customHeight="1" x14ac:dyDescent="0.2">
      <c r="A6848" s="420">
        <v>46020</v>
      </c>
      <c r="B6848" t="s">
        <v>2333</v>
      </c>
      <c r="C6848" t="s">
        <v>7493</v>
      </c>
      <c r="D6848" t="s">
        <v>7786</v>
      </c>
      <c r="E6848" t="s">
        <v>7787</v>
      </c>
      <c r="G6848">
        <v>1165</v>
      </c>
      <c r="H6848">
        <v>85221.45</v>
      </c>
    </row>
    <row r="6849" spans="1:10" ht="15" customHeight="1" x14ac:dyDescent="0.2">
      <c r="A6849" s="420">
        <v>46020</v>
      </c>
      <c r="B6849" t="s">
        <v>2333</v>
      </c>
      <c r="C6849" t="s">
        <v>7493</v>
      </c>
      <c r="D6849" t="s">
        <v>4762</v>
      </c>
      <c r="E6849" t="s">
        <v>4763</v>
      </c>
      <c r="G6849">
        <v>94.8</v>
      </c>
      <c r="H6849">
        <v>85126.65</v>
      </c>
    </row>
    <row r="6850" spans="1:10" ht="15" customHeight="1" x14ac:dyDescent="0.2">
      <c r="A6850" s="420">
        <v>46020</v>
      </c>
      <c r="B6850" t="s">
        <v>2333</v>
      </c>
      <c r="C6850" t="s">
        <v>7493</v>
      </c>
      <c r="D6850" t="s">
        <v>6257</v>
      </c>
      <c r="E6850" t="s">
        <v>6258</v>
      </c>
      <c r="G6850">
        <v>585.86</v>
      </c>
      <c r="H6850">
        <v>84540.79</v>
      </c>
    </row>
    <row r="6851" spans="1:10" ht="15" customHeight="1" x14ac:dyDescent="0.2">
      <c r="A6851" s="420">
        <v>46020</v>
      </c>
      <c r="B6851" t="s">
        <v>2333</v>
      </c>
      <c r="C6851" t="s">
        <v>7493</v>
      </c>
      <c r="D6851" t="s">
        <v>3534</v>
      </c>
      <c r="E6851" t="s">
        <v>3535</v>
      </c>
      <c r="G6851">
        <v>188.49</v>
      </c>
      <c r="H6851">
        <v>84352.3</v>
      </c>
    </row>
    <row r="6852" spans="1:10" ht="15" customHeight="1" x14ac:dyDescent="0.2">
      <c r="A6852" s="420">
        <v>46020</v>
      </c>
      <c r="B6852" t="s">
        <v>2333</v>
      </c>
      <c r="C6852" t="s">
        <v>7493</v>
      </c>
      <c r="D6852" t="s">
        <v>4287</v>
      </c>
      <c r="E6852" t="s">
        <v>4288</v>
      </c>
      <c r="G6852">
        <v>1138.93</v>
      </c>
      <c r="H6852">
        <v>83213.37</v>
      </c>
    </row>
    <row r="6853" spans="1:10" ht="15" customHeight="1" x14ac:dyDescent="0.2">
      <c r="A6853" s="420">
        <v>46020</v>
      </c>
      <c r="B6853" t="s">
        <v>2333</v>
      </c>
      <c r="C6853" t="s">
        <v>7493</v>
      </c>
      <c r="D6853" t="s">
        <v>4289</v>
      </c>
      <c r="E6853" t="s">
        <v>4290</v>
      </c>
      <c r="G6853">
        <v>691.2</v>
      </c>
      <c r="H6853">
        <v>82522.17</v>
      </c>
    </row>
    <row r="6854" spans="1:10" ht="15" customHeight="1" x14ac:dyDescent="0.2">
      <c r="A6854" s="420">
        <v>46020</v>
      </c>
      <c r="B6854" t="s">
        <v>2333</v>
      </c>
      <c r="C6854" t="s">
        <v>7493</v>
      </c>
      <c r="D6854" t="s">
        <v>6226</v>
      </c>
      <c r="E6854" t="s">
        <v>6227</v>
      </c>
      <c r="G6854">
        <v>118</v>
      </c>
      <c r="H6854">
        <v>82404.17</v>
      </c>
    </row>
    <row r="6855" spans="1:10" ht="15" customHeight="1" x14ac:dyDescent="0.2">
      <c r="A6855" s="420">
        <v>46020</v>
      </c>
      <c r="B6855" t="s">
        <v>2333</v>
      </c>
      <c r="C6855" t="s">
        <v>7493</v>
      </c>
      <c r="D6855" t="s">
        <v>3727</v>
      </c>
      <c r="E6855" t="s">
        <v>3728</v>
      </c>
      <c r="G6855">
        <v>47.9</v>
      </c>
      <c r="H6855">
        <v>82356.27</v>
      </c>
    </row>
    <row r="6856" spans="1:10" ht="15" customHeight="1" x14ac:dyDescent="0.2">
      <c r="A6856" s="420">
        <v>46021</v>
      </c>
      <c r="B6856" t="s">
        <v>2333</v>
      </c>
      <c r="C6856" t="s">
        <v>7493</v>
      </c>
      <c r="D6856" t="s">
        <v>2945</v>
      </c>
      <c r="E6856" t="s">
        <v>2946</v>
      </c>
      <c r="G6856">
        <v>418.8</v>
      </c>
      <c r="H6856">
        <v>81937.47</v>
      </c>
    </row>
    <row r="6857" spans="1:10" ht="15" customHeight="1" x14ac:dyDescent="0.2">
      <c r="A6857" s="420">
        <v>46021</v>
      </c>
      <c r="B6857" t="s">
        <v>2333</v>
      </c>
      <c r="C6857" t="s">
        <v>7493</v>
      </c>
      <c r="D6857" t="s">
        <v>3880</v>
      </c>
      <c r="E6857" t="s">
        <v>3881</v>
      </c>
      <c r="G6857">
        <v>1695.83</v>
      </c>
      <c r="H6857">
        <v>80241.64</v>
      </c>
    </row>
    <row r="6858" spans="1:10" ht="15" customHeight="1" x14ac:dyDescent="0.2">
      <c r="A6858" s="420">
        <v>46022</v>
      </c>
      <c r="B6858" t="s">
        <v>2333</v>
      </c>
      <c r="C6858" t="s">
        <v>7493</v>
      </c>
      <c r="D6858" t="s">
        <v>2746</v>
      </c>
      <c r="E6858" t="s">
        <v>2747</v>
      </c>
      <c r="G6858">
        <v>710.4</v>
      </c>
      <c r="H6858">
        <v>79531.240000000005</v>
      </c>
    </row>
    <row r="6859" spans="1:10" ht="15" customHeight="1" x14ac:dyDescent="0.2">
      <c r="A6859" t="s">
        <v>7493</v>
      </c>
      <c r="E6859" t="s">
        <v>349</v>
      </c>
      <c r="F6859">
        <v>1358071.38</v>
      </c>
      <c r="G6859">
        <v>1278540.1399999999</v>
      </c>
      <c r="H6859">
        <v>79531.240000000005</v>
      </c>
    </row>
    <row r="6861" spans="1:10" ht="15" customHeight="1" x14ac:dyDescent="0.2">
      <c r="A6861" t="s">
        <v>7788</v>
      </c>
      <c r="B6861" t="s">
        <v>7789</v>
      </c>
      <c r="F6861" t="s">
        <v>2430</v>
      </c>
      <c r="G6861" t="s">
        <v>2431</v>
      </c>
      <c r="H6861" t="s">
        <v>2432</v>
      </c>
      <c r="I6861" t="s">
        <v>2433</v>
      </c>
      <c r="J6861" t="s">
        <v>2434</v>
      </c>
    </row>
    <row r="6862" spans="1:10" ht="15" customHeight="1" x14ac:dyDescent="0.2">
      <c r="A6862" s="420">
        <v>45926</v>
      </c>
      <c r="B6862" t="s">
        <v>3866</v>
      </c>
      <c r="C6862" t="s">
        <v>7788</v>
      </c>
      <c r="D6862" t="s">
        <v>7790</v>
      </c>
      <c r="E6862" t="s">
        <v>7791</v>
      </c>
      <c r="F6862">
        <v>2000</v>
      </c>
      <c r="H6862">
        <v>2000</v>
      </c>
    </row>
    <row r="6863" spans="1:10" ht="15" customHeight="1" x14ac:dyDescent="0.2">
      <c r="A6863" s="420">
        <v>45932</v>
      </c>
      <c r="B6863" t="s">
        <v>3866</v>
      </c>
      <c r="C6863" t="s">
        <v>7788</v>
      </c>
      <c r="D6863" t="s">
        <v>3867</v>
      </c>
      <c r="E6863" t="s">
        <v>3868</v>
      </c>
      <c r="G6863">
        <v>1306.8</v>
      </c>
      <c r="H6863">
        <v>693.2</v>
      </c>
    </row>
    <row r="6864" spans="1:10" ht="15" customHeight="1" x14ac:dyDescent="0.2">
      <c r="A6864" s="420">
        <v>45933</v>
      </c>
      <c r="B6864" t="s">
        <v>3866</v>
      </c>
      <c r="C6864" t="s">
        <v>7788</v>
      </c>
      <c r="D6864" t="s">
        <v>7792</v>
      </c>
      <c r="E6864" t="s">
        <v>1691</v>
      </c>
      <c r="F6864">
        <v>41.33</v>
      </c>
      <c r="H6864">
        <v>734.53</v>
      </c>
    </row>
    <row r="6865" spans="1:8" ht="15" customHeight="1" x14ac:dyDescent="0.2">
      <c r="A6865" s="420">
        <v>45940</v>
      </c>
      <c r="B6865" t="s">
        <v>3866</v>
      </c>
      <c r="C6865" t="s">
        <v>7788</v>
      </c>
      <c r="D6865" t="s">
        <v>6985</v>
      </c>
      <c r="E6865" t="s">
        <v>1695</v>
      </c>
      <c r="G6865">
        <v>41.33</v>
      </c>
      <c r="H6865">
        <v>693.2</v>
      </c>
    </row>
    <row r="6866" spans="1:8" ht="15" customHeight="1" x14ac:dyDescent="0.2">
      <c r="A6866" s="420">
        <v>45946</v>
      </c>
      <c r="B6866" t="s">
        <v>3866</v>
      </c>
      <c r="C6866" t="s">
        <v>7788</v>
      </c>
      <c r="D6866" t="s">
        <v>7793</v>
      </c>
      <c r="E6866" t="s">
        <v>7794</v>
      </c>
      <c r="F6866">
        <v>20000</v>
      </c>
      <c r="H6866">
        <v>20693.2</v>
      </c>
    </row>
    <row r="6867" spans="1:8" ht="15" customHeight="1" x14ac:dyDescent="0.2">
      <c r="A6867" s="420">
        <v>45946</v>
      </c>
      <c r="B6867" t="s">
        <v>3866</v>
      </c>
      <c r="C6867" t="s">
        <v>7788</v>
      </c>
      <c r="D6867" t="s">
        <v>7795</v>
      </c>
      <c r="E6867" t="s">
        <v>916</v>
      </c>
      <c r="G6867">
        <v>150</v>
      </c>
      <c r="H6867">
        <v>20543.2</v>
      </c>
    </row>
    <row r="6868" spans="1:8" ht="15" customHeight="1" x14ac:dyDescent="0.2">
      <c r="A6868" s="420">
        <v>45946</v>
      </c>
      <c r="B6868" t="s">
        <v>3866</v>
      </c>
      <c r="C6868" t="s">
        <v>7788</v>
      </c>
      <c r="D6868" t="s">
        <v>7796</v>
      </c>
      <c r="E6868" t="s">
        <v>7794</v>
      </c>
      <c r="F6868">
        <v>175</v>
      </c>
      <c r="H6868">
        <v>20718.2</v>
      </c>
    </row>
    <row r="6869" spans="1:8" ht="15" customHeight="1" x14ac:dyDescent="0.2">
      <c r="A6869" s="420">
        <v>45946</v>
      </c>
      <c r="B6869" t="s">
        <v>3866</v>
      </c>
      <c r="C6869" t="s">
        <v>7788</v>
      </c>
      <c r="D6869" t="s">
        <v>7797</v>
      </c>
      <c r="E6869" t="s">
        <v>1701</v>
      </c>
      <c r="G6869">
        <v>25</v>
      </c>
      <c r="H6869">
        <v>20693.2</v>
      </c>
    </row>
    <row r="6870" spans="1:8" ht="15" customHeight="1" x14ac:dyDescent="0.2">
      <c r="A6870" s="420">
        <v>45966</v>
      </c>
      <c r="B6870" t="s">
        <v>3866</v>
      </c>
      <c r="C6870" t="s">
        <v>7788</v>
      </c>
      <c r="D6870" t="s">
        <v>7798</v>
      </c>
      <c r="E6870" t="s">
        <v>1691</v>
      </c>
      <c r="F6870">
        <v>41.33</v>
      </c>
      <c r="H6870">
        <v>20734.53</v>
      </c>
    </row>
    <row r="6871" spans="1:8" ht="15" customHeight="1" x14ac:dyDescent="0.2">
      <c r="A6871" s="420">
        <v>45967</v>
      </c>
      <c r="B6871" t="s">
        <v>3866</v>
      </c>
      <c r="C6871" t="s">
        <v>7788</v>
      </c>
      <c r="D6871" t="s">
        <v>7799</v>
      </c>
      <c r="E6871" t="s">
        <v>7800</v>
      </c>
      <c r="G6871">
        <v>431.99</v>
      </c>
      <c r="H6871">
        <v>20302.54</v>
      </c>
    </row>
    <row r="6872" spans="1:8" ht="15" customHeight="1" x14ac:dyDescent="0.2">
      <c r="A6872" s="420">
        <v>45971</v>
      </c>
      <c r="B6872" t="s">
        <v>3866</v>
      </c>
      <c r="C6872" t="s">
        <v>7788</v>
      </c>
      <c r="D6872" t="s">
        <v>6988</v>
      </c>
      <c r="E6872" t="s">
        <v>1695</v>
      </c>
      <c r="G6872">
        <v>41.54</v>
      </c>
      <c r="H6872">
        <v>20261</v>
      </c>
    </row>
    <row r="6873" spans="1:8" ht="15" customHeight="1" x14ac:dyDescent="0.2">
      <c r="A6873" s="420">
        <v>45981</v>
      </c>
      <c r="B6873" t="s">
        <v>3866</v>
      </c>
      <c r="C6873" t="s">
        <v>7788</v>
      </c>
      <c r="D6873" t="s">
        <v>5366</v>
      </c>
      <c r="E6873" t="s">
        <v>5367</v>
      </c>
      <c r="G6873">
        <v>352.8</v>
      </c>
      <c r="H6873">
        <v>19908.2</v>
      </c>
    </row>
    <row r="6874" spans="1:8" ht="15" customHeight="1" x14ac:dyDescent="0.2">
      <c r="A6874" s="420">
        <v>45994</v>
      </c>
      <c r="B6874" t="s">
        <v>3866</v>
      </c>
      <c r="C6874" t="s">
        <v>7788</v>
      </c>
      <c r="D6874" t="s">
        <v>7801</v>
      </c>
      <c r="E6874" t="s">
        <v>1691</v>
      </c>
      <c r="F6874">
        <v>41.33</v>
      </c>
      <c r="H6874">
        <v>19949.53</v>
      </c>
    </row>
    <row r="6875" spans="1:8" ht="15" customHeight="1" x14ac:dyDescent="0.2">
      <c r="A6875" s="420">
        <v>45997</v>
      </c>
      <c r="B6875" t="s">
        <v>3866</v>
      </c>
      <c r="C6875" t="s">
        <v>7788</v>
      </c>
      <c r="D6875" t="s">
        <v>7802</v>
      </c>
      <c r="E6875" t="s">
        <v>7800</v>
      </c>
      <c r="G6875">
        <v>452.11</v>
      </c>
      <c r="H6875">
        <v>19497.419999999998</v>
      </c>
    </row>
    <row r="6876" spans="1:8" ht="15" customHeight="1" x14ac:dyDescent="0.2">
      <c r="A6876" s="420">
        <v>45999</v>
      </c>
      <c r="B6876" t="s">
        <v>3866</v>
      </c>
      <c r="C6876" t="s">
        <v>7788</v>
      </c>
      <c r="D6876" t="s">
        <v>5372</v>
      </c>
      <c r="E6876" t="s">
        <v>5373</v>
      </c>
      <c r="G6876">
        <v>30</v>
      </c>
      <c r="H6876">
        <v>19467.419999999998</v>
      </c>
    </row>
    <row r="6877" spans="1:8" ht="15" customHeight="1" x14ac:dyDescent="0.2">
      <c r="A6877" s="420">
        <v>46001</v>
      </c>
      <c r="B6877" t="s">
        <v>3866</v>
      </c>
      <c r="C6877" t="s">
        <v>7788</v>
      </c>
      <c r="D6877" t="s">
        <v>6990</v>
      </c>
      <c r="E6877" t="s">
        <v>1695</v>
      </c>
      <c r="G6877">
        <v>41.33</v>
      </c>
      <c r="H6877">
        <v>19426.09</v>
      </c>
    </row>
    <row r="6878" spans="1:8" ht="15" customHeight="1" x14ac:dyDescent="0.2">
      <c r="A6878" s="420">
        <v>46006</v>
      </c>
      <c r="B6878" t="s">
        <v>3866</v>
      </c>
      <c r="C6878" t="s">
        <v>7788</v>
      </c>
      <c r="D6878" t="s">
        <v>3877</v>
      </c>
      <c r="E6878" t="s">
        <v>3878</v>
      </c>
      <c r="G6878">
        <v>1348.85</v>
      </c>
      <c r="H6878">
        <v>18077.240000000002</v>
      </c>
    </row>
    <row r="6879" spans="1:8" ht="15" customHeight="1" x14ac:dyDescent="0.2">
      <c r="A6879" t="s">
        <v>7788</v>
      </c>
      <c r="E6879" t="s">
        <v>349</v>
      </c>
      <c r="F6879">
        <v>22298.99</v>
      </c>
      <c r="G6879">
        <v>4221.75</v>
      </c>
      <c r="H6879">
        <v>18077.240000000002</v>
      </c>
    </row>
    <row r="6881" spans="1:10" ht="15" customHeight="1" x14ac:dyDescent="0.2">
      <c r="A6881" t="s">
        <v>7803</v>
      </c>
      <c r="B6881" t="s">
        <v>7804</v>
      </c>
      <c r="F6881" t="s">
        <v>2430</v>
      </c>
      <c r="G6881" t="s">
        <v>2431</v>
      </c>
      <c r="H6881" t="s">
        <v>2432</v>
      </c>
      <c r="I6881" t="s">
        <v>2433</v>
      </c>
      <c r="J6881" t="s">
        <v>2434</v>
      </c>
    </row>
    <row r="6882" spans="1:10" ht="15" customHeight="1" x14ac:dyDescent="0.2">
      <c r="A6882" s="420">
        <v>45938</v>
      </c>
      <c r="B6882" t="s">
        <v>2555</v>
      </c>
      <c r="C6882" t="s">
        <v>7803</v>
      </c>
      <c r="D6882" t="s">
        <v>7805</v>
      </c>
      <c r="E6882" t="s">
        <v>7806</v>
      </c>
      <c r="F6882">
        <v>150</v>
      </c>
      <c r="H6882">
        <v>150</v>
      </c>
    </row>
    <row r="6883" spans="1:10" ht="15" customHeight="1" x14ac:dyDescent="0.2">
      <c r="A6883" s="420">
        <v>45945</v>
      </c>
      <c r="B6883" t="s">
        <v>2555</v>
      </c>
      <c r="C6883" t="s">
        <v>7803</v>
      </c>
      <c r="D6883" t="s">
        <v>7807</v>
      </c>
      <c r="E6883" t="s">
        <v>1698</v>
      </c>
      <c r="G6883">
        <v>11.3</v>
      </c>
      <c r="H6883">
        <v>138.69999999999999</v>
      </c>
    </row>
    <row r="6884" spans="1:10" ht="15" customHeight="1" x14ac:dyDescent="0.2">
      <c r="A6884" s="420">
        <v>45945</v>
      </c>
      <c r="B6884" t="s">
        <v>2555</v>
      </c>
      <c r="C6884" t="s">
        <v>7803</v>
      </c>
      <c r="D6884" t="s">
        <v>2556</v>
      </c>
      <c r="E6884" t="s">
        <v>2557</v>
      </c>
      <c r="G6884">
        <v>70</v>
      </c>
      <c r="H6884">
        <v>68.7</v>
      </c>
    </row>
    <row r="6885" spans="1:10" ht="15" customHeight="1" x14ac:dyDescent="0.2">
      <c r="A6885" s="420">
        <v>45945</v>
      </c>
      <c r="B6885" t="s">
        <v>2555</v>
      </c>
      <c r="C6885" t="s">
        <v>7803</v>
      </c>
      <c r="D6885" t="s">
        <v>7808</v>
      </c>
      <c r="E6885" t="s">
        <v>1699</v>
      </c>
      <c r="G6885">
        <v>15</v>
      </c>
      <c r="H6885">
        <v>53.7</v>
      </c>
    </row>
    <row r="6886" spans="1:10" ht="15" customHeight="1" x14ac:dyDescent="0.2">
      <c r="A6886" s="420">
        <v>45945</v>
      </c>
      <c r="B6886" t="s">
        <v>2555</v>
      </c>
      <c r="C6886" t="s">
        <v>7803</v>
      </c>
      <c r="D6886" t="s">
        <v>7809</v>
      </c>
      <c r="E6886" t="s">
        <v>1700</v>
      </c>
      <c r="F6886">
        <v>82.2</v>
      </c>
      <c r="H6886">
        <v>135.9</v>
      </c>
    </row>
    <row r="6887" spans="1:10" ht="15" customHeight="1" x14ac:dyDescent="0.2">
      <c r="A6887" s="420">
        <v>45946</v>
      </c>
      <c r="B6887" t="s">
        <v>2555</v>
      </c>
      <c r="C6887" t="s">
        <v>7803</v>
      </c>
      <c r="D6887" t="s">
        <v>7810</v>
      </c>
      <c r="E6887" t="s">
        <v>1702</v>
      </c>
      <c r="F6887">
        <v>10.94</v>
      </c>
      <c r="H6887">
        <v>146.84</v>
      </c>
    </row>
    <row r="6888" spans="1:10" ht="15" customHeight="1" x14ac:dyDescent="0.2">
      <c r="A6888" s="420">
        <v>45946</v>
      </c>
      <c r="B6888" t="s">
        <v>2555</v>
      </c>
      <c r="C6888" t="s">
        <v>7803</v>
      </c>
      <c r="D6888" t="s">
        <v>7811</v>
      </c>
      <c r="E6888" t="s">
        <v>1703</v>
      </c>
      <c r="G6888">
        <v>40.659999999999997</v>
      </c>
      <c r="H6888">
        <v>106.18</v>
      </c>
    </row>
    <row r="6889" spans="1:10" ht="15" customHeight="1" x14ac:dyDescent="0.2">
      <c r="A6889" s="420">
        <v>45947</v>
      </c>
      <c r="B6889" t="s">
        <v>2555</v>
      </c>
      <c r="C6889" t="s">
        <v>7803</v>
      </c>
      <c r="D6889" t="s">
        <v>7812</v>
      </c>
      <c r="E6889" t="s">
        <v>7813</v>
      </c>
      <c r="F6889">
        <v>10624.67</v>
      </c>
      <c r="H6889">
        <v>10730.85</v>
      </c>
    </row>
    <row r="6890" spans="1:10" ht="15" customHeight="1" x14ac:dyDescent="0.2">
      <c r="A6890" s="420">
        <v>45947</v>
      </c>
      <c r="B6890" t="s">
        <v>2555</v>
      </c>
      <c r="C6890" t="s">
        <v>7803</v>
      </c>
      <c r="D6890" t="s">
        <v>7814</v>
      </c>
      <c r="E6890" t="s">
        <v>7813</v>
      </c>
      <c r="F6890">
        <v>10000</v>
      </c>
      <c r="H6890">
        <v>20730.849999999999</v>
      </c>
    </row>
    <row r="6891" spans="1:10" ht="15" customHeight="1" x14ac:dyDescent="0.2">
      <c r="A6891" s="420">
        <v>45947</v>
      </c>
      <c r="B6891" t="s">
        <v>2555</v>
      </c>
      <c r="C6891" t="s">
        <v>7803</v>
      </c>
      <c r="D6891" t="s">
        <v>7815</v>
      </c>
      <c r="E6891" t="s">
        <v>918</v>
      </c>
      <c r="G6891">
        <v>150</v>
      </c>
      <c r="H6891">
        <v>20580.849999999999</v>
      </c>
    </row>
    <row r="6892" spans="1:10" ht="15" customHeight="1" x14ac:dyDescent="0.2">
      <c r="A6892" s="420">
        <v>45947</v>
      </c>
      <c r="B6892" t="s">
        <v>2555</v>
      </c>
      <c r="C6892" t="s">
        <v>7803</v>
      </c>
      <c r="D6892" t="s">
        <v>7816</v>
      </c>
      <c r="E6892" t="s">
        <v>918</v>
      </c>
      <c r="G6892">
        <v>150</v>
      </c>
      <c r="H6892">
        <v>20430.849999999999</v>
      </c>
    </row>
    <row r="6893" spans="1:10" ht="15" customHeight="1" x14ac:dyDescent="0.2">
      <c r="A6893" s="420">
        <v>45947</v>
      </c>
      <c r="B6893" t="s">
        <v>2555</v>
      </c>
      <c r="C6893" t="s">
        <v>7803</v>
      </c>
      <c r="D6893" t="s">
        <v>7817</v>
      </c>
      <c r="E6893" t="s">
        <v>919</v>
      </c>
      <c r="G6893">
        <v>159.37</v>
      </c>
      <c r="H6893">
        <v>20271.48</v>
      </c>
    </row>
    <row r="6894" spans="1:10" ht="15" customHeight="1" x14ac:dyDescent="0.2">
      <c r="A6894" s="420">
        <v>45947</v>
      </c>
      <c r="B6894" t="s">
        <v>2555</v>
      </c>
      <c r="C6894" t="s">
        <v>7803</v>
      </c>
      <c r="D6894" t="s">
        <v>7818</v>
      </c>
      <c r="E6894" t="s">
        <v>919</v>
      </c>
      <c r="G6894">
        <v>150</v>
      </c>
      <c r="H6894">
        <v>20121.48</v>
      </c>
    </row>
    <row r="6895" spans="1:10" ht="15" customHeight="1" x14ac:dyDescent="0.2">
      <c r="A6895" s="420">
        <v>45947</v>
      </c>
      <c r="B6895" t="s">
        <v>2555</v>
      </c>
      <c r="C6895" t="s">
        <v>7803</v>
      </c>
      <c r="D6895" t="s">
        <v>7819</v>
      </c>
      <c r="E6895" t="s">
        <v>1704</v>
      </c>
      <c r="G6895">
        <v>7.65</v>
      </c>
      <c r="H6895">
        <v>20113.830000000002</v>
      </c>
    </row>
    <row r="6896" spans="1:10" ht="15" customHeight="1" x14ac:dyDescent="0.2">
      <c r="A6896" s="420">
        <v>45947</v>
      </c>
      <c r="B6896" t="s">
        <v>2555</v>
      </c>
      <c r="C6896" t="s">
        <v>7803</v>
      </c>
      <c r="D6896" t="s">
        <v>7820</v>
      </c>
      <c r="E6896" t="s">
        <v>1704</v>
      </c>
      <c r="G6896">
        <v>7.65</v>
      </c>
      <c r="H6896">
        <v>20106.18</v>
      </c>
    </row>
    <row r="6897" spans="1:10" ht="15" customHeight="1" x14ac:dyDescent="0.2">
      <c r="A6897" s="420">
        <v>45979</v>
      </c>
      <c r="B6897" t="s">
        <v>2555</v>
      </c>
      <c r="C6897" t="s">
        <v>7803</v>
      </c>
      <c r="D6897" t="s">
        <v>7821</v>
      </c>
      <c r="E6897" t="s">
        <v>1703</v>
      </c>
      <c r="G6897">
        <v>40.659999999999997</v>
      </c>
      <c r="H6897">
        <v>20065.52</v>
      </c>
    </row>
    <row r="6898" spans="1:10" ht="15" customHeight="1" x14ac:dyDescent="0.2">
      <c r="A6898" s="420">
        <v>45980</v>
      </c>
      <c r="B6898" t="s">
        <v>2555</v>
      </c>
      <c r="C6898" t="s">
        <v>7803</v>
      </c>
      <c r="D6898" t="s">
        <v>7822</v>
      </c>
      <c r="E6898" t="s">
        <v>7823</v>
      </c>
      <c r="G6898">
        <v>240.75</v>
      </c>
      <c r="H6898">
        <v>19824.77</v>
      </c>
    </row>
    <row r="6899" spans="1:10" ht="15" customHeight="1" x14ac:dyDescent="0.2">
      <c r="A6899" s="420">
        <v>45980</v>
      </c>
      <c r="B6899" t="s">
        <v>2555</v>
      </c>
      <c r="C6899" t="s">
        <v>7803</v>
      </c>
      <c r="D6899" t="s">
        <v>7824</v>
      </c>
      <c r="E6899" t="s">
        <v>7823</v>
      </c>
      <c r="G6899">
        <v>233.01</v>
      </c>
      <c r="H6899">
        <v>19591.759999999998</v>
      </c>
    </row>
    <row r="6900" spans="1:10" ht="15" customHeight="1" x14ac:dyDescent="0.2">
      <c r="A6900" s="420">
        <v>46007</v>
      </c>
      <c r="B6900" t="s">
        <v>2555</v>
      </c>
      <c r="C6900" t="s">
        <v>7803</v>
      </c>
      <c r="D6900" t="s">
        <v>7825</v>
      </c>
      <c r="E6900" t="s">
        <v>1703</v>
      </c>
      <c r="G6900">
        <v>40.659999999999997</v>
      </c>
      <c r="H6900">
        <v>19551.099999999999</v>
      </c>
    </row>
    <row r="6901" spans="1:10" ht="15" customHeight="1" x14ac:dyDescent="0.2">
      <c r="A6901" s="420">
        <v>46009</v>
      </c>
      <c r="B6901" t="s">
        <v>2555</v>
      </c>
      <c r="C6901" t="s">
        <v>7803</v>
      </c>
      <c r="D6901" t="s">
        <v>7826</v>
      </c>
      <c r="E6901" t="s">
        <v>7823</v>
      </c>
      <c r="G6901">
        <v>240.75</v>
      </c>
      <c r="H6901">
        <v>19310.349999999999</v>
      </c>
    </row>
    <row r="6902" spans="1:10" ht="15" customHeight="1" x14ac:dyDescent="0.2">
      <c r="A6902" s="420">
        <v>46009</v>
      </c>
      <c r="B6902" t="s">
        <v>2555</v>
      </c>
      <c r="C6902" t="s">
        <v>7803</v>
      </c>
      <c r="D6902" t="s">
        <v>7827</v>
      </c>
      <c r="E6902" t="s">
        <v>7823</v>
      </c>
      <c r="G6902">
        <v>233.01</v>
      </c>
      <c r="H6902">
        <v>19077.34</v>
      </c>
    </row>
    <row r="6903" spans="1:10" ht="15" customHeight="1" x14ac:dyDescent="0.2">
      <c r="A6903" t="s">
        <v>7803</v>
      </c>
      <c r="E6903" t="s">
        <v>349</v>
      </c>
      <c r="F6903">
        <v>20867.810000000001</v>
      </c>
      <c r="G6903">
        <v>1790.47</v>
      </c>
      <c r="H6903">
        <v>19077.34</v>
      </c>
    </row>
    <row r="6905" spans="1:10" ht="15" customHeight="1" x14ac:dyDescent="0.2">
      <c r="A6905" t="s">
        <v>7828</v>
      </c>
      <c r="B6905" t="s">
        <v>7829</v>
      </c>
      <c r="F6905" t="s">
        <v>2430</v>
      </c>
      <c r="G6905" t="s">
        <v>2431</v>
      </c>
      <c r="H6905" t="s">
        <v>2432</v>
      </c>
      <c r="I6905" t="s">
        <v>2433</v>
      </c>
      <c r="J6905" t="s">
        <v>2434</v>
      </c>
    </row>
    <row r="6906" spans="1:10" ht="15" customHeight="1" x14ac:dyDescent="0.2">
      <c r="A6906" s="420">
        <v>45926</v>
      </c>
      <c r="B6906" t="s">
        <v>2333</v>
      </c>
      <c r="C6906" t="s">
        <v>7828</v>
      </c>
      <c r="D6906" t="s">
        <v>7707</v>
      </c>
      <c r="E6906" t="s">
        <v>7708</v>
      </c>
      <c r="F6906">
        <v>2000</v>
      </c>
      <c r="H6906">
        <v>2000</v>
      </c>
      <c r="J6906" t="s">
        <v>2513</v>
      </c>
    </row>
    <row r="6907" spans="1:10" ht="15" customHeight="1" x14ac:dyDescent="0.2">
      <c r="A6907" s="420">
        <v>45926</v>
      </c>
      <c r="B6907" t="s">
        <v>3866</v>
      </c>
      <c r="C6907" t="s">
        <v>7828</v>
      </c>
      <c r="D6907" t="s">
        <v>7790</v>
      </c>
      <c r="E6907" t="s">
        <v>7791</v>
      </c>
      <c r="G6907">
        <v>2000</v>
      </c>
      <c r="J6907" t="s">
        <v>2513</v>
      </c>
    </row>
    <row r="6908" spans="1:10" ht="15" customHeight="1" x14ac:dyDescent="0.2">
      <c r="A6908" s="420">
        <v>45938</v>
      </c>
      <c r="B6908" t="s">
        <v>2333</v>
      </c>
      <c r="C6908" t="s">
        <v>7828</v>
      </c>
      <c r="D6908" t="s">
        <v>7726</v>
      </c>
      <c r="E6908" t="s">
        <v>7727</v>
      </c>
      <c r="F6908">
        <v>150</v>
      </c>
      <c r="H6908">
        <v>150</v>
      </c>
      <c r="J6908" t="s">
        <v>2511</v>
      </c>
    </row>
    <row r="6909" spans="1:10" ht="15" customHeight="1" x14ac:dyDescent="0.2">
      <c r="A6909" s="420">
        <v>45938</v>
      </c>
      <c r="B6909" t="s">
        <v>2555</v>
      </c>
      <c r="C6909" t="s">
        <v>7828</v>
      </c>
      <c r="D6909" t="s">
        <v>7805</v>
      </c>
      <c r="E6909" t="s">
        <v>7806</v>
      </c>
      <c r="G6909">
        <v>150</v>
      </c>
      <c r="J6909" t="s">
        <v>2511</v>
      </c>
    </row>
    <row r="6910" spans="1:10" ht="15" customHeight="1" x14ac:dyDescent="0.2">
      <c r="A6910" s="420">
        <v>45971</v>
      </c>
      <c r="B6910" t="s">
        <v>2333</v>
      </c>
      <c r="C6910" t="s">
        <v>7828</v>
      </c>
      <c r="D6910" t="s">
        <v>7753</v>
      </c>
      <c r="E6910" t="s">
        <v>2761</v>
      </c>
      <c r="F6910">
        <v>31.98</v>
      </c>
      <c r="H6910">
        <v>31.98</v>
      </c>
      <c r="J6910" t="s">
        <v>2585</v>
      </c>
    </row>
    <row r="6911" spans="1:10" ht="15" customHeight="1" x14ac:dyDescent="0.2">
      <c r="A6911" s="420">
        <v>45975</v>
      </c>
      <c r="B6911" t="s">
        <v>2333</v>
      </c>
      <c r="C6911" t="s">
        <v>7828</v>
      </c>
      <c r="D6911" t="s">
        <v>7760</v>
      </c>
      <c r="E6911" t="s">
        <v>7761</v>
      </c>
      <c r="G6911">
        <v>31.98</v>
      </c>
      <c r="J6911" t="s">
        <v>2585</v>
      </c>
    </row>
    <row r="6912" spans="1:10" ht="15" customHeight="1" x14ac:dyDescent="0.2">
      <c r="A6912" s="420">
        <v>45979</v>
      </c>
      <c r="B6912" t="s">
        <v>2333</v>
      </c>
      <c r="C6912" t="s">
        <v>7828</v>
      </c>
      <c r="D6912" t="s">
        <v>7762</v>
      </c>
      <c r="E6912" t="s">
        <v>7763</v>
      </c>
      <c r="G6912">
        <v>262.5</v>
      </c>
      <c r="I6912">
        <v>262.5</v>
      </c>
      <c r="J6912" t="s">
        <v>2509</v>
      </c>
    </row>
    <row r="6913" spans="1:10" ht="15" customHeight="1" x14ac:dyDescent="0.2">
      <c r="A6913" s="420">
        <v>45979</v>
      </c>
      <c r="B6913" t="s">
        <v>2333</v>
      </c>
      <c r="C6913" t="s">
        <v>7828</v>
      </c>
      <c r="D6913" t="s">
        <v>7764</v>
      </c>
      <c r="E6913" t="s">
        <v>7765</v>
      </c>
      <c r="F6913">
        <v>262.5</v>
      </c>
      <c r="J6913" t="s">
        <v>2509</v>
      </c>
    </row>
    <row r="6914" spans="1:10" ht="15" customHeight="1" x14ac:dyDescent="0.2">
      <c r="A6914" t="s">
        <v>7828</v>
      </c>
      <c r="E6914" t="s">
        <v>349</v>
      </c>
      <c r="F6914">
        <v>2444.48</v>
      </c>
      <c r="G6914">
        <v>2444.48</v>
      </c>
    </row>
    <row r="6916" spans="1:10" ht="15" customHeight="1" x14ac:dyDescent="0.2">
      <c r="A6916" t="s">
        <v>7830</v>
      </c>
      <c r="B6916" t="s">
        <v>7831</v>
      </c>
      <c r="F6916" t="s">
        <v>2430</v>
      </c>
      <c r="G6916" t="s">
        <v>2431</v>
      </c>
      <c r="H6916" t="s">
        <v>2432</v>
      </c>
      <c r="I6916" t="s">
        <v>2433</v>
      </c>
      <c r="J6916" t="s">
        <v>2434</v>
      </c>
    </row>
    <row r="6917" spans="1:10" ht="15" customHeight="1" x14ac:dyDescent="0.2">
      <c r="A6917" s="420">
        <v>45662</v>
      </c>
      <c r="B6917" t="s">
        <v>2333</v>
      </c>
      <c r="C6917" t="s">
        <v>7830</v>
      </c>
      <c r="D6917" t="s">
        <v>7503</v>
      </c>
      <c r="E6917" t="s">
        <v>7504</v>
      </c>
      <c r="F6917">
        <v>17.25</v>
      </c>
      <c r="H6917">
        <v>17.25</v>
      </c>
      <c r="J6917" t="s">
        <v>2585</v>
      </c>
    </row>
    <row r="6918" spans="1:10" ht="15" customHeight="1" x14ac:dyDescent="0.2">
      <c r="A6918" s="420">
        <v>45662</v>
      </c>
      <c r="B6918" t="s">
        <v>2333</v>
      </c>
      <c r="C6918" t="s">
        <v>7830</v>
      </c>
      <c r="D6918" t="s">
        <v>7505</v>
      </c>
      <c r="E6918" t="s">
        <v>7506</v>
      </c>
      <c r="F6918">
        <v>233.71</v>
      </c>
      <c r="H6918">
        <v>250.96</v>
      </c>
      <c r="J6918" t="s">
        <v>2585</v>
      </c>
    </row>
    <row r="6919" spans="1:10" ht="15" customHeight="1" x14ac:dyDescent="0.2">
      <c r="A6919" s="420">
        <v>45662</v>
      </c>
      <c r="B6919" t="s">
        <v>2333</v>
      </c>
      <c r="C6919" t="s">
        <v>7830</v>
      </c>
      <c r="D6919" t="s">
        <v>7507</v>
      </c>
      <c r="E6919" t="s">
        <v>7508</v>
      </c>
      <c r="F6919">
        <v>47.1</v>
      </c>
      <c r="H6919">
        <v>298.06</v>
      </c>
      <c r="J6919" t="s">
        <v>2585</v>
      </c>
    </row>
    <row r="6920" spans="1:10" ht="15" customHeight="1" x14ac:dyDescent="0.2">
      <c r="A6920" s="420">
        <v>45662</v>
      </c>
      <c r="B6920" t="s">
        <v>2333</v>
      </c>
      <c r="C6920" t="s">
        <v>7830</v>
      </c>
      <c r="D6920" t="s">
        <v>7509</v>
      </c>
      <c r="E6920" t="s">
        <v>7510</v>
      </c>
      <c r="F6920">
        <v>596.96</v>
      </c>
      <c r="H6920">
        <v>895.02</v>
      </c>
      <c r="J6920" t="s">
        <v>2585</v>
      </c>
    </row>
    <row r="6921" spans="1:10" ht="15" customHeight="1" x14ac:dyDescent="0.2">
      <c r="A6921" s="420">
        <v>45662</v>
      </c>
      <c r="B6921" t="s">
        <v>2457</v>
      </c>
      <c r="C6921" t="s">
        <v>7830</v>
      </c>
      <c r="D6921" t="s">
        <v>2458</v>
      </c>
      <c r="E6921" t="s">
        <v>7832</v>
      </c>
      <c r="G6921">
        <v>250.96</v>
      </c>
      <c r="H6921">
        <v>644.05999999999995</v>
      </c>
      <c r="J6921" t="s">
        <v>2585</v>
      </c>
    </row>
    <row r="6922" spans="1:10" ht="15" customHeight="1" x14ac:dyDescent="0.2">
      <c r="A6922" s="420">
        <v>45662</v>
      </c>
      <c r="B6922" t="s">
        <v>2457</v>
      </c>
      <c r="C6922" t="s">
        <v>7830</v>
      </c>
      <c r="D6922" t="s">
        <v>2474</v>
      </c>
      <c r="E6922" t="s">
        <v>7833</v>
      </c>
      <c r="G6922">
        <v>644.05999999999995</v>
      </c>
      <c r="J6922" t="s">
        <v>2585</v>
      </c>
    </row>
    <row r="6923" spans="1:10" ht="15" customHeight="1" x14ac:dyDescent="0.2">
      <c r="A6923" s="420">
        <v>45693</v>
      </c>
      <c r="B6923" t="s">
        <v>2333</v>
      </c>
      <c r="C6923" t="s">
        <v>7830</v>
      </c>
      <c r="D6923" t="s">
        <v>7529</v>
      </c>
      <c r="E6923" t="s">
        <v>7530</v>
      </c>
      <c r="F6923">
        <v>16.96</v>
      </c>
      <c r="H6923">
        <v>16.96</v>
      </c>
      <c r="J6923" t="s">
        <v>2585</v>
      </c>
    </row>
    <row r="6924" spans="1:10" ht="15" customHeight="1" x14ac:dyDescent="0.2">
      <c r="A6924" s="420">
        <v>45693</v>
      </c>
      <c r="B6924" t="s">
        <v>2333</v>
      </c>
      <c r="C6924" t="s">
        <v>7830</v>
      </c>
      <c r="D6924" t="s">
        <v>7531</v>
      </c>
      <c r="E6924" t="s">
        <v>7532</v>
      </c>
      <c r="F6924">
        <v>234</v>
      </c>
      <c r="H6924">
        <v>250.96</v>
      </c>
      <c r="J6924" t="s">
        <v>2585</v>
      </c>
    </row>
    <row r="6925" spans="1:10" ht="15" customHeight="1" x14ac:dyDescent="0.2">
      <c r="A6925" s="420">
        <v>45693</v>
      </c>
      <c r="B6925" t="s">
        <v>2333</v>
      </c>
      <c r="C6925" t="s">
        <v>7830</v>
      </c>
      <c r="D6925" t="s">
        <v>7533</v>
      </c>
      <c r="E6925" t="s">
        <v>7534</v>
      </c>
      <c r="F6925">
        <v>46.31</v>
      </c>
      <c r="H6925">
        <v>297.27</v>
      </c>
      <c r="J6925" t="s">
        <v>2585</v>
      </c>
    </row>
    <row r="6926" spans="1:10" ht="15" customHeight="1" x14ac:dyDescent="0.2">
      <c r="A6926" s="420">
        <v>45693</v>
      </c>
      <c r="B6926" t="s">
        <v>2333</v>
      </c>
      <c r="C6926" t="s">
        <v>7830</v>
      </c>
      <c r="D6926" t="s">
        <v>7535</v>
      </c>
      <c r="E6926" t="s">
        <v>7536</v>
      </c>
      <c r="F6926">
        <v>597.75</v>
      </c>
      <c r="H6926">
        <v>895.02</v>
      </c>
      <c r="J6926" t="s">
        <v>2585</v>
      </c>
    </row>
    <row r="6927" spans="1:10" ht="15" customHeight="1" x14ac:dyDescent="0.2">
      <c r="A6927" s="420">
        <v>45693</v>
      </c>
      <c r="B6927" t="s">
        <v>2457</v>
      </c>
      <c r="C6927" t="s">
        <v>7830</v>
      </c>
      <c r="D6927" t="s">
        <v>2458</v>
      </c>
      <c r="E6927" t="s">
        <v>7834</v>
      </c>
      <c r="G6927">
        <v>250.96</v>
      </c>
      <c r="H6927">
        <v>644.05999999999995</v>
      </c>
      <c r="J6927" t="s">
        <v>2585</v>
      </c>
    </row>
    <row r="6928" spans="1:10" ht="15" customHeight="1" x14ac:dyDescent="0.2">
      <c r="A6928" s="420">
        <v>45693</v>
      </c>
      <c r="B6928" t="s">
        <v>2457</v>
      </c>
      <c r="C6928" t="s">
        <v>7830</v>
      </c>
      <c r="D6928" t="s">
        <v>2474</v>
      </c>
      <c r="E6928" t="s">
        <v>7835</v>
      </c>
      <c r="G6928">
        <v>644.05999999999995</v>
      </c>
      <c r="J6928" t="s">
        <v>2585</v>
      </c>
    </row>
    <row r="6929" spans="1:10" ht="15" customHeight="1" x14ac:dyDescent="0.2">
      <c r="A6929" s="420">
        <v>45721</v>
      </c>
      <c r="B6929" t="s">
        <v>2457</v>
      </c>
      <c r="C6929" t="s">
        <v>7830</v>
      </c>
      <c r="D6929" t="s">
        <v>2458</v>
      </c>
      <c r="E6929" t="s">
        <v>7836</v>
      </c>
      <c r="G6929">
        <v>250.96</v>
      </c>
      <c r="I6929">
        <v>250.96</v>
      </c>
      <c r="J6929" t="s">
        <v>2511</v>
      </c>
    </row>
    <row r="6930" spans="1:10" ht="15" customHeight="1" x14ac:dyDescent="0.2">
      <c r="A6930" s="420">
        <v>45721</v>
      </c>
      <c r="B6930" t="s">
        <v>2457</v>
      </c>
      <c r="C6930" t="s">
        <v>7830</v>
      </c>
      <c r="D6930" t="s">
        <v>2474</v>
      </c>
      <c r="E6930" t="s">
        <v>7837</v>
      </c>
      <c r="G6930">
        <v>644.05999999999995</v>
      </c>
      <c r="I6930">
        <v>895.02</v>
      </c>
      <c r="J6930" t="s">
        <v>2511</v>
      </c>
    </row>
    <row r="6931" spans="1:10" ht="15" customHeight="1" x14ac:dyDescent="0.2">
      <c r="A6931" s="420">
        <v>45721</v>
      </c>
      <c r="B6931" t="s">
        <v>2333</v>
      </c>
      <c r="C6931" t="s">
        <v>7830</v>
      </c>
      <c r="D6931" t="s">
        <v>7549</v>
      </c>
      <c r="E6931" t="s">
        <v>7550</v>
      </c>
      <c r="F6931">
        <v>16.66</v>
      </c>
      <c r="I6931">
        <v>878.36</v>
      </c>
      <c r="J6931" t="s">
        <v>2511</v>
      </c>
    </row>
    <row r="6932" spans="1:10" ht="15" customHeight="1" x14ac:dyDescent="0.2">
      <c r="A6932" s="420">
        <v>45721</v>
      </c>
      <c r="B6932" t="s">
        <v>2333</v>
      </c>
      <c r="C6932" t="s">
        <v>7830</v>
      </c>
      <c r="D6932" t="s">
        <v>7551</v>
      </c>
      <c r="E6932" t="s">
        <v>7552</v>
      </c>
      <c r="F6932">
        <v>234.3</v>
      </c>
      <c r="I6932">
        <v>644.05999999999995</v>
      </c>
      <c r="J6932" t="s">
        <v>2511</v>
      </c>
    </row>
    <row r="6933" spans="1:10" ht="15" customHeight="1" x14ac:dyDescent="0.2">
      <c r="A6933" s="420">
        <v>45721</v>
      </c>
      <c r="B6933" t="s">
        <v>2333</v>
      </c>
      <c r="C6933" t="s">
        <v>7830</v>
      </c>
      <c r="D6933" t="s">
        <v>7553</v>
      </c>
      <c r="E6933" t="s">
        <v>7554</v>
      </c>
      <c r="F6933">
        <v>45.51</v>
      </c>
      <c r="I6933">
        <v>598.54999999999995</v>
      </c>
      <c r="J6933" t="s">
        <v>2511</v>
      </c>
    </row>
    <row r="6934" spans="1:10" ht="15" customHeight="1" x14ac:dyDescent="0.2">
      <c r="A6934" s="420">
        <v>45721</v>
      </c>
      <c r="B6934" t="s">
        <v>2333</v>
      </c>
      <c r="C6934" t="s">
        <v>7830</v>
      </c>
      <c r="D6934" t="s">
        <v>7555</v>
      </c>
      <c r="E6934" t="s">
        <v>7556</v>
      </c>
      <c r="F6934">
        <v>598.54999999999995</v>
      </c>
      <c r="J6934" t="s">
        <v>2511</v>
      </c>
    </row>
    <row r="6935" spans="1:10" ht="15" customHeight="1" x14ac:dyDescent="0.2">
      <c r="A6935" s="420">
        <v>45752</v>
      </c>
      <c r="B6935" t="s">
        <v>2457</v>
      </c>
      <c r="C6935" t="s">
        <v>7830</v>
      </c>
      <c r="D6935" t="s">
        <v>2458</v>
      </c>
      <c r="E6935" t="s">
        <v>7838</v>
      </c>
      <c r="G6935">
        <v>250.96</v>
      </c>
      <c r="I6935">
        <v>250.96</v>
      </c>
      <c r="J6935" t="s">
        <v>2509</v>
      </c>
    </row>
    <row r="6936" spans="1:10" ht="15" customHeight="1" x14ac:dyDescent="0.2">
      <c r="A6936" s="420">
        <v>45752</v>
      </c>
      <c r="B6936" t="s">
        <v>2457</v>
      </c>
      <c r="C6936" t="s">
        <v>7830</v>
      </c>
      <c r="D6936" t="s">
        <v>2474</v>
      </c>
      <c r="E6936" t="s">
        <v>7839</v>
      </c>
      <c r="G6936">
        <v>644.05999999999995</v>
      </c>
      <c r="I6936">
        <v>895.02</v>
      </c>
      <c r="J6936" t="s">
        <v>2509</v>
      </c>
    </row>
    <row r="6937" spans="1:10" ht="15" customHeight="1" x14ac:dyDescent="0.2">
      <c r="A6937" s="420">
        <v>45752</v>
      </c>
      <c r="B6937" t="s">
        <v>2333</v>
      </c>
      <c r="C6937" t="s">
        <v>7830</v>
      </c>
      <c r="D6937" t="s">
        <v>7571</v>
      </c>
      <c r="E6937" t="s">
        <v>7572</v>
      </c>
      <c r="F6937">
        <v>16.37</v>
      </c>
      <c r="I6937">
        <v>878.65</v>
      </c>
      <c r="J6937" t="s">
        <v>2509</v>
      </c>
    </row>
    <row r="6938" spans="1:10" ht="15" customHeight="1" x14ac:dyDescent="0.2">
      <c r="A6938" s="420">
        <v>45752</v>
      </c>
      <c r="B6938" t="s">
        <v>2333</v>
      </c>
      <c r="C6938" t="s">
        <v>7830</v>
      </c>
      <c r="D6938" t="s">
        <v>7573</v>
      </c>
      <c r="E6938" t="s">
        <v>7574</v>
      </c>
      <c r="F6938">
        <v>234.59</v>
      </c>
      <c r="I6938">
        <v>644.05999999999995</v>
      </c>
      <c r="J6938" t="s">
        <v>2509</v>
      </c>
    </row>
    <row r="6939" spans="1:10" ht="15" customHeight="1" x14ac:dyDescent="0.2">
      <c r="A6939" s="420">
        <v>45752</v>
      </c>
      <c r="B6939" t="s">
        <v>2333</v>
      </c>
      <c r="C6939" t="s">
        <v>7830</v>
      </c>
      <c r="D6939" t="s">
        <v>7575</v>
      </c>
      <c r="E6939" t="s">
        <v>7576</v>
      </c>
      <c r="F6939">
        <v>44.71</v>
      </c>
      <c r="I6939">
        <v>599.35</v>
      </c>
      <c r="J6939" t="s">
        <v>2509</v>
      </c>
    </row>
    <row r="6940" spans="1:10" ht="15" customHeight="1" x14ac:dyDescent="0.2">
      <c r="A6940" s="420">
        <v>45752</v>
      </c>
      <c r="B6940" t="s">
        <v>2333</v>
      </c>
      <c r="C6940" t="s">
        <v>7830</v>
      </c>
      <c r="D6940" t="s">
        <v>7577</v>
      </c>
      <c r="E6940" t="s">
        <v>7578</v>
      </c>
      <c r="F6940">
        <v>599.35</v>
      </c>
      <c r="J6940" t="s">
        <v>2509</v>
      </c>
    </row>
    <row r="6941" spans="1:10" ht="15" customHeight="1" x14ac:dyDescent="0.2">
      <c r="A6941" s="420">
        <v>45782</v>
      </c>
      <c r="B6941" t="s">
        <v>2457</v>
      </c>
      <c r="C6941" t="s">
        <v>7830</v>
      </c>
      <c r="D6941" t="s">
        <v>2458</v>
      </c>
      <c r="E6941" t="s">
        <v>7840</v>
      </c>
      <c r="G6941">
        <v>250.96</v>
      </c>
      <c r="I6941">
        <v>250.96</v>
      </c>
      <c r="J6941" t="s">
        <v>2513</v>
      </c>
    </row>
    <row r="6942" spans="1:10" ht="15" customHeight="1" x14ac:dyDescent="0.2">
      <c r="A6942" s="420">
        <v>45782</v>
      </c>
      <c r="B6942" t="s">
        <v>2457</v>
      </c>
      <c r="C6942" t="s">
        <v>7830</v>
      </c>
      <c r="D6942" t="s">
        <v>2474</v>
      </c>
      <c r="E6942" t="s">
        <v>7841</v>
      </c>
      <c r="G6942">
        <v>644.05999999999995</v>
      </c>
      <c r="I6942">
        <v>895.02</v>
      </c>
      <c r="J6942" t="s">
        <v>2513</v>
      </c>
    </row>
    <row r="6943" spans="1:10" ht="15" customHeight="1" x14ac:dyDescent="0.2">
      <c r="A6943" s="420">
        <v>45782</v>
      </c>
      <c r="B6943" t="s">
        <v>2333</v>
      </c>
      <c r="C6943" t="s">
        <v>7830</v>
      </c>
      <c r="D6943" t="s">
        <v>7591</v>
      </c>
      <c r="E6943" t="s">
        <v>7592</v>
      </c>
      <c r="F6943">
        <v>16.079999999999998</v>
      </c>
      <c r="I6943">
        <v>878.94</v>
      </c>
      <c r="J6943" t="s">
        <v>2513</v>
      </c>
    </row>
    <row r="6944" spans="1:10" ht="15" customHeight="1" x14ac:dyDescent="0.2">
      <c r="A6944" s="420">
        <v>45782</v>
      </c>
      <c r="B6944" t="s">
        <v>2333</v>
      </c>
      <c r="C6944" t="s">
        <v>7830</v>
      </c>
      <c r="D6944" t="s">
        <v>7593</v>
      </c>
      <c r="E6944" t="s">
        <v>7594</v>
      </c>
      <c r="F6944">
        <v>234.88</v>
      </c>
      <c r="I6944">
        <v>644.05999999999995</v>
      </c>
      <c r="J6944" t="s">
        <v>2513</v>
      </c>
    </row>
    <row r="6945" spans="1:10" ht="15" customHeight="1" x14ac:dyDescent="0.2">
      <c r="A6945" s="420">
        <v>45782</v>
      </c>
      <c r="B6945" t="s">
        <v>2333</v>
      </c>
      <c r="C6945" t="s">
        <v>7830</v>
      </c>
      <c r="D6945" t="s">
        <v>7595</v>
      </c>
      <c r="E6945" t="s">
        <v>7596</v>
      </c>
      <c r="F6945">
        <v>43.91</v>
      </c>
      <c r="I6945">
        <v>600.15</v>
      </c>
      <c r="J6945" t="s">
        <v>2513</v>
      </c>
    </row>
    <row r="6946" spans="1:10" ht="15" customHeight="1" x14ac:dyDescent="0.2">
      <c r="A6946" s="420">
        <v>45782</v>
      </c>
      <c r="B6946" t="s">
        <v>2333</v>
      </c>
      <c r="C6946" t="s">
        <v>7830</v>
      </c>
      <c r="D6946" t="s">
        <v>7597</v>
      </c>
      <c r="E6946" t="s">
        <v>7598</v>
      </c>
      <c r="F6946">
        <v>600.15</v>
      </c>
      <c r="J6946" t="s">
        <v>2513</v>
      </c>
    </row>
    <row r="6947" spans="1:10" ht="15" customHeight="1" x14ac:dyDescent="0.2">
      <c r="A6947" s="420">
        <v>45813</v>
      </c>
      <c r="B6947" t="s">
        <v>2457</v>
      </c>
      <c r="C6947" t="s">
        <v>7830</v>
      </c>
      <c r="D6947" t="s">
        <v>2458</v>
      </c>
      <c r="E6947" t="s">
        <v>7842</v>
      </c>
      <c r="G6947">
        <v>250.96</v>
      </c>
      <c r="I6947">
        <v>250.96</v>
      </c>
      <c r="J6947" t="s">
        <v>2513</v>
      </c>
    </row>
    <row r="6948" spans="1:10" ht="15" customHeight="1" x14ac:dyDescent="0.2">
      <c r="A6948" s="420">
        <v>45813</v>
      </c>
      <c r="B6948" t="s">
        <v>2457</v>
      </c>
      <c r="C6948" t="s">
        <v>7830</v>
      </c>
      <c r="D6948" t="s">
        <v>2474</v>
      </c>
      <c r="E6948" t="s">
        <v>7843</v>
      </c>
      <c r="G6948">
        <v>644.05999999999995</v>
      </c>
      <c r="I6948">
        <v>895.02</v>
      </c>
      <c r="J6948" t="s">
        <v>2513</v>
      </c>
    </row>
    <row r="6949" spans="1:10" ht="15" customHeight="1" x14ac:dyDescent="0.2">
      <c r="A6949" s="420">
        <v>45813</v>
      </c>
      <c r="B6949" t="s">
        <v>2333</v>
      </c>
      <c r="C6949" t="s">
        <v>7830</v>
      </c>
      <c r="D6949" t="s">
        <v>7618</v>
      </c>
      <c r="E6949" t="s">
        <v>7619</v>
      </c>
      <c r="F6949">
        <v>15.78</v>
      </c>
      <c r="I6949">
        <v>879.24</v>
      </c>
      <c r="J6949" t="s">
        <v>2513</v>
      </c>
    </row>
    <row r="6950" spans="1:10" ht="15" customHeight="1" x14ac:dyDescent="0.2">
      <c r="A6950" s="420">
        <v>45813</v>
      </c>
      <c r="B6950" t="s">
        <v>2333</v>
      </c>
      <c r="C6950" t="s">
        <v>7830</v>
      </c>
      <c r="D6950" t="s">
        <v>7620</v>
      </c>
      <c r="E6950" t="s">
        <v>7621</v>
      </c>
      <c r="F6950">
        <v>235.18</v>
      </c>
      <c r="I6950">
        <v>644.05999999999995</v>
      </c>
      <c r="J6950" t="s">
        <v>2513</v>
      </c>
    </row>
    <row r="6951" spans="1:10" ht="15" customHeight="1" x14ac:dyDescent="0.2">
      <c r="A6951" s="420">
        <v>45813</v>
      </c>
      <c r="B6951" t="s">
        <v>2333</v>
      </c>
      <c r="C6951" t="s">
        <v>7830</v>
      </c>
      <c r="D6951" t="s">
        <v>7622</v>
      </c>
      <c r="E6951" t="s">
        <v>7623</v>
      </c>
      <c r="F6951">
        <v>43.11</v>
      </c>
      <c r="I6951">
        <v>600.95000000000005</v>
      </c>
      <c r="J6951" t="s">
        <v>2513</v>
      </c>
    </row>
    <row r="6952" spans="1:10" ht="15" customHeight="1" x14ac:dyDescent="0.2">
      <c r="A6952" s="420">
        <v>45813</v>
      </c>
      <c r="B6952" t="s">
        <v>2333</v>
      </c>
      <c r="C6952" t="s">
        <v>7830</v>
      </c>
      <c r="D6952" t="s">
        <v>7624</v>
      </c>
      <c r="E6952" t="s">
        <v>7625</v>
      </c>
      <c r="F6952">
        <v>600.95000000000005</v>
      </c>
      <c r="J6952" t="s">
        <v>2513</v>
      </c>
    </row>
    <row r="6953" spans="1:10" ht="15" customHeight="1" x14ac:dyDescent="0.2">
      <c r="A6953" s="420">
        <v>45843</v>
      </c>
      <c r="B6953" t="s">
        <v>2457</v>
      </c>
      <c r="C6953" t="s">
        <v>7830</v>
      </c>
      <c r="D6953" t="s">
        <v>2458</v>
      </c>
      <c r="E6953" t="s">
        <v>7844</v>
      </c>
      <c r="G6953">
        <v>250.96</v>
      </c>
      <c r="I6953">
        <v>250.96</v>
      </c>
      <c r="J6953" t="s">
        <v>2586</v>
      </c>
    </row>
    <row r="6954" spans="1:10" ht="15" customHeight="1" x14ac:dyDescent="0.2">
      <c r="A6954" s="420">
        <v>45843</v>
      </c>
      <c r="B6954" t="s">
        <v>2457</v>
      </c>
      <c r="C6954" t="s">
        <v>7830</v>
      </c>
      <c r="D6954" t="s">
        <v>2474</v>
      </c>
      <c r="E6954" t="s">
        <v>7845</v>
      </c>
      <c r="G6954">
        <v>644.05999999999995</v>
      </c>
      <c r="I6954">
        <v>895.02</v>
      </c>
      <c r="J6954" t="s">
        <v>2586</v>
      </c>
    </row>
    <row r="6955" spans="1:10" ht="15" customHeight="1" x14ac:dyDescent="0.2">
      <c r="A6955" s="420">
        <v>45843</v>
      </c>
      <c r="B6955" t="s">
        <v>2333</v>
      </c>
      <c r="C6955" t="s">
        <v>7830</v>
      </c>
      <c r="D6955" t="s">
        <v>7642</v>
      </c>
      <c r="E6955" t="s">
        <v>7643</v>
      </c>
      <c r="F6955">
        <v>15.49</v>
      </c>
      <c r="I6955">
        <v>879.53</v>
      </c>
      <c r="J6955" t="s">
        <v>2586</v>
      </c>
    </row>
    <row r="6956" spans="1:10" ht="15" customHeight="1" x14ac:dyDescent="0.2">
      <c r="A6956" s="420">
        <v>45843</v>
      </c>
      <c r="B6956" t="s">
        <v>2333</v>
      </c>
      <c r="C6956" t="s">
        <v>7830</v>
      </c>
      <c r="D6956" t="s">
        <v>7644</v>
      </c>
      <c r="E6956" t="s">
        <v>7645</v>
      </c>
      <c r="F6956">
        <v>235.47</v>
      </c>
      <c r="I6956">
        <v>644.05999999999995</v>
      </c>
      <c r="J6956" t="s">
        <v>2586</v>
      </c>
    </row>
    <row r="6957" spans="1:10" ht="15" customHeight="1" x14ac:dyDescent="0.2">
      <c r="A6957" s="420">
        <v>45843</v>
      </c>
      <c r="B6957" t="s">
        <v>2333</v>
      </c>
      <c r="C6957" t="s">
        <v>7830</v>
      </c>
      <c r="D6957" t="s">
        <v>7646</v>
      </c>
      <c r="E6957" t="s">
        <v>7647</v>
      </c>
      <c r="F6957">
        <v>42.31</v>
      </c>
      <c r="I6957">
        <v>601.75</v>
      </c>
      <c r="J6957" t="s">
        <v>2586</v>
      </c>
    </row>
    <row r="6958" spans="1:10" ht="15" customHeight="1" x14ac:dyDescent="0.2">
      <c r="A6958" s="420">
        <v>45843</v>
      </c>
      <c r="B6958" t="s">
        <v>2333</v>
      </c>
      <c r="C6958" t="s">
        <v>7830</v>
      </c>
      <c r="D6958" t="s">
        <v>7648</v>
      </c>
      <c r="E6958" t="s">
        <v>7649</v>
      </c>
      <c r="F6958">
        <v>601.75</v>
      </c>
      <c r="J6958" t="s">
        <v>2586</v>
      </c>
    </row>
    <row r="6959" spans="1:10" ht="15" customHeight="1" x14ac:dyDescent="0.2">
      <c r="A6959" s="420">
        <v>45874</v>
      </c>
      <c r="B6959" t="s">
        <v>2457</v>
      </c>
      <c r="C6959" t="s">
        <v>7830</v>
      </c>
      <c r="D6959" t="s">
        <v>2458</v>
      </c>
      <c r="E6959" t="s">
        <v>7846</v>
      </c>
      <c r="G6959">
        <v>250.96</v>
      </c>
      <c r="I6959">
        <v>250.96</v>
      </c>
      <c r="J6959" t="s">
        <v>2587</v>
      </c>
    </row>
    <row r="6960" spans="1:10" ht="15" customHeight="1" x14ac:dyDescent="0.2">
      <c r="A6960" s="420">
        <v>45874</v>
      </c>
      <c r="B6960" t="s">
        <v>2457</v>
      </c>
      <c r="C6960" t="s">
        <v>7830</v>
      </c>
      <c r="D6960" t="s">
        <v>2474</v>
      </c>
      <c r="E6960" t="s">
        <v>7847</v>
      </c>
      <c r="G6960">
        <v>644.05999999999995</v>
      </c>
      <c r="I6960">
        <v>895.02</v>
      </c>
      <c r="J6960" t="s">
        <v>2587</v>
      </c>
    </row>
    <row r="6961" spans="1:10" ht="15" customHeight="1" x14ac:dyDescent="0.2">
      <c r="A6961" s="420">
        <v>45874</v>
      </c>
      <c r="B6961" t="s">
        <v>2333</v>
      </c>
      <c r="C6961" t="s">
        <v>7830</v>
      </c>
      <c r="D6961" t="s">
        <v>7665</v>
      </c>
      <c r="E6961" t="s">
        <v>7666</v>
      </c>
      <c r="F6961">
        <v>15.2</v>
      </c>
      <c r="I6961">
        <v>879.82</v>
      </c>
      <c r="J6961" t="s">
        <v>2587</v>
      </c>
    </row>
    <row r="6962" spans="1:10" ht="15" customHeight="1" x14ac:dyDescent="0.2">
      <c r="A6962" s="420">
        <v>45874</v>
      </c>
      <c r="B6962" t="s">
        <v>2333</v>
      </c>
      <c r="C6962" t="s">
        <v>7830</v>
      </c>
      <c r="D6962" t="s">
        <v>7667</v>
      </c>
      <c r="E6962" t="s">
        <v>7668</v>
      </c>
      <c r="F6962">
        <v>235.76</v>
      </c>
      <c r="I6962">
        <v>644.05999999999995</v>
      </c>
      <c r="J6962" t="s">
        <v>2587</v>
      </c>
    </row>
    <row r="6963" spans="1:10" ht="15" customHeight="1" x14ac:dyDescent="0.2">
      <c r="A6963" s="420">
        <v>45874</v>
      </c>
      <c r="B6963" t="s">
        <v>2333</v>
      </c>
      <c r="C6963" t="s">
        <v>7830</v>
      </c>
      <c r="D6963" t="s">
        <v>7669</v>
      </c>
      <c r="E6963" t="s">
        <v>7670</v>
      </c>
      <c r="F6963">
        <v>41.51</v>
      </c>
      <c r="I6963">
        <v>602.54999999999995</v>
      </c>
      <c r="J6963" t="s">
        <v>2587</v>
      </c>
    </row>
    <row r="6964" spans="1:10" ht="15" customHeight="1" x14ac:dyDescent="0.2">
      <c r="A6964" s="420">
        <v>45874</v>
      </c>
      <c r="B6964" t="s">
        <v>2333</v>
      </c>
      <c r="C6964" t="s">
        <v>7830</v>
      </c>
      <c r="D6964" t="s">
        <v>7671</v>
      </c>
      <c r="E6964" t="s">
        <v>7672</v>
      </c>
      <c r="F6964">
        <v>602.54999999999995</v>
      </c>
      <c r="J6964" t="s">
        <v>2587</v>
      </c>
    </row>
    <row r="6965" spans="1:10" ht="15" customHeight="1" x14ac:dyDescent="0.2">
      <c r="A6965" s="420">
        <v>45905</v>
      </c>
      <c r="B6965" t="s">
        <v>2457</v>
      </c>
      <c r="C6965" t="s">
        <v>7830</v>
      </c>
      <c r="D6965" t="s">
        <v>2458</v>
      </c>
      <c r="E6965" t="s">
        <v>7848</v>
      </c>
      <c r="G6965">
        <v>250.96</v>
      </c>
      <c r="I6965">
        <v>250.96</v>
      </c>
      <c r="J6965" t="s">
        <v>2587</v>
      </c>
    </row>
    <row r="6966" spans="1:10" ht="15" customHeight="1" x14ac:dyDescent="0.2">
      <c r="A6966" s="420">
        <v>45905</v>
      </c>
      <c r="B6966" t="s">
        <v>2457</v>
      </c>
      <c r="C6966" t="s">
        <v>7830</v>
      </c>
      <c r="D6966" t="s">
        <v>2474</v>
      </c>
      <c r="E6966" t="s">
        <v>7849</v>
      </c>
      <c r="G6966">
        <v>644.05999999999995</v>
      </c>
      <c r="I6966">
        <v>895.02</v>
      </c>
      <c r="J6966" t="s">
        <v>2587</v>
      </c>
    </row>
    <row r="6967" spans="1:10" ht="15" customHeight="1" x14ac:dyDescent="0.2">
      <c r="A6967" s="420">
        <v>45905</v>
      </c>
      <c r="B6967" t="s">
        <v>2333</v>
      </c>
      <c r="C6967" t="s">
        <v>7830</v>
      </c>
      <c r="D6967" t="s">
        <v>7687</v>
      </c>
      <c r="E6967" t="s">
        <v>7688</v>
      </c>
      <c r="F6967">
        <v>14.9</v>
      </c>
      <c r="I6967">
        <v>880.12</v>
      </c>
      <c r="J6967" t="s">
        <v>2587</v>
      </c>
    </row>
    <row r="6968" spans="1:10" ht="15" customHeight="1" x14ac:dyDescent="0.2">
      <c r="A6968" s="420">
        <v>45905</v>
      </c>
      <c r="B6968" t="s">
        <v>2333</v>
      </c>
      <c r="C6968" t="s">
        <v>7830</v>
      </c>
      <c r="D6968" t="s">
        <v>7689</v>
      </c>
      <c r="E6968" t="s">
        <v>7690</v>
      </c>
      <c r="F6968">
        <v>236.06</v>
      </c>
      <c r="I6968">
        <v>644.05999999999995</v>
      </c>
      <c r="J6968" t="s">
        <v>2587</v>
      </c>
    </row>
    <row r="6969" spans="1:10" ht="15" customHeight="1" x14ac:dyDescent="0.2">
      <c r="A6969" s="420">
        <v>45905</v>
      </c>
      <c r="B6969" t="s">
        <v>2333</v>
      </c>
      <c r="C6969" t="s">
        <v>7830</v>
      </c>
      <c r="D6969" t="s">
        <v>7691</v>
      </c>
      <c r="E6969" t="s">
        <v>7692</v>
      </c>
      <c r="F6969">
        <v>40.71</v>
      </c>
      <c r="I6969">
        <v>603.35</v>
      </c>
      <c r="J6969" t="s">
        <v>2587</v>
      </c>
    </row>
    <row r="6970" spans="1:10" ht="15" customHeight="1" x14ac:dyDescent="0.2">
      <c r="A6970" s="420">
        <v>45905</v>
      </c>
      <c r="B6970" t="s">
        <v>2333</v>
      </c>
      <c r="C6970" t="s">
        <v>7830</v>
      </c>
      <c r="D6970" t="s">
        <v>7693</v>
      </c>
      <c r="E6970" t="s">
        <v>7694</v>
      </c>
      <c r="F6970">
        <v>603.35</v>
      </c>
      <c r="J6970" t="s">
        <v>2587</v>
      </c>
    </row>
    <row r="6971" spans="1:10" ht="15" customHeight="1" x14ac:dyDescent="0.2">
      <c r="A6971" s="420">
        <v>45935</v>
      </c>
      <c r="B6971" t="s">
        <v>2457</v>
      </c>
      <c r="C6971" t="s">
        <v>7830</v>
      </c>
      <c r="D6971" t="s">
        <v>2458</v>
      </c>
      <c r="E6971" t="s">
        <v>7850</v>
      </c>
      <c r="G6971">
        <v>250.96</v>
      </c>
      <c r="I6971">
        <v>250.96</v>
      </c>
      <c r="J6971" t="s">
        <v>2587</v>
      </c>
    </row>
    <row r="6972" spans="1:10" ht="15" customHeight="1" x14ac:dyDescent="0.2">
      <c r="A6972" s="420">
        <v>45935</v>
      </c>
      <c r="B6972" t="s">
        <v>2457</v>
      </c>
      <c r="C6972" t="s">
        <v>7830</v>
      </c>
      <c r="D6972" t="s">
        <v>2474</v>
      </c>
      <c r="E6972" t="s">
        <v>7851</v>
      </c>
      <c r="G6972">
        <v>644.05999999999995</v>
      </c>
      <c r="I6972">
        <v>895.02</v>
      </c>
      <c r="J6972" t="s">
        <v>2587</v>
      </c>
    </row>
    <row r="6973" spans="1:10" ht="15" customHeight="1" x14ac:dyDescent="0.2">
      <c r="A6973" s="420">
        <v>45935</v>
      </c>
      <c r="B6973" t="s">
        <v>2333</v>
      </c>
      <c r="C6973" t="s">
        <v>7830</v>
      </c>
      <c r="D6973" t="s">
        <v>7715</v>
      </c>
      <c r="E6973" t="s">
        <v>7716</v>
      </c>
      <c r="F6973">
        <v>14.61</v>
      </c>
      <c r="I6973">
        <v>880.41</v>
      </c>
      <c r="J6973" t="s">
        <v>2587</v>
      </c>
    </row>
    <row r="6974" spans="1:10" ht="15" customHeight="1" x14ac:dyDescent="0.2">
      <c r="A6974" s="420">
        <v>45935</v>
      </c>
      <c r="B6974" t="s">
        <v>2333</v>
      </c>
      <c r="C6974" t="s">
        <v>7830</v>
      </c>
      <c r="D6974" t="s">
        <v>7717</v>
      </c>
      <c r="E6974" t="s">
        <v>7718</v>
      </c>
      <c r="F6974">
        <v>236.35</v>
      </c>
      <c r="I6974">
        <v>644.05999999999995</v>
      </c>
      <c r="J6974" t="s">
        <v>2587</v>
      </c>
    </row>
    <row r="6975" spans="1:10" ht="15" customHeight="1" x14ac:dyDescent="0.2">
      <c r="A6975" s="420">
        <v>45935</v>
      </c>
      <c r="B6975" t="s">
        <v>2333</v>
      </c>
      <c r="C6975" t="s">
        <v>7830</v>
      </c>
      <c r="D6975" t="s">
        <v>7719</v>
      </c>
      <c r="E6975" t="s">
        <v>7720</v>
      </c>
      <c r="F6975">
        <v>39.9</v>
      </c>
      <c r="I6975">
        <v>604.16</v>
      </c>
      <c r="J6975" t="s">
        <v>2587</v>
      </c>
    </row>
    <row r="6976" spans="1:10" ht="15" customHeight="1" x14ac:dyDescent="0.2">
      <c r="A6976" s="420">
        <v>45935</v>
      </c>
      <c r="B6976" t="s">
        <v>2333</v>
      </c>
      <c r="C6976" t="s">
        <v>7830</v>
      </c>
      <c r="D6976" t="s">
        <v>7721</v>
      </c>
      <c r="E6976" t="s">
        <v>7722</v>
      </c>
      <c r="F6976">
        <v>604.16</v>
      </c>
      <c r="J6976" t="s">
        <v>2587</v>
      </c>
    </row>
    <row r="6977" spans="1:10" ht="15" customHeight="1" x14ac:dyDescent="0.2">
      <c r="A6977" s="420">
        <v>45935</v>
      </c>
      <c r="B6977" t="s">
        <v>2457</v>
      </c>
      <c r="C6977" t="s">
        <v>7830</v>
      </c>
      <c r="D6977" t="s">
        <v>2501</v>
      </c>
      <c r="E6977" t="s">
        <v>7852</v>
      </c>
      <c r="F6977">
        <v>20175</v>
      </c>
      <c r="H6977">
        <v>20175</v>
      </c>
      <c r="J6977" t="s">
        <v>2600</v>
      </c>
    </row>
    <row r="6978" spans="1:10" ht="15" customHeight="1" x14ac:dyDescent="0.2">
      <c r="A6978" s="420">
        <v>45946</v>
      </c>
      <c r="B6978" t="s">
        <v>3866</v>
      </c>
      <c r="C6978" t="s">
        <v>7830</v>
      </c>
      <c r="D6978" t="s">
        <v>7793</v>
      </c>
      <c r="E6978" t="s">
        <v>7794</v>
      </c>
      <c r="G6978">
        <v>20000</v>
      </c>
      <c r="H6978">
        <v>175</v>
      </c>
      <c r="J6978" t="s">
        <v>2600</v>
      </c>
    </row>
    <row r="6979" spans="1:10" ht="15" customHeight="1" x14ac:dyDescent="0.2">
      <c r="A6979" s="420">
        <v>45946</v>
      </c>
      <c r="B6979" t="s">
        <v>3866</v>
      </c>
      <c r="C6979" t="s">
        <v>7830</v>
      </c>
      <c r="D6979" t="s">
        <v>7796</v>
      </c>
      <c r="E6979" t="s">
        <v>7794</v>
      </c>
      <c r="G6979">
        <v>175</v>
      </c>
      <c r="J6979" t="s">
        <v>2600</v>
      </c>
    </row>
    <row r="6980" spans="1:10" ht="15" customHeight="1" x14ac:dyDescent="0.2">
      <c r="A6980" s="420">
        <v>45946</v>
      </c>
      <c r="B6980" t="s">
        <v>2457</v>
      </c>
      <c r="C6980" t="s">
        <v>7830</v>
      </c>
      <c r="D6980" t="s">
        <v>2495</v>
      </c>
      <c r="E6980" t="s">
        <v>7853</v>
      </c>
      <c r="F6980">
        <v>10624.67</v>
      </c>
      <c r="H6980">
        <v>10624.67</v>
      </c>
      <c r="J6980" t="s">
        <v>2715</v>
      </c>
    </row>
    <row r="6981" spans="1:10" ht="15" customHeight="1" x14ac:dyDescent="0.2">
      <c r="A6981" s="420">
        <v>45946</v>
      </c>
      <c r="B6981" t="s">
        <v>2457</v>
      </c>
      <c r="C6981" t="s">
        <v>7830</v>
      </c>
      <c r="D6981" t="s">
        <v>2489</v>
      </c>
      <c r="E6981" t="s">
        <v>7854</v>
      </c>
      <c r="F6981">
        <v>10000</v>
      </c>
      <c r="H6981">
        <v>20624.669999999998</v>
      </c>
      <c r="J6981" t="s">
        <v>2710</v>
      </c>
    </row>
    <row r="6982" spans="1:10" ht="15" customHeight="1" x14ac:dyDescent="0.2">
      <c r="A6982" s="420">
        <v>45947</v>
      </c>
      <c r="B6982" t="s">
        <v>2555</v>
      </c>
      <c r="C6982" t="s">
        <v>7830</v>
      </c>
      <c r="D6982" t="s">
        <v>7812</v>
      </c>
      <c r="E6982" t="s">
        <v>7813</v>
      </c>
      <c r="G6982">
        <v>10624.67</v>
      </c>
      <c r="H6982">
        <v>10000</v>
      </c>
      <c r="J6982" t="s">
        <v>2715</v>
      </c>
    </row>
    <row r="6983" spans="1:10" ht="15" customHeight="1" x14ac:dyDescent="0.2">
      <c r="A6983" s="420">
        <v>45947</v>
      </c>
      <c r="B6983" t="s">
        <v>2555</v>
      </c>
      <c r="C6983" t="s">
        <v>7830</v>
      </c>
      <c r="D6983" t="s">
        <v>7814</v>
      </c>
      <c r="E6983" t="s">
        <v>7813</v>
      </c>
      <c r="G6983">
        <v>10000</v>
      </c>
      <c r="J6983" t="s">
        <v>2710</v>
      </c>
    </row>
    <row r="6984" spans="1:10" ht="15" customHeight="1" x14ac:dyDescent="0.2">
      <c r="A6984" s="420">
        <v>45966</v>
      </c>
      <c r="B6984" t="s">
        <v>2457</v>
      </c>
      <c r="C6984" t="s">
        <v>7830</v>
      </c>
      <c r="D6984" t="s">
        <v>2458</v>
      </c>
      <c r="E6984" t="s">
        <v>7855</v>
      </c>
      <c r="G6984">
        <v>250.96</v>
      </c>
      <c r="I6984">
        <v>250.96</v>
      </c>
      <c r="J6984" t="s">
        <v>2603</v>
      </c>
    </row>
    <row r="6985" spans="1:10" ht="15" customHeight="1" x14ac:dyDescent="0.2">
      <c r="A6985" s="420">
        <v>45966</v>
      </c>
      <c r="B6985" t="s">
        <v>2457</v>
      </c>
      <c r="C6985" t="s">
        <v>7830</v>
      </c>
      <c r="D6985" t="s">
        <v>2474</v>
      </c>
      <c r="E6985" t="s">
        <v>7856</v>
      </c>
      <c r="G6985">
        <v>644.05999999999995</v>
      </c>
      <c r="I6985">
        <v>895.02</v>
      </c>
      <c r="J6985" t="s">
        <v>2603</v>
      </c>
    </row>
    <row r="6986" spans="1:10" ht="15" customHeight="1" x14ac:dyDescent="0.2">
      <c r="A6986" s="420">
        <v>45966</v>
      </c>
      <c r="B6986" t="s">
        <v>2333</v>
      </c>
      <c r="C6986" t="s">
        <v>7830</v>
      </c>
      <c r="D6986" t="s">
        <v>7742</v>
      </c>
      <c r="E6986" t="s">
        <v>7743</v>
      </c>
      <c r="F6986">
        <v>14.31</v>
      </c>
      <c r="I6986">
        <v>880.71</v>
      </c>
      <c r="J6986" t="s">
        <v>2603</v>
      </c>
    </row>
    <row r="6987" spans="1:10" ht="15" customHeight="1" x14ac:dyDescent="0.2">
      <c r="A6987" s="420">
        <v>45966</v>
      </c>
      <c r="B6987" t="s">
        <v>2333</v>
      </c>
      <c r="C6987" t="s">
        <v>7830</v>
      </c>
      <c r="D6987" t="s">
        <v>7744</v>
      </c>
      <c r="E6987" t="s">
        <v>7745</v>
      </c>
      <c r="F6987">
        <v>236.65</v>
      </c>
      <c r="I6987">
        <v>644.05999999999995</v>
      </c>
      <c r="J6987" t="s">
        <v>2603</v>
      </c>
    </row>
    <row r="6988" spans="1:10" ht="15" customHeight="1" x14ac:dyDescent="0.2">
      <c r="A6988" s="420">
        <v>45966</v>
      </c>
      <c r="B6988" t="s">
        <v>2333</v>
      </c>
      <c r="C6988" t="s">
        <v>7830</v>
      </c>
      <c r="D6988" t="s">
        <v>7746</v>
      </c>
      <c r="E6988" t="s">
        <v>7747</v>
      </c>
      <c r="F6988">
        <v>39.1</v>
      </c>
      <c r="I6988">
        <v>604.96</v>
      </c>
      <c r="J6988" t="s">
        <v>2603</v>
      </c>
    </row>
    <row r="6989" spans="1:10" ht="15" customHeight="1" x14ac:dyDescent="0.2">
      <c r="A6989" s="420">
        <v>45966</v>
      </c>
      <c r="B6989" t="s">
        <v>2333</v>
      </c>
      <c r="C6989" t="s">
        <v>7830</v>
      </c>
      <c r="D6989" t="s">
        <v>7748</v>
      </c>
      <c r="E6989" t="s">
        <v>7749</v>
      </c>
      <c r="F6989">
        <v>604.96</v>
      </c>
      <c r="J6989" t="s">
        <v>2603</v>
      </c>
    </row>
    <row r="6990" spans="1:10" ht="15" customHeight="1" x14ac:dyDescent="0.2">
      <c r="A6990" s="420">
        <v>45966</v>
      </c>
      <c r="B6990" t="s">
        <v>2457</v>
      </c>
      <c r="C6990" t="s">
        <v>7830</v>
      </c>
      <c r="D6990" t="s">
        <v>2501</v>
      </c>
      <c r="E6990" t="s">
        <v>7857</v>
      </c>
      <c r="G6990">
        <v>431.99</v>
      </c>
      <c r="I6990">
        <v>431.99</v>
      </c>
      <c r="J6990" t="s">
        <v>2601</v>
      </c>
    </row>
    <row r="6991" spans="1:10" ht="15" customHeight="1" x14ac:dyDescent="0.2">
      <c r="A6991" s="420">
        <v>45967</v>
      </c>
      <c r="B6991" t="s">
        <v>3866</v>
      </c>
      <c r="C6991" t="s">
        <v>7830</v>
      </c>
      <c r="D6991" t="s">
        <v>7799</v>
      </c>
      <c r="E6991" t="s">
        <v>7800</v>
      </c>
      <c r="F6991">
        <v>431.99</v>
      </c>
      <c r="J6991" t="s">
        <v>2601</v>
      </c>
    </row>
    <row r="6992" spans="1:10" ht="15" customHeight="1" x14ac:dyDescent="0.2">
      <c r="A6992" s="420">
        <v>45977</v>
      </c>
      <c r="B6992" t="s">
        <v>2457</v>
      </c>
      <c r="C6992" t="s">
        <v>7830</v>
      </c>
      <c r="D6992" t="s">
        <v>2495</v>
      </c>
      <c r="E6992" t="s">
        <v>7858</v>
      </c>
      <c r="G6992">
        <v>240.75</v>
      </c>
      <c r="I6992">
        <v>240.75</v>
      </c>
      <c r="J6992" t="s">
        <v>2719</v>
      </c>
    </row>
    <row r="6993" spans="1:10" ht="15" customHeight="1" x14ac:dyDescent="0.2">
      <c r="A6993" s="420">
        <v>45977</v>
      </c>
      <c r="B6993" t="s">
        <v>2457</v>
      </c>
      <c r="C6993" t="s">
        <v>7830</v>
      </c>
      <c r="D6993" t="s">
        <v>2489</v>
      </c>
      <c r="E6993" t="s">
        <v>7859</v>
      </c>
      <c r="G6993">
        <v>233.01</v>
      </c>
      <c r="I6993">
        <v>473.76</v>
      </c>
      <c r="J6993" t="s">
        <v>2719</v>
      </c>
    </row>
    <row r="6994" spans="1:10" ht="15" customHeight="1" x14ac:dyDescent="0.2">
      <c r="A6994" s="420">
        <v>45980</v>
      </c>
      <c r="B6994" t="s">
        <v>2555</v>
      </c>
      <c r="C6994" t="s">
        <v>7830</v>
      </c>
      <c r="D6994" t="s">
        <v>7822</v>
      </c>
      <c r="E6994" t="s">
        <v>7823</v>
      </c>
      <c r="F6994">
        <v>240.75</v>
      </c>
      <c r="I6994">
        <v>233.01</v>
      </c>
      <c r="J6994" t="s">
        <v>2719</v>
      </c>
    </row>
    <row r="6995" spans="1:10" ht="15" customHeight="1" x14ac:dyDescent="0.2">
      <c r="A6995" s="420">
        <v>45980</v>
      </c>
      <c r="B6995" t="s">
        <v>2555</v>
      </c>
      <c r="C6995" t="s">
        <v>7830</v>
      </c>
      <c r="D6995" t="s">
        <v>7824</v>
      </c>
      <c r="E6995" t="s">
        <v>7823</v>
      </c>
      <c r="F6995">
        <v>233.01</v>
      </c>
      <c r="J6995" t="s">
        <v>2719</v>
      </c>
    </row>
    <row r="6996" spans="1:10" ht="15" customHeight="1" x14ac:dyDescent="0.2">
      <c r="A6996" s="420">
        <v>45996</v>
      </c>
      <c r="B6996" t="s">
        <v>2457</v>
      </c>
      <c r="C6996" t="s">
        <v>7830</v>
      </c>
      <c r="D6996" t="s">
        <v>2458</v>
      </c>
      <c r="E6996" t="s">
        <v>7860</v>
      </c>
      <c r="G6996">
        <v>250.96</v>
      </c>
      <c r="I6996">
        <v>250.96</v>
      </c>
      <c r="J6996" t="s">
        <v>2605</v>
      </c>
    </row>
    <row r="6997" spans="1:10" ht="15" customHeight="1" x14ac:dyDescent="0.2">
      <c r="A6997" s="420">
        <v>45996</v>
      </c>
      <c r="B6997" t="s">
        <v>2457</v>
      </c>
      <c r="C6997" t="s">
        <v>7830</v>
      </c>
      <c r="D6997" t="s">
        <v>2474</v>
      </c>
      <c r="E6997" t="s">
        <v>7861</v>
      </c>
      <c r="G6997">
        <v>644.05999999999995</v>
      </c>
      <c r="I6997">
        <v>895.02</v>
      </c>
      <c r="J6997" t="s">
        <v>2602</v>
      </c>
    </row>
    <row r="6998" spans="1:10" ht="15" customHeight="1" x14ac:dyDescent="0.2">
      <c r="A6998" s="420">
        <v>45996</v>
      </c>
      <c r="B6998" t="s">
        <v>2333</v>
      </c>
      <c r="C6998" t="s">
        <v>7830</v>
      </c>
      <c r="D6998" t="s">
        <v>7771</v>
      </c>
      <c r="E6998" t="s">
        <v>7772</v>
      </c>
      <c r="F6998">
        <v>14.01</v>
      </c>
      <c r="I6998">
        <v>881.01</v>
      </c>
      <c r="J6998" t="s">
        <v>2605</v>
      </c>
    </row>
    <row r="6999" spans="1:10" ht="15" customHeight="1" x14ac:dyDescent="0.2">
      <c r="A6999" s="420">
        <v>45996</v>
      </c>
      <c r="B6999" t="s">
        <v>2333</v>
      </c>
      <c r="C6999" t="s">
        <v>7830</v>
      </c>
      <c r="D6999" t="s">
        <v>7773</v>
      </c>
      <c r="E6999" t="s">
        <v>7774</v>
      </c>
      <c r="F6999">
        <v>236.95</v>
      </c>
      <c r="I6999">
        <v>644.05999999999995</v>
      </c>
      <c r="J6999" t="s">
        <v>2605</v>
      </c>
    </row>
    <row r="7000" spans="1:10" ht="15" customHeight="1" x14ac:dyDescent="0.2">
      <c r="A7000" s="420">
        <v>45996</v>
      </c>
      <c r="B7000" t="s">
        <v>2333</v>
      </c>
      <c r="C7000" t="s">
        <v>7830</v>
      </c>
      <c r="D7000" t="s">
        <v>7775</v>
      </c>
      <c r="E7000" t="s">
        <v>7776</v>
      </c>
      <c r="F7000">
        <v>38.29</v>
      </c>
      <c r="I7000">
        <v>605.77</v>
      </c>
      <c r="J7000" t="s">
        <v>2602</v>
      </c>
    </row>
    <row r="7001" spans="1:10" ht="15" customHeight="1" x14ac:dyDescent="0.2">
      <c r="A7001" s="420">
        <v>45996</v>
      </c>
      <c r="B7001" t="s">
        <v>2333</v>
      </c>
      <c r="C7001" t="s">
        <v>7830</v>
      </c>
      <c r="D7001" t="s">
        <v>7777</v>
      </c>
      <c r="E7001" t="s">
        <v>7778</v>
      </c>
      <c r="F7001">
        <v>605.77</v>
      </c>
      <c r="J7001" t="s">
        <v>2602</v>
      </c>
    </row>
    <row r="7002" spans="1:10" ht="15" customHeight="1" x14ac:dyDescent="0.2">
      <c r="A7002" s="420">
        <v>45996</v>
      </c>
      <c r="B7002" t="s">
        <v>2457</v>
      </c>
      <c r="C7002" t="s">
        <v>7830</v>
      </c>
      <c r="D7002" t="s">
        <v>2501</v>
      </c>
      <c r="E7002" t="s">
        <v>7862</v>
      </c>
      <c r="G7002">
        <v>452.1</v>
      </c>
      <c r="I7002">
        <v>452.1</v>
      </c>
      <c r="J7002" t="s">
        <v>2727</v>
      </c>
    </row>
    <row r="7003" spans="1:10" ht="15" customHeight="1" x14ac:dyDescent="0.2">
      <c r="A7003" s="420">
        <v>45997</v>
      </c>
      <c r="B7003" t="s">
        <v>3866</v>
      </c>
      <c r="C7003" t="s">
        <v>7830</v>
      </c>
      <c r="D7003" t="s">
        <v>7802</v>
      </c>
      <c r="E7003" t="s">
        <v>7800</v>
      </c>
      <c r="F7003">
        <v>452.11</v>
      </c>
      <c r="H7003">
        <v>0.01</v>
      </c>
      <c r="J7003" t="s">
        <v>2727</v>
      </c>
    </row>
    <row r="7004" spans="1:10" ht="15" customHeight="1" x14ac:dyDescent="0.2">
      <c r="A7004" s="420">
        <v>46007</v>
      </c>
      <c r="B7004" t="s">
        <v>2457</v>
      </c>
      <c r="C7004" t="s">
        <v>7830</v>
      </c>
      <c r="D7004" t="s">
        <v>2495</v>
      </c>
      <c r="E7004" t="s">
        <v>7863</v>
      </c>
      <c r="G7004">
        <v>240.73</v>
      </c>
      <c r="I7004">
        <v>240.72</v>
      </c>
      <c r="J7004" t="s">
        <v>2727</v>
      </c>
    </row>
    <row r="7005" spans="1:10" ht="15" customHeight="1" x14ac:dyDescent="0.2">
      <c r="A7005" s="420">
        <v>46007</v>
      </c>
      <c r="B7005" t="s">
        <v>2457</v>
      </c>
      <c r="C7005" t="s">
        <v>7830</v>
      </c>
      <c r="D7005" t="s">
        <v>2489</v>
      </c>
      <c r="E7005" t="s">
        <v>7864</v>
      </c>
      <c r="G7005">
        <v>233.01</v>
      </c>
      <c r="I7005">
        <v>473.73</v>
      </c>
      <c r="J7005" t="s">
        <v>2727</v>
      </c>
    </row>
    <row r="7006" spans="1:10" ht="15" customHeight="1" x14ac:dyDescent="0.2">
      <c r="A7006" s="420">
        <v>46009</v>
      </c>
      <c r="B7006" t="s">
        <v>2555</v>
      </c>
      <c r="C7006" t="s">
        <v>7830</v>
      </c>
      <c r="D7006" t="s">
        <v>7826</v>
      </c>
      <c r="E7006" t="s">
        <v>7823</v>
      </c>
      <c r="F7006">
        <v>240.75</v>
      </c>
      <c r="I7006">
        <v>232.98</v>
      </c>
      <c r="J7006" t="s">
        <v>2727</v>
      </c>
    </row>
    <row r="7007" spans="1:10" ht="15" customHeight="1" x14ac:dyDescent="0.2">
      <c r="A7007" s="420">
        <v>46009</v>
      </c>
      <c r="B7007" t="s">
        <v>2555</v>
      </c>
      <c r="C7007" t="s">
        <v>7830</v>
      </c>
      <c r="D7007" t="s">
        <v>7827</v>
      </c>
      <c r="E7007" t="s">
        <v>7823</v>
      </c>
      <c r="F7007">
        <v>233.01</v>
      </c>
      <c r="H7007">
        <v>0.03</v>
      </c>
      <c r="J7007" t="s">
        <v>2727</v>
      </c>
    </row>
    <row r="7008" spans="1:10" ht="15" customHeight="1" x14ac:dyDescent="0.2">
      <c r="A7008" s="420">
        <v>46009</v>
      </c>
      <c r="B7008" t="s">
        <v>2517</v>
      </c>
      <c r="C7008" t="s">
        <v>7830</v>
      </c>
      <c r="D7008" t="s">
        <v>7865</v>
      </c>
      <c r="E7008" t="s">
        <v>2067</v>
      </c>
      <c r="G7008">
        <v>0.03</v>
      </c>
      <c r="J7008" t="s">
        <v>2727</v>
      </c>
    </row>
    <row r="7009" spans="1:10" ht="15" customHeight="1" x14ac:dyDescent="0.2">
      <c r="A7009" t="s">
        <v>7830</v>
      </c>
      <c r="E7009" t="s">
        <v>349</v>
      </c>
      <c r="F7009">
        <v>53371.53</v>
      </c>
      <c r="G7009">
        <v>53371.53</v>
      </c>
    </row>
    <row r="7011" spans="1:10" ht="15" customHeight="1" x14ac:dyDescent="0.2">
      <c r="A7011" t="s">
        <v>1061</v>
      </c>
      <c r="B7011" t="s">
        <v>1062</v>
      </c>
      <c r="F7011" t="s">
        <v>2430</v>
      </c>
      <c r="G7011" t="s">
        <v>2431</v>
      </c>
      <c r="H7011" t="s">
        <v>2432</v>
      </c>
      <c r="I7011" t="s">
        <v>2433</v>
      </c>
      <c r="J7011" t="s">
        <v>2434</v>
      </c>
    </row>
    <row r="7012" spans="1:10" ht="15" customHeight="1" x14ac:dyDescent="0.2">
      <c r="A7012" s="420">
        <v>45658</v>
      </c>
      <c r="B7012" t="s">
        <v>2547</v>
      </c>
      <c r="C7012" t="s">
        <v>1061</v>
      </c>
      <c r="D7012" t="s">
        <v>4180</v>
      </c>
      <c r="E7012" t="s">
        <v>1063</v>
      </c>
      <c r="F7012">
        <v>45</v>
      </c>
      <c r="H7012">
        <v>45</v>
      </c>
    </row>
    <row r="7013" spans="1:10" ht="15" customHeight="1" x14ac:dyDescent="0.2">
      <c r="A7013" s="420">
        <v>45658</v>
      </c>
      <c r="B7013" t="s">
        <v>2547</v>
      </c>
      <c r="C7013" t="s">
        <v>1061</v>
      </c>
      <c r="D7013" t="s">
        <v>4181</v>
      </c>
      <c r="E7013" t="s">
        <v>1064</v>
      </c>
      <c r="F7013">
        <v>85</v>
      </c>
      <c r="H7013">
        <v>130</v>
      </c>
    </row>
    <row r="7014" spans="1:10" ht="15" customHeight="1" x14ac:dyDescent="0.2">
      <c r="A7014" s="420">
        <v>45658</v>
      </c>
      <c r="B7014" t="s">
        <v>2547</v>
      </c>
      <c r="C7014" t="s">
        <v>1061</v>
      </c>
      <c r="D7014" t="s">
        <v>4182</v>
      </c>
      <c r="E7014" t="s">
        <v>1065</v>
      </c>
      <c r="F7014">
        <v>85</v>
      </c>
      <c r="H7014">
        <v>215</v>
      </c>
    </row>
    <row r="7015" spans="1:10" ht="15" customHeight="1" x14ac:dyDescent="0.2">
      <c r="A7015" s="420">
        <v>45688</v>
      </c>
      <c r="B7015" t="s">
        <v>2532</v>
      </c>
      <c r="C7015" t="s">
        <v>1061</v>
      </c>
      <c r="D7015" t="s">
        <v>4187</v>
      </c>
      <c r="E7015" t="s">
        <v>1075</v>
      </c>
      <c r="F7015">
        <v>250</v>
      </c>
      <c r="H7015">
        <v>465</v>
      </c>
    </row>
    <row r="7016" spans="1:10" ht="15" customHeight="1" x14ac:dyDescent="0.2">
      <c r="A7016" s="420">
        <v>45688</v>
      </c>
      <c r="B7016" t="s">
        <v>2532</v>
      </c>
      <c r="C7016" t="s">
        <v>1061</v>
      </c>
      <c r="D7016" t="s">
        <v>4188</v>
      </c>
      <c r="E7016" t="s">
        <v>1076</v>
      </c>
      <c r="F7016">
        <v>670.27</v>
      </c>
      <c r="H7016">
        <v>1135.27</v>
      </c>
    </row>
    <row r="7017" spans="1:10" ht="15" customHeight="1" x14ac:dyDescent="0.2">
      <c r="A7017" s="420">
        <v>45688</v>
      </c>
      <c r="B7017" t="s">
        <v>2532</v>
      </c>
      <c r="C7017" t="s">
        <v>1061</v>
      </c>
      <c r="D7017" t="s">
        <v>4189</v>
      </c>
      <c r="E7017" t="s">
        <v>1077</v>
      </c>
      <c r="F7017">
        <v>400</v>
      </c>
      <c r="H7017">
        <v>1535.27</v>
      </c>
    </row>
    <row r="7018" spans="1:10" ht="15" customHeight="1" x14ac:dyDescent="0.2">
      <c r="A7018" s="420">
        <v>45688</v>
      </c>
      <c r="B7018" t="s">
        <v>2532</v>
      </c>
      <c r="C7018" t="s">
        <v>1061</v>
      </c>
      <c r="D7018" t="s">
        <v>4190</v>
      </c>
      <c r="E7018" t="s">
        <v>1078</v>
      </c>
      <c r="F7018">
        <v>250</v>
      </c>
      <c r="H7018">
        <v>1785.27</v>
      </c>
    </row>
    <row r="7019" spans="1:10" ht="15" customHeight="1" x14ac:dyDescent="0.2">
      <c r="A7019" s="420">
        <v>45716</v>
      </c>
      <c r="B7019" t="s">
        <v>2532</v>
      </c>
      <c r="C7019" t="s">
        <v>1061</v>
      </c>
      <c r="D7019" t="s">
        <v>4199</v>
      </c>
      <c r="E7019" t="s">
        <v>1080</v>
      </c>
      <c r="F7019">
        <v>45</v>
      </c>
      <c r="H7019">
        <v>1830.27</v>
      </c>
    </row>
    <row r="7020" spans="1:10" ht="15" customHeight="1" x14ac:dyDescent="0.2">
      <c r="A7020" s="420">
        <v>45716</v>
      </c>
      <c r="B7020" t="s">
        <v>2532</v>
      </c>
      <c r="C7020" t="s">
        <v>1061</v>
      </c>
      <c r="D7020" t="s">
        <v>4200</v>
      </c>
      <c r="E7020" t="s">
        <v>1081</v>
      </c>
      <c r="F7020">
        <v>60</v>
      </c>
      <c r="H7020">
        <v>1890.27</v>
      </c>
    </row>
    <row r="7021" spans="1:10" ht="15" customHeight="1" x14ac:dyDescent="0.2">
      <c r="A7021" s="420">
        <v>45716</v>
      </c>
      <c r="B7021" t="s">
        <v>2532</v>
      </c>
      <c r="C7021" t="s">
        <v>1061</v>
      </c>
      <c r="D7021" t="s">
        <v>4201</v>
      </c>
      <c r="E7021" t="s">
        <v>1082</v>
      </c>
      <c r="F7021">
        <v>670.27</v>
      </c>
      <c r="H7021">
        <v>2560.54</v>
      </c>
    </row>
    <row r="7022" spans="1:10" ht="15" customHeight="1" x14ac:dyDescent="0.2">
      <c r="A7022" s="420">
        <v>45716</v>
      </c>
      <c r="B7022" t="s">
        <v>2532</v>
      </c>
      <c r="C7022" t="s">
        <v>1061</v>
      </c>
      <c r="D7022" t="s">
        <v>4202</v>
      </c>
      <c r="E7022" t="s">
        <v>1083</v>
      </c>
      <c r="F7022">
        <v>250</v>
      </c>
      <c r="H7022">
        <v>2810.54</v>
      </c>
    </row>
    <row r="7023" spans="1:10" ht="15" customHeight="1" x14ac:dyDescent="0.2">
      <c r="A7023" s="420">
        <v>45716</v>
      </c>
      <c r="B7023" t="s">
        <v>2532</v>
      </c>
      <c r="C7023" t="s">
        <v>1061</v>
      </c>
      <c r="D7023" t="s">
        <v>4203</v>
      </c>
      <c r="E7023" t="s">
        <v>1084</v>
      </c>
      <c r="F7023">
        <v>220.13</v>
      </c>
      <c r="H7023">
        <v>3030.67</v>
      </c>
    </row>
    <row r="7024" spans="1:10" ht="15" customHeight="1" x14ac:dyDescent="0.2">
      <c r="A7024" s="420">
        <v>45747</v>
      </c>
      <c r="B7024" t="s">
        <v>2532</v>
      </c>
      <c r="C7024" t="s">
        <v>1061</v>
      </c>
      <c r="D7024" t="s">
        <v>4209</v>
      </c>
      <c r="E7024" t="s">
        <v>1091</v>
      </c>
      <c r="F7024">
        <v>106</v>
      </c>
      <c r="H7024">
        <v>3136.67</v>
      </c>
    </row>
    <row r="7025" spans="1:8" ht="15" customHeight="1" x14ac:dyDescent="0.2">
      <c r="A7025" s="420">
        <v>45747</v>
      </c>
      <c r="B7025" t="s">
        <v>2532</v>
      </c>
      <c r="C7025" t="s">
        <v>1061</v>
      </c>
      <c r="D7025" t="s">
        <v>4210</v>
      </c>
      <c r="E7025" t="s">
        <v>1092</v>
      </c>
      <c r="F7025">
        <v>670.27</v>
      </c>
      <c r="H7025">
        <v>3806.94</v>
      </c>
    </row>
    <row r="7026" spans="1:8" ht="15" customHeight="1" x14ac:dyDescent="0.2">
      <c r="A7026" s="420">
        <v>45777</v>
      </c>
      <c r="B7026" t="s">
        <v>2532</v>
      </c>
      <c r="C7026" t="s">
        <v>1061</v>
      </c>
      <c r="D7026" t="s">
        <v>4215</v>
      </c>
      <c r="E7026" t="s">
        <v>1100</v>
      </c>
      <c r="F7026">
        <v>670.27</v>
      </c>
      <c r="H7026">
        <v>4477.21</v>
      </c>
    </row>
    <row r="7027" spans="1:8" ht="15" customHeight="1" x14ac:dyDescent="0.2">
      <c r="A7027" s="420">
        <v>45777</v>
      </c>
      <c r="B7027" t="s">
        <v>2532</v>
      </c>
      <c r="C7027" t="s">
        <v>1061</v>
      </c>
      <c r="D7027" t="s">
        <v>4216</v>
      </c>
      <c r="E7027" t="s">
        <v>1101</v>
      </c>
      <c r="F7027">
        <v>220.13</v>
      </c>
      <c r="H7027">
        <v>4697.34</v>
      </c>
    </row>
    <row r="7028" spans="1:8" ht="15" customHeight="1" x14ac:dyDescent="0.2">
      <c r="A7028" s="420">
        <v>45777</v>
      </c>
      <c r="B7028" t="s">
        <v>2532</v>
      </c>
      <c r="C7028" t="s">
        <v>1061</v>
      </c>
      <c r="D7028" t="s">
        <v>4217</v>
      </c>
      <c r="E7028" t="s">
        <v>1102</v>
      </c>
      <c r="F7028">
        <v>670.27</v>
      </c>
      <c r="H7028">
        <v>5367.61</v>
      </c>
    </row>
    <row r="7029" spans="1:8" ht="15" customHeight="1" x14ac:dyDescent="0.2">
      <c r="A7029" s="420">
        <v>45839</v>
      </c>
      <c r="B7029" t="s">
        <v>2532</v>
      </c>
      <c r="C7029" t="s">
        <v>1061</v>
      </c>
      <c r="D7029" t="s">
        <v>4229</v>
      </c>
      <c r="E7029" t="s">
        <v>1111</v>
      </c>
      <c r="F7029">
        <v>670.27</v>
      </c>
      <c r="H7029">
        <v>6037.88</v>
      </c>
    </row>
    <row r="7030" spans="1:8" ht="15" customHeight="1" x14ac:dyDescent="0.2">
      <c r="A7030" s="420">
        <v>45839</v>
      </c>
      <c r="B7030" t="s">
        <v>2547</v>
      </c>
      <c r="C7030" t="s">
        <v>1061</v>
      </c>
      <c r="D7030" t="s">
        <v>4230</v>
      </c>
      <c r="E7030" t="s">
        <v>1111</v>
      </c>
      <c r="F7030">
        <v>45</v>
      </c>
      <c r="H7030">
        <v>6082.88</v>
      </c>
    </row>
    <row r="7031" spans="1:8" ht="15" customHeight="1" x14ac:dyDescent="0.2">
      <c r="A7031" s="420">
        <v>45839</v>
      </c>
      <c r="B7031" t="s">
        <v>2547</v>
      </c>
      <c r="C7031" t="s">
        <v>1061</v>
      </c>
      <c r="D7031" t="s">
        <v>4231</v>
      </c>
      <c r="E7031" t="s">
        <v>1111</v>
      </c>
      <c r="F7031">
        <v>60</v>
      </c>
      <c r="H7031">
        <v>6142.88</v>
      </c>
    </row>
    <row r="7032" spans="1:8" ht="15" customHeight="1" x14ac:dyDescent="0.2">
      <c r="A7032" s="420">
        <v>45839</v>
      </c>
      <c r="B7032" t="s">
        <v>2547</v>
      </c>
      <c r="C7032" t="s">
        <v>1061</v>
      </c>
      <c r="D7032" t="s">
        <v>4232</v>
      </c>
      <c r="E7032" t="s">
        <v>1111</v>
      </c>
      <c r="F7032">
        <v>670.27</v>
      </c>
      <c r="H7032">
        <v>6813.15</v>
      </c>
    </row>
    <row r="7033" spans="1:8" ht="15" customHeight="1" x14ac:dyDescent="0.2">
      <c r="A7033" s="420">
        <v>45839</v>
      </c>
      <c r="B7033" t="s">
        <v>2547</v>
      </c>
      <c r="C7033" t="s">
        <v>1061</v>
      </c>
      <c r="D7033" t="s">
        <v>4233</v>
      </c>
      <c r="E7033" t="s">
        <v>1111</v>
      </c>
      <c r="F7033">
        <v>670.27</v>
      </c>
      <c r="H7033">
        <v>7483.42</v>
      </c>
    </row>
    <row r="7034" spans="1:8" ht="15" customHeight="1" x14ac:dyDescent="0.2">
      <c r="A7034" s="420">
        <v>45839</v>
      </c>
      <c r="B7034" t="s">
        <v>2547</v>
      </c>
      <c r="C7034" t="s">
        <v>1061</v>
      </c>
      <c r="D7034" t="s">
        <v>4234</v>
      </c>
      <c r="E7034" t="s">
        <v>1111</v>
      </c>
      <c r="F7034">
        <v>670.27</v>
      </c>
      <c r="H7034">
        <v>8153.69</v>
      </c>
    </row>
    <row r="7035" spans="1:8" ht="15" customHeight="1" x14ac:dyDescent="0.2">
      <c r="A7035" s="420">
        <v>45839</v>
      </c>
      <c r="B7035" t="s">
        <v>2547</v>
      </c>
      <c r="C7035" t="s">
        <v>1061</v>
      </c>
      <c r="D7035" t="s">
        <v>4235</v>
      </c>
      <c r="E7035" t="s">
        <v>1111</v>
      </c>
      <c r="F7035">
        <v>670.27</v>
      </c>
      <c r="H7035">
        <v>8823.9599999999991</v>
      </c>
    </row>
    <row r="7036" spans="1:8" ht="15" customHeight="1" x14ac:dyDescent="0.2">
      <c r="A7036" s="420">
        <v>45839</v>
      </c>
      <c r="B7036" t="s">
        <v>2547</v>
      </c>
      <c r="C7036" t="s">
        <v>1061</v>
      </c>
      <c r="D7036" t="s">
        <v>4236</v>
      </c>
      <c r="E7036" t="s">
        <v>1111</v>
      </c>
      <c r="F7036">
        <v>670.27</v>
      </c>
      <c r="H7036">
        <v>9494.23</v>
      </c>
    </row>
    <row r="7037" spans="1:8" ht="15" customHeight="1" x14ac:dyDescent="0.2">
      <c r="A7037" s="420">
        <v>45839</v>
      </c>
      <c r="B7037" t="s">
        <v>2547</v>
      </c>
      <c r="C7037" t="s">
        <v>1061</v>
      </c>
      <c r="D7037" t="s">
        <v>4237</v>
      </c>
      <c r="E7037" t="s">
        <v>1111</v>
      </c>
      <c r="F7037">
        <v>670.27</v>
      </c>
      <c r="H7037">
        <v>10164.5</v>
      </c>
    </row>
    <row r="7038" spans="1:8" ht="15" customHeight="1" x14ac:dyDescent="0.2">
      <c r="A7038" s="420">
        <v>45839</v>
      </c>
      <c r="B7038" t="s">
        <v>2547</v>
      </c>
      <c r="C7038" t="s">
        <v>1061</v>
      </c>
      <c r="D7038" t="s">
        <v>4238</v>
      </c>
      <c r="E7038" t="s">
        <v>1112</v>
      </c>
      <c r="F7038">
        <v>106</v>
      </c>
      <c r="H7038">
        <v>10270.5</v>
      </c>
    </row>
    <row r="7039" spans="1:8" ht="15" customHeight="1" x14ac:dyDescent="0.2">
      <c r="A7039" s="420">
        <v>45839</v>
      </c>
      <c r="B7039" t="s">
        <v>2547</v>
      </c>
      <c r="C7039" t="s">
        <v>1061</v>
      </c>
      <c r="D7039" t="s">
        <v>4239</v>
      </c>
      <c r="E7039" t="s">
        <v>1113</v>
      </c>
      <c r="F7039">
        <v>250</v>
      </c>
      <c r="H7039">
        <v>10520.5</v>
      </c>
    </row>
    <row r="7040" spans="1:8" ht="15" customHeight="1" x14ac:dyDescent="0.2">
      <c r="A7040" s="420">
        <v>45839</v>
      </c>
      <c r="B7040" t="s">
        <v>2547</v>
      </c>
      <c r="C7040" t="s">
        <v>1061</v>
      </c>
      <c r="D7040" t="s">
        <v>4240</v>
      </c>
      <c r="E7040" t="s">
        <v>1114</v>
      </c>
      <c r="F7040">
        <v>670.27</v>
      </c>
      <c r="H7040">
        <v>11190.77</v>
      </c>
    </row>
    <row r="7041" spans="1:8" ht="15" customHeight="1" x14ac:dyDescent="0.2">
      <c r="A7041" s="420">
        <v>45839</v>
      </c>
      <c r="B7041" t="s">
        <v>2547</v>
      </c>
      <c r="C7041" t="s">
        <v>1061</v>
      </c>
      <c r="D7041" t="s">
        <v>4241</v>
      </c>
      <c r="E7041" t="s">
        <v>1115</v>
      </c>
      <c r="F7041">
        <v>106</v>
      </c>
      <c r="H7041">
        <v>11296.77</v>
      </c>
    </row>
    <row r="7042" spans="1:8" ht="15" customHeight="1" x14ac:dyDescent="0.2">
      <c r="A7042" s="420">
        <v>45839</v>
      </c>
      <c r="B7042" t="s">
        <v>2547</v>
      </c>
      <c r="C7042" t="s">
        <v>1061</v>
      </c>
      <c r="D7042" t="s">
        <v>4242</v>
      </c>
      <c r="E7042" t="s">
        <v>1116</v>
      </c>
      <c r="F7042">
        <v>670.27</v>
      </c>
      <c r="H7042">
        <v>11967.04</v>
      </c>
    </row>
    <row r="7043" spans="1:8" ht="15" customHeight="1" x14ac:dyDescent="0.2">
      <c r="A7043" s="420">
        <v>45839</v>
      </c>
      <c r="B7043" t="s">
        <v>2547</v>
      </c>
      <c r="C7043" t="s">
        <v>1061</v>
      </c>
      <c r="D7043" t="s">
        <v>4243</v>
      </c>
      <c r="E7043" t="s">
        <v>1117</v>
      </c>
      <c r="F7043">
        <v>45</v>
      </c>
      <c r="H7043">
        <v>12012.04</v>
      </c>
    </row>
    <row r="7044" spans="1:8" ht="15" customHeight="1" x14ac:dyDescent="0.2">
      <c r="A7044" s="420">
        <v>45846</v>
      </c>
      <c r="B7044" t="s">
        <v>2532</v>
      </c>
      <c r="C7044" t="s">
        <v>1061</v>
      </c>
      <c r="D7044" t="s">
        <v>2608</v>
      </c>
      <c r="E7044" t="s">
        <v>1121</v>
      </c>
      <c r="F7044">
        <v>600</v>
      </c>
      <c r="H7044">
        <v>12612.04</v>
      </c>
    </row>
    <row r="7045" spans="1:8" ht="15" customHeight="1" x14ac:dyDescent="0.2">
      <c r="A7045" s="420">
        <v>45869</v>
      </c>
      <c r="B7045" t="s">
        <v>2532</v>
      </c>
      <c r="C7045" t="s">
        <v>1061</v>
      </c>
      <c r="D7045" t="s">
        <v>4246</v>
      </c>
      <c r="E7045" t="s">
        <v>1123</v>
      </c>
      <c r="F7045">
        <v>670.27</v>
      </c>
      <c r="H7045">
        <v>13282.31</v>
      </c>
    </row>
    <row r="7046" spans="1:8" ht="15" customHeight="1" x14ac:dyDescent="0.2">
      <c r="A7046" s="420">
        <v>45869</v>
      </c>
      <c r="B7046" t="s">
        <v>2532</v>
      </c>
      <c r="C7046" t="s">
        <v>1061</v>
      </c>
      <c r="D7046" t="s">
        <v>4247</v>
      </c>
      <c r="E7046" t="s">
        <v>1124</v>
      </c>
      <c r="F7046">
        <v>45</v>
      </c>
      <c r="H7046">
        <v>13327.31</v>
      </c>
    </row>
    <row r="7047" spans="1:8" ht="15" customHeight="1" x14ac:dyDescent="0.2">
      <c r="A7047" s="420">
        <v>45869</v>
      </c>
      <c r="B7047" t="s">
        <v>2532</v>
      </c>
      <c r="C7047" t="s">
        <v>1061</v>
      </c>
      <c r="D7047" t="s">
        <v>4248</v>
      </c>
      <c r="E7047" t="s">
        <v>1125</v>
      </c>
      <c r="F7047">
        <v>670.27</v>
      </c>
      <c r="H7047">
        <v>13997.58</v>
      </c>
    </row>
    <row r="7048" spans="1:8" ht="15" customHeight="1" x14ac:dyDescent="0.2">
      <c r="A7048" s="420">
        <v>45869</v>
      </c>
      <c r="B7048" t="s">
        <v>2532</v>
      </c>
      <c r="C7048" t="s">
        <v>1061</v>
      </c>
      <c r="D7048" t="s">
        <v>4249</v>
      </c>
      <c r="E7048" t="s">
        <v>1126</v>
      </c>
      <c r="F7048">
        <v>670.27</v>
      </c>
      <c r="H7048">
        <v>14667.85</v>
      </c>
    </row>
    <row r="7049" spans="1:8" ht="15" customHeight="1" x14ac:dyDescent="0.2">
      <c r="A7049" s="420">
        <v>45869</v>
      </c>
      <c r="B7049" t="s">
        <v>2532</v>
      </c>
      <c r="C7049" t="s">
        <v>1061</v>
      </c>
      <c r="D7049" t="s">
        <v>4250</v>
      </c>
      <c r="E7049" t="s">
        <v>1127</v>
      </c>
      <c r="F7049">
        <v>45</v>
      </c>
      <c r="H7049">
        <v>14712.85</v>
      </c>
    </row>
    <row r="7050" spans="1:8" ht="15" customHeight="1" x14ac:dyDescent="0.2">
      <c r="A7050" s="420">
        <v>45869</v>
      </c>
      <c r="B7050" t="s">
        <v>2532</v>
      </c>
      <c r="C7050" t="s">
        <v>1061</v>
      </c>
      <c r="D7050" t="s">
        <v>4251</v>
      </c>
      <c r="E7050" t="s">
        <v>1128</v>
      </c>
      <c r="F7050">
        <v>45</v>
      </c>
      <c r="H7050">
        <v>14757.85</v>
      </c>
    </row>
    <row r="7051" spans="1:8" ht="15" customHeight="1" x14ac:dyDescent="0.2">
      <c r="A7051" s="420">
        <v>45869</v>
      </c>
      <c r="B7051" t="s">
        <v>2532</v>
      </c>
      <c r="C7051" t="s">
        <v>1061</v>
      </c>
      <c r="D7051" t="s">
        <v>4252</v>
      </c>
      <c r="E7051" t="s">
        <v>1129</v>
      </c>
      <c r="F7051">
        <v>106</v>
      </c>
      <c r="H7051">
        <v>14863.85</v>
      </c>
    </row>
    <row r="7052" spans="1:8" ht="15" customHeight="1" x14ac:dyDescent="0.2">
      <c r="A7052" s="420">
        <v>45869</v>
      </c>
      <c r="B7052" t="s">
        <v>2532</v>
      </c>
      <c r="C7052" t="s">
        <v>1061</v>
      </c>
      <c r="D7052" t="s">
        <v>4253</v>
      </c>
      <c r="E7052" t="s">
        <v>1130</v>
      </c>
      <c r="F7052">
        <v>106</v>
      </c>
      <c r="H7052">
        <v>14969.85</v>
      </c>
    </row>
    <row r="7053" spans="1:8" ht="15" customHeight="1" x14ac:dyDescent="0.2">
      <c r="A7053" s="420">
        <v>45869</v>
      </c>
      <c r="B7053" t="s">
        <v>2532</v>
      </c>
      <c r="C7053" t="s">
        <v>1061</v>
      </c>
      <c r="D7053" t="s">
        <v>4254</v>
      </c>
      <c r="E7053" t="s">
        <v>1131</v>
      </c>
      <c r="F7053">
        <v>670.27</v>
      </c>
      <c r="H7053">
        <v>15640.12</v>
      </c>
    </row>
    <row r="7054" spans="1:8" ht="15" customHeight="1" x14ac:dyDescent="0.2">
      <c r="A7054" s="420">
        <v>45869</v>
      </c>
      <c r="B7054" t="s">
        <v>2532</v>
      </c>
      <c r="C7054" t="s">
        <v>1061</v>
      </c>
      <c r="D7054" t="s">
        <v>4255</v>
      </c>
      <c r="E7054" t="s">
        <v>1132</v>
      </c>
      <c r="F7054">
        <v>106</v>
      </c>
      <c r="H7054">
        <v>15746.12</v>
      </c>
    </row>
    <row r="7055" spans="1:8" ht="15" customHeight="1" x14ac:dyDescent="0.2">
      <c r="A7055" s="420">
        <v>45910</v>
      </c>
      <c r="B7055" t="s">
        <v>2532</v>
      </c>
      <c r="C7055" t="s">
        <v>1061</v>
      </c>
      <c r="D7055" t="s">
        <v>4261</v>
      </c>
      <c r="E7055" t="s">
        <v>1135</v>
      </c>
      <c r="F7055">
        <v>200</v>
      </c>
      <c r="H7055">
        <v>15946.12</v>
      </c>
    </row>
    <row r="7056" spans="1:8" ht="15" customHeight="1" x14ac:dyDescent="0.2">
      <c r="A7056" s="420">
        <v>45930</v>
      </c>
      <c r="B7056" t="s">
        <v>2532</v>
      </c>
      <c r="C7056" t="s">
        <v>1061</v>
      </c>
      <c r="D7056" t="s">
        <v>4266</v>
      </c>
      <c r="E7056" t="s">
        <v>1136</v>
      </c>
      <c r="F7056">
        <v>670.27</v>
      </c>
      <c r="H7056">
        <v>16616.39</v>
      </c>
    </row>
    <row r="7057" spans="1:10" ht="15" customHeight="1" x14ac:dyDescent="0.2">
      <c r="A7057" s="420">
        <v>45930</v>
      </c>
      <c r="B7057" t="s">
        <v>2532</v>
      </c>
      <c r="C7057" t="s">
        <v>1061</v>
      </c>
      <c r="D7057" t="s">
        <v>4267</v>
      </c>
      <c r="E7057" t="s">
        <v>1137</v>
      </c>
      <c r="F7057">
        <v>670.27</v>
      </c>
      <c r="H7057">
        <v>17286.66</v>
      </c>
    </row>
    <row r="7058" spans="1:10" ht="15" customHeight="1" x14ac:dyDescent="0.2">
      <c r="A7058" s="420">
        <v>45930</v>
      </c>
      <c r="B7058" t="s">
        <v>2532</v>
      </c>
      <c r="C7058" t="s">
        <v>1061</v>
      </c>
      <c r="D7058" t="s">
        <v>4268</v>
      </c>
      <c r="E7058" t="s">
        <v>1138</v>
      </c>
      <c r="F7058">
        <v>45</v>
      </c>
      <c r="H7058">
        <v>17331.66</v>
      </c>
    </row>
    <row r="7059" spans="1:10" ht="15" customHeight="1" x14ac:dyDescent="0.2">
      <c r="A7059" s="420">
        <v>45961</v>
      </c>
      <c r="B7059" t="s">
        <v>2532</v>
      </c>
      <c r="C7059" t="s">
        <v>1061</v>
      </c>
      <c r="D7059" t="s">
        <v>4274</v>
      </c>
      <c r="E7059" t="s">
        <v>1143</v>
      </c>
      <c r="F7059">
        <v>85</v>
      </c>
      <c r="H7059">
        <v>17416.66</v>
      </c>
    </row>
    <row r="7060" spans="1:10" ht="15" customHeight="1" x14ac:dyDescent="0.2">
      <c r="A7060" s="420">
        <v>45961</v>
      </c>
      <c r="B7060" t="s">
        <v>2532</v>
      </c>
      <c r="C7060" t="s">
        <v>1061</v>
      </c>
      <c r="D7060" t="s">
        <v>4275</v>
      </c>
      <c r="E7060" t="s">
        <v>1144</v>
      </c>
      <c r="F7060">
        <v>85</v>
      </c>
      <c r="H7060">
        <v>17501.66</v>
      </c>
    </row>
    <row r="7061" spans="1:10" ht="15" customHeight="1" x14ac:dyDescent="0.2">
      <c r="A7061" s="420">
        <v>45961</v>
      </c>
      <c r="B7061" t="s">
        <v>2532</v>
      </c>
      <c r="C7061" t="s">
        <v>1061</v>
      </c>
      <c r="D7061" t="s">
        <v>4276</v>
      </c>
      <c r="E7061" t="s">
        <v>1145</v>
      </c>
      <c r="F7061">
        <v>85</v>
      </c>
      <c r="H7061">
        <v>17586.66</v>
      </c>
    </row>
    <row r="7062" spans="1:10" ht="15" customHeight="1" x14ac:dyDescent="0.2">
      <c r="A7062" s="420">
        <v>45961</v>
      </c>
      <c r="B7062" t="s">
        <v>2532</v>
      </c>
      <c r="C7062" t="s">
        <v>1061</v>
      </c>
      <c r="D7062" t="s">
        <v>4277</v>
      </c>
      <c r="E7062" t="s">
        <v>1146</v>
      </c>
      <c r="F7062">
        <v>45</v>
      </c>
      <c r="H7062">
        <v>17631.66</v>
      </c>
    </row>
    <row r="7063" spans="1:10" ht="15" customHeight="1" x14ac:dyDescent="0.2">
      <c r="A7063" s="420">
        <v>45961</v>
      </c>
      <c r="B7063" t="s">
        <v>2532</v>
      </c>
      <c r="C7063" t="s">
        <v>1061</v>
      </c>
      <c r="D7063" t="s">
        <v>4278</v>
      </c>
      <c r="E7063" t="s">
        <v>1147</v>
      </c>
      <c r="F7063">
        <v>85</v>
      </c>
      <c r="H7063">
        <v>17716.66</v>
      </c>
    </row>
    <row r="7064" spans="1:10" ht="15" customHeight="1" x14ac:dyDescent="0.2">
      <c r="A7064" s="420">
        <v>45961</v>
      </c>
      <c r="B7064" t="s">
        <v>2532</v>
      </c>
      <c r="C7064" t="s">
        <v>1061</v>
      </c>
      <c r="D7064" t="s">
        <v>4279</v>
      </c>
      <c r="E7064" t="s">
        <v>1148</v>
      </c>
      <c r="F7064">
        <v>85</v>
      </c>
      <c r="H7064">
        <v>17801.66</v>
      </c>
    </row>
    <row r="7065" spans="1:10" ht="15" customHeight="1" x14ac:dyDescent="0.2">
      <c r="A7065" s="420">
        <v>45961</v>
      </c>
      <c r="B7065" t="s">
        <v>2532</v>
      </c>
      <c r="C7065" t="s">
        <v>1061</v>
      </c>
      <c r="D7065" t="s">
        <v>4280</v>
      </c>
      <c r="E7065" t="s">
        <v>1149</v>
      </c>
      <c r="F7065">
        <v>106</v>
      </c>
      <c r="H7065">
        <v>17907.66</v>
      </c>
    </row>
    <row r="7066" spans="1:10" ht="15" customHeight="1" x14ac:dyDescent="0.2">
      <c r="A7066" t="s">
        <v>1061</v>
      </c>
      <c r="E7066" t="s">
        <v>349</v>
      </c>
      <c r="F7066">
        <v>17907.66</v>
      </c>
      <c r="H7066">
        <v>17907.66</v>
      </c>
    </row>
    <row r="7068" spans="1:10" ht="15" customHeight="1" x14ac:dyDescent="0.2">
      <c r="A7068" t="s">
        <v>7866</v>
      </c>
      <c r="B7068" t="s">
        <v>7867</v>
      </c>
      <c r="F7068" t="s">
        <v>2430</v>
      </c>
      <c r="G7068" t="s">
        <v>2431</v>
      </c>
      <c r="H7068" t="s">
        <v>2432</v>
      </c>
      <c r="I7068" t="s">
        <v>2433</v>
      </c>
      <c r="J7068" t="s">
        <v>2434</v>
      </c>
    </row>
    <row r="7069" spans="1:10" ht="15" customHeight="1" x14ac:dyDescent="0.2">
      <c r="A7069" s="420">
        <v>45759</v>
      </c>
      <c r="B7069" t="s">
        <v>2532</v>
      </c>
      <c r="C7069" t="s">
        <v>7866</v>
      </c>
      <c r="D7069" t="s">
        <v>3117</v>
      </c>
      <c r="E7069" t="s">
        <v>3118</v>
      </c>
      <c r="F7069">
        <v>244.3</v>
      </c>
      <c r="H7069">
        <v>244.3</v>
      </c>
    </row>
    <row r="7070" spans="1:10" ht="15" customHeight="1" x14ac:dyDescent="0.2">
      <c r="A7070" s="420">
        <v>45776</v>
      </c>
      <c r="B7070" t="s">
        <v>2532</v>
      </c>
      <c r="C7070" t="s">
        <v>7866</v>
      </c>
      <c r="D7070" t="s">
        <v>3121</v>
      </c>
      <c r="E7070" t="s">
        <v>3122</v>
      </c>
      <c r="F7070">
        <v>205.02</v>
      </c>
      <c r="H7070">
        <v>449.32</v>
      </c>
    </row>
    <row r="7071" spans="1:10" ht="15" customHeight="1" x14ac:dyDescent="0.2">
      <c r="A7071" s="420">
        <v>45777</v>
      </c>
      <c r="B7071" t="s">
        <v>2333</v>
      </c>
      <c r="C7071" t="s">
        <v>7866</v>
      </c>
      <c r="D7071" t="s">
        <v>7586</v>
      </c>
      <c r="E7071" t="s">
        <v>7587</v>
      </c>
      <c r="G7071">
        <v>32.700000000000003</v>
      </c>
      <c r="H7071">
        <v>416.62</v>
      </c>
    </row>
    <row r="7072" spans="1:10" ht="15" customHeight="1" x14ac:dyDescent="0.2">
      <c r="A7072" s="420">
        <v>45785</v>
      </c>
      <c r="B7072" t="s">
        <v>2532</v>
      </c>
      <c r="C7072" t="s">
        <v>7866</v>
      </c>
      <c r="D7072" t="s">
        <v>3953</v>
      </c>
      <c r="E7072" t="s">
        <v>3954</v>
      </c>
      <c r="F7072">
        <v>248.4</v>
      </c>
      <c r="H7072">
        <v>665.02</v>
      </c>
    </row>
    <row r="7073" spans="1:10" ht="15" customHeight="1" x14ac:dyDescent="0.2">
      <c r="A7073" s="420">
        <v>45798</v>
      </c>
      <c r="B7073" t="s">
        <v>2532</v>
      </c>
      <c r="C7073" t="s">
        <v>7866</v>
      </c>
      <c r="D7073" t="s">
        <v>3760</v>
      </c>
      <c r="E7073" t="s">
        <v>3761</v>
      </c>
      <c r="F7073">
        <v>144.1</v>
      </c>
      <c r="H7073">
        <v>809.12</v>
      </c>
    </row>
    <row r="7074" spans="1:10" ht="15" customHeight="1" x14ac:dyDescent="0.2">
      <c r="A7074" s="420">
        <v>45810</v>
      </c>
      <c r="B7074" t="s">
        <v>2547</v>
      </c>
      <c r="C7074" t="s">
        <v>7866</v>
      </c>
      <c r="D7074" t="s">
        <v>3592</v>
      </c>
      <c r="E7074" t="s">
        <v>3593</v>
      </c>
      <c r="F7074">
        <v>426.27</v>
      </c>
      <c r="H7074">
        <v>1235.3900000000001</v>
      </c>
    </row>
    <row r="7075" spans="1:10" ht="15" customHeight="1" x14ac:dyDescent="0.2">
      <c r="A7075" t="s">
        <v>7866</v>
      </c>
      <c r="E7075" t="s">
        <v>349</v>
      </c>
      <c r="F7075">
        <v>1268.0899999999999</v>
      </c>
      <c r="G7075">
        <v>32.700000000000003</v>
      </c>
      <c r="H7075">
        <v>1235.3900000000001</v>
      </c>
    </row>
    <row r="7077" spans="1:10" ht="15" customHeight="1" x14ac:dyDescent="0.2">
      <c r="A7077" t="s">
        <v>7868</v>
      </c>
      <c r="B7077" t="s">
        <v>7869</v>
      </c>
      <c r="F7077" t="s">
        <v>2430</v>
      </c>
      <c r="G7077" t="s">
        <v>2431</v>
      </c>
      <c r="H7077" t="s">
        <v>2432</v>
      </c>
      <c r="I7077" t="s">
        <v>2433</v>
      </c>
      <c r="J7077" t="s">
        <v>2434</v>
      </c>
    </row>
    <row r="7078" spans="1:10" ht="15" customHeight="1" x14ac:dyDescent="0.2">
      <c r="A7078" s="420">
        <v>45658</v>
      </c>
      <c r="B7078" t="s">
        <v>2507</v>
      </c>
      <c r="C7078" t="s">
        <v>7868</v>
      </c>
      <c r="D7078" t="s">
        <v>5499</v>
      </c>
      <c r="E7078" t="s">
        <v>5500</v>
      </c>
      <c r="G7078">
        <v>469600</v>
      </c>
      <c r="I7078">
        <v>469600</v>
      </c>
      <c r="J7078" t="s">
        <v>2511</v>
      </c>
    </row>
    <row r="7079" spans="1:10" ht="15" customHeight="1" x14ac:dyDescent="0.2">
      <c r="A7079" s="420">
        <v>45660</v>
      </c>
      <c r="B7079" t="s">
        <v>2532</v>
      </c>
      <c r="C7079" t="s">
        <v>7868</v>
      </c>
      <c r="D7079" t="s">
        <v>4295</v>
      </c>
      <c r="E7079" t="s">
        <v>4296</v>
      </c>
      <c r="F7079">
        <v>68691.72</v>
      </c>
      <c r="I7079">
        <v>400908.28</v>
      </c>
    </row>
    <row r="7080" spans="1:10" ht="15" customHeight="1" x14ac:dyDescent="0.2">
      <c r="A7080" s="420">
        <v>45698</v>
      </c>
      <c r="B7080" t="s">
        <v>2532</v>
      </c>
      <c r="C7080" t="s">
        <v>7868</v>
      </c>
      <c r="D7080" t="s">
        <v>4318</v>
      </c>
      <c r="E7080" t="s">
        <v>4319</v>
      </c>
      <c r="F7080">
        <v>75021.009999999995</v>
      </c>
      <c r="I7080">
        <v>325887.27</v>
      </c>
    </row>
    <row r="7081" spans="1:10" ht="15" customHeight="1" x14ac:dyDescent="0.2">
      <c r="A7081" s="420">
        <v>45733</v>
      </c>
      <c r="B7081" t="s">
        <v>2532</v>
      </c>
      <c r="C7081" t="s">
        <v>7868</v>
      </c>
      <c r="D7081" t="s">
        <v>4308</v>
      </c>
      <c r="E7081" t="s">
        <v>4307</v>
      </c>
      <c r="F7081">
        <v>70635.11</v>
      </c>
      <c r="I7081">
        <v>255252.16</v>
      </c>
    </row>
    <row r="7082" spans="1:10" ht="15" customHeight="1" x14ac:dyDescent="0.2">
      <c r="A7082" s="420">
        <v>45755</v>
      </c>
      <c r="B7082" t="s">
        <v>2532</v>
      </c>
      <c r="C7082" t="s">
        <v>7868</v>
      </c>
      <c r="D7082" t="s">
        <v>4376</v>
      </c>
      <c r="E7082" t="s">
        <v>4377</v>
      </c>
      <c r="F7082">
        <v>69085.95</v>
      </c>
      <c r="I7082">
        <v>186166.21</v>
      </c>
    </row>
    <row r="7083" spans="1:10" ht="15" customHeight="1" x14ac:dyDescent="0.2">
      <c r="A7083" s="420">
        <v>45796</v>
      </c>
      <c r="B7083" t="s">
        <v>2532</v>
      </c>
      <c r="C7083" t="s">
        <v>7868</v>
      </c>
      <c r="D7083" t="s">
        <v>4327</v>
      </c>
      <c r="E7083" t="s">
        <v>4328</v>
      </c>
      <c r="F7083">
        <v>81746.539999999994</v>
      </c>
      <c r="I7083">
        <v>104419.67</v>
      </c>
    </row>
    <row r="7084" spans="1:10" ht="15" customHeight="1" x14ac:dyDescent="0.2">
      <c r="A7084" s="420">
        <v>45820</v>
      </c>
      <c r="B7084" t="s">
        <v>2532</v>
      </c>
      <c r="C7084" t="s">
        <v>7868</v>
      </c>
      <c r="D7084" t="s">
        <v>4361</v>
      </c>
      <c r="E7084" t="s">
        <v>4362</v>
      </c>
      <c r="F7084">
        <v>72289.929999999993</v>
      </c>
      <c r="I7084">
        <v>32129.74</v>
      </c>
    </row>
    <row r="7085" spans="1:10" ht="15" customHeight="1" x14ac:dyDescent="0.2">
      <c r="A7085" s="420">
        <v>45832</v>
      </c>
      <c r="B7085" t="s">
        <v>2547</v>
      </c>
      <c r="C7085" t="s">
        <v>7868</v>
      </c>
      <c r="D7085" t="s">
        <v>4395</v>
      </c>
      <c r="E7085" t="s">
        <v>4396</v>
      </c>
      <c r="F7085">
        <v>88371.58</v>
      </c>
      <c r="H7085">
        <v>56241.84</v>
      </c>
    </row>
    <row r="7086" spans="1:10" ht="15" customHeight="1" x14ac:dyDescent="0.2">
      <c r="A7086" s="420">
        <v>45832</v>
      </c>
      <c r="B7086" t="s">
        <v>2547</v>
      </c>
      <c r="C7086" t="s">
        <v>7868</v>
      </c>
      <c r="D7086" t="s">
        <v>4414</v>
      </c>
      <c r="E7086" t="s">
        <v>4415</v>
      </c>
      <c r="F7086">
        <v>78169.289999999994</v>
      </c>
      <c r="H7086">
        <v>134411.13</v>
      </c>
    </row>
    <row r="7087" spans="1:10" ht="15" customHeight="1" x14ac:dyDescent="0.2">
      <c r="A7087" s="420">
        <v>45838</v>
      </c>
      <c r="B7087" t="s">
        <v>2535</v>
      </c>
      <c r="C7087" t="s">
        <v>7868</v>
      </c>
      <c r="D7087" t="s">
        <v>5520</v>
      </c>
      <c r="E7087" t="s">
        <v>5521</v>
      </c>
      <c r="F7087">
        <v>561679</v>
      </c>
      <c r="H7087">
        <v>696090.13</v>
      </c>
      <c r="J7087" t="s">
        <v>2509</v>
      </c>
    </row>
    <row r="7088" spans="1:10" ht="15" customHeight="1" x14ac:dyDescent="0.2">
      <c r="A7088" s="420">
        <v>45839</v>
      </c>
      <c r="B7088" t="s">
        <v>2535</v>
      </c>
      <c r="C7088" t="s">
        <v>7868</v>
      </c>
      <c r="D7088" t="s">
        <v>5520</v>
      </c>
      <c r="E7088" t="s">
        <v>5528</v>
      </c>
      <c r="G7088">
        <v>561679</v>
      </c>
      <c r="H7088">
        <v>134411.13</v>
      </c>
      <c r="J7088" t="s">
        <v>2509</v>
      </c>
    </row>
    <row r="7089" spans="1:10" ht="15" customHeight="1" x14ac:dyDescent="0.2">
      <c r="A7089" s="420">
        <v>45853</v>
      </c>
      <c r="B7089" t="s">
        <v>2532</v>
      </c>
      <c r="C7089" t="s">
        <v>7868</v>
      </c>
      <c r="D7089" t="s">
        <v>4342</v>
      </c>
      <c r="E7089" t="s">
        <v>4343</v>
      </c>
      <c r="F7089">
        <v>91263.91</v>
      </c>
      <c r="H7089">
        <v>225675.04</v>
      </c>
    </row>
    <row r="7090" spans="1:10" ht="15" customHeight="1" x14ac:dyDescent="0.2">
      <c r="A7090" s="420">
        <v>45861</v>
      </c>
      <c r="B7090" t="s">
        <v>2532</v>
      </c>
      <c r="C7090" t="s">
        <v>7868</v>
      </c>
      <c r="D7090" t="s">
        <v>4424</v>
      </c>
      <c r="E7090" t="s">
        <v>4425</v>
      </c>
      <c r="F7090">
        <v>79666.399999999994</v>
      </c>
      <c r="H7090">
        <v>305341.44</v>
      </c>
    </row>
    <row r="7091" spans="1:10" ht="15" customHeight="1" x14ac:dyDescent="0.2">
      <c r="A7091" s="420">
        <v>45867</v>
      </c>
      <c r="B7091" t="s">
        <v>2532</v>
      </c>
      <c r="C7091" t="s">
        <v>7868</v>
      </c>
      <c r="D7091" t="s">
        <v>4350</v>
      </c>
      <c r="E7091" t="s">
        <v>4351</v>
      </c>
      <c r="G7091">
        <v>1442</v>
      </c>
      <c r="H7091">
        <v>303899.44</v>
      </c>
    </row>
    <row r="7092" spans="1:10" ht="15" customHeight="1" x14ac:dyDescent="0.2">
      <c r="A7092" s="420">
        <v>45922</v>
      </c>
      <c r="B7092" t="s">
        <v>2532</v>
      </c>
      <c r="C7092" t="s">
        <v>7868</v>
      </c>
      <c r="D7092" t="s">
        <v>4444</v>
      </c>
      <c r="E7092" t="s">
        <v>4445</v>
      </c>
      <c r="F7092">
        <v>58750.080000000002</v>
      </c>
      <c r="H7092">
        <v>362649.52</v>
      </c>
    </row>
    <row r="7093" spans="1:10" ht="15" customHeight="1" x14ac:dyDescent="0.2">
      <c r="A7093" s="420">
        <v>45944</v>
      </c>
      <c r="B7093" t="s">
        <v>2532</v>
      </c>
      <c r="C7093" t="s">
        <v>7868</v>
      </c>
      <c r="D7093" t="s">
        <v>4514</v>
      </c>
      <c r="E7093" t="s">
        <v>4515</v>
      </c>
      <c r="F7093">
        <v>64712.33</v>
      </c>
      <c r="H7093">
        <v>427361.85</v>
      </c>
    </row>
    <row r="7094" spans="1:10" ht="15" customHeight="1" x14ac:dyDescent="0.2">
      <c r="A7094" s="420">
        <v>45965</v>
      </c>
      <c r="B7094" t="s">
        <v>2532</v>
      </c>
      <c r="C7094" t="s">
        <v>7868</v>
      </c>
      <c r="D7094" t="s">
        <v>4462</v>
      </c>
      <c r="E7094" t="s">
        <v>4463</v>
      </c>
      <c r="F7094">
        <v>69147.94</v>
      </c>
      <c r="H7094">
        <v>496509.79</v>
      </c>
    </row>
    <row r="7095" spans="1:10" ht="15" customHeight="1" x14ac:dyDescent="0.2">
      <c r="A7095" s="420">
        <v>45991</v>
      </c>
      <c r="B7095" t="s">
        <v>2532</v>
      </c>
      <c r="C7095" t="s">
        <v>7868</v>
      </c>
      <c r="D7095" t="s">
        <v>4482</v>
      </c>
      <c r="E7095" t="s">
        <v>4483</v>
      </c>
      <c r="F7095">
        <v>81535.09</v>
      </c>
      <c r="H7095">
        <v>578044.88</v>
      </c>
    </row>
    <row r="7096" spans="1:10" ht="15" customHeight="1" x14ac:dyDescent="0.2">
      <c r="A7096" s="420">
        <v>46008</v>
      </c>
      <c r="B7096" t="s">
        <v>2532</v>
      </c>
      <c r="C7096" t="s">
        <v>7868</v>
      </c>
      <c r="D7096" t="s">
        <v>4497</v>
      </c>
      <c r="E7096" t="s">
        <v>4498</v>
      </c>
      <c r="F7096">
        <v>64237.51</v>
      </c>
      <c r="H7096">
        <v>642282.39</v>
      </c>
    </row>
    <row r="7097" spans="1:10" ht="15" customHeight="1" x14ac:dyDescent="0.2">
      <c r="A7097" s="420">
        <v>46022</v>
      </c>
      <c r="B7097" t="s">
        <v>2507</v>
      </c>
      <c r="C7097" t="s">
        <v>7868</v>
      </c>
      <c r="D7097" t="s">
        <v>5532</v>
      </c>
      <c r="E7097" t="s">
        <v>5532</v>
      </c>
      <c r="F7097">
        <v>969297</v>
      </c>
      <c r="H7097">
        <v>1611579.39</v>
      </c>
      <c r="J7097" t="s">
        <v>2511</v>
      </c>
    </row>
    <row r="7098" spans="1:10" ht="15" customHeight="1" x14ac:dyDescent="0.2">
      <c r="A7098" t="s">
        <v>7868</v>
      </c>
      <c r="E7098" t="s">
        <v>349</v>
      </c>
      <c r="F7098">
        <v>2644300.39</v>
      </c>
      <c r="G7098">
        <v>1032721</v>
      </c>
      <c r="H7098">
        <v>1611579.39</v>
      </c>
    </row>
    <row r="7100" spans="1:10" ht="15" customHeight="1" x14ac:dyDescent="0.2">
      <c r="A7100" t="s">
        <v>453</v>
      </c>
      <c r="B7100" t="s">
        <v>454</v>
      </c>
      <c r="F7100" t="s">
        <v>2430</v>
      </c>
      <c r="G7100" t="s">
        <v>2431</v>
      </c>
      <c r="H7100" t="s">
        <v>2432</v>
      </c>
      <c r="I7100" t="s">
        <v>2433</v>
      </c>
      <c r="J7100" t="s">
        <v>2434</v>
      </c>
    </row>
    <row r="7101" spans="1:10" ht="15" customHeight="1" x14ac:dyDescent="0.2">
      <c r="A7101" s="420">
        <v>45677</v>
      </c>
      <c r="B7101" t="s">
        <v>2532</v>
      </c>
      <c r="C7101" t="s">
        <v>453</v>
      </c>
      <c r="D7101" t="s">
        <v>5276</v>
      </c>
      <c r="E7101" t="s">
        <v>455</v>
      </c>
      <c r="F7101">
        <v>49.9</v>
      </c>
      <c r="H7101">
        <v>49.9</v>
      </c>
    </row>
    <row r="7102" spans="1:10" ht="15" customHeight="1" x14ac:dyDescent="0.2">
      <c r="A7102" s="420">
        <v>45708</v>
      </c>
      <c r="B7102" t="s">
        <v>2532</v>
      </c>
      <c r="C7102" t="s">
        <v>453</v>
      </c>
      <c r="D7102" t="s">
        <v>5281</v>
      </c>
      <c r="E7102" t="s">
        <v>458</v>
      </c>
      <c r="F7102">
        <v>68.569999999999993</v>
      </c>
      <c r="H7102">
        <v>118.47</v>
      </c>
    </row>
    <row r="7103" spans="1:10" ht="15" customHeight="1" x14ac:dyDescent="0.2">
      <c r="A7103" s="420">
        <v>45736</v>
      </c>
      <c r="B7103" t="s">
        <v>2532</v>
      </c>
      <c r="C7103" t="s">
        <v>453</v>
      </c>
      <c r="D7103" t="s">
        <v>5284</v>
      </c>
      <c r="E7103" t="s">
        <v>467</v>
      </c>
      <c r="F7103">
        <v>53.86</v>
      </c>
      <c r="H7103">
        <v>172.33</v>
      </c>
    </row>
    <row r="7104" spans="1:10" ht="15" customHeight="1" x14ac:dyDescent="0.2">
      <c r="A7104" s="420">
        <v>45767</v>
      </c>
      <c r="B7104" t="s">
        <v>2532</v>
      </c>
      <c r="C7104" t="s">
        <v>453</v>
      </c>
      <c r="D7104" t="s">
        <v>5287</v>
      </c>
      <c r="E7104" t="s">
        <v>476</v>
      </c>
      <c r="F7104">
        <v>51.41</v>
      </c>
      <c r="H7104">
        <v>223.74</v>
      </c>
    </row>
    <row r="7105" spans="1:10" ht="15" customHeight="1" x14ac:dyDescent="0.2">
      <c r="A7105" s="420">
        <v>45797</v>
      </c>
      <c r="B7105" t="s">
        <v>2532</v>
      </c>
      <c r="C7105" t="s">
        <v>453</v>
      </c>
      <c r="D7105" t="s">
        <v>5290</v>
      </c>
      <c r="E7105" t="s">
        <v>490</v>
      </c>
      <c r="F7105">
        <v>46.75</v>
      </c>
      <c r="H7105">
        <v>270.49</v>
      </c>
    </row>
    <row r="7106" spans="1:10" ht="15" customHeight="1" x14ac:dyDescent="0.2">
      <c r="A7106" s="420">
        <v>45828</v>
      </c>
      <c r="B7106" t="s">
        <v>2532</v>
      </c>
      <c r="C7106" t="s">
        <v>453</v>
      </c>
      <c r="D7106" t="s">
        <v>5293</v>
      </c>
      <c r="E7106" t="s">
        <v>506</v>
      </c>
      <c r="F7106">
        <v>47.99</v>
      </c>
      <c r="H7106">
        <v>318.48</v>
      </c>
    </row>
    <row r="7107" spans="1:10" ht="15" customHeight="1" x14ac:dyDescent="0.2">
      <c r="A7107" s="420">
        <v>45858</v>
      </c>
      <c r="B7107" t="s">
        <v>2532</v>
      </c>
      <c r="C7107" t="s">
        <v>453</v>
      </c>
      <c r="D7107" t="s">
        <v>5296</v>
      </c>
      <c r="E7107" t="s">
        <v>526</v>
      </c>
      <c r="F7107">
        <v>47.38</v>
      </c>
      <c r="H7107">
        <v>365.86</v>
      </c>
    </row>
    <row r="7108" spans="1:10" ht="15" customHeight="1" x14ac:dyDescent="0.2">
      <c r="A7108" s="420">
        <v>45889</v>
      </c>
      <c r="B7108" t="s">
        <v>2532</v>
      </c>
      <c r="C7108" t="s">
        <v>453</v>
      </c>
      <c r="D7108" t="s">
        <v>5297</v>
      </c>
      <c r="E7108" t="s">
        <v>534</v>
      </c>
      <c r="F7108">
        <v>43.42</v>
      </c>
      <c r="H7108">
        <v>409.28</v>
      </c>
    </row>
    <row r="7109" spans="1:10" ht="15" customHeight="1" x14ac:dyDescent="0.2">
      <c r="A7109" s="420">
        <v>45920</v>
      </c>
      <c r="B7109" t="s">
        <v>2532</v>
      </c>
      <c r="C7109" t="s">
        <v>453</v>
      </c>
      <c r="D7109" t="s">
        <v>5300</v>
      </c>
      <c r="E7109" t="s">
        <v>548</v>
      </c>
      <c r="F7109">
        <v>41.48</v>
      </c>
      <c r="H7109">
        <v>450.76</v>
      </c>
    </row>
    <row r="7110" spans="1:10" ht="15" customHeight="1" x14ac:dyDescent="0.2">
      <c r="A7110" s="420">
        <v>45950</v>
      </c>
      <c r="B7110" t="s">
        <v>2532</v>
      </c>
      <c r="C7110" t="s">
        <v>453</v>
      </c>
      <c r="D7110" t="s">
        <v>5303</v>
      </c>
      <c r="E7110" t="s">
        <v>562</v>
      </c>
      <c r="F7110">
        <v>48.43</v>
      </c>
      <c r="H7110">
        <v>499.19</v>
      </c>
    </row>
    <row r="7111" spans="1:10" ht="15" customHeight="1" x14ac:dyDescent="0.2">
      <c r="A7111" s="420">
        <v>45981</v>
      </c>
      <c r="B7111" t="s">
        <v>2532</v>
      </c>
      <c r="C7111" t="s">
        <v>453</v>
      </c>
      <c r="D7111" t="s">
        <v>5306</v>
      </c>
      <c r="E7111" t="s">
        <v>570</v>
      </c>
      <c r="F7111">
        <v>46.38</v>
      </c>
      <c r="H7111">
        <v>545.57000000000005</v>
      </c>
    </row>
    <row r="7112" spans="1:10" ht="15" customHeight="1" x14ac:dyDescent="0.2">
      <c r="A7112" s="420">
        <v>46011</v>
      </c>
      <c r="B7112" t="s">
        <v>2532</v>
      </c>
      <c r="C7112" t="s">
        <v>453</v>
      </c>
      <c r="D7112" t="s">
        <v>5311</v>
      </c>
      <c r="E7112" t="s">
        <v>580</v>
      </c>
      <c r="F7112">
        <v>54.21</v>
      </c>
      <c r="H7112">
        <v>599.78</v>
      </c>
    </row>
    <row r="7113" spans="1:10" ht="15" customHeight="1" x14ac:dyDescent="0.2">
      <c r="A7113" t="s">
        <v>453</v>
      </c>
      <c r="E7113" t="s">
        <v>349</v>
      </c>
      <c r="F7113">
        <v>599.78</v>
      </c>
      <c r="H7113">
        <v>599.78</v>
      </c>
    </row>
    <row r="7115" spans="1:10" ht="15" customHeight="1" x14ac:dyDescent="0.2">
      <c r="A7115" t="s">
        <v>430</v>
      </c>
      <c r="B7115" t="s">
        <v>431</v>
      </c>
      <c r="F7115" t="s">
        <v>2430</v>
      </c>
      <c r="G7115" t="s">
        <v>2431</v>
      </c>
      <c r="H7115" t="s">
        <v>2432</v>
      </c>
      <c r="I7115" t="s">
        <v>2433</v>
      </c>
      <c r="J7115" t="s">
        <v>2434</v>
      </c>
    </row>
    <row r="7116" spans="1:10" ht="15" customHeight="1" x14ac:dyDescent="0.2">
      <c r="A7116" s="420">
        <v>45658</v>
      </c>
      <c r="B7116" t="s">
        <v>2547</v>
      </c>
      <c r="C7116" t="s">
        <v>430</v>
      </c>
      <c r="D7116" t="s">
        <v>7121</v>
      </c>
      <c r="E7116" t="s">
        <v>432</v>
      </c>
      <c r="F7116">
        <v>46.37</v>
      </c>
      <c r="H7116">
        <v>46.37</v>
      </c>
    </row>
    <row r="7117" spans="1:10" ht="15" customHeight="1" x14ac:dyDescent="0.2">
      <c r="A7117" s="420">
        <v>45663</v>
      </c>
      <c r="B7117" t="s">
        <v>2532</v>
      </c>
      <c r="C7117" t="s">
        <v>430</v>
      </c>
      <c r="D7117" t="s">
        <v>3142</v>
      </c>
      <c r="E7117" t="s">
        <v>434</v>
      </c>
      <c r="F7117">
        <v>16.96</v>
      </c>
      <c r="H7117">
        <v>63.33</v>
      </c>
    </row>
    <row r="7118" spans="1:10" ht="15" customHeight="1" x14ac:dyDescent="0.2">
      <c r="A7118" s="420">
        <v>45689</v>
      </c>
      <c r="B7118" t="s">
        <v>2547</v>
      </c>
      <c r="C7118" t="s">
        <v>430</v>
      </c>
      <c r="D7118" t="s">
        <v>7121</v>
      </c>
      <c r="E7118" t="s">
        <v>432</v>
      </c>
      <c r="F7118">
        <v>42.34</v>
      </c>
      <c r="H7118">
        <v>105.67</v>
      </c>
    </row>
    <row r="7119" spans="1:10" ht="15" customHeight="1" x14ac:dyDescent="0.2">
      <c r="A7119" s="420">
        <v>45717</v>
      </c>
      <c r="B7119" t="s">
        <v>2547</v>
      </c>
      <c r="C7119" t="s">
        <v>430</v>
      </c>
      <c r="D7119" t="s">
        <v>7121</v>
      </c>
      <c r="E7119" t="s">
        <v>432</v>
      </c>
      <c r="F7119">
        <v>42.34</v>
      </c>
      <c r="H7119">
        <v>148.01</v>
      </c>
    </row>
    <row r="7120" spans="1:10" ht="15" customHeight="1" x14ac:dyDescent="0.2">
      <c r="A7120" s="420">
        <v>45748</v>
      </c>
      <c r="B7120" t="s">
        <v>2547</v>
      </c>
      <c r="C7120" t="s">
        <v>430</v>
      </c>
      <c r="D7120" t="s">
        <v>7123</v>
      </c>
      <c r="E7120" t="s">
        <v>432</v>
      </c>
      <c r="F7120">
        <v>139.9</v>
      </c>
      <c r="H7120">
        <v>287.91000000000003</v>
      </c>
    </row>
    <row r="7121" spans="1:8" ht="15" customHeight="1" x14ac:dyDescent="0.2">
      <c r="A7121" s="420">
        <v>45777</v>
      </c>
      <c r="B7121" t="s">
        <v>2532</v>
      </c>
      <c r="C7121" t="s">
        <v>430</v>
      </c>
      <c r="D7121" t="s">
        <v>3431</v>
      </c>
      <c r="E7121" t="s">
        <v>481</v>
      </c>
      <c r="F7121">
        <v>132.86000000000001</v>
      </c>
      <c r="H7121">
        <v>420.77</v>
      </c>
    </row>
    <row r="7122" spans="1:8" ht="15" customHeight="1" x14ac:dyDescent="0.2">
      <c r="A7122" s="420">
        <v>45778</v>
      </c>
      <c r="B7122" t="s">
        <v>2547</v>
      </c>
      <c r="C7122" t="s">
        <v>430</v>
      </c>
      <c r="D7122" t="s">
        <v>7123</v>
      </c>
      <c r="E7122" t="s">
        <v>432</v>
      </c>
      <c r="F7122">
        <v>146.26</v>
      </c>
      <c r="H7122">
        <v>567.03</v>
      </c>
    </row>
    <row r="7123" spans="1:8" ht="15" customHeight="1" x14ac:dyDescent="0.2">
      <c r="A7123" s="420">
        <v>45779</v>
      </c>
      <c r="B7123" t="s">
        <v>2532</v>
      </c>
      <c r="C7123" t="s">
        <v>430</v>
      </c>
      <c r="D7123" t="s">
        <v>3145</v>
      </c>
      <c r="E7123" t="s">
        <v>486</v>
      </c>
      <c r="F7123">
        <v>21.32</v>
      </c>
      <c r="H7123">
        <v>588.35</v>
      </c>
    </row>
    <row r="7124" spans="1:8" ht="15" customHeight="1" x14ac:dyDescent="0.2">
      <c r="A7124" s="420">
        <v>45808</v>
      </c>
      <c r="B7124" t="s">
        <v>2532</v>
      </c>
      <c r="C7124" t="s">
        <v>430</v>
      </c>
      <c r="D7124" t="s">
        <v>3434</v>
      </c>
      <c r="E7124" t="s">
        <v>498</v>
      </c>
      <c r="F7124">
        <v>84.72</v>
      </c>
      <c r="H7124">
        <v>673.07</v>
      </c>
    </row>
    <row r="7125" spans="1:8" ht="15" customHeight="1" x14ac:dyDescent="0.2">
      <c r="A7125" s="420">
        <v>45809</v>
      </c>
      <c r="B7125" t="s">
        <v>2547</v>
      </c>
      <c r="C7125" t="s">
        <v>430</v>
      </c>
      <c r="D7125" t="s">
        <v>7123</v>
      </c>
      <c r="E7125" t="s">
        <v>432</v>
      </c>
      <c r="F7125">
        <v>127.18</v>
      </c>
      <c r="H7125">
        <v>800.25</v>
      </c>
    </row>
    <row r="7126" spans="1:8" ht="15" customHeight="1" x14ac:dyDescent="0.2">
      <c r="A7126" s="420">
        <v>45810</v>
      </c>
      <c r="B7126" t="s">
        <v>2532</v>
      </c>
      <c r="C7126" t="s">
        <v>430</v>
      </c>
      <c r="D7126" t="s">
        <v>3147</v>
      </c>
      <c r="E7126" t="s">
        <v>501</v>
      </c>
      <c r="F7126">
        <v>46.92</v>
      </c>
      <c r="H7126">
        <v>847.17</v>
      </c>
    </row>
    <row r="7127" spans="1:8" ht="15" customHeight="1" x14ac:dyDescent="0.2">
      <c r="A7127" s="420">
        <v>45838</v>
      </c>
      <c r="B7127" t="s">
        <v>2532</v>
      </c>
      <c r="C7127" t="s">
        <v>430</v>
      </c>
      <c r="D7127" t="s">
        <v>3436</v>
      </c>
      <c r="E7127" t="s">
        <v>511</v>
      </c>
      <c r="F7127">
        <v>18.010000000000002</v>
      </c>
      <c r="H7127">
        <v>865.18</v>
      </c>
    </row>
    <row r="7128" spans="1:8" ht="15" customHeight="1" x14ac:dyDescent="0.2">
      <c r="A7128" s="420">
        <v>45839</v>
      </c>
      <c r="B7128" t="s">
        <v>2333</v>
      </c>
      <c r="C7128" t="s">
        <v>430</v>
      </c>
      <c r="D7128" t="s">
        <v>2960</v>
      </c>
      <c r="E7128" t="s">
        <v>513</v>
      </c>
      <c r="F7128">
        <v>161.66999999999999</v>
      </c>
      <c r="H7128">
        <v>1026.8499999999999</v>
      </c>
    </row>
    <row r="7129" spans="1:8" ht="15" customHeight="1" x14ac:dyDescent="0.2">
      <c r="A7129" s="420">
        <v>45839</v>
      </c>
      <c r="B7129" t="s">
        <v>2333</v>
      </c>
      <c r="C7129" t="s">
        <v>430</v>
      </c>
      <c r="D7129" t="s">
        <v>2960</v>
      </c>
      <c r="E7129" t="s">
        <v>514</v>
      </c>
      <c r="F7129">
        <v>544.4</v>
      </c>
      <c r="H7129">
        <v>1571.25</v>
      </c>
    </row>
    <row r="7130" spans="1:8" ht="15" customHeight="1" x14ac:dyDescent="0.2">
      <c r="A7130" s="420">
        <v>45839</v>
      </c>
      <c r="B7130" t="s">
        <v>2547</v>
      </c>
      <c r="C7130" t="s">
        <v>430</v>
      </c>
      <c r="D7130" t="s">
        <v>7128</v>
      </c>
      <c r="E7130" t="s">
        <v>432</v>
      </c>
      <c r="F7130">
        <v>146.26</v>
      </c>
      <c r="H7130">
        <v>1717.51</v>
      </c>
    </row>
    <row r="7131" spans="1:8" ht="15" customHeight="1" x14ac:dyDescent="0.2">
      <c r="A7131" s="420">
        <v>45840</v>
      </c>
      <c r="B7131" t="s">
        <v>2532</v>
      </c>
      <c r="C7131" t="s">
        <v>430</v>
      </c>
      <c r="D7131" t="s">
        <v>3149</v>
      </c>
      <c r="E7131" t="s">
        <v>518</v>
      </c>
      <c r="F7131">
        <v>21.03</v>
      </c>
      <c r="H7131">
        <v>1738.54</v>
      </c>
    </row>
    <row r="7132" spans="1:8" ht="15" customHeight="1" x14ac:dyDescent="0.2">
      <c r="A7132" s="420">
        <v>45869</v>
      </c>
      <c r="B7132" t="s">
        <v>2547</v>
      </c>
      <c r="C7132" t="s">
        <v>430</v>
      </c>
      <c r="D7132" t="s">
        <v>3438</v>
      </c>
      <c r="E7132" t="s">
        <v>529</v>
      </c>
      <c r="F7132">
        <v>40.450000000000003</v>
      </c>
      <c r="H7132">
        <v>1778.99</v>
      </c>
    </row>
    <row r="7133" spans="1:8" ht="15" customHeight="1" x14ac:dyDescent="0.2">
      <c r="A7133" s="420">
        <v>45870</v>
      </c>
      <c r="B7133" t="s">
        <v>2547</v>
      </c>
      <c r="C7133" t="s">
        <v>430</v>
      </c>
      <c r="D7133" t="s">
        <v>7129</v>
      </c>
      <c r="E7133" t="s">
        <v>432</v>
      </c>
      <c r="F7133">
        <v>139.9</v>
      </c>
      <c r="H7133">
        <v>1918.89</v>
      </c>
    </row>
    <row r="7134" spans="1:8" ht="15" customHeight="1" x14ac:dyDescent="0.2">
      <c r="A7134" s="420">
        <v>45871</v>
      </c>
      <c r="B7134" t="s">
        <v>2532</v>
      </c>
      <c r="C7134" t="s">
        <v>430</v>
      </c>
      <c r="D7134" t="s">
        <v>3151</v>
      </c>
      <c r="E7134" t="s">
        <v>532</v>
      </c>
      <c r="F7134">
        <v>54.26</v>
      </c>
      <c r="H7134">
        <v>1973.15</v>
      </c>
    </row>
    <row r="7135" spans="1:8" ht="15" customHeight="1" x14ac:dyDescent="0.2">
      <c r="A7135" s="420">
        <v>45900</v>
      </c>
      <c r="B7135" t="s">
        <v>2532</v>
      </c>
      <c r="C7135" t="s">
        <v>430</v>
      </c>
      <c r="D7135" t="s">
        <v>3440</v>
      </c>
      <c r="E7135" t="s">
        <v>537</v>
      </c>
      <c r="F7135">
        <v>49.12</v>
      </c>
      <c r="H7135">
        <v>2022.27</v>
      </c>
    </row>
    <row r="7136" spans="1:8" ht="15" customHeight="1" x14ac:dyDescent="0.2">
      <c r="A7136" s="420">
        <v>45902</v>
      </c>
      <c r="B7136" t="s">
        <v>2532</v>
      </c>
      <c r="C7136" t="s">
        <v>430</v>
      </c>
      <c r="D7136" t="s">
        <v>3153</v>
      </c>
      <c r="E7136" t="s">
        <v>541</v>
      </c>
      <c r="F7136">
        <v>67.12</v>
      </c>
      <c r="H7136">
        <v>2089.39</v>
      </c>
    </row>
    <row r="7137" spans="1:10" ht="15" customHeight="1" x14ac:dyDescent="0.2">
      <c r="A7137" s="420">
        <v>45930</v>
      </c>
      <c r="B7137" t="s">
        <v>2532</v>
      </c>
      <c r="C7137" t="s">
        <v>430</v>
      </c>
      <c r="D7137" t="s">
        <v>3443</v>
      </c>
      <c r="E7137" t="s">
        <v>550</v>
      </c>
      <c r="F7137">
        <v>53.37</v>
      </c>
      <c r="H7137">
        <v>2142.7600000000002</v>
      </c>
    </row>
    <row r="7138" spans="1:10" ht="15" customHeight="1" x14ac:dyDescent="0.2">
      <c r="A7138" s="420">
        <v>45930</v>
      </c>
      <c r="B7138" t="s">
        <v>2547</v>
      </c>
      <c r="C7138" t="s">
        <v>430</v>
      </c>
      <c r="D7138" t="s">
        <v>7141</v>
      </c>
      <c r="E7138" t="s">
        <v>432</v>
      </c>
      <c r="F7138">
        <v>133.54</v>
      </c>
      <c r="H7138">
        <v>2276.3000000000002</v>
      </c>
    </row>
    <row r="7139" spans="1:10" ht="15" customHeight="1" x14ac:dyDescent="0.2">
      <c r="A7139" s="420">
        <v>45932</v>
      </c>
      <c r="B7139" t="s">
        <v>2532</v>
      </c>
      <c r="C7139" t="s">
        <v>430</v>
      </c>
      <c r="D7139" t="s">
        <v>3155</v>
      </c>
      <c r="E7139" t="s">
        <v>552</v>
      </c>
      <c r="F7139">
        <v>29.67</v>
      </c>
      <c r="H7139">
        <v>2305.9699999999998</v>
      </c>
    </row>
    <row r="7140" spans="1:10" ht="15" customHeight="1" x14ac:dyDescent="0.2">
      <c r="A7140" s="420">
        <v>45961</v>
      </c>
      <c r="B7140" t="s">
        <v>2532</v>
      </c>
      <c r="C7140" t="s">
        <v>430</v>
      </c>
      <c r="D7140" t="s">
        <v>3445</v>
      </c>
      <c r="E7140" t="s">
        <v>564</v>
      </c>
      <c r="F7140">
        <v>73.739999999999995</v>
      </c>
      <c r="H7140">
        <v>2379.71</v>
      </c>
    </row>
    <row r="7141" spans="1:10" ht="15" customHeight="1" x14ac:dyDescent="0.2">
      <c r="A7141" s="420">
        <v>45961</v>
      </c>
      <c r="B7141" t="s">
        <v>2547</v>
      </c>
      <c r="C7141" t="s">
        <v>430</v>
      </c>
      <c r="D7141" t="s">
        <v>7150</v>
      </c>
      <c r="E7141" t="s">
        <v>432</v>
      </c>
      <c r="F7141">
        <v>146.26</v>
      </c>
      <c r="H7141">
        <v>2525.9699999999998</v>
      </c>
    </row>
    <row r="7142" spans="1:10" ht="15" customHeight="1" x14ac:dyDescent="0.2">
      <c r="A7142" s="420">
        <v>45991</v>
      </c>
      <c r="B7142" t="s">
        <v>2532</v>
      </c>
      <c r="C7142" t="s">
        <v>430</v>
      </c>
      <c r="D7142" t="s">
        <v>3447</v>
      </c>
      <c r="E7142" t="s">
        <v>572</v>
      </c>
      <c r="F7142">
        <v>50.75</v>
      </c>
      <c r="H7142">
        <v>2576.7199999999998</v>
      </c>
    </row>
    <row r="7143" spans="1:10" ht="15" customHeight="1" x14ac:dyDescent="0.2">
      <c r="A7143" s="420">
        <v>45991</v>
      </c>
      <c r="B7143" t="s">
        <v>2547</v>
      </c>
      <c r="C7143" t="s">
        <v>430</v>
      </c>
      <c r="D7143" t="s">
        <v>7153</v>
      </c>
      <c r="E7143" t="s">
        <v>432</v>
      </c>
      <c r="F7143">
        <v>133.54</v>
      </c>
      <c r="H7143">
        <v>2710.26</v>
      </c>
    </row>
    <row r="7144" spans="1:10" ht="15" customHeight="1" x14ac:dyDescent="0.2">
      <c r="A7144" s="420">
        <v>46022</v>
      </c>
      <c r="B7144" t="s">
        <v>2547</v>
      </c>
      <c r="C7144" t="s">
        <v>430</v>
      </c>
      <c r="D7144" t="s">
        <v>3449</v>
      </c>
      <c r="E7144" t="s">
        <v>529</v>
      </c>
      <c r="F7144">
        <v>111.88</v>
      </c>
      <c r="H7144">
        <v>2822.14</v>
      </c>
    </row>
    <row r="7145" spans="1:10" ht="15" customHeight="1" x14ac:dyDescent="0.2">
      <c r="A7145" s="420">
        <v>46022</v>
      </c>
      <c r="B7145" t="s">
        <v>2547</v>
      </c>
      <c r="C7145" t="s">
        <v>430</v>
      </c>
      <c r="D7145" t="s">
        <v>7156</v>
      </c>
      <c r="E7145" t="s">
        <v>432</v>
      </c>
      <c r="F7145">
        <v>139.9</v>
      </c>
      <c r="H7145">
        <v>2962.04</v>
      </c>
    </row>
    <row r="7146" spans="1:10" ht="15" customHeight="1" x14ac:dyDescent="0.2">
      <c r="A7146" t="s">
        <v>430</v>
      </c>
      <c r="E7146" t="s">
        <v>349</v>
      </c>
      <c r="F7146">
        <v>2962.04</v>
      </c>
      <c r="H7146">
        <v>2962.04</v>
      </c>
    </row>
    <row r="7148" spans="1:10" ht="15" customHeight="1" x14ac:dyDescent="0.2">
      <c r="A7148" t="s">
        <v>507</v>
      </c>
      <c r="B7148" t="s">
        <v>508</v>
      </c>
      <c r="F7148" t="s">
        <v>2430</v>
      </c>
      <c r="G7148" t="s">
        <v>2431</v>
      </c>
      <c r="H7148" t="s">
        <v>2432</v>
      </c>
      <c r="I7148" t="s">
        <v>2433</v>
      </c>
      <c r="J7148" t="s">
        <v>2434</v>
      </c>
    </row>
    <row r="7149" spans="1:10" ht="15" customHeight="1" x14ac:dyDescent="0.2">
      <c r="A7149" s="420">
        <v>45828</v>
      </c>
      <c r="B7149" t="s">
        <v>2532</v>
      </c>
      <c r="C7149" t="s">
        <v>507</v>
      </c>
      <c r="D7149" t="s">
        <v>3939</v>
      </c>
      <c r="E7149" t="s">
        <v>509</v>
      </c>
      <c r="F7149">
        <v>44.6</v>
      </c>
      <c r="H7149">
        <v>44.6</v>
      </c>
    </row>
    <row r="7150" spans="1:10" ht="15" customHeight="1" x14ac:dyDescent="0.2">
      <c r="A7150" s="420">
        <v>46009</v>
      </c>
      <c r="B7150" t="s">
        <v>2532</v>
      </c>
      <c r="C7150" t="s">
        <v>507</v>
      </c>
      <c r="D7150" t="s">
        <v>3942</v>
      </c>
      <c r="E7150" t="s">
        <v>577</v>
      </c>
      <c r="F7150">
        <v>44.98</v>
      </c>
      <c r="H7150">
        <v>89.58</v>
      </c>
    </row>
    <row r="7151" spans="1:10" ht="15" customHeight="1" x14ac:dyDescent="0.2">
      <c r="A7151" t="s">
        <v>507</v>
      </c>
      <c r="E7151" t="s">
        <v>349</v>
      </c>
      <c r="F7151">
        <v>89.58</v>
      </c>
      <c r="H7151">
        <v>89.58</v>
      </c>
    </row>
    <row r="7153" spans="1:10" ht="15" customHeight="1" x14ac:dyDescent="0.2">
      <c r="A7153" t="s">
        <v>1741</v>
      </c>
      <c r="B7153" t="s">
        <v>1742</v>
      </c>
      <c r="F7153" t="s">
        <v>2430</v>
      </c>
      <c r="G7153" t="s">
        <v>2431</v>
      </c>
      <c r="H7153" t="s">
        <v>2432</v>
      </c>
      <c r="I7153" t="s">
        <v>2433</v>
      </c>
      <c r="J7153" t="s">
        <v>2434</v>
      </c>
    </row>
    <row r="7154" spans="1:10" ht="15" customHeight="1" x14ac:dyDescent="0.2">
      <c r="A7154" s="420">
        <v>45667</v>
      </c>
      <c r="B7154" t="s">
        <v>2532</v>
      </c>
      <c r="C7154" t="s">
        <v>1741</v>
      </c>
      <c r="D7154" t="s">
        <v>4112</v>
      </c>
      <c r="E7154" t="s">
        <v>1743</v>
      </c>
      <c r="F7154">
        <v>71.67</v>
      </c>
      <c r="H7154">
        <v>71.67</v>
      </c>
    </row>
    <row r="7155" spans="1:10" ht="15" customHeight="1" x14ac:dyDescent="0.2">
      <c r="A7155" s="420">
        <v>45672</v>
      </c>
      <c r="B7155" t="s">
        <v>2532</v>
      </c>
      <c r="C7155" t="s">
        <v>1741</v>
      </c>
      <c r="D7155" t="s">
        <v>3454</v>
      </c>
      <c r="E7155" t="s">
        <v>1744</v>
      </c>
      <c r="F7155">
        <v>305.64999999999998</v>
      </c>
      <c r="H7155">
        <v>377.32</v>
      </c>
    </row>
    <row r="7156" spans="1:10" ht="15" customHeight="1" x14ac:dyDescent="0.2">
      <c r="A7156" s="420">
        <v>45688</v>
      </c>
      <c r="B7156" t="s">
        <v>2547</v>
      </c>
      <c r="C7156" t="s">
        <v>1741</v>
      </c>
      <c r="D7156" t="s">
        <v>3459</v>
      </c>
      <c r="E7156" t="s">
        <v>1742</v>
      </c>
      <c r="F7156">
        <v>101.09</v>
      </c>
      <c r="H7156">
        <v>478.41</v>
      </c>
    </row>
    <row r="7157" spans="1:10" ht="15" customHeight="1" x14ac:dyDescent="0.2">
      <c r="A7157" s="420">
        <v>45699</v>
      </c>
      <c r="B7157" t="s">
        <v>2532</v>
      </c>
      <c r="C7157" t="s">
        <v>1741</v>
      </c>
      <c r="D7157" t="s">
        <v>5279</v>
      </c>
      <c r="E7157" t="s">
        <v>1776</v>
      </c>
      <c r="F7157">
        <v>76.260000000000005</v>
      </c>
      <c r="H7157">
        <v>554.66999999999996</v>
      </c>
    </row>
    <row r="7158" spans="1:10" ht="15" customHeight="1" x14ac:dyDescent="0.2">
      <c r="A7158" s="420">
        <v>45717</v>
      </c>
      <c r="B7158" t="s">
        <v>2547</v>
      </c>
      <c r="C7158" t="s">
        <v>1741</v>
      </c>
      <c r="D7158" t="s">
        <v>3892</v>
      </c>
      <c r="E7158" t="s">
        <v>1786</v>
      </c>
      <c r="F7158">
        <v>29.17</v>
      </c>
      <c r="H7158">
        <v>583.84</v>
      </c>
    </row>
    <row r="7159" spans="1:10" ht="15" customHeight="1" x14ac:dyDescent="0.2">
      <c r="A7159" s="420">
        <v>45722</v>
      </c>
      <c r="B7159" t="s">
        <v>2532</v>
      </c>
      <c r="C7159" t="s">
        <v>1741</v>
      </c>
      <c r="D7159" t="s">
        <v>5239</v>
      </c>
      <c r="E7159" t="s">
        <v>1789</v>
      </c>
      <c r="F7159">
        <v>70.84</v>
      </c>
      <c r="H7159">
        <v>654.67999999999995</v>
      </c>
    </row>
    <row r="7160" spans="1:10" ht="15" customHeight="1" x14ac:dyDescent="0.2">
      <c r="A7160" s="420">
        <v>45742</v>
      </c>
      <c r="B7160" t="s">
        <v>2532</v>
      </c>
      <c r="C7160" t="s">
        <v>1741</v>
      </c>
      <c r="D7160" t="s">
        <v>5314</v>
      </c>
      <c r="E7160" t="s">
        <v>1807</v>
      </c>
      <c r="F7160">
        <v>20.84</v>
      </c>
      <c r="H7160">
        <v>675.52</v>
      </c>
    </row>
    <row r="7161" spans="1:10" ht="15" customHeight="1" x14ac:dyDescent="0.2">
      <c r="A7161" s="420">
        <v>45747</v>
      </c>
      <c r="B7161" t="s">
        <v>2547</v>
      </c>
      <c r="C7161" t="s">
        <v>1741</v>
      </c>
      <c r="D7161" t="s">
        <v>3471</v>
      </c>
      <c r="E7161" t="s">
        <v>1797</v>
      </c>
      <c r="F7161">
        <v>87.3</v>
      </c>
      <c r="H7161">
        <v>762.82</v>
      </c>
    </row>
    <row r="7162" spans="1:10" ht="15" customHeight="1" x14ac:dyDescent="0.2">
      <c r="A7162" t="s">
        <v>1741</v>
      </c>
      <c r="E7162" t="s">
        <v>349</v>
      </c>
      <c r="F7162">
        <v>762.82</v>
      </c>
      <c r="H7162">
        <v>762.82</v>
      </c>
    </row>
    <row r="7164" spans="1:10" ht="15" customHeight="1" x14ac:dyDescent="0.2">
      <c r="A7164" t="s">
        <v>1745</v>
      </c>
      <c r="B7164" t="s">
        <v>1746</v>
      </c>
      <c r="F7164" t="s">
        <v>2430</v>
      </c>
      <c r="G7164" t="s">
        <v>2431</v>
      </c>
      <c r="H7164" t="s">
        <v>2432</v>
      </c>
      <c r="I7164" t="s">
        <v>2433</v>
      </c>
      <c r="J7164" t="s">
        <v>2434</v>
      </c>
    </row>
    <row r="7165" spans="1:10" ht="15" customHeight="1" x14ac:dyDescent="0.2">
      <c r="A7165" s="420">
        <v>45672</v>
      </c>
      <c r="B7165" t="s">
        <v>2532</v>
      </c>
      <c r="C7165" t="s">
        <v>1745</v>
      </c>
      <c r="D7165" t="s">
        <v>3454</v>
      </c>
      <c r="E7165" t="s">
        <v>1747</v>
      </c>
      <c r="F7165">
        <v>49.68</v>
      </c>
      <c r="H7165">
        <v>49.68</v>
      </c>
    </row>
    <row r="7166" spans="1:10" ht="15" customHeight="1" x14ac:dyDescent="0.2">
      <c r="A7166" s="420">
        <v>45688</v>
      </c>
      <c r="B7166" t="s">
        <v>2547</v>
      </c>
      <c r="C7166" t="s">
        <v>1745</v>
      </c>
      <c r="D7166" t="s">
        <v>3459</v>
      </c>
      <c r="E7166" t="s">
        <v>1746</v>
      </c>
      <c r="F7166">
        <v>54.37</v>
      </c>
      <c r="H7166">
        <v>104.05</v>
      </c>
    </row>
    <row r="7167" spans="1:10" ht="15" customHeight="1" x14ac:dyDescent="0.2">
      <c r="A7167" s="420">
        <v>45703</v>
      </c>
      <c r="B7167" t="s">
        <v>2532</v>
      </c>
      <c r="C7167" t="s">
        <v>1745</v>
      </c>
      <c r="D7167" t="s">
        <v>3462</v>
      </c>
      <c r="E7167" t="s">
        <v>1778</v>
      </c>
      <c r="F7167">
        <v>99.58</v>
      </c>
      <c r="H7167">
        <v>203.63</v>
      </c>
    </row>
    <row r="7168" spans="1:10" ht="15" customHeight="1" x14ac:dyDescent="0.2">
      <c r="A7168" s="420">
        <v>45731</v>
      </c>
      <c r="B7168" t="s">
        <v>2547</v>
      </c>
      <c r="C7168" t="s">
        <v>1745</v>
      </c>
      <c r="D7168" t="s">
        <v>3467</v>
      </c>
      <c r="E7168" t="s">
        <v>1797</v>
      </c>
      <c r="F7168">
        <v>51.26</v>
      </c>
      <c r="H7168">
        <v>254.89</v>
      </c>
    </row>
    <row r="7169" spans="1:8" ht="15" customHeight="1" x14ac:dyDescent="0.2">
      <c r="A7169" s="420">
        <v>45747</v>
      </c>
      <c r="B7169" t="s">
        <v>2547</v>
      </c>
      <c r="C7169" t="s">
        <v>1745</v>
      </c>
      <c r="D7169" t="s">
        <v>3471</v>
      </c>
      <c r="E7169" t="s">
        <v>1797</v>
      </c>
      <c r="F7169">
        <v>48.89</v>
      </c>
      <c r="H7169">
        <v>303.77999999999997</v>
      </c>
    </row>
    <row r="7170" spans="1:8" ht="15" customHeight="1" x14ac:dyDescent="0.2">
      <c r="A7170" s="420">
        <v>45777</v>
      </c>
      <c r="B7170" t="s">
        <v>2532</v>
      </c>
      <c r="C7170" t="s">
        <v>1745</v>
      </c>
      <c r="D7170" t="s">
        <v>3478</v>
      </c>
      <c r="E7170" t="s">
        <v>6315</v>
      </c>
      <c r="F7170">
        <v>41.46</v>
      </c>
      <c r="H7170">
        <v>345.24</v>
      </c>
    </row>
    <row r="7171" spans="1:8" ht="15" customHeight="1" x14ac:dyDescent="0.2">
      <c r="A7171" s="420">
        <v>45792</v>
      </c>
      <c r="B7171" t="s">
        <v>2532</v>
      </c>
      <c r="C7171" t="s">
        <v>1745</v>
      </c>
      <c r="D7171" t="s">
        <v>3482</v>
      </c>
      <c r="E7171" t="s">
        <v>1846</v>
      </c>
      <c r="F7171">
        <v>46.66</v>
      </c>
      <c r="H7171">
        <v>391.9</v>
      </c>
    </row>
    <row r="7172" spans="1:8" ht="15" customHeight="1" x14ac:dyDescent="0.2">
      <c r="A7172" s="420">
        <v>45808</v>
      </c>
      <c r="B7172" t="s">
        <v>2532</v>
      </c>
      <c r="C7172" t="s">
        <v>1745</v>
      </c>
      <c r="D7172" t="s">
        <v>3486</v>
      </c>
      <c r="E7172" t="s">
        <v>7870</v>
      </c>
      <c r="F7172">
        <v>44.94</v>
      </c>
      <c r="H7172">
        <v>436.84</v>
      </c>
    </row>
    <row r="7173" spans="1:8" ht="15" customHeight="1" x14ac:dyDescent="0.2">
      <c r="A7173" s="420">
        <v>45823</v>
      </c>
      <c r="B7173" t="s">
        <v>2532</v>
      </c>
      <c r="C7173" t="s">
        <v>1745</v>
      </c>
      <c r="D7173" t="s">
        <v>3490</v>
      </c>
      <c r="E7173" t="s">
        <v>1881</v>
      </c>
      <c r="F7173">
        <v>45.81</v>
      </c>
      <c r="H7173">
        <v>482.65</v>
      </c>
    </row>
    <row r="7174" spans="1:8" ht="15" customHeight="1" x14ac:dyDescent="0.2">
      <c r="A7174" s="420">
        <v>45838</v>
      </c>
      <c r="B7174" t="s">
        <v>2532</v>
      </c>
      <c r="C7174" t="s">
        <v>1745</v>
      </c>
      <c r="D7174" t="s">
        <v>3494</v>
      </c>
      <c r="E7174" t="s">
        <v>1885</v>
      </c>
      <c r="F7174">
        <v>48.38</v>
      </c>
      <c r="H7174">
        <v>531.03</v>
      </c>
    </row>
    <row r="7175" spans="1:8" ht="15" customHeight="1" x14ac:dyDescent="0.2">
      <c r="A7175" s="420">
        <v>45839</v>
      </c>
      <c r="B7175" t="s">
        <v>2517</v>
      </c>
      <c r="C7175" t="s">
        <v>1745</v>
      </c>
      <c r="D7175" t="s">
        <v>3474</v>
      </c>
      <c r="E7175" t="s">
        <v>1890</v>
      </c>
      <c r="F7175">
        <v>45.86</v>
      </c>
      <c r="H7175">
        <v>576.89</v>
      </c>
    </row>
    <row r="7176" spans="1:8" ht="15" customHeight="1" x14ac:dyDescent="0.2">
      <c r="A7176" s="420">
        <v>45853</v>
      </c>
      <c r="B7176" t="s">
        <v>2532</v>
      </c>
      <c r="C7176" t="s">
        <v>1745</v>
      </c>
      <c r="D7176" t="s">
        <v>3497</v>
      </c>
      <c r="E7176" t="s">
        <v>1901</v>
      </c>
      <c r="F7176">
        <v>53.53</v>
      </c>
      <c r="H7176">
        <v>630.41999999999996</v>
      </c>
    </row>
    <row r="7177" spans="1:8" ht="15" customHeight="1" x14ac:dyDescent="0.2">
      <c r="A7177" s="420">
        <v>45869</v>
      </c>
      <c r="B7177" t="s">
        <v>2532</v>
      </c>
      <c r="C7177" t="s">
        <v>1745</v>
      </c>
      <c r="D7177" t="s">
        <v>3502</v>
      </c>
      <c r="E7177" t="s">
        <v>1910</v>
      </c>
      <c r="F7177">
        <v>48.28</v>
      </c>
      <c r="H7177">
        <v>678.7</v>
      </c>
    </row>
    <row r="7178" spans="1:8" ht="15" customHeight="1" x14ac:dyDescent="0.2">
      <c r="A7178" s="420">
        <v>45884</v>
      </c>
      <c r="B7178" t="s">
        <v>2532</v>
      </c>
      <c r="C7178" t="s">
        <v>1745</v>
      </c>
      <c r="D7178" t="s">
        <v>3505</v>
      </c>
      <c r="E7178" t="s">
        <v>1916</v>
      </c>
      <c r="F7178">
        <v>101.79</v>
      </c>
      <c r="H7178">
        <v>780.49</v>
      </c>
    </row>
    <row r="7179" spans="1:8" ht="15" customHeight="1" x14ac:dyDescent="0.2">
      <c r="A7179" s="420">
        <v>45891</v>
      </c>
      <c r="B7179" t="s">
        <v>2532</v>
      </c>
      <c r="C7179" t="s">
        <v>1745</v>
      </c>
      <c r="D7179" t="s">
        <v>5244</v>
      </c>
      <c r="E7179" t="s">
        <v>1920</v>
      </c>
      <c r="F7179">
        <v>29.96</v>
      </c>
      <c r="H7179">
        <v>810.45</v>
      </c>
    </row>
    <row r="7180" spans="1:8" ht="15" customHeight="1" x14ac:dyDescent="0.2">
      <c r="A7180" s="420">
        <v>45915</v>
      </c>
      <c r="B7180" t="s">
        <v>2532</v>
      </c>
      <c r="C7180" t="s">
        <v>1745</v>
      </c>
      <c r="D7180" t="s">
        <v>3512</v>
      </c>
      <c r="E7180" t="s">
        <v>1937</v>
      </c>
      <c r="F7180">
        <v>45.54</v>
      </c>
      <c r="H7180">
        <v>855.99</v>
      </c>
    </row>
    <row r="7181" spans="1:8" ht="15" customHeight="1" x14ac:dyDescent="0.2">
      <c r="A7181" s="420">
        <v>45930</v>
      </c>
      <c r="B7181" t="s">
        <v>2532</v>
      </c>
      <c r="C7181" t="s">
        <v>1745</v>
      </c>
      <c r="D7181" t="s">
        <v>3516</v>
      </c>
      <c r="E7181" t="s">
        <v>1940</v>
      </c>
      <c r="F7181">
        <v>56.26</v>
      </c>
      <c r="H7181">
        <v>912.25</v>
      </c>
    </row>
    <row r="7182" spans="1:8" ht="15" customHeight="1" x14ac:dyDescent="0.2">
      <c r="A7182" s="420">
        <v>45945</v>
      </c>
      <c r="B7182" t="s">
        <v>2532</v>
      </c>
      <c r="C7182" t="s">
        <v>1745</v>
      </c>
      <c r="D7182" t="s">
        <v>3519</v>
      </c>
      <c r="E7182" t="s">
        <v>1955</v>
      </c>
      <c r="F7182">
        <v>84.74</v>
      </c>
      <c r="H7182">
        <v>996.99</v>
      </c>
    </row>
    <row r="7183" spans="1:8" ht="15" customHeight="1" x14ac:dyDescent="0.2">
      <c r="A7183" s="420">
        <v>45945</v>
      </c>
      <c r="B7183" t="s">
        <v>2532</v>
      </c>
      <c r="C7183" t="s">
        <v>1745</v>
      </c>
      <c r="D7183" t="s">
        <v>5249</v>
      </c>
      <c r="E7183" t="s">
        <v>1956</v>
      </c>
      <c r="F7183">
        <v>67.91</v>
      </c>
      <c r="H7183">
        <v>1064.9000000000001</v>
      </c>
    </row>
    <row r="7184" spans="1:8" ht="15" customHeight="1" x14ac:dyDescent="0.2">
      <c r="A7184" s="420">
        <v>45961</v>
      </c>
      <c r="B7184" t="s">
        <v>2532</v>
      </c>
      <c r="C7184" t="s">
        <v>1745</v>
      </c>
      <c r="D7184" t="s">
        <v>3523</v>
      </c>
      <c r="E7184" t="s">
        <v>1963</v>
      </c>
      <c r="F7184">
        <v>66.900000000000006</v>
      </c>
      <c r="H7184">
        <v>1131.8</v>
      </c>
    </row>
    <row r="7185" spans="1:10" ht="15" customHeight="1" x14ac:dyDescent="0.2">
      <c r="A7185" s="420">
        <v>45976</v>
      </c>
      <c r="B7185" t="s">
        <v>2532</v>
      </c>
      <c r="C7185" t="s">
        <v>1745</v>
      </c>
      <c r="D7185" t="s">
        <v>3526</v>
      </c>
      <c r="E7185" t="s">
        <v>1974</v>
      </c>
      <c r="F7185">
        <v>90.08</v>
      </c>
      <c r="H7185">
        <v>1221.8800000000001</v>
      </c>
    </row>
    <row r="7186" spans="1:10" ht="15" customHeight="1" x14ac:dyDescent="0.2">
      <c r="A7186" s="420">
        <v>45991</v>
      </c>
      <c r="B7186" t="s">
        <v>2532</v>
      </c>
      <c r="C7186" t="s">
        <v>1745</v>
      </c>
      <c r="D7186" t="s">
        <v>3530</v>
      </c>
      <c r="E7186" t="s">
        <v>1983</v>
      </c>
      <c r="F7186">
        <v>99.69</v>
      </c>
      <c r="H7186">
        <v>1321.57</v>
      </c>
    </row>
    <row r="7187" spans="1:10" ht="15" customHeight="1" x14ac:dyDescent="0.2">
      <c r="A7187" s="420">
        <v>46006</v>
      </c>
      <c r="B7187" t="s">
        <v>2547</v>
      </c>
      <c r="C7187" t="s">
        <v>1745</v>
      </c>
      <c r="D7187" t="s">
        <v>3533</v>
      </c>
      <c r="E7187" t="s">
        <v>1797</v>
      </c>
      <c r="F7187">
        <v>122.78</v>
      </c>
      <c r="H7187">
        <v>1444.35</v>
      </c>
    </row>
    <row r="7188" spans="1:10" ht="15" customHeight="1" x14ac:dyDescent="0.2">
      <c r="A7188" s="420">
        <v>46022</v>
      </c>
      <c r="B7188" t="s">
        <v>2547</v>
      </c>
      <c r="C7188" t="s">
        <v>1745</v>
      </c>
      <c r="D7188" t="s">
        <v>3537</v>
      </c>
      <c r="E7188" t="s">
        <v>1797</v>
      </c>
      <c r="F7188">
        <v>45.21</v>
      </c>
      <c r="H7188">
        <v>1489.56</v>
      </c>
    </row>
    <row r="7189" spans="1:10" ht="15" customHeight="1" x14ac:dyDescent="0.2">
      <c r="A7189" t="s">
        <v>1745</v>
      </c>
      <c r="E7189" t="s">
        <v>349</v>
      </c>
      <c r="F7189">
        <v>1489.56</v>
      </c>
      <c r="H7189">
        <v>1489.56</v>
      </c>
    </row>
    <row r="7191" spans="1:10" ht="15" customHeight="1" x14ac:dyDescent="0.2">
      <c r="A7191" t="s">
        <v>1847</v>
      </c>
      <c r="B7191" t="s">
        <v>1848</v>
      </c>
      <c r="F7191" t="s">
        <v>2430</v>
      </c>
      <c r="G7191" t="s">
        <v>2431</v>
      </c>
      <c r="H7191" t="s">
        <v>2432</v>
      </c>
      <c r="I7191" t="s">
        <v>2433</v>
      </c>
      <c r="J7191" t="s">
        <v>2434</v>
      </c>
    </row>
    <row r="7192" spans="1:10" ht="15" customHeight="1" x14ac:dyDescent="0.2">
      <c r="A7192" s="420">
        <v>45792</v>
      </c>
      <c r="B7192" t="s">
        <v>2532</v>
      </c>
      <c r="C7192" t="s">
        <v>1847</v>
      </c>
      <c r="D7192" t="s">
        <v>3482</v>
      </c>
      <c r="E7192" t="s">
        <v>1846</v>
      </c>
      <c r="F7192">
        <v>62.75</v>
      </c>
      <c r="H7192">
        <v>62.75</v>
      </c>
    </row>
    <row r="7193" spans="1:10" ht="15" customHeight="1" x14ac:dyDescent="0.2">
      <c r="A7193" s="420">
        <v>45808</v>
      </c>
      <c r="B7193" t="s">
        <v>2532</v>
      </c>
      <c r="C7193" t="s">
        <v>1847</v>
      </c>
      <c r="D7193" t="s">
        <v>3486</v>
      </c>
      <c r="E7193" t="s">
        <v>6316</v>
      </c>
      <c r="F7193">
        <v>75.849999999999994</v>
      </c>
      <c r="H7193">
        <v>138.6</v>
      </c>
    </row>
    <row r="7194" spans="1:10" ht="15" customHeight="1" x14ac:dyDescent="0.2">
      <c r="A7194" s="420">
        <v>45823</v>
      </c>
      <c r="B7194" t="s">
        <v>2532</v>
      </c>
      <c r="C7194" t="s">
        <v>1847</v>
      </c>
      <c r="D7194" t="s">
        <v>3490</v>
      </c>
      <c r="E7194" t="s">
        <v>1881</v>
      </c>
      <c r="F7194">
        <v>70.08</v>
      </c>
      <c r="H7194">
        <v>208.68</v>
      </c>
    </row>
    <row r="7195" spans="1:10" ht="15" customHeight="1" x14ac:dyDescent="0.2">
      <c r="A7195" s="420">
        <v>45838</v>
      </c>
      <c r="B7195" t="s">
        <v>2532</v>
      </c>
      <c r="C7195" t="s">
        <v>1847</v>
      </c>
      <c r="D7195" t="s">
        <v>3494</v>
      </c>
      <c r="E7195" t="s">
        <v>1885</v>
      </c>
      <c r="F7195">
        <v>64.290000000000006</v>
      </c>
      <c r="H7195">
        <v>272.97000000000003</v>
      </c>
    </row>
    <row r="7196" spans="1:10" ht="15" customHeight="1" x14ac:dyDescent="0.2">
      <c r="A7196" s="420">
        <v>45869</v>
      </c>
      <c r="B7196" t="s">
        <v>2532</v>
      </c>
      <c r="C7196" t="s">
        <v>1847</v>
      </c>
      <c r="D7196" t="s">
        <v>3502</v>
      </c>
      <c r="E7196" t="s">
        <v>1910</v>
      </c>
      <c r="F7196">
        <v>66.12</v>
      </c>
      <c r="H7196">
        <v>339.09</v>
      </c>
    </row>
    <row r="7197" spans="1:10" ht="15" customHeight="1" x14ac:dyDescent="0.2">
      <c r="A7197" s="420">
        <v>45884</v>
      </c>
      <c r="B7197" t="s">
        <v>2532</v>
      </c>
      <c r="C7197" t="s">
        <v>1847</v>
      </c>
      <c r="D7197" t="s">
        <v>3505</v>
      </c>
      <c r="E7197" t="s">
        <v>1916</v>
      </c>
      <c r="F7197">
        <v>114.34</v>
      </c>
      <c r="H7197">
        <v>453.43</v>
      </c>
    </row>
    <row r="7198" spans="1:10" ht="15" customHeight="1" x14ac:dyDescent="0.2">
      <c r="A7198" s="420">
        <v>45900</v>
      </c>
      <c r="B7198" t="s">
        <v>2532</v>
      </c>
      <c r="C7198" t="s">
        <v>1847</v>
      </c>
      <c r="D7198" t="s">
        <v>3509</v>
      </c>
      <c r="E7198" t="s">
        <v>1923</v>
      </c>
      <c r="F7198">
        <v>120.32</v>
      </c>
      <c r="H7198">
        <v>573.75</v>
      </c>
    </row>
    <row r="7199" spans="1:10" ht="15" customHeight="1" x14ac:dyDescent="0.2">
      <c r="A7199" s="420">
        <v>45915</v>
      </c>
      <c r="B7199" t="s">
        <v>2532</v>
      </c>
      <c r="C7199" t="s">
        <v>1847</v>
      </c>
      <c r="D7199" t="s">
        <v>3512</v>
      </c>
      <c r="E7199" t="s">
        <v>1937</v>
      </c>
      <c r="F7199">
        <v>131.94999999999999</v>
      </c>
      <c r="H7199">
        <v>705.7</v>
      </c>
    </row>
    <row r="7200" spans="1:10" ht="15" customHeight="1" x14ac:dyDescent="0.2">
      <c r="A7200" s="420">
        <v>45930</v>
      </c>
      <c r="B7200" t="s">
        <v>2532</v>
      </c>
      <c r="C7200" t="s">
        <v>1847</v>
      </c>
      <c r="D7200" t="s">
        <v>3516</v>
      </c>
      <c r="E7200" t="s">
        <v>1940</v>
      </c>
      <c r="F7200">
        <v>64.61</v>
      </c>
      <c r="H7200">
        <v>770.31</v>
      </c>
    </row>
    <row r="7201" spans="1:10" ht="15" customHeight="1" x14ac:dyDescent="0.2">
      <c r="A7201" s="420">
        <v>45945</v>
      </c>
      <c r="B7201" t="s">
        <v>2532</v>
      </c>
      <c r="C7201" t="s">
        <v>1847</v>
      </c>
      <c r="D7201" t="s">
        <v>3519</v>
      </c>
      <c r="E7201" t="s">
        <v>1955</v>
      </c>
      <c r="F7201">
        <v>80.56</v>
      </c>
      <c r="H7201">
        <v>850.87</v>
      </c>
    </row>
    <row r="7202" spans="1:10" ht="15" customHeight="1" x14ac:dyDescent="0.2">
      <c r="A7202" s="420">
        <v>45961</v>
      </c>
      <c r="B7202" t="s">
        <v>2532</v>
      </c>
      <c r="C7202" t="s">
        <v>1847</v>
      </c>
      <c r="D7202" t="s">
        <v>3523</v>
      </c>
      <c r="E7202" t="s">
        <v>1963</v>
      </c>
      <c r="F7202">
        <v>101.14</v>
      </c>
      <c r="H7202">
        <v>952.01</v>
      </c>
    </row>
    <row r="7203" spans="1:10" ht="15" customHeight="1" x14ac:dyDescent="0.2">
      <c r="A7203" s="420">
        <v>45991</v>
      </c>
      <c r="B7203" t="s">
        <v>2532</v>
      </c>
      <c r="C7203" t="s">
        <v>1847</v>
      </c>
      <c r="D7203" t="s">
        <v>3530</v>
      </c>
      <c r="E7203" t="s">
        <v>1983</v>
      </c>
      <c r="F7203">
        <v>65.709999999999994</v>
      </c>
      <c r="H7203">
        <v>1017.72</v>
      </c>
    </row>
    <row r="7204" spans="1:10" ht="15" customHeight="1" x14ac:dyDescent="0.2">
      <c r="A7204" s="420">
        <v>46006</v>
      </c>
      <c r="B7204" t="s">
        <v>2547</v>
      </c>
      <c r="C7204" t="s">
        <v>1847</v>
      </c>
      <c r="D7204" t="s">
        <v>3533</v>
      </c>
      <c r="E7204" t="s">
        <v>1797</v>
      </c>
      <c r="F7204">
        <v>63.71</v>
      </c>
      <c r="H7204">
        <v>1081.43</v>
      </c>
    </row>
    <row r="7205" spans="1:10" ht="15" customHeight="1" x14ac:dyDescent="0.2">
      <c r="A7205" s="420">
        <v>46022</v>
      </c>
      <c r="B7205" t="s">
        <v>2547</v>
      </c>
      <c r="C7205" t="s">
        <v>1847</v>
      </c>
      <c r="D7205" t="s">
        <v>3537</v>
      </c>
      <c r="E7205" t="s">
        <v>1797</v>
      </c>
      <c r="F7205">
        <v>64.010000000000005</v>
      </c>
      <c r="H7205">
        <v>1145.44</v>
      </c>
    </row>
    <row r="7206" spans="1:10" ht="15" customHeight="1" x14ac:dyDescent="0.2">
      <c r="A7206" t="s">
        <v>1847</v>
      </c>
      <c r="E7206" t="s">
        <v>349</v>
      </c>
      <c r="F7206">
        <v>1145.44</v>
      </c>
      <c r="H7206">
        <v>1145.44</v>
      </c>
    </row>
    <row r="7208" spans="1:10" ht="15" customHeight="1" x14ac:dyDescent="0.2">
      <c r="A7208" t="s">
        <v>1823</v>
      </c>
      <c r="B7208" t="s">
        <v>1824</v>
      </c>
      <c r="F7208" t="s">
        <v>2430</v>
      </c>
      <c r="G7208" t="s">
        <v>2431</v>
      </c>
      <c r="H7208" t="s">
        <v>2432</v>
      </c>
      <c r="I7208" t="s">
        <v>2433</v>
      </c>
      <c r="J7208" t="s">
        <v>2434</v>
      </c>
    </row>
    <row r="7209" spans="1:10" ht="15" customHeight="1" x14ac:dyDescent="0.2">
      <c r="A7209" s="420">
        <v>45762</v>
      </c>
      <c r="B7209" t="s">
        <v>2532</v>
      </c>
      <c r="C7209" t="s">
        <v>1823</v>
      </c>
      <c r="D7209" t="s">
        <v>3474</v>
      </c>
      <c r="E7209" t="s">
        <v>1825</v>
      </c>
      <c r="F7209">
        <v>45.86</v>
      </c>
      <c r="H7209">
        <v>45.86</v>
      </c>
      <c r="J7209" t="s">
        <v>2511</v>
      </c>
    </row>
    <row r="7210" spans="1:10" ht="15" customHeight="1" x14ac:dyDescent="0.2">
      <c r="A7210" s="420">
        <v>45814</v>
      </c>
      <c r="B7210" t="s">
        <v>2532</v>
      </c>
      <c r="C7210" t="s">
        <v>1823</v>
      </c>
      <c r="D7210" t="s">
        <v>5316</v>
      </c>
      <c r="E7210" t="s">
        <v>1873</v>
      </c>
      <c r="F7210">
        <v>17.23</v>
      </c>
      <c r="H7210">
        <v>63.09</v>
      </c>
    </row>
    <row r="7211" spans="1:10" ht="15" customHeight="1" x14ac:dyDescent="0.2">
      <c r="A7211" s="420">
        <v>45839</v>
      </c>
      <c r="B7211" t="s">
        <v>2517</v>
      </c>
      <c r="C7211" t="s">
        <v>1823</v>
      </c>
      <c r="D7211" t="s">
        <v>3474</v>
      </c>
      <c r="E7211" t="s">
        <v>1890</v>
      </c>
      <c r="G7211">
        <v>45.86</v>
      </c>
      <c r="H7211">
        <v>17.23</v>
      </c>
      <c r="J7211" t="s">
        <v>2511</v>
      </c>
    </row>
    <row r="7212" spans="1:10" ht="15" customHeight="1" x14ac:dyDescent="0.2">
      <c r="A7212" s="420">
        <v>45999</v>
      </c>
      <c r="B7212" t="s">
        <v>2532</v>
      </c>
      <c r="C7212" t="s">
        <v>1823</v>
      </c>
      <c r="D7212" t="s">
        <v>5319</v>
      </c>
      <c r="E7212" t="s">
        <v>1990</v>
      </c>
      <c r="F7212">
        <v>60.01</v>
      </c>
      <c r="H7212">
        <v>77.239999999999995</v>
      </c>
    </row>
    <row r="7213" spans="1:10" ht="15" customHeight="1" x14ac:dyDescent="0.2">
      <c r="A7213" t="s">
        <v>1823</v>
      </c>
      <c r="E7213" t="s">
        <v>349</v>
      </c>
      <c r="F7213">
        <v>123.1</v>
      </c>
      <c r="G7213">
        <v>45.86</v>
      </c>
      <c r="H7213">
        <v>77.239999999999995</v>
      </c>
    </row>
    <row r="7215" spans="1:10" ht="15" customHeight="1" x14ac:dyDescent="0.2">
      <c r="A7215" t="s">
        <v>435</v>
      </c>
      <c r="B7215" t="s">
        <v>436</v>
      </c>
      <c r="F7215" t="s">
        <v>2430</v>
      </c>
      <c r="G7215" t="s">
        <v>2431</v>
      </c>
      <c r="H7215" t="s">
        <v>2432</v>
      </c>
      <c r="I7215" t="s">
        <v>2433</v>
      </c>
      <c r="J7215" t="s">
        <v>2434</v>
      </c>
    </row>
    <row r="7216" spans="1:10" ht="15" customHeight="1" x14ac:dyDescent="0.2">
      <c r="A7216" s="420">
        <v>45663</v>
      </c>
      <c r="B7216" t="s">
        <v>2532</v>
      </c>
      <c r="C7216" t="s">
        <v>435</v>
      </c>
      <c r="D7216" t="s">
        <v>2753</v>
      </c>
      <c r="E7216" t="s">
        <v>437</v>
      </c>
      <c r="F7216">
        <v>19.36</v>
      </c>
      <c r="H7216">
        <v>19.36</v>
      </c>
    </row>
    <row r="7217" spans="1:10" ht="15" customHeight="1" x14ac:dyDescent="0.2">
      <c r="A7217" s="420">
        <v>45664</v>
      </c>
      <c r="B7217" t="s">
        <v>2532</v>
      </c>
      <c r="C7217" t="s">
        <v>435</v>
      </c>
      <c r="D7217" t="s">
        <v>2755</v>
      </c>
      <c r="E7217" t="s">
        <v>441</v>
      </c>
      <c r="F7217">
        <v>8.74</v>
      </c>
      <c r="H7217">
        <v>28.1</v>
      </c>
    </row>
    <row r="7218" spans="1:10" ht="15" customHeight="1" x14ac:dyDescent="0.2">
      <c r="A7218" s="420">
        <v>45664</v>
      </c>
      <c r="B7218" t="s">
        <v>2532</v>
      </c>
      <c r="C7218" t="s">
        <v>435</v>
      </c>
      <c r="D7218" t="s">
        <v>2756</v>
      </c>
      <c r="E7218" t="s">
        <v>442</v>
      </c>
      <c r="F7218">
        <v>49.92</v>
      </c>
      <c r="H7218">
        <v>78.02</v>
      </c>
    </row>
    <row r="7219" spans="1:10" ht="15" customHeight="1" x14ac:dyDescent="0.2">
      <c r="A7219" s="420">
        <v>45664</v>
      </c>
      <c r="B7219" t="s">
        <v>2532</v>
      </c>
      <c r="C7219" t="s">
        <v>435</v>
      </c>
      <c r="D7219" t="s">
        <v>2757</v>
      </c>
      <c r="E7219" t="s">
        <v>443</v>
      </c>
      <c r="F7219">
        <v>28.46</v>
      </c>
      <c r="H7219">
        <v>106.48</v>
      </c>
    </row>
    <row r="7220" spans="1:10" ht="15" customHeight="1" x14ac:dyDescent="0.2">
      <c r="A7220" s="420">
        <v>45664</v>
      </c>
      <c r="B7220" t="s">
        <v>2532</v>
      </c>
      <c r="C7220" t="s">
        <v>435</v>
      </c>
      <c r="D7220" t="s">
        <v>2758</v>
      </c>
      <c r="E7220" t="s">
        <v>444</v>
      </c>
      <c r="F7220">
        <v>28.04</v>
      </c>
      <c r="H7220">
        <v>134.52000000000001</v>
      </c>
    </row>
    <row r="7221" spans="1:10" ht="15" customHeight="1" x14ac:dyDescent="0.2">
      <c r="A7221" s="420">
        <v>45664</v>
      </c>
      <c r="B7221" t="s">
        <v>2532</v>
      </c>
      <c r="C7221" t="s">
        <v>435</v>
      </c>
      <c r="D7221" t="s">
        <v>2759</v>
      </c>
      <c r="E7221" t="s">
        <v>445</v>
      </c>
      <c r="F7221">
        <v>49.92</v>
      </c>
      <c r="H7221">
        <v>184.44</v>
      </c>
    </row>
    <row r="7222" spans="1:10" ht="15" customHeight="1" x14ac:dyDescent="0.2">
      <c r="A7222" s="420">
        <v>45667</v>
      </c>
      <c r="B7222" t="s">
        <v>2532</v>
      </c>
      <c r="C7222" t="s">
        <v>435</v>
      </c>
      <c r="D7222" t="s">
        <v>3050</v>
      </c>
      <c r="E7222" t="s">
        <v>448</v>
      </c>
      <c r="F7222">
        <v>501.29</v>
      </c>
      <c r="H7222">
        <v>685.73</v>
      </c>
    </row>
    <row r="7223" spans="1:10" ht="15" customHeight="1" x14ac:dyDescent="0.2">
      <c r="A7223" s="420">
        <v>45674</v>
      </c>
      <c r="B7223" t="s">
        <v>2547</v>
      </c>
      <c r="C7223" t="s">
        <v>435</v>
      </c>
      <c r="D7223" t="s">
        <v>5205</v>
      </c>
      <c r="E7223" t="s">
        <v>451</v>
      </c>
      <c r="F7223">
        <v>86.22</v>
      </c>
      <c r="H7223">
        <v>771.95</v>
      </c>
      <c r="J7223" t="s">
        <v>2511</v>
      </c>
    </row>
    <row r="7224" spans="1:10" ht="15" customHeight="1" x14ac:dyDescent="0.2">
      <c r="A7224" s="420">
        <v>45729</v>
      </c>
      <c r="B7224" t="s">
        <v>2547</v>
      </c>
      <c r="C7224" t="s">
        <v>435</v>
      </c>
      <c r="D7224" t="s">
        <v>3595</v>
      </c>
      <c r="E7224" t="s">
        <v>465</v>
      </c>
      <c r="F7224">
        <v>41.5</v>
      </c>
      <c r="H7224">
        <v>813.45</v>
      </c>
    </row>
    <row r="7225" spans="1:10" ht="15" customHeight="1" x14ac:dyDescent="0.2">
      <c r="A7225" s="420">
        <v>45747</v>
      </c>
      <c r="B7225" t="s">
        <v>2532</v>
      </c>
      <c r="C7225" t="s">
        <v>435</v>
      </c>
      <c r="D7225" t="s">
        <v>4208</v>
      </c>
      <c r="E7225" t="s">
        <v>469</v>
      </c>
      <c r="F7225">
        <v>276</v>
      </c>
      <c r="H7225">
        <v>1089.45</v>
      </c>
    </row>
    <row r="7226" spans="1:10" ht="15" customHeight="1" x14ac:dyDescent="0.2">
      <c r="A7226" s="420">
        <v>45757</v>
      </c>
      <c r="B7226" t="s">
        <v>2532</v>
      </c>
      <c r="C7226" t="s">
        <v>435</v>
      </c>
      <c r="D7226" t="s">
        <v>3053</v>
      </c>
      <c r="E7226" t="s">
        <v>472</v>
      </c>
      <c r="F7226">
        <v>53.08</v>
      </c>
      <c r="H7226">
        <v>1142.53</v>
      </c>
    </row>
    <row r="7227" spans="1:10" ht="15" customHeight="1" x14ac:dyDescent="0.2">
      <c r="A7227" s="420">
        <v>45770</v>
      </c>
      <c r="B7227" t="s">
        <v>2532</v>
      </c>
      <c r="C7227" t="s">
        <v>435</v>
      </c>
      <c r="D7227" t="s">
        <v>2949</v>
      </c>
      <c r="E7227" t="s">
        <v>478</v>
      </c>
      <c r="F7227">
        <v>404.49</v>
      </c>
      <c r="H7227">
        <v>1547.02</v>
      </c>
    </row>
    <row r="7228" spans="1:10" ht="15" customHeight="1" x14ac:dyDescent="0.2">
      <c r="A7228" s="420">
        <v>45770</v>
      </c>
      <c r="B7228" t="s">
        <v>2547</v>
      </c>
      <c r="C7228" t="s">
        <v>435</v>
      </c>
      <c r="D7228" t="s">
        <v>3950</v>
      </c>
      <c r="E7228" t="s">
        <v>479</v>
      </c>
      <c r="F7228">
        <v>275</v>
      </c>
      <c r="H7228">
        <v>1822.02</v>
      </c>
    </row>
    <row r="7229" spans="1:10" ht="15" customHeight="1" x14ac:dyDescent="0.2">
      <c r="A7229" s="420">
        <v>45777</v>
      </c>
      <c r="B7229" t="s">
        <v>2532</v>
      </c>
      <c r="C7229" t="s">
        <v>435</v>
      </c>
      <c r="D7229" t="s">
        <v>4218</v>
      </c>
      <c r="E7229" t="s">
        <v>482</v>
      </c>
      <c r="F7229">
        <v>41.4</v>
      </c>
      <c r="H7229">
        <v>1863.42</v>
      </c>
    </row>
    <row r="7230" spans="1:10" ht="15" customHeight="1" x14ac:dyDescent="0.2">
      <c r="A7230" s="420">
        <v>45800</v>
      </c>
      <c r="B7230" t="s">
        <v>2532</v>
      </c>
      <c r="C7230" t="s">
        <v>435</v>
      </c>
      <c r="D7230" t="s">
        <v>3540</v>
      </c>
      <c r="E7230" t="s">
        <v>492</v>
      </c>
      <c r="F7230">
        <v>499.17</v>
      </c>
      <c r="H7230">
        <v>2362.59</v>
      </c>
    </row>
    <row r="7231" spans="1:10" ht="15" customHeight="1" x14ac:dyDescent="0.2">
      <c r="A7231" s="420">
        <v>45800</v>
      </c>
      <c r="B7231" t="s">
        <v>2532</v>
      </c>
      <c r="C7231" t="s">
        <v>435</v>
      </c>
      <c r="D7231" t="s">
        <v>3540</v>
      </c>
      <c r="E7231" t="s">
        <v>492</v>
      </c>
      <c r="F7231">
        <v>415.83</v>
      </c>
      <c r="H7231">
        <v>2778.42</v>
      </c>
    </row>
    <row r="7232" spans="1:10" ht="15" customHeight="1" x14ac:dyDescent="0.2">
      <c r="A7232" s="420">
        <v>45805</v>
      </c>
      <c r="B7232" t="s">
        <v>2532</v>
      </c>
      <c r="C7232" t="s">
        <v>435</v>
      </c>
      <c r="D7232" t="s">
        <v>3030</v>
      </c>
      <c r="E7232" t="s">
        <v>494</v>
      </c>
      <c r="F7232">
        <v>95</v>
      </c>
      <c r="H7232">
        <v>2873.42</v>
      </c>
    </row>
    <row r="7233" spans="1:10" ht="15" customHeight="1" x14ac:dyDescent="0.2">
      <c r="A7233" s="420">
        <v>45807</v>
      </c>
      <c r="B7233" t="s">
        <v>2333</v>
      </c>
      <c r="C7233" t="s">
        <v>435</v>
      </c>
      <c r="D7233" t="s">
        <v>7612</v>
      </c>
      <c r="E7233" t="s">
        <v>496</v>
      </c>
      <c r="F7233">
        <v>70.05</v>
      </c>
      <c r="H7233">
        <v>2943.47</v>
      </c>
    </row>
    <row r="7234" spans="1:10" ht="15" customHeight="1" x14ac:dyDescent="0.2">
      <c r="A7234" s="420">
        <v>45811</v>
      </c>
      <c r="B7234" t="s">
        <v>2532</v>
      </c>
      <c r="C7234" t="s">
        <v>435</v>
      </c>
      <c r="D7234" t="s">
        <v>4099</v>
      </c>
      <c r="E7234" t="s">
        <v>503</v>
      </c>
      <c r="F7234">
        <v>34.15</v>
      </c>
      <c r="H7234">
        <v>2977.62</v>
      </c>
    </row>
    <row r="7235" spans="1:10" ht="15" customHeight="1" x14ac:dyDescent="0.2">
      <c r="A7235" s="420">
        <v>45839</v>
      </c>
      <c r="B7235" t="s">
        <v>2547</v>
      </c>
      <c r="C7235" t="s">
        <v>435</v>
      </c>
      <c r="D7235" t="s">
        <v>2767</v>
      </c>
      <c r="E7235" t="s">
        <v>515</v>
      </c>
      <c r="F7235">
        <v>82.49</v>
      </c>
      <c r="H7235">
        <v>3060.11</v>
      </c>
    </row>
    <row r="7236" spans="1:10" ht="15" customHeight="1" x14ac:dyDescent="0.2">
      <c r="A7236" s="420">
        <v>45839</v>
      </c>
      <c r="B7236" t="s">
        <v>2517</v>
      </c>
      <c r="C7236" t="s">
        <v>435</v>
      </c>
      <c r="D7236" t="s">
        <v>5205</v>
      </c>
      <c r="E7236" t="s">
        <v>516</v>
      </c>
      <c r="G7236">
        <v>86.22</v>
      </c>
      <c r="H7236">
        <v>2973.89</v>
      </c>
      <c r="J7236" t="s">
        <v>2511</v>
      </c>
    </row>
    <row r="7237" spans="1:10" ht="15" customHeight="1" x14ac:dyDescent="0.2">
      <c r="A7237" s="420">
        <v>45839</v>
      </c>
      <c r="B7237" t="s">
        <v>2547</v>
      </c>
      <c r="C7237" t="s">
        <v>435</v>
      </c>
      <c r="D7237" t="s">
        <v>5207</v>
      </c>
      <c r="E7237" t="s">
        <v>451</v>
      </c>
      <c r="F7237">
        <v>103.46</v>
      </c>
      <c r="H7237">
        <v>3077.35</v>
      </c>
    </row>
    <row r="7238" spans="1:10" ht="15" customHeight="1" x14ac:dyDescent="0.2">
      <c r="A7238" s="420">
        <v>45858</v>
      </c>
      <c r="B7238" t="s">
        <v>2532</v>
      </c>
      <c r="C7238" t="s">
        <v>435</v>
      </c>
      <c r="D7238" t="s">
        <v>3961</v>
      </c>
      <c r="E7238" t="s">
        <v>527</v>
      </c>
      <c r="F7238">
        <v>286.27999999999997</v>
      </c>
      <c r="H7238">
        <v>3363.63</v>
      </c>
    </row>
    <row r="7239" spans="1:10" ht="15" customHeight="1" x14ac:dyDescent="0.2">
      <c r="A7239" s="420">
        <v>45889</v>
      </c>
      <c r="B7239" t="s">
        <v>2532</v>
      </c>
      <c r="C7239" t="s">
        <v>435</v>
      </c>
      <c r="D7239" t="s">
        <v>4692</v>
      </c>
      <c r="E7239" t="s">
        <v>535</v>
      </c>
      <c r="F7239">
        <v>425</v>
      </c>
      <c r="H7239">
        <v>3788.63</v>
      </c>
    </row>
    <row r="7240" spans="1:10" ht="15" customHeight="1" x14ac:dyDescent="0.2">
      <c r="A7240" s="420">
        <v>45901</v>
      </c>
      <c r="B7240" t="s">
        <v>2532</v>
      </c>
      <c r="C7240" t="s">
        <v>435</v>
      </c>
      <c r="D7240" t="s">
        <v>4260</v>
      </c>
      <c r="E7240" t="s">
        <v>539</v>
      </c>
      <c r="F7240">
        <v>414</v>
      </c>
      <c r="H7240">
        <v>4202.63</v>
      </c>
    </row>
    <row r="7241" spans="1:10" ht="15" customHeight="1" x14ac:dyDescent="0.2">
      <c r="A7241" s="420">
        <v>45908</v>
      </c>
      <c r="B7241" t="s">
        <v>2532</v>
      </c>
      <c r="C7241" t="s">
        <v>435</v>
      </c>
      <c r="D7241" t="s">
        <v>2613</v>
      </c>
      <c r="E7241" t="s">
        <v>545</v>
      </c>
      <c r="F7241">
        <v>17.07</v>
      </c>
      <c r="H7241">
        <v>4219.7</v>
      </c>
    </row>
    <row r="7242" spans="1:10" ht="15" customHeight="1" x14ac:dyDescent="0.2">
      <c r="A7242" s="420">
        <v>45908</v>
      </c>
      <c r="B7242" t="s">
        <v>2532</v>
      </c>
      <c r="C7242" t="s">
        <v>435</v>
      </c>
      <c r="D7242" t="s">
        <v>2614</v>
      </c>
      <c r="E7242" t="s">
        <v>546</v>
      </c>
      <c r="F7242">
        <v>58.77</v>
      </c>
      <c r="H7242">
        <v>4278.47</v>
      </c>
    </row>
    <row r="7243" spans="1:10" ht="15" customHeight="1" x14ac:dyDescent="0.2">
      <c r="A7243" s="420">
        <v>45948</v>
      </c>
      <c r="B7243" t="s">
        <v>2532</v>
      </c>
      <c r="C7243" t="s">
        <v>435</v>
      </c>
      <c r="D7243" t="s">
        <v>3045</v>
      </c>
      <c r="E7243" t="s">
        <v>558</v>
      </c>
      <c r="F7243">
        <v>23.73</v>
      </c>
      <c r="H7243">
        <v>4302.2</v>
      </c>
    </row>
    <row r="7244" spans="1:10" ht="15" customHeight="1" x14ac:dyDescent="0.2">
      <c r="A7244" s="420">
        <v>45948</v>
      </c>
      <c r="B7244" t="s">
        <v>2532</v>
      </c>
      <c r="C7244" t="s">
        <v>435</v>
      </c>
      <c r="D7244" t="s">
        <v>3055</v>
      </c>
      <c r="E7244" t="s">
        <v>559</v>
      </c>
      <c r="F7244">
        <v>76.5</v>
      </c>
      <c r="H7244">
        <v>4378.7</v>
      </c>
    </row>
    <row r="7245" spans="1:10" ht="15" customHeight="1" x14ac:dyDescent="0.2">
      <c r="A7245" s="420">
        <v>45948</v>
      </c>
      <c r="B7245" t="s">
        <v>2532</v>
      </c>
      <c r="C7245" t="s">
        <v>435</v>
      </c>
      <c r="D7245" t="s">
        <v>3056</v>
      </c>
      <c r="E7245" t="s">
        <v>560</v>
      </c>
      <c r="F7245">
        <v>164.71</v>
      </c>
      <c r="H7245">
        <v>4543.41</v>
      </c>
    </row>
    <row r="7246" spans="1:10" ht="15" customHeight="1" x14ac:dyDescent="0.2">
      <c r="A7246" s="420">
        <v>45977</v>
      </c>
      <c r="B7246" t="s">
        <v>2532</v>
      </c>
      <c r="C7246" t="s">
        <v>435</v>
      </c>
      <c r="D7246" t="s">
        <v>3062</v>
      </c>
      <c r="E7246" t="s">
        <v>567</v>
      </c>
      <c r="F7246">
        <v>70.83</v>
      </c>
      <c r="H7246">
        <v>4614.24</v>
      </c>
    </row>
    <row r="7247" spans="1:10" ht="15" customHeight="1" x14ac:dyDescent="0.2">
      <c r="A7247" s="420">
        <v>45977</v>
      </c>
      <c r="B7247" t="s">
        <v>2532</v>
      </c>
      <c r="C7247" t="s">
        <v>435</v>
      </c>
      <c r="D7247" t="s">
        <v>3063</v>
      </c>
      <c r="E7247" t="s">
        <v>568</v>
      </c>
      <c r="F7247">
        <v>76.66</v>
      </c>
      <c r="H7247">
        <v>4690.8999999999996</v>
      </c>
    </row>
    <row r="7248" spans="1:10" ht="15" customHeight="1" x14ac:dyDescent="0.2">
      <c r="A7248" t="s">
        <v>435</v>
      </c>
      <c r="E7248" t="s">
        <v>349</v>
      </c>
      <c r="F7248">
        <v>4777.12</v>
      </c>
      <c r="G7248">
        <v>86.22</v>
      </c>
      <c r="H7248">
        <v>4690.8999999999996</v>
      </c>
    </row>
    <row r="7250" spans="1:10" ht="15" customHeight="1" x14ac:dyDescent="0.2">
      <c r="A7250" t="s">
        <v>438</v>
      </c>
      <c r="B7250" t="s">
        <v>439</v>
      </c>
      <c r="F7250" t="s">
        <v>2430</v>
      </c>
      <c r="G7250" t="s">
        <v>2431</v>
      </c>
      <c r="H7250" t="s">
        <v>2432</v>
      </c>
      <c r="I7250" t="s">
        <v>2433</v>
      </c>
      <c r="J7250" t="s">
        <v>2434</v>
      </c>
    </row>
    <row r="7251" spans="1:10" ht="15" customHeight="1" x14ac:dyDescent="0.2">
      <c r="A7251" s="420">
        <v>45663</v>
      </c>
      <c r="B7251" t="s">
        <v>2532</v>
      </c>
      <c r="C7251" t="s">
        <v>438</v>
      </c>
      <c r="D7251" t="s">
        <v>2753</v>
      </c>
      <c r="E7251" t="s">
        <v>437</v>
      </c>
      <c r="F7251">
        <v>14.15</v>
      </c>
      <c r="H7251">
        <v>14.15</v>
      </c>
    </row>
    <row r="7252" spans="1:10" ht="15" customHeight="1" x14ac:dyDescent="0.2">
      <c r="A7252" s="420">
        <v>45664</v>
      </c>
      <c r="B7252" t="s">
        <v>2532</v>
      </c>
      <c r="C7252" t="s">
        <v>438</v>
      </c>
      <c r="D7252" t="s">
        <v>2754</v>
      </c>
      <c r="E7252" t="s">
        <v>446</v>
      </c>
      <c r="F7252">
        <v>24.98</v>
      </c>
      <c r="H7252">
        <v>39.130000000000003</v>
      </c>
    </row>
    <row r="7253" spans="1:10" ht="15" customHeight="1" x14ac:dyDescent="0.2">
      <c r="A7253" s="420">
        <v>45667</v>
      </c>
      <c r="B7253" t="s">
        <v>2532</v>
      </c>
      <c r="C7253" t="s">
        <v>438</v>
      </c>
      <c r="D7253" t="s">
        <v>5006</v>
      </c>
      <c r="E7253" t="s">
        <v>449</v>
      </c>
      <c r="F7253">
        <v>55.44</v>
      </c>
      <c r="H7253">
        <v>94.57</v>
      </c>
    </row>
    <row r="7254" spans="1:10" ht="15" customHeight="1" x14ac:dyDescent="0.2">
      <c r="A7254" s="420">
        <v>45713</v>
      </c>
      <c r="B7254" t="s">
        <v>2532</v>
      </c>
      <c r="C7254" t="s">
        <v>438</v>
      </c>
      <c r="D7254" t="s">
        <v>2620</v>
      </c>
      <c r="E7254" t="s">
        <v>460</v>
      </c>
      <c r="F7254">
        <v>5.42</v>
      </c>
      <c r="H7254">
        <v>99.99</v>
      </c>
    </row>
    <row r="7255" spans="1:10" ht="15" customHeight="1" x14ac:dyDescent="0.2">
      <c r="A7255" s="420">
        <v>45725</v>
      </c>
      <c r="B7255" t="s">
        <v>2532</v>
      </c>
      <c r="C7255" t="s">
        <v>438</v>
      </c>
      <c r="D7255" t="s">
        <v>2762</v>
      </c>
      <c r="E7255" t="s">
        <v>463</v>
      </c>
      <c r="F7255">
        <v>26.64</v>
      </c>
      <c r="H7255">
        <v>126.63</v>
      </c>
    </row>
    <row r="7256" spans="1:10" ht="15" customHeight="1" x14ac:dyDescent="0.2">
      <c r="A7256" s="420">
        <v>45758</v>
      </c>
      <c r="B7256" t="s">
        <v>2532</v>
      </c>
      <c r="C7256" t="s">
        <v>438</v>
      </c>
      <c r="D7256" t="s">
        <v>5009</v>
      </c>
      <c r="E7256" t="s">
        <v>474</v>
      </c>
      <c r="F7256">
        <v>75.91</v>
      </c>
      <c r="H7256">
        <v>202.54</v>
      </c>
    </row>
    <row r="7257" spans="1:10" ht="15" customHeight="1" x14ac:dyDescent="0.2">
      <c r="A7257" s="420">
        <v>45777</v>
      </c>
      <c r="B7257" t="s">
        <v>2532</v>
      </c>
      <c r="C7257" t="s">
        <v>438</v>
      </c>
      <c r="D7257" t="s">
        <v>4787</v>
      </c>
      <c r="E7257" t="s">
        <v>483</v>
      </c>
      <c r="F7257">
        <v>196.41</v>
      </c>
      <c r="H7257">
        <v>398.95</v>
      </c>
    </row>
    <row r="7258" spans="1:10" ht="15" customHeight="1" x14ac:dyDescent="0.2">
      <c r="A7258" s="420">
        <v>45785</v>
      </c>
      <c r="B7258" t="s">
        <v>2532</v>
      </c>
      <c r="C7258" t="s">
        <v>438</v>
      </c>
      <c r="D7258" t="s">
        <v>2764</v>
      </c>
      <c r="E7258" t="s">
        <v>488</v>
      </c>
      <c r="F7258">
        <v>26.64</v>
      </c>
      <c r="H7258">
        <v>425.59</v>
      </c>
    </row>
    <row r="7259" spans="1:10" ht="15" customHeight="1" x14ac:dyDescent="0.2">
      <c r="A7259" s="420">
        <v>45811</v>
      </c>
      <c r="B7259" t="s">
        <v>2532</v>
      </c>
      <c r="C7259" t="s">
        <v>438</v>
      </c>
      <c r="D7259" t="s">
        <v>4099</v>
      </c>
      <c r="E7259" t="s">
        <v>504</v>
      </c>
      <c r="F7259">
        <v>174.22</v>
      </c>
      <c r="H7259">
        <v>599.80999999999995</v>
      </c>
    </row>
    <row r="7260" spans="1:10" ht="15" customHeight="1" x14ac:dyDescent="0.2">
      <c r="A7260" s="420">
        <v>45846</v>
      </c>
      <c r="B7260" t="s">
        <v>2532</v>
      </c>
      <c r="C7260" t="s">
        <v>438</v>
      </c>
      <c r="D7260" t="s">
        <v>2768</v>
      </c>
      <c r="E7260" t="s">
        <v>520</v>
      </c>
      <c r="F7260">
        <v>26.64</v>
      </c>
      <c r="H7260">
        <v>626.45000000000005</v>
      </c>
    </row>
    <row r="7261" spans="1:10" ht="15" customHeight="1" x14ac:dyDescent="0.2">
      <c r="A7261" s="420">
        <v>45849</v>
      </c>
      <c r="B7261" t="s">
        <v>2532</v>
      </c>
      <c r="C7261" t="s">
        <v>438</v>
      </c>
      <c r="D7261" t="s">
        <v>5012</v>
      </c>
      <c r="E7261" t="s">
        <v>522</v>
      </c>
      <c r="F7261">
        <v>92.33</v>
      </c>
      <c r="H7261">
        <v>718.78</v>
      </c>
    </row>
    <row r="7262" spans="1:10" ht="15" customHeight="1" x14ac:dyDescent="0.2">
      <c r="A7262" s="420">
        <v>45851</v>
      </c>
      <c r="B7262" t="s">
        <v>2532</v>
      </c>
      <c r="C7262" t="s">
        <v>438</v>
      </c>
      <c r="D7262" t="s">
        <v>2770</v>
      </c>
      <c r="E7262" t="s">
        <v>524</v>
      </c>
      <c r="G7262">
        <v>26.64</v>
      </c>
      <c r="H7262">
        <v>692.14</v>
      </c>
    </row>
    <row r="7263" spans="1:10" ht="15" customHeight="1" x14ac:dyDescent="0.2">
      <c r="A7263" s="420">
        <v>45906</v>
      </c>
      <c r="B7263" t="s">
        <v>2532</v>
      </c>
      <c r="C7263" t="s">
        <v>438</v>
      </c>
      <c r="D7263" t="s">
        <v>2778</v>
      </c>
      <c r="E7263" t="s">
        <v>543</v>
      </c>
      <c r="F7263">
        <v>26.64</v>
      </c>
      <c r="H7263">
        <v>718.78</v>
      </c>
    </row>
    <row r="7264" spans="1:10" ht="15" customHeight="1" x14ac:dyDescent="0.2">
      <c r="A7264" s="420">
        <v>45940</v>
      </c>
      <c r="B7264" t="s">
        <v>2532</v>
      </c>
      <c r="C7264" t="s">
        <v>438</v>
      </c>
      <c r="D7264" t="s">
        <v>5015</v>
      </c>
      <c r="E7264" t="s">
        <v>554</v>
      </c>
      <c r="F7264">
        <v>103.15</v>
      </c>
      <c r="H7264">
        <v>821.93</v>
      </c>
    </row>
    <row r="7265" spans="1:10" ht="15" customHeight="1" x14ac:dyDescent="0.2">
      <c r="A7265" s="420">
        <v>45946</v>
      </c>
      <c r="B7265" t="s">
        <v>2532</v>
      </c>
      <c r="C7265" t="s">
        <v>438</v>
      </c>
      <c r="D7265" t="s">
        <v>5016</v>
      </c>
      <c r="E7265" t="s">
        <v>556</v>
      </c>
      <c r="F7265">
        <v>10</v>
      </c>
      <c r="H7265">
        <v>831.93</v>
      </c>
    </row>
    <row r="7266" spans="1:10" ht="15" customHeight="1" x14ac:dyDescent="0.2">
      <c r="A7266" s="420">
        <v>45961</v>
      </c>
      <c r="B7266" t="s">
        <v>2532</v>
      </c>
      <c r="C7266" t="s">
        <v>438</v>
      </c>
      <c r="D7266" t="s">
        <v>4272</v>
      </c>
      <c r="E7266" t="s">
        <v>565</v>
      </c>
      <c r="F7266">
        <v>241</v>
      </c>
      <c r="H7266">
        <v>1072.93</v>
      </c>
    </row>
    <row r="7267" spans="1:10" ht="15" customHeight="1" x14ac:dyDescent="0.2">
      <c r="A7267" s="420">
        <v>45999</v>
      </c>
      <c r="B7267" t="s">
        <v>2532</v>
      </c>
      <c r="C7267" t="s">
        <v>438</v>
      </c>
      <c r="D7267" t="s">
        <v>4103</v>
      </c>
      <c r="E7267" t="s">
        <v>574</v>
      </c>
      <c r="F7267">
        <v>393.35</v>
      </c>
      <c r="H7267">
        <v>1466.28</v>
      </c>
    </row>
    <row r="7268" spans="1:10" ht="15" customHeight="1" x14ac:dyDescent="0.2">
      <c r="A7268" s="420">
        <v>45999</v>
      </c>
      <c r="B7268" t="s">
        <v>2532</v>
      </c>
      <c r="C7268" t="s">
        <v>438</v>
      </c>
      <c r="D7268" t="s">
        <v>2780</v>
      </c>
      <c r="E7268" t="s">
        <v>575</v>
      </c>
      <c r="F7268">
        <v>13.04</v>
      </c>
      <c r="H7268">
        <v>1479.32</v>
      </c>
    </row>
    <row r="7269" spans="1:10" ht="15" customHeight="1" x14ac:dyDescent="0.2">
      <c r="A7269" s="420">
        <v>46009</v>
      </c>
      <c r="B7269" t="s">
        <v>2532</v>
      </c>
      <c r="C7269" t="s">
        <v>438</v>
      </c>
      <c r="D7269" t="s">
        <v>5250</v>
      </c>
      <c r="E7269" t="s">
        <v>578</v>
      </c>
      <c r="F7269">
        <v>12.49</v>
      </c>
      <c r="H7269">
        <v>1491.81</v>
      </c>
    </row>
    <row r="7270" spans="1:10" ht="15" customHeight="1" x14ac:dyDescent="0.2">
      <c r="A7270" s="420">
        <v>46022</v>
      </c>
      <c r="B7270" t="s">
        <v>2532</v>
      </c>
      <c r="C7270" t="s">
        <v>438</v>
      </c>
      <c r="D7270" t="s">
        <v>4291</v>
      </c>
      <c r="E7270" t="s">
        <v>582</v>
      </c>
      <c r="F7270">
        <v>154.6</v>
      </c>
      <c r="H7270">
        <v>1646.41</v>
      </c>
    </row>
    <row r="7271" spans="1:10" ht="15" customHeight="1" x14ac:dyDescent="0.2">
      <c r="A7271" t="s">
        <v>438</v>
      </c>
      <c r="E7271" t="s">
        <v>349</v>
      </c>
      <c r="F7271">
        <v>1673.05</v>
      </c>
      <c r="G7271">
        <v>26.64</v>
      </c>
      <c r="H7271">
        <v>1646.41</v>
      </c>
    </row>
    <row r="7273" spans="1:10" ht="15" customHeight="1" x14ac:dyDescent="0.2">
      <c r="A7273" t="s">
        <v>1223</v>
      </c>
      <c r="B7273" t="s">
        <v>1224</v>
      </c>
      <c r="F7273" t="s">
        <v>2430</v>
      </c>
      <c r="G7273" t="s">
        <v>2431</v>
      </c>
      <c r="H7273" t="s">
        <v>2432</v>
      </c>
      <c r="I7273" t="s">
        <v>2433</v>
      </c>
      <c r="J7273" t="s">
        <v>2434</v>
      </c>
    </row>
    <row r="7274" spans="1:10" ht="15" customHeight="1" x14ac:dyDescent="0.2">
      <c r="A7274" s="420">
        <v>45658</v>
      </c>
      <c r="B7274" t="s">
        <v>2517</v>
      </c>
      <c r="C7274" t="s">
        <v>1223</v>
      </c>
      <c r="D7274" t="s">
        <v>7455</v>
      </c>
      <c r="E7274" t="s">
        <v>1225</v>
      </c>
      <c r="F7274">
        <v>179</v>
      </c>
      <c r="H7274">
        <v>179</v>
      </c>
    </row>
    <row r="7275" spans="1:10" ht="15" customHeight="1" x14ac:dyDescent="0.2">
      <c r="A7275" s="420">
        <v>45665</v>
      </c>
      <c r="B7275" t="s">
        <v>3987</v>
      </c>
      <c r="C7275" t="s">
        <v>1223</v>
      </c>
      <c r="D7275" t="s">
        <v>3992</v>
      </c>
      <c r="E7275" t="s">
        <v>1237</v>
      </c>
      <c r="F7275">
        <v>660.38</v>
      </c>
      <c r="H7275">
        <v>839.38</v>
      </c>
    </row>
    <row r="7276" spans="1:10" ht="15" customHeight="1" x14ac:dyDescent="0.2">
      <c r="A7276" s="420">
        <v>45696</v>
      </c>
      <c r="B7276" t="s">
        <v>3987</v>
      </c>
      <c r="C7276" t="s">
        <v>1223</v>
      </c>
      <c r="D7276" t="s">
        <v>3992</v>
      </c>
      <c r="E7276" t="s">
        <v>1242</v>
      </c>
      <c r="F7276">
        <v>660.38</v>
      </c>
      <c r="H7276">
        <v>1499.76</v>
      </c>
    </row>
    <row r="7277" spans="1:10" ht="15" customHeight="1" x14ac:dyDescent="0.2">
      <c r="A7277" s="420">
        <v>45724</v>
      </c>
      <c r="B7277" t="s">
        <v>3987</v>
      </c>
      <c r="C7277" t="s">
        <v>1223</v>
      </c>
      <c r="D7277" t="s">
        <v>3992</v>
      </c>
      <c r="E7277" t="s">
        <v>1247</v>
      </c>
      <c r="F7277">
        <v>660.38</v>
      </c>
      <c r="H7277">
        <v>2160.14</v>
      </c>
    </row>
    <row r="7278" spans="1:10" ht="15" customHeight="1" x14ac:dyDescent="0.2">
      <c r="A7278" t="s">
        <v>1223</v>
      </c>
      <c r="E7278" t="s">
        <v>349</v>
      </c>
      <c r="F7278">
        <v>2160.14</v>
      </c>
      <c r="H7278">
        <v>2160.14</v>
      </c>
    </row>
    <row r="7280" spans="1:10" ht="15" customHeight="1" x14ac:dyDescent="0.2">
      <c r="A7280" t="s">
        <v>1226</v>
      </c>
      <c r="B7280" t="s">
        <v>1227</v>
      </c>
      <c r="F7280" t="s">
        <v>2430</v>
      </c>
      <c r="G7280" t="s">
        <v>2431</v>
      </c>
      <c r="H7280" t="s">
        <v>2432</v>
      </c>
      <c r="I7280" t="s">
        <v>2433</v>
      </c>
      <c r="J7280" t="s">
        <v>2434</v>
      </c>
    </row>
    <row r="7281" spans="1:10" ht="15" customHeight="1" x14ac:dyDescent="0.2">
      <c r="A7281" s="420">
        <v>45658</v>
      </c>
      <c r="B7281" t="s">
        <v>2517</v>
      </c>
      <c r="C7281" t="s">
        <v>1226</v>
      </c>
      <c r="D7281" t="s">
        <v>7457</v>
      </c>
      <c r="E7281" t="s">
        <v>1228</v>
      </c>
      <c r="F7281">
        <v>64</v>
      </c>
      <c r="H7281">
        <v>64</v>
      </c>
    </row>
    <row r="7282" spans="1:10" ht="15" customHeight="1" x14ac:dyDescent="0.2">
      <c r="A7282" s="420">
        <v>45663</v>
      </c>
      <c r="B7282" t="s">
        <v>3987</v>
      </c>
      <c r="C7282" t="s">
        <v>1226</v>
      </c>
      <c r="D7282" t="s">
        <v>3988</v>
      </c>
      <c r="E7282" t="s">
        <v>1235</v>
      </c>
      <c r="F7282">
        <v>393.82</v>
      </c>
      <c r="H7282">
        <v>457.82</v>
      </c>
    </row>
    <row r="7283" spans="1:10" ht="15" customHeight="1" x14ac:dyDescent="0.2">
      <c r="A7283" s="420">
        <v>45694</v>
      </c>
      <c r="B7283" t="s">
        <v>3987</v>
      </c>
      <c r="C7283" t="s">
        <v>1226</v>
      </c>
      <c r="D7283" t="s">
        <v>3988</v>
      </c>
      <c r="E7283" t="s">
        <v>1240</v>
      </c>
      <c r="F7283">
        <v>393.82</v>
      </c>
      <c r="H7283">
        <v>851.64</v>
      </c>
    </row>
    <row r="7284" spans="1:10" ht="15" customHeight="1" x14ac:dyDescent="0.2">
      <c r="A7284" s="420">
        <v>45722</v>
      </c>
      <c r="B7284" t="s">
        <v>3987</v>
      </c>
      <c r="C7284" t="s">
        <v>1226</v>
      </c>
      <c r="D7284" t="s">
        <v>3988</v>
      </c>
      <c r="E7284" t="s">
        <v>1245</v>
      </c>
      <c r="F7284">
        <v>393.82</v>
      </c>
      <c r="H7284">
        <v>1245.46</v>
      </c>
    </row>
    <row r="7285" spans="1:10" ht="15" customHeight="1" x14ac:dyDescent="0.2">
      <c r="A7285" s="420">
        <v>45753</v>
      </c>
      <c r="B7285" t="s">
        <v>3987</v>
      </c>
      <c r="C7285" t="s">
        <v>1226</v>
      </c>
      <c r="D7285" t="s">
        <v>3988</v>
      </c>
      <c r="E7285" t="s">
        <v>1254</v>
      </c>
      <c r="F7285">
        <v>393.82</v>
      </c>
      <c r="H7285">
        <v>1639.28</v>
      </c>
    </row>
    <row r="7286" spans="1:10" ht="15" customHeight="1" x14ac:dyDescent="0.2">
      <c r="A7286" s="420">
        <v>45783</v>
      </c>
      <c r="B7286" t="s">
        <v>3987</v>
      </c>
      <c r="C7286" t="s">
        <v>1226</v>
      </c>
      <c r="D7286" t="s">
        <v>3988</v>
      </c>
      <c r="E7286" t="s">
        <v>1259</v>
      </c>
      <c r="F7286">
        <v>393.82</v>
      </c>
      <c r="H7286">
        <v>2033.1</v>
      </c>
    </row>
    <row r="7287" spans="1:10" ht="15" customHeight="1" x14ac:dyDescent="0.2">
      <c r="A7287" s="420">
        <v>45814</v>
      </c>
      <c r="B7287" t="s">
        <v>3987</v>
      </c>
      <c r="C7287" t="s">
        <v>1226</v>
      </c>
      <c r="D7287" t="s">
        <v>3988</v>
      </c>
      <c r="E7287" t="s">
        <v>1262</v>
      </c>
      <c r="F7287">
        <v>393.82</v>
      </c>
      <c r="H7287">
        <v>2426.92</v>
      </c>
    </row>
    <row r="7288" spans="1:10" ht="15" customHeight="1" x14ac:dyDescent="0.2">
      <c r="A7288" s="420">
        <v>45844</v>
      </c>
      <c r="B7288" t="s">
        <v>3987</v>
      </c>
      <c r="C7288" t="s">
        <v>1226</v>
      </c>
      <c r="D7288" t="s">
        <v>3988</v>
      </c>
      <c r="E7288" t="s">
        <v>1271</v>
      </c>
      <c r="F7288">
        <v>393.82</v>
      </c>
      <c r="H7288">
        <v>2820.74</v>
      </c>
    </row>
    <row r="7289" spans="1:10" ht="15" customHeight="1" x14ac:dyDescent="0.2">
      <c r="A7289" s="420">
        <v>45875</v>
      </c>
      <c r="B7289" t="s">
        <v>3987</v>
      </c>
      <c r="C7289" t="s">
        <v>1226</v>
      </c>
      <c r="D7289" t="s">
        <v>3988</v>
      </c>
      <c r="E7289" t="s">
        <v>1274</v>
      </c>
      <c r="F7289">
        <v>393.82</v>
      </c>
      <c r="H7289">
        <v>3214.56</v>
      </c>
    </row>
    <row r="7290" spans="1:10" ht="15" customHeight="1" x14ac:dyDescent="0.2">
      <c r="A7290" s="420">
        <v>45906</v>
      </c>
      <c r="B7290" t="s">
        <v>3987</v>
      </c>
      <c r="C7290" t="s">
        <v>1226</v>
      </c>
      <c r="D7290" t="s">
        <v>3988</v>
      </c>
      <c r="E7290" t="s">
        <v>1276</v>
      </c>
      <c r="F7290">
        <v>393.82</v>
      </c>
      <c r="H7290">
        <v>3608.38</v>
      </c>
    </row>
    <row r="7291" spans="1:10" ht="15" customHeight="1" x14ac:dyDescent="0.2">
      <c r="A7291" s="420">
        <v>45936</v>
      </c>
      <c r="B7291" t="s">
        <v>3987</v>
      </c>
      <c r="C7291" t="s">
        <v>1226</v>
      </c>
      <c r="D7291" t="s">
        <v>3988</v>
      </c>
      <c r="E7291" t="s">
        <v>1282</v>
      </c>
      <c r="F7291">
        <v>393.82</v>
      </c>
      <c r="H7291">
        <v>4002.2</v>
      </c>
    </row>
    <row r="7292" spans="1:10" ht="15" customHeight="1" x14ac:dyDescent="0.2">
      <c r="A7292" s="420">
        <v>45967</v>
      </c>
      <c r="B7292" t="s">
        <v>3987</v>
      </c>
      <c r="C7292" t="s">
        <v>1226</v>
      </c>
      <c r="D7292" t="s">
        <v>3988</v>
      </c>
      <c r="E7292" t="s">
        <v>1285</v>
      </c>
      <c r="F7292">
        <v>393.82</v>
      </c>
      <c r="H7292">
        <v>4396.0200000000004</v>
      </c>
    </row>
    <row r="7293" spans="1:10" ht="15" customHeight="1" x14ac:dyDescent="0.2">
      <c r="A7293" s="420">
        <v>45997</v>
      </c>
      <c r="B7293" t="s">
        <v>3987</v>
      </c>
      <c r="C7293" t="s">
        <v>1226</v>
      </c>
      <c r="D7293" t="s">
        <v>3988</v>
      </c>
      <c r="E7293" t="s">
        <v>1288</v>
      </c>
      <c r="F7293">
        <v>393.82</v>
      </c>
      <c r="H7293">
        <v>4789.84</v>
      </c>
    </row>
    <row r="7294" spans="1:10" ht="15" customHeight="1" x14ac:dyDescent="0.2">
      <c r="A7294" t="s">
        <v>1226</v>
      </c>
      <c r="E7294" t="s">
        <v>349</v>
      </c>
      <c r="F7294">
        <v>4789.84</v>
      </c>
      <c r="H7294">
        <v>4789.84</v>
      </c>
    </row>
    <row r="7296" spans="1:10" ht="15" customHeight="1" x14ac:dyDescent="0.2">
      <c r="A7296" t="s">
        <v>1255</v>
      </c>
      <c r="B7296" t="s">
        <v>1256</v>
      </c>
      <c r="F7296" t="s">
        <v>2430</v>
      </c>
      <c r="G7296" t="s">
        <v>2431</v>
      </c>
      <c r="H7296" t="s">
        <v>2432</v>
      </c>
      <c r="I7296" t="s">
        <v>2433</v>
      </c>
      <c r="J7296" t="s">
        <v>2434</v>
      </c>
    </row>
    <row r="7297" spans="1:10" ht="15" customHeight="1" x14ac:dyDescent="0.2">
      <c r="A7297" s="420">
        <v>45778</v>
      </c>
      <c r="B7297" t="s">
        <v>2532</v>
      </c>
      <c r="C7297" t="s">
        <v>1255</v>
      </c>
      <c r="D7297" t="s">
        <v>5418</v>
      </c>
      <c r="E7297" t="s">
        <v>708</v>
      </c>
      <c r="F7297">
        <v>28.56</v>
      </c>
      <c r="H7297">
        <v>28.56</v>
      </c>
    </row>
    <row r="7298" spans="1:10" ht="15" customHeight="1" x14ac:dyDescent="0.2">
      <c r="A7298" s="420">
        <v>45779</v>
      </c>
      <c r="B7298" t="s">
        <v>2532</v>
      </c>
      <c r="C7298" t="s">
        <v>1255</v>
      </c>
      <c r="D7298" t="s">
        <v>5419</v>
      </c>
      <c r="E7298" t="s">
        <v>710</v>
      </c>
      <c r="F7298">
        <v>428.23</v>
      </c>
      <c r="H7298">
        <v>456.79</v>
      </c>
    </row>
    <row r="7299" spans="1:10" ht="15" customHeight="1" x14ac:dyDescent="0.2">
      <c r="A7299" s="420">
        <v>45809</v>
      </c>
      <c r="B7299" t="s">
        <v>2532</v>
      </c>
      <c r="C7299" t="s">
        <v>1255</v>
      </c>
      <c r="D7299" t="s">
        <v>5422</v>
      </c>
      <c r="E7299" t="s">
        <v>720</v>
      </c>
      <c r="F7299">
        <v>356.86</v>
      </c>
      <c r="H7299">
        <v>813.65</v>
      </c>
    </row>
    <row r="7300" spans="1:10" ht="15" customHeight="1" x14ac:dyDescent="0.2">
      <c r="A7300" s="420">
        <v>45838</v>
      </c>
      <c r="B7300" t="s">
        <v>2439</v>
      </c>
      <c r="C7300" t="s">
        <v>1255</v>
      </c>
      <c r="D7300" t="s">
        <v>6978</v>
      </c>
      <c r="E7300" t="s">
        <v>1265</v>
      </c>
      <c r="F7300">
        <v>71.37</v>
      </c>
      <c r="H7300">
        <v>885.02</v>
      </c>
    </row>
    <row r="7301" spans="1:10" ht="15" customHeight="1" x14ac:dyDescent="0.2">
      <c r="A7301" s="420">
        <v>45839</v>
      </c>
      <c r="B7301" t="s">
        <v>2532</v>
      </c>
      <c r="C7301" t="s">
        <v>1255</v>
      </c>
      <c r="D7301" t="s">
        <v>5427</v>
      </c>
      <c r="E7301" t="s">
        <v>734</v>
      </c>
      <c r="F7301">
        <v>356.86</v>
      </c>
      <c r="H7301">
        <v>1241.8800000000001</v>
      </c>
    </row>
    <row r="7302" spans="1:10" ht="15" customHeight="1" x14ac:dyDescent="0.2">
      <c r="A7302" s="420">
        <v>45870</v>
      </c>
      <c r="B7302" t="s">
        <v>2532</v>
      </c>
      <c r="C7302" t="s">
        <v>1255</v>
      </c>
      <c r="D7302" t="s">
        <v>5430</v>
      </c>
      <c r="E7302" t="s">
        <v>734</v>
      </c>
      <c r="F7302">
        <v>356.86</v>
      </c>
      <c r="H7302">
        <v>1598.74</v>
      </c>
    </row>
    <row r="7303" spans="1:10" ht="15" customHeight="1" x14ac:dyDescent="0.2">
      <c r="A7303" s="420">
        <v>45901</v>
      </c>
      <c r="B7303" t="s">
        <v>2532</v>
      </c>
      <c r="C7303" t="s">
        <v>1255</v>
      </c>
      <c r="D7303" t="s">
        <v>5433</v>
      </c>
      <c r="E7303" t="s">
        <v>5434</v>
      </c>
      <c r="F7303">
        <v>356.86</v>
      </c>
      <c r="H7303">
        <v>1955.6</v>
      </c>
    </row>
    <row r="7304" spans="1:10" ht="15" customHeight="1" x14ac:dyDescent="0.2">
      <c r="A7304" s="420">
        <v>45931</v>
      </c>
      <c r="B7304" t="s">
        <v>2532</v>
      </c>
      <c r="C7304" t="s">
        <v>1255</v>
      </c>
      <c r="D7304" t="s">
        <v>5437</v>
      </c>
      <c r="E7304" t="s">
        <v>763</v>
      </c>
      <c r="F7304">
        <v>356.86</v>
      </c>
      <c r="H7304">
        <v>2312.46</v>
      </c>
    </row>
    <row r="7305" spans="1:10" ht="15" customHeight="1" x14ac:dyDescent="0.2">
      <c r="A7305" s="420">
        <v>45962</v>
      </c>
      <c r="B7305" t="s">
        <v>2532</v>
      </c>
      <c r="C7305" t="s">
        <v>1255</v>
      </c>
      <c r="D7305" t="s">
        <v>5438</v>
      </c>
      <c r="E7305" t="s">
        <v>780</v>
      </c>
      <c r="F7305">
        <v>356.86</v>
      </c>
      <c r="H7305">
        <v>2669.32</v>
      </c>
    </row>
    <row r="7306" spans="1:10" ht="15" customHeight="1" x14ac:dyDescent="0.2">
      <c r="A7306" s="420">
        <v>45992</v>
      </c>
      <c r="B7306" t="s">
        <v>2532</v>
      </c>
      <c r="C7306" t="s">
        <v>1255</v>
      </c>
      <c r="D7306" t="s">
        <v>5443</v>
      </c>
      <c r="E7306" t="s">
        <v>791</v>
      </c>
      <c r="F7306">
        <v>356.86</v>
      </c>
      <c r="H7306">
        <v>3026.18</v>
      </c>
    </row>
    <row r="7307" spans="1:10" ht="15" customHeight="1" x14ac:dyDescent="0.2">
      <c r="A7307" s="420">
        <v>46022</v>
      </c>
      <c r="B7307" t="s">
        <v>2439</v>
      </c>
      <c r="C7307" t="s">
        <v>1255</v>
      </c>
      <c r="D7307" t="s">
        <v>6996</v>
      </c>
      <c r="E7307" t="s">
        <v>1289</v>
      </c>
      <c r="F7307">
        <v>428.22</v>
      </c>
      <c r="H7307">
        <v>3454.4</v>
      </c>
    </row>
    <row r="7308" spans="1:10" ht="15" customHeight="1" x14ac:dyDescent="0.2">
      <c r="A7308" t="s">
        <v>1255</v>
      </c>
      <c r="E7308" t="s">
        <v>349</v>
      </c>
      <c r="F7308">
        <v>3454.4</v>
      </c>
      <c r="H7308">
        <v>3454.4</v>
      </c>
    </row>
    <row r="7310" spans="1:10" ht="15" customHeight="1" x14ac:dyDescent="0.2">
      <c r="A7310" t="s">
        <v>1249</v>
      </c>
      <c r="B7310" t="s">
        <v>1250</v>
      </c>
      <c r="F7310" t="s">
        <v>2430</v>
      </c>
      <c r="G7310" t="s">
        <v>2431</v>
      </c>
      <c r="H7310" t="s">
        <v>2432</v>
      </c>
      <c r="I7310" t="s">
        <v>2433</v>
      </c>
      <c r="J7310" t="s">
        <v>2434</v>
      </c>
    </row>
    <row r="7311" spans="1:10" ht="15" customHeight="1" x14ac:dyDescent="0.2">
      <c r="A7311" s="420">
        <v>45747</v>
      </c>
      <c r="B7311" t="s">
        <v>2439</v>
      </c>
      <c r="C7311" t="s">
        <v>1249</v>
      </c>
      <c r="D7311" t="s">
        <v>2638</v>
      </c>
      <c r="E7311" t="s">
        <v>1251</v>
      </c>
      <c r="F7311">
        <v>177.11</v>
      </c>
      <c r="H7311">
        <v>177.11</v>
      </c>
    </row>
    <row r="7312" spans="1:10" ht="15" customHeight="1" x14ac:dyDescent="0.2">
      <c r="A7312" s="420">
        <v>45748</v>
      </c>
      <c r="B7312" t="s">
        <v>2439</v>
      </c>
      <c r="C7312" t="s">
        <v>1249</v>
      </c>
      <c r="D7312" t="s">
        <v>2639</v>
      </c>
      <c r="E7312" t="s">
        <v>693</v>
      </c>
      <c r="F7312">
        <v>1029.1400000000001</v>
      </c>
      <c r="H7312">
        <v>1206.25</v>
      </c>
    </row>
    <row r="7313" spans="1:10" ht="15" customHeight="1" x14ac:dyDescent="0.2">
      <c r="A7313" s="420">
        <v>45778</v>
      </c>
      <c r="B7313" t="s">
        <v>2439</v>
      </c>
      <c r="C7313" t="s">
        <v>1249</v>
      </c>
      <c r="D7313" t="s">
        <v>2640</v>
      </c>
      <c r="E7313" t="s">
        <v>705</v>
      </c>
      <c r="F7313">
        <v>1029.1400000000001</v>
      </c>
      <c r="H7313">
        <v>2235.39</v>
      </c>
    </row>
    <row r="7314" spans="1:10" ht="15" customHeight="1" x14ac:dyDescent="0.2">
      <c r="A7314" s="420">
        <v>45809</v>
      </c>
      <c r="B7314" t="s">
        <v>2439</v>
      </c>
      <c r="C7314" t="s">
        <v>1249</v>
      </c>
      <c r="D7314" t="s">
        <v>2643</v>
      </c>
      <c r="E7314" t="s">
        <v>719</v>
      </c>
      <c r="F7314">
        <v>1029.1400000000001</v>
      </c>
      <c r="H7314">
        <v>3264.53</v>
      </c>
    </row>
    <row r="7315" spans="1:10" ht="15" customHeight="1" x14ac:dyDescent="0.2">
      <c r="A7315" s="420">
        <v>45839</v>
      </c>
      <c r="B7315" t="s">
        <v>2439</v>
      </c>
      <c r="C7315" t="s">
        <v>1249</v>
      </c>
      <c r="D7315" t="s">
        <v>2646</v>
      </c>
      <c r="E7315" t="s">
        <v>719</v>
      </c>
      <c r="F7315">
        <v>1029.1400000000001</v>
      </c>
      <c r="H7315">
        <v>4293.67</v>
      </c>
    </row>
    <row r="7316" spans="1:10" ht="15" customHeight="1" x14ac:dyDescent="0.2">
      <c r="A7316" s="420">
        <v>45870</v>
      </c>
      <c r="B7316" t="s">
        <v>2439</v>
      </c>
      <c r="C7316" t="s">
        <v>1249</v>
      </c>
      <c r="D7316" t="s">
        <v>2649</v>
      </c>
      <c r="E7316" t="s">
        <v>719</v>
      </c>
      <c r="F7316">
        <v>1029.1400000000001</v>
      </c>
      <c r="H7316">
        <v>5322.81</v>
      </c>
    </row>
    <row r="7317" spans="1:10" ht="15" customHeight="1" x14ac:dyDescent="0.2">
      <c r="A7317" s="420">
        <v>45901</v>
      </c>
      <c r="B7317" t="s">
        <v>2439</v>
      </c>
      <c r="C7317" t="s">
        <v>1249</v>
      </c>
      <c r="D7317" t="s">
        <v>2652</v>
      </c>
      <c r="E7317" t="s">
        <v>719</v>
      </c>
      <c r="F7317">
        <v>1029.1400000000001</v>
      </c>
      <c r="H7317">
        <v>6351.95</v>
      </c>
    </row>
    <row r="7318" spans="1:10" ht="15" customHeight="1" x14ac:dyDescent="0.2">
      <c r="A7318" s="420">
        <v>45931</v>
      </c>
      <c r="B7318" t="s">
        <v>2439</v>
      </c>
      <c r="C7318" t="s">
        <v>1249</v>
      </c>
      <c r="D7318" t="s">
        <v>2655</v>
      </c>
      <c r="E7318" t="s">
        <v>719</v>
      </c>
      <c r="F7318">
        <v>1029.1400000000001</v>
      </c>
      <c r="H7318">
        <v>7381.09</v>
      </c>
    </row>
    <row r="7319" spans="1:10" ht="15" customHeight="1" x14ac:dyDescent="0.2">
      <c r="A7319" s="420">
        <v>45962</v>
      </c>
      <c r="B7319" t="s">
        <v>2439</v>
      </c>
      <c r="C7319" t="s">
        <v>1249</v>
      </c>
      <c r="D7319" t="s">
        <v>2658</v>
      </c>
      <c r="E7319" t="s">
        <v>719</v>
      </c>
      <c r="F7319">
        <v>1029.1400000000001</v>
      </c>
      <c r="H7319">
        <v>8410.23</v>
      </c>
    </row>
    <row r="7320" spans="1:10" ht="15" customHeight="1" x14ac:dyDescent="0.2">
      <c r="A7320" s="420">
        <v>45992</v>
      </c>
      <c r="B7320" t="s">
        <v>2439</v>
      </c>
      <c r="C7320" t="s">
        <v>1249</v>
      </c>
      <c r="D7320" t="s">
        <v>2661</v>
      </c>
      <c r="E7320" t="s">
        <v>719</v>
      </c>
      <c r="F7320">
        <v>1029.1400000000001</v>
      </c>
      <c r="H7320">
        <v>9439.3700000000008</v>
      </c>
    </row>
    <row r="7321" spans="1:10" ht="15" customHeight="1" x14ac:dyDescent="0.2">
      <c r="A7321" t="s">
        <v>1249</v>
      </c>
      <c r="E7321" t="s">
        <v>349</v>
      </c>
      <c r="F7321">
        <v>9439.3700000000008</v>
      </c>
      <c r="H7321">
        <v>9439.3700000000008</v>
      </c>
    </row>
    <row r="7323" spans="1:10" ht="15" customHeight="1" x14ac:dyDescent="0.2">
      <c r="A7323" t="s">
        <v>1194</v>
      </c>
      <c r="B7323" t="s">
        <v>1195</v>
      </c>
      <c r="F7323" t="s">
        <v>2430</v>
      </c>
      <c r="G7323" t="s">
        <v>2431</v>
      </c>
      <c r="H7323" t="s">
        <v>2432</v>
      </c>
      <c r="I7323" t="s">
        <v>2433</v>
      </c>
      <c r="J7323" t="s">
        <v>2434</v>
      </c>
    </row>
    <row r="7324" spans="1:10" ht="15" customHeight="1" x14ac:dyDescent="0.2">
      <c r="A7324" s="420">
        <v>45658</v>
      </c>
      <c r="B7324" t="s">
        <v>2532</v>
      </c>
      <c r="C7324" t="s">
        <v>1194</v>
      </c>
      <c r="D7324" t="s">
        <v>4042</v>
      </c>
      <c r="E7324" t="s">
        <v>1196</v>
      </c>
      <c r="F7324">
        <v>1000</v>
      </c>
      <c r="H7324">
        <v>1000</v>
      </c>
    </row>
    <row r="7325" spans="1:10" ht="15" customHeight="1" x14ac:dyDescent="0.2">
      <c r="A7325" s="420">
        <v>45689</v>
      </c>
      <c r="B7325" t="s">
        <v>2532</v>
      </c>
      <c r="C7325" t="s">
        <v>1194</v>
      </c>
      <c r="D7325" t="s">
        <v>4046</v>
      </c>
      <c r="E7325" t="s">
        <v>1207</v>
      </c>
      <c r="F7325">
        <v>1000</v>
      </c>
      <c r="H7325">
        <v>2000</v>
      </c>
    </row>
    <row r="7326" spans="1:10" ht="15" customHeight="1" x14ac:dyDescent="0.2">
      <c r="A7326" s="420">
        <v>45717</v>
      </c>
      <c r="B7326" t="s">
        <v>2532</v>
      </c>
      <c r="C7326" t="s">
        <v>1194</v>
      </c>
      <c r="D7326" t="s">
        <v>4048</v>
      </c>
      <c r="E7326" t="s">
        <v>1208</v>
      </c>
      <c r="F7326">
        <v>1000</v>
      </c>
      <c r="H7326">
        <v>3000</v>
      </c>
    </row>
    <row r="7327" spans="1:10" ht="15" customHeight="1" x14ac:dyDescent="0.2">
      <c r="A7327" s="420">
        <v>45748</v>
      </c>
      <c r="B7327" t="s">
        <v>2532</v>
      </c>
      <c r="C7327" t="s">
        <v>1194</v>
      </c>
      <c r="D7327" t="s">
        <v>4050</v>
      </c>
      <c r="E7327" t="s">
        <v>1211</v>
      </c>
      <c r="F7327">
        <v>1000</v>
      </c>
      <c r="H7327">
        <v>4000</v>
      </c>
    </row>
    <row r="7328" spans="1:10" ht="15" customHeight="1" x14ac:dyDescent="0.2">
      <c r="A7328" s="420">
        <v>45778</v>
      </c>
      <c r="B7328" t="s">
        <v>2532</v>
      </c>
      <c r="C7328" t="s">
        <v>1194</v>
      </c>
      <c r="D7328" t="s">
        <v>4052</v>
      </c>
      <c r="E7328" t="s">
        <v>1214</v>
      </c>
      <c r="F7328">
        <v>1000</v>
      </c>
      <c r="H7328">
        <v>5000</v>
      </c>
    </row>
    <row r="7329" spans="1:10" ht="15" customHeight="1" x14ac:dyDescent="0.2">
      <c r="A7329" s="420">
        <v>45809</v>
      </c>
      <c r="B7329" t="s">
        <v>2532</v>
      </c>
      <c r="C7329" t="s">
        <v>1194</v>
      </c>
      <c r="D7329" t="s">
        <v>4054</v>
      </c>
      <c r="E7329" t="s">
        <v>1215</v>
      </c>
      <c r="F7329">
        <v>1000</v>
      </c>
      <c r="H7329">
        <v>6000</v>
      </c>
    </row>
    <row r="7330" spans="1:10" ht="15" customHeight="1" x14ac:dyDescent="0.2">
      <c r="A7330" s="420">
        <v>45839</v>
      </c>
      <c r="B7330" t="s">
        <v>2532</v>
      </c>
      <c r="C7330" t="s">
        <v>1194</v>
      </c>
      <c r="D7330" t="s">
        <v>4056</v>
      </c>
      <c r="E7330" t="s">
        <v>1216</v>
      </c>
      <c r="F7330">
        <v>1080</v>
      </c>
      <c r="H7330">
        <v>7080</v>
      </c>
    </row>
    <row r="7331" spans="1:10" ht="15" customHeight="1" x14ac:dyDescent="0.2">
      <c r="A7331" s="420">
        <v>45870</v>
      </c>
      <c r="B7331" t="s">
        <v>2532</v>
      </c>
      <c r="C7331" t="s">
        <v>1194</v>
      </c>
      <c r="D7331" t="s">
        <v>4059</v>
      </c>
      <c r="E7331" t="s">
        <v>1217</v>
      </c>
      <c r="F7331">
        <v>1080</v>
      </c>
      <c r="H7331">
        <v>8160</v>
      </c>
    </row>
    <row r="7332" spans="1:10" ht="15" customHeight="1" x14ac:dyDescent="0.2">
      <c r="A7332" s="420">
        <v>45901</v>
      </c>
      <c r="B7332" t="s">
        <v>2532</v>
      </c>
      <c r="C7332" t="s">
        <v>1194</v>
      </c>
      <c r="D7332" t="s">
        <v>4061</v>
      </c>
      <c r="E7332" t="s">
        <v>1218</v>
      </c>
      <c r="F7332">
        <v>1080</v>
      </c>
      <c r="H7332">
        <v>9240</v>
      </c>
    </row>
    <row r="7333" spans="1:10" ht="15" customHeight="1" x14ac:dyDescent="0.2">
      <c r="A7333" s="420">
        <v>45931</v>
      </c>
      <c r="B7333" t="s">
        <v>2532</v>
      </c>
      <c r="C7333" t="s">
        <v>1194</v>
      </c>
      <c r="D7333" t="s">
        <v>4063</v>
      </c>
      <c r="E7333" t="s">
        <v>1218</v>
      </c>
      <c r="F7333">
        <v>1080</v>
      </c>
      <c r="H7333">
        <v>10320</v>
      </c>
    </row>
    <row r="7334" spans="1:10" ht="15" customHeight="1" x14ac:dyDescent="0.2">
      <c r="A7334" s="420">
        <v>45962</v>
      </c>
      <c r="B7334" t="s">
        <v>2532</v>
      </c>
      <c r="C7334" t="s">
        <v>1194</v>
      </c>
      <c r="D7334" t="s">
        <v>4065</v>
      </c>
      <c r="E7334" t="s">
        <v>1221</v>
      </c>
      <c r="F7334">
        <v>1080</v>
      </c>
      <c r="H7334">
        <v>11400</v>
      </c>
    </row>
    <row r="7335" spans="1:10" ht="15" customHeight="1" x14ac:dyDescent="0.2">
      <c r="A7335" s="420">
        <v>45992</v>
      </c>
      <c r="B7335" t="s">
        <v>2532</v>
      </c>
      <c r="C7335" t="s">
        <v>1194</v>
      </c>
      <c r="D7335" t="s">
        <v>4067</v>
      </c>
      <c r="E7335" t="s">
        <v>1222</v>
      </c>
      <c r="F7335">
        <v>1080</v>
      </c>
      <c r="H7335">
        <v>12480</v>
      </c>
    </row>
    <row r="7336" spans="1:10" ht="15" customHeight="1" x14ac:dyDescent="0.2">
      <c r="A7336" t="s">
        <v>1194</v>
      </c>
      <c r="E7336" t="s">
        <v>349</v>
      </c>
      <c r="F7336">
        <v>12480</v>
      </c>
      <c r="H7336">
        <v>12480</v>
      </c>
    </row>
    <row r="7338" spans="1:10" ht="15" customHeight="1" x14ac:dyDescent="0.2">
      <c r="A7338" t="s">
        <v>1197</v>
      </c>
      <c r="B7338" t="s">
        <v>1198</v>
      </c>
      <c r="F7338" t="s">
        <v>2430</v>
      </c>
      <c r="G7338" t="s">
        <v>2431</v>
      </c>
      <c r="H7338" t="s">
        <v>2432</v>
      </c>
      <c r="I7338" t="s">
        <v>2433</v>
      </c>
      <c r="J7338" t="s">
        <v>2434</v>
      </c>
    </row>
    <row r="7339" spans="1:10" ht="15" customHeight="1" x14ac:dyDescent="0.2">
      <c r="A7339" s="420">
        <v>45658</v>
      </c>
      <c r="B7339" t="s">
        <v>2547</v>
      </c>
      <c r="C7339" t="s">
        <v>1197</v>
      </c>
      <c r="D7339" t="s">
        <v>4071</v>
      </c>
      <c r="E7339" t="s">
        <v>1199</v>
      </c>
      <c r="F7339">
        <v>192</v>
      </c>
      <c r="H7339">
        <v>192</v>
      </c>
    </row>
    <row r="7340" spans="1:10" ht="15" customHeight="1" x14ac:dyDescent="0.2">
      <c r="A7340" s="420">
        <v>45689</v>
      </c>
      <c r="B7340" t="s">
        <v>2547</v>
      </c>
      <c r="C7340" t="s">
        <v>1197</v>
      </c>
      <c r="D7340" t="s">
        <v>4074</v>
      </c>
      <c r="E7340" t="s">
        <v>1199</v>
      </c>
      <c r="F7340">
        <v>192</v>
      </c>
      <c r="H7340">
        <v>384</v>
      </c>
    </row>
    <row r="7341" spans="1:10" ht="15" customHeight="1" x14ac:dyDescent="0.2">
      <c r="A7341" s="420">
        <v>45717</v>
      </c>
      <c r="B7341" t="s">
        <v>2547</v>
      </c>
      <c r="C7341" t="s">
        <v>1197</v>
      </c>
      <c r="D7341" t="s">
        <v>4076</v>
      </c>
      <c r="E7341" t="s">
        <v>1199</v>
      </c>
      <c r="F7341">
        <v>192</v>
      </c>
      <c r="H7341">
        <v>576</v>
      </c>
    </row>
    <row r="7342" spans="1:10" ht="15" customHeight="1" x14ac:dyDescent="0.2">
      <c r="A7342" s="420">
        <v>45748</v>
      </c>
      <c r="B7342" t="s">
        <v>2547</v>
      </c>
      <c r="C7342" t="s">
        <v>1197</v>
      </c>
      <c r="D7342" t="s">
        <v>4079</v>
      </c>
      <c r="E7342" t="s">
        <v>1199</v>
      </c>
      <c r="F7342">
        <v>192</v>
      </c>
      <c r="H7342">
        <v>768</v>
      </c>
    </row>
    <row r="7343" spans="1:10" ht="15" customHeight="1" x14ac:dyDescent="0.2">
      <c r="A7343" s="420">
        <v>45778</v>
      </c>
      <c r="B7343" t="s">
        <v>2547</v>
      </c>
      <c r="C7343" t="s">
        <v>1197</v>
      </c>
      <c r="D7343" t="s">
        <v>4081</v>
      </c>
      <c r="E7343" t="s">
        <v>1199</v>
      </c>
      <c r="F7343">
        <v>192</v>
      </c>
      <c r="H7343">
        <v>960</v>
      </c>
    </row>
    <row r="7344" spans="1:10" ht="15" customHeight="1" x14ac:dyDescent="0.2">
      <c r="A7344" s="420">
        <v>45809</v>
      </c>
      <c r="B7344" t="s">
        <v>2547</v>
      </c>
      <c r="C7344" t="s">
        <v>1197</v>
      </c>
      <c r="D7344" t="s">
        <v>4083</v>
      </c>
      <c r="E7344" t="s">
        <v>1199</v>
      </c>
      <c r="F7344">
        <v>192</v>
      </c>
      <c r="H7344">
        <v>1152</v>
      </c>
    </row>
    <row r="7345" spans="1:10" ht="15" customHeight="1" x14ac:dyDescent="0.2">
      <c r="A7345" s="420">
        <v>45839</v>
      </c>
      <c r="B7345" t="s">
        <v>2547</v>
      </c>
      <c r="C7345" t="s">
        <v>1197</v>
      </c>
      <c r="D7345" t="s">
        <v>4085</v>
      </c>
      <c r="E7345" t="s">
        <v>1199</v>
      </c>
      <c r="F7345">
        <v>192</v>
      </c>
      <c r="H7345">
        <v>1344</v>
      </c>
    </row>
    <row r="7346" spans="1:10" ht="15" customHeight="1" x14ac:dyDescent="0.2">
      <c r="A7346" s="420">
        <v>45870</v>
      </c>
      <c r="B7346" t="s">
        <v>2547</v>
      </c>
      <c r="C7346" t="s">
        <v>1197</v>
      </c>
      <c r="D7346" t="s">
        <v>4087</v>
      </c>
      <c r="E7346" t="s">
        <v>1199</v>
      </c>
      <c r="F7346">
        <v>192</v>
      </c>
      <c r="H7346">
        <v>1536</v>
      </c>
    </row>
    <row r="7347" spans="1:10" ht="15" customHeight="1" x14ac:dyDescent="0.2">
      <c r="A7347" s="420">
        <v>45901</v>
      </c>
      <c r="B7347" t="s">
        <v>2547</v>
      </c>
      <c r="C7347" t="s">
        <v>1197</v>
      </c>
      <c r="D7347" t="s">
        <v>4089</v>
      </c>
      <c r="E7347" t="s">
        <v>1199</v>
      </c>
      <c r="F7347">
        <v>192</v>
      </c>
      <c r="H7347">
        <v>1728</v>
      </c>
    </row>
    <row r="7348" spans="1:10" ht="15" customHeight="1" x14ac:dyDescent="0.2">
      <c r="A7348" s="420">
        <v>45931</v>
      </c>
      <c r="B7348" t="s">
        <v>2547</v>
      </c>
      <c r="C7348" t="s">
        <v>1197</v>
      </c>
      <c r="D7348" t="s">
        <v>4091</v>
      </c>
      <c r="E7348" t="s">
        <v>1199</v>
      </c>
      <c r="F7348">
        <v>192</v>
      </c>
      <c r="H7348">
        <v>1920</v>
      </c>
    </row>
    <row r="7349" spans="1:10" ht="15" customHeight="1" x14ac:dyDescent="0.2">
      <c r="A7349" s="420">
        <v>45962</v>
      </c>
      <c r="B7349" t="s">
        <v>2547</v>
      </c>
      <c r="C7349" t="s">
        <v>1197</v>
      </c>
      <c r="D7349" t="s">
        <v>4093</v>
      </c>
      <c r="E7349" t="s">
        <v>1199</v>
      </c>
      <c r="F7349">
        <v>192</v>
      </c>
      <c r="H7349">
        <v>2112</v>
      </c>
    </row>
    <row r="7350" spans="1:10" ht="15" customHeight="1" x14ac:dyDescent="0.2">
      <c r="A7350" s="420">
        <v>45992</v>
      </c>
      <c r="B7350" t="s">
        <v>2547</v>
      </c>
      <c r="C7350" t="s">
        <v>1197</v>
      </c>
      <c r="D7350" t="s">
        <v>4095</v>
      </c>
      <c r="E7350" t="s">
        <v>1199</v>
      </c>
      <c r="F7350">
        <v>192</v>
      </c>
      <c r="H7350">
        <v>2304</v>
      </c>
    </row>
    <row r="7351" spans="1:10" ht="15" customHeight="1" x14ac:dyDescent="0.2">
      <c r="A7351" t="s">
        <v>1197</v>
      </c>
      <c r="E7351" t="s">
        <v>349</v>
      </c>
      <c r="F7351">
        <v>2304</v>
      </c>
      <c r="H7351">
        <v>2304</v>
      </c>
    </row>
    <row r="7353" spans="1:10" ht="15" customHeight="1" x14ac:dyDescent="0.2">
      <c r="A7353" t="s">
        <v>1200</v>
      </c>
      <c r="B7353" t="s">
        <v>1201</v>
      </c>
      <c r="F7353" t="s">
        <v>2430</v>
      </c>
      <c r="G7353" t="s">
        <v>2431</v>
      </c>
      <c r="H7353" t="s">
        <v>2432</v>
      </c>
      <c r="I7353" t="s">
        <v>2433</v>
      </c>
      <c r="J7353" t="s">
        <v>2434</v>
      </c>
    </row>
    <row r="7354" spans="1:10" ht="15" customHeight="1" x14ac:dyDescent="0.2">
      <c r="A7354" s="420">
        <v>45658</v>
      </c>
      <c r="B7354" t="s">
        <v>2547</v>
      </c>
      <c r="C7354" t="s">
        <v>1200</v>
      </c>
      <c r="D7354" t="s">
        <v>4071</v>
      </c>
      <c r="E7354" t="s">
        <v>1202</v>
      </c>
      <c r="F7354">
        <v>130</v>
      </c>
      <c r="H7354">
        <v>130</v>
      </c>
    </row>
    <row r="7355" spans="1:10" ht="15" customHeight="1" x14ac:dyDescent="0.2">
      <c r="A7355" s="420">
        <v>45689</v>
      </c>
      <c r="B7355" t="s">
        <v>2547</v>
      </c>
      <c r="C7355" t="s">
        <v>1200</v>
      </c>
      <c r="D7355" t="s">
        <v>4074</v>
      </c>
      <c r="E7355" t="s">
        <v>1202</v>
      </c>
      <c r="F7355">
        <v>130</v>
      </c>
      <c r="H7355">
        <v>260</v>
      </c>
    </row>
    <row r="7356" spans="1:10" ht="15" customHeight="1" x14ac:dyDescent="0.2">
      <c r="A7356" s="420">
        <v>45717</v>
      </c>
      <c r="B7356" t="s">
        <v>2547</v>
      </c>
      <c r="C7356" t="s">
        <v>1200</v>
      </c>
      <c r="D7356" t="s">
        <v>4076</v>
      </c>
      <c r="E7356" t="s">
        <v>1202</v>
      </c>
      <c r="F7356">
        <v>130</v>
      </c>
      <c r="H7356">
        <v>390</v>
      </c>
    </row>
    <row r="7357" spans="1:10" ht="15" customHeight="1" x14ac:dyDescent="0.2">
      <c r="A7357" s="420">
        <v>45748</v>
      </c>
      <c r="B7357" t="s">
        <v>2547</v>
      </c>
      <c r="C7357" t="s">
        <v>1200</v>
      </c>
      <c r="D7357" t="s">
        <v>4079</v>
      </c>
      <c r="E7357" t="s">
        <v>1202</v>
      </c>
      <c r="F7357">
        <v>130</v>
      </c>
      <c r="H7357">
        <v>520</v>
      </c>
    </row>
    <row r="7358" spans="1:10" ht="15" customHeight="1" x14ac:dyDescent="0.2">
      <c r="A7358" s="420">
        <v>45778</v>
      </c>
      <c r="B7358" t="s">
        <v>2547</v>
      </c>
      <c r="C7358" t="s">
        <v>1200</v>
      </c>
      <c r="D7358" t="s">
        <v>4081</v>
      </c>
      <c r="E7358" t="s">
        <v>1202</v>
      </c>
      <c r="F7358">
        <v>130</v>
      </c>
      <c r="H7358">
        <v>650</v>
      </c>
    </row>
    <row r="7359" spans="1:10" ht="15" customHeight="1" x14ac:dyDescent="0.2">
      <c r="A7359" s="420">
        <v>45809</v>
      </c>
      <c r="B7359" t="s">
        <v>2547</v>
      </c>
      <c r="C7359" t="s">
        <v>1200</v>
      </c>
      <c r="D7359" t="s">
        <v>4083</v>
      </c>
      <c r="E7359" t="s">
        <v>1202</v>
      </c>
      <c r="F7359">
        <v>130</v>
      </c>
      <c r="H7359">
        <v>780</v>
      </c>
    </row>
    <row r="7360" spans="1:10" ht="15" customHeight="1" x14ac:dyDescent="0.2">
      <c r="A7360" s="420">
        <v>45839</v>
      </c>
      <c r="B7360" t="s">
        <v>2547</v>
      </c>
      <c r="C7360" t="s">
        <v>1200</v>
      </c>
      <c r="D7360" t="s">
        <v>4085</v>
      </c>
      <c r="E7360" t="s">
        <v>1202</v>
      </c>
      <c r="F7360">
        <v>130</v>
      </c>
      <c r="H7360">
        <v>910</v>
      </c>
    </row>
    <row r="7361" spans="1:10" ht="15" customHeight="1" x14ac:dyDescent="0.2">
      <c r="A7361" s="420">
        <v>45870</v>
      </c>
      <c r="B7361" t="s">
        <v>2547</v>
      </c>
      <c r="C7361" t="s">
        <v>1200</v>
      </c>
      <c r="D7361" t="s">
        <v>4087</v>
      </c>
      <c r="E7361" t="s">
        <v>1202</v>
      </c>
      <c r="F7361">
        <v>130</v>
      </c>
      <c r="H7361">
        <v>1040</v>
      </c>
    </row>
    <row r="7362" spans="1:10" ht="15" customHeight="1" x14ac:dyDescent="0.2">
      <c r="A7362" s="420">
        <v>45901</v>
      </c>
      <c r="B7362" t="s">
        <v>2547</v>
      </c>
      <c r="C7362" t="s">
        <v>1200</v>
      </c>
      <c r="D7362" t="s">
        <v>4089</v>
      </c>
      <c r="E7362" t="s">
        <v>1202</v>
      </c>
      <c r="F7362">
        <v>130</v>
      </c>
      <c r="H7362">
        <v>1170</v>
      </c>
    </row>
    <row r="7363" spans="1:10" ht="15" customHeight="1" x14ac:dyDescent="0.2">
      <c r="A7363" s="420">
        <v>45931</v>
      </c>
      <c r="B7363" t="s">
        <v>2547</v>
      </c>
      <c r="C7363" t="s">
        <v>1200</v>
      </c>
      <c r="D7363" t="s">
        <v>4091</v>
      </c>
      <c r="E7363" t="s">
        <v>1202</v>
      </c>
      <c r="F7363">
        <v>130</v>
      </c>
      <c r="H7363">
        <v>1300</v>
      </c>
    </row>
    <row r="7364" spans="1:10" ht="15" customHeight="1" x14ac:dyDescent="0.2">
      <c r="A7364" s="420">
        <v>45962</v>
      </c>
      <c r="B7364" t="s">
        <v>2547</v>
      </c>
      <c r="C7364" t="s">
        <v>1200</v>
      </c>
      <c r="D7364" t="s">
        <v>4093</v>
      </c>
      <c r="E7364" t="s">
        <v>1202</v>
      </c>
      <c r="F7364">
        <v>130</v>
      </c>
      <c r="H7364">
        <v>1430</v>
      </c>
    </row>
    <row r="7365" spans="1:10" ht="15" customHeight="1" x14ac:dyDescent="0.2">
      <c r="A7365" s="420">
        <v>45992</v>
      </c>
      <c r="B7365" t="s">
        <v>2547</v>
      </c>
      <c r="C7365" t="s">
        <v>1200</v>
      </c>
      <c r="D7365" t="s">
        <v>4095</v>
      </c>
      <c r="E7365" t="s">
        <v>1202</v>
      </c>
      <c r="F7365">
        <v>130</v>
      </c>
      <c r="H7365">
        <v>1560</v>
      </c>
    </row>
    <row r="7366" spans="1:10" ht="15" customHeight="1" x14ac:dyDescent="0.2">
      <c r="A7366" t="s">
        <v>1200</v>
      </c>
      <c r="E7366" t="s">
        <v>349</v>
      </c>
      <c r="F7366">
        <v>1560</v>
      </c>
      <c r="H7366">
        <v>1560</v>
      </c>
    </row>
    <row r="7368" spans="1:10" ht="15" customHeight="1" x14ac:dyDescent="0.2">
      <c r="A7368" t="s">
        <v>1229</v>
      </c>
      <c r="B7368" t="s">
        <v>1230</v>
      </c>
      <c r="F7368" t="s">
        <v>2430</v>
      </c>
      <c r="G7368" t="s">
        <v>2431</v>
      </c>
      <c r="H7368" t="s">
        <v>2432</v>
      </c>
      <c r="I7368" t="s">
        <v>2433</v>
      </c>
      <c r="J7368" t="s">
        <v>2434</v>
      </c>
    </row>
    <row r="7369" spans="1:10" ht="15" customHeight="1" x14ac:dyDescent="0.2">
      <c r="A7369" s="420">
        <v>45658</v>
      </c>
      <c r="B7369" t="s">
        <v>2507</v>
      </c>
      <c r="C7369" t="s">
        <v>1229</v>
      </c>
      <c r="D7369" t="s">
        <v>7445</v>
      </c>
      <c r="E7369" t="s">
        <v>653</v>
      </c>
      <c r="F7369">
        <v>266.89</v>
      </c>
      <c r="H7369">
        <v>266.89</v>
      </c>
      <c r="J7369" t="s">
        <v>2511</v>
      </c>
    </row>
    <row r="7370" spans="1:10" ht="15" customHeight="1" x14ac:dyDescent="0.2">
      <c r="A7370" s="420">
        <v>45658</v>
      </c>
      <c r="B7370" t="s">
        <v>2517</v>
      </c>
      <c r="C7370" t="s">
        <v>1229</v>
      </c>
      <c r="D7370" t="s">
        <v>7459</v>
      </c>
      <c r="E7370" t="s">
        <v>1231</v>
      </c>
      <c r="F7370">
        <v>31</v>
      </c>
      <c r="H7370">
        <v>297.89</v>
      </c>
    </row>
    <row r="7371" spans="1:10" ht="15" customHeight="1" x14ac:dyDescent="0.2">
      <c r="A7371" s="420">
        <v>45729</v>
      </c>
      <c r="B7371" t="s">
        <v>2532</v>
      </c>
      <c r="C7371" t="s">
        <v>1229</v>
      </c>
      <c r="D7371" t="s">
        <v>3018</v>
      </c>
      <c r="E7371" t="s">
        <v>1248</v>
      </c>
      <c r="F7371">
        <v>297.33999999999997</v>
      </c>
      <c r="H7371">
        <v>595.23</v>
      </c>
    </row>
    <row r="7372" spans="1:10" ht="15" customHeight="1" x14ac:dyDescent="0.2">
      <c r="A7372" s="420">
        <v>45820</v>
      </c>
      <c r="B7372" t="s">
        <v>2532</v>
      </c>
      <c r="C7372" t="s">
        <v>1229</v>
      </c>
      <c r="D7372" t="s">
        <v>3021</v>
      </c>
      <c r="E7372" t="s">
        <v>3022</v>
      </c>
      <c r="F7372">
        <v>297.33999999999997</v>
      </c>
      <c r="H7372">
        <v>892.57</v>
      </c>
    </row>
    <row r="7373" spans="1:10" ht="15" customHeight="1" x14ac:dyDescent="0.2">
      <c r="A7373" s="420">
        <v>45838</v>
      </c>
      <c r="B7373" t="s">
        <v>2535</v>
      </c>
      <c r="C7373" t="s">
        <v>1229</v>
      </c>
      <c r="D7373" t="s">
        <v>7465</v>
      </c>
      <c r="E7373" t="s">
        <v>1266</v>
      </c>
      <c r="G7373">
        <v>35.950000000000003</v>
      </c>
      <c r="H7373">
        <v>856.62</v>
      </c>
      <c r="J7373" t="s">
        <v>2513</v>
      </c>
    </row>
    <row r="7374" spans="1:10" ht="15" customHeight="1" x14ac:dyDescent="0.2">
      <c r="A7374" s="420">
        <v>45838</v>
      </c>
      <c r="B7374" t="s">
        <v>2535</v>
      </c>
      <c r="C7374" t="s">
        <v>1229</v>
      </c>
      <c r="D7374" t="s">
        <v>7466</v>
      </c>
      <c r="E7374" t="s">
        <v>7467</v>
      </c>
      <c r="G7374">
        <v>297.33999999999997</v>
      </c>
      <c r="H7374">
        <v>559.28</v>
      </c>
      <c r="J7374" t="s">
        <v>2509</v>
      </c>
    </row>
    <row r="7375" spans="1:10" ht="15" customHeight="1" x14ac:dyDescent="0.2">
      <c r="A7375" s="420">
        <v>45839</v>
      </c>
      <c r="B7375" t="s">
        <v>2535</v>
      </c>
      <c r="C7375" t="s">
        <v>1229</v>
      </c>
      <c r="D7375" t="s">
        <v>7466</v>
      </c>
      <c r="E7375" t="s">
        <v>7480</v>
      </c>
      <c r="F7375">
        <v>297.33999999999997</v>
      </c>
      <c r="H7375">
        <v>856.62</v>
      </c>
      <c r="J7375" t="s">
        <v>2509</v>
      </c>
    </row>
    <row r="7376" spans="1:10" ht="15" customHeight="1" x14ac:dyDescent="0.2">
      <c r="A7376" s="420">
        <v>45839</v>
      </c>
      <c r="B7376" t="s">
        <v>2535</v>
      </c>
      <c r="C7376" t="s">
        <v>1229</v>
      </c>
      <c r="D7376" t="s">
        <v>7465</v>
      </c>
      <c r="E7376" t="s">
        <v>1268</v>
      </c>
      <c r="F7376">
        <v>35.950000000000003</v>
      </c>
      <c r="H7376">
        <v>892.57</v>
      </c>
      <c r="J7376" t="s">
        <v>2513</v>
      </c>
    </row>
    <row r="7377" spans="1:10" ht="15" customHeight="1" x14ac:dyDescent="0.2">
      <c r="A7377" s="420">
        <v>45912</v>
      </c>
      <c r="B7377" t="s">
        <v>2532</v>
      </c>
      <c r="C7377" t="s">
        <v>1229</v>
      </c>
      <c r="D7377" t="s">
        <v>3025</v>
      </c>
      <c r="E7377" t="s">
        <v>761</v>
      </c>
      <c r="F7377">
        <v>274.89999999999998</v>
      </c>
      <c r="H7377">
        <v>1167.47</v>
      </c>
    </row>
    <row r="7378" spans="1:10" ht="15" customHeight="1" x14ac:dyDescent="0.2">
      <c r="A7378" s="420">
        <v>46022</v>
      </c>
      <c r="B7378" t="s">
        <v>2517</v>
      </c>
      <c r="C7378" t="s">
        <v>1229</v>
      </c>
      <c r="D7378" t="s">
        <v>7871</v>
      </c>
      <c r="E7378" t="s">
        <v>1290</v>
      </c>
      <c r="G7378">
        <v>30.9</v>
      </c>
      <c r="H7378">
        <v>1136.57</v>
      </c>
    </row>
    <row r="7379" spans="1:10" ht="15" customHeight="1" x14ac:dyDescent="0.2">
      <c r="A7379" s="420">
        <v>46022</v>
      </c>
      <c r="B7379" t="s">
        <v>2517</v>
      </c>
      <c r="C7379" t="s">
        <v>1229</v>
      </c>
      <c r="D7379" t="s">
        <v>7872</v>
      </c>
      <c r="E7379" t="s">
        <v>810</v>
      </c>
      <c r="G7379">
        <v>30</v>
      </c>
      <c r="H7379">
        <v>1106.57</v>
      </c>
    </row>
    <row r="7380" spans="1:10" ht="15" customHeight="1" x14ac:dyDescent="0.2">
      <c r="A7380" t="s">
        <v>1229</v>
      </c>
      <c r="E7380" t="s">
        <v>349</v>
      </c>
      <c r="F7380">
        <v>1500.76</v>
      </c>
      <c r="G7380">
        <v>394.19</v>
      </c>
      <c r="H7380">
        <v>1106.57</v>
      </c>
    </row>
    <row r="7382" spans="1:10" ht="15" customHeight="1" x14ac:dyDescent="0.2">
      <c r="A7382" t="s">
        <v>1232</v>
      </c>
      <c r="B7382" t="s">
        <v>1233</v>
      </c>
      <c r="F7382" t="s">
        <v>2430</v>
      </c>
      <c r="G7382" t="s">
        <v>2431</v>
      </c>
      <c r="H7382" t="s">
        <v>2432</v>
      </c>
      <c r="I7382" t="s">
        <v>2433</v>
      </c>
      <c r="J7382" t="s">
        <v>2434</v>
      </c>
    </row>
    <row r="7383" spans="1:10" ht="15" customHeight="1" x14ac:dyDescent="0.2">
      <c r="A7383" s="420">
        <v>45658</v>
      </c>
      <c r="B7383" t="s">
        <v>2532</v>
      </c>
      <c r="C7383" t="s">
        <v>1232</v>
      </c>
      <c r="D7383" t="s">
        <v>5446</v>
      </c>
      <c r="E7383" t="s">
        <v>1234</v>
      </c>
      <c r="F7383">
        <v>54.79</v>
      </c>
      <c r="H7383">
        <v>54.79</v>
      </c>
    </row>
    <row r="7384" spans="1:10" ht="15" customHeight="1" x14ac:dyDescent="0.2">
      <c r="A7384" s="420">
        <v>45689</v>
      </c>
      <c r="B7384" t="s">
        <v>2532</v>
      </c>
      <c r="C7384" t="s">
        <v>1232</v>
      </c>
      <c r="D7384" t="s">
        <v>5449</v>
      </c>
      <c r="E7384" t="s">
        <v>1238</v>
      </c>
      <c r="F7384">
        <v>54.79</v>
      </c>
      <c r="H7384">
        <v>109.58</v>
      </c>
    </row>
    <row r="7385" spans="1:10" ht="15" customHeight="1" x14ac:dyDescent="0.2">
      <c r="A7385" s="420">
        <v>45717</v>
      </c>
      <c r="B7385" t="s">
        <v>2532</v>
      </c>
      <c r="C7385" t="s">
        <v>1232</v>
      </c>
      <c r="D7385" t="s">
        <v>5452</v>
      </c>
      <c r="E7385" t="s">
        <v>1243</v>
      </c>
      <c r="F7385">
        <v>54.79</v>
      </c>
      <c r="H7385">
        <v>164.37</v>
      </c>
    </row>
    <row r="7386" spans="1:10" ht="15" customHeight="1" x14ac:dyDescent="0.2">
      <c r="A7386" s="420">
        <v>45748</v>
      </c>
      <c r="B7386" t="s">
        <v>2532</v>
      </c>
      <c r="C7386" t="s">
        <v>1232</v>
      </c>
      <c r="D7386" t="s">
        <v>5455</v>
      </c>
      <c r="E7386" t="s">
        <v>1252</v>
      </c>
      <c r="F7386">
        <v>54.79</v>
      </c>
      <c r="H7386">
        <v>219.16</v>
      </c>
    </row>
    <row r="7387" spans="1:10" ht="15" customHeight="1" x14ac:dyDescent="0.2">
      <c r="A7387" s="420">
        <v>45778</v>
      </c>
      <c r="B7387" t="s">
        <v>2532</v>
      </c>
      <c r="C7387" t="s">
        <v>1232</v>
      </c>
      <c r="D7387" t="s">
        <v>5458</v>
      </c>
      <c r="E7387" t="s">
        <v>1257</v>
      </c>
      <c r="F7387">
        <v>54.79</v>
      </c>
      <c r="H7387">
        <v>273.95</v>
      </c>
    </row>
    <row r="7388" spans="1:10" ht="15" customHeight="1" x14ac:dyDescent="0.2">
      <c r="A7388" s="420">
        <v>45809</v>
      </c>
      <c r="B7388" t="s">
        <v>2532</v>
      </c>
      <c r="C7388" t="s">
        <v>1232</v>
      </c>
      <c r="D7388" t="s">
        <v>5461</v>
      </c>
      <c r="E7388" t="s">
        <v>1260</v>
      </c>
      <c r="F7388">
        <v>54.79</v>
      </c>
      <c r="H7388">
        <v>328.74</v>
      </c>
    </row>
    <row r="7389" spans="1:10" ht="15" customHeight="1" x14ac:dyDescent="0.2">
      <c r="A7389" s="420">
        <v>45839</v>
      </c>
      <c r="B7389" t="s">
        <v>2532</v>
      </c>
      <c r="C7389" t="s">
        <v>1232</v>
      </c>
      <c r="D7389" t="s">
        <v>5464</v>
      </c>
      <c r="E7389" t="s">
        <v>1269</v>
      </c>
      <c r="F7389">
        <v>54.79</v>
      </c>
      <c r="H7389">
        <v>383.53</v>
      </c>
    </row>
    <row r="7390" spans="1:10" ht="15" customHeight="1" x14ac:dyDescent="0.2">
      <c r="A7390" s="420">
        <v>45870</v>
      </c>
      <c r="B7390" t="s">
        <v>2532</v>
      </c>
      <c r="C7390" t="s">
        <v>1232</v>
      </c>
      <c r="D7390" t="s">
        <v>5467</v>
      </c>
      <c r="E7390" t="s">
        <v>1272</v>
      </c>
      <c r="F7390">
        <v>54.79</v>
      </c>
      <c r="H7390">
        <v>438.32</v>
      </c>
    </row>
    <row r="7391" spans="1:10" ht="15" customHeight="1" x14ac:dyDescent="0.2">
      <c r="A7391" s="420">
        <v>45901</v>
      </c>
      <c r="B7391" t="s">
        <v>2532</v>
      </c>
      <c r="C7391" t="s">
        <v>1232</v>
      </c>
      <c r="D7391" t="s">
        <v>5470</v>
      </c>
      <c r="E7391" t="s">
        <v>1275</v>
      </c>
      <c r="F7391">
        <v>54.79</v>
      </c>
      <c r="H7391">
        <v>493.11</v>
      </c>
    </row>
    <row r="7392" spans="1:10" ht="15" customHeight="1" x14ac:dyDescent="0.2">
      <c r="A7392" s="420">
        <v>45931</v>
      </c>
      <c r="B7392" t="s">
        <v>2532</v>
      </c>
      <c r="C7392" t="s">
        <v>1232</v>
      </c>
      <c r="D7392" t="s">
        <v>5473</v>
      </c>
      <c r="E7392" t="s">
        <v>1281</v>
      </c>
      <c r="F7392">
        <v>54.79</v>
      </c>
      <c r="H7392">
        <v>547.9</v>
      </c>
    </row>
    <row r="7393" spans="1:10" ht="15" customHeight="1" x14ac:dyDescent="0.2">
      <c r="A7393" s="420">
        <v>45962</v>
      </c>
      <c r="B7393" t="s">
        <v>2532</v>
      </c>
      <c r="C7393" t="s">
        <v>1232</v>
      </c>
      <c r="D7393" t="s">
        <v>5476</v>
      </c>
      <c r="E7393" t="s">
        <v>1283</v>
      </c>
      <c r="F7393">
        <v>54.79</v>
      </c>
      <c r="H7393">
        <v>602.69000000000005</v>
      </c>
    </row>
    <row r="7394" spans="1:10" ht="15" customHeight="1" x14ac:dyDescent="0.2">
      <c r="A7394" s="420">
        <v>45992</v>
      </c>
      <c r="B7394" t="s">
        <v>2532</v>
      </c>
      <c r="C7394" t="s">
        <v>1232</v>
      </c>
      <c r="D7394" t="s">
        <v>5479</v>
      </c>
      <c r="E7394" t="s">
        <v>1286</v>
      </c>
      <c r="F7394">
        <v>54.79</v>
      </c>
      <c r="H7394">
        <v>657.48</v>
      </c>
    </row>
    <row r="7395" spans="1:10" ht="15" customHeight="1" x14ac:dyDescent="0.2">
      <c r="A7395" t="s">
        <v>1232</v>
      </c>
      <c r="E7395" t="s">
        <v>349</v>
      </c>
      <c r="F7395">
        <v>657.48</v>
      </c>
      <c r="H7395">
        <v>657.48</v>
      </c>
    </row>
    <row r="7397" spans="1:10" ht="15" customHeight="1" x14ac:dyDescent="0.2">
      <c r="A7397" t="s">
        <v>1277</v>
      </c>
      <c r="B7397" t="s">
        <v>1278</v>
      </c>
      <c r="F7397" t="s">
        <v>2430</v>
      </c>
      <c r="G7397" t="s">
        <v>2431</v>
      </c>
      <c r="H7397" t="s">
        <v>2432</v>
      </c>
      <c r="I7397" t="s">
        <v>2433</v>
      </c>
      <c r="J7397" t="s">
        <v>2434</v>
      </c>
    </row>
    <row r="7398" spans="1:10" ht="15" customHeight="1" x14ac:dyDescent="0.2">
      <c r="A7398" s="420">
        <v>45908</v>
      </c>
      <c r="B7398" t="s">
        <v>2532</v>
      </c>
      <c r="C7398" t="s">
        <v>1277</v>
      </c>
      <c r="D7398" t="s">
        <v>5246</v>
      </c>
      <c r="E7398" t="s">
        <v>1279</v>
      </c>
      <c r="F7398">
        <v>51.67</v>
      </c>
      <c r="H7398">
        <v>51.67</v>
      </c>
    </row>
    <row r="7399" spans="1:10" ht="15" customHeight="1" x14ac:dyDescent="0.2">
      <c r="A7399" s="420">
        <v>45917</v>
      </c>
      <c r="B7399" t="s">
        <v>2532</v>
      </c>
      <c r="C7399" t="s">
        <v>1277</v>
      </c>
      <c r="D7399" t="s">
        <v>5248</v>
      </c>
      <c r="E7399" t="s">
        <v>1279</v>
      </c>
      <c r="F7399">
        <v>36.67</v>
      </c>
      <c r="H7399">
        <v>88.34</v>
      </c>
    </row>
    <row r="7400" spans="1:10" ht="15" customHeight="1" x14ac:dyDescent="0.2">
      <c r="A7400" t="s">
        <v>1277</v>
      </c>
      <c r="E7400" t="s">
        <v>349</v>
      </c>
      <c r="F7400">
        <v>88.34</v>
      </c>
      <c r="H7400">
        <v>88.34</v>
      </c>
    </row>
    <row r="7402" spans="1:10" ht="15" customHeight="1" x14ac:dyDescent="0.2">
      <c r="A7402" t="s">
        <v>1203</v>
      </c>
      <c r="B7402" t="s">
        <v>1204</v>
      </c>
      <c r="F7402" t="s">
        <v>2430</v>
      </c>
      <c r="G7402" t="s">
        <v>2431</v>
      </c>
      <c r="H7402" t="s">
        <v>2432</v>
      </c>
      <c r="I7402" t="s">
        <v>2433</v>
      </c>
      <c r="J7402" t="s">
        <v>2434</v>
      </c>
    </row>
    <row r="7403" spans="1:10" ht="15" customHeight="1" x14ac:dyDescent="0.2">
      <c r="A7403" s="420">
        <v>45658</v>
      </c>
      <c r="B7403" t="s">
        <v>2532</v>
      </c>
      <c r="C7403" t="s">
        <v>1203</v>
      </c>
      <c r="D7403" t="s">
        <v>4042</v>
      </c>
      <c r="E7403" t="s">
        <v>1205</v>
      </c>
      <c r="F7403">
        <v>148</v>
      </c>
      <c r="H7403">
        <v>148</v>
      </c>
    </row>
    <row r="7404" spans="1:10" ht="15" customHeight="1" x14ac:dyDescent="0.2">
      <c r="A7404" s="420">
        <v>45658</v>
      </c>
      <c r="B7404" t="s">
        <v>2532</v>
      </c>
      <c r="C7404" t="s">
        <v>1203</v>
      </c>
      <c r="D7404" t="s">
        <v>4042</v>
      </c>
      <c r="E7404" t="s">
        <v>1206</v>
      </c>
      <c r="F7404">
        <v>70</v>
      </c>
      <c r="H7404">
        <v>218</v>
      </c>
    </row>
    <row r="7405" spans="1:10" ht="15" customHeight="1" x14ac:dyDescent="0.2">
      <c r="A7405" s="420">
        <v>45689</v>
      </c>
      <c r="B7405" t="s">
        <v>2532</v>
      </c>
      <c r="C7405" t="s">
        <v>1203</v>
      </c>
      <c r="D7405" t="s">
        <v>4046</v>
      </c>
      <c r="E7405" t="s">
        <v>1207</v>
      </c>
      <c r="F7405">
        <v>148</v>
      </c>
      <c r="H7405">
        <v>366</v>
      </c>
    </row>
    <row r="7406" spans="1:10" ht="15" customHeight="1" x14ac:dyDescent="0.2">
      <c r="A7406" s="420">
        <v>45689</v>
      </c>
      <c r="B7406" t="s">
        <v>2532</v>
      </c>
      <c r="C7406" t="s">
        <v>1203</v>
      </c>
      <c r="D7406" t="s">
        <v>4046</v>
      </c>
      <c r="E7406" t="s">
        <v>1207</v>
      </c>
      <c r="F7406">
        <v>70</v>
      </c>
      <c r="H7406">
        <v>436</v>
      </c>
    </row>
    <row r="7407" spans="1:10" ht="15" customHeight="1" x14ac:dyDescent="0.2">
      <c r="A7407" s="420">
        <v>45717</v>
      </c>
      <c r="B7407" t="s">
        <v>2532</v>
      </c>
      <c r="C7407" t="s">
        <v>1203</v>
      </c>
      <c r="D7407" t="s">
        <v>4048</v>
      </c>
      <c r="E7407" t="s">
        <v>1209</v>
      </c>
      <c r="F7407">
        <v>148</v>
      </c>
      <c r="H7407">
        <v>584</v>
      </c>
    </row>
    <row r="7408" spans="1:10" ht="15" customHeight="1" x14ac:dyDescent="0.2">
      <c r="A7408" s="420">
        <v>45717</v>
      </c>
      <c r="B7408" t="s">
        <v>2532</v>
      </c>
      <c r="C7408" t="s">
        <v>1203</v>
      </c>
      <c r="D7408" t="s">
        <v>4048</v>
      </c>
      <c r="E7408" t="s">
        <v>1210</v>
      </c>
      <c r="F7408">
        <v>70</v>
      </c>
      <c r="H7408">
        <v>654</v>
      </c>
    </row>
    <row r="7409" spans="1:8" ht="15" customHeight="1" x14ac:dyDescent="0.2">
      <c r="A7409" s="420">
        <v>45748</v>
      </c>
      <c r="B7409" t="s">
        <v>2532</v>
      </c>
      <c r="C7409" t="s">
        <v>1203</v>
      </c>
      <c r="D7409" t="s">
        <v>4050</v>
      </c>
      <c r="E7409" t="s">
        <v>1212</v>
      </c>
      <c r="F7409">
        <v>148</v>
      </c>
      <c r="H7409">
        <v>802</v>
      </c>
    </row>
    <row r="7410" spans="1:8" ht="15" customHeight="1" x14ac:dyDescent="0.2">
      <c r="A7410" s="420">
        <v>45748</v>
      </c>
      <c r="B7410" t="s">
        <v>2532</v>
      </c>
      <c r="C7410" t="s">
        <v>1203</v>
      </c>
      <c r="D7410" t="s">
        <v>4050</v>
      </c>
      <c r="E7410" t="s">
        <v>1213</v>
      </c>
      <c r="F7410">
        <v>70</v>
      </c>
      <c r="H7410">
        <v>872</v>
      </c>
    </row>
    <row r="7411" spans="1:8" ht="15" customHeight="1" x14ac:dyDescent="0.2">
      <c r="A7411" s="420">
        <v>45778</v>
      </c>
      <c r="B7411" t="s">
        <v>2532</v>
      </c>
      <c r="C7411" t="s">
        <v>1203</v>
      </c>
      <c r="D7411" t="s">
        <v>4052</v>
      </c>
      <c r="E7411" t="s">
        <v>1214</v>
      </c>
      <c r="F7411">
        <v>148</v>
      </c>
      <c r="H7411">
        <v>1020</v>
      </c>
    </row>
    <row r="7412" spans="1:8" ht="15" customHeight="1" x14ac:dyDescent="0.2">
      <c r="A7412" s="420">
        <v>45778</v>
      </c>
      <c r="B7412" t="s">
        <v>2532</v>
      </c>
      <c r="C7412" t="s">
        <v>1203</v>
      </c>
      <c r="D7412" t="s">
        <v>4052</v>
      </c>
      <c r="E7412" t="s">
        <v>1214</v>
      </c>
      <c r="F7412">
        <v>70</v>
      </c>
      <c r="H7412">
        <v>1090</v>
      </c>
    </row>
    <row r="7413" spans="1:8" ht="15" customHeight="1" x14ac:dyDescent="0.2">
      <c r="A7413" s="420">
        <v>45809</v>
      </c>
      <c r="B7413" t="s">
        <v>2532</v>
      </c>
      <c r="C7413" t="s">
        <v>1203</v>
      </c>
      <c r="D7413" t="s">
        <v>4054</v>
      </c>
      <c r="E7413" t="s">
        <v>1215</v>
      </c>
      <c r="F7413">
        <v>148</v>
      </c>
      <c r="H7413">
        <v>1238</v>
      </c>
    </row>
    <row r="7414" spans="1:8" ht="15" customHeight="1" x14ac:dyDescent="0.2">
      <c r="A7414" s="420">
        <v>45809</v>
      </c>
      <c r="B7414" t="s">
        <v>2532</v>
      </c>
      <c r="C7414" t="s">
        <v>1203</v>
      </c>
      <c r="D7414" t="s">
        <v>4054</v>
      </c>
      <c r="E7414" t="s">
        <v>1215</v>
      </c>
      <c r="F7414">
        <v>70</v>
      </c>
      <c r="H7414">
        <v>1308</v>
      </c>
    </row>
    <row r="7415" spans="1:8" ht="15" customHeight="1" x14ac:dyDescent="0.2">
      <c r="A7415" s="420">
        <v>45839</v>
      </c>
      <c r="B7415" t="s">
        <v>2532</v>
      </c>
      <c r="C7415" t="s">
        <v>1203</v>
      </c>
      <c r="D7415" t="s">
        <v>4056</v>
      </c>
      <c r="E7415" t="s">
        <v>1216</v>
      </c>
      <c r="F7415">
        <v>70</v>
      </c>
      <c r="H7415">
        <v>1378</v>
      </c>
    </row>
    <row r="7416" spans="1:8" ht="15" customHeight="1" x14ac:dyDescent="0.2">
      <c r="A7416" s="420">
        <v>45839</v>
      </c>
      <c r="B7416" t="s">
        <v>2532</v>
      </c>
      <c r="C7416" t="s">
        <v>1203</v>
      </c>
      <c r="D7416" t="s">
        <v>4056</v>
      </c>
      <c r="E7416" t="s">
        <v>1216</v>
      </c>
      <c r="F7416">
        <v>160</v>
      </c>
      <c r="H7416">
        <v>1538</v>
      </c>
    </row>
    <row r="7417" spans="1:8" ht="15" customHeight="1" x14ac:dyDescent="0.2">
      <c r="A7417" s="420">
        <v>45870</v>
      </c>
      <c r="B7417" t="s">
        <v>2532</v>
      </c>
      <c r="C7417" t="s">
        <v>1203</v>
      </c>
      <c r="D7417" t="s">
        <v>4059</v>
      </c>
      <c r="E7417" t="s">
        <v>1217</v>
      </c>
      <c r="F7417">
        <v>160</v>
      </c>
      <c r="H7417">
        <v>1698</v>
      </c>
    </row>
    <row r="7418" spans="1:8" ht="15" customHeight="1" x14ac:dyDescent="0.2">
      <c r="A7418" s="420">
        <v>45870</v>
      </c>
      <c r="B7418" t="s">
        <v>2532</v>
      </c>
      <c r="C7418" t="s">
        <v>1203</v>
      </c>
      <c r="D7418" t="s">
        <v>4059</v>
      </c>
      <c r="E7418" t="s">
        <v>1217</v>
      </c>
      <c r="F7418">
        <v>70</v>
      </c>
      <c r="H7418">
        <v>1768</v>
      </c>
    </row>
    <row r="7419" spans="1:8" ht="15" customHeight="1" x14ac:dyDescent="0.2">
      <c r="A7419" s="420">
        <v>45901</v>
      </c>
      <c r="B7419" t="s">
        <v>2532</v>
      </c>
      <c r="C7419" t="s">
        <v>1203</v>
      </c>
      <c r="D7419" t="s">
        <v>4061</v>
      </c>
      <c r="E7419" t="s">
        <v>1219</v>
      </c>
      <c r="F7419">
        <v>160</v>
      </c>
      <c r="H7419">
        <v>1928</v>
      </c>
    </row>
    <row r="7420" spans="1:8" ht="15" customHeight="1" x14ac:dyDescent="0.2">
      <c r="A7420" s="420">
        <v>45901</v>
      </c>
      <c r="B7420" t="s">
        <v>2532</v>
      </c>
      <c r="C7420" t="s">
        <v>1203</v>
      </c>
      <c r="D7420" t="s">
        <v>4061</v>
      </c>
      <c r="E7420" t="s">
        <v>1220</v>
      </c>
      <c r="F7420">
        <v>70</v>
      </c>
      <c r="H7420">
        <v>1998</v>
      </c>
    </row>
    <row r="7421" spans="1:8" ht="15" customHeight="1" x14ac:dyDescent="0.2">
      <c r="A7421" s="420">
        <v>45931</v>
      </c>
      <c r="B7421" t="s">
        <v>2532</v>
      </c>
      <c r="C7421" t="s">
        <v>1203</v>
      </c>
      <c r="D7421" t="s">
        <v>4063</v>
      </c>
      <c r="E7421" t="s">
        <v>1219</v>
      </c>
      <c r="F7421">
        <v>160</v>
      </c>
      <c r="H7421">
        <v>2158</v>
      </c>
    </row>
    <row r="7422" spans="1:8" ht="15" customHeight="1" x14ac:dyDescent="0.2">
      <c r="A7422" s="420">
        <v>45931</v>
      </c>
      <c r="B7422" t="s">
        <v>2532</v>
      </c>
      <c r="C7422" t="s">
        <v>1203</v>
      </c>
      <c r="D7422" t="s">
        <v>4063</v>
      </c>
      <c r="E7422" t="s">
        <v>1220</v>
      </c>
      <c r="F7422">
        <v>70</v>
      </c>
      <c r="H7422">
        <v>2228</v>
      </c>
    </row>
    <row r="7423" spans="1:8" ht="15" customHeight="1" x14ac:dyDescent="0.2">
      <c r="A7423" s="420">
        <v>45962</v>
      </c>
      <c r="B7423" t="s">
        <v>2532</v>
      </c>
      <c r="C7423" t="s">
        <v>1203</v>
      </c>
      <c r="D7423" t="s">
        <v>4065</v>
      </c>
      <c r="E7423" t="s">
        <v>1221</v>
      </c>
      <c r="F7423">
        <v>160</v>
      </c>
      <c r="H7423">
        <v>2388</v>
      </c>
    </row>
    <row r="7424" spans="1:8" ht="15" customHeight="1" x14ac:dyDescent="0.2">
      <c r="A7424" s="420">
        <v>45962</v>
      </c>
      <c r="B7424" t="s">
        <v>2532</v>
      </c>
      <c r="C7424" t="s">
        <v>1203</v>
      </c>
      <c r="D7424" t="s">
        <v>4065</v>
      </c>
      <c r="E7424" t="s">
        <v>1221</v>
      </c>
      <c r="F7424">
        <v>70</v>
      </c>
      <c r="H7424">
        <v>2458</v>
      </c>
    </row>
    <row r="7425" spans="1:10" ht="15" customHeight="1" x14ac:dyDescent="0.2">
      <c r="A7425" s="420">
        <v>45992</v>
      </c>
      <c r="B7425" t="s">
        <v>2532</v>
      </c>
      <c r="C7425" t="s">
        <v>1203</v>
      </c>
      <c r="D7425" t="s">
        <v>4067</v>
      </c>
      <c r="E7425" t="s">
        <v>1222</v>
      </c>
      <c r="F7425">
        <v>160</v>
      </c>
      <c r="H7425">
        <v>2618</v>
      </c>
    </row>
    <row r="7426" spans="1:10" ht="15" customHeight="1" x14ac:dyDescent="0.2">
      <c r="A7426" s="420">
        <v>45992</v>
      </c>
      <c r="B7426" t="s">
        <v>2532</v>
      </c>
      <c r="C7426" t="s">
        <v>1203</v>
      </c>
      <c r="D7426" t="s">
        <v>4067</v>
      </c>
      <c r="E7426" t="s">
        <v>1222</v>
      </c>
      <c r="F7426">
        <v>70</v>
      </c>
      <c r="H7426">
        <v>2688</v>
      </c>
    </row>
    <row r="7427" spans="1:10" ht="15" customHeight="1" x14ac:dyDescent="0.2">
      <c r="A7427" t="s">
        <v>1203</v>
      </c>
      <c r="E7427" t="s">
        <v>349</v>
      </c>
      <c r="F7427">
        <v>2688</v>
      </c>
      <c r="H7427">
        <v>2688</v>
      </c>
    </row>
    <row r="7429" spans="1:10" ht="15" customHeight="1" x14ac:dyDescent="0.2">
      <c r="A7429" t="s">
        <v>1324</v>
      </c>
      <c r="B7429" t="s">
        <v>1325</v>
      </c>
      <c r="F7429" t="s">
        <v>2430</v>
      </c>
      <c r="G7429" t="s">
        <v>2431</v>
      </c>
      <c r="H7429" t="s">
        <v>2432</v>
      </c>
      <c r="I7429" t="s">
        <v>2433</v>
      </c>
      <c r="J7429" t="s">
        <v>2434</v>
      </c>
    </row>
    <row r="7430" spans="1:10" ht="15" customHeight="1" x14ac:dyDescent="0.2">
      <c r="A7430" s="420">
        <v>45720</v>
      </c>
      <c r="B7430" t="s">
        <v>2532</v>
      </c>
      <c r="C7430" t="s">
        <v>1324</v>
      </c>
      <c r="D7430" t="s">
        <v>3572</v>
      </c>
      <c r="E7430" t="s">
        <v>1326</v>
      </c>
      <c r="F7430">
        <v>97.5</v>
      </c>
      <c r="H7430">
        <v>97.5</v>
      </c>
    </row>
    <row r="7431" spans="1:10" ht="15" customHeight="1" x14ac:dyDescent="0.2">
      <c r="A7431" s="420">
        <v>45736</v>
      </c>
      <c r="B7431" t="s">
        <v>2532</v>
      </c>
      <c r="C7431" t="s">
        <v>1324</v>
      </c>
      <c r="D7431" t="s">
        <v>3158</v>
      </c>
      <c r="E7431" t="s">
        <v>1332</v>
      </c>
      <c r="F7431">
        <v>120</v>
      </c>
      <c r="H7431">
        <v>217.5</v>
      </c>
    </row>
    <row r="7432" spans="1:10" ht="15" customHeight="1" x14ac:dyDescent="0.2">
      <c r="A7432" s="420">
        <v>45758</v>
      </c>
      <c r="B7432" t="s">
        <v>2532</v>
      </c>
      <c r="C7432" t="s">
        <v>1324</v>
      </c>
      <c r="D7432" t="s">
        <v>3161</v>
      </c>
      <c r="E7432" t="s">
        <v>1346</v>
      </c>
      <c r="F7432">
        <v>60</v>
      </c>
      <c r="H7432">
        <v>277.5</v>
      </c>
    </row>
    <row r="7433" spans="1:10" ht="15" customHeight="1" x14ac:dyDescent="0.2">
      <c r="A7433" s="420">
        <v>45792</v>
      </c>
      <c r="B7433" t="s">
        <v>2532</v>
      </c>
      <c r="C7433" t="s">
        <v>1324</v>
      </c>
      <c r="D7433" t="s">
        <v>3161</v>
      </c>
      <c r="E7433" t="s">
        <v>1357</v>
      </c>
      <c r="F7433">
        <v>60</v>
      </c>
      <c r="H7433">
        <v>337.5</v>
      </c>
    </row>
    <row r="7434" spans="1:10" ht="15" customHeight="1" x14ac:dyDescent="0.2">
      <c r="A7434" s="420">
        <v>45839</v>
      </c>
      <c r="B7434" t="s">
        <v>2547</v>
      </c>
      <c r="C7434" t="s">
        <v>1324</v>
      </c>
      <c r="D7434" t="s">
        <v>3164</v>
      </c>
      <c r="E7434" t="s">
        <v>1377</v>
      </c>
      <c r="F7434">
        <v>60</v>
      </c>
      <c r="H7434">
        <v>397.5</v>
      </c>
    </row>
    <row r="7435" spans="1:10" ht="15" customHeight="1" x14ac:dyDescent="0.2">
      <c r="A7435" s="420">
        <v>45868</v>
      </c>
      <c r="B7435" t="s">
        <v>2532</v>
      </c>
      <c r="C7435" t="s">
        <v>1324</v>
      </c>
      <c r="D7435" t="s">
        <v>3169</v>
      </c>
      <c r="E7435" t="s">
        <v>1386</v>
      </c>
      <c r="F7435">
        <v>60</v>
      </c>
      <c r="H7435">
        <v>457.5</v>
      </c>
    </row>
    <row r="7436" spans="1:10" ht="15" customHeight="1" x14ac:dyDescent="0.2">
      <c r="A7436" s="420">
        <v>45895</v>
      </c>
      <c r="B7436" t="s">
        <v>2532</v>
      </c>
      <c r="C7436" t="s">
        <v>1324</v>
      </c>
      <c r="D7436" t="s">
        <v>3170</v>
      </c>
      <c r="E7436" t="s">
        <v>1394</v>
      </c>
      <c r="F7436">
        <v>60</v>
      </c>
      <c r="H7436">
        <v>517.5</v>
      </c>
    </row>
    <row r="7437" spans="1:10" ht="15" customHeight="1" x14ac:dyDescent="0.2">
      <c r="A7437" s="420">
        <v>45925</v>
      </c>
      <c r="B7437" t="s">
        <v>2532</v>
      </c>
      <c r="C7437" t="s">
        <v>1324</v>
      </c>
      <c r="D7437" t="s">
        <v>3173</v>
      </c>
      <c r="E7437" t="s">
        <v>1400</v>
      </c>
      <c r="F7437">
        <v>60</v>
      </c>
      <c r="H7437">
        <v>577.5</v>
      </c>
    </row>
    <row r="7438" spans="1:10" ht="15" customHeight="1" x14ac:dyDescent="0.2">
      <c r="A7438" s="420">
        <v>45957</v>
      </c>
      <c r="B7438" t="s">
        <v>2532</v>
      </c>
      <c r="C7438" t="s">
        <v>1324</v>
      </c>
      <c r="D7438" t="s">
        <v>3176</v>
      </c>
      <c r="E7438" t="s">
        <v>1413</v>
      </c>
      <c r="F7438">
        <v>60</v>
      </c>
      <c r="H7438">
        <v>637.5</v>
      </c>
    </row>
    <row r="7439" spans="1:10" ht="15" customHeight="1" x14ac:dyDescent="0.2">
      <c r="A7439" s="420">
        <v>45981</v>
      </c>
      <c r="B7439" t="s">
        <v>2532</v>
      </c>
      <c r="C7439" t="s">
        <v>1324</v>
      </c>
      <c r="D7439" t="s">
        <v>3179</v>
      </c>
      <c r="E7439" t="s">
        <v>1422</v>
      </c>
      <c r="F7439">
        <v>60</v>
      </c>
      <c r="H7439">
        <v>697.5</v>
      </c>
    </row>
    <row r="7440" spans="1:10" ht="15" customHeight="1" x14ac:dyDescent="0.2">
      <c r="A7440" t="s">
        <v>1324</v>
      </c>
      <c r="E7440" t="s">
        <v>349</v>
      </c>
      <c r="F7440">
        <v>697.5</v>
      </c>
      <c r="H7440">
        <v>697.5</v>
      </c>
    </row>
    <row r="7442" spans="1:10" ht="15" customHeight="1" x14ac:dyDescent="0.2">
      <c r="A7442" t="s">
        <v>1291</v>
      </c>
      <c r="B7442" t="s">
        <v>1292</v>
      </c>
      <c r="F7442" t="s">
        <v>2430</v>
      </c>
      <c r="G7442" t="s">
        <v>2431</v>
      </c>
      <c r="H7442" t="s">
        <v>2432</v>
      </c>
      <c r="I7442" t="s">
        <v>2433</v>
      </c>
      <c r="J7442" t="s">
        <v>2434</v>
      </c>
    </row>
    <row r="7443" spans="1:10" ht="15" customHeight="1" x14ac:dyDescent="0.2">
      <c r="A7443" s="420">
        <v>45658</v>
      </c>
      <c r="B7443" t="s">
        <v>2507</v>
      </c>
      <c r="C7443" t="s">
        <v>1291</v>
      </c>
      <c r="D7443" t="s">
        <v>7445</v>
      </c>
      <c r="E7443" t="s">
        <v>653</v>
      </c>
      <c r="F7443">
        <v>14.1</v>
      </c>
      <c r="H7443">
        <v>14.1</v>
      </c>
      <c r="J7443" t="s">
        <v>2511</v>
      </c>
    </row>
    <row r="7444" spans="1:10" ht="15" customHeight="1" x14ac:dyDescent="0.2">
      <c r="A7444" s="420">
        <v>45912</v>
      </c>
      <c r="B7444" t="s">
        <v>2532</v>
      </c>
      <c r="C7444" t="s">
        <v>1291</v>
      </c>
      <c r="D7444" t="s">
        <v>3025</v>
      </c>
      <c r="E7444" t="s">
        <v>761</v>
      </c>
      <c r="F7444">
        <v>15.45</v>
      </c>
      <c r="H7444">
        <v>29.55</v>
      </c>
    </row>
    <row r="7445" spans="1:10" ht="15" customHeight="1" x14ac:dyDescent="0.2">
      <c r="A7445" s="420">
        <v>46022</v>
      </c>
      <c r="B7445" t="s">
        <v>2517</v>
      </c>
      <c r="C7445" t="s">
        <v>1291</v>
      </c>
      <c r="D7445" t="s">
        <v>7871</v>
      </c>
      <c r="E7445" t="s">
        <v>1290</v>
      </c>
      <c r="F7445">
        <v>30.9</v>
      </c>
      <c r="H7445">
        <v>60.45</v>
      </c>
    </row>
    <row r="7446" spans="1:10" ht="15" customHeight="1" x14ac:dyDescent="0.2">
      <c r="A7446" t="s">
        <v>1291</v>
      </c>
      <c r="E7446" t="s">
        <v>349</v>
      </c>
      <c r="F7446">
        <v>60.45</v>
      </c>
      <c r="H7446">
        <v>60.45</v>
      </c>
    </row>
    <row r="7448" spans="1:10" ht="15" customHeight="1" x14ac:dyDescent="0.2">
      <c r="A7448" t="s">
        <v>1307</v>
      </c>
      <c r="B7448" t="s">
        <v>1308</v>
      </c>
      <c r="F7448" t="s">
        <v>2430</v>
      </c>
      <c r="G7448" t="s">
        <v>2431</v>
      </c>
      <c r="H7448" t="s">
        <v>2432</v>
      </c>
      <c r="I7448" t="s">
        <v>2433</v>
      </c>
      <c r="J7448" t="s">
        <v>2434</v>
      </c>
    </row>
    <row r="7449" spans="1:10" ht="15" customHeight="1" x14ac:dyDescent="0.2">
      <c r="A7449" s="420">
        <v>45690</v>
      </c>
      <c r="B7449" t="s">
        <v>2547</v>
      </c>
      <c r="C7449" t="s">
        <v>1307</v>
      </c>
      <c r="D7449" t="s">
        <v>3738</v>
      </c>
      <c r="E7449" t="s">
        <v>3739</v>
      </c>
      <c r="F7449">
        <v>16.66</v>
      </c>
      <c r="H7449">
        <v>16.66</v>
      </c>
    </row>
    <row r="7450" spans="1:10" ht="15" customHeight="1" x14ac:dyDescent="0.2">
      <c r="A7450" s="420">
        <v>45711</v>
      </c>
      <c r="B7450" t="s">
        <v>2547</v>
      </c>
      <c r="C7450" t="s">
        <v>1307</v>
      </c>
      <c r="D7450" t="s">
        <v>3908</v>
      </c>
      <c r="E7450" t="s">
        <v>1319</v>
      </c>
      <c r="F7450">
        <v>880.83</v>
      </c>
      <c r="H7450">
        <v>897.49</v>
      </c>
    </row>
    <row r="7451" spans="1:10" ht="15" customHeight="1" x14ac:dyDescent="0.2">
      <c r="A7451" s="420">
        <v>45712</v>
      </c>
      <c r="B7451" t="s">
        <v>2547</v>
      </c>
      <c r="C7451" t="s">
        <v>1307</v>
      </c>
      <c r="D7451" t="s">
        <v>3545</v>
      </c>
      <c r="E7451" t="s">
        <v>3546</v>
      </c>
      <c r="F7451">
        <v>25</v>
      </c>
      <c r="H7451">
        <v>922.49</v>
      </c>
    </row>
    <row r="7452" spans="1:10" ht="15" customHeight="1" x14ac:dyDescent="0.2">
      <c r="A7452" s="420">
        <v>45734</v>
      </c>
      <c r="B7452" t="s">
        <v>2532</v>
      </c>
      <c r="C7452" t="s">
        <v>1307</v>
      </c>
      <c r="D7452" t="s">
        <v>3909</v>
      </c>
      <c r="E7452" t="s">
        <v>1331</v>
      </c>
      <c r="F7452">
        <v>445.99</v>
      </c>
      <c r="H7452">
        <v>1368.48</v>
      </c>
    </row>
    <row r="7453" spans="1:10" ht="15" customHeight="1" x14ac:dyDescent="0.2">
      <c r="A7453" s="420">
        <v>45776</v>
      </c>
      <c r="B7453" t="s">
        <v>2532</v>
      </c>
      <c r="C7453" t="s">
        <v>1307</v>
      </c>
      <c r="D7453" t="s">
        <v>3549</v>
      </c>
      <c r="E7453" t="s">
        <v>1349</v>
      </c>
      <c r="F7453">
        <v>13.33</v>
      </c>
      <c r="H7453">
        <v>1381.81</v>
      </c>
    </row>
    <row r="7454" spans="1:10" ht="15" customHeight="1" x14ac:dyDescent="0.2">
      <c r="A7454" s="420">
        <v>45868</v>
      </c>
      <c r="B7454" t="s">
        <v>2532</v>
      </c>
      <c r="C7454" t="s">
        <v>1307</v>
      </c>
      <c r="D7454" t="s">
        <v>3552</v>
      </c>
      <c r="E7454" t="s">
        <v>1387</v>
      </c>
      <c r="F7454">
        <v>14.16</v>
      </c>
      <c r="H7454">
        <v>1395.97</v>
      </c>
    </row>
    <row r="7455" spans="1:10" ht="15" customHeight="1" x14ac:dyDescent="0.2">
      <c r="A7455" t="s">
        <v>1307</v>
      </c>
      <c r="E7455" t="s">
        <v>349</v>
      </c>
      <c r="F7455">
        <v>1395.97</v>
      </c>
      <c r="H7455">
        <v>1395.97</v>
      </c>
    </row>
    <row r="7457" spans="1:10" ht="15" customHeight="1" x14ac:dyDescent="0.2">
      <c r="A7457" t="s">
        <v>1335</v>
      </c>
      <c r="B7457" t="s">
        <v>1336</v>
      </c>
      <c r="F7457" t="s">
        <v>2430</v>
      </c>
      <c r="G7457" t="s">
        <v>2431</v>
      </c>
      <c r="H7457" t="s">
        <v>2432</v>
      </c>
      <c r="I7457" t="s">
        <v>2433</v>
      </c>
      <c r="J7457" t="s">
        <v>2434</v>
      </c>
    </row>
    <row r="7458" spans="1:10" ht="15" customHeight="1" x14ac:dyDescent="0.2">
      <c r="A7458" s="420">
        <v>45741</v>
      </c>
      <c r="B7458" t="s">
        <v>2532</v>
      </c>
      <c r="C7458" t="s">
        <v>1335</v>
      </c>
      <c r="D7458" t="s">
        <v>3386</v>
      </c>
      <c r="E7458" t="s">
        <v>1337</v>
      </c>
      <c r="F7458">
        <v>236.48</v>
      </c>
      <c r="H7458">
        <v>236.48</v>
      </c>
    </row>
    <row r="7459" spans="1:10" ht="15" customHeight="1" x14ac:dyDescent="0.2">
      <c r="A7459" s="420">
        <v>45755</v>
      </c>
      <c r="B7459" t="s">
        <v>2532</v>
      </c>
      <c r="C7459" t="s">
        <v>1335</v>
      </c>
      <c r="D7459" t="s">
        <v>3608</v>
      </c>
      <c r="E7459" t="s">
        <v>3609</v>
      </c>
      <c r="F7459">
        <v>801.59</v>
      </c>
      <c r="H7459">
        <v>1038.07</v>
      </c>
    </row>
    <row r="7460" spans="1:10" ht="15" customHeight="1" x14ac:dyDescent="0.2">
      <c r="A7460" s="420">
        <v>45807</v>
      </c>
      <c r="B7460" t="s">
        <v>2532</v>
      </c>
      <c r="C7460" t="s">
        <v>1335</v>
      </c>
      <c r="D7460" t="s">
        <v>3126</v>
      </c>
      <c r="E7460" t="s">
        <v>1363</v>
      </c>
      <c r="F7460">
        <v>71.67</v>
      </c>
      <c r="H7460">
        <v>1109.74</v>
      </c>
    </row>
    <row r="7461" spans="1:10" ht="15" customHeight="1" x14ac:dyDescent="0.2">
      <c r="A7461" s="420">
        <v>45807</v>
      </c>
      <c r="B7461" t="s">
        <v>2439</v>
      </c>
      <c r="C7461" t="s">
        <v>1335</v>
      </c>
      <c r="D7461" t="s">
        <v>6975</v>
      </c>
      <c r="E7461" t="s">
        <v>1364</v>
      </c>
      <c r="F7461">
        <v>14.33</v>
      </c>
      <c r="H7461">
        <v>1124.07</v>
      </c>
    </row>
    <row r="7462" spans="1:10" ht="15" customHeight="1" x14ac:dyDescent="0.2">
      <c r="A7462" t="s">
        <v>1335</v>
      </c>
      <c r="E7462" t="s">
        <v>349</v>
      </c>
      <c r="F7462">
        <v>1124.07</v>
      </c>
      <c r="H7462">
        <v>1124.07</v>
      </c>
    </row>
    <row r="7464" spans="1:10" ht="15" customHeight="1" x14ac:dyDescent="0.2">
      <c r="A7464" t="s">
        <v>1339</v>
      </c>
      <c r="B7464" t="s">
        <v>1340</v>
      </c>
      <c r="F7464" t="s">
        <v>2430</v>
      </c>
      <c r="G7464" t="s">
        <v>2431</v>
      </c>
      <c r="H7464" t="s">
        <v>2432</v>
      </c>
      <c r="I7464" t="s">
        <v>2433</v>
      </c>
      <c r="J7464" t="s">
        <v>2434</v>
      </c>
    </row>
    <row r="7465" spans="1:10" ht="15" customHeight="1" x14ac:dyDescent="0.2">
      <c r="A7465" s="420">
        <v>45748</v>
      </c>
      <c r="B7465" t="s">
        <v>2439</v>
      </c>
      <c r="C7465" t="s">
        <v>1339</v>
      </c>
      <c r="D7465" t="s">
        <v>2639</v>
      </c>
      <c r="E7465" t="s">
        <v>693</v>
      </c>
      <c r="F7465">
        <v>34.18</v>
      </c>
      <c r="H7465">
        <v>34.18</v>
      </c>
    </row>
    <row r="7466" spans="1:10" ht="15" customHeight="1" x14ac:dyDescent="0.2">
      <c r="A7466" s="420">
        <v>45778</v>
      </c>
      <c r="B7466" t="s">
        <v>2439</v>
      </c>
      <c r="C7466" t="s">
        <v>1339</v>
      </c>
      <c r="D7466" t="s">
        <v>2640</v>
      </c>
      <c r="E7466" t="s">
        <v>705</v>
      </c>
      <c r="F7466">
        <v>34.18</v>
      </c>
      <c r="H7466">
        <v>68.36</v>
      </c>
    </row>
    <row r="7467" spans="1:10" ht="15" customHeight="1" x14ac:dyDescent="0.2">
      <c r="A7467" s="420">
        <v>45809</v>
      </c>
      <c r="B7467" t="s">
        <v>2439</v>
      </c>
      <c r="C7467" t="s">
        <v>1339</v>
      </c>
      <c r="D7467" t="s">
        <v>2643</v>
      </c>
      <c r="E7467" t="s">
        <v>719</v>
      </c>
      <c r="F7467">
        <v>34.18</v>
      </c>
      <c r="H7467">
        <v>102.54</v>
      </c>
    </row>
    <row r="7468" spans="1:10" ht="15" customHeight="1" x14ac:dyDescent="0.2">
      <c r="A7468" s="420">
        <v>45839</v>
      </c>
      <c r="B7468" t="s">
        <v>2439</v>
      </c>
      <c r="C7468" t="s">
        <v>1339</v>
      </c>
      <c r="D7468" t="s">
        <v>2646</v>
      </c>
      <c r="E7468" t="s">
        <v>719</v>
      </c>
      <c r="F7468">
        <v>34.18</v>
      </c>
      <c r="H7468">
        <v>136.72</v>
      </c>
    </row>
    <row r="7469" spans="1:10" ht="15" customHeight="1" x14ac:dyDescent="0.2">
      <c r="A7469" s="420">
        <v>45870</v>
      </c>
      <c r="B7469" t="s">
        <v>2439</v>
      </c>
      <c r="C7469" t="s">
        <v>1339</v>
      </c>
      <c r="D7469" t="s">
        <v>2649</v>
      </c>
      <c r="E7469" t="s">
        <v>719</v>
      </c>
      <c r="F7469">
        <v>34.18</v>
      </c>
      <c r="H7469">
        <v>170.9</v>
      </c>
    </row>
    <row r="7470" spans="1:10" ht="15" customHeight="1" x14ac:dyDescent="0.2">
      <c r="A7470" s="420">
        <v>45901</v>
      </c>
      <c r="B7470" t="s">
        <v>2439</v>
      </c>
      <c r="C7470" t="s">
        <v>1339</v>
      </c>
      <c r="D7470" t="s">
        <v>2652</v>
      </c>
      <c r="E7470" t="s">
        <v>719</v>
      </c>
      <c r="F7470">
        <v>34.18</v>
      </c>
      <c r="H7470">
        <v>205.08</v>
      </c>
    </row>
    <row r="7471" spans="1:10" ht="15" customHeight="1" x14ac:dyDescent="0.2">
      <c r="A7471" s="420">
        <v>45931</v>
      </c>
      <c r="B7471" t="s">
        <v>2439</v>
      </c>
      <c r="C7471" t="s">
        <v>1339</v>
      </c>
      <c r="D7471" t="s">
        <v>2655</v>
      </c>
      <c r="E7471" t="s">
        <v>719</v>
      </c>
      <c r="F7471">
        <v>34.18</v>
      </c>
      <c r="H7471">
        <v>239.26</v>
      </c>
    </row>
    <row r="7472" spans="1:10" ht="15" customHeight="1" x14ac:dyDescent="0.2">
      <c r="A7472" s="420">
        <v>45943</v>
      </c>
      <c r="B7472" t="s">
        <v>2532</v>
      </c>
      <c r="C7472" t="s">
        <v>1339</v>
      </c>
      <c r="D7472" t="s">
        <v>3554</v>
      </c>
      <c r="E7472" t="s">
        <v>1408</v>
      </c>
      <c r="F7472">
        <v>10</v>
      </c>
      <c r="H7472">
        <v>249.26</v>
      </c>
    </row>
    <row r="7473" spans="1:10" ht="15" customHeight="1" x14ac:dyDescent="0.2">
      <c r="A7473" s="420">
        <v>45943</v>
      </c>
      <c r="B7473" t="s">
        <v>2532</v>
      </c>
      <c r="C7473" t="s">
        <v>1339</v>
      </c>
      <c r="D7473" t="s">
        <v>3555</v>
      </c>
      <c r="E7473" t="s">
        <v>1409</v>
      </c>
      <c r="F7473">
        <v>10</v>
      </c>
      <c r="H7473">
        <v>259.26</v>
      </c>
    </row>
    <row r="7474" spans="1:10" ht="15" customHeight="1" x14ac:dyDescent="0.2">
      <c r="A7474" s="420">
        <v>45962</v>
      </c>
      <c r="B7474" t="s">
        <v>2439</v>
      </c>
      <c r="C7474" t="s">
        <v>1339</v>
      </c>
      <c r="D7474" t="s">
        <v>2658</v>
      </c>
      <c r="E7474" t="s">
        <v>719</v>
      </c>
      <c r="F7474">
        <v>34.18</v>
      </c>
      <c r="H7474">
        <v>293.44</v>
      </c>
    </row>
    <row r="7475" spans="1:10" ht="15" customHeight="1" x14ac:dyDescent="0.2">
      <c r="A7475" s="420">
        <v>45980</v>
      </c>
      <c r="B7475" t="s">
        <v>2532</v>
      </c>
      <c r="C7475" t="s">
        <v>1339</v>
      </c>
      <c r="D7475" t="s">
        <v>3558</v>
      </c>
      <c r="E7475" t="s">
        <v>1421</v>
      </c>
      <c r="F7475">
        <v>13.33</v>
      </c>
      <c r="H7475">
        <v>306.77</v>
      </c>
    </row>
    <row r="7476" spans="1:10" ht="15" customHeight="1" x14ac:dyDescent="0.2">
      <c r="A7476" s="420">
        <v>45992</v>
      </c>
      <c r="B7476" t="s">
        <v>2439</v>
      </c>
      <c r="C7476" t="s">
        <v>1339</v>
      </c>
      <c r="D7476" t="s">
        <v>2661</v>
      </c>
      <c r="E7476" t="s">
        <v>719</v>
      </c>
      <c r="F7476">
        <v>34.18</v>
      </c>
      <c r="H7476">
        <v>340.95</v>
      </c>
    </row>
    <row r="7477" spans="1:10" ht="15" customHeight="1" x14ac:dyDescent="0.2">
      <c r="A7477" s="420">
        <v>45996</v>
      </c>
      <c r="B7477" t="s">
        <v>2532</v>
      </c>
      <c r="C7477" t="s">
        <v>1339</v>
      </c>
      <c r="D7477" t="s">
        <v>3008</v>
      </c>
      <c r="E7477" t="s">
        <v>1426</v>
      </c>
      <c r="F7477">
        <v>358.07</v>
      </c>
      <c r="H7477">
        <v>699.02</v>
      </c>
    </row>
    <row r="7478" spans="1:10" ht="15" customHeight="1" x14ac:dyDescent="0.2">
      <c r="A7478" t="s">
        <v>1339</v>
      </c>
      <c r="E7478" t="s">
        <v>349</v>
      </c>
      <c r="F7478">
        <v>699.02</v>
      </c>
      <c r="H7478">
        <v>699.02</v>
      </c>
    </row>
    <row r="7480" spans="1:10" ht="15" customHeight="1" x14ac:dyDescent="0.2">
      <c r="A7480" t="s">
        <v>1293</v>
      </c>
      <c r="B7480" t="s">
        <v>1294</v>
      </c>
      <c r="F7480" t="s">
        <v>2430</v>
      </c>
      <c r="G7480" t="s">
        <v>2431</v>
      </c>
      <c r="H7480" t="s">
        <v>2432</v>
      </c>
      <c r="I7480" t="s">
        <v>2433</v>
      </c>
      <c r="J7480" t="s">
        <v>2434</v>
      </c>
    </row>
    <row r="7481" spans="1:10" ht="15" customHeight="1" x14ac:dyDescent="0.2">
      <c r="A7481" s="420">
        <v>45662</v>
      </c>
      <c r="B7481" t="s">
        <v>2532</v>
      </c>
      <c r="C7481" t="s">
        <v>1293</v>
      </c>
      <c r="D7481" t="s">
        <v>4140</v>
      </c>
      <c r="E7481" t="s">
        <v>1295</v>
      </c>
      <c r="F7481">
        <v>14</v>
      </c>
      <c r="H7481">
        <v>14</v>
      </c>
    </row>
    <row r="7482" spans="1:10" ht="15" customHeight="1" x14ac:dyDescent="0.2">
      <c r="A7482" s="420">
        <v>45665</v>
      </c>
      <c r="B7482" t="s">
        <v>2333</v>
      </c>
      <c r="C7482" t="s">
        <v>1293</v>
      </c>
      <c r="D7482" t="s">
        <v>7513</v>
      </c>
      <c r="E7482" t="s">
        <v>1296</v>
      </c>
      <c r="F7482">
        <v>0.99</v>
      </c>
      <c r="H7482">
        <v>14.99</v>
      </c>
    </row>
    <row r="7483" spans="1:10" ht="15" customHeight="1" x14ac:dyDescent="0.2">
      <c r="A7483" s="420">
        <v>45665</v>
      </c>
      <c r="B7483" t="s">
        <v>2532</v>
      </c>
      <c r="C7483" t="s">
        <v>1293</v>
      </c>
      <c r="D7483" t="s">
        <v>5023</v>
      </c>
      <c r="E7483" t="s">
        <v>1297</v>
      </c>
      <c r="F7483">
        <v>136</v>
      </c>
      <c r="H7483">
        <v>150.99</v>
      </c>
    </row>
    <row r="7484" spans="1:10" ht="15" customHeight="1" x14ac:dyDescent="0.2">
      <c r="A7484" s="420">
        <v>45667</v>
      </c>
      <c r="B7484" t="s">
        <v>2532</v>
      </c>
      <c r="C7484" t="s">
        <v>1293</v>
      </c>
      <c r="D7484" t="s">
        <v>3079</v>
      </c>
      <c r="E7484" t="s">
        <v>1298</v>
      </c>
      <c r="F7484">
        <v>11.99</v>
      </c>
      <c r="H7484">
        <v>162.97999999999999</v>
      </c>
    </row>
    <row r="7485" spans="1:10" ht="15" customHeight="1" x14ac:dyDescent="0.2">
      <c r="A7485" s="420">
        <v>45673</v>
      </c>
      <c r="B7485" t="s">
        <v>2532</v>
      </c>
      <c r="C7485" t="s">
        <v>1293</v>
      </c>
      <c r="D7485" t="s">
        <v>3977</v>
      </c>
      <c r="E7485" t="s">
        <v>1300</v>
      </c>
      <c r="F7485">
        <v>39.04</v>
      </c>
      <c r="H7485">
        <v>202.02</v>
      </c>
    </row>
    <row r="7486" spans="1:10" ht="15" customHeight="1" x14ac:dyDescent="0.2">
      <c r="A7486" s="420">
        <v>45680</v>
      </c>
      <c r="B7486" t="s">
        <v>2532</v>
      </c>
      <c r="C7486" t="s">
        <v>1293</v>
      </c>
      <c r="D7486" t="s">
        <v>2799</v>
      </c>
      <c r="E7486" t="s">
        <v>1302</v>
      </c>
      <c r="F7486">
        <v>29.13</v>
      </c>
      <c r="H7486">
        <v>231.15</v>
      </c>
    </row>
    <row r="7487" spans="1:10" ht="15" customHeight="1" x14ac:dyDescent="0.2">
      <c r="A7487" s="420">
        <v>45686</v>
      </c>
      <c r="B7487" t="s">
        <v>2547</v>
      </c>
      <c r="C7487" t="s">
        <v>1293</v>
      </c>
      <c r="D7487" t="s">
        <v>4676</v>
      </c>
      <c r="E7487" t="s">
        <v>1304</v>
      </c>
      <c r="F7487">
        <v>16.79</v>
      </c>
      <c r="H7487">
        <v>247.94</v>
      </c>
    </row>
    <row r="7488" spans="1:10" ht="15" customHeight="1" x14ac:dyDescent="0.2">
      <c r="A7488" s="420">
        <v>45688</v>
      </c>
      <c r="B7488" t="s">
        <v>2532</v>
      </c>
      <c r="C7488" t="s">
        <v>1293</v>
      </c>
      <c r="D7488" t="s">
        <v>4699</v>
      </c>
      <c r="E7488" t="s">
        <v>1305</v>
      </c>
      <c r="F7488">
        <v>19.3</v>
      </c>
      <c r="H7488">
        <v>267.24</v>
      </c>
    </row>
    <row r="7489" spans="1:8" ht="15" customHeight="1" x14ac:dyDescent="0.2">
      <c r="A7489" s="420">
        <v>45693</v>
      </c>
      <c r="B7489" t="s">
        <v>2532</v>
      </c>
      <c r="C7489" t="s">
        <v>1293</v>
      </c>
      <c r="D7489" t="s">
        <v>4145</v>
      </c>
      <c r="E7489" t="s">
        <v>1310</v>
      </c>
      <c r="F7489">
        <v>14</v>
      </c>
      <c r="H7489">
        <v>281.24</v>
      </c>
    </row>
    <row r="7490" spans="1:8" ht="15" customHeight="1" x14ac:dyDescent="0.2">
      <c r="A7490" s="420">
        <v>45696</v>
      </c>
      <c r="B7490" t="s">
        <v>2532</v>
      </c>
      <c r="C7490" t="s">
        <v>1293</v>
      </c>
      <c r="D7490" t="s">
        <v>5032</v>
      </c>
      <c r="E7490" t="s">
        <v>1311</v>
      </c>
      <c r="F7490">
        <v>156</v>
      </c>
      <c r="H7490">
        <v>437.24</v>
      </c>
    </row>
    <row r="7491" spans="1:8" ht="15" customHeight="1" x14ac:dyDescent="0.2">
      <c r="A7491" s="420">
        <v>45698</v>
      </c>
      <c r="B7491" t="s">
        <v>2333</v>
      </c>
      <c r="C7491" t="s">
        <v>1293</v>
      </c>
      <c r="D7491" t="s">
        <v>7538</v>
      </c>
      <c r="E7491" t="s">
        <v>1312</v>
      </c>
      <c r="F7491">
        <v>0.99</v>
      </c>
      <c r="H7491">
        <v>438.23</v>
      </c>
    </row>
    <row r="7492" spans="1:8" ht="15" customHeight="1" x14ac:dyDescent="0.2">
      <c r="A7492" s="420">
        <v>45698</v>
      </c>
      <c r="B7492" t="s">
        <v>2532</v>
      </c>
      <c r="C7492" t="s">
        <v>1293</v>
      </c>
      <c r="D7492" t="s">
        <v>3082</v>
      </c>
      <c r="E7492" t="s">
        <v>1313</v>
      </c>
      <c r="F7492">
        <v>11.99</v>
      </c>
      <c r="H7492">
        <v>450.22</v>
      </c>
    </row>
    <row r="7493" spans="1:8" ht="15" customHeight="1" x14ac:dyDescent="0.2">
      <c r="A7493" s="420">
        <v>45700</v>
      </c>
      <c r="B7493" t="s">
        <v>2532</v>
      </c>
      <c r="C7493" t="s">
        <v>1293</v>
      </c>
      <c r="D7493" t="s">
        <v>6308</v>
      </c>
      <c r="E7493" t="s">
        <v>1315</v>
      </c>
      <c r="F7493">
        <v>7.99</v>
      </c>
      <c r="H7493">
        <v>458.21</v>
      </c>
    </row>
    <row r="7494" spans="1:8" ht="15" customHeight="1" x14ac:dyDescent="0.2">
      <c r="A7494" s="420">
        <v>45704</v>
      </c>
      <c r="B7494" t="s">
        <v>2532</v>
      </c>
      <c r="C7494" t="s">
        <v>1293</v>
      </c>
      <c r="D7494" t="s">
        <v>3980</v>
      </c>
      <c r="E7494" t="s">
        <v>1317</v>
      </c>
      <c r="F7494">
        <v>39.04</v>
      </c>
      <c r="H7494">
        <v>497.25</v>
      </c>
    </row>
    <row r="7495" spans="1:8" ht="15" customHeight="1" x14ac:dyDescent="0.2">
      <c r="A7495" s="420">
        <v>45711</v>
      </c>
      <c r="B7495" t="s">
        <v>2532</v>
      </c>
      <c r="C7495" t="s">
        <v>1293</v>
      </c>
      <c r="D7495" t="s">
        <v>2801</v>
      </c>
      <c r="E7495" t="s">
        <v>1320</v>
      </c>
      <c r="F7495">
        <v>34.950000000000003</v>
      </c>
      <c r="H7495">
        <v>532.20000000000005</v>
      </c>
    </row>
    <row r="7496" spans="1:8" ht="15" customHeight="1" x14ac:dyDescent="0.2">
      <c r="A7496" s="420">
        <v>45716</v>
      </c>
      <c r="B7496" t="s">
        <v>2532</v>
      </c>
      <c r="C7496" t="s">
        <v>1293</v>
      </c>
      <c r="D7496" t="s">
        <v>4701</v>
      </c>
      <c r="E7496" t="s">
        <v>883</v>
      </c>
      <c r="F7496">
        <v>19.14</v>
      </c>
      <c r="H7496">
        <v>551.34</v>
      </c>
    </row>
    <row r="7497" spans="1:8" ht="15" customHeight="1" x14ac:dyDescent="0.2">
      <c r="A7497" s="420">
        <v>45717</v>
      </c>
      <c r="B7497" t="s">
        <v>2532</v>
      </c>
      <c r="C7497" t="s">
        <v>1293</v>
      </c>
      <c r="D7497" t="s">
        <v>4679</v>
      </c>
      <c r="E7497" t="s">
        <v>1323</v>
      </c>
      <c r="F7497">
        <v>16.79</v>
      </c>
      <c r="H7497">
        <v>568.13</v>
      </c>
    </row>
    <row r="7498" spans="1:8" ht="15" customHeight="1" x14ac:dyDescent="0.2">
      <c r="A7498" s="420">
        <v>45721</v>
      </c>
      <c r="B7498" t="s">
        <v>2547</v>
      </c>
      <c r="C7498" t="s">
        <v>1293</v>
      </c>
      <c r="D7498" t="s">
        <v>4163</v>
      </c>
      <c r="E7498" t="s">
        <v>1327</v>
      </c>
      <c r="F7498">
        <v>14</v>
      </c>
      <c r="H7498">
        <v>582.13</v>
      </c>
    </row>
    <row r="7499" spans="1:8" ht="15" customHeight="1" x14ac:dyDescent="0.2">
      <c r="A7499" s="420">
        <v>45723</v>
      </c>
      <c r="B7499" t="s">
        <v>2532</v>
      </c>
      <c r="C7499" t="s">
        <v>1293</v>
      </c>
      <c r="D7499" t="s">
        <v>2803</v>
      </c>
      <c r="E7499" t="s">
        <v>2804</v>
      </c>
      <c r="F7499">
        <v>0.99</v>
      </c>
      <c r="H7499">
        <v>583.12</v>
      </c>
    </row>
    <row r="7500" spans="1:8" ht="15" customHeight="1" x14ac:dyDescent="0.2">
      <c r="A7500" s="420">
        <v>45724</v>
      </c>
      <c r="B7500" t="s">
        <v>2532</v>
      </c>
      <c r="C7500" t="s">
        <v>1293</v>
      </c>
      <c r="D7500" t="s">
        <v>5038</v>
      </c>
      <c r="E7500" t="s">
        <v>1329</v>
      </c>
      <c r="F7500">
        <v>156</v>
      </c>
      <c r="H7500">
        <v>739.12</v>
      </c>
    </row>
    <row r="7501" spans="1:8" ht="15" customHeight="1" x14ac:dyDescent="0.2">
      <c r="A7501" s="420">
        <v>45726</v>
      </c>
      <c r="B7501" t="s">
        <v>2532</v>
      </c>
      <c r="C7501" t="s">
        <v>1293</v>
      </c>
      <c r="D7501" t="s">
        <v>3085</v>
      </c>
      <c r="E7501" t="s">
        <v>1330</v>
      </c>
      <c r="F7501">
        <v>11.99</v>
      </c>
      <c r="H7501">
        <v>751.11</v>
      </c>
    </row>
    <row r="7502" spans="1:8" ht="15" customHeight="1" x14ac:dyDescent="0.2">
      <c r="A7502" s="420">
        <v>45739</v>
      </c>
      <c r="B7502" t="s">
        <v>2532</v>
      </c>
      <c r="C7502" t="s">
        <v>1293</v>
      </c>
      <c r="D7502" t="s">
        <v>2806</v>
      </c>
      <c r="E7502" t="s">
        <v>1334</v>
      </c>
      <c r="F7502">
        <v>34.950000000000003</v>
      </c>
      <c r="H7502">
        <v>786.06</v>
      </c>
    </row>
    <row r="7503" spans="1:8" ht="15" customHeight="1" x14ac:dyDescent="0.2">
      <c r="A7503" s="420">
        <v>45747</v>
      </c>
      <c r="B7503" t="s">
        <v>2532</v>
      </c>
      <c r="C7503" t="s">
        <v>1293</v>
      </c>
      <c r="D7503" t="s">
        <v>4705</v>
      </c>
      <c r="E7503" t="s">
        <v>1338</v>
      </c>
      <c r="F7503">
        <v>19.14</v>
      </c>
      <c r="H7503">
        <v>805.2</v>
      </c>
    </row>
    <row r="7504" spans="1:8" ht="15" customHeight="1" x14ac:dyDescent="0.2">
      <c r="A7504" s="420">
        <v>45748</v>
      </c>
      <c r="B7504" t="s">
        <v>2532</v>
      </c>
      <c r="C7504" t="s">
        <v>1293</v>
      </c>
      <c r="D7504" t="s">
        <v>4681</v>
      </c>
      <c r="E7504" t="s">
        <v>1341</v>
      </c>
      <c r="F7504">
        <v>15.55</v>
      </c>
      <c r="H7504">
        <v>820.75</v>
      </c>
    </row>
    <row r="7505" spans="1:8" ht="15" customHeight="1" x14ac:dyDescent="0.2">
      <c r="A7505" s="420">
        <v>45752</v>
      </c>
      <c r="B7505" t="s">
        <v>2532</v>
      </c>
      <c r="C7505" t="s">
        <v>1293</v>
      </c>
      <c r="D7505" t="s">
        <v>4146</v>
      </c>
      <c r="E7505" t="s">
        <v>1342</v>
      </c>
      <c r="F7505">
        <v>16.8</v>
      </c>
      <c r="H7505">
        <v>837.55</v>
      </c>
    </row>
    <row r="7506" spans="1:8" ht="15" customHeight="1" x14ac:dyDescent="0.2">
      <c r="A7506" s="420">
        <v>45755</v>
      </c>
      <c r="B7506" t="s">
        <v>2532</v>
      </c>
      <c r="C7506" t="s">
        <v>1293</v>
      </c>
      <c r="D7506" t="s">
        <v>5041</v>
      </c>
      <c r="E7506" t="s">
        <v>1344</v>
      </c>
      <c r="F7506">
        <v>156</v>
      </c>
      <c r="H7506">
        <v>993.55</v>
      </c>
    </row>
    <row r="7507" spans="1:8" ht="15" customHeight="1" x14ac:dyDescent="0.2">
      <c r="A7507" s="420">
        <v>45755</v>
      </c>
      <c r="B7507" t="s">
        <v>2532</v>
      </c>
      <c r="C7507" t="s">
        <v>1293</v>
      </c>
      <c r="D7507" t="s">
        <v>2809</v>
      </c>
      <c r="E7507" t="s">
        <v>2810</v>
      </c>
      <c r="F7507">
        <v>0.99</v>
      </c>
      <c r="H7507">
        <v>994.54</v>
      </c>
    </row>
    <row r="7508" spans="1:8" ht="15" customHeight="1" x14ac:dyDescent="0.2">
      <c r="A7508" s="420">
        <v>45757</v>
      </c>
      <c r="B7508" t="s">
        <v>2532</v>
      </c>
      <c r="C7508" t="s">
        <v>1293</v>
      </c>
      <c r="D7508" t="s">
        <v>3088</v>
      </c>
      <c r="E7508" t="s">
        <v>1345</v>
      </c>
      <c r="F7508">
        <v>11.99</v>
      </c>
      <c r="H7508">
        <v>1006.53</v>
      </c>
    </row>
    <row r="7509" spans="1:8" ht="15" customHeight="1" x14ac:dyDescent="0.2">
      <c r="A7509" s="420">
        <v>45770</v>
      </c>
      <c r="B7509" t="s">
        <v>2532</v>
      </c>
      <c r="C7509" t="s">
        <v>1293</v>
      </c>
      <c r="D7509" t="s">
        <v>2811</v>
      </c>
      <c r="E7509" t="s">
        <v>1347</v>
      </c>
      <c r="F7509">
        <v>34.950000000000003</v>
      </c>
      <c r="H7509">
        <v>1041.48</v>
      </c>
    </row>
    <row r="7510" spans="1:8" ht="15" customHeight="1" x14ac:dyDescent="0.2">
      <c r="A7510" s="420">
        <v>45777</v>
      </c>
      <c r="B7510" t="s">
        <v>2532</v>
      </c>
      <c r="C7510" t="s">
        <v>1293</v>
      </c>
      <c r="D7510" t="s">
        <v>4708</v>
      </c>
      <c r="E7510" t="s">
        <v>890</v>
      </c>
      <c r="F7510">
        <v>17.55</v>
      </c>
      <c r="H7510">
        <v>1059.03</v>
      </c>
    </row>
    <row r="7511" spans="1:8" ht="15" customHeight="1" x14ac:dyDescent="0.2">
      <c r="A7511" s="420">
        <v>45778</v>
      </c>
      <c r="B7511" t="s">
        <v>2532</v>
      </c>
      <c r="C7511" t="s">
        <v>1293</v>
      </c>
      <c r="D7511" t="s">
        <v>5418</v>
      </c>
      <c r="E7511" t="s">
        <v>708</v>
      </c>
      <c r="F7511">
        <v>1.64</v>
      </c>
      <c r="H7511">
        <v>1060.67</v>
      </c>
    </row>
    <row r="7512" spans="1:8" ht="15" customHeight="1" x14ac:dyDescent="0.2">
      <c r="A7512" s="420">
        <v>45779</v>
      </c>
      <c r="B7512" t="s">
        <v>2532</v>
      </c>
      <c r="C7512" t="s">
        <v>1293</v>
      </c>
      <c r="D7512" t="s">
        <v>5419</v>
      </c>
      <c r="E7512" t="s">
        <v>710</v>
      </c>
      <c r="F7512">
        <v>24.58</v>
      </c>
      <c r="H7512">
        <v>1085.25</v>
      </c>
    </row>
    <row r="7513" spans="1:8" ht="15" customHeight="1" x14ac:dyDescent="0.2">
      <c r="A7513" s="420">
        <v>45782</v>
      </c>
      <c r="B7513" t="s">
        <v>2532</v>
      </c>
      <c r="C7513" t="s">
        <v>1293</v>
      </c>
      <c r="D7513" t="s">
        <v>4149</v>
      </c>
      <c r="E7513" t="s">
        <v>4150</v>
      </c>
      <c r="F7513">
        <v>14</v>
      </c>
      <c r="H7513">
        <v>1099.25</v>
      </c>
    </row>
    <row r="7514" spans="1:8" ht="15" customHeight="1" x14ac:dyDescent="0.2">
      <c r="A7514" s="420">
        <v>45784</v>
      </c>
      <c r="B7514" t="s">
        <v>2532</v>
      </c>
      <c r="C7514" t="s">
        <v>1293</v>
      </c>
      <c r="D7514" t="s">
        <v>2813</v>
      </c>
      <c r="E7514" t="s">
        <v>1352</v>
      </c>
      <c r="F7514">
        <v>0.99</v>
      </c>
      <c r="H7514">
        <v>1100.24</v>
      </c>
    </row>
    <row r="7515" spans="1:8" ht="15" customHeight="1" x14ac:dyDescent="0.2">
      <c r="A7515" s="420">
        <v>45785</v>
      </c>
      <c r="B7515" t="s">
        <v>2532</v>
      </c>
      <c r="C7515" t="s">
        <v>1293</v>
      </c>
      <c r="D7515" t="s">
        <v>5044</v>
      </c>
      <c r="E7515" t="s">
        <v>1353</v>
      </c>
      <c r="F7515">
        <v>163.09</v>
      </c>
      <c r="H7515">
        <v>1263.33</v>
      </c>
    </row>
    <row r="7516" spans="1:8" ht="15" customHeight="1" x14ac:dyDescent="0.2">
      <c r="A7516" s="420">
        <v>45787</v>
      </c>
      <c r="B7516" t="s">
        <v>2532</v>
      </c>
      <c r="C7516" t="s">
        <v>1293</v>
      </c>
      <c r="D7516" t="s">
        <v>3091</v>
      </c>
      <c r="E7516" t="s">
        <v>1355</v>
      </c>
      <c r="F7516">
        <v>11.99</v>
      </c>
      <c r="H7516">
        <v>1275.32</v>
      </c>
    </row>
    <row r="7517" spans="1:8" ht="15" customHeight="1" x14ac:dyDescent="0.2">
      <c r="A7517" s="420">
        <v>45800</v>
      </c>
      <c r="B7517" t="s">
        <v>2532</v>
      </c>
      <c r="C7517" t="s">
        <v>1293</v>
      </c>
      <c r="D7517" t="s">
        <v>2815</v>
      </c>
      <c r="E7517" t="s">
        <v>1358</v>
      </c>
      <c r="F7517">
        <v>34.950000000000003</v>
      </c>
      <c r="H7517">
        <v>1310.27</v>
      </c>
    </row>
    <row r="7518" spans="1:8" ht="15" customHeight="1" x14ac:dyDescent="0.2">
      <c r="A7518" s="420">
        <v>45804</v>
      </c>
      <c r="B7518" t="s">
        <v>2532</v>
      </c>
      <c r="C7518" t="s">
        <v>1293</v>
      </c>
      <c r="D7518" t="s">
        <v>5047</v>
      </c>
      <c r="E7518" t="s">
        <v>1360</v>
      </c>
      <c r="F7518">
        <v>100</v>
      </c>
      <c r="H7518">
        <v>1410.27</v>
      </c>
    </row>
    <row r="7519" spans="1:8" ht="15" customHeight="1" x14ac:dyDescent="0.2">
      <c r="A7519" s="420">
        <v>45806</v>
      </c>
      <c r="B7519" t="s">
        <v>2532</v>
      </c>
      <c r="C7519" t="s">
        <v>1293</v>
      </c>
      <c r="D7519" t="s">
        <v>4792</v>
      </c>
      <c r="E7519" t="s">
        <v>1362</v>
      </c>
      <c r="F7519">
        <v>7.07</v>
      </c>
      <c r="H7519">
        <v>1417.34</v>
      </c>
    </row>
    <row r="7520" spans="1:8" ht="15" customHeight="1" x14ac:dyDescent="0.2">
      <c r="A7520" s="420">
        <v>45808</v>
      </c>
      <c r="B7520" t="s">
        <v>2532</v>
      </c>
      <c r="C7520" t="s">
        <v>1293</v>
      </c>
      <c r="D7520" t="s">
        <v>4709</v>
      </c>
      <c r="E7520" t="s">
        <v>1365</v>
      </c>
      <c r="F7520">
        <v>17.62</v>
      </c>
      <c r="H7520">
        <v>1434.96</v>
      </c>
    </row>
    <row r="7521" spans="1:8" ht="15" customHeight="1" x14ac:dyDescent="0.2">
      <c r="A7521" s="420">
        <v>45808</v>
      </c>
      <c r="B7521" t="s">
        <v>2547</v>
      </c>
      <c r="C7521" t="s">
        <v>1293</v>
      </c>
      <c r="D7521" t="s">
        <v>4153</v>
      </c>
      <c r="E7521" t="s">
        <v>1366</v>
      </c>
      <c r="F7521">
        <v>14</v>
      </c>
      <c r="H7521">
        <v>1448.96</v>
      </c>
    </row>
    <row r="7522" spans="1:8" ht="15" customHeight="1" x14ac:dyDescent="0.2">
      <c r="A7522" s="420">
        <v>45809</v>
      </c>
      <c r="B7522" t="s">
        <v>2532</v>
      </c>
      <c r="C7522" t="s">
        <v>1293</v>
      </c>
      <c r="D7522" t="s">
        <v>5422</v>
      </c>
      <c r="E7522" t="s">
        <v>720</v>
      </c>
      <c r="F7522">
        <v>20.48</v>
      </c>
      <c r="H7522">
        <v>1469.44</v>
      </c>
    </row>
    <row r="7523" spans="1:8" ht="15" customHeight="1" x14ac:dyDescent="0.2">
      <c r="A7523" s="420">
        <v>45815</v>
      </c>
      <c r="B7523" t="s">
        <v>2532</v>
      </c>
      <c r="C7523" t="s">
        <v>1293</v>
      </c>
      <c r="D7523" t="s">
        <v>2817</v>
      </c>
      <c r="E7523" t="s">
        <v>1352</v>
      </c>
      <c r="F7523">
        <v>0.99</v>
      </c>
      <c r="H7523">
        <v>1470.43</v>
      </c>
    </row>
    <row r="7524" spans="1:8" ht="15" customHeight="1" x14ac:dyDescent="0.2">
      <c r="A7524" s="420">
        <v>45818</v>
      </c>
      <c r="B7524" t="s">
        <v>2532</v>
      </c>
      <c r="C7524" t="s">
        <v>1293</v>
      </c>
      <c r="D7524" t="s">
        <v>3094</v>
      </c>
      <c r="E7524" t="s">
        <v>1369</v>
      </c>
      <c r="F7524">
        <v>11.99</v>
      </c>
      <c r="H7524">
        <v>1482.42</v>
      </c>
    </row>
    <row r="7525" spans="1:8" ht="15" customHeight="1" x14ac:dyDescent="0.2">
      <c r="A7525" s="420">
        <v>45824</v>
      </c>
      <c r="B7525" t="s">
        <v>2532</v>
      </c>
      <c r="C7525" t="s">
        <v>1293</v>
      </c>
      <c r="D7525" t="s">
        <v>3577</v>
      </c>
      <c r="E7525" t="s">
        <v>1371</v>
      </c>
      <c r="F7525">
        <v>140.61000000000001</v>
      </c>
      <c r="H7525">
        <v>1623.03</v>
      </c>
    </row>
    <row r="7526" spans="1:8" ht="15" customHeight="1" x14ac:dyDescent="0.2">
      <c r="A7526" s="420">
        <v>45831</v>
      </c>
      <c r="B7526" t="s">
        <v>2532</v>
      </c>
      <c r="C7526" t="s">
        <v>1293</v>
      </c>
      <c r="D7526" t="s">
        <v>2819</v>
      </c>
      <c r="E7526" t="s">
        <v>1373</v>
      </c>
      <c r="F7526">
        <v>34.950000000000003</v>
      </c>
      <c r="H7526">
        <v>1657.98</v>
      </c>
    </row>
    <row r="7527" spans="1:8" ht="15" customHeight="1" x14ac:dyDescent="0.2">
      <c r="A7527" s="420">
        <v>45837</v>
      </c>
      <c r="B7527" t="s">
        <v>2532</v>
      </c>
      <c r="C7527" t="s">
        <v>1293</v>
      </c>
      <c r="D7527" t="s">
        <v>4796</v>
      </c>
      <c r="E7527" t="s">
        <v>1375</v>
      </c>
      <c r="F7527">
        <v>6.82</v>
      </c>
      <c r="H7527">
        <v>1664.8</v>
      </c>
    </row>
    <row r="7528" spans="1:8" ht="15" customHeight="1" x14ac:dyDescent="0.2">
      <c r="A7528" s="420">
        <v>45838</v>
      </c>
      <c r="B7528" t="s">
        <v>2532</v>
      </c>
      <c r="C7528" t="s">
        <v>1293</v>
      </c>
      <c r="D7528" t="s">
        <v>4713</v>
      </c>
      <c r="E7528" t="s">
        <v>1376</v>
      </c>
      <c r="F7528">
        <v>17.12</v>
      </c>
      <c r="H7528">
        <v>1681.92</v>
      </c>
    </row>
    <row r="7529" spans="1:8" ht="15" customHeight="1" x14ac:dyDescent="0.2">
      <c r="A7529" s="420">
        <v>45838</v>
      </c>
      <c r="B7529" t="s">
        <v>2439</v>
      </c>
      <c r="C7529" t="s">
        <v>1293</v>
      </c>
      <c r="D7529" t="s">
        <v>6978</v>
      </c>
      <c r="E7529" t="s">
        <v>1265</v>
      </c>
      <c r="F7529">
        <v>4.0999999999999996</v>
      </c>
      <c r="H7529">
        <v>1686.02</v>
      </c>
    </row>
    <row r="7530" spans="1:8" ht="15" customHeight="1" x14ac:dyDescent="0.2">
      <c r="A7530" s="420">
        <v>45839</v>
      </c>
      <c r="B7530" t="s">
        <v>2532</v>
      </c>
      <c r="C7530" t="s">
        <v>1293</v>
      </c>
      <c r="D7530" t="s">
        <v>5427</v>
      </c>
      <c r="E7530" t="s">
        <v>734</v>
      </c>
      <c r="F7530">
        <v>20.48</v>
      </c>
      <c r="H7530">
        <v>1706.5</v>
      </c>
    </row>
    <row r="7531" spans="1:8" ht="15" customHeight="1" x14ac:dyDescent="0.2">
      <c r="A7531" s="420">
        <v>45839</v>
      </c>
      <c r="B7531" t="s">
        <v>2532</v>
      </c>
      <c r="C7531" t="s">
        <v>1293</v>
      </c>
      <c r="D7531" t="s">
        <v>4823</v>
      </c>
      <c r="E7531" t="s">
        <v>1378</v>
      </c>
      <c r="F7531">
        <v>1500</v>
      </c>
      <c r="H7531">
        <v>3206.5</v>
      </c>
    </row>
    <row r="7532" spans="1:8" ht="15" customHeight="1" x14ac:dyDescent="0.2">
      <c r="A7532" s="420">
        <v>45839</v>
      </c>
      <c r="B7532" t="s">
        <v>2517</v>
      </c>
      <c r="C7532" t="s">
        <v>1293</v>
      </c>
      <c r="D7532" t="s">
        <v>7873</v>
      </c>
      <c r="E7532" t="s">
        <v>1379</v>
      </c>
      <c r="G7532">
        <v>867.09</v>
      </c>
      <c r="H7532">
        <v>2339.41</v>
      </c>
    </row>
    <row r="7533" spans="1:8" ht="15" customHeight="1" x14ac:dyDescent="0.2">
      <c r="A7533" s="420">
        <v>45845</v>
      </c>
      <c r="B7533" t="s">
        <v>2547</v>
      </c>
      <c r="C7533" t="s">
        <v>1293</v>
      </c>
      <c r="D7533" t="s">
        <v>2821</v>
      </c>
      <c r="E7533" t="s">
        <v>1381</v>
      </c>
      <c r="F7533">
        <v>0.99</v>
      </c>
      <c r="H7533">
        <v>2340.4</v>
      </c>
    </row>
    <row r="7534" spans="1:8" ht="15" customHeight="1" x14ac:dyDescent="0.2">
      <c r="A7534" s="420">
        <v>45848</v>
      </c>
      <c r="B7534" t="s">
        <v>2532</v>
      </c>
      <c r="C7534" t="s">
        <v>1293</v>
      </c>
      <c r="D7534" t="s">
        <v>3097</v>
      </c>
      <c r="E7534" t="s">
        <v>1382</v>
      </c>
      <c r="F7534">
        <v>11.99</v>
      </c>
      <c r="H7534">
        <v>2352.39</v>
      </c>
    </row>
    <row r="7535" spans="1:8" ht="15" customHeight="1" x14ac:dyDescent="0.2">
      <c r="A7535" s="420">
        <v>45861</v>
      </c>
      <c r="B7535" t="s">
        <v>2547</v>
      </c>
      <c r="C7535" t="s">
        <v>1293</v>
      </c>
      <c r="D7535" t="s">
        <v>2823</v>
      </c>
      <c r="E7535" t="s">
        <v>1383</v>
      </c>
      <c r="F7535">
        <v>34.950000000000003</v>
      </c>
      <c r="H7535">
        <v>2387.34</v>
      </c>
    </row>
    <row r="7536" spans="1:8" ht="15" customHeight="1" x14ac:dyDescent="0.2">
      <c r="A7536" s="420">
        <v>45867</v>
      </c>
      <c r="B7536" t="s">
        <v>2532</v>
      </c>
      <c r="C7536" t="s">
        <v>1293</v>
      </c>
      <c r="D7536" t="s">
        <v>4800</v>
      </c>
      <c r="E7536" t="s">
        <v>1384</v>
      </c>
      <c r="F7536">
        <v>6.86</v>
      </c>
      <c r="H7536">
        <v>2394.1999999999998</v>
      </c>
    </row>
    <row r="7537" spans="1:8" ht="15" customHeight="1" x14ac:dyDescent="0.2">
      <c r="A7537" s="420">
        <v>45869</v>
      </c>
      <c r="B7537" t="s">
        <v>2532</v>
      </c>
      <c r="C7537" t="s">
        <v>1293</v>
      </c>
      <c r="D7537" t="s">
        <v>4715</v>
      </c>
      <c r="E7537" t="s">
        <v>900</v>
      </c>
      <c r="F7537">
        <v>17.38</v>
      </c>
      <c r="H7537">
        <v>2411.58</v>
      </c>
    </row>
    <row r="7538" spans="1:8" ht="15" customHeight="1" x14ac:dyDescent="0.2">
      <c r="A7538" s="420">
        <v>45870</v>
      </c>
      <c r="B7538" t="s">
        <v>2532</v>
      </c>
      <c r="C7538" t="s">
        <v>1293</v>
      </c>
      <c r="D7538" t="s">
        <v>5430</v>
      </c>
      <c r="E7538" t="s">
        <v>734</v>
      </c>
      <c r="F7538">
        <v>20.48</v>
      </c>
      <c r="H7538">
        <v>2432.06</v>
      </c>
    </row>
    <row r="7539" spans="1:8" ht="15" customHeight="1" x14ac:dyDescent="0.2">
      <c r="A7539" s="420">
        <v>45870</v>
      </c>
      <c r="B7539" t="s">
        <v>2532</v>
      </c>
      <c r="C7539" t="s">
        <v>1293</v>
      </c>
      <c r="D7539" t="s">
        <v>3733</v>
      </c>
      <c r="E7539" t="s">
        <v>1388</v>
      </c>
      <c r="F7539">
        <v>40</v>
      </c>
      <c r="H7539">
        <v>2472.06</v>
      </c>
    </row>
    <row r="7540" spans="1:8" ht="15" customHeight="1" x14ac:dyDescent="0.2">
      <c r="A7540" s="420">
        <v>45876</v>
      </c>
      <c r="B7540" t="s">
        <v>2532</v>
      </c>
      <c r="C7540" t="s">
        <v>1293</v>
      </c>
      <c r="D7540" t="s">
        <v>2825</v>
      </c>
      <c r="E7540" t="s">
        <v>1381</v>
      </c>
      <c r="F7540">
        <v>0.99</v>
      </c>
      <c r="H7540">
        <v>2473.0500000000002</v>
      </c>
    </row>
    <row r="7541" spans="1:8" ht="15" customHeight="1" x14ac:dyDescent="0.2">
      <c r="A7541" s="420">
        <v>45879</v>
      </c>
      <c r="B7541" t="s">
        <v>2532</v>
      </c>
      <c r="C7541" t="s">
        <v>1293</v>
      </c>
      <c r="D7541" t="s">
        <v>3100</v>
      </c>
      <c r="E7541" t="s">
        <v>1391</v>
      </c>
      <c r="F7541">
        <v>11.99</v>
      </c>
      <c r="H7541">
        <v>2485.04</v>
      </c>
    </row>
    <row r="7542" spans="1:8" ht="15" customHeight="1" x14ac:dyDescent="0.2">
      <c r="A7542" s="420">
        <v>45892</v>
      </c>
      <c r="B7542" t="s">
        <v>2532</v>
      </c>
      <c r="C7542" t="s">
        <v>1293</v>
      </c>
      <c r="D7542" t="s">
        <v>2827</v>
      </c>
      <c r="E7542" t="s">
        <v>1373</v>
      </c>
      <c r="F7542">
        <v>34.950000000000003</v>
      </c>
      <c r="H7542">
        <v>2519.9899999999998</v>
      </c>
    </row>
    <row r="7543" spans="1:8" ht="15" customHeight="1" x14ac:dyDescent="0.2">
      <c r="A7543" s="420">
        <v>45898</v>
      </c>
      <c r="B7543" t="s">
        <v>2547</v>
      </c>
      <c r="C7543" t="s">
        <v>1293</v>
      </c>
      <c r="D7543" t="s">
        <v>4803</v>
      </c>
      <c r="E7543" t="s">
        <v>1395</v>
      </c>
      <c r="F7543">
        <v>6.86</v>
      </c>
      <c r="H7543">
        <v>2526.85</v>
      </c>
    </row>
    <row r="7544" spans="1:8" ht="15" customHeight="1" x14ac:dyDescent="0.2">
      <c r="A7544" s="420">
        <v>45900</v>
      </c>
      <c r="B7544" t="s">
        <v>2532</v>
      </c>
      <c r="C7544" t="s">
        <v>1293</v>
      </c>
      <c r="D7544" t="s">
        <v>4717</v>
      </c>
      <c r="E7544" t="s">
        <v>905</v>
      </c>
      <c r="F7544">
        <v>17.11</v>
      </c>
      <c r="H7544">
        <v>2543.96</v>
      </c>
    </row>
    <row r="7545" spans="1:8" ht="15" customHeight="1" x14ac:dyDescent="0.2">
      <c r="A7545" s="420">
        <v>45901</v>
      </c>
      <c r="B7545" t="s">
        <v>2532</v>
      </c>
      <c r="C7545" t="s">
        <v>1293</v>
      </c>
      <c r="D7545" t="s">
        <v>5433</v>
      </c>
      <c r="E7545" t="s">
        <v>5434</v>
      </c>
      <c r="F7545">
        <v>20.48</v>
      </c>
      <c r="H7545">
        <v>2564.44</v>
      </c>
    </row>
    <row r="7546" spans="1:8" ht="15" customHeight="1" x14ac:dyDescent="0.2">
      <c r="A7546" s="420">
        <v>45905</v>
      </c>
      <c r="B7546" t="s">
        <v>2532</v>
      </c>
      <c r="C7546" t="s">
        <v>1293</v>
      </c>
      <c r="D7546" t="s">
        <v>4158</v>
      </c>
      <c r="E7546" t="s">
        <v>1396</v>
      </c>
      <c r="F7546">
        <v>15.39</v>
      </c>
      <c r="H7546">
        <v>2579.83</v>
      </c>
    </row>
    <row r="7547" spans="1:8" ht="15" customHeight="1" x14ac:dyDescent="0.2">
      <c r="A7547" s="420">
        <v>45910</v>
      </c>
      <c r="B7547" t="s">
        <v>2532</v>
      </c>
      <c r="C7547" t="s">
        <v>1293</v>
      </c>
      <c r="D7547" t="s">
        <v>3103</v>
      </c>
      <c r="E7547" t="s">
        <v>1397</v>
      </c>
      <c r="F7547">
        <v>11.99</v>
      </c>
      <c r="H7547">
        <v>2591.8200000000002</v>
      </c>
    </row>
    <row r="7548" spans="1:8" ht="15" customHeight="1" x14ac:dyDescent="0.2">
      <c r="A7548" s="420">
        <v>45923</v>
      </c>
      <c r="B7548" t="s">
        <v>2547</v>
      </c>
      <c r="C7548" t="s">
        <v>1293</v>
      </c>
      <c r="D7548" t="s">
        <v>2830</v>
      </c>
      <c r="E7548" t="s">
        <v>1381</v>
      </c>
      <c r="F7548">
        <v>34.950000000000003</v>
      </c>
      <c r="H7548">
        <v>2626.77</v>
      </c>
    </row>
    <row r="7549" spans="1:8" ht="15" customHeight="1" x14ac:dyDescent="0.2">
      <c r="A7549" s="420">
        <v>45928</v>
      </c>
      <c r="B7549" t="s">
        <v>2532</v>
      </c>
      <c r="C7549" t="s">
        <v>1293</v>
      </c>
      <c r="D7549" t="s">
        <v>4159</v>
      </c>
      <c r="E7549" t="s">
        <v>1402</v>
      </c>
      <c r="F7549">
        <v>702</v>
      </c>
      <c r="H7549">
        <v>3328.77</v>
      </c>
    </row>
    <row r="7550" spans="1:8" ht="15" customHeight="1" x14ac:dyDescent="0.2">
      <c r="A7550" s="420">
        <v>45929</v>
      </c>
      <c r="B7550" t="s">
        <v>2532</v>
      </c>
      <c r="C7550" t="s">
        <v>1293</v>
      </c>
      <c r="D7550" t="s">
        <v>4806</v>
      </c>
      <c r="E7550" t="s">
        <v>1403</v>
      </c>
      <c r="F7550">
        <v>6.84</v>
      </c>
      <c r="H7550">
        <v>3335.61</v>
      </c>
    </row>
    <row r="7551" spans="1:8" ht="15" customHeight="1" x14ac:dyDescent="0.2">
      <c r="A7551" s="420">
        <v>45930</v>
      </c>
      <c r="B7551" t="s">
        <v>2532</v>
      </c>
      <c r="C7551" t="s">
        <v>1293</v>
      </c>
      <c r="D7551" t="s">
        <v>4720</v>
      </c>
      <c r="E7551" t="s">
        <v>910</v>
      </c>
      <c r="F7551">
        <v>17.04</v>
      </c>
      <c r="H7551">
        <v>3352.65</v>
      </c>
    </row>
    <row r="7552" spans="1:8" ht="15" customHeight="1" x14ac:dyDescent="0.2">
      <c r="A7552" s="420">
        <v>45931</v>
      </c>
      <c r="B7552" t="s">
        <v>2532</v>
      </c>
      <c r="C7552" t="s">
        <v>1293</v>
      </c>
      <c r="D7552" t="s">
        <v>5437</v>
      </c>
      <c r="E7552" t="s">
        <v>763</v>
      </c>
      <c r="F7552">
        <v>20.48</v>
      </c>
      <c r="H7552">
        <v>3373.13</v>
      </c>
    </row>
    <row r="7553" spans="1:8" ht="15" customHeight="1" x14ac:dyDescent="0.2">
      <c r="A7553" s="420">
        <v>45937</v>
      </c>
      <c r="B7553" t="s">
        <v>2532</v>
      </c>
      <c r="C7553" t="s">
        <v>1293</v>
      </c>
      <c r="D7553" t="s">
        <v>2835</v>
      </c>
      <c r="E7553" t="s">
        <v>1405</v>
      </c>
      <c r="F7553">
        <v>0.99</v>
      </c>
      <c r="H7553">
        <v>3374.12</v>
      </c>
    </row>
    <row r="7554" spans="1:8" ht="15" customHeight="1" x14ac:dyDescent="0.2">
      <c r="A7554" s="420">
        <v>45940</v>
      </c>
      <c r="B7554" t="s">
        <v>2532</v>
      </c>
      <c r="C7554" t="s">
        <v>1293</v>
      </c>
      <c r="D7554" t="s">
        <v>3106</v>
      </c>
      <c r="E7554" t="s">
        <v>1406</v>
      </c>
      <c r="F7554">
        <v>11.99</v>
      </c>
      <c r="H7554">
        <v>3386.11</v>
      </c>
    </row>
    <row r="7555" spans="1:8" ht="15" customHeight="1" x14ac:dyDescent="0.2">
      <c r="A7555" s="420">
        <v>45940</v>
      </c>
      <c r="B7555" t="s">
        <v>2532</v>
      </c>
      <c r="C7555" t="s">
        <v>1293</v>
      </c>
      <c r="D7555" t="s">
        <v>2837</v>
      </c>
      <c r="E7555" t="s">
        <v>1407</v>
      </c>
      <c r="F7555">
        <v>99</v>
      </c>
      <c r="H7555">
        <v>3485.11</v>
      </c>
    </row>
    <row r="7556" spans="1:8" ht="15" customHeight="1" x14ac:dyDescent="0.2">
      <c r="A7556" s="420">
        <v>45953</v>
      </c>
      <c r="B7556" t="s">
        <v>2532</v>
      </c>
      <c r="C7556" t="s">
        <v>1293</v>
      </c>
      <c r="D7556" t="s">
        <v>2839</v>
      </c>
      <c r="E7556" t="s">
        <v>1411</v>
      </c>
      <c r="F7556">
        <v>34.950000000000003</v>
      </c>
      <c r="H7556">
        <v>3520.06</v>
      </c>
    </row>
    <row r="7557" spans="1:8" ht="15" customHeight="1" x14ac:dyDescent="0.2">
      <c r="A7557" s="420">
        <v>45959</v>
      </c>
      <c r="B7557" t="s">
        <v>2532</v>
      </c>
      <c r="C7557" t="s">
        <v>1293</v>
      </c>
      <c r="D7557" t="s">
        <v>4809</v>
      </c>
      <c r="E7557" t="s">
        <v>921</v>
      </c>
      <c r="F7557">
        <v>6.86</v>
      </c>
      <c r="H7557">
        <v>3526.92</v>
      </c>
    </row>
    <row r="7558" spans="1:8" ht="15" customHeight="1" x14ac:dyDescent="0.2">
      <c r="A7558" s="420">
        <v>45961</v>
      </c>
      <c r="B7558" t="s">
        <v>2333</v>
      </c>
      <c r="C7558" t="s">
        <v>1293</v>
      </c>
      <c r="D7558" t="s">
        <v>7737</v>
      </c>
      <c r="E7558" t="s">
        <v>1414</v>
      </c>
      <c r="G7558">
        <v>6.67</v>
      </c>
      <c r="H7558">
        <v>3520.25</v>
      </c>
    </row>
    <row r="7559" spans="1:8" ht="15" customHeight="1" x14ac:dyDescent="0.2">
      <c r="A7559" s="420">
        <v>45961</v>
      </c>
      <c r="B7559" t="s">
        <v>2532</v>
      </c>
      <c r="C7559" t="s">
        <v>1293</v>
      </c>
      <c r="D7559" t="s">
        <v>4722</v>
      </c>
      <c r="E7559" t="s">
        <v>1415</v>
      </c>
      <c r="F7559">
        <v>17.25</v>
      </c>
      <c r="H7559">
        <v>3537.5</v>
      </c>
    </row>
    <row r="7560" spans="1:8" ht="15" customHeight="1" x14ac:dyDescent="0.2">
      <c r="A7560" s="420">
        <v>45962</v>
      </c>
      <c r="B7560" t="s">
        <v>2532</v>
      </c>
      <c r="C7560" t="s">
        <v>1293</v>
      </c>
      <c r="D7560" t="s">
        <v>5438</v>
      </c>
      <c r="E7560" t="s">
        <v>780</v>
      </c>
      <c r="F7560">
        <v>20.48</v>
      </c>
      <c r="H7560">
        <v>3557.98</v>
      </c>
    </row>
    <row r="7561" spans="1:8" ht="15" customHeight="1" x14ac:dyDescent="0.2">
      <c r="A7561" s="420">
        <v>45971</v>
      </c>
      <c r="B7561" t="s">
        <v>2532</v>
      </c>
      <c r="C7561" t="s">
        <v>1293</v>
      </c>
      <c r="D7561" t="s">
        <v>3109</v>
      </c>
      <c r="E7561" t="s">
        <v>1417</v>
      </c>
      <c r="F7561">
        <v>11.99</v>
      </c>
      <c r="H7561">
        <v>3569.97</v>
      </c>
    </row>
    <row r="7562" spans="1:8" ht="15" customHeight="1" x14ac:dyDescent="0.2">
      <c r="A7562" s="420">
        <v>45971</v>
      </c>
      <c r="B7562" t="s">
        <v>2547</v>
      </c>
      <c r="C7562" t="s">
        <v>1293</v>
      </c>
      <c r="D7562" t="s">
        <v>2842</v>
      </c>
      <c r="E7562" t="s">
        <v>1418</v>
      </c>
      <c r="F7562">
        <v>0.99</v>
      </c>
      <c r="H7562">
        <v>3570.96</v>
      </c>
    </row>
    <row r="7563" spans="1:8" ht="15" customHeight="1" x14ac:dyDescent="0.2">
      <c r="A7563" s="420">
        <v>45972</v>
      </c>
      <c r="B7563" t="s">
        <v>2532</v>
      </c>
      <c r="C7563" t="s">
        <v>1293</v>
      </c>
      <c r="D7563" t="s">
        <v>2843</v>
      </c>
      <c r="E7563" t="s">
        <v>1419</v>
      </c>
      <c r="F7563">
        <v>0.99</v>
      </c>
      <c r="H7563">
        <v>3571.95</v>
      </c>
    </row>
    <row r="7564" spans="1:8" ht="15" customHeight="1" x14ac:dyDescent="0.2">
      <c r="A7564" s="420">
        <v>45984</v>
      </c>
      <c r="B7564" t="s">
        <v>2532</v>
      </c>
      <c r="C7564" t="s">
        <v>1293</v>
      </c>
      <c r="D7564" t="s">
        <v>2844</v>
      </c>
      <c r="E7564" t="s">
        <v>1424</v>
      </c>
      <c r="F7564">
        <v>34.950000000000003</v>
      </c>
      <c r="H7564">
        <v>3606.9</v>
      </c>
    </row>
    <row r="7565" spans="1:8" ht="15" customHeight="1" x14ac:dyDescent="0.2">
      <c r="A7565" s="420">
        <v>45991</v>
      </c>
      <c r="B7565" t="s">
        <v>2532</v>
      </c>
      <c r="C7565" t="s">
        <v>1293</v>
      </c>
      <c r="D7565" t="s">
        <v>4724</v>
      </c>
      <c r="E7565" t="s">
        <v>1425</v>
      </c>
      <c r="F7565">
        <v>17.239999999999998</v>
      </c>
      <c r="H7565">
        <v>3624.14</v>
      </c>
    </row>
    <row r="7566" spans="1:8" ht="15" customHeight="1" x14ac:dyDescent="0.2">
      <c r="A7566" s="420">
        <v>45992</v>
      </c>
      <c r="B7566" t="s">
        <v>2532</v>
      </c>
      <c r="C7566" t="s">
        <v>1293</v>
      </c>
      <c r="D7566" t="s">
        <v>5443</v>
      </c>
      <c r="E7566" t="s">
        <v>791</v>
      </c>
      <c r="F7566">
        <v>20.48</v>
      </c>
      <c r="H7566">
        <v>3644.62</v>
      </c>
    </row>
    <row r="7567" spans="1:8" ht="15" customHeight="1" x14ac:dyDescent="0.2">
      <c r="A7567" s="420">
        <v>45999</v>
      </c>
      <c r="B7567" t="s">
        <v>2532</v>
      </c>
      <c r="C7567" t="s">
        <v>1293</v>
      </c>
      <c r="D7567" t="s">
        <v>2847</v>
      </c>
      <c r="E7567" t="s">
        <v>1427</v>
      </c>
      <c r="F7567">
        <v>0.99</v>
      </c>
      <c r="H7567">
        <v>3645.61</v>
      </c>
    </row>
    <row r="7568" spans="1:8" ht="15" customHeight="1" x14ac:dyDescent="0.2">
      <c r="A7568" s="420">
        <v>46001</v>
      </c>
      <c r="B7568" t="s">
        <v>2532</v>
      </c>
      <c r="C7568" t="s">
        <v>1293</v>
      </c>
      <c r="D7568" t="s">
        <v>3112</v>
      </c>
      <c r="E7568" t="s">
        <v>1429</v>
      </c>
      <c r="F7568">
        <v>11.99</v>
      </c>
      <c r="H7568">
        <v>3657.6</v>
      </c>
    </row>
    <row r="7569" spans="1:10" ht="15" customHeight="1" x14ac:dyDescent="0.2">
      <c r="A7569" s="420">
        <v>46014</v>
      </c>
      <c r="B7569" t="s">
        <v>2532</v>
      </c>
      <c r="C7569" t="s">
        <v>1293</v>
      </c>
      <c r="D7569" t="s">
        <v>2848</v>
      </c>
      <c r="E7569" t="s">
        <v>1381</v>
      </c>
      <c r="F7569">
        <v>34.950000000000003</v>
      </c>
      <c r="H7569">
        <v>3692.55</v>
      </c>
    </row>
    <row r="7570" spans="1:10" ht="15" customHeight="1" x14ac:dyDescent="0.2">
      <c r="A7570" s="420">
        <v>46022</v>
      </c>
      <c r="B7570" t="s">
        <v>2507</v>
      </c>
      <c r="C7570" t="s">
        <v>1293</v>
      </c>
      <c r="D7570" t="s">
        <v>7486</v>
      </c>
      <c r="E7570" t="s">
        <v>1431</v>
      </c>
      <c r="G7570">
        <v>750</v>
      </c>
      <c r="H7570">
        <v>2942.55</v>
      </c>
    </row>
    <row r="7571" spans="1:10" ht="15" customHeight="1" x14ac:dyDescent="0.2">
      <c r="A7571" s="420">
        <v>46022</v>
      </c>
      <c r="B7571" t="s">
        <v>2507</v>
      </c>
      <c r="C7571" t="s">
        <v>1293</v>
      </c>
      <c r="D7571" t="s">
        <v>7487</v>
      </c>
      <c r="E7571" t="s">
        <v>1432</v>
      </c>
      <c r="G7571">
        <v>519</v>
      </c>
      <c r="H7571">
        <v>2423.5500000000002</v>
      </c>
    </row>
    <row r="7572" spans="1:10" ht="15" customHeight="1" x14ac:dyDescent="0.2">
      <c r="A7572" s="420">
        <v>46022</v>
      </c>
      <c r="B7572" t="s">
        <v>2439</v>
      </c>
      <c r="C7572" t="s">
        <v>1293</v>
      </c>
      <c r="D7572" t="s">
        <v>6996</v>
      </c>
      <c r="E7572" t="s">
        <v>1289</v>
      </c>
      <c r="F7572">
        <v>24.6</v>
      </c>
      <c r="H7572">
        <v>2448.15</v>
      </c>
    </row>
    <row r="7573" spans="1:10" ht="15" customHeight="1" x14ac:dyDescent="0.2">
      <c r="A7573" t="s">
        <v>1293</v>
      </c>
      <c r="E7573" t="s">
        <v>349</v>
      </c>
      <c r="F7573">
        <v>4590.91</v>
      </c>
      <c r="G7573">
        <v>2142.7600000000002</v>
      </c>
      <c r="H7573">
        <v>2448.15</v>
      </c>
    </row>
    <row r="7575" spans="1:10" ht="15" customHeight="1" x14ac:dyDescent="0.2">
      <c r="A7575" t="s">
        <v>801</v>
      </c>
      <c r="B7575" t="s">
        <v>802</v>
      </c>
      <c r="F7575" t="s">
        <v>2430</v>
      </c>
      <c r="G7575" t="s">
        <v>2431</v>
      </c>
      <c r="H7575" t="s">
        <v>2432</v>
      </c>
      <c r="I7575" t="s">
        <v>2433</v>
      </c>
      <c r="J7575" t="s">
        <v>2434</v>
      </c>
    </row>
    <row r="7576" spans="1:10" ht="15" customHeight="1" x14ac:dyDescent="0.2">
      <c r="A7576" s="420">
        <v>46022</v>
      </c>
      <c r="B7576" t="s">
        <v>2439</v>
      </c>
      <c r="C7576" t="s">
        <v>801</v>
      </c>
      <c r="D7576" t="s">
        <v>7874</v>
      </c>
      <c r="E7576" t="s">
        <v>803</v>
      </c>
      <c r="G7576">
        <v>7.27</v>
      </c>
      <c r="I7576">
        <v>7.27</v>
      </c>
    </row>
    <row r="7577" spans="1:10" ht="15" customHeight="1" x14ac:dyDescent="0.2">
      <c r="A7577" s="420">
        <v>46022</v>
      </c>
      <c r="B7577" t="s">
        <v>2507</v>
      </c>
      <c r="C7577" t="s">
        <v>801</v>
      </c>
      <c r="D7577" t="s">
        <v>7436</v>
      </c>
      <c r="E7577" t="s">
        <v>804</v>
      </c>
      <c r="F7577">
        <v>2.54</v>
      </c>
      <c r="I7577">
        <v>4.7300000000000004</v>
      </c>
      <c r="J7577" t="s">
        <v>2509</v>
      </c>
    </row>
    <row r="7578" spans="1:10" ht="15" customHeight="1" x14ac:dyDescent="0.2">
      <c r="A7578" s="420">
        <v>46022</v>
      </c>
      <c r="B7578" t="s">
        <v>2507</v>
      </c>
      <c r="C7578" t="s">
        <v>801</v>
      </c>
      <c r="D7578" t="s">
        <v>7437</v>
      </c>
      <c r="E7578" t="s">
        <v>805</v>
      </c>
      <c r="F7578">
        <v>2.7</v>
      </c>
      <c r="I7578">
        <v>2.0299999999999998</v>
      </c>
      <c r="J7578" t="s">
        <v>2511</v>
      </c>
    </row>
    <row r="7579" spans="1:10" ht="15" customHeight="1" x14ac:dyDescent="0.2">
      <c r="A7579" s="420">
        <v>46022</v>
      </c>
      <c r="B7579" t="s">
        <v>2507</v>
      </c>
      <c r="C7579" t="s">
        <v>801</v>
      </c>
      <c r="D7579" t="s">
        <v>7438</v>
      </c>
      <c r="E7579" t="s">
        <v>806</v>
      </c>
      <c r="F7579">
        <v>2.0299999999999998</v>
      </c>
      <c r="J7579" t="s">
        <v>2513</v>
      </c>
    </row>
    <row r="7580" spans="1:10" ht="15" customHeight="1" x14ac:dyDescent="0.2">
      <c r="A7580" t="s">
        <v>801</v>
      </c>
      <c r="E7580" t="s">
        <v>349</v>
      </c>
      <c r="F7580">
        <v>7.27</v>
      </c>
      <c r="G7580">
        <v>7.27</v>
      </c>
    </row>
    <row r="7582" spans="1:10" ht="15" customHeight="1" x14ac:dyDescent="0.2">
      <c r="A7582" t="s">
        <v>672</v>
      </c>
      <c r="B7582" t="s">
        <v>673</v>
      </c>
      <c r="F7582" t="s">
        <v>2430</v>
      </c>
      <c r="G7582" t="s">
        <v>2431</v>
      </c>
      <c r="H7582" t="s">
        <v>2432</v>
      </c>
      <c r="I7582" t="s">
        <v>2433</v>
      </c>
      <c r="J7582" t="s">
        <v>2434</v>
      </c>
    </row>
    <row r="7583" spans="1:10" ht="15" customHeight="1" x14ac:dyDescent="0.2">
      <c r="A7583" s="420">
        <v>45698</v>
      </c>
      <c r="B7583" t="s">
        <v>2547</v>
      </c>
      <c r="C7583" t="s">
        <v>672</v>
      </c>
      <c r="D7583" t="s">
        <v>3223</v>
      </c>
      <c r="E7583" t="s">
        <v>674</v>
      </c>
      <c r="F7583">
        <v>53.36</v>
      </c>
      <c r="H7583">
        <v>53.36</v>
      </c>
    </row>
    <row r="7584" spans="1:10" ht="15" customHeight="1" x14ac:dyDescent="0.2">
      <c r="A7584" s="420">
        <v>45699</v>
      </c>
      <c r="B7584" t="s">
        <v>2547</v>
      </c>
      <c r="C7584" t="s">
        <v>672</v>
      </c>
      <c r="D7584" t="s">
        <v>3224</v>
      </c>
      <c r="E7584" t="s">
        <v>674</v>
      </c>
      <c r="F7584">
        <v>53.36</v>
      </c>
      <c r="H7584">
        <v>106.72</v>
      </c>
    </row>
    <row r="7585" spans="1:8" ht="15" customHeight="1" x14ac:dyDescent="0.2">
      <c r="A7585" s="420">
        <v>45705</v>
      </c>
      <c r="B7585" t="s">
        <v>2547</v>
      </c>
      <c r="C7585" t="s">
        <v>672</v>
      </c>
      <c r="D7585" t="s">
        <v>3227</v>
      </c>
      <c r="E7585" t="s">
        <v>674</v>
      </c>
      <c r="F7585">
        <v>53.36</v>
      </c>
      <c r="H7585">
        <v>160.08000000000001</v>
      </c>
    </row>
    <row r="7586" spans="1:8" ht="15" customHeight="1" x14ac:dyDescent="0.2">
      <c r="A7586" s="420">
        <v>45726</v>
      </c>
      <c r="B7586" t="s">
        <v>2547</v>
      </c>
      <c r="C7586" t="s">
        <v>672</v>
      </c>
      <c r="D7586" t="s">
        <v>3232</v>
      </c>
      <c r="E7586" t="s">
        <v>684</v>
      </c>
      <c r="F7586">
        <v>53.36</v>
      </c>
      <c r="H7586">
        <v>213.44</v>
      </c>
    </row>
    <row r="7587" spans="1:8" ht="15" customHeight="1" x14ac:dyDescent="0.2">
      <c r="A7587" s="420">
        <v>45727</v>
      </c>
      <c r="B7587" t="s">
        <v>2532</v>
      </c>
      <c r="C7587" t="s">
        <v>672</v>
      </c>
      <c r="D7587" t="s">
        <v>3233</v>
      </c>
      <c r="E7587" t="s">
        <v>686</v>
      </c>
      <c r="F7587">
        <v>53.36</v>
      </c>
      <c r="H7587">
        <v>266.8</v>
      </c>
    </row>
    <row r="7588" spans="1:8" ht="15" customHeight="1" x14ac:dyDescent="0.2">
      <c r="A7588" s="420">
        <v>45727</v>
      </c>
      <c r="B7588" t="s">
        <v>2547</v>
      </c>
      <c r="C7588" t="s">
        <v>672</v>
      </c>
      <c r="D7588" t="s">
        <v>3234</v>
      </c>
      <c r="E7588" t="s">
        <v>687</v>
      </c>
      <c r="F7588">
        <v>53.36</v>
      </c>
      <c r="H7588">
        <v>320.16000000000003</v>
      </c>
    </row>
    <row r="7589" spans="1:8" ht="15" customHeight="1" x14ac:dyDescent="0.2">
      <c r="A7589" s="420">
        <v>45729</v>
      </c>
      <c r="B7589" t="s">
        <v>2547</v>
      </c>
      <c r="C7589" t="s">
        <v>672</v>
      </c>
      <c r="D7589" t="s">
        <v>3237</v>
      </c>
      <c r="E7589" t="s">
        <v>689</v>
      </c>
      <c r="F7589">
        <v>53.36</v>
      </c>
      <c r="H7589">
        <v>373.52</v>
      </c>
    </row>
    <row r="7590" spans="1:8" ht="15" customHeight="1" x14ac:dyDescent="0.2">
      <c r="A7590" s="420">
        <v>45755</v>
      </c>
      <c r="B7590" t="s">
        <v>2547</v>
      </c>
      <c r="C7590" t="s">
        <v>672</v>
      </c>
      <c r="D7590" t="s">
        <v>3247</v>
      </c>
      <c r="E7590" t="s">
        <v>697</v>
      </c>
      <c r="F7590">
        <v>53.36</v>
      </c>
      <c r="H7590">
        <v>426.88</v>
      </c>
    </row>
    <row r="7591" spans="1:8" ht="15" customHeight="1" x14ac:dyDescent="0.2">
      <c r="A7591" s="420">
        <v>45771</v>
      </c>
      <c r="B7591" t="s">
        <v>2547</v>
      </c>
      <c r="C7591" t="s">
        <v>672</v>
      </c>
      <c r="D7591" t="s">
        <v>3252</v>
      </c>
      <c r="E7591" t="s">
        <v>703</v>
      </c>
      <c r="F7591">
        <v>53.36</v>
      </c>
      <c r="H7591">
        <v>480.24</v>
      </c>
    </row>
    <row r="7592" spans="1:8" ht="15" customHeight="1" x14ac:dyDescent="0.2">
      <c r="A7592" s="420">
        <v>45771</v>
      </c>
      <c r="B7592" t="s">
        <v>2547</v>
      </c>
      <c r="C7592" t="s">
        <v>672</v>
      </c>
      <c r="D7592" t="s">
        <v>3253</v>
      </c>
      <c r="E7592" t="s">
        <v>704</v>
      </c>
      <c r="F7592">
        <v>53.36</v>
      </c>
      <c r="H7592">
        <v>533.6</v>
      </c>
    </row>
    <row r="7593" spans="1:8" ht="15" customHeight="1" x14ac:dyDescent="0.2">
      <c r="A7593" s="420">
        <v>45797</v>
      </c>
      <c r="B7593" t="s">
        <v>2547</v>
      </c>
      <c r="C7593" t="s">
        <v>672</v>
      </c>
      <c r="D7593" t="s">
        <v>3263</v>
      </c>
      <c r="E7593" t="s">
        <v>718</v>
      </c>
      <c r="F7593">
        <v>53.36</v>
      </c>
      <c r="H7593">
        <v>586.96</v>
      </c>
    </row>
    <row r="7594" spans="1:8" ht="15" customHeight="1" x14ac:dyDescent="0.2">
      <c r="A7594" s="420">
        <v>45825</v>
      </c>
      <c r="B7594" t="s">
        <v>2547</v>
      </c>
      <c r="C7594" t="s">
        <v>672</v>
      </c>
      <c r="D7594" t="s">
        <v>3271</v>
      </c>
      <c r="E7594" t="s">
        <v>728</v>
      </c>
      <c r="F7594">
        <v>53.36</v>
      </c>
      <c r="H7594">
        <v>640.32000000000005</v>
      </c>
    </row>
    <row r="7595" spans="1:8" ht="15" customHeight="1" x14ac:dyDescent="0.2">
      <c r="A7595" s="420">
        <v>45847</v>
      </c>
      <c r="B7595" t="s">
        <v>2547</v>
      </c>
      <c r="C7595" t="s">
        <v>672</v>
      </c>
      <c r="D7595" t="s">
        <v>3286</v>
      </c>
      <c r="E7595" t="s">
        <v>737</v>
      </c>
      <c r="F7595">
        <v>53.36</v>
      </c>
      <c r="H7595">
        <v>693.68</v>
      </c>
    </row>
    <row r="7596" spans="1:8" ht="15" customHeight="1" x14ac:dyDescent="0.2">
      <c r="A7596" s="420">
        <v>45848</v>
      </c>
      <c r="B7596" t="s">
        <v>2547</v>
      </c>
      <c r="C7596" t="s">
        <v>672</v>
      </c>
      <c r="D7596" t="s">
        <v>3287</v>
      </c>
      <c r="E7596" t="s">
        <v>737</v>
      </c>
      <c r="F7596">
        <v>53.36</v>
      </c>
      <c r="H7596">
        <v>747.04</v>
      </c>
    </row>
    <row r="7597" spans="1:8" ht="15" customHeight="1" x14ac:dyDescent="0.2">
      <c r="A7597" s="420">
        <v>45856</v>
      </c>
      <c r="B7597" t="s">
        <v>2547</v>
      </c>
      <c r="C7597" t="s">
        <v>672</v>
      </c>
      <c r="D7597" t="s">
        <v>3295</v>
      </c>
      <c r="E7597" t="s">
        <v>737</v>
      </c>
      <c r="F7597">
        <v>53.36</v>
      </c>
      <c r="H7597">
        <v>800.4</v>
      </c>
    </row>
    <row r="7598" spans="1:8" ht="15" customHeight="1" x14ac:dyDescent="0.2">
      <c r="A7598" s="420">
        <v>45862</v>
      </c>
      <c r="B7598" t="s">
        <v>2547</v>
      </c>
      <c r="C7598" t="s">
        <v>672</v>
      </c>
      <c r="D7598" t="s">
        <v>3304</v>
      </c>
      <c r="E7598" t="s">
        <v>737</v>
      </c>
      <c r="F7598">
        <v>53.36</v>
      </c>
      <c r="H7598">
        <v>853.76</v>
      </c>
    </row>
    <row r="7599" spans="1:8" ht="15" customHeight="1" x14ac:dyDescent="0.2">
      <c r="A7599" s="420">
        <v>45863</v>
      </c>
      <c r="B7599" t="s">
        <v>2547</v>
      </c>
      <c r="C7599" t="s">
        <v>672</v>
      </c>
      <c r="D7599" t="s">
        <v>3305</v>
      </c>
      <c r="E7599" t="s">
        <v>737</v>
      </c>
      <c r="F7599">
        <v>53.36</v>
      </c>
      <c r="H7599">
        <v>907.12</v>
      </c>
    </row>
    <row r="7600" spans="1:8" ht="15" customHeight="1" x14ac:dyDescent="0.2">
      <c r="A7600" s="420">
        <v>45911</v>
      </c>
      <c r="B7600" t="s">
        <v>2547</v>
      </c>
      <c r="C7600" t="s">
        <v>672</v>
      </c>
      <c r="D7600" t="s">
        <v>3321</v>
      </c>
      <c r="E7600" t="s">
        <v>737</v>
      </c>
      <c r="F7600">
        <v>53.36</v>
      </c>
      <c r="H7600">
        <v>960.48</v>
      </c>
    </row>
    <row r="7601" spans="1:10" ht="15" customHeight="1" x14ac:dyDescent="0.2">
      <c r="A7601" s="420">
        <v>45936</v>
      </c>
      <c r="B7601" t="s">
        <v>2547</v>
      </c>
      <c r="C7601" t="s">
        <v>672</v>
      </c>
      <c r="D7601" t="s">
        <v>3324</v>
      </c>
      <c r="E7601" t="s">
        <v>766</v>
      </c>
      <c r="F7601">
        <v>53.36</v>
      </c>
      <c r="H7601">
        <v>1013.84</v>
      </c>
    </row>
    <row r="7602" spans="1:10" ht="15" customHeight="1" x14ac:dyDescent="0.2">
      <c r="A7602" s="420">
        <v>45945</v>
      </c>
      <c r="B7602" t="s">
        <v>2547</v>
      </c>
      <c r="C7602" t="s">
        <v>672</v>
      </c>
      <c r="D7602" t="s">
        <v>3328</v>
      </c>
      <c r="E7602" t="s">
        <v>771</v>
      </c>
      <c r="F7602">
        <v>53.36</v>
      </c>
      <c r="H7602">
        <v>1067.2</v>
      </c>
    </row>
    <row r="7603" spans="1:10" ht="15" customHeight="1" x14ac:dyDescent="0.2">
      <c r="A7603" s="420">
        <v>45945</v>
      </c>
      <c r="B7603" t="s">
        <v>2547</v>
      </c>
      <c r="C7603" t="s">
        <v>672</v>
      </c>
      <c r="D7603" t="s">
        <v>3330</v>
      </c>
      <c r="E7603" t="s">
        <v>772</v>
      </c>
      <c r="F7603">
        <v>53.36</v>
      </c>
      <c r="H7603">
        <v>1120.56</v>
      </c>
    </row>
    <row r="7604" spans="1:10" ht="15" customHeight="1" x14ac:dyDescent="0.2">
      <c r="A7604" s="420">
        <v>45945</v>
      </c>
      <c r="B7604" t="s">
        <v>2547</v>
      </c>
      <c r="C7604" t="s">
        <v>672</v>
      </c>
      <c r="D7604" t="s">
        <v>3332</v>
      </c>
      <c r="E7604" t="s">
        <v>773</v>
      </c>
      <c r="F7604">
        <v>53.36</v>
      </c>
      <c r="H7604">
        <v>1173.92</v>
      </c>
    </row>
    <row r="7605" spans="1:10" ht="15" customHeight="1" x14ac:dyDescent="0.2">
      <c r="A7605" s="420">
        <v>45945</v>
      </c>
      <c r="B7605" t="s">
        <v>2547</v>
      </c>
      <c r="C7605" t="s">
        <v>672</v>
      </c>
      <c r="D7605" t="s">
        <v>3334</v>
      </c>
      <c r="E7605" t="s">
        <v>774</v>
      </c>
      <c r="F7605">
        <v>53.36</v>
      </c>
      <c r="H7605">
        <v>1227.28</v>
      </c>
    </row>
    <row r="7606" spans="1:10" ht="15" customHeight="1" x14ac:dyDescent="0.2">
      <c r="A7606" s="420">
        <v>45945</v>
      </c>
      <c r="B7606" t="s">
        <v>2547</v>
      </c>
      <c r="C7606" t="s">
        <v>672</v>
      </c>
      <c r="D7606" t="s">
        <v>3336</v>
      </c>
      <c r="E7606" t="s">
        <v>775</v>
      </c>
      <c r="F7606">
        <v>53.36</v>
      </c>
      <c r="H7606">
        <v>1280.6400000000001</v>
      </c>
    </row>
    <row r="7607" spans="1:10" ht="15" customHeight="1" x14ac:dyDescent="0.2">
      <c r="A7607" s="420">
        <v>45945</v>
      </c>
      <c r="B7607" t="s">
        <v>2547</v>
      </c>
      <c r="C7607" t="s">
        <v>672</v>
      </c>
      <c r="D7607" t="s">
        <v>3339</v>
      </c>
      <c r="E7607" t="s">
        <v>776</v>
      </c>
      <c r="F7607">
        <v>53.36</v>
      </c>
      <c r="H7607">
        <v>1334</v>
      </c>
    </row>
    <row r="7608" spans="1:10" ht="15" customHeight="1" x14ac:dyDescent="0.2">
      <c r="A7608" s="420">
        <v>45945</v>
      </c>
      <c r="B7608" t="s">
        <v>2547</v>
      </c>
      <c r="C7608" t="s">
        <v>672</v>
      </c>
      <c r="D7608" t="s">
        <v>3341</v>
      </c>
      <c r="E7608" t="s">
        <v>777</v>
      </c>
      <c r="F7608">
        <v>53.36</v>
      </c>
      <c r="H7608">
        <v>1387.36</v>
      </c>
    </row>
    <row r="7609" spans="1:10" ht="15" customHeight="1" x14ac:dyDescent="0.2">
      <c r="A7609" s="420">
        <v>45945</v>
      </c>
      <c r="B7609" t="s">
        <v>2532</v>
      </c>
      <c r="C7609" t="s">
        <v>672</v>
      </c>
      <c r="D7609" t="s">
        <v>3343</v>
      </c>
      <c r="E7609" t="s">
        <v>778</v>
      </c>
      <c r="F7609">
        <v>53.36</v>
      </c>
      <c r="H7609">
        <v>1440.72</v>
      </c>
    </row>
    <row r="7610" spans="1:10" ht="15" customHeight="1" x14ac:dyDescent="0.2">
      <c r="A7610" t="s">
        <v>672</v>
      </c>
      <c r="E7610" t="s">
        <v>349</v>
      </c>
      <c r="F7610">
        <v>1440.72</v>
      </c>
      <c r="H7610">
        <v>1440.72</v>
      </c>
    </row>
    <row r="7612" spans="1:10" ht="15" customHeight="1" x14ac:dyDescent="0.2">
      <c r="A7612" t="s">
        <v>655</v>
      </c>
      <c r="B7612" t="s">
        <v>656</v>
      </c>
      <c r="F7612" t="s">
        <v>2430</v>
      </c>
      <c r="G7612" t="s">
        <v>2431</v>
      </c>
      <c r="H7612" t="s">
        <v>2432</v>
      </c>
      <c r="I7612" t="s">
        <v>2433</v>
      </c>
      <c r="J7612" t="s">
        <v>2434</v>
      </c>
    </row>
    <row r="7613" spans="1:10" ht="15" customHeight="1" x14ac:dyDescent="0.2">
      <c r="A7613" s="420">
        <v>45659</v>
      </c>
      <c r="B7613" t="s">
        <v>2333</v>
      </c>
      <c r="C7613" t="s">
        <v>655</v>
      </c>
      <c r="D7613" t="s">
        <v>7496</v>
      </c>
      <c r="E7613" t="s">
        <v>7497</v>
      </c>
      <c r="F7613">
        <v>20.91</v>
      </c>
      <c r="H7613">
        <v>20.91</v>
      </c>
    </row>
    <row r="7614" spans="1:10" ht="15" customHeight="1" x14ac:dyDescent="0.2">
      <c r="A7614" s="420">
        <v>45691</v>
      </c>
      <c r="B7614" t="s">
        <v>2333</v>
      </c>
      <c r="C7614" t="s">
        <v>655</v>
      </c>
      <c r="D7614" t="s">
        <v>7525</v>
      </c>
      <c r="E7614" t="s">
        <v>7526</v>
      </c>
      <c r="F7614">
        <v>20.91</v>
      </c>
      <c r="H7614">
        <v>41.82</v>
      </c>
    </row>
    <row r="7615" spans="1:10" ht="15" customHeight="1" x14ac:dyDescent="0.2">
      <c r="A7615" s="420">
        <v>45719</v>
      </c>
      <c r="B7615" t="s">
        <v>2333</v>
      </c>
      <c r="C7615" t="s">
        <v>655</v>
      </c>
      <c r="D7615" t="s">
        <v>7545</v>
      </c>
      <c r="E7615" t="s">
        <v>7546</v>
      </c>
      <c r="F7615">
        <v>20.91</v>
      </c>
      <c r="H7615">
        <v>62.73</v>
      </c>
    </row>
    <row r="7616" spans="1:10" ht="15" customHeight="1" x14ac:dyDescent="0.2">
      <c r="A7616" s="420">
        <v>45748</v>
      </c>
      <c r="B7616" t="s">
        <v>2333</v>
      </c>
      <c r="C7616" t="s">
        <v>655</v>
      </c>
      <c r="D7616" t="s">
        <v>7565</v>
      </c>
      <c r="E7616" t="s">
        <v>7566</v>
      </c>
      <c r="F7616">
        <v>20.91</v>
      </c>
      <c r="H7616">
        <v>83.64</v>
      </c>
    </row>
    <row r="7617" spans="1:10" ht="15" customHeight="1" x14ac:dyDescent="0.2">
      <c r="A7617" s="420">
        <v>45779</v>
      </c>
      <c r="B7617" t="s">
        <v>2333</v>
      </c>
      <c r="C7617" t="s">
        <v>655</v>
      </c>
      <c r="D7617" t="s">
        <v>7589</v>
      </c>
      <c r="E7617" t="s">
        <v>7590</v>
      </c>
      <c r="F7617">
        <v>20.91</v>
      </c>
      <c r="H7617">
        <v>104.55</v>
      </c>
    </row>
    <row r="7618" spans="1:10" ht="15" customHeight="1" x14ac:dyDescent="0.2">
      <c r="A7618" s="420">
        <v>45810</v>
      </c>
      <c r="B7618" t="s">
        <v>2333</v>
      </c>
      <c r="C7618" t="s">
        <v>655</v>
      </c>
      <c r="D7618" t="s">
        <v>7614</v>
      </c>
      <c r="E7618" t="s">
        <v>7615</v>
      </c>
      <c r="F7618">
        <v>20.91</v>
      </c>
      <c r="H7618">
        <v>125.46</v>
      </c>
    </row>
    <row r="7619" spans="1:10" ht="15" customHeight="1" x14ac:dyDescent="0.2">
      <c r="A7619" s="420">
        <v>45839</v>
      </c>
      <c r="B7619" t="s">
        <v>2333</v>
      </c>
      <c r="C7619" t="s">
        <v>655</v>
      </c>
      <c r="D7619" t="s">
        <v>7639</v>
      </c>
      <c r="E7619" t="s">
        <v>7640</v>
      </c>
      <c r="F7619">
        <v>20.91</v>
      </c>
      <c r="H7619">
        <v>146.37</v>
      </c>
    </row>
    <row r="7620" spans="1:10" ht="15" customHeight="1" x14ac:dyDescent="0.2">
      <c r="A7620" s="420">
        <v>45870</v>
      </c>
      <c r="B7620" t="s">
        <v>2333</v>
      </c>
      <c r="C7620" t="s">
        <v>655</v>
      </c>
      <c r="D7620" t="s">
        <v>7662</v>
      </c>
      <c r="E7620" t="s">
        <v>7663</v>
      </c>
      <c r="F7620">
        <v>20.91</v>
      </c>
      <c r="H7620">
        <v>167.28</v>
      </c>
    </row>
    <row r="7621" spans="1:10" ht="15" customHeight="1" x14ac:dyDescent="0.2">
      <c r="A7621" s="420">
        <v>45901</v>
      </c>
      <c r="B7621" t="s">
        <v>2547</v>
      </c>
      <c r="C7621" t="s">
        <v>655</v>
      </c>
      <c r="D7621" t="s">
        <v>3393</v>
      </c>
      <c r="E7621" t="s">
        <v>752</v>
      </c>
      <c r="F7621">
        <v>270.98</v>
      </c>
      <c r="H7621">
        <v>438.26</v>
      </c>
    </row>
    <row r="7622" spans="1:10" ht="15" customHeight="1" x14ac:dyDescent="0.2">
      <c r="A7622" s="420">
        <v>46022</v>
      </c>
      <c r="B7622" t="s">
        <v>2507</v>
      </c>
      <c r="C7622" t="s">
        <v>655</v>
      </c>
      <c r="D7622" t="s">
        <v>7489</v>
      </c>
      <c r="E7622" t="s">
        <v>807</v>
      </c>
      <c r="G7622">
        <v>180.65</v>
      </c>
      <c r="H7622">
        <v>257.61</v>
      </c>
    </row>
    <row r="7623" spans="1:10" ht="15" customHeight="1" x14ac:dyDescent="0.2">
      <c r="A7623" t="s">
        <v>655</v>
      </c>
      <c r="E7623" t="s">
        <v>349</v>
      </c>
      <c r="F7623">
        <v>438.26</v>
      </c>
      <c r="G7623">
        <v>180.65</v>
      </c>
      <c r="H7623">
        <v>257.61</v>
      </c>
    </row>
    <row r="7625" spans="1:10" ht="15" customHeight="1" x14ac:dyDescent="0.2">
      <c r="A7625" t="s">
        <v>647</v>
      </c>
      <c r="B7625" t="s">
        <v>648</v>
      </c>
      <c r="F7625" t="s">
        <v>2430</v>
      </c>
      <c r="G7625" t="s">
        <v>2431</v>
      </c>
      <c r="H7625" t="s">
        <v>2432</v>
      </c>
      <c r="I7625" t="s">
        <v>2433</v>
      </c>
      <c r="J7625" t="s">
        <v>2434</v>
      </c>
    </row>
    <row r="7626" spans="1:10" ht="15" customHeight="1" x14ac:dyDescent="0.2">
      <c r="A7626" s="420">
        <v>45658</v>
      </c>
      <c r="B7626" t="s">
        <v>2507</v>
      </c>
      <c r="C7626" t="s">
        <v>647</v>
      </c>
      <c r="D7626" t="s">
        <v>7442</v>
      </c>
      <c r="E7626" t="s">
        <v>649</v>
      </c>
      <c r="F7626">
        <v>86.81</v>
      </c>
      <c r="H7626">
        <v>86.81</v>
      </c>
      <c r="J7626" t="s">
        <v>2511</v>
      </c>
    </row>
    <row r="7627" spans="1:10" ht="15" customHeight="1" x14ac:dyDescent="0.2">
      <c r="A7627" s="420">
        <v>45658</v>
      </c>
      <c r="B7627" t="s">
        <v>2507</v>
      </c>
      <c r="C7627" t="s">
        <v>647</v>
      </c>
      <c r="D7627" t="s">
        <v>7443</v>
      </c>
      <c r="E7627" t="s">
        <v>650</v>
      </c>
      <c r="F7627">
        <v>371.18</v>
      </c>
      <c r="H7627">
        <v>457.99</v>
      </c>
      <c r="J7627" t="s">
        <v>2509</v>
      </c>
    </row>
    <row r="7628" spans="1:10" ht="15" customHeight="1" x14ac:dyDescent="0.2">
      <c r="A7628" s="420">
        <v>45660</v>
      </c>
      <c r="B7628" t="s">
        <v>2333</v>
      </c>
      <c r="C7628" t="s">
        <v>647</v>
      </c>
      <c r="D7628" t="s">
        <v>7502</v>
      </c>
      <c r="E7628" t="s">
        <v>659</v>
      </c>
      <c r="F7628">
        <v>14.13</v>
      </c>
      <c r="H7628">
        <v>472.12</v>
      </c>
    </row>
    <row r="7629" spans="1:10" ht="15" customHeight="1" x14ac:dyDescent="0.2">
      <c r="A7629" s="420">
        <v>45692</v>
      </c>
      <c r="B7629" t="s">
        <v>2333</v>
      </c>
      <c r="C7629" t="s">
        <v>647</v>
      </c>
      <c r="D7629" t="s">
        <v>7528</v>
      </c>
      <c r="E7629" t="s">
        <v>670</v>
      </c>
      <c r="F7629">
        <v>14.13</v>
      </c>
      <c r="H7629">
        <v>486.25</v>
      </c>
    </row>
    <row r="7630" spans="1:10" ht="15" customHeight="1" x14ac:dyDescent="0.2">
      <c r="A7630" s="420">
        <v>45720</v>
      </c>
      <c r="B7630" t="s">
        <v>2333</v>
      </c>
      <c r="C7630" t="s">
        <v>647</v>
      </c>
      <c r="D7630" t="s">
        <v>7548</v>
      </c>
      <c r="E7630" t="s">
        <v>682</v>
      </c>
      <c r="F7630">
        <v>14.13</v>
      </c>
      <c r="H7630">
        <v>500.38</v>
      </c>
    </row>
    <row r="7631" spans="1:10" ht="15" customHeight="1" x14ac:dyDescent="0.2">
      <c r="A7631" s="420">
        <v>45749</v>
      </c>
      <c r="B7631" t="s">
        <v>2333</v>
      </c>
      <c r="C7631" t="s">
        <v>647</v>
      </c>
      <c r="D7631" t="s">
        <v>7567</v>
      </c>
      <c r="E7631" t="s">
        <v>695</v>
      </c>
      <c r="F7631">
        <v>14.13</v>
      </c>
      <c r="H7631">
        <v>514.51</v>
      </c>
    </row>
    <row r="7632" spans="1:10" ht="15" customHeight="1" x14ac:dyDescent="0.2">
      <c r="A7632" s="420">
        <v>45782</v>
      </c>
      <c r="B7632" t="s">
        <v>2333</v>
      </c>
      <c r="C7632" t="s">
        <v>647</v>
      </c>
      <c r="D7632" t="s">
        <v>7599</v>
      </c>
      <c r="E7632" t="s">
        <v>712</v>
      </c>
      <c r="F7632">
        <v>14.13</v>
      </c>
      <c r="H7632">
        <v>528.64</v>
      </c>
    </row>
    <row r="7633" spans="1:10" ht="15" customHeight="1" x14ac:dyDescent="0.2">
      <c r="A7633" s="420">
        <v>45811</v>
      </c>
      <c r="B7633" t="s">
        <v>2333</v>
      </c>
      <c r="C7633" t="s">
        <v>647</v>
      </c>
      <c r="D7633" t="s">
        <v>7617</v>
      </c>
      <c r="E7633" t="s">
        <v>722</v>
      </c>
      <c r="F7633">
        <v>14.13</v>
      </c>
      <c r="H7633">
        <v>542.77</v>
      </c>
    </row>
    <row r="7634" spans="1:10" ht="15" customHeight="1" x14ac:dyDescent="0.2">
      <c r="A7634" s="420">
        <v>45838</v>
      </c>
      <c r="B7634" t="s">
        <v>2535</v>
      </c>
      <c r="C7634" t="s">
        <v>647</v>
      </c>
      <c r="D7634" t="s">
        <v>7468</v>
      </c>
      <c r="E7634" t="s">
        <v>729</v>
      </c>
      <c r="G7634">
        <v>73.680000000000007</v>
      </c>
      <c r="H7634">
        <v>469.09</v>
      </c>
      <c r="J7634" t="s">
        <v>2513</v>
      </c>
    </row>
    <row r="7635" spans="1:10" ht="15" customHeight="1" x14ac:dyDescent="0.2">
      <c r="A7635" s="420">
        <v>45838</v>
      </c>
      <c r="B7635" t="s">
        <v>2535</v>
      </c>
      <c r="C7635" t="s">
        <v>647</v>
      </c>
      <c r="D7635" t="s">
        <v>7469</v>
      </c>
      <c r="E7635" t="s">
        <v>730</v>
      </c>
      <c r="G7635">
        <v>315.01</v>
      </c>
      <c r="H7635">
        <v>154.08000000000001</v>
      </c>
      <c r="J7635" t="s">
        <v>2585</v>
      </c>
    </row>
    <row r="7636" spans="1:10" ht="15" customHeight="1" x14ac:dyDescent="0.2">
      <c r="A7636" s="420">
        <v>45839</v>
      </c>
      <c r="B7636" t="s">
        <v>2535</v>
      </c>
      <c r="C7636" t="s">
        <v>647</v>
      </c>
      <c r="D7636" t="s">
        <v>7468</v>
      </c>
      <c r="E7636" t="s">
        <v>732</v>
      </c>
      <c r="F7636">
        <v>73.680000000000007</v>
      </c>
      <c r="H7636">
        <v>227.76</v>
      </c>
      <c r="J7636" t="s">
        <v>2513</v>
      </c>
    </row>
    <row r="7637" spans="1:10" ht="15" customHeight="1" x14ac:dyDescent="0.2">
      <c r="A7637" s="420">
        <v>45839</v>
      </c>
      <c r="B7637" t="s">
        <v>2535</v>
      </c>
      <c r="C7637" t="s">
        <v>647</v>
      </c>
      <c r="D7637" t="s">
        <v>7469</v>
      </c>
      <c r="E7637" t="s">
        <v>733</v>
      </c>
      <c r="F7637">
        <v>315.01</v>
      </c>
      <c r="H7637">
        <v>542.77</v>
      </c>
      <c r="J7637" t="s">
        <v>2585</v>
      </c>
    </row>
    <row r="7638" spans="1:10" ht="15" customHeight="1" x14ac:dyDescent="0.2">
      <c r="A7638" s="420">
        <v>45840</v>
      </c>
      <c r="B7638" t="s">
        <v>2333</v>
      </c>
      <c r="C7638" t="s">
        <v>647</v>
      </c>
      <c r="D7638" t="s">
        <v>7641</v>
      </c>
      <c r="E7638" t="s">
        <v>735</v>
      </c>
      <c r="F7638">
        <v>14.13</v>
      </c>
      <c r="H7638">
        <v>556.9</v>
      </c>
    </row>
    <row r="7639" spans="1:10" ht="15" customHeight="1" x14ac:dyDescent="0.2">
      <c r="A7639" s="420">
        <v>45873</v>
      </c>
      <c r="B7639" t="s">
        <v>2333</v>
      </c>
      <c r="C7639" t="s">
        <v>647</v>
      </c>
      <c r="D7639" t="s">
        <v>7664</v>
      </c>
      <c r="E7639" t="s">
        <v>747</v>
      </c>
      <c r="F7639">
        <v>14.13</v>
      </c>
      <c r="H7639">
        <v>571.03</v>
      </c>
    </row>
    <row r="7640" spans="1:10" ht="15" customHeight="1" x14ac:dyDescent="0.2">
      <c r="A7640" s="420">
        <v>45902</v>
      </c>
      <c r="B7640" t="s">
        <v>2333</v>
      </c>
      <c r="C7640" t="s">
        <v>647</v>
      </c>
      <c r="D7640" t="s">
        <v>7686</v>
      </c>
      <c r="E7640" t="s">
        <v>754</v>
      </c>
      <c r="F7640">
        <v>14.13</v>
      </c>
      <c r="H7640">
        <v>585.16</v>
      </c>
    </row>
    <row r="7641" spans="1:10" ht="15" customHeight="1" x14ac:dyDescent="0.2">
      <c r="A7641" s="420">
        <v>45932</v>
      </c>
      <c r="B7641" t="s">
        <v>2333</v>
      </c>
      <c r="C7641" t="s">
        <v>647</v>
      </c>
      <c r="D7641" t="s">
        <v>7713</v>
      </c>
      <c r="E7641" t="s">
        <v>764</v>
      </c>
      <c r="F7641">
        <v>14.13</v>
      </c>
      <c r="H7641">
        <v>599.29</v>
      </c>
    </row>
    <row r="7642" spans="1:10" ht="15" customHeight="1" x14ac:dyDescent="0.2">
      <c r="A7642" s="420">
        <v>45965</v>
      </c>
      <c r="B7642" t="s">
        <v>2333</v>
      </c>
      <c r="C7642" t="s">
        <v>647</v>
      </c>
      <c r="D7642" t="s">
        <v>7741</v>
      </c>
      <c r="E7642" t="s">
        <v>782</v>
      </c>
      <c r="F7642">
        <v>14.13</v>
      </c>
      <c r="H7642">
        <v>613.41999999999996</v>
      </c>
    </row>
    <row r="7643" spans="1:10" ht="15" customHeight="1" x14ac:dyDescent="0.2">
      <c r="A7643" s="420">
        <v>45966</v>
      </c>
      <c r="B7643" t="s">
        <v>2457</v>
      </c>
      <c r="C7643" t="s">
        <v>647</v>
      </c>
      <c r="D7643" t="s">
        <v>2501</v>
      </c>
      <c r="E7643" t="s">
        <v>784</v>
      </c>
      <c r="F7643">
        <v>1.59</v>
      </c>
      <c r="H7643">
        <v>615.01</v>
      </c>
    </row>
    <row r="7644" spans="1:10" ht="15" customHeight="1" x14ac:dyDescent="0.2">
      <c r="A7644" s="420">
        <v>45977</v>
      </c>
      <c r="B7644" t="s">
        <v>2457</v>
      </c>
      <c r="C7644" t="s">
        <v>647</v>
      </c>
      <c r="D7644" t="s">
        <v>2495</v>
      </c>
      <c r="E7644" t="s">
        <v>7875</v>
      </c>
      <c r="F7644">
        <v>5.58</v>
      </c>
      <c r="H7644">
        <v>620.59</v>
      </c>
    </row>
    <row r="7645" spans="1:10" ht="15" customHeight="1" x14ac:dyDescent="0.2">
      <c r="A7645" s="420">
        <v>45977</v>
      </c>
      <c r="B7645" t="s">
        <v>2457</v>
      </c>
      <c r="C7645" t="s">
        <v>647</v>
      </c>
      <c r="D7645" t="s">
        <v>2489</v>
      </c>
      <c r="E7645" t="s">
        <v>7876</v>
      </c>
      <c r="F7645">
        <v>5.25</v>
      </c>
      <c r="H7645">
        <v>625.84</v>
      </c>
    </row>
    <row r="7646" spans="1:10" ht="15" customHeight="1" x14ac:dyDescent="0.2">
      <c r="A7646" s="420">
        <v>45993</v>
      </c>
      <c r="B7646" t="s">
        <v>2333</v>
      </c>
      <c r="C7646" t="s">
        <v>647</v>
      </c>
      <c r="D7646" t="s">
        <v>7768</v>
      </c>
      <c r="E7646" t="s">
        <v>793</v>
      </c>
      <c r="F7646">
        <v>14.13</v>
      </c>
      <c r="H7646">
        <v>639.97</v>
      </c>
    </row>
    <row r="7647" spans="1:10" ht="15" customHeight="1" x14ac:dyDescent="0.2">
      <c r="A7647" s="420">
        <v>45996</v>
      </c>
      <c r="B7647" t="s">
        <v>2457</v>
      </c>
      <c r="C7647" t="s">
        <v>647</v>
      </c>
      <c r="D7647" t="s">
        <v>2501</v>
      </c>
      <c r="E7647" t="s">
        <v>795</v>
      </c>
      <c r="F7647">
        <v>2.42</v>
      </c>
      <c r="H7647">
        <v>642.39</v>
      </c>
    </row>
    <row r="7648" spans="1:10" ht="15" customHeight="1" x14ac:dyDescent="0.2">
      <c r="A7648" s="420">
        <v>46007</v>
      </c>
      <c r="B7648" t="s">
        <v>2457</v>
      </c>
      <c r="C7648" t="s">
        <v>647</v>
      </c>
      <c r="D7648" t="s">
        <v>2495</v>
      </c>
      <c r="E7648" t="s">
        <v>7877</v>
      </c>
      <c r="F7648">
        <v>5.58</v>
      </c>
      <c r="H7648">
        <v>647.97</v>
      </c>
    </row>
    <row r="7649" spans="1:10" ht="15" customHeight="1" x14ac:dyDescent="0.2">
      <c r="A7649" s="420">
        <v>46007</v>
      </c>
      <c r="B7649" t="s">
        <v>2457</v>
      </c>
      <c r="C7649" t="s">
        <v>647</v>
      </c>
      <c r="D7649" t="s">
        <v>2489</v>
      </c>
      <c r="E7649" t="s">
        <v>7878</v>
      </c>
      <c r="F7649">
        <v>5.25</v>
      </c>
      <c r="H7649">
        <v>653.22</v>
      </c>
    </row>
    <row r="7650" spans="1:10" ht="15" customHeight="1" x14ac:dyDescent="0.2">
      <c r="A7650" s="420">
        <v>46022</v>
      </c>
      <c r="B7650" t="s">
        <v>2507</v>
      </c>
      <c r="C7650" t="s">
        <v>647</v>
      </c>
      <c r="D7650" t="s">
        <v>808</v>
      </c>
      <c r="E7650" t="s">
        <v>808</v>
      </c>
      <c r="G7650">
        <v>60.32</v>
      </c>
      <c r="H7650">
        <v>592.9</v>
      </c>
      <c r="J7650" t="s">
        <v>2509</v>
      </c>
    </row>
    <row r="7651" spans="1:10" ht="15" customHeight="1" x14ac:dyDescent="0.2">
      <c r="A7651" s="420">
        <v>46022</v>
      </c>
      <c r="B7651" t="s">
        <v>2507</v>
      </c>
      <c r="C7651" t="s">
        <v>647</v>
      </c>
      <c r="D7651" t="s">
        <v>809</v>
      </c>
      <c r="E7651" t="s">
        <v>809</v>
      </c>
      <c r="G7651">
        <v>257.91000000000003</v>
      </c>
      <c r="H7651">
        <v>334.99</v>
      </c>
      <c r="J7651" t="s">
        <v>2511</v>
      </c>
    </row>
    <row r="7652" spans="1:10" ht="15" customHeight="1" x14ac:dyDescent="0.2">
      <c r="A7652" s="420">
        <v>46022</v>
      </c>
      <c r="B7652" t="s">
        <v>2439</v>
      </c>
      <c r="C7652" t="s">
        <v>647</v>
      </c>
      <c r="D7652" t="s">
        <v>7874</v>
      </c>
      <c r="E7652" t="s">
        <v>803</v>
      </c>
      <c r="F7652">
        <v>7.27</v>
      </c>
      <c r="H7652">
        <v>342.26</v>
      </c>
    </row>
    <row r="7653" spans="1:10" ht="15" customHeight="1" x14ac:dyDescent="0.2">
      <c r="A7653" t="s">
        <v>647</v>
      </c>
      <c r="E7653" t="s">
        <v>349</v>
      </c>
      <c r="F7653">
        <v>1049.18</v>
      </c>
      <c r="G7653">
        <v>706.92</v>
      </c>
      <c r="H7653">
        <v>342.26</v>
      </c>
    </row>
    <row r="7655" spans="1:10" ht="15" customHeight="1" x14ac:dyDescent="0.2">
      <c r="A7655" t="s">
        <v>651</v>
      </c>
      <c r="B7655" t="s">
        <v>652</v>
      </c>
      <c r="F7655" t="s">
        <v>2430</v>
      </c>
      <c r="G7655" t="s">
        <v>2431</v>
      </c>
      <c r="H7655" t="s">
        <v>2432</v>
      </c>
      <c r="I7655" t="s">
        <v>2433</v>
      </c>
      <c r="J7655" t="s">
        <v>2434</v>
      </c>
    </row>
    <row r="7656" spans="1:10" ht="15" customHeight="1" x14ac:dyDescent="0.2">
      <c r="A7656" s="420">
        <v>45658</v>
      </c>
      <c r="B7656" t="s">
        <v>2507</v>
      </c>
      <c r="C7656" t="s">
        <v>651</v>
      </c>
      <c r="D7656" t="s">
        <v>7445</v>
      </c>
      <c r="E7656" t="s">
        <v>653</v>
      </c>
      <c r="F7656">
        <v>15</v>
      </c>
      <c r="H7656">
        <v>15</v>
      </c>
      <c r="J7656" t="s">
        <v>2511</v>
      </c>
    </row>
    <row r="7657" spans="1:10" ht="15" customHeight="1" x14ac:dyDescent="0.2">
      <c r="A7657" s="420">
        <v>45912</v>
      </c>
      <c r="B7657" t="s">
        <v>2532</v>
      </c>
      <c r="C7657" t="s">
        <v>651</v>
      </c>
      <c r="D7657" t="s">
        <v>3025</v>
      </c>
      <c r="E7657" t="s">
        <v>761</v>
      </c>
      <c r="F7657">
        <v>15</v>
      </c>
      <c r="H7657">
        <v>30</v>
      </c>
    </row>
    <row r="7658" spans="1:10" ht="15" customHeight="1" x14ac:dyDescent="0.2">
      <c r="A7658" s="420">
        <v>46022</v>
      </c>
      <c r="B7658" t="s">
        <v>2517</v>
      </c>
      <c r="C7658" t="s">
        <v>651</v>
      </c>
      <c r="D7658" t="s">
        <v>7872</v>
      </c>
      <c r="E7658" t="s">
        <v>810</v>
      </c>
      <c r="F7658">
        <v>30</v>
      </c>
      <c r="H7658">
        <v>60</v>
      </c>
    </row>
    <row r="7659" spans="1:10" ht="15" customHeight="1" x14ac:dyDescent="0.2">
      <c r="A7659" t="s">
        <v>651</v>
      </c>
      <c r="E7659" t="s">
        <v>349</v>
      </c>
      <c r="F7659">
        <v>60</v>
      </c>
      <c r="H7659">
        <v>60</v>
      </c>
    </row>
    <row r="7661" spans="1:10" ht="15" customHeight="1" x14ac:dyDescent="0.2">
      <c r="A7661" t="s">
        <v>661</v>
      </c>
      <c r="B7661" t="s">
        <v>662</v>
      </c>
      <c r="F7661" t="s">
        <v>2430</v>
      </c>
      <c r="G7661" t="s">
        <v>2431</v>
      </c>
      <c r="H7661" t="s">
        <v>2432</v>
      </c>
      <c r="I7661" t="s">
        <v>2433</v>
      </c>
      <c r="J7661" t="s">
        <v>2434</v>
      </c>
    </row>
    <row r="7662" spans="1:10" ht="15" customHeight="1" x14ac:dyDescent="0.2">
      <c r="A7662" s="420">
        <v>45670</v>
      </c>
      <c r="B7662" t="s">
        <v>2333</v>
      </c>
      <c r="C7662" t="s">
        <v>661</v>
      </c>
      <c r="D7662" t="s">
        <v>7517</v>
      </c>
      <c r="E7662" t="s">
        <v>7518</v>
      </c>
      <c r="F7662">
        <v>91.56</v>
      </c>
      <c r="H7662">
        <v>91.56</v>
      </c>
    </row>
    <row r="7663" spans="1:10" ht="15" customHeight="1" x14ac:dyDescent="0.2">
      <c r="A7663" s="420">
        <v>45699</v>
      </c>
      <c r="B7663" t="s">
        <v>2333</v>
      </c>
      <c r="C7663" t="s">
        <v>661</v>
      </c>
      <c r="D7663" t="s">
        <v>7539</v>
      </c>
      <c r="E7663" t="s">
        <v>7540</v>
      </c>
      <c r="F7663">
        <v>85.21</v>
      </c>
      <c r="H7663">
        <v>176.77</v>
      </c>
    </row>
    <row r="7664" spans="1:10" ht="15" customHeight="1" x14ac:dyDescent="0.2">
      <c r="A7664" s="420">
        <v>45727</v>
      </c>
      <c r="B7664" t="s">
        <v>2333</v>
      </c>
      <c r="C7664" t="s">
        <v>661</v>
      </c>
      <c r="D7664" t="s">
        <v>7558</v>
      </c>
      <c r="E7664" t="s">
        <v>7559</v>
      </c>
      <c r="F7664">
        <v>85.21</v>
      </c>
      <c r="H7664">
        <v>261.98</v>
      </c>
    </row>
    <row r="7665" spans="1:10" ht="15" customHeight="1" x14ac:dyDescent="0.2">
      <c r="A7665" s="420">
        <v>45758</v>
      </c>
      <c r="B7665" t="s">
        <v>2333</v>
      </c>
      <c r="C7665" t="s">
        <v>661</v>
      </c>
      <c r="D7665" t="s">
        <v>7584</v>
      </c>
      <c r="E7665" t="s">
        <v>7585</v>
      </c>
      <c r="F7665">
        <v>85.21</v>
      </c>
      <c r="H7665">
        <v>347.19</v>
      </c>
    </row>
    <row r="7666" spans="1:10" ht="15" customHeight="1" x14ac:dyDescent="0.2">
      <c r="A7666" s="420">
        <v>45790</v>
      </c>
      <c r="B7666" t="s">
        <v>2333</v>
      </c>
      <c r="C7666" t="s">
        <v>661</v>
      </c>
      <c r="D7666" t="s">
        <v>7604</v>
      </c>
      <c r="E7666" t="s">
        <v>7605</v>
      </c>
      <c r="F7666">
        <v>85.21</v>
      </c>
      <c r="H7666">
        <v>432.4</v>
      </c>
    </row>
    <row r="7667" spans="1:10" ht="15" customHeight="1" x14ac:dyDescent="0.2">
      <c r="A7667" s="420">
        <v>45819</v>
      </c>
      <c r="B7667" t="s">
        <v>2333</v>
      </c>
      <c r="C7667" t="s">
        <v>661</v>
      </c>
      <c r="D7667" t="s">
        <v>7629</v>
      </c>
      <c r="E7667" t="s">
        <v>7630</v>
      </c>
      <c r="F7667">
        <v>85.21</v>
      </c>
      <c r="H7667">
        <v>517.61</v>
      </c>
    </row>
    <row r="7668" spans="1:10" ht="15" customHeight="1" x14ac:dyDescent="0.2">
      <c r="A7668" s="420">
        <v>45849</v>
      </c>
      <c r="B7668" t="s">
        <v>2333</v>
      </c>
      <c r="C7668" t="s">
        <v>661</v>
      </c>
      <c r="D7668" t="s">
        <v>7653</v>
      </c>
      <c r="E7668" t="s">
        <v>7654</v>
      </c>
      <c r="F7668">
        <v>85.21</v>
      </c>
      <c r="H7668">
        <v>602.82000000000005</v>
      </c>
    </row>
    <row r="7669" spans="1:10" ht="15" customHeight="1" x14ac:dyDescent="0.2">
      <c r="A7669" s="420">
        <v>45881</v>
      </c>
      <c r="B7669" t="s">
        <v>2333</v>
      </c>
      <c r="C7669" t="s">
        <v>661</v>
      </c>
      <c r="D7669" t="s">
        <v>7674</v>
      </c>
      <c r="E7669" t="s">
        <v>7675</v>
      </c>
      <c r="F7669">
        <v>85.21</v>
      </c>
      <c r="H7669">
        <v>688.03</v>
      </c>
    </row>
    <row r="7670" spans="1:10" ht="15" customHeight="1" x14ac:dyDescent="0.2">
      <c r="A7670" s="420">
        <v>45911</v>
      </c>
      <c r="B7670" t="s">
        <v>2333</v>
      </c>
      <c r="C7670" t="s">
        <v>661</v>
      </c>
      <c r="D7670" t="s">
        <v>7700</v>
      </c>
      <c r="E7670" t="s">
        <v>7701</v>
      </c>
      <c r="F7670">
        <v>85.21</v>
      </c>
      <c r="H7670">
        <v>773.24</v>
      </c>
    </row>
    <row r="7671" spans="1:10" ht="15" customHeight="1" x14ac:dyDescent="0.2">
      <c r="A7671" s="420">
        <v>45943</v>
      </c>
      <c r="B7671" t="s">
        <v>2333</v>
      </c>
      <c r="C7671" t="s">
        <v>661</v>
      </c>
      <c r="D7671" t="s">
        <v>7732</v>
      </c>
      <c r="E7671" t="s">
        <v>7733</v>
      </c>
      <c r="F7671">
        <v>85.21</v>
      </c>
      <c r="H7671">
        <v>858.45</v>
      </c>
    </row>
    <row r="7672" spans="1:10" ht="15" customHeight="1" x14ac:dyDescent="0.2">
      <c r="A7672" s="420">
        <v>45972</v>
      </c>
      <c r="B7672" t="s">
        <v>2333</v>
      </c>
      <c r="C7672" t="s">
        <v>661</v>
      </c>
      <c r="D7672" t="s">
        <v>7756</v>
      </c>
      <c r="E7672" t="s">
        <v>7757</v>
      </c>
      <c r="F7672">
        <v>85.21</v>
      </c>
      <c r="H7672">
        <v>943.66</v>
      </c>
    </row>
    <row r="7673" spans="1:10" ht="15" customHeight="1" x14ac:dyDescent="0.2">
      <c r="A7673" s="420">
        <v>46002</v>
      </c>
      <c r="B7673" t="s">
        <v>2333</v>
      </c>
      <c r="C7673" t="s">
        <v>661</v>
      </c>
      <c r="D7673" t="s">
        <v>7784</v>
      </c>
      <c r="E7673" t="s">
        <v>7785</v>
      </c>
      <c r="F7673">
        <v>85.21</v>
      </c>
      <c r="H7673">
        <v>1028.8699999999999</v>
      </c>
    </row>
    <row r="7674" spans="1:10" ht="15" customHeight="1" x14ac:dyDescent="0.2">
      <c r="A7674" t="s">
        <v>661</v>
      </c>
      <c r="E7674" t="s">
        <v>349</v>
      </c>
      <c r="F7674">
        <v>1028.8699999999999</v>
      </c>
      <c r="H7674">
        <v>1028.8699999999999</v>
      </c>
    </row>
    <row r="7676" spans="1:10" ht="15" customHeight="1" x14ac:dyDescent="0.2">
      <c r="A7676" t="s">
        <v>664</v>
      </c>
      <c r="B7676" t="s">
        <v>665</v>
      </c>
      <c r="F7676" t="s">
        <v>2430</v>
      </c>
      <c r="G7676" t="s">
        <v>2431</v>
      </c>
      <c r="H7676" t="s">
        <v>2432</v>
      </c>
      <c r="I7676" t="s">
        <v>2433</v>
      </c>
      <c r="J7676" t="s">
        <v>2434</v>
      </c>
    </row>
    <row r="7677" spans="1:10" ht="15" customHeight="1" x14ac:dyDescent="0.2">
      <c r="A7677" s="420">
        <v>45670</v>
      </c>
      <c r="B7677" t="s">
        <v>2333</v>
      </c>
      <c r="C7677" t="s">
        <v>664</v>
      </c>
      <c r="D7677" t="s">
        <v>7519</v>
      </c>
      <c r="E7677" t="s">
        <v>7520</v>
      </c>
      <c r="F7677">
        <v>78.010000000000005</v>
      </c>
      <c r="H7677">
        <v>78.010000000000005</v>
      </c>
    </row>
    <row r="7678" spans="1:10" ht="15" customHeight="1" x14ac:dyDescent="0.2">
      <c r="A7678" s="420">
        <v>45699</v>
      </c>
      <c r="B7678" t="s">
        <v>2333</v>
      </c>
      <c r="C7678" t="s">
        <v>664</v>
      </c>
      <c r="D7678" t="s">
        <v>7541</v>
      </c>
      <c r="E7678" t="s">
        <v>7542</v>
      </c>
      <c r="F7678">
        <v>78.010000000000005</v>
      </c>
      <c r="H7678">
        <v>156.02000000000001</v>
      </c>
    </row>
    <row r="7679" spans="1:10" ht="15" customHeight="1" x14ac:dyDescent="0.2">
      <c r="A7679" s="420">
        <v>45727</v>
      </c>
      <c r="B7679" t="s">
        <v>2333</v>
      </c>
      <c r="C7679" t="s">
        <v>664</v>
      </c>
      <c r="D7679" t="s">
        <v>7560</v>
      </c>
      <c r="E7679" t="s">
        <v>7561</v>
      </c>
      <c r="F7679">
        <v>78.010000000000005</v>
      </c>
      <c r="H7679">
        <v>234.03</v>
      </c>
    </row>
    <row r="7680" spans="1:10" ht="15" customHeight="1" x14ac:dyDescent="0.2">
      <c r="A7680" s="420">
        <v>45758</v>
      </c>
      <c r="B7680" t="s">
        <v>2333</v>
      </c>
      <c r="C7680" t="s">
        <v>664</v>
      </c>
      <c r="D7680" t="s">
        <v>7580</v>
      </c>
      <c r="E7680" t="s">
        <v>7581</v>
      </c>
      <c r="F7680">
        <v>78.010000000000005</v>
      </c>
      <c r="H7680">
        <v>312.04000000000002</v>
      </c>
    </row>
    <row r="7681" spans="1:10" ht="15" customHeight="1" x14ac:dyDescent="0.2">
      <c r="A7681" s="420">
        <v>45790</v>
      </c>
      <c r="B7681" t="s">
        <v>2333</v>
      </c>
      <c r="C7681" t="s">
        <v>664</v>
      </c>
      <c r="D7681" t="s">
        <v>7606</v>
      </c>
      <c r="E7681" t="s">
        <v>7607</v>
      </c>
      <c r="F7681">
        <v>78.010000000000005</v>
      </c>
      <c r="H7681">
        <v>390.05</v>
      </c>
    </row>
    <row r="7682" spans="1:10" ht="15" customHeight="1" x14ac:dyDescent="0.2">
      <c r="A7682" s="420">
        <v>45819</v>
      </c>
      <c r="B7682" t="s">
        <v>2333</v>
      </c>
      <c r="C7682" t="s">
        <v>664</v>
      </c>
      <c r="D7682" t="s">
        <v>7633</v>
      </c>
      <c r="E7682" t="s">
        <v>7634</v>
      </c>
      <c r="F7682">
        <v>78.010000000000005</v>
      </c>
      <c r="H7682">
        <v>468.06</v>
      </c>
    </row>
    <row r="7683" spans="1:10" ht="15" customHeight="1" x14ac:dyDescent="0.2">
      <c r="A7683" s="420">
        <v>45849</v>
      </c>
      <c r="B7683" t="s">
        <v>2333</v>
      </c>
      <c r="C7683" t="s">
        <v>664</v>
      </c>
      <c r="D7683" t="s">
        <v>7655</v>
      </c>
      <c r="E7683" t="s">
        <v>7656</v>
      </c>
      <c r="F7683">
        <v>78.010000000000005</v>
      </c>
      <c r="H7683">
        <v>546.07000000000005</v>
      </c>
    </row>
    <row r="7684" spans="1:10" ht="15" customHeight="1" x14ac:dyDescent="0.2">
      <c r="A7684" s="420">
        <v>45881</v>
      </c>
      <c r="B7684" t="s">
        <v>2333</v>
      </c>
      <c r="C7684" t="s">
        <v>664</v>
      </c>
      <c r="D7684" t="s">
        <v>7676</v>
      </c>
      <c r="E7684" t="s">
        <v>7677</v>
      </c>
      <c r="F7684">
        <v>78.010000000000005</v>
      </c>
      <c r="H7684">
        <v>624.08000000000004</v>
      </c>
    </row>
    <row r="7685" spans="1:10" ht="15" customHeight="1" x14ac:dyDescent="0.2">
      <c r="A7685" s="420">
        <v>45910</v>
      </c>
      <c r="B7685" t="s">
        <v>2333</v>
      </c>
      <c r="C7685" t="s">
        <v>664</v>
      </c>
      <c r="D7685" t="s">
        <v>7696</v>
      </c>
      <c r="E7685" t="s">
        <v>7697</v>
      </c>
      <c r="G7685">
        <v>357.29</v>
      </c>
      <c r="H7685">
        <v>266.79000000000002</v>
      </c>
    </row>
    <row r="7686" spans="1:10" ht="15" customHeight="1" x14ac:dyDescent="0.2">
      <c r="A7686" t="s">
        <v>664</v>
      </c>
      <c r="E7686" t="s">
        <v>349</v>
      </c>
      <c r="F7686">
        <v>624.08000000000004</v>
      </c>
      <c r="G7686">
        <v>357.29</v>
      </c>
      <c r="H7686">
        <v>266.79000000000002</v>
      </c>
    </row>
    <row r="7688" spans="1:10" ht="15" customHeight="1" x14ac:dyDescent="0.2">
      <c r="A7688" t="s">
        <v>691</v>
      </c>
      <c r="B7688" t="s">
        <v>692</v>
      </c>
      <c r="F7688" t="s">
        <v>2430</v>
      </c>
      <c r="G7688" t="s">
        <v>2431</v>
      </c>
      <c r="H7688" t="s">
        <v>2432</v>
      </c>
      <c r="I7688" t="s">
        <v>2433</v>
      </c>
      <c r="J7688" t="s">
        <v>2434</v>
      </c>
    </row>
    <row r="7689" spans="1:10" ht="15" customHeight="1" x14ac:dyDescent="0.2">
      <c r="A7689" s="420">
        <v>45748</v>
      </c>
      <c r="B7689" t="s">
        <v>2439</v>
      </c>
      <c r="C7689" t="s">
        <v>691</v>
      </c>
      <c r="D7689" t="s">
        <v>2639</v>
      </c>
      <c r="E7689" t="s">
        <v>693</v>
      </c>
      <c r="F7689">
        <v>52.27</v>
      </c>
      <c r="H7689">
        <v>52.27</v>
      </c>
    </row>
    <row r="7690" spans="1:10" ht="15" customHeight="1" x14ac:dyDescent="0.2">
      <c r="A7690" s="420">
        <v>45778</v>
      </c>
      <c r="B7690" t="s">
        <v>2439</v>
      </c>
      <c r="C7690" t="s">
        <v>691</v>
      </c>
      <c r="D7690" t="s">
        <v>2640</v>
      </c>
      <c r="E7690" t="s">
        <v>705</v>
      </c>
      <c r="F7690">
        <v>52.27</v>
      </c>
      <c r="H7690">
        <v>104.54</v>
      </c>
    </row>
    <row r="7691" spans="1:10" ht="15" customHeight="1" x14ac:dyDescent="0.2">
      <c r="A7691" s="420">
        <v>45809</v>
      </c>
      <c r="B7691" t="s">
        <v>2439</v>
      </c>
      <c r="C7691" t="s">
        <v>691</v>
      </c>
      <c r="D7691" t="s">
        <v>2643</v>
      </c>
      <c r="E7691" t="s">
        <v>719</v>
      </c>
      <c r="F7691">
        <v>52.27</v>
      </c>
      <c r="H7691">
        <v>156.81</v>
      </c>
    </row>
    <row r="7692" spans="1:10" ht="15" customHeight="1" x14ac:dyDescent="0.2">
      <c r="A7692" s="420">
        <v>45839</v>
      </c>
      <c r="B7692" t="s">
        <v>2439</v>
      </c>
      <c r="C7692" t="s">
        <v>691</v>
      </c>
      <c r="D7692" t="s">
        <v>2646</v>
      </c>
      <c r="E7692" t="s">
        <v>719</v>
      </c>
      <c r="F7692">
        <v>52.27</v>
      </c>
      <c r="H7692">
        <v>209.08</v>
      </c>
    </row>
    <row r="7693" spans="1:10" ht="15" customHeight="1" x14ac:dyDescent="0.2">
      <c r="A7693" s="420">
        <v>45870</v>
      </c>
      <c r="B7693" t="s">
        <v>2439</v>
      </c>
      <c r="C7693" t="s">
        <v>691</v>
      </c>
      <c r="D7693" t="s">
        <v>2649</v>
      </c>
      <c r="E7693" t="s">
        <v>719</v>
      </c>
      <c r="F7693">
        <v>52.27</v>
      </c>
      <c r="H7693">
        <v>261.35000000000002</v>
      </c>
    </row>
    <row r="7694" spans="1:10" ht="15" customHeight="1" x14ac:dyDescent="0.2">
      <c r="A7694" s="420">
        <v>45901</v>
      </c>
      <c r="B7694" t="s">
        <v>2439</v>
      </c>
      <c r="C7694" t="s">
        <v>691</v>
      </c>
      <c r="D7694" t="s">
        <v>2652</v>
      </c>
      <c r="E7694" t="s">
        <v>719</v>
      </c>
      <c r="F7694">
        <v>52.27</v>
      </c>
      <c r="H7694">
        <v>313.62</v>
      </c>
    </row>
    <row r="7695" spans="1:10" ht="15" customHeight="1" x14ac:dyDescent="0.2">
      <c r="A7695" s="420">
        <v>45931</v>
      </c>
      <c r="B7695" t="s">
        <v>2439</v>
      </c>
      <c r="C7695" t="s">
        <v>691</v>
      </c>
      <c r="D7695" t="s">
        <v>2655</v>
      </c>
      <c r="E7695" t="s">
        <v>719</v>
      </c>
      <c r="F7695">
        <v>52.27</v>
      </c>
      <c r="H7695">
        <v>365.89</v>
      </c>
    </row>
    <row r="7696" spans="1:10" ht="15" customHeight="1" x14ac:dyDescent="0.2">
      <c r="A7696" s="420">
        <v>45962</v>
      </c>
      <c r="B7696" t="s">
        <v>2439</v>
      </c>
      <c r="C7696" t="s">
        <v>691</v>
      </c>
      <c r="D7696" t="s">
        <v>2658</v>
      </c>
      <c r="E7696" t="s">
        <v>719</v>
      </c>
      <c r="F7696">
        <v>52.27</v>
      </c>
      <c r="H7696">
        <v>418.16</v>
      </c>
    </row>
    <row r="7697" spans="1:10" ht="15" customHeight="1" x14ac:dyDescent="0.2">
      <c r="A7697" s="420">
        <v>45992</v>
      </c>
      <c r="B7697" t="s">
        <v>2439</v>
      </c>
      <c r="C7697" t="s">
        <v>691</v>
      </c>
      <c r="D7697" t="s">
        <v>2661</v>
      </c>
      <c r="E7697" t="s">
        <v>719</v>
      </c>
      <c r="F7697">
        <v>52.27</v>
      </c>
      <c r="H7697">
        <v>470.43</v>
      </c>
    </row>
    <row r="7698" spans="1:10" ht="15" customHeight="1" x14ac:dyDescent="0.2">
      <c r="A7698" t="s">
        <v>691</v>
      </c>
      <c r="E7698" t="s">
        <v>349</v>
      </c>
      <c r="F7698">
        <v>470.43</v>
      </c>
      <c r="H7698">
        <v>470.43</v>
      </c>
    </row>
    <row r="7700" spans="1:10" ht="15" customHeight="1" x14ac:dyDescent="0.2">
      <c r="A7700" t="s">
        <v>706</v>
      </c>
      <c r="B7700" t="s">
        <v>707</v>
      </c>
      <c r="F7700" t="s">
        <v>2430</v>
      </c>
      <c r="G7700" t="s">
        <v>2431</v>
      </c>
      <c r="H7700" t="s">
        <v>2432</v>
      </c>
      <c r="I7700" t="s">
        <v>2433</v>
      </c>
      <c r="J7700" t="s">
        <v>2434</v>
      </c>
    </row>
    <row r="7701" spans="1:10" ht="15" customHeight="1" x14ac:dyDescent="0.2">
      <c r="A7701" s="420">
        <v>45778</v>
      </c>
      <c r="B7701" t="s">
        <v>2532</v>
      </c>
      <c r="C7701" t="s">
        <v>706</v>
      </c>
      <c r="D7701" t="s">
        <v>5418</v>
      </c>
      <c r="E7701" t="s">
        <v>708</v>
      </c>
      <c r="F7701">
        <v>0.64</v>
      </c>
      <c r="H7701">
        <v>0.64</v>
      </c>
    </row>
    <row r="7702" spans="1:10" ht="15" customHeight="1" x14ac:dyDescent="0.2">
      <c r="A7702" s="420">
        <v>45779</v>
      </c>
      <c r="B7702" t="s">
        <v>2532</v>
      </c>
      <c r="C7702" t="s">
        <v>706</v>
      </c>
      <c r="D7702" t="s">
        <v>5419</v>
      </c>
      <c r="E7702" t="s">
        <v>710</v>
      </c>
      <c r="F7702">
        <v>9.57</v>
      </c>
      <c r="H7702">
        <v>10.210000000000001</v>
      </c>
    </row>
    <row r="7703" spans="1:10" ht="15" customHeight="1" x14ac:dyDescent="0.2">
      <c r="A7703" s="420">
        <v>45809</v>
      </c>
      <c r="B7703" t="s">
        <v>2532</v>
      </c>
      <c r="C7703" t="s">
        <v>706</v>
      </c>
      <c r="D7703" t="s">
        <v>5422</v>
      </c>
      <c r="E7703" t="s">
        <v>720</v>
      </c>
      <c r="F7703">
        <v>9.57</v>
      </c>
      <c r="H7703">
        <v>19.78</v>
      </c>
    </row>
    <row r="7704" spans="1:10" ht="15" customHeight="1" x14ac:dyDescent="0.2">
      <c r="A7704" s="420">
        <v>45839</v>
      </c>
      <c r="B7704" t="s">
        <v>2532</v>
      </c>
      <c r="C7704" t="s">
        <v>706</v>
      </c>
      <c r="D7704" t="s">
        <v>5427</v>
      </c>
      <c r="E7704" t="s">
        <v>734</v>
      </c>
      <c r="F7704">
        <v>9.57</v>
      </c>
      <c r="H7704">
        <v>29.35</v>
      </c>
    </row>
    <row r="7705" spans="1:10" ht="15" customHeight="1" x14ac:dyDescent="0.2">
      <c r="A7705" s="420">
        <v>45870</v>
      </c>
      <c r="B7705" t="s">
        <v>2532</v>
      </c>
      <c r="C7705" t="s">
        <v>706</v>
      </c>
      <c r="D7705" t="s">
        <v>5430</v>
      </c>
      <c r="E7705" t="s">
        <v>734</v>
      </c>
      <c r="F7705">
        <v>9.57</v>
      </c>
      <c r="H7705">
        <v>38.92</v>
      </c>
    </row>
    <row r="7706" spans="1:10" ht="15" customHeight="1" x14ac:dyDescent="0.2">
      <c r="A7706" s="420">
        <v>45901</v>
      </c>
      <c r="B7706" t="s">
        <v>2532</v>
      </c>
      <c r="C7706" t="s">
        <v>706</v>
      </c>
      <c r="D7706" t="s">
        <v>5433</v>
      </c>
      <c r="E7706" t="s">
        <v>5434</v>
      </c>
      <c r="F7706">
        <v>9.57</v>
      </c>
      <c r="H7706">
        <v>48.49</v>
      </c>
    </row>
    <row r="7707" spans="1:10" ht="15" customHeight="1" x14ac:dyDescent="0.2">
      <c r="A7707" s="420">
        <v>45931</v>
      </c>
      <c r="B7707" t="s">
        <v>2532</v>
      </c>
      <c r="C7707" t="s">
        <v>706</v>
      </c>
      <c r="D7707" t="s">
        <v>5437</v>
      </c>
      <c r="E7707" t="s">
        <v>763</v>
      </c>
      <c r="F7707">
        <v>9.57</v>
      </c>
      <c r="H7707">
        <v>58.06</v>
      </c>
    </row>
    <row r="7708" spans="1:10" ht="15" customHeight="1" x14ac:dyDescent="0.2">
      <c r="A7708" s="420">
        <v>45962</v>
      </c>
      <c r="B7708" t="s">
        <v>2532</v>
      </c>
      <c r="C7708" t="s">
        <v>706</v>
      </c>
      <c r="D7708" t="s">
        <v>5438</v>
      </c>
      <c r="E7708" t="s">
        <v>780</v>
      </c>
      <c r="F7708">
        <v>9.57</v>
      </c>
      <c r="H7708">
        <v>67.63</v>
      </c>
    </row>
    <row r="7709" spans="1:10" ht="15" customHeight="1" x14ac:dyDescent="0.2">
      <c r="A7709" s="420">
        <v>45992</v>
      </c>
      <c r="B7709" t="s">
        <v>2532</v>
      </c>
      <c r="C7709" t="s">
        <v>706</v>
      </c>
      <c r="D7709" t="s">
        <v>5443</v>
      </c>
      <c r="E7709" t="s">
        <v>791</v>
      </c>
      <c r="F7709">
        <v>9.57</v>
      </c>
      <c r="H7709">
        <v>77.2</v>
      </c>
    </row>
    <row r="7710" spans="1:10" ht="15" customHeight="1" x14ac:dyDescent="0.2">
      <c r="A7710" t="s">
        <v>706</v>
      </c>
      <c r="E7710" t="s">
        <v>349</v>
      </c>
      <c r="F7710">
        <v>77.2</v>
      </c>
      <c r="H7710">
        <v>77.2</v>
      </c>
    </row>
    <row r="7712" spans="1:10" ht="15" customHeight="1" x14ac:dyDescent="0.2">
      <c r="A7712" t="s">
        <v>700</v>
      </c>
      <c r="B7712" t="s">
        <v>701</v>
      </c>
      <c r="F7712" t="s">
        <v>2430</v>
      </c>
      <c r="G7712" t="s">
        <v>2431</v>
      </c>
      <c r="H7712" t="s">
        <v>2432</v>
      </c>
      <c r="I7712" t="s">
        <v>2433</v>
      </c>
      <c r="J7712" t="s">
        <v>2434</v>
      </c>
    </row>
    <row r="7713" spans="1:10" ht="15" customHeight="1" x14ac:dyDescent="0.2">
      <c r="A7713" s="420">
        <v>45758</v>
      </c>
      <c r="B7713" t="s">
        <v>2333</v>
      </c>
      <c r="C7713" t="s">
        <v>700</v>
      </c>
      <c r="D7713" t="s">
        <v>7582</v>
      </c>
      <c r="E7713" t="s">
        <v>7583</v>
      </c>
      <c r="F7713">
        <v>111.59</v>
      </c>
      <c r="H7713">
        <v>111.59</v>
      </c>
    </row>
    <row r="7714" spans="1:10" ht="15" customHeight="1" x14ac:dyDescent="0.2">
      <c r="A7714" s="420">
        <v>45790</v>
      </c>
      <c r="B7714" t="s">
        <v>2333</v>
      </c>
      <c r="C7714" t="s">
        <v>700</v>
      </c>
      <c r="D7714" t="s">
        <v>7608</v>
      </c>
      <c r="E7714" t="s">
        <v>7609</v>
      </c>
      <c r="F7714">
        <v>100.82</v>
      </c>
      <c r="H7714">
        <v>212.41</v>
      </c>
    </row>
    <row r="7715" spans="1:10" ht="15" customHeight="1" x14ac:dyDescent="0.2">
      <c r="A7715" s="420">
        <v>45819</v>
      </c>
      <c r="B7715" t="s">
        <v>2333</v>
      </c>
      <c r="C7715" t="s">
        <v>700</v>
      </c>
      <c r="D7715" t="s">
        <v>7627</v>
      </c>
      <c r="E7715" t="s">
        <v>7628</v>
      </c>
      <c r="F7715">
        <v>100.82</v>
      </c>
      <c r="H7715">
        <v>313.23</v>
      </c>
    </row>
    <row r="7716" spans="1:10" ht="15" customHeight="1" x14ac:dyDescent="0.2">
      <c r="A7716" s="420">
        <v>45849</v>
      </c>
      <c r="B7716" t="s">
        <v>2333</v>
      </c>
      <c r="C7716" t="s">
        <v>700</v>
      </c>
      <c r="D7716" t="s">
        <v>7651</v>
      </c>
      <c r="E7716" t="s">
        <v>7652</v>
      </c>
      <c r="F7716">
        <v>100.82</v>
      </c>
      <c r="H7716">
        <v>414.05</v>
      </c>
    </row>
    <row r="7717" spans="1:10" ht="15" customHeight="1" x14ac:dyDescent="0.2">
      <c r="A7717" s="420">
        <v>45881</v>
      </c>
      <c r="B7717" t="s">
        <v>2333</v>
      </c>
      <c r="C7717" t="s">
        <v>700</v>
      </c>
      <c r="D7717" t="s">
        <v>7680</v>
      </c>
      <c r="E7717" t="s">
        <v>7681</v>
      </c>
      <c r="F7717">
        <v>100.82</v>
      </c>
      <c r="H7717">
        <v>514.87</v>
      </c>
    </row>
    <row r="7718" spans="1:10" ht="15" customHeight="1" x14ac:dyDescent="0.2">
      <c r="A7718" s="420">
        <v>45911</v>
      </c>
      <c r="B7718" t="s">
        <v>2333</v>
      </c>
      <c r="C7718" t="s">
        <v>700</v>
      </c>
      <c r="D7718" t="s">
        <v>7702</v>
      </c>
      <c r="E7718" t="s">
        <v>7703</v>
      </c>
      <c r="F7718">
        <v>100.82</v>
      </c>
      <c r="H7718">
        <v>615.69000000000005</v>
      </c>
    </row>
    <row r="7719" spans="1:10" ht="15" customHeight="1" x14ac:dyDescent="0.2">
      <c r="A7719" s="420">
        <v>45943</v>
      </c>
      <c r="B7719" t="s">
        <v>2333</v>
      </c>
      <c r="C7719" t="s">
        <v>700</v>
      </c>
      <c r="D7719" t="s">
        <v>7728</v>
      </c>
      <c r="E7719" t="s">
        <v>7729</v>
      </c>
      <c r="F7719">
        <v>100.82</v>
      </c>
      <c r="H7719">
        <v>716.51</v>
      </c>
    </row>
    <row r="7720" spans="1:10" ht="15" customHeight="1" x14ac:dyDescent="0.2">
      <c r="A7720" s="420">
        <v>45972</v>
      </c>
      <c r="B7720" t="s">
        <v>2333</v>
      </c>
      <c r="C7720" t="s">
        <v>700</v>
      </c>
      <c r="D7720" t="s">
        <v>7754</v>
      </c>
      <c r="E7720" t="s">
        <v>7755</v>
      </c>
      <c r="F7720">
        <v>100.82</v>
      </c>
      <c r="H7720">
        <v>817.33</v>
      </c>
    </row>
    <row r="7721" spans="1:10" ht="15" customHeight="1" x14ac:dyDescent="0.2">
      <c r="A7721" s="420">
        <v>46002</v>
      </c>
      <c r="B7721" t="s">
        <v>2333</v>
      </c>
      <c r="C7721" t="s">
        <v>700</v>
      </c>
      <c r="D7721" t="s">
        <v>7782</v>
      </c>
      <c r="E7721" t="s">
        <v>7783</v>
      </c>
      <c r="F7721">
        <v>100.82</v>
      </c>
      <c r="H7721">
        <v>918.15</v>
      </c>
    </row>
    <row r="7722" spans="1:10" ht="15" customHeight="1" x14ac:dyDescent="0.2">
      <c r="A7722" t="s">
        <v>700</v>
      </c>
      <c r="E7722" t="s">
        <v>349</v>
      </c>
      <c r="F7722">
        <v>918.15</v>
      </c>
      <c r="H7722">
        <v>918.15</v>
      </c>
    </row>
    <row r="7724" spans="1:10" ht="15" customHeight="1" x14ac:dyDescent="0.2">
      <c r="A7724" t="s">
        <v>716</v>
      </c>
      <c r="B7724" t="s">
        <v>717</v>
      </c>
      <c r="F7724" t="s">
        <v>2430</v>
      </c>
      <c r="G7724" t="s">
        <v>2431</v>
      </c>
      <c r="H7724" t="s">
        <v>2432</v>
      </c>
      <c r="I7724" t="s">
        <v>2433</v>
      </c>
      <c r="J7724" t="s">
        <v>2434</v>
      </c>
    </row>
    <row r="7725" spans="1:10" ht="15" customHeight="1" x14ac:dyDescent="0.2">
      <c r="A7725" s="420">
        <v>45790</v>
      </c>
      <c r="B7725" t="s">
        <v>2333</v>
      </c>
      <c r="C7725" t="s">
        <v>716</v>
      </c>
      <c r="D7725" t="s">
        <v>7602</v>
      </c>
      <c r="E7725" t="s">
        <v>7603</v>
      </c>
      <c r="F7725">
        <v>127.01</v>
      </c>
      <c r="H7725">
        <v>127.01</v>
      </c>
    </row>
    <row r="7726" spans="1:10" ht="15" customHeight="1" x14ac:dyDescent="0.2">
      <c r="A7726" s="420">
        <v>45819</v>
      </c>
      <c r="B7726" t="s">
        <v>2333</v>
      </c>
      <c r="C7726" t="s">
        <v>716</v>
      </c>
      <c r="D7726" t="s">
        <v>7631</v>
      </c>
      <c r="E7726" t="s">
        <v>7632</v>
      </c>
      <c r="F7726">
        <v>116.38</v>
      </c>
      <c r="H7726">
        <v>243.39</v>
      </c>
    </row>
    <row r="7727" spans="1:10" ht="15" customHeight="1" x14ac:dyDescent="0.2">
      <c r="A7727" s="420">
        <v>45849</v>
      </c>
      <c r="B7727" t="s">
        <v>2333</v>
      </c>
      <c r="C7727" t="s">
        <v>716</v>
      </c>
      <c r="D7727" t="s">
        <v>7657</v>
      </c>
      <c r="E7727" t="s">
        <v>7658</v>
      </c>
      <c r="F7727">
        <v>116.38</v>
      </c>
      <c r="H7727">
        <v>359.77</v>
      </c>
    </row>
    <row r="7728" spans="1:10" ht="15" customHeight="1" x14ac:dyDescent="0.2">
      <c r="A7728" s="420">
        <v>45881</v>
      </c>
      <c r="B7728" t="s">
        <v>2333</v>
      </c>
      <c r="C7728" t="s">
        <v>716</v>
      </c>
      <c r="D7728" t="s">
        <v>7678</v>
      </c>
      <c r="E7728" t="s">
        <v>7679</v>
      </c>
      <c r="F7728">
        <v>116.38</v>
      </c>
      <c r="H7728">
        <v>476.15</v>
      </c>
    </row>
    <row r="7729" spans="1:10" ht="15" customHeight="1" x14ac:dyDescent="0.2">
      <c r="A7729" s="420">
        <v>45911</v>
      </c>
      <c r="B7729" t="s">
        <v>2333</v>
      </c>
      <c r="C7729" t="s">
        <v>716</v>
      </c>
      <c r="D7729" t="s">
        <v>7698</v>
      </c>
      <c r="E7729" t="s">
        <v>7699</v>
      </c>
      <c r="F7729">
        <v>116.38</v>
      </c>
      <c r="H7729">
        <v>592.53</v>
      </c>
    </row>
    <row r="7730" spans="1:10" ht="15" customHeight="1" x14ac:dyDescent="0.2">
      <c r="A7730" s="420">
        <v>45943</v>
      </c>
      <c r="B7730" t="s">
        <v>2333</v>
      </c>
      <c r="C7730" t="s">
        <v>716</v>
      </c>
      <c r="D7730" t="s">
        <v>7730</v>
      </c>
      <c r="E7730" t="s">
        <v>7731</v>
      </c>
      <c r="F7730">
        <v>116.38</v>
      </c>
      <c r="H7730">
        <v>708.91</v>
      </c>
    </row>
    <row r="7731" spans="1:10" ht="15" customHeight="1" x14ac:dyDescent="0.2">
      <c r="A7731" s="420">
        <v>45972</v>
      </c>
      <c r="B7731" t="s">
        <v>2333</v>
      </c>
      <c r="C7731" t="s">
        <v>716</v>
      </c>
      <c r="D7731" t="s">
        <v>7758</v>
      </c>
      <c r="E7731" t="s">
        <v>7759</v>
      </c>
      <c r="F7731">
        <v>116.38</v>
      </c>
      <c r="H7731">
        <v>825.29</v>
      </c>
    </row>
    <row r="7732" spans="1:10" ht="15" customHeight="1" x14ac:dyDescent="0.2">
      <c r="A7732" s="420">
        <v>46002</v>
      </c>
      <c r="B7732" t="s">
        <v>2333</v>
      </c>
      <c r="C7732" t="s">
        <v>716</v>
      </c>
      <c r="D7732" t="s">
        <v>7780</v>
      </c>
      <c r="E7732" t="s">
        <v>7781</v>
      </c>
      <c r="F7732">
        <v>116.38</v>
      </c>
      <c r="H7732">
        <v>941.67</v>
      </c>
    </row>
    <row r="7733" spans="1:10" ht="15" customHeight="1" x14ac:dyDescent="0.2">
      <c r="A7733" t="s">
        <v>716</v>
      </c>
      <c r="E7733" t="s">
        <v>349</v>
      </c>
      <c r="F7733">
        <v>941.67</v>
      </c>
      <c r="H7733">
        <v>941.67</v>
      </c>
    </row>
    <row r="7735" spans="1:10" ht="15" customHeight="1" x14ac:dyDescent="0.2">
      <c r="A7735" t="s">
        <v>1568</v>
      </c>
      <c r="B7735" t="s">
        <v>1569</v>
      </c>
      <c r="F7735" t="s">
        <v>2430</v>
      </c>
      <c r="G7735" t="s">
        <v>2431</v>
      </c>
      <c r="H7735" t="s">
        <v>2432</v>
      </c>
      <c r="I7735" t="s">
        <v>2433</v>
      </c>
      <c r="J7735" t="s">
        <v>2434</v>
      </c>
    </row>
    <row r="7736" spans="1:10" ht="15" customHeight="1" x14ac:dyDescent="0.2">
      <c r="A7736" s="420">
        <v>45919</v>
      </c>
      <c r="B7736" t="s">
        <v>2532</v>
      </c>
      <c r="C7736" t="s">
        <v>1568</v>
      </c>
      <c r="D7736" t="s">
        <v>3766</v>
      </c>
      <c r="E7736" t="s">
        <v>1570</v>
      </c>
      <c r="F7736">
        <v>750</v>
      </c>
      <c r="H7736">
        <v>750</v>
      </c>
    </row>
    <row r="7737" spans="1:10" ht="15" customHeight="1" x14ac:dyDescent="0.2">
      <c r="A7737" s="420">
        <v>45971</v>
      </c>
      <c r="B7737" t="s">
        <v>2532</v>
      </c>
      <c r="C7737" t="s">
        <v>1568</v>
      </c>
      <c r="D7737" t="s">
        <v>3585</v>
      </c>
      <c r="E7737" t="s">
        <v>1594</v>
      </c>
      <c r="F7737">
        <v>950</v>
      </c>
      <c r="H7737">
        <v>1700</v>
      </c>
    </row>
    <row r="7738" spans="1:10" ht="15" customHeight="1" x14ac:dyDescent="0.2">
      <c r="A7738" t="s">
        <v>1568</v>
      </c>
      <c r="E7738" t="s">
        <v>349</v>
      </c>
      <c r="F7738">
        <v>1700</v>
      </c>
      <c r="H7738">
        <v>1700</v>
      </c>
    </row>
    <row r="7740" spans="1:10" ht="15" customHeight="1" x14ac:dyDescent="0.2">
      <c r="A7740" t="s">
        <v>7879</v>
      </c>
      <c r="B7740" t="s">
        <v>7880</v>
      </c>
      <c r="F7740" t="s">
        <v>2430</v>
      </c>
      <c r="G7740" t="s">
        <v>2431</v>
      </c>
      <c r="H7740" t="s">
        <v>2432</v>
      </c>
      <c r="I7740" t="s">
        <v>2433</v>
      </c>
      <c r="J7740" t="s">
        <v>2434</v>
      </c>
    </row>
    <row r="7741" spans="1:10" ht="15" customHeight="1" x14ac:dyDescent="0.2">
      <c r="A7741" s="420">
        <v>45667</v>
      </c>
      <c r="B7741" t="s">
        <v>2547</v>
      </c>
      <c r="C7741" t="s">
        <v>7879</v>
      </c>
      <c r="D7741" t="s">
        <v>3627</v>
      </c>
      <c r="E7741" t="s">
        <v>3628</v>
      </c>
      <c r="F7741">
        <v>6000</v>
      </c>
      <c r="H7741">
        <v>6000</v>
      </c>
    </row>
    <row r="7742" spans="1:10" ht="15" customHeight="1" x14ac:dyDescent="0.2">
      <c r="A7742" s="420">
        <v>45693</v>
      </c>
      <c r="B7742" t="s">
        <v>2547</v>
      </c>
      <c r="C7742" t="s">
        <v>7879</v>
      </c>
      <c r="D7742" t="s">
        <v>3631</v>
      </c>
      <c r="E7742" t="s">
        <v>3632</v>
      </c>
      <c r="F7742">
        <v>6000</v>
      </c>
      <c r="H7742">
        <v>12000</v>
      </c>
    </row>
    <row r="7743" spans="1:10" ht="15" customHeight="1" x14ac:dyDescent="0.2">
      <c r="A7743" s="420">
        <v>45706</v>
      </c>
      <c r="B7743" t="s">
        <v>2547</v>
      </c>
      <c r="C7743" t="s">
        <v>7879</v>
      </c>
      <c r="D7743" t="s">
        <v>3633</v>
      </c>
      <c r="E7743" t="s">
        <v>3634</v>
      </c>
      <c r="F7743">
        <v>6000</v>
      </c>
      <c r="H7743">
        <v>18000</v>
      </c>
    </row>
    <row r="7744" spans="1:10" ht="15" customHeight="1" x14ac:dyDescent="0.2">
      <c r="A7744" s="420">
        <v>45728</v>
      </c>
      <c r="B7744" t="s">
        <v>2532</v>
      </c>
      <c r="C7744" t="s">
        <v>7879</v>
      </c>
      <c r="D7744" t="s">
        <v>3637</v>
      </c>
      <c r="E7744" t="s">
        <v>3638</v>
      </c>
      <c r="F7744">
        <v>6000</v>
      </c>
      <c r="H7744">
        <v>24000</v>
      </c>
    </row>
    <row r="7745" spans="1:10" ht="15" customHeight="1" x14ac:dyDescent="0.2">
      <c r="A7745" s="420">
        <v>45728</v>
      </c>
      <c r="B7745" t="s">
        <v>2547</v>
      </c>
      <c r="C7745" t="s">
        <v>7879</v>
      </c>
      <c r="D7745" t="s">
        <v>3639</v>
      </c>
      <c r="E7745" t="s">
        <v>3640</v>
      </c>
      <c r="F7745">
        <v>6000</v>
      </c>
      <c r="H7745">
        <v>30000</v>
      </c>
    </row>
    <row r="7746" spans="1:10" ht="15" customHeight="1" x14ac:dyDescent="0.2">
      <c r="A7746" s="420">
        <v>45728</v>
      </c>
      <c r="B7746" t="s">
        <v>2547</v>
      </c>
      <c r="C7746" t="s">
        <v>7879</v>
      </c>
      <c r="D7746" t="s">
        <v>3641</v>
      </c>
      <c r="E7746" t="s">
        <v>3642</v>
      </c>
      <c r="F7746">
        <v>6000</v>
      </c>
      <c r="H7746">
        <v>36000</v>
      </c>
    </row>
    <row r="7747" spans="1:10" ht="15" customHeight="1" x14ac:dyDescent="0.2">
      <c r="A7747" s="420">
        <v>45728</v>
      </c>
      <c r="B7747" t="s">
        <v>2547</v>
      </c>
      <c r="C7747" t="s">
        <v>7879</v>
      </c>
      <c r="D7747" t="s">
        <v>3643</v>
      </c>
      <c r="E7747" t="s">
        <v>3644</v>
      </c>
      <c r="F7747">
        <v>6000</v>
      </c>
      <c r="H7747">
        <v>42000</v>
      </c>
    </row>
    <row r="7748" spans="1:10" ht="15" customHeight="1" x14ac:dyDescent="0.2">
      <c r="A7748" s="420">
        <v>45741</v>
      </c>
      <c r="B7748" t="s">
        <v>2547</v>
      </c>
      <c r="C7748" t="s">
        <v>7879</v>
      </c>
      <c r="D7748" t="s">
        <v>3655</v>
      </c>
      <c r="E7748" t="s">
        <v>3656</v>
      </c>
      <c r="F7748">
        <v>6000</v>
      </c>
      <c r="H7748">
        <v>48000</v>
      </c>
    </row>
    <row r="7749" spans="1:10" ht="15" customHeight="1" x14ac:dyDescent="0.2">
      <c r="A7749" s="420">
        <v>45762</v>
      </c>
      <c r="B7749" t="s">
        <v>2532</v>
      </c>
      <c r="C7749" t="s">
        <v>7879</v>
      </c>
      <c r="D7749" t="s">
        <v>3657</v>
      </c>
      <c r="E7749" t="s">
        <v>3658</v>
      </c>
      <c r="F7749">
        <v>6000</v>
      </c>
      <c r="H7749">
        <v>54000</v>
      </c>
    </row>
    <row r="7750" spans="1:10" ht="15" customHeight="1" x14ac:dyDescent="0.2">
      <c r="A7750" s="420">
        <v>45826</v>
      </c>
      <c r="B7750" t="s">
        <v>2532</v>
      </c>
      <c r="C7750" t="s">
        <v>7879</v>
      </c>
      <c r="D7750" t="s">
        <v>3665</v>
      </c>
      <c r="E7750" t="s">
        <v>3666</v>
      </c>
      <c r="F7750">
        <v>12000</v>
      </c>
      <c r="H7750">
        <v>66000</v>
      </c>
    </row>
    <row r="7751" spans="1:10" ht="15" customHeight="1" x14ac:dyDescent="0.2">
      <c r="A7751" s="420">
        <v>45915</v>
      </c>
      <c r="B7751" t="s">
        <v>2532</v>
      </c>
      <c r="C7751" t="s">
        <v>7879</v>
      </c>
      <c r="D7751" t="s">
        <v>3673</v>
      </c>
      <c r="E7751" t="s">
        <v>3674</v>
      </c>
      <c r="F7751">
        <v>18000</v>
      </c>
      <c r="H7751">
        <v>84000</v>
      </c>
    </row>
    <row r="7752" spans="1:10" ht="15" customHeight="1" x14ac:dyDescent="0.2">
      <c r="A7752" s="420">
        <v>45933</v>
      </c>
      <c r="B7752" t="s">
        <v>2532</v>
      </c>
      <c r="C7752" t="s">
        <v>7879</v>
      </c>
      <c r="D7752" t="s">
        <v>3675</v>
      </c>
      <c r="E7752" t="s">
        <v>3676</v>
      </c>
      <c r="F7752">
        <v>24000</v>
      </c>
      <c r="H7752">
        <v>108000</v>
      </c>
    </row>
    <row r="7753" spans="1:10" ht="15" customHeight="1" x14ac:dyDescent="0.2">
      <c r="A7753" s="420">
        <v>45952</v>
      </c>
      <c r="B7753" t="s">
        <v>2532</v>
      </c>
      <c r="C7753" t="s">
        <v>7879</v>
      </c>
      <c r="D7753" t="s">
        <v>3683</v>
      </c>
      <c r="E7753" t="s">
        <v>7881</v>
      </c>
      <c r="F7753">
        <v>12000</v>
      </c>
      <c r="H7753">
        <v>120000</v>
      </c>
    </row>
    <row r="7754" spans="1:10" ht="15" customHeight="1" x14ac:dyDescent="0.2">
      <c r="A7754" s="420">
        <v>45989</v>
      </c>
      <c r="B7754" t="s">
        <v>2532</v>
      </c>
      <c r="C7754" t="s">
        <v>7879</v>
      </c>
      <c r="D7754" t="s">
        <v>3687</v>
      </c>
      <c r="E7754" t="s">
        <v>3688</v>
      </c>
      <c r="F7754">
        <v>6000</v>
      </c>
      <c r="H7754">
        <v>126000</v>
      </c>
    </row>
    <row r="7755" spans="1:10" ht="15" customHeight="1" x14ac:dyDescent="0.2">
      <c r="A7755" t="s">
        <v>7879</v>
      </c>
      <c r="E7755" t="s">
        <v>349</v>
      </c>
      <c r="F7755">
        <v>126000</v>
      </c>
      <c r="H7755">
        <v>126000</v>
      </c>
    </row>
    <row r="7757" spans="1:10" ht="15" customHeight="1" x14ac:dyDescent="0.2">
      <c r="A7757" t="s">
        <v>7882</v>
      </c>
      <c r="B7757" t="s">
        <v>94</v>
      </c>
      <c r="F7757" t="s">
        <v>2430</v>
      </c>
      <c r="G7757" t="s">
        <v>2431</v>
      </c>
      <c r="H7757" t="s">
        <v>2432</v>
      </c>
      <c r="I7757" t="s">
        <v>2433</v>
      </c>
      <c r="J7757" t="s">
        <v>2434</v>
      </c>
    </row>
    <row r="7758" spans="1:10" ht="15" customHeight="1" x14ac:dyDescent="0.2">
      <c r="A7758" s="420">
        <v>45658</v>
      </c>
      <c r="B7758" t="s">
        <v>2507</v>
      </c>
      <c r="C7758" t="s">
        <v>7882</v>
      </c>
      <c r="D7758" t="s">
        <v>5501</v>
      </c>
      <c r="E7758" t="s">
        <v>5502</v>
      </c>
      <c r="G7758">
        <v>47501</v>
      </c>
      <c r="I7758">
        <v>47501</v>
      </c>
      <c r="J7758" t="s">
        <v>2511</v>
      </c>
    </row>
    <row r="7759" spans="1:10" ht="15" customHeight="1" x14ac:dyDescent="0.2">
      <c r="A7759" s="420">
        <v>45660</v>
      </c>
      <c r="B7759" t="s">
        <v>2532</v>
      </c>
      <c r="C7759" t="s">
        <v>7882</v>
      </c>
      <c r="D7759" t="s">
        <v>4297</v>
      </c>
      <c r="E7759" t="s">
        <v>4298</v>
      </c>
      <c r="F7759">
        <v>7600.15</v>
      </c>
      <c r="I7759">
        <v>39900.85</v>
      </c>
    </row>
    <row r="7760" spans="1:10" ht="15" customHeight="1" x14ac:dyDescent="0.2">
      <c r="A7760" s="420">
        <v>45698</v>
      </c>
      <c r="B7760" t="s">
        <v>2532</v>
      </c>
      <c r="C7760" t="s">
        <v>7882</v>
      </c>
      <c r="D7760" t="s">
        <v>4320</v>
      </c>
      <c r="E7760" t="s">
        <v>4321</v>
      </c>
      <c r="F7760">
        <v>7600.15</v>
      </c>
      <c r="I7760">
        <v>32300.7</v>
      </c>
    </row>
    <row r="7761" spans="1:10" ht="15" customHeight="1" x14ac:dyDescent="0.2">
      <c r="A7761" s="420">
        <v>45733</v>
      </c>
      <c r="B7761" t="s">
        <v>2532</v>
      </c>
      <c r="C7761" t="s">
        <v>7882</v>
      </c>
      <c r="D7761" t="s">
        <v>4306</v>
      </c>
      <c r="E7761" t="s">
        <v>4307</v>
      </c>
      <c r="F7761">
        <v>7600.15</v>
      </c>
      <c r="I7761">
        <v>24700.55</v>
      </c>
    </row>
    <row r="7762" spans="1:10" ht="15" customHeight="1" x14ac:dyDescent="0.2">
      <c r="A7762" s="420">
        <v>45755</v>
      </c>
      <c r="B7762" t="s">
        <v>2532</v>
      </c>
      <c r="C7762" t="s">
        <v>7882</v>
      </c>
      <c r="D7762" t="s">
        <v>4374</v>
      </c>
      <c r="E7762" t="s">
        <v>4375</v>
      </c>
      <c r="F7762">
        <v>7600.15</v>
      </c>
      <c r="I7762">
        <v>17100.400000000001</v>
      </c>
    </row>
    <row r="7763" spans="1:10" ht="15" customHeight="1" x14ac:dyDescent="0.2">
      <c r="A7763" s="420">
        <v>45796</v>
      </c>
      <c r="B7763" t="s">
        <v>2532</v>
      </c>
      <c r="C7763" t="s">
        <v>7882</v>
      </c>
      <c r="D7763" t="s">
        <v>4329</v>
      </c>
      <c r="E7763" t="s">
        <v>4330</v>
      </c>
      <c r="F7763">
        <v>7600.15</v>
      </c>
      <c r="I7763">
        <v>9500.25</v>
      </c>
    </row>
    <row r="7764" spans="1:10" ht="15" customHeight="1" x14ac:dyDescent="0.2">
      <c r="A7764" s="420">
        <v>45820</v>
      </c>
      <c r="B7764" t="s">
        <v>2532</v>
      </c>
      <c r="C7764" t="s">
        <v>7882</v>
      </c>
      <c r="D7764" t="s">
        <v>4359</v>
      </c>
      <c r="E7764" t="s">
        <v>4360</v>
      </c>
      <c r="F7764">
        <v>7828.15</v>
      </c>
      <c r="I7764">
        <v>1672.1</v>
      </c>
    </row>
    <row r="7765" spans="1:10" ht="15" customHeight="1" x14ac:dyDescent="0.2">
      <c r="A7765" s="420">
        <v>45832</v>
      </c>
      <c r="B7765" t="s">
        <v>2547</v>
      </c>
      <c r="C7765" t="s">
        <v>7882</v>
      </c>
      <c r="D7765" t="s">
        <v>4393</v>
      </c>
      <c r="E7765" t="s">
        <v>4394</v>
      </c>
      <c r="F7765">
        <v>7828.15</v>
      </c>
      <c r="H7765">
        <v>6156.05</v>
      </c>
    </row>
    <row r="7766" spans="1:10" ht="15" customHeight="1" x14ac:dyDescent="0.2">
      <c r="A7766" s="420">
        <v>45832</v>
      </c>
      <c r="B7766" t="s">
        <v>2547</v>
      </c>
      <c r="C7766" t="s">
        <v>7882</v>
      </c>
      <c r="D7766" t="s">
        <v>4412</v>
      </c>
      <c r="E7766" t="s">
        <v>4413</v>
      </c>
      <c r="F7766">
        <v>7828.15</v>
      </c>
      <c r="H7766">
        <v>13984.2</v>
      </c>
    </row>
    <row r="7767" spans="1:10" ht="15" customHeight="1" x14ac:dyDescent="0.2">
      <c r="A7767" s="420">
        <v>45838</v>
      </c>
      <c r="B7767" t="s">
        <v>2535</v>
      </c>
      <c r="C7767" t="s">
        <v>7882</v>
      </c>
      <c r="D7767" t="s">
        <v>5522</v>
      </c>
      <c r="E7767" t="s">
        <v>5523</v>
      </c>
      <c r="F7767">
        <v>54615</v>
      </c>
      <c r="H7767">
        <v>68599.199999999997</v>
      </c>
      <c r="J7767" t="s">
        <v>2509</v>
      </c>
    </row>
    <row r="7768" spans="1:10" ht="15" customHeight="1" x14ac:dyDescent="0.2">
      <c r="A7768" s="420">
        <v>45839</v>
      </c>
      <c r="B7768" t="s">
        <v>2535</v>
      </c>
      <c r="C7768" t="s">
        <v>7882</v>
      </c>
      <c r="D7768" t="s">
        <v>5522</v>
      </c>
      <c r="E7768" t="s">
        <v>5527</v>
      </c>
      <c r="G7768">
        <v>54615</v>
      </c>
      <c r="H7768">
        <v>13984.2</v>
      </c>
      <c r="J7768" t="s">
        <v>2509</v>
      </c>
    </row>
    <row r="7769" spans="1:10" ht="15" customHeight="1" x14ac:dyDescent="0.2">
      <c r="A7769" s="420">
        <v>45853</v>
      </c>
      <c r="B7769" t="s">
        <v>2532</v>
      </c>
      <c r="C7769" t="s">
        <v>7882</v>
      </c>
      <c r="D7769" t="s">
        <v>4340</v>
      </c>
      <c r="E7769" t="s">
        <v>4341</v>
      </c>
      <c r="F7769">
        <v>7600.15</v>
      </c>
      <c r="H7769">
        <v>21584.35</v>
      </c>
    </row>
    <row r="7770" spans="1:10" ht="15" customHeight="1" x14ac:dyDescent="0.2">
      <c r="A7770" s="420">
        <v>45861</v>
      </c>
      <c r="B7770" t="s">
        <v>2532</v>
      </c>
      <c r="C7770" t="s">
        <v>7882</v>
      </c>
      <c r="D7770" t="s">
        <v>4426</v>
      </c>
      <c r="E7770" t="s">
        <v>4427</v>
      </c>
      <c r="F7770">
        <v>7828.15</v>
      </c>
      <c r="H7770">
        <v>29412.5</v>
      </c>
    </row>
    <row r="7771" spans="1:10" ht="15" customHeight="1" x14ac:dyDescent="0.2">
      <c r="A7771" s="420">
        <v>45922</v>
      </c>
      <c r="B7771" t="s">
        <v>2532</v>
      </c>
      <c r="C7771" t="s">
        <v>7882</v>
      </c>
      <c r="D7771" t="s">
        <v>4446</v>
      </c>
      <c r="E7771" t="s">
        <v>4447</v>
      </c>
      <c r="F7771">
        <v>7828.15</v>
      </c>
      <c r="H7771">
        <v>37240.65</v>
      </c>
    </row>
    <row r="7772" spans="1:10" ht="15" customHeight="1" x14ac:dyDescent="0.2">
      <c r="A7772" s="420">
        <v>45944</v>
      </c>
      <c r="B7772" t="s">
        <v>2532</v>
      </c>
      <c r="C7772" t="s">
        <v>7882</v>
      </c>
      <c r="D7772" t="s">
        <v>4516</v>
      </c>
      <c r="E7772" t="s">
        <v>4517</v>
      </c>
      <c r="F7772">
        <v>7828.15</v>
      </c>
      <c r="H7772">
        <v>45068.800000000003</v>
      </c>
    </row>
    <row r="7773" spans="1:10" ht="15" customHeight="1" x14ac:dyDescent="0.2">
      <c r="A7773" s="420">
        <v>45965</v>
      </c>
      <c r="B7773" t="s">
        <v>2532</v>
      </c>
      <c r="C7773" t="s">
        <v>7882</v>
      </c>
      <c r="D7773" t="s">
        <v>4464</v>
      </c>
      <c r="E7773" t="s">
        <v>4465</v>
      </c>
      <c r="F7773">
        <v>7828.15</v>
      </c>
      <c r="H7773">
        <v>52896.95</v>
      </c>
    </row>
    <row r="7774" spans="1:10" ht="15" customHeight="1" x14ac:dyDescent="0.2">
      <c r="A7774" s="420">
        <v>45991</v>
      </c>
      <c r="B7774" t="s">
        <v>2532</v>
      </c>
      <c r="C7774" t="s">
        <v>7882</v>
      </c>
      <c r="D7774" t="s">
        <v>4480</v>
      </c>
      <c r="E7774" t="s">
        <v>4481</v>
      </c>
      <c r="F7774">
        <v>7828.15</v>
      </c>
      <c r="H7774">
        <v>60725.1</v>
      </c>
    </row>
    <row r="7775" spans="1:10" ht="15" customHeight="1" x14ac:dyDescent="0.2">
      <c r="A7775" s="420">
        <v>46008</v>
      </c>
      <c r="B7775" t="s">
        <v>2532</v>
      </c>
      <c r="C7775" t="s">
        <v>7882</v>
      </c>
      <c r="D7775" t="s">
        <v>4499</v>
      </c>
      <c r="E7775" t="s">
        <v>4500</v>
      </c>
      <c r="F7775">
        <v>7828.15</v>
      </c>
      <c r="H7775">
        <v>68553.25</v>
      </c>
    </row>
    <row r="7776" spans="1:10" ht="15" customHeight="1" x14ac:dyDescent="0.2">
      <c r="A7776" s="420">
        <v>46022</v>
      </c>
      <c r="B7776" t="s">
        <v>2507</v>
      </c>
      <c r="C7776" t="s">
        <v>7882</v>
      </c>
      <c r="D7776" t="s">
        <v>5533</v>
      </c>
      <c r="E7776" t="s">
        <v>5533</v>
      </c>
      <c r="F7776">
        <v>89632</v>
      </c>
      <c r="H7776">
        <v>158185.25</v>
      </c>
      <c r="J7776" t="s">
        <v>2511</v>
      </c>
    </row>
    <row r="7777" spans="1:10" ht="15" customHeight="1" x14ac:dyDescent="0.2">
      <c r="A7777" t="s">
        <v>7882</v>
      </c>
      <c r="E7777" t="s">
        <v>349</v>
      </c>
      <c r="F7777">
        <v>260301.25</v>
      </c>
      <c r="G7777">
        <v>102116</v>
      </c>
      <c r="H7777">
        <v>158185.25</v>
      </c>
    </row>
    <row r="7779" spans="1:10" ht="15" customHeight="1" x14ac:dyDescent="0.2">
      <c r="A7779" t="s">
        <v>1066</v>
      </c>
      <c r="B7779" t="s">
        <v>1067</v>
      </c>
      <c r="F7779" t="s">
        <v>2430</v>
      </c>
      <c r="G7779" t="s">
        <v>2431</v>
      </c>
      <c r="H7779" t="s">
        <v>2432</v>
      </c>
      <c r="I7779" t="s">
        <v>2433</v>
      </c>
      <c r="J7779" t="s">
        <v>2434</v>
      </c>
    </row>
    <row r="7780" spans="1:10" ht="15" customHeight="1" x14ac:dyDescent="0.2">
      <c r="A7780" s="420">
        <v>45658</v>
      </c>
      <c r="B7780" t="s">
        <v>2507</v>
      </c>
      <c r="C7780" t="s">
        <v>1066</v>
      </c>
      <c r="D7780" t="s">
        <v>5491</v>
      </c>
      <c r="E7780" t="s">
        <v>1068</v>
      </c>
      <c r="G7780">
        <v>726.64</v>
      </c>
      <c r="I7780">
        <v>726.64</v>
      </c>
      <c r="J7780" t="s">
        <v>2511</v>
      </c>
    </row>
    <row r="7781" spans="1:10" ht="15" customHeight="1" x14ac:dyDescent="0.2">
      <c r="A7781" s="420">
        <v>45688</v>
      </c>
      <c r="B7781" t="s">
        <v>2532</v>
      </c>
      <c r="C7781" t="s">
        <v>1066</v>
      </c>
      <c r="D7781" t="s">
        <v>2675</v>
      </c>
      <c r="E7781" t="s">
        <v>1079</v>
      </c>
      <c r="F7781">
        <v>321.67</v>
      </c>
      <c r="I7781">
        <v>404.97</v>
      </c>
    </row>
    <row r="7782" spans="1:10" ht="15" customHeight="1" x14ac:dyDescent="0.2">
      <c r="A7782" s="420">
        <v>45716</v>
      </c>
      <c r="B7782" t="s">
        <v>2532</v>
      </c>
      <c r="C7782" t="s">
        <v>1066</v>
      </c>
      <c r="D7782" t="s">
        <v>2680</v>
      </c>
      <c r="E7782" t="s">
        <v>1085</v>
      </c>
      <c r="F7782">
        <v>900</v>
      </c>
      <c r="H7782">
        <v>495.03</v>
      </c>
    </row>
    <row r="7783" spans="1:10" ht="15" customHeight="1" x14ac:dyDescent="0.2">
      <c r="A7783" s="420">
        <v>45716</v>
      </c>
      <c r="B7783" t="s">
        <v>2532</v>
      </c>
      <c r="C7783" t="s">
        <v>1066</v>
      </c>
      <c r="D7783" t="s">
        <v>2681</v>
      </c>
      <c r="E7783" t="s">
        <v>1086</v>
      </c>
      <c r="F7783">
        <v>321.67</v>
      </c>
      <c r="H7783">
        <v>816.7</v>
      </c>
    </row>
    <row r="7784" spans="1:10" ht="15" customHeight="1" x14ac:dyDescent="0.2">
      <c r="A7784" s="420">
        <v>45716</v>
      </c>
      <c r="B7784" t="s">
        <v>2532</v>
      </c>
      <c r="C7784" t="s">
        <v>1066</v>
      </c>
      <c r="D7784" t="s">
        <v>2682</v>
      </c>
      <c r="E7784" t="s">
        <v>1087</v>
      </c>
      <c r="F7784">
        <v>268</v>
      </c>
      <c r="H7784">
        <v>1084.7</v>
      </c>
    </row>
    <row r="7785" spans="1:10" ht="15" customHeight="1" x14ac:dyDescent="0.2">
      <c r="A7785" s="420">
        <v>45747</v>
      </c>
      <c r="B7785" t="s">
        <v>2532</v>
      </c>
      <c r="C7785" t="s">
        <v>1066</v>
      </c>
      <c r="D7785" t="s">
        <v>2691</v>
      </c>
      <c r="E7785" t="s">
        <v>1093</v>
      </c>
      <c r="F7785">
        <v>83.3</v>
      </c>
      <c r="H7785">
        <v>1168</v>
      </c>
    </row>
    <row r="7786" spans="1:10" ht="15" customHeight="1" x14ac:dyDescent="0.2">
      <c r="A7786" s="420">
        <v>45808</v>
      </c>
      <c r="B7786" t="s">
        <v>2532</v>
      </c>
      <c r="C7786" t="s">
        <v>1066</v>
      </c>
      <c r="D7786" t="s">
        <v>2702</v>
      </c>
      <c r="E7786" t="s">
        <v>1105</v>
      </c>
      <c r="F7786">
        <v>592</v>
      </c>
      <c r="H7786">
        <v>1760</v>
      </c>
    </row>
    <row r="7787" spans="1:10" ht="15" customHeight="1" x14ac:dyDescent="0.2">
      <c r="A7787" s="420">
        <v>45838</v>
      </c>
      <c r="B7787" t="s">
        <v>2547</v>
      </c>
      <c r="C7787" t="s">
        <v>1066</v>
      </c>
      <c r="D7787" t="s">
        <v>2711</v>
      </c>
      <c r="E7787" t="s">
        <v>1106</v>
      </c>
      <c r="F7787">
        <v>592</v>
      </c>
      <c r="H7787">
        <v>2352</v>
      </c>
    </row>
    <row r="7788" spans="1:10" ht="15" customHeight="1" x14ac:dyDescent="0.2">
      <c r="A7788" s="420">
        <v>45838</v>
      </c>
      <c r="B7788" t="s">
        <v>2535</v>
      </c>
      <c r="C7788" t="s">
        <v>1066</v>
      </c>
      <c r="D7788" t="s">
        <v>5511</v>
      </c>
      <c r="E7788" t="s">
        <v>1107</v>
      </c>
      <c r="F7788">
        <v>2081</v>
      </c>
      <c r="H7788">
        <v>4433</v>
      </c>
      <c r="J7788" t="s">
        <v>2509</v>
      </c>
    </row>
    <row r="7789" spans="1:10" ht="15" customHeight="1" x14ac:dyDescent="0.2">
      <c r="A7789" s="420">
        <v>45839</v>
      </c>
      <c r="B7789" t="s">
        <v>2535</v>
      </c>
      <c r="C7789" t="s">
        <v>1066</v>
      </c>
      <c r="D7789" t="s">
        <v>5511</v>
      </c>
      <c r="E7789" t="s">
        <v>1118</v>
      </c>
      <c r="G7789">
        <v>2081</v>
      </c>
      <c r="H7789">
        <v>2352</v>
      </c>
      <c r="J7789" t="s">
        <v>2509</v>
      </c>
    </row>
    <row r="7790" spans="1:10" ht="15" customHeight="1" x14ac:dyDescent="0.2">
      <c r="A7790" s="420">
        <v>45869</v>
      </c>
      <c r="B7790" t="s">
        <v>2532</v>
      </c>
      <c r="C7790" t="s">
        <v>1066</v>
      </c>
      <c r="D7790" t="s">
        <v>2714</v>
      </c>
      <c r="E7790" t="s">
        <v>1133</v>
      </c>
      <c r="F7790">
        <v>592</v>
      </c>
      <c r="H7790">
        <v>2944</v>
      </c>
    </row>
    <row r="7791" spans="1:10" ht="15" customHeight="1" x14ac:dyDescent="0.2">
      <c r="A7791" s="420">
        <v>45900</v>
      </c>
      <c r="B7791" t="s">
        <v>2532</v>
      </c>
      <c r="C7791" t="s">
        <v>1066</v>
      </c>
      <c r="D7791" t="s">
        <v>2718</v>
      </c>
      <c r="E7791" t="s">
        <v>1134</v>
      </c>
      <c r="F7791">
        <v>592</v>
      </c>
      <c r="H7791">
        <v>3536</v>
      </c>
    </row>
    <row r="7792" spans="1:10" ht="15" customHeight="1" x14ac:dyDescent="0.2">
      <c r="A7792" s="420">
        <v>45930</v>
      </c>
      <c r="B7792" t="s">
        <v>2532</v>
      </c>
      <c r="C7792" t="s">
        <v>1066</v>
      </c>
      <c r="D7792" t="s">
        <v>2724</v>
      </c>
      <c r="E7792" t="s">
        <v>1139</v>
      </c>
      <c r="F7792">
        <v>592</v>
      </c>
      <c r="H7792">
        <v>4128</v>
      </c>
    </row>
    <row r="7793" spans="1:10" ht="15" customHeight="1" x14ac:dyDescent="0.2">
      <c r="A7793" s="420">
        <v>45930</v>
      </c>
      <c r="B7793" t="s">
        <v>2532</v>
      </c>
      <c r="C7793" t="s">
        <v>1066</v>
      </c>
      <c r="D7793" t="s">
        <v>2726</v>
      </c>
      <c r="E7793" t="s">
        <v>1140</v>
      </c>
      <c r="F7793">
        <v>1350</v>
      </c>
      <c r="H7793">
        <v>5478</v>
      </c>
    </row>
    <row r="7794" spans="1:10" ht="15" customHeight="1" x14ac:dyDescent="0.2">
      <c r="A7794" s="420">
        <v>45961</v>
      </c>
      <c r="B7794" t="s">
        <v>2532</v>
      </c>
      <c r="C7794" t="s">
        <v>1066</v>
      </c>
      <c r="D7794" t="s">
        <v>2738</v>
      </c>
      <c r="E7794" t="s">
        <v>1150</v>
      </c>
      <c r="F7794">
        <v>592</v>
      </c>
      <c r="H7794">
        <v>6070</v>
      </c>
    </row>
    <row r="7795" spans="1:10" ht="15" customHeight="1" x14ac:dyDescent="0.2">
      <c r="A7795" s="420">
        <v>45991</v>
      </c>
      <c r="B7795" t="s">
        <v>2532</v>
      </c>
      <c r="C7795" t="s">
        <v>1066</v>
      </c>
      <c r="D7795" t="s">
        <v>2742</v>
      </c>
      <c r="E7795" t="s">
        <v>1151</v>
      </c>
      <c r="F7795">
        <v>592</v>
      </c>
      <c r="H7795">
        <v>6662</v>
      </c>
    </row>
    <row r="7796" spans="1:10" ht="15" customHeight="1" x14ac:dyDescent="0.2">
      <c r="A7796" s="420">
        <v>46022</v>
      </c>
      <c r="B7796" t="s">
        <v>2532</v>
      </c>
      <c r="C7796" t="s">
        <v>1066</v>
      </c>
      <c r="D7796" t="s">
        <v>2749</v>
      </c>
      <c r="E7796" t="s">
        <v>1152</v>
      </c>
      <c r="F7796">
        <v>36</v>
      </c>
      <c r="H7796">
        <v>6698</v>
      </c>
    </row>
    <row r="7797" spans="1:10" ht="15" customHeight="1" x14ac:dyDescent="0.2">
      <c r="A7797" s="420">
        <v>46022</v>
      </c>
      <c r="B7797" t="s">
        <v>2532</v>
      </c>
      <c r="C7797" t="s">
        <v>1066</v>
      </c>
      <c r="D7797" t="s">
        <v>2749</v>
      </c>
      <c r="E7797" t="s">
        <v>1153</v>
      </c>
      <c r="F7797">
        <v>556</v>
      </c>
      <c r="H7797">
        <v>7254</v>
      </c>
    </row>
    <row r="7798" spans="1:10" ht="15" customHeight="1" x14ac:dyDescent="0.2">
      <c r="A7798" s="420">
        <v>46022</v>
      </c>
      <c r="B7798" t="s">
        <v>2507</v>
      </c>
      <c r="C7798" t="s">
        <v>1066</v>
      </c>
      <c r="D7798" t="s">
        <v>5531</v>
      </c>
      <c r="E7798" t="s">
        <v>1154</v>
      </c>
      <c r="F7798">
        <v>1794</v>
      </c>
      <c r="H7798">
        <v>9048</v>
      </c>
    </row>
    <row r="7799" spans="1:10" ht="15" customHeight="1" x14ac:dyDescent="0.2">
      <c r="A7799" t="s">
        <v>1066</v>
      </c>
      <c r="E7799" t="s">
        <v>349</v>
      </c>
      <c r="F7799">
        <v>11855.64</v>
      </c>
      <c r="G7799">
        <v>2807.64</v>
      </c>
      <c r="H7799">
        <v>9048</v>
      </c>
    </row>
    <row r="7801" spans="1:10" ht="15" customHeight="1" x14ac:dyDescent="0.2">
      <c r="A7801" t="s">
        <v>1094</v>
      </c>
      <c r="B7801" t="s">
        <v>1095</v>
      </c>
      <c r="F7801" t="s">
        <v>2430</v>
      </c>
      <c r="G7801" t="s">
        <v>2431</v>
      </c>
      <c r="H7801" t="s">
        <v>2432</v>
      </c>
      <c r="I7801" t="s">
        <v>2433</v>
      </c>
      <c r="J7801" t="s">
        <v>2434</v>
      </c>
    </row>
    <row r="7802" spans="1:10" ht="15" customHeight="1" x14ac:dyDescent="0.2">
      <c r="A7802" s="420">
        <v>45747</v>
      </c>
      <c r="B7802" t="s">
        <v>2532</v>
      </c>
      <c r="C7802" t="s">
        <v>1094</v>
      </c>
      <c r="D7802" t="s">
        <v>2689</v>
      </c>
      <c r="E7802" t="s">
        <v>1096</v>
      </c>
      <c r="F7802">
        <v>393.9</v>
      </c>
      <c r="H7802">
        <v>393.9</v>
      </c>
    </row>
    <row r="7803" spans="1:10" ht="15" customHeight="1" x14ac:dyDescent="0.2">
      <c r="A7803" s="420">
        <v>45838</v>
      </c>
      <c r="B7803" t="s">
        <v>2547</v>
      </c>
      <c r="C7803" t="s">
        <v>1094</v>
      </c>
      <c r="D7803" t="s">
        <v>2709</v>
      </c>
      <c r="E7803" t="s">
        <v>1108</v>
      </c>
      <c r="F7803">
        <v>294.39999999999998</v>
      </c>
      <c r="H7803">
        <v>688.3</v>
      </c>
    </row>
    <row r="7804" spans="1:10" ht="15" customHeight="1" x14ac:dyDescent="0.2">
      <c r="A7804" s="420">
        <v>45930</v>
      </c>
      <c r="B7804" t="s">
        <v>2532</v>
      </c>
      <c r="C7804" t="s">
        <v>1094</v>
      </c>
      <c r="D7804" t="s">
        <v>2728</v>
      </c>
      <c r="E7804" t="s">
        <v>1141</v>
      </c>
      <c r="F7804">
        <v>417.2</v>
      </c>
      <c r="H7804">
        <v>1105.5</v>
      </c>
    </row>
    <row r="7805" spans="1:10" ht="15" customHeight="1" x14ac:dyDescent="0.2">
      <c r="A7805" s="420">
        <v>45930</v>
      </c>
      <c r="B7805" t="s">
        <v>2532</v>
      </c>
      <c r="C7805" t="s">
        <v>1094</v>
      </c>
      <c r="D7805" t="s">
        <v>2730</v>
      </c>
      <c r="E7805" t="s">
        <v>1142</v>
      </c>
      <c r="F7805">
        <v>620</v>
      </c>
      <c r="H7805">
        <v>1725.5</v>
      </c>
    </row>
    <row r="7806" spans="1:10" ht="15" customHeight="1" x14ac:dyDescent="0.2">
      <c r="A7806" s="420">
        <v>46022</v>
      </c>
      <c r="B7806" t="s">
        <v>2532</v>
      </c>
      <c r="C7806" t="s">
        <v>1094</v>
      </c>
      <c r="D7806" t="s">
        <v>2748</v>
      </c>
      <c r="E7806" t="s">
        <v>1155</v>
      </c>
      <c r="F7806">
        <v>482.5</v>
      </c>
      <c r="H7806">
        <v>2208</v>
      </c>
    </row>
    <row r="7807" spans="1:10" ht="15" customHeight="1" x14ac:dyDescent="0.2">
      <c r="A7807" t="s">
        <v>1094</v>
      </c>
      <c r="E7807" t="s">
        <v>349</v>
      </c>
      <c r="F7807">
        <v>2208</v>
      </c>
      <c r="H7807">
        <v>2208</v>
      </c>
    </row>
    <row r="7809" spans="1:10" ht="15" customHeight="1" x14ac:dyDescent="0.2">
      <c r="A7809" t="s">
        <v>1069</v>
      </c>
      <c r="B7809" t="s">
        <v>1070</v>
      </c>
      <c r="F7809" t="s">
        <v>2430</v>
      </c>
      <c r="G7809" t="s">
        <v>2431</v>
      </c>
      <c r="H7809" t="s">
        <v>2432</v>
      </c>
      <c r="I7809" t="s">
        <v>2433</v>
      </c>
      <c r="J7809" t="s">
        <v>2434</v>
      </c>
    </row>
    <row r="7810" spans="1:10" ht="15" customHeight="1" x14ac:dyDescent="0.2">
      <c r="A7810" s="420">
        <v>45658</v>
      </c>
      <c r="B7810" t="s">
        <v>2507</v>
      </c>
      <c r="C7810" t="s">
        <v>1069</v>
      </c>
      <c r="D7810" t="s">
        <v>5492</v>
      </c>
      <c r="E7810" t="s">
        <v>1071</v>
      </c>
      <c r="G7810">
        <v>560</v>
      </c>
      <c r="I7810">
        <v>560</v>
      </c>
      <c r="J7810" t="s">
        <v>2511</v>
      </c>
    </row>
    <row r="7811" spans="1:10" ht="15" customHeight="1" x14ac:dyDescent="0.2">
      <c r="A7811" s="420">
        <v>45747</v>
      </c>
      <c r="B7811" t="s">
        <v>2532</v>
      </c>
      <c r="C7811" t="s">
        <v>1069</v>
      </c>
      <c r="D7811" t="s">
        <v>2691</v>
      </c>
      <c r="E7811" t="s">
        <v>1093</v>
      </c>
      <c r="F7811">
        <v>238.37</v>
      </c>
      <c r="I7811">
        <v>321.63</v>
      </c>
    </row>
    <row r="7812" spans="1:10" ht="15" customHeight="1" x14ac:dyDescent="0.2">
      <c r="A7812" s="420">
        <v>45777</v>
      </c>
      <c r="B7812" t="s">
        <v>2532</v>
      </c>
      <c r="C7812" t="s">
        <v>1069</v>
      </c>
      <c r="D7812" t="s">
        <v>2699</v>
      </c>
      <c r="E7812" t="s">
        <v>1103</v>
      </c>
      <c r="F7812">
        <v>321.63</v>
      </c>
    </row>
    <row r="7813" spans="1:10" ht="15" customHeight="1" x14ac:dyDescent="0.2">
      <c r="A7813" s="420">
        <v>45838</v>
      </c>
      <c r="B7813" t="s">
        <v>2535</v>
      </c>
      <c r="C7813" t="s">
        <v>1069</v>
      </c>
      <c r="D7813" t="s">
        <v>5512</v>
      </c>
      <c r="E7813" t="s">
        <v>1109</v>
      </c>
      <c r="F7813">
        <v>285</v>
      </c>
      <c r="H7813">
        <v>285</v>
      </c>
      <c r="J7813" t="s">
        <v>2509</v>
      </c>
    </row>
    <row r="7814" spans="1:10" ht="15" customHeight="1" x14ac:dyDescent="0.2">
      <c r="A7814" s="420">
        <v>45839</v>
      </c>
      <c r="B7814" t="s">
        <v>2535</v>
      </c>
      <c r="C7814" t="s">
        <v>1069</v>
      </c>
      <c r="D7814" t="s">
        <v>5512</v>
      </c>
      <c r="E7814" t="s">
        <v>1119</v>
      </c>
      <c r="G7814">
        <v>285</v>
      </c>
      <c r="J7814" t="s">
        <v>2509</v>
      </c>
    </row>
    <row r="7815" spans="1:10" ht="15" customHeight="1" x14ac:dyDescent="0.2">
      <c r="A7815" s="420">
        <v>46022</v>
      </c>
      <c r="B7815" t="s">
        <v>2507</v>
      </c>
      <c r="C7815" t="s">
        <v>1069</v>
      </c>
      <c r="D7815" t="s">
        <v>5529</v>
      </c>
      <c r="E7815" t="s">
        <v>1156</v>
      </c>
      <c r="F7815">
        <v>570</v>
      </c>
      <c r="H7815">
        <v>570</v>
      </c>
    </row>
    <row r="7816" spans="1:10" ht="15" customHeight="1" x14ac:dyDescent="0.2">
      <c r="A7816" t="s">
        <v>1069</v>
      </c>
      <c r="E7816" t="s">
        <v>349</v>
      </c>
      <c r="F7816">
        <v>1415</v>
      </c>
      <c r="G7816">
        <v>845</v>
      </c>
      <c r="H7816">
        <v>570</v>
      </c>
    </row>
    <row r="7818" spans="1:10" ht="15" customHeight="1" x14ac:dyDescent="0.2">
      <c r="A7818" t="s">
        <v>1097</v>
      </c>
      <c r="B7818" t="s">
        <v>1098</v>
      </c>
      <c r="F7818" t="s">
        <v>2430</v>
      </c>
      <c r="G7818" t="s">
        <v>2431</v>
      </c>
      <c r="H7818" t="s">
        <v>2432</v>
      </c>
      <c r="I7818" t="s">
        <v>2433</v>
      </c>
      <c r="J7818" t="s">
        <v>2434</v>
      </c>
    </row>
    <row r="7819" spans="1:10" ht="15" customHeight="1" x14ac:dyDescent="0.2">
      <c r="A7819" s="420">
        <v>45747</v>
      </c>
      <c r="B7819" t="s">
        <v>2532</v>
      </c>
      <c r="C7819" t="s">
        <v>1097</v>
      </c>
      <c r="D7819" t="s">
        <v>2690</v>
      </c>
      <c r="E7819" t="s">
        <v>1099</v>
      </c>
      <c r="F7819">
        <v>230</v>
      </c>
      <c r="H7819">
        <v>230</v>
      </c>
    </row>
    <row r="7820" spans="1:10" ht="15" customHeight="1" x14ac:dyDescent="0.2">
      <c r="A7820" s="420">
        <v>45777</v>
      </c>
      <c r="B7820" t="s">
        <v>2532</v>
      </c>
      <c r="C7820" t="s">
        <v>1097</v>
      </c>
      <c r="D7820" t="s">
        <v>2698</v>
      </c>
      <c r="E7820" t="s">
        <v>1104</v>
      </c>
      <c r="F7820">
        <v>800</v>
      </c>
      <c r="H7820">
        <v>1030</v>
      </c>
    </row>
    <row r="7821" spans="1:10" ht="15" customHeight="1" x14ac:dyDescent="0.2">
      <c r="A7821" s="420">
        <v>45838</v>
      </c>
      <c r="B7821" t="s">
        <v>2535</v>
      </c>
      <c r="C7821" t="s">
        <v>1097</v>
      </c>
      <c r="D7821" t="s">
        <v>5513</v>
      </c>
      <c r="E7821" t="s">
        <v>1110</v>
      </c>
      <c r="F7821">
        <v>1350</v>
      </c>
      <c r="H7821">
        <v>2380</v>
      </c>
      <c r="J7821" t="s">
        <v>2511</v>
      </c>
    </row>
    <row r="7822" spans="1:10" ht="15" customHeight="1" x14ac:dyDescent="0.2">
      <c r="A7822" s="420">
        <v>45839</v>
      </c>
      <c r="B7822" t="s">
        <v>2535</v>
      </c>
      <c r="C7822" t="s">
        <v>1097</v>
      </c>
      <c r="D7822" t="s">
        <v>5513</v>
      </c>
      <c r="E7822" t="s">
        <v>1120</v>
      </c>
      <c r="G7822">
        <v>1350</v>
      </c>
      <c r="H7822">
        <v>1030</v>
      </c>
      <c r="J7822" t="s">
        <v>2511</v>
      </c>
    </row>
    <row r="7823" spans="1:10" ht="15" customHeight="1" x14ac:dyDescent="0.2">
      <c r="A7823" s="420">
        <v>45867</v>
      </c>
      <c r="B7823" t="s">
        <v>2532</v>
      </c>
      <c r="C7823" t="s">
        <v>1097</v>
      </c>
      <c r="D7823" t="s">
        <v>4687</v>
      </c>
      <c r="E7823" t="s">
        <v>1122</v>
      </c>
      <c r="F7823">
        <v>600</v>
      </c>
      <c r="H7823">
        <v>1630</v>
      </c>
    </row>
    <row r="7824" spans="1:10" ht="15" customHeight="1" x14ac:dyDescent="0.2">
      <c r="A7824" t="s">
        <v>1097</v>
      </c>
      <c r="E7824" t="s">
        <v>349</v>
      </c>
      <c r="F7824">
        <v>2980</v>
      </c>
      <c r="G7824">
        <v>1350</v>
      </c>
      <c r="H7824">
        <v>1630</v>
      </c>
    </row>
    <row r="7826" spans="1:10" ht="15" customHeight="1" x14ac:dyDescent="0.2">
      <c r="A7826" t="s">
        <v>1072</v>
      </c>
      <c r="B7826" t="s">
        <v>1073</v>
      </c>
      <c r="F7826" t="s">
        <v>2430</v>
      </c>
      <c r="G7826" t="s">
        <v>2431</v>
      </c>
      <c r="H7826" t="s">
        <v>2432</v>
      </c>
      <c r="I7826" t="s">
        <v>2433</v>
      </c>
      <c r="J7826" t="s">
        <v>2434</v>
      </c>
    </row>
    <row r="7827" spans="1:10" ht="15" customHeight="1" x14ac:dyDescent="0.2">
      <c r="A7827" s="420">
        <v>45663</v>
      </c>
      <c r="B7827" t="s">
        <v>2532</v>
      </c>
      <c r="C7827" t="s">
        <v>1072</v>
      </c>
      <c r="D7827" t="s">
        <v>4117</v>
      </c>
      <c r="E7827" t="s">
        <v>1074</v>
      </c>
      <c r="F7827">
        <v>108</v>
      </c>
      <c r="H7827">
        <v>108</v>
      </c>
    </row>
    <row r="7828" spans="1:10" ht="15" customHeight="1" x14ac:dyDescent="0.2">
      <c r="A7828" s="420">
        <v>45723</v>
      </c>
      <c r="B7828" t="s">
        <v>2532</v>
      </c>
      <c r="C7828" t="s">
        <v>1072</v>
      </c>
      <c r="D7828" t="s">
        <v>3614</v>
      </c>
      <c r="E7828" t="s">
        <v>1089</v>
      </c>
      <c r="F7828">
        <v>11.81</v>
      </c>
      <c r="H7828">
        <v>119.81</v>
      </c>
    </row>
    <row r="7829" spans="1:10" ht="15" customHeight="1" x14ac:dyDescent="0.2">
      <c r="A7829" s="420">
        <v>45723</v>
      </c>
      <c r="B7829" t="s">
        <v>2532</v>
      </c>
      <c r="C7829" t="s">
        <v>1072</v>
      </c>
      <c r="D7829" t="s">
        <v>3614</v>
      </c>
      <c r="E7829" t="s">
        <v>1090</v>
      </c>
      <c r="F7829">
        <v>30.45</v>
      </c>
      <c r="H7829">
        <v>150.26</v>
      </c>
    </row>
    <row r="7830" spans="1:10" ht="15" customHeight="1" x14ac:dyDescent="0.2">
      <c r="A7830" s="420">
        <v>45747</v>
      </c>
      <c r="B7830" t="s">
        <v>2532</v>
      </c>
      <c r="C7830" t="s">
        <v>1072</v>
      </c>
      <c r="D7830" t="s">
        <v>2690</v>
      </c>
      <c r="E7830" t="s">
        <v>1099</v>
      </c>
      <c r="F7830">
        <v>62.64</v>
      </c>
      <c r="H7830">
        <v>212.9</v>
      </c>
    </row>
    <row r="7831" spans="1:10" ht="15" customHeight="1" x14ac:dyDescent="0.2">
      <c r="A7831" t="s">
        <v>1072</v>
      </c>
      <c r="E7831" t="s">
        <v>349</v>
      </c>
      <c r="F7831">
        <v>212.9</v>
      </c>
      <c r="H7831">
        <v>212.9</v>
      </c>
    </row>
    <row r="7833" spans="1:10" ht="15" customHeight="1" x14ac:dyDescent="0.2">
      <c r="A7833" t="s">
        <v>850</v>
      </c>
      <c r="B7833" t="s">
        <v>851</v>
      </c>
      <c r="F7833" t="s">
        <v>2430</v>
      </c>
      <c r="G7833" t="s">
        <v>2431</v>
      </c>
      <c r="H7833" t="s">
        <v>2432</v>
      </c>
      <c r="I7833" t="s">
        <v>2433</v>
      </c>
      <c r="J7833" t="s">
        <v>2434</v>
      </c>
    </row>
    <row r="7834" spans="1:10" ht="15" customHeight="1" x14ac:dyDescent="0.2">
      <c r="A7834" s="420">
        <v>45839</v>
      </c>
      <c r="B7834" t="s">
        <v>2547</v>
      </c>
      <c r="C7834" t="s">
        <v>850</v>
      </c>
      <c r="D7834" t="s">
        <v>4822</v>
      </c>
      <c r="E7834" t="s">
        <v>852</v>
      </c>
      <c r="F7834">
        <v>2000</v>
      </c>
      <c r="H7834">
        <v>2000</v>
      </c>
    </row>
    <row r="7835" spans="1:10" ht="15" customHeight="1" x14ac:dyDescent="0.2">
      <c r="A7835" s="420">
        <v>45839</v>
      </c>
      <c r="B7835" t="s">
        <v>2547</v>
      </c>
      <c r="C7835" t="s">
        <v>850</v>
      </c>
      <c r="D7835" t="s">
        <v>4824</v>
      </c>
      <c r="E7835" t="s">
        <v>853</v>
      </c>
      <c r="F7835">
        <v>3000</v>
      </c>
      <c r="H7835">
        <v>5000</v>
      </c>
    </row>
    <row r="7836" spans="1:10" ht="15" customHeight="1" x14ac:dyDescent="0.2">
      <c r="A7836" s="420">
        <v>45877</v>
      </c>
      <c r="B7836" t="s">
        <v>2532</v>
      </c>
      <c r="C7836" t="s">
        <v>850</v>
      </c>
      <c r="D7836" t="s">
        <v>5164</v>
      </c>
      <c r="E7836" t="s">
        <v>860</v>
      </c>
      <c r="F7836">
        <v>91.92</v>
      </c>
      <c r="H7836">
        <v>5091.92</v>
      </c>
    </row>
    <row r="7837" spans="1:10" ht="15" customHeight="1" x14ac:dyDescent="0.2">
      <c r="A7837" s="420">
        <v>45982</v>
      </c>
      <c r="B7837" t="s">
        <v>2532</v>
      </c>
      <c r="C7837" t="s">
        <v>850</v>
      </c>
      <c r="D7837" t="s">
        <v>3076</v>
      </c>
      <c r="E7837" t="s">
        <v>867</v>
      </c>
      <c r="F7837">
        <v>650</v>
      </c>
      <c r="H7837">
        <v>5741.92</v>
      </c>
    </row>
    <row r="7838" spans="1:10" ht="15" customHeight="1" x14ac:dyDescent="0.2">
      <c r="A7838" t="s">
        <v>850</v>
      </c>
      <c r="E7838" t="s">
        <v>349</v>
      </c>
      <c r="F7838">
        <v>5741.92</v>
      </c>
      <c r="H7838">
        <v>5741.92</v>
      </c>
    </row>
    <row r="7840" spans="1:10" ht="15" customHeight="1" x14ac:dyDescent="0.2">
      <c r="A7840" t="s">
        <v>1437</v>
      </c>
      <c r="B7840" t="s">
        <v>1438</v>
      </c>
      <c r="F7840" t="s">
        <v>2430</v>
      </c>
      <c r="G7840" t="s">
        <v>2431</v>
      </c>
      <c r="H7840" t="s">
        <v>2432</v>
      </c>
      <c r="I7840" t="s">
        <v>2433</v>
      </c>
      <c r="J7840" t="s">
        <v>2434</v>
      </c>
    </row>
    <row r="7841" spans="1:8" ht="15" customHeight="1" x14ac:dyDescent="0.2">
      <c r="A7841" s="420">
        <v>45659</v>
      </c>
      <c r="B7841" t="s">
        <v>2532</v>
      </c>
      <c r="C7841" t="s">
        <v>1437</v>
      </c>
      <c r="D7841" t="s">
        <v>5332</v>
      </c>
      <c r="E7841" t="s">
        <v>1439</v>
      </c>
      <c r="F7841">
        <v>20</v>
      </c>
      <c r="H7841">
        <v>20</v>
      </c>
    </row>
    <row r="7842" spans="1:8" ht="15" customHeight="1" x14ac:dyDescent="0.2">
      <c r="A7842" s="420">
        <v>45677</v>
      </c>
      <c r="B7842" t="s">
        <v>2532</v>
      </c>
      <c r="C7842" t="s">
        <v>1437</v>
      </c>
      <c r="D7842" t="s">
        <v>3839</v>
      </c>
      <c r="E7842" t="s">
        <v>1445</v>
      </c>
      <c r="F7842">
        <v>624.67999999999995</v>
      </c>
      <c r="H7842">
        <v>644.67999999999995</v>
      </c>
    </row>
    <row r="7843" spans="1:8" ht="15" customHeight="1" x14ac:dyDescent="0.2">
      <c r="A7843" s="420">
        <v>45688</v>
      </c>
      <c r="B7843" t="s">
        <v>2532</v>
      </c>
      <c r="C7843" t="s">
        <v>1437</v>
      </c>
      <c r="D7843" t="s">
        <v>2966</v>
      </c>
      <c r="E7843" t="s">
        <v>1448</v>
      </c>
      <c r="F7843">
        <v>1460</v>
      </c>
      <c r="H7843">
        <v>2104.6799999999998</v>
      </c>
    </row>
    <row r="7844" spans="1:8" ht="15" customHeight="1" x14ac:dyDescent="0.2">
      <c r="A7844" s="420">
        <v>45691</v>
      </c>
      <c r="B7844" t="s">
        <v>2532</v>
      </c>
      <c r="C7844" t="s">
        <v>1437</v>
      </c>
      <c r="D7844" t="s">
        <v>5335</v>
      </c>
      <c r="E7844" t="s">
        <v>1449</v>
      </c>
      <c r="F7844">
        <v>20</v>
      </c>
      <c r="H7844">
        <v>2124.6799999999998</v>
      </c>
    </row>
    <row r="7845" spans="1:8" ht="15" customHeight="1" x14ac:dyDescent="0.2">
      <c r="A7845" s="420">
        <v>45705</v>
      </c>
      <c r="B7845" t="s">
        <v>2532</v>
      </c>
      <c r="C7845" t="s">
        <v>1437</v>
      </c>
      <c r="D7845" t="s">
        <v>5486</v>
      </c>
      <c r="E7845" t="s">
        <v>1455</v>
      </c>
      <c r="F7845">
        <v>87.98</v>
      </c>
      <c r="H7845">
        <v>2212.66</v>
      </c>
    </row>
    <row r="7846" spans="1:8" ht="15" customHeight="1" x14ac:dyDescent="0.2">
      <c r="A7846" s="420">
        <v>45708</v>
      </c>
      <c r="B7846" t="s">
        <v>2532</v>
      </c>
      <c r="C7846" t="s">
        <v>1437</v>
      </c>
      <c r="D7846" t="s">
        <v>3844</v>
      </c>
      <c r="E7846" t="s">
        <v>1460</v>
      </c>
      <c r="F7846">
        <v>624.67999999999995</v>
      </c>
      <c r="H7846">
        <v>2837.34</v>
      </c>
    </row>
    <row r="7847" spans="1:8" ht="15" customHeight="1" x14ac:dyDescent="0.2">
      <c r="A7847" s="420">
        <v>45712</v>
      </c>
      <c r="B7847" t="s">
        <v>2532</v>
      </c>
      <c r="C7847" t="s">
        <v>1437</v>
      </c>
      <c r="D7847" t="s">
        <v>2969</v>
      </c>
      <c r="E7847" t="s">
        <v>1464</v>
      </c>
      <c r="F7847">
        <v>494.4</v>
      </c>
      <c r="H7847">
        <v>3331.74</v>
      </c>
    </row>
    <row r="7848" spans="1:8" ht="15" customHeight="1" x14ac:dyDescent="0.2">
      <c r="A7848" s="420">
        <v>45716</v>
      </c>
      <c r="B7848" t="s">
        <v>2532</v>
      </c>
      <c r="C7848" t="s">
        <v>1437</v>
      </c>
      <c r="D7848" t="s">
        <v>2972</v>
      </c>
      <c r="E7848" t="s">
        <v>1466</v>
      </c>
      <c r="F7848">
        <v>1460</v>
      </c>
      <c r="H7848">
        <v>4791.74</v>
      </c>
    </row>
    <row r="7849" spans="1:8" ht="15" customHeight="1" x14ac:dyDescent="0.2">
      <c r="A7849" s="420">
        <v>45718</v>
      </c>
      <c r="B7849" t="s">
        <v>2532</v>
      </c>
      <c r="C7849" t="s">
        <v>1437</v>
      </c>
      <c r="D7849" t="s">
        <v>5338</v>
      </c>
      <c r="E7849" t="s">
        <v>1472</v>
      </c>
      <c r="F7849">
        <v>20</v>
      </c>
      <c r="H7849">
        <v>4811.74</v>
      </c>
    </row>
    <row r="7850" spans="1:8" ht="15" customHeight="1" x14ac:dyDescent="0.2">
      <c r="A7850" s="420">
        <v>45736</v>
      </c>
      <c r="B7850" t="s">
        <v>2532</v>
      </c>
      <c r="C7850" t="s">
        <v>1437</v>
      </c>
      <c r="D7850" t="s">
        <v>3845</v>
      </c>
      <c r="E7850" t="s">
        <v>1478</v>
      </c>
      <c r="F7850">
        <v>624.67999999999995</v>
      </c>
      <c r="H7850">
        <v>5436.42</v>
      </c>
    </row>
    <row r="7851" spans="1:8" ht="15" customHeight="1" x14ac:dyDescent="0.2">
      <c r="A7851" s="420">
        <v>45747</v>
      </c>
      <c r="B7851" t="s">
        <v>2532</v>
      </c>
      <c r="C7851" t="s">
        <v>1437</v>
      </c>
      <c r="D7851" t="s">
        <v>2975</v>
      </c>
      <c r="E7851" t="s">
        <v>1480</v>
      </c>
      <c r="F7851">
        <v>1460</v>
      </c>
      <c r="H7851">
        <v>6896.42</v>
      </c>
    </row>
    <row r="7852" spans="1:8" ht="15" customHeight="1" x14ac:dyDescent="0.2">
      <c r="A7852" s="420">
        <v>45749</v>
      </c>
      <c r="B7852" t="s">
        <v>2532</v>
      </c>
      <c r="C7852" t="s">
        <v>1437</v>
      </c>
      <c r="D7852" t="s">
        <v>5341</v>
      </c>
      <c r="E7852" t="s">
        <v>1481</v>
      </c>
      <c r="F7852">
        <v>20</v>
      </c>
      <c r="H7852">
        <v>6916.42</v>
      </c>
    </row>
    <row r="7853" spans="1:8" ht="15" customHeight="1" x14ac:dyDescent="0.2">
      <c r="A7853" s="420">
        <v>45768</v>
      </c>
      <c r="B7853" t="s">
        <v>2532</v>
      </c>
      <c r="C7853" t="s">
        <v>1437</v>
      </c>
      <c r="D7853" t="s">
        <v>3848</v>
      </c>
      <c r="E7853" t="s">
        <v>1485</v>
      </c>
      <c r="F7853">
        <v>624.67999999999995</v>
      </c>
      <c r="H7853">
        <v>7541.1</v>
      </c>
    </row>
    <row r="7854" spans="1:8" ht="15" customHeight="1" x14ac:dyDescent="0.2">
      <c r="A7854" s="420">
        <v>45777</v>
      </c>
      <c r="B7854" t="s">
        <v>2532</v>
      </c>
      <c r="C7854" t="s">
        <v>1437</v>
      </c>
      <c r="D7854" t="s">
        <v>2978</v>
      </c>
      <c r="E7854" t="s">
        <v>1487</v>
      </c>
      <c r="F7854">
        <v>1460</v>
      </c>
      <c r="H7854">
        <v>9001.1</v>
      </c>
    </row>
    <row r="7855" spans="1:8" ht="15" customHeight="1" x14ac:dyDescent="0.2">
      <c r="A7855" s="420">
        <v>45779</v>
      </c>
      <c r="B7855" t="s">
        <v>2532</v>
      </c>
      <c r="C7855" t="s">
        <v>1437</v>
      </c>
      <c r="D7855" t="s">
        <v>5344</v>
      </c>
      <c r="E7855" t="s">
        <v>1488</v>
      </c>
      <c r="F7855">
        <v>20</v>
      </c>
      <c r="H7855">
        <v>9021.1</v>
      </c>
    </row>
    <row r="7856" spans="1:8" ht="15" customHeight="1" x14ac:dyDescent="0.2">
      <c r="A7856" s="420">
        <v>45797</v>
      </c>
      <c r="B7856" t="s">
        <v>2532</v>
      </c>
      <c r="C7856" t="s">
        <v>1437</v>
      </c>
      <c r="D7856" t="s">
        <v>3851</v>
      </c>
      <c r="E7856" t="s">
        <v>1496</v>
      </c>
      <c r="F7856">
        <v>624.67999999999995</v>
      </c>
      <c r="H7856">
        <v>9645.7800000000007</v>
      </c>
    </row>
    <row r="7857" spans="1:10" ht="15" customHeight="1" x14ac:dyDescent="0.2">
      <c r="A7857" s="420">
        <v>45808</v>
      </c>
      <c r="B7857" t="s">
        <v>2532</v>
      </c>
      <c r="C7857" t="s">
        <v>1437</v>
      </c>
      <c r="D7857" t="s">
        <v>2981</v>
      </c>
      <c r="E7857" t="s">
        <v>1501</v>
      </c>
      <c r="F7857">
        <v>1460</v>
      </c>
      <c r="H7857">
        <v>11105.78</v>
      </c>
    </row>
    <row r="7858" spans="1:10" ht="15" customHeight="1" x14ac:dyDescent="0.2">
      <c r="A7858" s="420">
        <v>45810</v>
      </c>
      <c r="B7858" t="s">
        <v>2532</v>
      </c>
      <c r="C7858" t="s">
        <v>1437</v>
      </c>
      <c r="D7858" t="s">
        <v>5347</v>
      </c>
      <c r="E7858" t="s">
        <v>1504</v>
      </c>
      <c r="F7858">
        <v>20</v>
      </c>
      <c r="H7858">
        <v>11125.78</v>
      </c>
    </row>
    <row r="7859" spans="1:10" ht="15" customHeight="1" x14ac:dyDescent="0.2">
      <c r="A7859" s="420">
        <v>45828</v>
      </c>
      <c r="B7859" t="s">
        <v>2532</v>
      </c>
      <c r="C7859" t="s">
        <v>1437</v>
      </c>
      <c r="D7859" t="s">
        <v>3856</v>
      </c>
      <c r="E7859" t="s">
        <v>1510</v>
      </c>
      <c r="F7859">
        <v>624.67999999999995</v>
      </c>
      <c r="H7859">
        <v>11750.46</v>
      </c>
    </row>
    <row r="7860" spans="1:10" ht="15" customHeight="1" x14ac:dyDescent="0.2">
      <c r="A7860" s="420">
        <v>45838</v>
      </c>
      <c r="B7860" t="s">
        <v>2532</v>
      </c>
      <c r="C7860" t="s">
        <v>1437</v>
      </c>
      <c r="D7860" t="s">
        <v>4121</v>
      </c>
      <c r="E7860" t="s">
        <v>1514</v>
      </c>
      <c r="F7860">
        <v>13.99</v>
      </c>
      <c r="H7860">
        <v>11764.45</v>
      </c>
    </row>
    <row r="7861" spans="1:10" ht="15" customHeight="1" x14ac:dyDescent="0.2">
      <c r="A7861" s="420">
        <v>45838</v>
      </c>
      <c r="B7861" t="s">
        <v>2535</v>
      </c>
      <c r="C7861" t="s">
        <v>1437</v>
      </c>
      <c r="D7861" t="s">
        <v>5514</v>
      </c>
      <c r="E7861" t="s">
        <v>1515</v>
      </c>
      <c r="F7861">
        <v>1460</v>
      </c>
      <c r="H7861">
        <v>13224.45</v>
      </c>
      <c r="J7861" t="s">
        <v>2511</v>
      </c>
    </row>
    <row r="7862" spans="1:10" ht="15" customHeight="1" x14ac:dyDescent="0.2">
      <c r="A7862" s="420">
        <v>45839</v>
      </c>
      <c r="B7862" t="s">
        <v>2535</v>
      </c>
      <c r="C7862" t="s">
        <v>1437</v>
      </c>
      <c r="D7862" t="s">
        <v>5514</v>
      </c>
      <c r="E7862" t="s">
        <v>1519</v>
      </c>
      <c r="G7862">
        <v>1460</v>
      </c>
      <c r="H7862">
        <v>11764.45</v>
      </c>
      <c r="J7862" t="s">
        <v>2511</v>
      </c>
    </row>
    <row r="7863" spans="1:10" ht="15" customHeight="1" x14ac:dyDescent="0.2">
      <c r="A7863" s="420">
        <v>45839</v>
      </c>
      <c r="B7863" t="s">
        <v>2547</v>
      </c>
      <c r="C7863" t="s">
        <v>1437</v>
      </c>
      <c r="D7863" t="s">
        <v>2984</v>
      </c>
      <c r="E7863" t="s">
        <v>1520</v>
      </c>
      <c r="F7863">
        <v>1460</v>
      </c>
      <c r="H7863">
        <v>13224.45</v>
      </c>
    </row>
    <row r="7864" spans="1:10" ht="15" customHeight="1" x14ac:dyDescent="0.2">
      <c r="A7864" s="420">
        <v>45839</v>
      </c>
      <c r="B7864" t="s">
        <v>2532</v>
      </c>
      <c r="C7864" t="s">
        <v>1437</v>
      </c>
      <c r="D7864" t="s">
        <v>4124</v>
      </c>
      <c r="E7864" t="s">
        <v>1514</v>
      </c>
      <c r="F7864">
        <v>13.99</v>
      </c>
      <c r="H7864">
        <v>13238.44</v>
      </c>
    </row>
    <row r="7865" spans="1:10" ht="15" customHeight="1" x14ac:dyDescent="0.2">
      <c r="A7865" s="420">
        <v>45840</v>
      </c>
      <c r="B7865" t="s">
        <v>2532</v>
      </c>
      <c r="C7865" t="s">
        <v>1437</v>
      </c>
      <c r="D7865" t="s">
        <v>5350</v>
      </c>
      <c r="E7865" t="s">
        <v>1527</v>
      </c>
      <c r="F7865">
        <v>20</v>
      </c>
      <c r="H7865">
        <v>13258.44</v>
      </c>
    </row>
    <row r="7866" spans="1:10" ht="15" customHeight="1" x14ac:dyDescent="0.2">
      <c r="A7866" s="420">
        <v>45843</v>
      </c>
      <c r="B7866" t="s">
        <v>2532</v>
      </c>
      <c r="C7866" t="s">
        <v>1437</v>
      </c>
      <c r="D7866" t="s">
        <v>4125</v>
      </c>
      <c r="E7866" t="s">
        <v>1532</v>
      </c>
      <c r="F7866">
        <v>19.8</v>
      </c>
      <c r="H7866">
        <v>13278.24</v>
      </c>
    </row>
    <row r="7867" spans="1:10" ht="15" customHeight="1" x14ac:dyDescent="0.2">
      <c r="A7867" s="420">
        <v>45843</v>
      </c>
      <c r="B7867" t="s">
        <v>2547</v>
      </c>
      <c r="C7867" t="s">
        <v>1437</v>
      </c>
      <c r="D7867" t="s">
        <v>4126</v>
      </c>
      <c r="E7867" t="s">
        <v>1533</v>
      </c>
      <c r="F7867">
        <v>1.19</v>
      </c>
      <c r="H7867">
        <v>13279.43</v>
      </c>
    </row>
    <row r="7868" spans="1:10" ht="15" customHeight="1" x14ac:dyDescent="0.2">
      <c r="A7868" s="420">
        <v>45859</v>
      </c>
      <c r="B7868" t="s">
        <v>2532</v>
      </c>
      <c r="C7868" t="s">
        <v>1437</v>
      </c>
      <c r="D7868" t="s">
        <v>3859</v>
      </c>
      <c r="E7868" t="s">
        <v>1540</v>
      </c>
      <c r="F7868">
        <v>624.67999999999995</v>
      </c>
      <c r="H7868">
        <v>13904.11</v>
      </c>
    </row>
    <row r="7869" spans="1:10" ht="15" customHeight="1" x14ac:dyDescent="0.2">
      <c r="A7869" s="420">
        <v>45869</v>
      </c>
      <c r="B7869" t="s">
        <v>2532</v>
      </c>
      <c r="C7869" t="s">
        <v>1437</v>
      </c>
      <c r="D7869" t="s">
        <v>2987</v>
      </c>
      <c r="E7869" t="s">
        <v>1545</v>
      </c>
      <c r="F7869">
        <v>1460</v>
      </c>
      <c r="H7869">
        <v>15364.11</v>
      </c>
    </row>
    <row r="7870" spans="1:10" ht="15" customHeight="1" x14ac:dyDescent="0.2">
      <c r="A7870" s="420">
        <v>45873</v>
      </c>
      <c r="B7870" t="s">
        <v>2532</v>
      </c>
      <c r="C7870" t="s">
        <v>1437</v>
      </c>
      <c r="D7870" t="s">
        <v>5353</v>
      </c>
      <c r="E7870" t="s">
        <v>1547</v>
      </c>
      <c r="F7870">
        <v>20</v>
      </c>
      <c r="H7870">
        <v>15384.11</v>
      </c>
    </row>
    <row r="7871" spans="1:10" ht="15" customHeight="1" x14ac:dyDescent="0.2">
      <c r="A7871" s="420">
        <v>45889</v>
      </c>
      <c r="B7871" t="s">
        <v>2547</v>
      </c>
      <c r="C7871" t="s">
        <v>1437</v>
      </c>
      <c r="D7871" t="s">
        <v>3862</v>
      </c>
      <c r="E7871" t="s">
        <v>1551</v>
      </c>
      <c r="F7871">
        <v>624.67999999999995</v>
      </c>
      <c r="H7871">
        <v>16008.79</v>
      </c>
    </row>
    <row r="7872" spans="1:10" ht="15" customHeight="1" x14ac:dyDescent="0.2">
      <c r="A7872" s="420">
        <v>45899</v>
      </c>
      <c r="B7872" t="s">
        <v>2532</v>
      </c>
      <c r="C7872" t="s">
        <v>1437</v>
      </c>
      <c r="D7872" t="s">
        <v>4132</v>
      </c>
      <c r="E7872" t="s">
        <v>1555</v>
      </c>
      <c r="F7872">
        <v>13.99</v>
      </c>
      <c r="H7872">
        <v>16022.78</v>
      </c>
    </row>
    <row r="7873" spans="1:8" ht="15" customHeight="1" x14ac:dyDescent="0.2">
      <c r="A7873" s="420">
        <v>45900</v>
      </c>
      <c r="B7873" t="s">
        <v>2532</v>
      </c>
      <c r="C7873" t="s">
        <v>1437</v>
      </c>
      <c r="D7873" t="s">
        <v>2625</v>
      </c>
      <c r="E7873" t="s">
        <v>1556</v>
      </c>
      <c r="F7873">
        <v>240</v>
      </c>
      <c r="H7873">
        <v>16262.78</v>
      </c>
    </row>
    <row r="7874" spans="1:8" ht="15" customHeight="1" x14ac:dyDescent="0.2">
      <c r="A7874" s="420">
        <v>45900</v>
      </c>
      <c r="B7874" t="s">
        <v>2532</v>
      </c>
      <c r="C7874" t="s">
        <v>1437</v>
      </c>
      <c r="D7874" t="s">
        <v>2990</v>
      </c>
      <c r="E7874" t="s">
        <v>1557</v>
      </c>
      <c r="F7874">
        <v>1850</v>
      </c>
      <c r="H7874">
        <v>18112.78</v>
      </c>
    </row>
    <row r="7875" spans="1:8" ht="15" customHeight="1" x14ac:dyDescent="0.2">
      <c r="A7875" s="420">
        <v>45901</v>
      </c>
      <c r="B7875" t="s">
        <v>2532</v>
      </c>
      <c r="C7875" t="s">
        <v>1437</v>
      </c>
      <c r="D7875" t="s">
        <v>2991</v>
      </c>
      <c r="E7875" t="s">
        <v>1558</v>
      </c>
      <c r="F7875">
        <v>2305.1999999999998</v>
      </c>
      <c r="H7875">
        <v>20417.98</v>
      </c>
    </row>
    <row r="7876" spans="1:8" ht="15" customHeight="1" x14ac:dyDescent="0.2">
      <c r="A7876" s="420">
        <v>45902</v>
      </c>
      <c r="B7876" t="s">
        <v>2532</v>
      </c>
      <c r="C7876" t="s">
        <v>1437</v>
      </c>
      <c r="D7876" t="s">
        <v>5356</v>
      </c>
      <c r="E7876" t="s">
        <v>1559</v>
      </c>
      <c r="F7876">
        <v>20</v>
      </c>
      <c r="H7876">
        <v>20437.98</v>
      </c>
    </row>
    <row r="7877" spans="1:8" ht="15" customHeight="1" x14ac:dyDescent="0.2">
      <c r="A7877" s="420">
        <v>45922</v>
      </c>
      <c r="B7877" t="s">
        <v>2532</v>
      </c>
      <c r="C7877" t="s">
        <v>1437</v>
      </c>
      <c r="D7877" t="s">
        <v>3865</v>
      </c>
      <c r="E7877" t="s">
        <v>1572</v>
      </c>
      <c r="F7877">
        <v>624.67999999999995</v>
      </c>
      <c r="H7877">
        <v>21062.66</v>
      </c>
    </row>
    <row r="7878" spans="1:8" ht="15" customHeight="1" x14ac:dyDescent="0.2">
      <c r="A7878" s="420">
        <v>45930</v>
      </c>
      <c r="B7878" t="s">
        <v>2532</v>
      </c>
      <c r="C7878" t="s">
        <v>1437</v>
      </c>
      <c r="D7878" t="s">
        <v>2628</v>
      </c>
      <c r="E7878" t="s">
        <v>1574</v>
      </c>
      <c r="F7878">
        <v>240</v>
      </c>
      <c r="H7878">
        <v>21302.66</v>
      </c>
    </row>
    <row r="7879" spans="1:8" ht="15" customHeight="1" x14ac:dyDescent="0.2">
      <c r="A7879" s="420">
        <v>45930</v>
      </c>
      <c r="B7879" t="s">
        <v>2532</v>
      </c>
      <c r="C7879" t="s">
        <v>1437</v>
      </c>
      <c r="D7879" t="s">
        <v>2996</v>
      </c>
      <c r="E7879" t="s">
        <v>1575</v>
      </c>
      <c r="F7879">
        <v>1850</v>
      </c>
      <c r="H7879">
        <v>23152.66</v>
      </c>
    </row>
    <row r="7880" spans="1:8" ht="15" customHeight="1" x14ac:dyDescent="0.2">
      <c r="A7880" s="420">
        <v>45930</v>
      </c>
      <c r="B7880" t="s">
        <v>2532</v>
      </c>
      <c r="C7880" t="s">
        <v>1437</v>
      </c>
      <c r="D7880" t="s">
        <v>4136</v>
      </c>
      <c r="E7880" t="s">
        <v>1576</v>
      </c>
      <c r="F7880">
        <v>13.99</v>
      </c>
      <c r="H7880">
        <v>23166.65</v>
      </c>
    </row>
    <row r="7881" spans="1:8" ht="15" customHeight="1" x14ac:dyDescent="0.2">
      <c r="A7881" s="420">
        <v>45932</v>
      </c>
      <c r="B7881" t="s">
        <v>2532</v>
      </c>
      <c r="C7881" t="s">
        <v>1437</v>
      </c>
      <c r="D7881" t="s">
        <v>5359</v>
      </c>
      <c r="E7881" t="s">
        <v>1578</v>
      </c>
      <c r="F7881">
        <v>20</v>
      </c>
      <c r="H7881">
        <v>23186.65</v>
      </c>
    </row>
    <row r="7882" spans="1:8" ht="15" customHeight="1" x14ac:dyDescent="0.2">
      <c r="A7882" s="420">
        <v>45950</v>
      </c>
      <c r="B7882" t="s">
        <v>2532</v>
      </c>
      <c r="C7882" t="s">
        <v>1437</v>
      </c>
      <c r="D7882" t="s">
        <v>3869</v>
      </c>
      <c r="E7882" t="s">
        <v>1580</v>
      </c>
      <c r="F7882">
        <v>624.67999999999995</v>
      </c>
      <c r="H7882">
        <v>23811.33</v>
      </c>
    </row>
    <row r="7883" spans="1:8" ht="15" customHeight="1" x14ac:dyDescent="0.2">
      <c r="A7883" s="420">
        <v>45960</v>
      </c>
      <c r="B7883" t="s">
        <v>2532</v>
      </c>
      <c r="C7883" t="s">
        <v>1437</v>
      </c>
      <c r="D7883" t="s">
        <v>4138</v>
      </c>
      <c r="E7883" t="s">
        <v>1586</v>
      </c>
      <c r="F7883">
        <v>13.99</v>
      </c>
      <c r="H7883">
        <v>23825.32</v>
      </c>
    </row>
    <row r="7884" spans="1:8" ht="15" customHeight="1" x14ac:dyDescent="0.2">
      <c r="A7884" s="420">
        <v>45961</v>
      </c>
      <c r="B7884" t="s">
        <v>2532</v>
      </c>
      <c r="C7884" t="s">
        <v>1437</v>
      </c>
      <c r="D7884" t="s">
        <v>2631</v>
      </c>
      <c r="E7884" t="s">
        <v>1587</v>
      </c>
      <c r="F7884">
        <v>240</v>
      </c>
      <c r="H7884">
        <v>24065.32</v>
      </c>
    </row>
    <row r="7885" spans="1:8" ht="15" customHeight="1" x14ac:dyDescent="0.2">
      <c r="A7885" s="420">
        <v>45961</v>
      </c>
      <c r="B7885" t="s">
        <v>2532</v>
      </c>
      <c r="C7885" t="s">
        <v>1437</v>
      </c>
      <c r="D7885" t="s">
        <v>2999</v>
      </c>
      <c r="E7885" t="s">
        <v>1588</v>
      </c>
      <c r="F7885">
        <v>1850</v>
      </c>
      <c r="H7885">
        <v>25915.32</v>
      </c>
    </row>
    <row r="7886" spans="1:8" ht="15" customHeight="1" x14ac:dyDescent="0.2">
      <c r="A7886" s="420">
        <v>45961</v>
      </c>
      <c r="B7886" t="s">
        <v>2532</v>
      </c>
      <c r="C7886" t="s">
        <v>1437</v>
      </c>
      <c r="D7886" t="s">
        <v>3872</v>
      </c>
      <c r="E7886" t="s">
        <v>1589</v>
      </c>
      <c r="F7886">
        <v>1089</v>
      </c>
      <c r="H7886">
        <v>27004.32</v>
      </c>
    </row>
    <row r="7887" spans="1:8" ht="15" customHeight="1" x14ac:dyDescent="0.2">
      <c r="A7887" s="420">
        <v>45963</v>
      </c>
      <c r="B7887" t="s">
        <v>2532</v>
      </c>
      <c r="C7887" t="s">
        <v>1437</v>
      </c>
      <c r="D7887" t="s">
        <v>5362</v>
      </c>
      <c r="E7887" t="s">
        <v>1592</v>
      </c>
      <c r="F7887">
        <v>20</v>
      </c>
      <c r="H7887">
        <v>27024.32</v>
      </c>
    </row>
    <row r="7888" spans="1:8" ht="15" customHeight="1" x14ac:dyDescent="0.2">
      <c r="A7888" s="420">
        <v>45971</v>
      </c>
      <c r="B7888" t="s">
        <v>2532</v>
      </c>
      <c r="C7888" t="s">
        <v>1437</v>
      </c>
      <c r="D7888" t="s">
        <v>5365</v>
      </c>
      <c r="E7888" t="s">
        <v>1595</v>
      </c>
      <c r="F7888">
        <v>294</v>
      </c>
      <c r="H7888">
        <v>27318.32</v>
      </c>
    </row>
    <row r="7889" spans="1:10" ht="15" customHeight="1" x14ac:dyDescent="0.2">
      <c r="A7889" s="420">
        <v>45981</v>
      </c>
      <c r="B7889" t="s">
        <v>2532</v>
      </c>
      <c r="C7889" t="s">
        <v>1437</v>
      </c>
      <c r="D7889" t="s">
        <v>3873</v>
      </c>
      <c r="E7889" t="s">
        <v>1596</v>
      </c>
      <c r="F7889">
        <v>1413.19</v>
      </c>
      <c r="H7889">
        <v>28731.51</v>
      </c>
    </row>
    <row r="7890" spans="1:10" ht="15" customHeight="1" x14ac:dyDescent="0.2">
      <c r="A7890" s="420">
        <v>45991</v>
      </c>
      <c r="B7890" t="s">
        <v>2532</v>
      </c>
      <c r="C7890" t="s">
        <v>1437</v>
      </c>
      <c r="D7890" t="s">
        <v>2632</v>
      </c>
      <c r="E7890" t="s">
        <v>1599</v>
      </c>
      <c r="F7890">
        <v>240</v>
      </c>
      <c r="H7890">
        <v>28971.51</v>
      </c>
    </row>
    <row r="7891" spans="1:10" ht="15" customHeight="1" x14ac:dyDescent="0.2">
      <c r="A7891" s="420">
        <v>45991</v>
      </c>
      <c r="B7891" t="s">
        <v>2532</v>
      </c>
      <c r="C7891" t="s">
        <v>1437</v>
      </c>
      <c r="D7891" t="s">
        <v>3002</v>
      </c>
      <c r="E7891" t="s">
        <v>1600</v>
      </c>
      <c r="F7891">
        <v>1850</v>
      </c>
      <c r="H7891">
        <v>30821.51</v>
      </c>
    </row>
    <row r="7892" spans="1:10" ht="15" customHeight="1" x14ac:dyDescent="0.2">
      <c r="A7892" s="420">
        <v>45991</v>
      </c>
      <c r="B7892" t="s">
        <v>2532</v>
      </c>
      <c r="C7892" t="s">
        <v>1437</v>
      </c>
      <c r="D7892" t="s">
        <v>3876</v>
      </c>
      <c r="E7892" t="s">
        <v>1601</v>
      </c>
      <c r="F7892">
        <v>1124.04</v>
      </c>
      <c r="H7892">
        <v>31945.55</v>
      </c>
    </row>
    <row r="7893" spans="1:10" ht="15" customHeight="1" x14ac:dyDescent="0.2">
      <c r="A7893" s="420">
        <v>45993</v>
      </c>
      <c r="B7893" t="s">
        <v>2532</v>
      </c>
      <c r="C7893" t="s">
        <v>1437</v>
      </c>
      <c r="D7893" t="s">
        <v>5368</v>
      </c>
      <c r="E7893" t="s">
        <v>1603</v>
      </c>
      <c r="F7893">
        <v>20</v>
      </c>
      <c r="H7893">
        <v>31965.55</v>
      </c>
    </row>
    <row r="7894" spans="1:10" ht="15" customHeight="1" x14ac:dyDescent="0.2">
      <c r="A7894" s="420">
        <v>45993</v>
      </c>
      <c r="B7894" t="s">
        <v>2532</v>
      </c>
      <c r="C7894" t="s">
        <v>1437</v>
      </c>
      <c r="D7894" t="s">
        <v>5369</v>
      </c>
      <c r="E7894" t="s">
        <v>1604</v>
      </c>
      <c r="F7894">
        <v>25</v>
      </c>
      <c r="H7894">
        <v>31990.55</v>
      </c>
    </row>
    <row r="7895" spans="1:10" ht="15" customHeight="1" x14ac:dyDescent="0.2">
      <c r="A7895" s="420">
        <v>46013</v>
      </c>
      <c r="B7895" t="s">
        <v>2532</v>
      </c>
      <c r="C7895" t="s">
        <v>1437</v>
      </c>
      <c r="D7895" t="s">
        <v>3879</v>
      </c>
      <c r="E7895" t="s">
        <v>1611</v>
      </c>
      <c r="F7895">
        <v>1413.19</v>
      </c>
      <c r="H7895">
        <v>33403.74</v>
      </c>
    </row>
    <row r="7896" spans="1:10" ht="15" customHeight="1" x14ac:dyDescent="0.2">
      <c r="A7896" s="420">
        <v>46022</v>
      </c>
      <c r="B7896" t="s">
        <v>2532</v>
      </c>
      <c r="C7896" t="s">
        <v>1437</v>
      </c>
      <c r="D7896" t="s">
        <v>2635</v>
      </c>
      <c r="E7896" t="s">
        <v>1613</v>
      </c>
      <c r="F7896">
        <v>240</v>
      </c>
      <c r="H7896">
        <v>33643.74</v>
      </c>
    </row>
    <row r="7897" spans="1:10" ht="15" customHeight="1" x14ac:dyDescent="0.2">
      <c r="A7897" s="420">
        <v>46022</v>
      </c>
      <c r="B7897" t="s">
        <v>2532</v>
      </c>
      <c r="C7897" t="s">
        <v>1437</v>
      </c>
      <c r="D7897" t="s">
        <v>3882</v>
      </c>
      <c r="E7897" t="s">
        <v>1614</v>
      </c>
      <c r="F7897">
        <v>1124.04</v>
      </c>
      <c r="H7897">
        <v>34767.78</v>
      </c>
    </row>
    <row r="7898" spans="1:10" ht="15" customHeight="1" x14ac:dyDescent="0.2">
      <c r="A7898" s="420">
        <v>46022</v>
      </c>
      <c r="B7898" t="s">
        <v>2532</v>
      </c>
      <c r="C7898" t="s">
        <v>1437</v>
      </c>
      <c r="D7898" t="s">
        <v>3005</v>
      </c>
      <c r="E7898" t="s">
        <v>1615</v>
      </c>
      <c r="F7898">
        <v>1850</v>
      </c>
      <c r="H7898">
        <v>36617.78</v>
      </c>
    </row>
    <row r="7899" spans="1:10" ht="15" customHeight="1" x14ac:dyDescent="0.2">
      <c r="A7899" t="s">
        <v>1437</v>
      </c>
      <c r="E7899" t="s">
        <v>349</v>
      </c>
      <c r="F7899">
        <v>38077.78</v>
      </c>
      <c r="G7899">
        <v>1460</v>
      </c>
      <c r="H7899">
        <v>36617.78</v>
      </c>
    </row>
    <row r="7901" spans="1:10" ht="15" customHeight="1" x14ac:dyDescent="0.2">
      <c r="A7901" t="s">
        <v>1433</v>
      </c>
      <c r="B7901" t="s">
        <v>1434</v>
      </c>
      <c r="F7901" t="s">
        <v>2430</v>
      </c>
      <c r="G7901" t="s">
        <v>2431</v>
      </c>
      <c r="H7901" t="s">
        <v>2432</v>
      </c>
      <c r="I7901" t="s">
        <v>2433</v>
      </c>
      <c r="J7901" t="s">
        <v>2434</v>
      </c>
    </row>
    <row r="7902" spans="1:10" ht="15" customHeight="1" x14ac:dyDescent="0.2">
      <c r="A7902" s="420">
        <v>45658</v>
      </c>
      <c r="B7902" t="s">
        <v>2507</v>
      </c>
      <c r="C7902" t="s">
        <v>1433</v>
      </c>
      <c r="D7902" t="s">
        <v>5493</v>
      </c>
      <c r="E7902" t="s">
        <v>1435</v>
      </c>
      <c r="G7902">
        <v>926.74</v>
      </c>
      <c r="I7902">
        <v>926.74</v>
      </c>
      <c r="J7902" t="s">
        <v>2511</v>
      </c>
    </row>
    <row r="7903" spans="1:10" ht="15" customHeight="1" x14ac:dyDescent="0.2">
      <c r="A7903" s="420">
        <v>45658</v>
      </c>
      <c r="B7903" t="s">
        <v>2507</v>
      </c>
      <c r="C7903" t="s">
        <v>1433</v>
      </c>
      <c r="D7903" t="s">
        <v>7444</v>
      </c>
      <c r="E7903" t="s">
        <v>1436</v>
      </c>
      <c r="F7903">
        <v>349</v>
      </c>
      <c r="I7903">
        <v>577.74</v>
      </c>
      <c r="J7903" t="s">
        <v>2509</v>
      </c>
    </row>
    <row r="7904" spans="1:10" ht="15" customHeight="1" x14ac:dyDescent="0.2">
      <c r="A7904" s="420">
        <v>45663</v>
      </c>
      <c r="B7904" t="s">
        <v>2532</v>
      </c>
      <c r="C7904" t="s">
        <v>1433</v>
      </c>
      <c r="D7904" t="s">
        <v>2873</v>
      </c>
      <c r="E7904" t="s">
        <v>1440</v>
      </c>
      <c r="F7904">
        <v>926.74</v>
      </c>
      <c r="H7904">
        <v>349</v>
      </c>
    </row>
    <row r="7905" spans="1:10" ht="15" customHeight="1" x14ac:dyDescent="0.2">
      <c r="A7905" s="420">
        <v>45682</v>
      </c>
      <c r="B7905" t="s">
        <v>2532</v>
      </c>
      <c r="C7905" t="s">
        <v>1433</v>
      </c>
      <c r="D7905" t="s">
        <v>2876</v>
      </c>
      <c r="E7905" t="s">
        <v>1447</v>
      </c>
      <c r="F7905">
        <v>349</v>
      </c>
      <c r="H7905">
        <v>698</v>
      </c>
    </row>
    <row r="7906" spans="1:10" ht="15" customHeight="1" x14ac:dyDescent="0.2">
      <c r="A7906" s="420">
        <v>45693</v>
      </c>
      <c r="B7906" t="s">
        <v>2532</v>
      </c>
      <c r="C7906" t="s">
        <v>1433</v>
      </c>
      <c r="D7906" t="s">
        <v>2879</v>
      </c>
      <c r="E7906" t="s">
        <v>1450</v>
      </c>
      <c r="F7906">
        <v>1506.87</v>
      </c>
      <c r="H7906">
        <v>2204.87</v>
      </c>
    </row>
    <row r="7907" spans="1:10" ht="15" customHeight="1" x14ac:dyDescent="0.2">
      <c r="A7907" s="420">
        <v>45713</v>
      </c>
      <c r="B7907" t="s">
        <v>2532</v>
      </c>
      <c r="C7907" t="s">
        <v>1433</v>
      </c>
      <c r="D7907" t="s">
        <v>2882</v>
      </c>
      <c r="E7907" t="s">
        <v>1465</v>
      </c>
      <c r="F7907">
        <v>349</v>
      </c>
      <c r="H7907">
        <v>2553.87</v>
      </c>
    </row>
    <row r="7908" spans="1:10" ht="15" customHeight="1" x14ac:dyDescent="0.2">
      <c r="A7908" s="420">
        <v>45721</v>
      </c>
      <c r="B7908" t="s">
        <v>2532</v>
      </c>
      <c r="C7908" t="s">
        <v>1433</v>
      </c>
      <c r="D7908" t="s">
        <v>2885</v>
      </c>
      <c r="E7908" t="s">
        <v>1473</v>
      </c>
      <c r="F7908">
        <v>2237.8200000000002</v>
      </c>
      <c r="H7908">
        <v>4791.6899999999996</v>
      </c>
    </row>
    <row r="7909" spans="1:10" ht="15" customHeight="1" x14ac:dyDescent="0.2">
      <c r="A7909" s="420">
        <v>45741</v>
      </c>
      <c r="B7909" t="s">
        <v>2532</v>
      </c>
      <c r="C7909" t="s">
        <v>1433</v>
      </c>
      <c r="D7909" t="s">
        <v>2888</v>
      </c>
      <c r="E7909" t="s">
        <v>1479</v>
      </c>
      <c r="F7909">
        <v>349</v>
      </c>
      <c r="H7909">
        <v>5140.6899999999996</v>
      </c>
    </row>
    <row r="7910" spans="1:10" ht="15" customHeight="1" x14ac:dyDescent="0.2">
      <c r="A7910" s="420">
        <v>45752</v>
      </c>
      <c r="B7910" t="s">
        <v>2532</v>
      </c>
      <c r="C7910" t="s">
        <v>1433</v>
      </c>
      <c r="D7910" t="s">
        <v>2891</v>
      </c>
      <c r="E7910" t="s">
        <v>1482</v>
      </c>
      <c r="F7910">
        <v>2160.0700000000002</v>
      </c>
      <c r="H7910">
        <v>7300.76</v>
      </c>
    </row>
    <row r="7911" spans="1:10" ht="15" customHeight="1" x14ac:dyDescent="0.2">
      <c r="A7911" s="420">
        <v>45772</v>
      </c>
      <c r="B7911" t="s">
        <v>2532</v>
      </c>
      <c r="C7911" t="s">
        <v>1433</v>
      </c>
      <c r="D7911" t="s">
        <v>2894</v>
      </c>
      <c r="E7911" t="s">
        <v>1486</v>
      </c>
      <c r="F7911">
        <v>349</v>
      </c>
      <c r="H7911">
        <v>7649.76</v>
      </c>
    </row>
    <row r="7912" spans="1:10" ht="15" customHeight="1" x14ac:dyDescent="0.2">
      <c r="A7912" s="420">
        <v>45782</v>
      </c>
      <c r="B7912" t="s">
        <v>2532</v>
      </c>
      <c r="C7912" t="s">
        <v>1433</v>
      </c>
      <c r="D7912" t="s">
        <v>2897</v>
      </c>
      <c r="E7912" t="s">
        <v>1490</v>
      </c>
      <c r="F7912">
        <v>1646.9</v>
      </c>
      <c r="H7912">
        <v>9296.66</v>
      </c>
    </row>
    <row r="7913" spans="1:10" ht="15" customHeight="1" x14ac:dyDescent="0.2">
      <c r="A7913" s="420">
        <v>45802</v>
      </c>
      <c r="B7913" t="s">
        <v>2532</v>
      </c>
      <c r="C7913" t="s">
        <v>1433</v>
      </c>
      <c r="D7913" t="s">
        <v>2900</v>
      </c>
      <c r="E7913" t="s">
        <v>1500</v>
      </c>
      <c r="F7913">
        <v>349</v>
      </c>
      <c r="H7913">
        <v>9645.66</v>
      </c>
    </row>
    <row r="7914" spans="1:10" ht="15" customHeight="1" x14ac:dyDescent="0.2">
      <c r="A7914" s="420">
        <v>45813</v>
      </c>
      <c r="B7914" t="s">
        <v>2532</v>
      </c>
      <c r="C7914" t="s">
        <v>1433</v>
      </c>
      <c r="D7914" t="s">
        <v>2903</v>
      </c>
      <c r="E7914" t="s">
        <v>1506</v>
      </c>
      <c r="F7914">
        <v>2108.42</v>
      </c>
      <c r="H7914">
        <v>11754.08</v>
      </c>
    </row>
    <row r="7915" spans="1:10" ht="15" customHeight="1" x14ac:dyDescent="0.2">
      <c r="A7915" s="420">
        <v>45833</v>
      </c>
      <c r="B7915" t="s">
        <v>2532</v>
      </c>
      <c r="C7915" t="s">
        <v>1433</v>
      </c>
      <c r="D7915" t="s">
        <v>2906</v>
      </c>
      <c r="E7915" t="s">
        <v>1512</v>
      </c>
      <c r="F7915">
        <v>349</v>
      </c>
      <c r="H7915">
        <v>12103.08</v>
      </c>
    </row>
    <row r="7916" spans="1:10" ht="15" customHeight="1" x14ac:dyDescent="0.2">
      <c r="A7916" s="420">
        <v>45838</v>
      </c>
      <c r="B7916" t="s">
        <v>2535</v>
      </c>
      <c r="C7916" t="s">
        <v>1433</v>
      </c>
      <c r="D7916" t="s">
        <v>7470</v>
      </c>
      <c r="E7916" t="s">
        <v>1516</v>
      </c>
      <c r="G7916">
        <v>349</v>
      </c>
      <c r="H7916">
        <v>11754.08</v>
      </c>
      <c r="J7916" t="s">
        <v>2513</v>
      </c>
    </row>
    <row r="7917" spans="1:10" ht="15" customHeight="1" x14ac:dyDescent="0.2">
      <c r="A7917" s="420">
        <v>45838</v>
      </c>
      <c r="B7917" t="s">
        <v>2535</v>
      </c>
      <c r="C7917" t="s">
        <v>1433</v>
      </c>
      <c r="D7917" t="s">
        <v>5515</v>
      </c>
      <c r="E7917" t="s">
        <v>1517</v>
      </c>
      <c r="F7917">
        <v>1743.09</v>
      </c>
      <c r="H7917">
        <v>13497.17</v>
      </c>
      <c r="J7917" t="s">
        <v>2585</v>
      </c>
    </row>
    <row r="7918" spans="1:10" ht="15" customHeight="1" x14ac:dyDescent="0.2">
      <c r="A7918" s="420">
        <v>45839</v>
      </c>
      <c r="B7918" t="s">
        <v>2535</v>
      </c>
      <c r="C7918" t="s">
        <v>1433</v>
      </c>
      <c r="D7918" t="s">
        <v>7481</v>
      </c>
      <c r="E7918" t="s">
        <v>1521</v>
      </c>
      <c r="F7918">
        <v>175.94</v>
      </c>
      <c r="H7918">
        <v>13673.11</v>
      </c>
    </row>
    <row r="7919" spans="1:10" ht="15" customHeight="1" x14ac:dyDescent="0.2">
      <c r="A7919" s="420">
        <v>45839</v>
      </c>
      <c r="B7919" t="s">
        <v>2535</v>
      </c>
      <c r="C7919" t="s">
        <v>1433</v>
      </c>
      <c r="D7919" t="s">
        <v>7470</v>
      </c>
      <c r="E7919" t="s">
        <v>1522</v>
      </c>
      <c r="F7919">
        <v>349</v>
      </c>
      <c r="H7919">
        <v>14022.11</v>
      </c>
      <c r="J7919" t="s">
        <v>2513</v>
      </c>
    </row>
    <row r="7920" spans="1:10" ht="15" customHeight="1" x14ac:dyDescent="0.2">
      <c r="A7920" s="420">
        <v>45839</v>
      </c>
      <c r="B7920" t="s">
        <v>2535</v>
      </c>
      <c r="C7920" t="s">
        <v>1433</v>
      </c>
      <c r="D7920" t="s">
        <v>5515</v>
      </c>
      <c r="E7920" t="s">
        <v>1523</v>
      </c>
      <c r="G7920">
        <v>1743.09</v>
      </c>
      <c r="H7920">
        <v>12279.02</v>
      </c>
      <c r="J7920" t="s">
        <v>2585</v>
      </c>
    </row>
    <row r="7921" spans="1:8" ht="15" customHeight="1" x14ac:dyDescent="0.2">
      <c r="A7921" s="420">
        <v>45843</v>
      </c>
      <c r="B7921" t="s">
        <v>2532</v>
      </c>
      <c r="C7921" t="s">
        <v>1433</v>
      </c>
      <c r="D7921" t="s">
        <v>2909</v>
      </c>
      <c r="E7921" t="s">
        <v>1534</v>
      </c>
      <c r="F7921">
        <v>1743.09</v>
      </c>
      <c r="H7921">
        <v>14022.11</v>
      </c>
    </row>
    <row r="7922" spans="1:8" ht="15" customHeight="1" x14ac:dyDescent="0.2">
      <c r="A7922" s="420">
        <v>45862</v>
      </c>
      <c r="B7922" t="s">
        <v>2532</v>
      </c>
      <c r="C7922" t="s">
        <v>1433</v>
      </c>
      <c r="D7922" t="s">
        <v>2912</v>
      </c>
      <c r="E7922" t="s">
        <v>1543</v>
      </c>
      <c r="F7922">
        <v>349</v>
      </c>
      <c r="H7922">
        <v>14371.11</v>
      </c>
    </row>
    <row r="7923" spans="1:8" ht="15" customHeight="1" x14ac:dyDescent="0.2">
      <c r="A7923" s="420">
        <v>45874</v>
      </c>
      <c r="B7923" t="s">
        <v>2532</v>
      </c>
      <c r="C7923" t="s">
        <v>1433</v>
      </c>
      <c r="D7923" t="s">
        <v>2915</v>
      </c>
      <c r="E7923" t="s">
        <v>1548</v>
      </c>
      <c r="F7923">
        <v>3373.63</v>
      </c>
      <c r="H7923">
        <v>17744.740000000002</v>
      </c>
    </row>
    <row r="7924" spans="1:8" ht="15" customHeight="1" x14ac:dyDescent="0.2">
      <c r="A7924" s="420">
        <v>45894</v>
      </c>
      <c r="B7924" t="s">
        <v>2532</v>
      </c>
      <c r="C7924" t="s">
        <v>1433</v>
      </c>
      <c r="D7924" t="s">
        <v>2918</v>
      </c>
      <c r="E7924" t="s">
        <v>1553</v>
      </c>
      <c r="F7924">
        <v>349</v>
      </c>
      <c r="H7924">
        <v>18093.740000000002</v>
      </c>
    </row>
    <row r="7925" spans="1:8" ht="15" customHeight="1" x14ac:dyDescent="0.2">
      <c r="A7925" s="420">
        <v>45904</v>
      </c>
      <c r="B7925" t="s">
        <v>2532</v>
      </c>
      <c r="C7925" t="s">
        <v>1433</v>
      </c>
      <c r="D7925" t="s">
        <v>2921</v>
      </c>
      <c r="E7925" t="s">
        <v>1564</v>
      </c>
      <c r="F7925">
        <v>2530.41</v>
      </c>
      <c r="H7925">
        <v>20624.150000000001</v>
      </c>
    </row>
    <row r="7926" spans="1:8" ht="15" customHeight="1" x14ac:dyDescent="0.2">
      <c r="A7926" s="420">
        <v>45925</v>
      </c>
      <c r="B7926" t="s">
        <v>2532</v>
      </c>
      <c r="C7926" t="s">
        <v>1433</v>
      </c>
      <c r="D7926" t="s">
        <v>2924</v>
      </c>
      <c r="E7926" t="s">
        <v>1573</v>
      </c>
      <c r="F7926">
        <v>349</v>
      </c>
      <c r="H7926">
        <v>20973.15</v>
      </c>
    </row>
    <row r="7927" spans="1:8" ht="15" customHeight="1" x14ac:dyDescent="0.2">
      <c r="A7927" s="420">
        <v>45935</v>
      </c>
      <c r="B7927" t="s">
        <v>2532</v>
      </c>
      <c r="C7927" t="s">
        <v>1433</v>
      </c>
      <c r="D7927" t="s">
        <v>2927</v>
      </c>
      <c r="E7927" t="s">
        <v>1579</v>
      </c>
      <c r="F7927">
        <v>3244.13</v>
      </c>
      <c r="H7927">
        <v>24217.279999999999</v>
      </c>
    </row>
    <row r="7928" spans="1:8" ht="15" customHeight="1" x14ac:dyDescent="0.2">
      <c r="A7928" s="420">
        <v>45957</v>
      </c>
      <c r="B7928" t="s">
        <v>2532</v>
      </c>
      <c r="C7928" t="s">
        <v>1433</v>
      </c>
      <c r="D7928" t="s">
        <v>2930</v>
      </c>
      <c r="E7928" t="s">
        <v>1583</v>
      </c>
      <c r="F7928">
        <v>349</v>
      </c>
      <c r="H7928">
        <v>24566.28</v>
      </c>
    </row>
    <row r="7929" spans="1:8" ht="15" customHeight="1" x14ac:dyDescent="0.2">
      <c r="A7929" s="420">
        <v>45967</v>
      </c>
      <c r="B7929" t="s">
        <v>2532</v>
      </c>
      <c r="C7929" t="s">
        <v>1433</v>
      </c>
      <c r="D7929" t="s">
        <v>2933</v>
      </c>
      <c r="E7929" t="s">
        <v>1593</v>
      </c>
      <c r="F7929">
        <v>1922.08</v>
      </c>
      <c r="H7929">
        <v>26488.36</v>
      </c>
    </row>
    <row r="7930" spans="1:8" ht="15" customHeight="1" x14ac:dyDescent="0.2">
      <c r="A7930" s="420">
        <v>45986</v>
      </c>
      <c r="B7930" t="s">
        <v>2532</v>
      </c>
      <c r="C7930" t="s">
        <v>1433</v>
      </c>
      <c r="D7930" t="s">
        <v>2936</v>
      </c>
      <c r="E7930" t="s">
        <v>1598</v>
      </c>
      <c r="F7930">
        <v>349</v>
      </c>
      <c r="H7930">
        <v>26837.360000000001</v>
      </c>
    </row>
    <row r="7931" spans="1:8" ht="15" customHeight="1" x14ac:dyDescent="0.2">
      <c r="A7931" s="420">
        <v>45996</v>
      </c>
      <c r="B7931" t="s">
        <v>2532</v>
      </c>
      <c r="C7931" t="s">
        <v>1433</v>
      </c>
      <c r="D7931" t="s">
        <v>2940</v>
      </c>
      <c r="E7931" t="s">
        <v>1607</v>
      </c>
      <c r="F7931">
        <v>1366.94</v>
      </c>
      <c r="H7931">
        <v>28204.3</v>
      </c>
    </row>
    <row r="7932" spans="1:8" ht="15" customHeight="1" x14ac:dyDescent="0.2">
      <c r="A7932" s="420">
        <v>46016</v>
      </c>
      <c r="B7932" t="s">
        <v>2532</v>
      </c>
      <c r="C7932" t="s">
        <v>1433</v>
      </c>
      <c r="D7932" t="s">
        <v>2944</v>
      </c>
      <c r="E7932" t="s">
        <v>1598</v>
      </c>
      <c r="F7932">
        <v>349</v>
      </c>
      <c r="H7932">
        <v>28553.3</v>
      </c>
    </row>
    <row r="7933" spans="1:8" ht="15" customHeight="1" x14ac:dyDescent="0.2">
      <c r="A7933" s="420">
        <v>46022</v>
      </c>
      <c r="B7933" t="s">
        <v>2507</v>
      </c>
      <c r="C7933" t="s">
        <v>1433</v>
      </c>
      <c r="D7933" t="s">
        <v>7488</v>
      </c>
      <c r="E7933" t="s">
        <v>1616</v>
      </c>
      <c r="G7933">
        <v>349</v>
      </c>
      <c r="H7933">
        <v>28204.3</v>
      </c>
    </row>
    <row r="7934" spans="1:8" ht="15" customHeight="1" x14ac:dyDescent="0.2">
      <c r="A7934" s="420">
        <v>46022</v>
      </c>
      <c r="B7934" t="s">
        <v>2507</v>
      </c>
      <c r="C7934" t="s">
        <v>1433</v>
      </c>
      <c r="D7934" t="s">
        <v>5530</v>
      </c>
      <c r="E7934" t="s">
        <v>1617</v>
      </c>
      <c r="F7934">
        <v>1227.9000000000001</v>
      </c>
      <c r="H7934">
        <v>29432.2</v>
      </c>
    </row>
    <row r="7935" spans="1:8" ht="15" customHeight="1" x14ac:dyDescent="0.2">
      <c r="A7935" t="s">
        <v>1433</v>
      </c>
      <c r="E7935" t="s">
        <v>349</v>
      </c>
      <c r="F7935">
        <v>32800.03</v>
      </c>
      <c r="G7935">
        <v>3367.83</v>
      </c>
      <c r="H7935">
        <v>29432.2</v>
      </c>
    </row>
    <row r="7937" spans="1:10" ht="15" customHeight="1" x14ac:dyDescent="0.2">
      <c r="A7937" t="s">
        <v>1467</v>
      </c>
      <c r="B7937" t="s">
        <v>1468</v>
      </c>
      <c r="F7937" t="s">
        <v>2430</v>
      </c>
      <c r="G7937" t="s">
        <v>2431</v>
      </c>
      <c r="H7937" t="s">
        <v>2432</v>
      </c>
      <c r="I7937" t="s">
        <v>2433</v>
      </c>
      <c r="J7937" t="s">
        <v>2434</v>
      </c>
    </row>
    <row r="7938" spans="1:10" ht="15" customHeight="1" x14ac:dyDescent="0.2">
      <c r="A7938" s="420">
        <v>45716</v>
      </c>
      <c r="B7938" t="s">
        <v>2547</v>
      </c>
      <c r="C7938" t="s">
        <v>1467</v>
      </c>
      <c r="D7938" t="s">
        <v>3131</v>
      </c>
      <c r="E7938" t="s">
        <v>1469</v>
      </c>
      <c r="F7938">
        <v>456.3</v>
      </c>
      <c r="H7938">
        <v>456.3</v>
      </c>
    </row>
    <row r="7939" spans="1:10" ht="15" customHeight="1" x14ac:dyDescent="0.2">
      <c r="A7939" s="420">
        <v>45730</v>
      </c>
      <c r="B7939" t="s">
        <v>2532</v>
      </c>
      <c r="C7939" t="s">
        <v>1467</v>
      </c>
      <c r="D7939" t="s">
        <v>3925</v>
      </c>
      <c r="E7939" t="s">
        <v>1477</v>
      </c>
      <c r="F7939">
        <v>1064.7</v>
      </c>
      <c r="H7939">
        <v>1521</v>
      </c>
    </row>
    <row r="7940" spans="1:10" ht="15" customHeight="1" x14ac:dyDescent="0.2">
      <c r="A7940" s="420">
        <v>45811</v>
      </c>
      <c r="B7940" t="s">
        <v>2532</v>
      </c>
      <c r="C7940" t="s">
        <v>1467</v>
      </c>
      <c r="D7940" t="s">
        <v>3134</v>
      </c>
      <c r="E7940" t="s">
        <v>1505</v>
      </c>
      <c r="F7940">
        <v>770.06</v>
      </c>
      <c r="H7940">
        <v>2291.06</v>
      </c>
    </row>
    <row r="7941" spans="1:10" ht="15" customHeight="1" x14ac:dyDescent="0.2">
      <c r="A7941" s="420">
        <v>45838</v>
      </c>
      <c r="B7941" t="s">
        <v>2535</v>
      </c>
      <c r="C7941" t="s">
        <v>1467</v>
      </c>
      <c r="D7941" t="s">
        <v>7471</v>
      </c>
      <c r="E7941" t="s">
        <v>1518</v>
      </c>
      <c r="G7941">
        <v>770.06</v>
      </c>
      <c r="H7941">
        <v>1521</v>
      </c>
      <c r="J7941" t="s">
        <v>2511</v>
      </c>
    </row>
    <row r="7942" spans="1:10" ht="15" customHeight="1" x14ac:dyDescent="0.2">
      <c r="A7942" s="420">
        <v>45839</v>
      </c>
      <c r="B7942" t="s">
        <v>2535</v>
      </c>
      <c r="C7942" t="s">
        <v>1467</v>
      </c>
      <c r="D7942" t="s">
        <v>7471</v>
      </c>
      <c r="E7942" t="s">
        <v>1524</v>
      </c>
      <c r="F7942">
        <v>770.06</v>
      </c>
      <c r="H7942">
        <v>2291.06</v>
      </c>
      <c r="J7942" t="s">
        <v>2511</v>
      </c>
    </row>
    <row r="7943" spans="1:10" ht="15" customHeight="1" x14ac:dyDescent="0.2">
      <c r="A7943" s="420">
        <v>45839</v>
      </c>
      <c r="B7943" t="s">
        <v>2532</v>
      </c>
      <c r="C7943" t="s">
        <v>1467</v>
      </c>
      <c r="D7943" t="s">
        <v>3137</v>
      </c>
      <c r="E7943" t="s">
        <v>1525</v>
      </c>
      <c r="F7943">
        <v>2120.44</v>
      </c>
      <c r="H7943">
        <v>4411.5</v>
      </c>
    </row>
    <row r="7944" spans="1:10" ht="15" customHeight="1" x14ac:dyDescent="0.2">
      <c r="A7944" t="s">
        <v>1467</v>
      </c>
      <c r="E7944" t="s">
        <v>349</v>
      </c>
      <c r="F7944">
        <v>5181.5600000000004</v>
      </c>
      <c r="G7944">
        <v>770.06</v>
      </c>
      <c r="H7944">
        <v>4411.5</v>
      </c>
    </row>
    <row r="7946" spans="1:10" ht="15" customHeight="1" x14ac:dyDescent="0.2">
      <c r="A7946" t="s">
        <v>1442</v>
      </c>
      <c r="B7946" t="s">
        <v>1443</v>
      </c>
      <c r="F7946" t="s">
        <v>2430</v>
      </c>
      <c r="G7946" t="s">
        <v>2431</v>
      </c>
      <c r="H7946" t="s">
        <v>2432</v>
      </c>
      <c r="I7946" t="s">
        <v>2433</v>
      </c>
      <c r="J7946" t="s">
        <v>2434</v>
      </c>
    </row>
    <row r="7947" spans="1:10" ht="15" customHeight="1" x14ac:dyDescent="0.2">
      <c r="A7947" s="420">
        <v>45671</v>
      </c>
      <c r="B7947" t="s">
        <v>2547</v>
      </c>
      <c r="C7947" t="s">
        <v>1442</v>
      </c>
      <c r="D7947" t="s">
        <v>4107</v>
      </c>
      <c r="E7947" t="s">
        <v>1444</v>
      </c>
      <c r="F7947">
        <v>100</v>
      </c>
      <c r="H7947">
        <v>100</v>
      </c>
    </row>
    <row r="7948" spans="1:10" ht="15" customHeight="1" x14ac:dyDescent="0.2">
      <c r="A7948" s="420">
        <v>45793</v>
      </c>
      <c r="B7948" t="s">
        <v>2547</v>
      </c>
      <c r="C7948" t="s">
        <v>1442</v>
      </c>
      <c r="D7948" t="s">
        <v>3945</v>
      </c>
      <c r="E7948" t="s">
        <v>1493</v>
      </c>
      <c r="F7948">
        <v>53.64</v>
      </c>
      <c r="H7948">
        <v>153.63999999999999</v>
      </c>
    </row>
    <row r="7949" spans="1:10" ht="15" customHeight="1" x14ac:dyDescent="0.2">
      <c r="A7949" s="420">
        <v>45808</v>
      </c>
      <c r="B7949" t="s">
        <v>2532</v>
      </c>
      <c r="C7949" t="s">
        <v>1442</v>
      </c>
      <c r="D7949" t="s">
        <v>2959</v>
      </c>
      <c r="E7949" t="s">
        <v>1502</v>
      </c>
      <c r="F7949">
        <v>708.32</v>
      </c>
      <c r="H7949">
        <v>861.96</v>
      </c>
    </row>
    <row r="7950" spans="1:10" ht="15" customHeight="1" x14ac:dyDescent="0.2">
      <c r="A7950" s="420">
        <v>45816</v>
      </c>
      <c r="B7950" t="s">
        <v>2532</v>
      </c>
      <c r="C7950" t="s">
        <v>1442</v>
      </c>
      <c r="D7950" t="s">
        <v>5215</v>
      </c>
      <c r="E7950" t="s">
        <v>1508</v>
      </c>
      <c r="F7950">
        <v>223.7</v>
      </c>
      <c r="H7950">
        <v>1085.6600000000001</v>
      </c>
    </row>
    <row r="7951" spans="1:10" ht="15" customHeight="1" x14ac:dyDescent="0.2">
      <c r="A7951" s="420">
        <v>45839</v>
      </c>
      <c r="B7951" t="s">
        <v>2517</v>
      </c>
      <c r="C7951" t="s">
        <v>1442</v>
      </c>
      <c r="D7951" t="s">
        <v>2959</v>
      </c>
      <c r="E7951" t="s">
        <v>1526</v>
      </c>
      <c r="G7951">
        <v>708.32</v>
      </c>
      <c r="H7951">
        <v>377.34</v>
      </c>
    </row>
    <row r="7952" spans="1:10" ht="15" customHeight="1" x14ac:dyDescent="0.2">
      <c r="A7952" s="420">
        <v>45841</v>
      </c>
      <c r="B7952" t="s">
        <v>2532</v>
      </c>
      <c r="C7952" t="s">
        <v>1442</v>
      </c>
      <c r="D7952" t="s">
        <v>5218</v>
      </c>
      <c r="E7952" t="s">
        <v>1529</v>
      </c>
      <c r="F7952">
        <v>299.52999999999997</v>
      </c>
      <c r="H7952">
        <v>676.87</v>
      </c>
    </row>
    <row r="7953" spans="1:10" ht="15" customHeight="1" x14ac:dyDescent="0.2">
      <c r="A7953" s="420">
        <v>45876</v>
      </c>
      <c r="B7953" t="s">
        <v>2532</v>
      </c>
      <c r="C7953" t="s">
        <v>1442</v>
      </c>
      <c r="D7953" t="s">
        <v>3427</v>
      </c>
      <c r="E7953" t="s">
        <v>1549</v>
      </c>
      <c r="F7953">
        <v>999.17</v>
      </c>
      <c r="H7953">
        <v>1676.04</v>
      </c>
    </row>
    <row r="7954" spans="1:10" ht="15" customHeight="1" x14ac:dyDescent="0.2">
      <c r="A7954" s="420">
        <v>45888</v>
      </c>
      <c r="B7954" t="s">
        <v>2532</v>
      </c>
      <c r="C7954" t="s">
        <v>1442</v>
      </c>
      <c r="D7954" t="s">
        <v>3834</v>
      </c>
      <c r="E7954" t="s">
        <v>1550</v>
      </c>
      <c r="F7954">
        <v>45.45</v>
      </c>
      <c r="H7954">
        <v>1721.49</v>
      </c>
    </row>
    <row r="7955" spans="1:10" ht="15" customHeight="1" x14ac:dyDescent="0.2">
      <c r="A7955" t="s">
        <v>1442</v>
      </c>
      <c r="E7955" t="s">
        <v>349</v>
      </c>
      <c r="F7955">
        <v>2429.81</v>
      </c>
      <c r="G7955">
        <v>708.32</v>
      </c>
      <c r="H7955">
        <v>1721.49</v>
      </c>
    </row>
    <row r="7957" spans="1:10" ht="15" customHeight="1" x14ac:dyDescent="0.2">
      <c r="A7957" t="s">
        <v>1452</v>
      </c>
      <c r="B7957" t="s">
        <v>1453</v>
      </c>
      <c r="F7957" t="s">
        <v>2430</v>
      </c>
      <c r="G7957" t="s">
        <v>2431</v>
      </c>
      <c r="H7957" t="s">
        <v>2432</v>
      </c>
      <c r="I7957" t="s">
        <v>2433</v>
      </c>
      <c r="J7957" t="s">
        <v>2434</v>
      </c>
    </row>
    <row r="7958" spans="1:10" ht="15" customHeight="1" x14ac:dyDescent="0.2">
      <c r="A7958" s="420">
        <v>45695</v>
      </c>
      <c r="B7958" t="s">
        <v>2532</v>
      </c>
      <c r="C7958" t="s">
        <v>1452</v>
      </c>
      <c r="D7958" t="s">
        <v>4193</v>
      </c>
      <c r="E7958" t="s">
        <v>1454</v>
      </c>
      <c r="F7958">
        <v>50</v>
      </c>
      <c r="H7958">
        <v>50</v>
      </c>
    </row>
    <row r="7959" spans="1:10" ht="15" customHeight="1" x14ac:dyDescent="0.2">
      <c r="A7959" s="420">
        <v>45716</v>
      </c>
      <c r="B7959" t="s">
        <v>2532</v>
      </c>
      <c r="C7959" t="s">
        <v>1452</v>
      </c>
      <c r="D7959" t="s">
        <v>4198</v>
      </c>
      <c r="E7959" t="s">
        <v>1470</v>
      </c>
      <c r="F7959">
        <v>50</v>
      </c>
      <c r="H7959">
        <v>100</v>
      </c>
    </row>
    <row r="7960" spans="1:10" ht="15" customHeight="1" x14ac:dyDescent="0.2">
      <c r="A7960" s="420">
        <v>45779</v>
      </c>
      <c r="B7960" t="s">
        <v>2532</v>
      </c>
      <c r="C7960" t="s">
        <v>1452</v>
      </c>
      <c r="D7960" t="s">
        <v>4438</v>
      </c>
      <c r="E7960" t="s">
        <v>1489</v>
      </c>
      <c r="F7960">
        <v>400</v>
      </c>
      <c r="H7960">
        <v>500</v>
      </c>
    </row>
    <row r="7961" spans="1:10" ht="15" customHeight="1" x14ac:dyDescent="0.2">
      <c r="A7961" s="420">
        <v>45808</v>
      </c>
      <c r="B7961" t="s">
        <v>2532</v>
      </c>
      <c r="C7961" t="s">
        <v>1452</v>
      </c>
      <c r="D7961" t="s">
        <v>4440</v>
      </c>
      <c r="E7961" t="s">
        <v>1503</v>
      </c>
      <c r="F7961">
        <v>1150</v>
      </c>
      <c r="H7961">
        <v>1650</v>
      </c>
    </row>
    <row r="7962" spans="1:10" ht="15" customHeight="1" x14ac:dyDescent="0.2">
      <c r="A7962" s="420">
        <v>45931</v>
      </c>
      <c r="B7962" t="s">
        <v>2532</v>
      </c>
      <c r="C7962" t="s">
        <v>1452</v>
      </c>
      <c r="D7962" t="s">
        <v>4269</v>
      </c>
      <c r="E7962" t="s">
        <v>1577</v>
      </c>
      <c r="F7962">
        <v>50</v>
      </c>
      <c r="H7962">
        <v>1700</v>
      </c>
    </row>
    <row r="7963" spans="1:10" ht="15" customHeight="1" x14ac:dyDescent="0.2">
      <c r="A7963" s="420">
        <v>45961</v>
      </c>
      <c r="B7963" t="s">
        <v>2532</v>
      </c>
      <c r="C7963" t="s">
        <v>1452</v>
      </c>
      <c r="D7963" t="s">
        <v>4273</v>
      </c>
      <c r="E7963" t="s">
        <v>1590</v>
      </c>
      <c r="F7963">
        <v>800</v>
      </c>
      <c r="H7963">
        <v>2500</v>
      </c>
    </row>
    <row r="7964" spans="1:10" ht="15" customHeight="1" x14ac:dyDescent="0.2">
      <c r="A7964" s="420">
        <v>45991</v>
      </c>
      <c r="B7964" t="s">
        <v>2532</v>
      </c>
      <c r="C7964" t="s">
        <v>1452</v>
      </c>
      <c r="D7964" t="s">
        <v>4285</v>
      </c>
      <c r="E7964" t="s">
        <v>1602</v>
      </c>
      <c r="F7964">
        <v>800</v>
      </c>
      <c r="H7964">
        <v>3300</v>
      </c>
    </row>
    <row r="7965" spans="1:10" ht="15" customHeight="1" x14ac:dyDescent="0.2">
      <c r="A7965" t="s">
        <v>1452</v>
      </c>
      <c r="E7965" t="s">
        <v>349</v>
      </c>
      <c r="F7965">
        <v>3300</v>
      </c>
      <c r="H7965">
        <v>3300</v>
      </c>
    </row>
    <row r="7967" spans="1:10" ht="15" customHeight="1" x14ac:dyDescent="0.2">
      <c r="A7967" t="s">
        <v>1457</v>
      </c>
      <c r="B7967" t="s">
        <v>1458</v>
      </c>
      <c r="F7967" t="s">
        <v>2430</v>
      </c>
      <c r="G7967" t="s">
        <v>2431</v>
      </c>
      <c r="H7967" t="s">
        <v>2432</v>
      </c>
      <c r="I7967" t="s">
        <v>2433</v>
      </c>
      <c r="J7967" t="s">
        <v>2434</v>
      </c>
    </row>
    <row r="7968" spans="1:10" ht="15" customHeight="1" x14ac:dyDescent="0.2">
      <c r="A7968" s="420">
        <v>45707</v>
      </c>
      <c r="B7968" t="s">
        <v>2333</v>
      </c>
      <c r="C7968" t="s">
        <v>1457</v>
      </c>
      <c r="D7968" t="s">
        <v>7543</v>
      </c>
      <c r="E7968" t="s">
        <v>1459</v>
      </c>
      <c r="F7968">
        <v>2000</v>
      </c>
      <c r="H7968">
        <v>2000</v>
      </c>
    </row>
    <row r="7969" spans="1:10" ht="15" customHeight="1" x14ac:dyDescent="0.2">
      <c r="A7969" s="420">
        <v>45787</v>
      </c>
      <c r="B7969" t="s">
        <v>2333</v>
      </c>
      <c r="C7969" t="s">
        <v>1457</v>
      </c>
      <c r="D7969" t="s">
        <v>7601</v>
      </c>
      <c r="E7969" t="s">
        <v>1491</v>
      </c>
      <c r="F7969">
        <v>2000</v>
      </c>
      <c r="H7969">
        <v>4000</v>
      </c>
    </row>
    <row r="7970" spans="1:10" ht="15" customHeight="1" x14ac:dyDescent="0.2">
      <c r="A7970" s="420">
        <v>45794</v>
      </c>
      <c r="B7970" t="s">
        <v>2547</v>
      </c>
      <c r="C7970" t="s">
        <v>1457</v>
      </c>
      <c r="D7970" t="s">
        <v>5416</v>
      </c>
      <c r="E7970" t="s">
        <v>1495</v>
      </c>
      <c r="F7970">
        <v>2000</v>
      </c>
      <c r="H7970">
        <v>6000</v>
      </c>
    </row>
    <row r="7971" spans="1:10" ht="15" customHeight="1" x14ac:dyDescent="0.2">
      <c r="A7971" s="420">
        <v>45959</v>
      </c>
      <c r="B7971" t="s">
        <v>2532</v>
      </c>
      <c r="C7971" t="s">
        <v>1457</v>
      </c>
      <c r="D7971" t="s">
        <v>4673</v>
      </c>
      <c r="E7971" t="s">
        <v>1584</v>
      </c>
      <c r="F7971">
        <v>1000</v>
      </c>
      <c r="H7971">
        <v>7000</v>
      </c>
    </row>
    <row r="7972" spans="1:10" ht="15" customHeight="1" x14ac:dyDescent="0.2">
      <c r="A7972" t="s">
        <v>1457</v>
      </c>
      <c r="E7972" t="s">
        <v>349</v>
      </c>
      <c r="F7972">
        <v>7000</v>
      </c>
      <c r="H7972">
        <v>7000</v>
      </c>
    </row>
    <row r="7974" spans="1:10" ht="15" customHeight="1" x14ac:dyDescent="0.2">
      <c r="A7974" t="s">
        <v>1750</v>
      </c>
      <c r="B7974" t="s">
        <v>1751</v>
      </c>
      <c r="F7974" t="s">
        <v>2430</v>
      </c>
      <c r="G7974" t="s">
        <v>2431</v>
      </c>
      <c r="H7974" t="s">
        <v>2432</v>
      </c>
      <c r="I7974" t="s">
        <v>2433</v>
      </c>
      <c r="J7974" t="s">
        <v>2434</v>
      </c>
    </row>
    <row r="7975" spans="1:10" ht="15" customHeight="1" x14ac:dyDescent="0.2">
      <c r="A7975" s="420">
        <v>45674</v>
      </c>
      <c r="B7975" t="s">
        <v>2547</v>
      </c>
      <c r="C7975" t="s">
        <v>1750</v>
      </c>
      <c r="D7975" t="s">
        <v>5205</v>
      </c>
      <c r="E7975" t="s">
        <v>1752</v>
      </c>
      <c r="F7975">
        <v>21.66</v>
      </c>
      <c r="H7975">
        <v>21.66</v>
      </c>
      <c r="J7975" t="s">
        <v>2511</v>
      </c>
    </row>
    <row r="7976" spans="1:10" ht="15" customHeight="1" x14ac:dyDescent="0.2">
      <c r="A7976" s="420">
        <v>45747</v>
      </c>
      <c r="B7976" t="s">
        <v>2532</v>
      </c>
      <c r="C7976" t="s">
        <v>1750</v>
      </c>
      <c r="D7976" t="s">
        <v>4208</v>
      </c>
      <c r="E7976" t="s">
        <v>469</v>
      </c>
      <c r="F7976">
        <v>44.01</v>
      </c>
      <c r="H7976">
        <v>65.67</v>
      </c>
    </row>
    <row r="7977" spans="1:10" ht="15" customHeight="1" x14ac:dyDescent="0.2">
      <c r="A7977" s="420">
        <v>45777</v>
      </c>
      <c r="B7977" t="s">
        <v>2532</v>
      </c>
      <c r="C7977" t="s">
        <v>1750</v>
      </c>
      <c r="D7977" t="s">
        <v>4218</v>
      </c>
      <c r="E7977" t="s">
        <v>482</v>
      </c>
      <c r="F7977">
        <v>14.74</v>
      </c>
      <c r="H7977">
        <v>80.41</v>
      </c>
    </row>
    <row r="7978" spans="1:10" ht="15" customHeight="1" x14ac:dyDescent="0.2">
      <c r="A7978" s="420">
        <v>45839</v>
      </c>
      <c r="B7978" t="s">
        <v>2517</v>
      </c>
      <c r="C7978" t="s">
        <v>1750</v>
      </c>
      <c r="D7978" t="s">
        <v>5205</v>
      </c>
      <c r="E7978" t="s">
        <v>516</v>
      </c>
      <c r="G7978">
        <v>21.66</v>
      </c>
      <c r="H7978">
        <v>58.75</v>
      </c>
      <c r="J7978" t="s">
        <v>2511</v>
      </c>
    </row>
    <row r="7979" spans="1:10" ht="15" customHeight="1" x14ac:dyDescent="0.2">
      <c r="A7979" s="420">
        <v>45839</v>
      </c>
      <c r="B7979" t="s">
        <v>2547</v>
      </c>
      <c r="C7979" t="s">
        <v>1750</v>
      </c>
      <c r="D7979" t="s">
        <v>5207</v>
      </c>
      <c r="E7979" t="s">
        <v>1752</v>
      </c>
      <c r="F7979">
        <v>25.99</v>
      </c>
      <c r="H7979">
        <v>84.74</v>
      </c>
    </row>
    <row r="7980" spans="1:10" ht="15" customHeight="1" x14ac:dyDescent="0.2">
      <c r="A7980" s="420">
        <v>45901</v>
      </c>
      <c r="B7980" t="s">
        <v>2532</v>
      </c>
      <c r="C7980" t="s">
        <v>1750</v>
      </c>
      <c r="D7980" t="s">
        <v>4260</v>
      </c>
      <c r="E7980" t="s">
        <v>1925</v>
      </c>
      <c r="F7980">
        <v>30.39</v>
      </c>
      <c r="H7980">
        <v>115.13</v>
      </c>
    </row>
    <row r="7981" spans="1:10" ht="15" customHeight="1" x14ac:dyDescent="0.2">
      <c r="A7981" s="420">
        <v>45961</v>
      </c>
      <c r="B7981" t="s">
        <v>2532</v>
      </c>
      <c r="C7981" t="s">
        <v>1750</v>
      </c>
      <c r="D7981" t="s">
        <v>4272</v>
      </c>
      <c r="E7981" t="s">
        <v>1964</v>
      </c>
      <c r="F7981">
        <v>41.44</v>
      </c>
      <c r="H7981">
        <v>156.57</v>
      </c>
    </row>
    <row r="7982" spans="1:10" ht="15" customHeight="1" x14ac:dyDescent="0.2">
      <c r="A7982" s="420">
        <v>46022</v>
      </c>
      <c r="B7982" t="s">
        <v>2532</v>
      </c>
      <c r="C7982" t="s">
        <v>1750</v>
      </c>
      <c r="D7982" t="s">
        <v>4291</v>
      </c>
      <c r="E7982" t="s">
        <v>2007</v>
      </c>
      <c r="F7982">
        <v>34.200000000000003</v>
      </c>
      <c r="H7982">
        <v>190.77</v>
      </c>
    </row>
    <row r="7983" spans="1:10" ht="15" customHeight="1" x14ac:dyDescent="0.2">
      <c r="A7983" t="s">
        <v>1750</v>
      </c>
      <c r="E7983" t="s">
        <v>349</v>
      </c>
      <c r="F7983">
        <v>212.43</v>
      </c>
      <c r="G7983">
        <v>21.66</v>
      </c>
      <c r="H7983">
        <v>190.77</v>
      </c>
    </row>
    <row r="7985" spans="1:10" ht="15" customHeight="1" x14ac:dyDescent="0.2">
      <c r="A7985" t="s">
        <v>1730</v>
      </c>
      <c r="B7985" t="s">
        <v>1731</v>
      </c>
      <c r="F7985" t="s">
        <v>2430</v>
      </c>
      <c r="G7985" t="s">
        <v>2431</v>
      </c>
      <c r="H7985" t="s">
        <v>2432</v>
      </c>
      <c r="I7985" t="s">
        <v>2433</v>
      </c>
      <c r="J7985" t="s">
        <v>2434</v>
      </c>
    </row>
    <row r="7986" spans="1:10" ht="15" customHeight="1" x14ac:dyDescent="0.2">
      <c r="A7986" s="420">
        <v>45660</v>
      </c>
      <c r="B7986" t="s">
        <v>2333</v>
      </c>
      <c r="C7986" t="s">
        <v>1730</v>
      </c>
      <c r="D7986" t="s">
        <v>7500</v>
      </c>
      <c r="E7986" t="s">
        <v>1732</v>
      </c>
      <c r="F7986">
        <v>210.08</v>
      </c>
      <c r="H7986">
        <v>210.08</v>
      </c>
    </row>
    <row r="7987" spans="1:10" ht="15" customHeight="1" x14ac:dyDescent="0.2">
      <c r="A7987" s="420">
        <v>45660</v>
      </c>
      <c r="B7987" t="s">
        <v>2333</v>
      </c>
      <c r="C7987" t="s">
        <v>1730</v>
      </c>
      <c r="D7987" t="s">
        <v>7501</v>
      </c>
      <c r="E7987" t="s">
        <v>1733</v>
      </c>
      <c r="F7987">
        <v>84</v>
      </c>
      <c r="H7987">
        <v>294.08</v>
      </c>
    </row>
    <row r="7988" spans="1:10" ht="15" customHeight="1" x14ac:dyDescent="0.2">
      <c r="A7988" s="420">
        <v>45674</v>
      </c>
      <c r="B7988" t="s">
        <v>2547</v>
      </c>
      <c r="C7988" t="s">
        <v>1730</v>
      </c>
      <c r="D7988" t="s">
        <v>3595</v>
      </c>
      <c r="E7988" t="s">
        <v>1753</v>
      </c>
      <c r="F7988">
        <v>39.9</v>
      </c>
      <c r="H7988">
        <v>333.98</v>
      </c>
    </row>
    <row r="7989" spans="1:10" ht="15" customHeight="1" x14ac:dyDescent="0.2">
      <c r="A7989" s="420">
        <v>45678</v>
      </c>
      <c r="B7989" t="s">
        <v>2547</v>
      </c>
      <c r="C7989" t="s">
        <v>1730</v>
      </c>
      <c r="D7989" t="s">
        <v>5210</v>
      </c>
      <c r="E7989" t="s">
        <v>1731</v>
      </c>
      <c r="F7989">
        <v>190</v>
      </c>
      <c r="H7989">
        <v>523.98</v>
      </c>
    </row>
    <row r="7990" spans="1:10" ht="15" customHeight="1" x14ac:dyDescent="0.2">
      <c r="A7990" s="420">
        <v>45679</v>
      </c>
      <c r="B7990" t="s">
        <v>2532</v>
      </c>
      <c r="C7990" t="s">
        <v>1730</v>
      </c>
      <c r="D7990" t="s">
        <v>5256</v>
      </c>
      <c r="E7990" t="s">
        <v>1757</v>
      </c>
      <c r="F7990">
        <v>21.7</v>
      </c>
      <c r="H7990">
        <v>545.67999999999995</v>
      </c>
    </row>
    <row r="7991" spans="1:10" ht="15" customHeight="1" x14ac:dyDescent="0.2">
      <c r="A7991" s="420">
        <v>45681</v>
      </c>
      <c r="B7991" t="s">
        <v>2532</v>
      </c>
      <c r="C7991" t="s">
        <v>1730</v>
      </c>
      <c r="D7991" t="s">
        <v>7122</v>
      </c>
      <c r="E7991" t="s">
        <v>1761</v>
      </c>
      <c r="F7991">
        <v>16.22</v>
      </c>
      <c r="H7991">
        <v>561.9</v>
      </c>
    </row>
    <row r="7992" spans="1:10" ht="15" customHeight="1" x14ac:dyDescent="0.2">
      <c r="A7992" s="420">
        <v>45681</v>
      </c>
      <c r="B7992" t="s">
        <v>2547</v>
      </c>
      <c r="C7992" t="s">
        <v>1730</v>
      </c>
      <c r="D7992" t="s">
        <v>4627</v>
      </c>
      <c r="E7992" t="s">
        <v>1762</v>
      </c>
      <c r="F7992">
        <v>50</v>
      </c>
      <c r="H7992">
        <v>611.9</v>
      </c>
    </row>
    <row r="7993" spans="1:10" ht="15" customHeight="1" x14ac:dyDescent="0.2">
      <c r="A7993" s="420">
        <v>45688</v>
      </c>
      <c r="B7993" t="s">
        <v>2547</v>
      </c>
      <c r="C7993" t="s">
        <v>1730</v>
      </c>
      <c r="D7993" t="s">
        <v>4629</v>
      </c>
      <c r="E7993" t="s">
        <v>1770</v>
      </c>
      <c r="F7993">
        <v>711.44</v>
      </c>
      <c r="H7993">
        <v>1323.34</v>
      </c>
    </row>
    <row r="7994" spans="1:10" ht="15" customHeight="1" x14ac:dyDescent="0.2">
      <c r="A7994" s="420">
        <v>45716</v>
      </c>
      <c r="B7994" t="s">
        <v>2547</v>
      </c>
      <c r="C7994" t="s">
        <v>1730</v>
      </c>
      <c r="D7994" t="s">
        <v>4636</v>
      </c>
      <c r="E7994" t="s">
        <v>1784</v>
      </c>
      <c r="F7994">
        <v>934.45</v>
      </c>
      <c r="H7994">
        <v>2257.79</v>
      </c>
    </row>
    <row r="7995" spans="1:10" ht="15" customHeight="1" x14ac:dyDescent="0.2">
      <c r="A7995" s="420">
        <v>45725</v>
      </c>
      <c r="B7995" t="s">
        <v>2547</v>
      </c>
      <c r="C7995" t="s">
        <v>1730</v>
      </c>
      <c r="D7995" t="s">
        <v>3564</v>
      </c>
      <c r="E7995" t="s">
        <v>1790</v>
      </c>
      <c r="F7995">
        <v>367.2</v>
      </c>
      <c r="H7995">
        <v>2624.99</v>
      </c>
    </row>
    <row r="7996" spans="1:10" ht="15" customHeight="1" x14ac:dyDescent="0.2">
      <c r="A7996" s="420">
        <v>45727</v>
      </c>
      <c r="B7996" t="s">
        <v>2532</v>
      </c>
      <c r="C7996" t="s">
        <v>1730</v>
      </c>
      <c r="D7996" t="s">
        <v>3697</v>
      </c>
      <c r="E7996" t="s">
        <v>1791</v>
      </c>
      <c r="F7996">
        <v>1667.1</v>
      </c>
      <c r="H7996">
        <v>4292.09</v>
      </c>
    </row>
    <row r="7997" spans="1:10" ht="15" customHeight="1" x14ac:dyDescent="0.2">
      <c r="A7997" s="420">
        <v>45742</v>
      </c>
      <c r="B7997" t="s">
        <v>2333</v>
      </c>
      <c r="C7997" t="s">
        <v>1730</v>
      </c>
      <c r="D7997" t="s">
        <v>7563</v>
      </c>
      <c r="E7997" t="s">
        <v>1808</v>
      </c>
      <c r="F7997">
        <v>28.05</v>
      </c>
      <c r="H7997">
        <v>4320.1400000000003</v>
      </c>
    </row>
    <row r="7998" spans="1:10" ht="15" customHeight="1" x14ac:dyDescent="0.2">
      <c r="A7998" s="420">
        <v>45746</v>
      </c>
      <c r="B7998" t="s">
        <v>2532</v>
      </c>
      <c r="C7998" t="s">
        <v>1730</v>
      </c>
      <c r="D7998" t="s">
        <v>3580</v>
      </c>
      <c r="E7998" t="s">
        <v>1810</v>
      </c>
      <c r="F7998">
        <v>49.25</v>
      </c>
      <c r="H7998">
        <v>4369.3900000000003</v>
      </c>
    </row>
    <row r="7999" spans="1:10" ht="15" customHeight="1" x14ac:dyDescent="0.2">
      <c r="A7999" s="420">
        <v>45746</v>
      </c>
      <c r="B7999" t="s">
        <v>2532</v>
      </c>
      <c r="C7999" t="s">
        <v>1730</v>
      </c>
      <c r="D7999" t="s">
        <v>4769</v>
      </c>
      <c r="E7999" t="s">
        <v>1811</v>
      </c>
      <c r="F7999">
        <v>125.1</v>
      </c>
      <c r="H7999">
        <v>4494.49</v>
      </c>
    </row>
    <row r="8000" spans="1:10" ht="15" customHeight="1" x14ac:dyDescent="0.2">
      <c r="A8000" s="420">
        <v>45747</v>
      </c>
      <c r="B8000" t="s">
        <v>2547</v>
      </c>
      <c r="C8000" t="s">
        <v>1730</v>
      </c>
      <c r="D8000" t="s">
        <v>4639</v>
      </c>
      <c r="E8000" t="s">
        <v>1812</v>
      </c>
      <c r="F8000">
        <v>1626.5</v>
      </c>
      <c r="H8000">
        <v>6120.99</v>
      </c>
    </row>
    <row r="8001" spans="1:8" ht="15" customHeight="1" x14ac:dyDescent="0.2">
      <c r="A8001" s="420">
        <v>45750</v>
      </c>
      <c r="B8001" t="s">
        <v>2547</v>
      </c>
      <c r="C8001" t="s">
        <v>1730</v>
      </c>
      <c r="D8001" t="s">
        <v>3603</v>
      </c>
      <c r="E8001" t="s">
        <v>1815</v>
      </c>
      <c r="F8001">
        <v>120.11</v>
      </c>
      <c r="H8001">
        <v>6241.1</v>
      </c>
    </row>
    <row r="8002" spans="1:8" ht="15" customHeight="1" x14ac:dyDescent="0.2">
      <c r="A8002" s="420">
        <v>45751</v>
      </c>
      <c r="B8002" t="s">
        <v>2333</v>
      </c>
      <c r="C8002" t="s">
        <v>1730</v>
      </c>
      <c r="D8002" t="s">
        <v>7568</v>
      </c>
      <c r="E8002" t="s">
        <v>1816</v>
      </c>
      <c r="F8002">
        <v>62.28</v>
      </c>
      <c r="H8002">
        <v>6303.38</v>
      </c>
    </row>
    <row r="8003" spans="1:8" ht="15" customHeight="1" x14ac:dyDescent="0.2">
      <c r="A8003" s="420">
        <v>45755</v>
      </c>
      <c r="B8003" t="s">
        <v>2333</v>
      </c>
      <c r="C8003" t="s">
        <v>1730</v>
      </c>
      <c r="D8003" t="s">
        <v>4864</v>
      </c>
      <c r="E8003" t="s">
        <v>4865</v>
      </c>
      <c r="F8003">
        <v>179.85</v>
      </c>
      <c r="H8003">
        <v>6483.23</v>
      </c>
    </row>
    <row r="8004" spans="1:8" ht="15" customHeight="1" x14ac:dyDescent="0.2">
      <c r="A8004" s="420">
        <v>45755</v>
      </c>
      <c r="B8004" t="s">
        <v>2333</v>
      </c>
      <c r="C8004" t="s">
        <v>1730</v>
      </c>
      <c r="D8004" t="s">
        <v>4864</v>
      </c>
      <c r="E8004" t="s">
        <v>4865</v>
      </c>
      <c r="F8004">
        <v>39.6</v>
      </c>
      <c r="H8004">
        <v>6522.83</v>
      </c>
    </row>
    <row r="8005" spans="1:8" ht="15" customHeight="1" x14ac:dyDescent="0.2">
      <c r="A8005" s="420">
        <v>45755</v>
      </c>
      <c r="B8005" t="s">
        <v>2333</v>
      </c>
      <c r="C8005" t="s">
        <v>1730</v>
      </c>
      <c r="D8005" t="s">
        <v>4864</v>
      </c>
      <c r="E8005" t="s">
        <v>4865</v>
      </c>
      <c r="F8005">
        <v>164.2</v>
      </c>
      <c r="H8005">
        <v>6687.03</v>
      </c>
    </row>
    <row r="8006" spans="1:8" ht="15" customHeight="1" x14ac:dyDescent="0.2">
      <c r="A8006" s="420">
        <v>45765</v>
      </c>
      <c r="B8006" t="s">
        <v>2532</v>
      </c>
      <c r="C8006" t="s">
        <v>1730</v>
      </c>
      <c r="D8006" t="s">
        <v>5076</v>
      </c>
      <c r="E8006" t="s">
        <v>1829</v>
      </c>
      <c r="F8006">
        <v>225.56</v>
      </c>
      <c r="H8006">
        <v>6912.59</v>
      </c>
    </row>
    <row r="8007" spans="1:8" ht="15" customHeight="1" x14ac:dyDescent="0.2">
      <c r="A8007" s="420">
        <v>45777</v>
      </c>
      <c r="B8007" t="s">
        <v>2532</v>
      </c>
      <c r="C8007" t="s">
        <v>1730</v>
      </c>
      <c r="D8007" t="s">
        <v>4642</v>
      </c>
      <c r="E8007" t="s">
        <v>1839</v>
      </c>
      <c r="F8007">
        <v>1688.03</v>
      </c>
      <c r="H8007">
        <v>8600.6200000000008</v>
      </c>
    </row>
    <row r="8008" spans="1:8" ht="15" customHeight="1" x14ac:dyDescent="0.2">
      <c r="A8008" s="420">
        <v>45793</v>
      </c>
      <c r="B8008" t="s">
        <v>2547</v>
      </c>
      <c r="C8008" t="s">
        <v>1730</v>
      </c>
      <c r="D8008" t="s">
        <v>5261</v>
      </c>
      <c r="E8008" t="s">
        <v>1849</v>
      </c>
      <c r="F8008">
        <v>26.36</v>
      </c>
      <c r="H8008">
        <v>8626.98</v>
      </c>
    </row>
    <row r="8009" spans="1:8" ht="15" customHeight="1" x14ac:dyDescent="0.2">
      <c r="A8009" s="420">
        <v>45796</v>
      </c>
      <c r="B8009" t="s">
        <v>2333</v>
      </c>
      <c r="C8009" t="s">
        <v>1730</v>
      </c>
      <c r="D8009" t="s">
        <v>7610</v>
      </c>
      <c r="E8009" t="s">
        <v>1853</v>
      </c>
      <c r="F8009">
        <v>140</v>
      </c>
      <c r="H8009">
        <v>8766.98</v>
      </c>
    </row>
    <row r="8010" spans="1:8" ht="15" customHeight="1" x14ac:dyDescent="0.2">
      <c r="A8010" s="420">
        <v>45801</v>
      </c>
      <c r="B8010" t="s">
        <v>2532</v>
      </c>
      <c r="C8010" t="s">
        <v>1730</v>
      </c>
      <c r="D8010" t="s">
        <v>3703</v>
      </c>
      <c r="E8010" t="s">
        <v>1859</v>
      </c>
      <c r="F8010">
        <v>187.06</v>
      </c>
      <c r="H8010">
        <v>8954.0400000000009</v>
      </c>
    </row>
    <row r="8011" spans="1:8" ht="15" customHeight="1" x14ac:dyDescent="0.2">
      <c r="A8011" s="420">
        <v>45808</v>
      </c>
      <c r="B8011" t="s">
        <v>2547</v>
      </c>
      <c r="C8011" t="s">
        <v>1730</v>
      </c>
      <c r="D8011" t="s">
        <v>4645</v>
      </c>
      <c r="E8011" t="s">
        <v>1865</v>
      </c>
      <c r="F8011">
        <v>962.33</v>
      </c>
      <c r="H8011">
        <v>9916.3700000000008</v>
      </c>
    </row>
    <row r="8012" spans="1:8" ht="15" customHeight="1" x14ac:dyDescent="0.2">
      <c r="A8012" s="420">
        <v>45811</v>
      </c>
      <c r="B8012" t="s">
        <v>2532</v>
      </c>
      <c r="C8012" t="s">
        <v>1730</v>
      </c>
      <c r="D8012" t="s">
        <v>5234</v>
      </c>
      <c r="E8012" t="s">
        <v>1867</v>
      </c>
      <c r="F8012">
        <v>14.73</v>
      </c>
      <c r="H8012">
        <v>9931.1</v>
      </c>
    </row>
    <row r="8013" spans="1:8" ht="15" customHeight="1" x14ac:dyDescent="0.2">
      <c r="A8013" s="420">
        <v>45826</v>
      </c>
      <c r="B8013" t="s">
        <v>2532</v>
      </c>
      <c r="C8013" t="s">
        <v>1730</v>
      </c>
      <c r="D8013" t="s">
        <v>3889</v>
      </c>
      <c r="E8013" t="s">
        <v>1883</v>
      </c>
      <c r="F8013">
        <v>253.2</v>
      </c>
      <c r="H8013">
        <v>10184.299999999999</v>
      </c>
    </row>
    <row r="8014" spans="1:8" ht="15" customHeight="1" x14ac:dyDescent="0.2">
      <c r="A8014" s="420">
        <v>45838</v>
      </c>
      <c r="B8014" t="s">
        <v>2547</v>
      </c>
      <c r="C8014" t="s">
        <v>1730</v>
      </c>
      <c r="D8014" t="s">
        <v>4648</v>
      </c>
      <c r="E8014" t="s">
        <v>1886</v>
      </c>
      <c r="F8014">
        <v>1258.06</v>
      </c>
      <c r="H8014">
        <v>11442.36</v>
      </c>
    </row>
    <row r="8015" spans="1:8" ht="15" customHeight="1" x14ac:dyDescent="0.2">
      <c r="A8015" s="420">
        <v>45839</v>
      </c>
      <c r="B8015" t="s">
        <v>2517</v>
      </c>
      <c r="C8015" t="s">
        <v>1730</v>
      </c>
      <c r="D8015" t="s">
        <v>3803</v>
      </c>
      <c r="E8015" t="s">
        <v>1891</v>
      </c>
      <c r="G8015">
        <v>41.8</v>
      </c>
      <c r="H8015">
        <v>11400.56</v>
      </c>
    </row>
    <row r="8016" spans="1:8" ht="15" customHeight="1" x14ac:dyDescent="0.2">
      <c r="A8016" s="420">
        <v>45869</v>
      </c>
      <c r="B8016" t="s">
        <v>2547</v>
      </c>
      <c r="C8016" t="s">
        <v>1730</v>
      </c>
      <c r="D8016" t="s">
        <v>4653</v>
      </c>
      <c r="E8016" t="s">
        <v>1911</v>
      </c>
      <c r="F8016">
        <v>1342.88</v>
      </c>
      <c r="H8016">
        <v>12743.44</v>
      </c>
    </row>
    <row r="8017" spans="1:8" ht="15" customHeight="1" x14ac:dyDescent="0.2">
      <c r="A8017" s="420">
        <v>45899</v>
      </c>
      <c r="B8017" t="s">
        <v>2547</v>
      </c>
      <c r="C8017" t="s">
        <v>1730</v>
      </c>
      <c r="D8017" t="s">
        <v>3711</v>
      </c>
      <c r="E8017" t="s">
        <v>1922</v>
      </c>
      <c r="F8017">
        <v>129.36000000000001</v>
      </c>
      <c r="H8017">
        <v>12872.8</v>
      </c>
    </row>
    <row r="8018" spans="1:8" ht="15" customHeight="1" x14ac:dyDescent="0.2">
      <c r="A8018" s="420">
        <v>45900</v>
      </c>
      <c r="B8018" t="s">
        <v>2547</v>
      </c>
      <c r="C8018" t="s">
        <v>1730</v>
      </c>
      <c r="D8018" t="s">
        <v>4656</v>
      </c>
      <c r="E8018" t="s">
        <v>1924</v>
      </c>
      <c r="F8018">
        <v>979.32</v>
      </c>
      <c r="H8018">
        <v>13852.12</v>
      </c>
    </row>
    <row r="8019" spans="1:8" ht="15" customHeight="1" x14ac:dyDescent="0.2">
      <c r="A8019" s="420">
        <v>45930</v>
      </c>
      <c r="B8019" t="s">
        <v>2547</v>
      </c>
      <c r="C8019" t="s">
        <v>1730</v>
      </c>
      <c r="D8019" t="s">
        <v>4659</v>
      </c>
      <c r="E8019" t="s">
        <v>1941</v>
      </c>
      <c r="F8019">
        <v>609.72</v>
      </c>
      <c r="H8019">
        <v>14461.84</v>
      </c>
    </row>
    <row r="8020" spans="1:8" ht="15" customHeight="1" x14ac:dyDescent="0.2">
      <c r="A8020" s="420">
        <v>45932</v>
      </c>
      <c r="B8020" t="s">
        <v>2333</v>
      </c>
      <c r="C8020" t="s">
        <v>1730</v>
      </c>
      <c r="D8020" t="s">
        <v>7711</v>
      </c>
      <c r="E8020" t="s">
        <v>1945</v>
      </c>
      <c r="F8020">
        <v>31.67</v>
      </c>
      <c r="H8020">
        <v>14493.51</v>
      </c>
    </row>
    <row r="8021" spans="1:8" ht="15" customHeight="1" x14ac:dyDescent="0.2">
      <c r="A8021" s="420">
        <v>45932</v>
      </c>
      <c r="B8021" t="s">
        <v>2333</v>
      </c>
      <c r="C8021" t="s">
        <v>1730</v>
      </c>
      <c r="D8021" t="s">
        <v>7712</v>
      </c>
      <c r="E8021" t="s">
        <v>1946</v>
      </c>
      <c r="F8021">
        <v>124.5</v>
      </c>
      <c r="H8021">
        <v>14618.01</v>
      </c>
    </row>
    <row r="8022" spans="1:8" ht="15" customHeight="1" x14ac:dyDescent="0.2">
      <c r="A8022" s="420">
        <v>45932</v>
      </c>
      <c r="B8022" t="s">
        <v>2532</v>
      </c>
      <c r="C8022" t="s">
        <v>1730</v>
      </c>
      <c r="D8022" t="s">
        <v>4947</v>
      </c>
      <c r="E8022" t="s">
        <v>1947</v>
      </c>
      <c r="F8022">
        <v>22.73</v>
      </c>
      <c r="H8022">
        <v>14640.74</v>
      </c>
    </row>
    <row r="8023" spans="1:8" ht="15" customHeight="1" x14ac:dyDescent="0.2">
      <c r="A8023" s="420">
        <v>45943</v>
      </c>
      <c r="B8023" t="s">
        <v>2333</v>
      </c>
      <c r="C8023" t="s">
        <v>1730</v>
      </c>
      <c r="D8023" t="s">
        <v>7734</v>
      </c>
      <c r="E8023" t="s">
        <v>1945</v>
      </c>
      <c r="F8023">
        <v>13.97</v>
      </c>
      <c r="H8023">
        <v>14654.71</v>
      </c>
    </row>
    <row r="8024" spans="1:8" ht="15" customHeight="1" x14ac:dyDescent="0.2">
      <c r="A8024" s="420">
        <v>45943</v>
      </c>
      <c r="B8024" t="s">
        <v>2333</v>
      </c>
      <c r="C8024" t="s">
        <v>1730</v>
      </c>
      <c r="D8024" t="s">
        <v>7735</v>
      </c>
      <c r="E8024" t="s">
        <v>1945</v>
      </c>
      <c r="F8024">
        <v>12.98</v>
      </c>
      <c r="H8024">
        <v>14667.69</v>
      </c>
    </row>
    <row r="8025" spans="1:8" ht="15" customHeight="1" x14ac:dyDescent="0.2">
      <c r="A8025" s="420">
        <v>45962</v>
      </c>
      <c r="B8025" t="s">
        <v>2532</v>
      </c>
      <c r="C8025" t="s">
        <v>1730</v>
      </c>
      <c r="D8025" t="s">
        <v>4774</v>
      </c>
      <c r="E8025" t="s">
        <v>1965</v>
      </c>
      <c r="F8025">
        <v>106.66</v>
      </c>
      <c r="H8025">
        <v>14774.35</v>
      </c>
    </row>
    <row r="8026" spans="1:8" ht="15" customHeight="1" x14ac:dyDescent="0.2">
      <c r="A8026" s="420">
        <v>45965</v>
      </c>
      <c r="B8026" t="s">
        <v>2532</v>
      </c>
      <c r="C8026" t="s">
        <v>1730</v>
      </c>
      <c r="D8026" t="s">
        <v>3190</v>
      </c>
      <c r="E8026" t="s">
        <v>1967</v>
      </c>
      <c r="F8026">
        <v>86.87</v>
      </c>
      <c r="H8026">
        <v>14861.22</v>
      </c>
    </row>
    <row r="8027" spans="1:8" ht="15" customHeight="1" x14ac:dyDescent="0.2">
      <c r="A8027" s="420">
        <v>45968</v>
      </c>
      <c r="B8027" t="s">
        <v>2532</v>
      </c>
      <c r="C8027" t="s">
        <v>1730</v>
      </c>
      <c r="D8027" t="s">
        <v>3715</v>
      </c>
      <c r="E8027" t="s">
        <v>1969</v>
      </c>
      <c r="F8027">
        <v>129.66</v>
      </c>
      <c r="H8027">
        <v>14990.88</v>
      </c>
    </row>
    <row r="8028" spans="1:8" ht="15" customHeight="1" x14ac:dyDescent="0.2">
      <c r="A8028" s="420">
        <v>45968</v>
      </c>
      <c r="B8028" t="s">
        <v>2532</v>
      </c>
      <c r="C8028" t="s">
        <v>1730</v>
      </c>
      <c r="D8028" t="s">
        <v>5323</v>
      </c>
      <c r="E8028" t="s">
        <v>1970</v>
      </c>
      <c r="F8028">
        <v>39.950000000000003</v>
      </c>
      <c r="H8028">
        <v>15030.83</v>
      </c>
    </row>
    <row r="8029" spans="1:8" ht="15" customHeight="1" x14ac:dyDescent="0.2">
      <c r="A8029" s="420">
        <v>45972</v>
      </c>
      <c r="B8029" t="s">
        <v>2532</v>
      </c>
      <c r="C8029" t="s">
        <v>1730</v>
      </c>
      <c r="D8029" t="s">
        <v>3718</v>
      </c>
      <c r="E8029" t="s">
        <v>1971</v>
      </c>
      <c r="F8029">
        <v>949.99</v>
      </c>
      <c r="H8029">
        <v>15980.82</v>
      </c>
    </row>
    <row r="8030" spans="1:8" ht="15" customHeight="1" x14ac:dyDescent="0.2">
      <c r="A8030" s="420">
        <v>45972</v>
      </c>
      <c r="B8030" t="s">
        <v>2532</v>
      </c>
      <c r="C8030" t="s">
        <v>1730</v>
      </c>
      <c r="D8030" t="s">
        <v>5325</v>
      </c>
      <c r="E8030" t="s">
        <v>1972</v>
      </c>
      <c r="F8030">
        <v>103.85</v>
      </c>
      <c r="H8030">
        <v>16084.67</v>
      </c>
    </row>
    <row r="8031" spans="1:8" ht="15" customHeight="1" x14ac:dyDescent="0.2">
      <c r="A8031" s="420">
        <v>45992</v>
      </c>
      <c r="B8031" t="s">
        <v>2547</v>
      </c>
      <c r="C8031" t="s">
        <v>1730</v>
      </c>
      <c r="D8031" t="s">
        <v>3567</v>
      </c>
      <c r="E8031" t="s">
        <v>1984</v>
      </c>
      <c r="F8031">
        <v>374.83</v>
      </c>
      <c r="H8031">
        <v>16459.5</v>
      </c>
    </row>
    <row r="8032" spans="1:8" ht="15" customHeight="1" x14ac:dyDescent="0.2">
      <c r="A8032" s="420">
        <v>45995</v>
      </c>
      <c r="B8032" t="s">
        <v>2532</v>
      </c>
      <c r="C8032" t="s">
        <v>1730</v>
      </c>
      <c r="D8032" t="s">
        <v>3720</v>
      </c>
      <c r="E8032" t="s">
        <v>1988</v>
      </c>
      <c r="F8032">
        <v>30</v>
      </c>
      <c r="H8032">
        <v>16489.5</v>
      </c>
    </row>
    <row r="8033" spans="1:10" ht="15" customHeight="1" x14ac:dyDescent="0.2">
      <c r="A8033" s="420">
        <v>45995</v>
      </c>
      <c r="B8033" t="s">
        <v>2532</v>
      </c>
      <c r="C8033" t="s">
        <v>1730</v>
      </c>
      <c r="D8033" t="s">
        <v>3721</v>
      </c>
      <c r="E8033" t="s">
        <v>1989</v>
      </c>
      <c r="F8033">
        <v>275.05</v>
      </c>
      <c r="H8033">
        <v>16764.55</v>
      </c>
    </row>
    <row r="8034" spans="1:10" ht="15" customHeight="1" x14ac:dyDescent="0.2">
      <c r="A8034" s="420">
        <v>46001</v>
      </c>
      <c r="B8034" t="s">
        <v>2532</v>
      </c>
      <c r="C8034" t="s">
        <v>1730</v>
      </c>
      <c r="D8034" t="s">
        <v>4983</v>
      </c>
      <c r="E8034" t="s">
        <v>1993</v>
      </c>
      <c r="F8034">
        <v>45</v>
      </c>
      <c r="H8034">
        <v>16809.55</v>
      </c>
    </row>
    <row r="8035" spans="1:10" ht="15" customHeight="1" x14ac:dyDescent="0.2">
      <c r="A8035" s="420">
        <v>46002</v>
      </c>
      <c r="B8035" t="s">
        <v>2532</v>
      </c>
      <c r="C8035" t="s">
        <v>1730</v>
      </c>
      <c r="D8035" t="s">
        <v>5327</v>
      </c>
      <c r="E8035" t="s">
        <v>1761</v>
      </c>
      <c r="F8035">
        <v>22.1</v>
      </c>
      <c r="H8035">
        <v>16831.650000000001</v>
      </c>
    </row>
    <row r="8036" spans="1:10" ht="15" customHeight="1" x14ac:dyDescent="0.2">
      <c r="A8036" s="420">
        <v>46006</v>
      </c>
      <c r="B8036" t="s">
        <v>2532</v>
      </c>
      <c r="C8036" t="s">
        <v>1730</v>
      </c>
      <c r="D8036" t="s">
        <v>4286</v>
      </c>
      <c r="E8036" t="s">
        <v>1997</v>
      </c>
      <c r="F8036">
        <v>167</v>
      </c>
      <c r="H8036">
        <v>16998.650000000001</v>
      </c>
    </row>
    <row r="8037" spans="1:10" ht="15" customHeight="1" x14ac:dyDescent="0.2">
      <c r="A8037" t="s">
        <v>1730</v>
      </c>
      <c r="E8037" t="s">
        <v>349</v>
      </c>
      <c r="F8037">
        <v>17040.45</v>
      </c>
      <c r="G8037">
        <v>41.8</v>
      </c>
      <c r="H8037">
        <v>16998.650000000001</v>
      </c>
    </row>
    <row r="8039" spans="1:10" ht="15" customHeight="1" x14ac:dyDescent="0.2">
      <c r="A8039" t="s">
        <v>1723</v>
      </c>
      <c r="B8039" t="s">
        <v>1724</v>
      </c>
      <c r="F8039" t="s">
        <v>2430</v>
      </c>
      <c r="G8039" t="s">
        <v>2431</v>
      </c>
      <c r="H8039" t="s">
        <v>2432</v>
      </c>
      <c r="I8039" t="s">
        <v>2433</v>
      </c>
      <c r="J8039" t="s">
        <v>2434</v>
      </c>
    </row>
    <row r="8040" spans="1:10" ht="15" customHeight="1" x14ac:dyDescent="0.2">
      <c r="A8040" s="420">
        <v>45658</v>
      </c>
      <c r="B8040" t="s">
        <v>2532</v>
      </c>
      <c r="C8040" t="s">
        <v>1723</v>
      </c>
      <c r="D8040" t="s">
        <v>5376</v>
      </c>
      <c r="E8040" t="s">
        <v>1725</v>
      </c>
      <c r="F8040">
        <v>120.37</v>
      </c>
      <c r="H8040">
        <v>120.37</v>
      </c>
    </row>
    <row r="8041" spans="1:10" ht="15" customHeight="1" x14ac:dyDescent="0.2">
      <c r="A8041" s="420">
        <v>45658</v>
      </c>
      <c r="B8041" t="s">
        <v>2507</v>
      </c>
      <c r="C8041" t="s">
        <v>1723</v>
      </c>
      <c r="D8041" t="s">
        <v>5494</v>
      </c>
      <c r="E8041" t="s">
        <v>1726</v>
      </c>
      <c r="G8041">
        <v>120.37</v>
      </c>
      <c r="J8041" t="s">
        <v>2511</v>
      </c>
    </row>
    <row r="8042" spans="1:10" ht="15" customHeight="1" x14ac:dyDescent="0.2">
      <c r="A8042" s="420">
        <v>45689</v>
      </c>
      <c r="B8042" t="s">
        <v>2532</v>
      </c>
      <c r="C8042" t="s">
        <v>1723</v>
      </c>
      <c r="D8042" t="s">
        <v>5379</v>
      </c>
      <c r="E8042" t="s">
        <v>1772</v>
      </c>
      <c r="F8042">
        <v>157.03</v>
      </c>
      <c r="H8042">
        <v>157.03</v>
      </c>
    </row>
    <row r="8043" spans="1:10" ht="15" customHeight="1" x14ac:dyDescent="0.2">
      <c r="A8043" s="420">
        <v>45717</v>
      </c>
      <c r="B8043" t="s">
        <v>2547</v>
      </c>
      <c r="C8043" t="s">
        <v>1723</v>
      </c>
      <c r="D8043" t="s">
        <v>5382</v>
      </c>
      <c r="E8043" t="s">
        <v>1787</v>
      </c>
      <c r="F8043">
        <v>31.28</v>
      </c>
      <c r="H8043">
        <v>188.31</v>
      </c>
    </row>
    <row r="8044" spans="1:10" ht="15" customHeight="1" x14ac:dyDescent="0.2">
      <c r="A8044" s="420">
        <v>45727</v>
      </c>
      <c r="B8044" t="s">
        <v>2532</v>
      </c>
      <c r="C8044" t="s">
        <v>1723</v>
      </c>
      <c r="D8044" t="s">
        <v>4766</v>
      </c>
      <c r="E8044" t="s">
        <v>1792</v>
      </c>
      <c r="F8044">
        <v>60.83</v>
      </c>
      <c r="H8044">
        <v>249.14</v>
      </c>
    </row>
    <row r="8045" spans="1:10" ht="15" customHeight="1" x14ac:dyDescent="0.2">
      <c r="A8045" s="420">
        <v>45748</v>
      </c>
      <c r="B8045" t="s">
        <v>2532</v>
      </c>
      <c r="C8045" t="s">
        <v>1723</v>
      </c>
      <c r="D8045" t="s">
        <v>5385</v>
      </c>
      <c r="E8045" t="s">
        <v>1813</v>
      </c>
      <c r="F8045">
        <v>141.12</v>
      </c>
      <c r="H8045">
        <v>390.26</v>
      </c>
    </row>
    <row r="8046" spans="1:10" ht="15" customHeight="1" x14ac:dyDescent="0.2">
      <c r="A8046" s="420">
        <v>45751</v>
      </c>
      <c r="B8046" t="s">
        <v>2532</v>
      </c>
      <c r="C8046" t="s">
        <v>1723</v>
      </c>
      <c r="D8046" t="s">
        <v>3381</v>
      </c>
      <c r="E8046" t="s">
        <v>1817</v>
      </c>
      <c r="F8046">
        <v>18.170000000000002</v>
      </c>
      <c r="H8046">
        <v>408.43</v>
      </c>
    </row>
    <row r="8047" spans="1:10" ht="15" customHeight="1" x14ac:dyDescent="0.2">
      <c r="A8047" s="420">
        <v>45778</v>
      </c>
      <c r="B8047" t="s">
        <v>2532</v>
      </c>
      <c r="C8047" t="s">
        <v>1723</v>
      </c>
      <c r="D8047" t="s">
        <v>5388</v>
      </c>
      <c r="E8047" t="s">
        <v>1841</v>
      </c>
      <c r="F8047">
        <v>7.87</v>
      </c>
      <c r="H8047">
        <v>416.3</v>
      </c>
    </row>
    <row r="8048" spans="1:10" ht="15" customHeight="1" x14ac:dyDescent="0.2">
      <c r="A8048" s="420">
        <v>45809</v>
      </c>
      <c r="B8048" t="s">
        <v>2532</v>
      </c>
      <c r="C8048" t="s">
        <v>1723</v>
      </c>
      <c r="D8048" t="s">
        <v>5391</v>
      </c>
      <c r="E8048" t="s">
        <v>1866</v>
      </c>
      <c r="F8048">
        <v>134.19999999999999</v>
      </c>
      <c r="H8048">
        <v>550.5</v>
      </c>
    </row>
    <row r="8049" spans="1:10" ht="15" customHeight="1" x14ac:dyDescent="0.2">
      <c r="A8049" s="420">
        <v>45811</v>
      </c>
      <c r="B8049" t="s">
        <v>2532</v>
      </c>
      <c r="C8049" t="s">
        <v>1723</v>
      </c>
      <c r="D8049" t="s">
        <v>4779</v>
      </c>
      <c r="E8049" t="s">
        <v>1868</v>
      </c>
      <c r="F8049">
        <v>2.08</v>
      </c>
      <c r="H8049">
        <v>552.58000000000004</v>
      </c>
    </row>
    <row r="8050" spans="1:10" ht="15" customHeight="1" x14ac:dyDescent="0.2">
      <c r="A8050" s="420">
        <v>45811</v>
      </c>
      <c r="B8050" t="s">
        <v>2532</v>
      </c>
      <c r="C8050" t="s">
        <v>1723</v>
      </c>
      <c r="D8050" t="s">
        <v>4772</v>
      </c>
      <c r="E8050" t="s">
        <v>1869</v>
      </c>
      <c r="F8050">
        <v>76.92</v>
      </c>
      <c r="H8050">
        <v>629.5</v>
      </c>
    </row>
    <row r="8051" spans="1:10" ht="15" customHeight="1" x14ac:dyDescent="0.2">
      <c r="A8051" s="420">
        <v>45811</v>
      </c>
      <c r="B8051" t="s">
        <v>2532</v>
      </c>
      <c r="C8051" t="s">
        <v>1723</v>
      </c>
      <c r="D8051" t="s">
        <v>4780</v>
      </c>
      <c r="E8051" t="s">
        <v>1870</v>
      </c>
      <c r="F8051">
        <v>2.17</v>
      </c>
      <c r="H8051">
        <v>631.66999999999996</v>
      </c>
    </row>
    <row r="8052" spans="1:10" ht="15" customHeight="1" x14ac:dyDescent="0.2">
      <c r="A8052" s="420">
        <v>45839</v>
      </c>
      <c r="B8052" t="s">
        <v>2532</v>
      </c>
      <c r="C8052" t="s">
        <v>1723</v>
      </c>
      <c r="D8052" t="s">
        <v>5394</v>
      </c>
      <c r="E8052" t="s">
        <v>1892</v>
      </c>
      <c r="F8052">
        <v>57.95</v>
      </c>
      <c r="H8052">
        <v>689.62</v>
      </c>
    </row>
    <row r="8053" spans="1:10" ht="15" customHeight="1" x14ac:dyDescent="0.2">
      <c r="A8053" s="420">
        <v>45870</v>
      </c>
      <c r="B8053" t="s">
        <v>2532</v>
      </c>
      <c r="C8053" t="s">
        <v>1723</v>
      </c>
      <c r="D8053" t="s">
        <v>5397</v>
      </c>
      <c r="E8053" t="s">
        <v>1912</v>
      </c>
      <c r="F8053">
        <v>48.95</v>
      </c>
      <c r="H8053">
        <v>738.57</v>
      </c>
    </row>
    <row r="8054" spans="1:10" ht="15" customHeight="1" x14ac:dyDescent="0.2">
      <c r="A8054" s="420">
        <v>45909</v>
      </c>
      <c r="B8054" t="s">
        <v>2532</v>
      </c>
      <c r="C8054" t="s">
        <v>1723</v>
      </c>
      <c r="D8054" t="s">
        <v>5400</v>
      </c>
      <c r="E8054" t="s">
        <v>1931</v>
      </c>
      <c r="F8054">
        <v>46.45</v>
      </c>
      <c r="H8054">
        <v>785.02</v>
      </c>
    </row>
    <row r="8055" spans="1:10" ht="15" customHeight="1" x14ac:dyDescent="0.2">
      <c r="A8055" s="420">
        <v>45931</v>
      </c>
      <c r="B8055" t="s">
        <v>2532</v>
      </c>
      <c r="C8055" t="s">
        <v>1723</v>
      </c>
      <c r="D8055" t="s">
        <v>5403</v>
      </c>
      <c r="E8055" t="s">
        <v>1943</v>
      </c>
      <c r="F8055">
        <v>97.62</v>
      </c>
      <c r="H8055">
        <v>882.64</v>
      </c>
    </row>
    <row r="8056" spans="1:10" ht="15" customHeight="1" x14ac:dyDescent="0.2">
      <c r="A8056" s="420">
        <v>45962</v>
      </c>
      <c r="B8056" t="s">
        <v>2532</v>
      </c>
      <c r="C8056" t="s">
        <v>1723</v>
      </c>
      <c r="D8056" t="s">
        <v>5406</v>
      </c>
      <c r="E8056" t="s">
        <v>1966</v>
      </c>
      <c r="F8056">
        <v>60.78</v>
      </c>
      <c r="H8056">
        <v>943.42</v>
      </c>
    </row>
    <row r="8057" spans="1:10" ht="15" customHeight="1" x14ac:dyDescent="0.2">
      <c r="A8057" s="420">
        <v>45992</v>
      </c>
      <c r="B8057" t="s">
        <v>2532</v>
      </c>
      <c r="C8057" t="s">
        <v>1723</v>
      </c>
      <c r="D8057" t="s">
        <v>5409</v>
      </c>
      <c r="E8057" t="s">
        <v>1985</v>
      </c>
      <c r="F8057">
        <v>57.78</v>
      </c>
      <c r="H8057">
        <v>1001.2</v>
      </c>
    </row>
    <row r="8058" spans="1:10" ht="15" customHeight="1" x14ac:dyDescent="0.2">
      <c r="A8058" t="s">
        <v>1723</v>
      </c>
      <c r="E8058" t="s">
        <v>349</v>
      </c>
      <c r="F8058">
        <v>1121.57</v>
      </c>
      <c r="G8058">
        <v>120.37</v>
      </c>
      <c r="H8058">
        <v>1001.2</v>
      </c>
    </row>
    <row r="8060" spans="1:10" ht="15" customHeight="1" x14ac:dyDescent="0.2">
      <c r="A8060" t="s">
        <v>1951</v>
      </c>
      <c r="B8060" t="s">
        <v>1952</v>
      </c>
      <c r="F8060" t="s">
        <v>2430</v>
      </c>
      <c r="G8060" t="s">
        <v>2431</v>
      </c>
      <c r="H8060" t="s">
        <v>2432</v>
      </c>
      <c r="I8060" t="s">
        <v>2433</v>
      </c>
      <c r="J8060" t="s">
        <v>2434</v>
      </c>
    </row>
    <row r="8061" spans="1:10" ht="15" customHeight="1" x14ac:dyDescent="0.2">
      <c r="A8061" s="420">
        <v>45938</v>
      </c>
      <c r="B8061" t="s">
        <v>2547</v>
      </c>
      <c r="C8061" t="s">
        <v>1951</v>
      </c>
      <c r="D8061" t="s">
        <v>5171</v>
      </c>
      <c r="E8061" t="s">
        <v>1953</v>
      </c>
      <c r="F8061">
        <v>91.64</v>
      </c>
      <c r="H8061">
        <v>91.64</v>
      </c>
    </row>
    <row r="8062" spans="1:10" ht="15" customHeight="1" x14ac:dyDescent="0.2">
      <c r="A8062" t="s">
        <v>1951</v>
      </c>
      <c r="E8062" t="s">
        <v>349</v>
      </c>
      <c r="F8062">
        <v>91.64</v>
      </c>
      <c r="H8062">
        <v>91.64</v>
      </c>
    </row>
    <row r="8064" spans="1:10" ht="15" customHeight="1" x14ac:dyDescent="0.2">
      <c r="A8064" t="s">
        <v>1887</v>
      </c>
      <c r="B8064" t="s">
        <v>1888</v>
      </c>
      <c r="F8064" t="s">
        <v>2430</v>
      </c>
      <c r="G8064" t="s">
        <v>2431</v>
      </c>
      <c r="H8064" t="s">
        <v>2432</v>
      </c>
      <c r="I8064" t="s">
        <v>2433</v>
      </c>
      <c r="J8064" t="s">
        <v>2434</v>
      </c>
    </row>
    <row r="8065" spans="1:10" ht="15" customHeight="1" x14ac:dyDescent="0.2">
      <c r="A8065" s="420">
        <v>45838</v>
      </c>
      <c r="B8065" t="s">
        <v>2535</v>
      </c>
      <c r="C8065" t="s">
        <v>1887</v>
      </c>
      <c r="D8065" t="s">
        <v>5524</v>
      </c>
      <c r="E8065" t="s">
        <v>1889</v>
      </c>
      <c r="F8065">
        <v>5080.21</v>
      </c>
      <c r="H8065">
        <v>5080.21</v>
      </c>
      <c r="J8065" t="s">
        <v>2511</v>
      </c>
    </row>
    <row r="8066" spans="1:10" ht="15" customHeight="1" x14ac:dyDescent="0.2">
      <c r="A8066" s="420">
        <v>45839</v>
      </c>
      <c r="B8066" t="s">
        <v>2535</v>
      </c>
      <c r="C8066" t="s">
        <v>1887</v>
      </c>
      <c r="D8066" t="s">
        <v>5524</v>
      </c>
      <c r="E8066" t="s">
        <v>1893</v>
      </c>
      <c r="G8066">
        <v>5080.21</v>
      </c>
      <c r="J8066" t="s">
        <v>2511</v>
      </c>
    </row>
    <row r="8067" spans="1:10" ht="15" customHeight="1" x14ac:dyDescent="0.2">
      <c r="A8067" s="420">
        <v>46022</v>
      </c>
      <c r="B8067" t="s">
        <v>2507</v>
      </c>
      <c r="C8067" t="s">
        <v>1887</v>
      </c>
      <c r="D8067" t="s">
        <v>2008</v>
      </c>
      <c r="E8067" t="s">
        <v>2008</v>
      </c>
      <c r="F8067">
        <v>8594.23</v>
      </c>
      <c r="H8067">
        <v>8594.23</v>
      </c>
      <c r="J8067" t="s">
        <v>2511</v>
      </c>
    </row>
    <row r="8068" spans="1:10" ht="15" customHeight="1" x14ac:dyDescent="0.2">
      <c r="A8068" t="s">
        <v>1887</v>
      </c>
      <c r="E8068" t="s">
        <v>349</v>
      </c>
      <c r="F8068">
        <v>13674.44</v>
      </c>
      <c r="G8068">
        <v>5080.21</v>
      </c>
      <c r="H8068">
        <v>8594.23</v>
      </c>
    </row>
    <row r="8070" spans="1:10" ht="15" customHeight="1" x14ac:dyDescent="0.2">
      <c r="A8070" t="s">
        <v>1727</v>
      </c>
      <c r="B8070" t="s">
        <v>1728</v>
      </c>
      <c r="F8070" t="s">
        <v>2430</v>
      </c>
      <c r="G8070" t="s">
        <v>2431</v>
      </c>
      <c r="H8070" t="s">
        <v>2432</v>
      </c>
      <c r="I8070" t="s">
        <v>2433</v>
      </c>
      <c r="J8070" t="s">
        <v>2434</v>
      </c>
    </row>
    <row r="8071" spans="1:10" ht="15" customHeight="1" x14ac:dyDescent="0.2">
      <c r="A8071" s="420">
        <v>45659</v>
      </c>
      <c r="B8071" t="s">
        <v>2532</v>
      </c>
      <c r="C8071" t="s">
        <v>1727</v>
      </c>
      <c r="D8071" t="s">
        <v>3693</v>
      </c>
      <c r="E8071" t="s">
        <v>1729</v>
      </c>
      <c r="F8071">
        <v>950.38</v>
      </c>
      <c r="H8071">
        <v>950.38</v>
      </c>
    </row>
    <row r="8072" spans="1:10" ht="15" customHeight="1" x14ac:dyDescent="0.2">
      <c r="A8072" s="420">
        <v>45664</v>
      </c>
      <c r="B8072" t="s">
        <v>2333</v>
      </c>
      <c r="C8072" t="s">
        <v>1727</v>
      </c>
      <c r="D8072" t="s">
        <v>7512</v>
      </c>
      <c r="E8072" t="s">
        <v>1738</v>
      </c>
      <c r="F8072">
        <v>40.9</v>
      </c>
      <c r="H8072">
        <v>991.28</v>
      </c>
    </row>
    <row r="8073" spans="1:10" ht="15" customHeight="1" x14ac:dyDescent="0.2">
      <c r="A8073" s="420">
        <v>45666</v>
      </c>
      <c r="B8073" t="s">
        <v>2333</v>
      </c>
      <c r="C8073" t="s">
        <v>1727</v>
      </c>
      <c r="D8073" t="s">
        <v>7514</v>
      </c>
      <c r="E8073" t="s">
        <v>1740</v>
      </c>
      <c r="F8073">
        <v>20.04</v>
      </c>
      <c r="H8073">
        <v>1011.32</v>
      </c>
    </row>
    <row r="8074" spans="1:10" ht="15" customHeight="1" x14ac:dyDescent="0.2">
      <c r="A8074" s="420">
        <v>45679</v>
      </c>
      <c r="B8074" t="s">
        <v>2547</v>
      </c>
      <c r="C8074" t="s">
        <v>1727</v>
      </c>
      <c r="D8074" t="s">
        <v>3595</v>
      </c>
      <c r="E8074" t="s">
        <v>1758</v>
      </c>
      <c r="F8074">
        <v>26.57</v>
      </c>
      <c r="H8074">
        <v>1037.8900000000001</v>
      </c>
    </row>
    <row r="8075" spans="1:10" ht="15" customHeight="1" x14ac:dyDescent="0.2">
      <c r="A8075" s="420">
        <v>45684</v>
      </c>
      <c r="B8075" t="s">
        <v>2333</v>
      </c>
      <c r="C8075" t="s">
        <v>1727</v>
      </c>
      <c r="D8075" t="s">
        <v>7522</v>
      </c>
      <c r="E8075" t="s">
        <v>1766</v>
      </c>
      <c r="F8075">
        <v>46.3</v>
      </c>
      <c r="H8075">
        <v>1084.19</v>
      </c>
    </row>
    <row r="8076" spans="1:10" ht="15" customHeight="1" x14ac:dyDescent="0.2">
      <c r="A8076" s="420">
        <v>45713</v>
      </c>
      <c r="B8076" t="s">
        <v>2547</v>
      </c>
      <c r="C8076" t="s">
        <v>1727</v>
      </c>
      <c r="D8076" t="s">
        <v>4854</v>
      </c>
      <c r="E8076" t="s">
        <v>1781</v>
      </c>
      <c r="F8076">
        <v>19.45</v>
      </c>
      <c r="H8076">
        <v>1103.6400000000001</v>
      </c>
    </row>
    <row r="8077" spans="1:10" ht="15" customHeight="1" x14ac:dyDescent="0.2">
      <c r="A8077" s="420">
        <v>45730</v>
      </c>
      <c r="B8077" t="s">
        <v>2547</v>
      </c>
      <c r="C8077" t="s">
        <v>1727</v>
      </c>
      <c r="D8077" t="s">
        <v>3784</v>
      </c>
      <c r="E8077" t="s">
        <v>1795</v>
      </c>
      <c r="F8077">
        <v>21.82</v>
      </c>
      <c r="H8077">
        <v>1125.46</v>
      </c>
    </row>
    <row r="8078" spans="1:10" ht="15" customHeight="1" x14ac:dyDescent="0.2">
      <c r="A8078" s="420">
        <v>45741</v>
      </c>
      <c r="B8078" t="s">
        <v>2532</v>
      </c>
      <c r="C8078" t="s">
        <v>1727</v>
      </c>
      <c r="D8078" t="s">
        <v>6974</v>
      </c>
      <c r="E8078" t="s">
        <v>1805</v>
      </c>
      <c r="F8078">
        <v>8.1199999999999992</v>
      </c>
      <c r="H8078">
        <v>1133.58</v>
      </c>
    </row>
    <row r="8079" spans="1:10" ht="15" customHeight="1" x14ac:dyDescent="0.2">
      <c r="A8079" s="420">
        <v>45741</v>
      </c>
      <c r="B8079" t="s">
        <v>2532</v>
      </c>
      <c r="C8079" t="s">
        <v>1727</v>
      </c>
      <c r="D8079" t="s">
        <v>6974</v>
      </c>
      <c r="E8079" t="s">
        <v>1805</v>
      </c>
      <c r="F8079">
        <v>16.63</v>
      </c>
      <c r="H8079">
        <v>1150.21</v>
      </c>
    </row>
    <row r="8080" spans="1:10" ht="15" customHeight="1" x14ac:dyDescent="0.2">
      <c r="A8080" s="420">
        <v>45772</v>
      </c>
      <c r="B8080" t="s">
        <v>2532</v>
      </c>
      <c r="C8080" t="s">
        <v>1727</v>
      </c>
      <c r="D8080" t="s">
        <v>3372</v>
      </c>
      <c r="E8080" t="s">
        <v>1836</v>
      </c>
      <c r="F8080">
        <v>7.29</v>
      </c>
      <c r="H8080">
        <v>1157.5</v>
      </c>
    </row>
    <row r="8081" spans="1:10" ht="15" customHeight="1" x14ac:dyDescent="0.2">
      <c r="A8081" s="420">
        <v>45772</v>
      </c>
      <c r="B8081" t="s">
        <v>2532</v>
      </c>
      <c r="C8081" t="s">
        <v>1727</v>
      </c>
      <c r="D8081" t="s">
        <v>3372</v>
      </c>
      <c r="E8081" t="s">
        <v>1836</v>
      </c>
      <c r="F8081">
        <v>19.36</v>
      </c>
      <c r="H8081">
        <v>1176.8599999999999</v>
      </c>
    </row>
    <row r="8082" spans="1:10" ht="15" customHeight="1" x14ac:dyDescent="0.2">
      <c r="A8082" s="420">
        <v>45798</v>
      </c>
      <c r="B8082" t="s">
        <v>2532</v>
      </c>
      <c r="C8082" t="s">
        <v>1727</v>
      </c>
      <c r="D8082" t="s">
        <v>3377</v>
      </c>
      <c r="E8082" t="s">
        <v>1854</v>
      </c>
      <c r="F8082">
        <v>7.08</v>
      </c>
      <c r="H8082">
        <v>1183.94</v>
      </c>
    </row>
    <row r="8083" spans="1:10" ht="15" customHeight="1" x14ac:dyDescent="0.2">
      <c r="A8083" s="420">
        <v>45798</v>
      </c>
      <c r="B8083" t="s">
        <v>2532</v>
      </c>
      <c r="C8083" t="s">
        <v>1727</v>
      </c>
      <c r="D8083" t="s">
        <v>3377</v>
      </c>
      <c r="E8083" t="s">
        <v>1854</v>
      </c>
      <c r="F8083">
        <v>20.09</v>
      </c>
      <c r="H8083">
        <v>1204.03</v>
      </c>
    </row>
    <row r="8084" spans="1:10" ht="15" customHeight="1" x14ac:dyDescent="0.2">
      <c r="A8084" s="420">
        <v>45799</v>
      </c>
      <c r="B8084" t="s">
        <v>2532</v>
      </c>
      <c r="C8084" t="s">
        <v>1727</v>
      </c>
      <c r="D8084" t="s">
        <v>4886</v>
      </c>
      <c r="E8084" t="s">
        <v>1856</v>
      </c>
      <c r="F8084">
        <v>15.73</v>
      </c>
      <c r="H8084">
        <v>1219.76</v>
      </c>
    </row>
    <row r="8085" spans="1:10" ht="15" customHeight="1" x14ac:dyDescent="0.2">
      <c r="A8085" s="420">
        <v>45840</v>
      </c>
      <c r="B8085" t="s">
        <v>2532</v>
      </c>
      <c r="C8085" t="s">
        <v>1727</v>
      </c>
      <c r="D8085" t="s">
        <v>4916</v>
      </c>
      <c r="E8085" t="s">
        <v>1898</v>
      </c>
      <c r="F8085">
        <v>5.62</v>
      </c>
      <c r="H8085">
        <v>1225.3800000000001</v>
      </c>
    </row>
    <row r="8086" spans="1:10" ht="15" customHeight="1" x14ac:dyDescent="0.2">
      <c r="A8086" s="420">
        <v>45840</v>
      </c>
      <c r="B8086" t="s">
        <v>2532</v>
      </c>
      <c r="C8086" t="s">
        <v>1727</v>
      </c>
      <c r="D8086" t="s">
        <v>4916</v>
      </c>
      <c r="E8086" t="s">
        <v>1898</v>
      </c>
      <c r="F8086">
        <v>21.84</v>
      </c>
      <c r="H8086">
        <v>1247.22</v>
      </c>
    </row>
    <row r="8087" spans="1:10" ht="15" customHeight="1" x14ac:dyDescent="0.2">
      <c r="A8087" s="420">
        <v>45868</v>
      </c>
      <c r="B8087" t="s">
        <v>2532</v>
      </c>
      <c r="C8087" t="s">
        <v>1727</v>
      </c>
      <c r="D8087" t="s">
        <v>4932</v>
      </c>
      <c r="E8087" t="s">
        <v>1908</v>
      </c>
      <c r="F8087">
        <v>6</v>
      </c>
      <c r="H8087">
        <v>1253.22</v>
      </c>
    </row>
    <row r="8088" spans="1:10" ht="15" customHeight="1" x14ac:dyDescent="0.2">
      <c r="A8088" s="420">
        <v>45868</v>
      </c>
      <c r="B8088" t="s">
        <v>2532</v>
      </c>
      <c r="C8088" t="s">
        <v>1727</v>
      </c>
      <c r="D8088" t="s">
        <v>4932</v>
      </c>
      <c r="E8088" t="s">
        <v>1909</v>
      </c>
      <c r="F8088">
        <v>27</v>
      </c>
      <c r="H8088">
        <v>1280.22</v>
      </c>
    </row>
    <row r="8089" spans="1:10" ht="15" customHeight="1" x14ac:dyDescent="0.2">
      <c r="A8089" s="420">
        <v>45904</v>
      </c>
      <c r="B8089" t="s">
        <v>2532</v>
      </c>
      <c r="C8089" t="s">
        <v>1727</v>
      </c>
      <c r="D8089" t="s">
        <v>4937</v>
      </c>
      <c r="E8089" t="s">
        <v>1926</v>
      </c>
      <c r="F8089">
        <v>6</v>
      </c>
      <c r="H8089">
        <v>1286.22</v>
      </c>
    </row>
    <row r="8090" spans="1:10" ht="15" customHeight="1" x14ac:dyDescent="0.2">
      <c r="A8090" s="420">
        <v>45904</v>
      </c>
      <c r="B8090" t="s">
        <v>2532</v>
      </c>
      <c r="C8090" t="s">
        <v>1727</v>
      </c>
      <c r="D8090" t="s">
        <v>4937</v>
      </c>
      <c r="E8090" t="s">
        <v>1926</v>
      </c>
      <c r="F8090">
        <v>16.27</v>
      </c>
      <c r="H8090">
        <v>1302.49</v>
      </c>
    </row>
    <row r="8091" spans="1:10" ht="15" customHeight="1" x14ac:dyDescent="0.2">
      <c r="A8091" t="s">
        <v>1727</v>
      </c>
      <c r="E8091" t="s">
        <v>349</v>
      </c>
      <c r="F8091">
        <v>1302.49</v>
      </c>
      <c r="H8091">
        <v>1302.49</v>
      </c>
    </row>
    <row r="8093" spans="1:10" ht="15" customHeight="1" x14ac:dyDescent="0.2">
      <c r="A8093" t="s">
        <v>1734</v>
      </c>
      <c r="B8093" t="s">
        <v>1735</v>
      </c>
      <c r="F8093" t="s">
        <v>2430</v>
      </c>
      <c r="G8093" t="s">
        <v>2431</v>
      </c>
      <c r="H8093" t="s">
        <v>2432</v>
      </c>
      <c r="I8093" t="s">
        <v>2433</v>
      </c>
      <c r="J8093" t="s">
        <v>2434</v>
      </c>
    </row>
    <row r="8094" spans="1:10" ht="15" customHeight="1" x14ac:dyDescent="0.2">
      <c r="A8094" s="420">
        <v>45660</v>
      </c>
      <c r="B8094" t="s">
        <v>2532</v>
      </c>
      <c r="C8094" t="s">
        <v>1734</v>
      </c>
      <c r="D8094" t="s">
        <v>4624</v>
      </c>
      <c r="E8094" t="s">
        <v>1736</v>
      </c>
      <c r="F8094">
        <v>107</v>
      </c>
      <c r="H8094">
        <v>107</v>
      </c>
    </row>
    <row r="8095" spans="1:10" ht="15" customHeight="1" x14ac:dyDescent="0.2">
      <c r="A8095" s="420">
        <v>45663</v>
      </c>
      <c r="B8095" t="s">
        <v>2547</v>
      </c>
      <c r="C8095" t="s">
        <v>1734</v>
      </c>
      <c r="D8095" t="s">
        <v>3595</v>
      </c>
      <c r="E8095" t="s">
        <v>1737</v>
      </c>
      <c r="F8095">
        <v>36.659999999999997</v>
      </c>
      <c r="H8095">
        <v>143.66</v>
      </c>
    </row>
    <row r="8096" spans="1:10" ht="15" customHeight="1" x14ac:dyDescent="0.2">
      <c r="A8096" s="420">
        <v>45673</v>
      </c>
      <c r="B8096" t="s">
        <v>2532</v>
      </c>
      <c r="C8096" t="s">
        <v>1734</v>
      </c>
      <c r="D8096" t="s">
        <v>4837</v>
      </c>
      <c r="E8096" t="s">
        <v>1748</v>
      </c>
      <c r="F8096">
        <v>26.02</v>
      </c>
      <c r="H8096">
        <v>169.68</v>
      </c>
    </row>
    <row r="8097" spans="1:8" ht="15" customHeight="1" x14ac:dyDescent="0.2">
      <c r="A8097" s="420">
        <v>45673</v>
      </c>
      <c r="B8097" t="s">
        <v>2532</v>
      </c>
      <c r="C8097" t="s">
        <v>1734</v>
      </c>
      <c r="D8097" t="s">
        <v>4837</v>
      </c>
      <c r="E8097" t="s">
        <v>1748</v>
      </c>
      <c r="F8097">
        <v>10.35</v>
      </c>
      <c r="H8097">
        <v>180.03</v>
      </c>
    </row>
    <row r="8098" spans="1:8" ht="15" customHeight="1" x14ac:dyDescent="0.2">
      <c r="A8098" s="420">
        <v>45673</v>
      </c>
      <c r="B8098" t="s">
        <v>2532</v>
      </c>
      <c r="C8098" t="s">
        <v>1734</v>
      </c>
      <c r="D8098" t="s">
        <v>4838</v>
      </c>
      <c r="E8098" t="s">
        <v>1749</v>
      </c>
      <c r="F8098">
        <v>22.73</v>
      </c>
      <c r="H8098">
        <v>202.76</v>
      </c>
    </row>
    <row r="8099" spans="1:8" ht="15" customHeight="1" x14ac:dyDescent="0.2">
      <c r="A8099" s="420">
        <v>45673</v>
      </c>
      <c r="B8099" t="s">
        <v>2532</v>
      </c>
      <c r="C8099" t="s">
        <v>1734</v>
      </c>
      <c r="D8099" t="s">
        <v>4838</v>
      </c>
      <c r="E8099" t="s">
        <v>1749</v>
      </c>
      <c r="F8099">
        <v>17.5</v>
      </c>
      <c r="H8099">
        <v>220.26</v>
      </c>
    </row>
    <row r="8100" spans="1:8" ht="15" customHeight="1" x14ac:dyDescent="0.2">
      <c r="A8100" s="420">
        <v>45676</v>
      </c>
      <c r="B8100" t="s">
        <v>2532</v>
      </c>
      <c r="C8100" t="s">
        <v>1734</v>
      </c>
      <c r="D8100" t="s">
        <v>4625</v>
      </c>
      <c r="E8100" t="s">
        <v>1755</v>
      </c>
      <c r="F8100">
        <v>25</v>
      </c>
      <c r="H8100">
        <v>245.26</v>
      </c>
    </row>
    <row r="8101" spans="1:8" ht="15" customHeight="1" x14ac:dyDescent="0.2">
      <c r="A8101" s="420">
        <v>45676</v>
      </c>
      <c r="B8101" t="s">
        <v>2532</v>
      </c>
      <c r="C8101" t="s">
        <v>1734</v>
      </c>
      <c r="D8101" t="s">
        <v>4625</v>
      </c>
      <c r="E8101" t="s">
        <v>1755</v>
      </c>
      <c r="F8101">
        <v>68.09</v>
      </c>
      <c r="H8101">
        <v>313.35000000000002</v>
      </c>
    </row>
    <row r="8102" spans="1:8" ht="15" customHeight="1" x14ac:dyDescent="0.2">
      <c r="A8102" s="420">
        <v>45679</v>
      </c>
      <c r="B8102" t="s">
        <v>2532</v>
      </c>
      <c r="C8102" t="s">
        <v>1734</v>
      </c>
      <c r="D8102" t="s">
        <v>4843</v>
      </c>
      <c r="E8102" t="s">
        <v>1759</v>
      </c>
      <c r="F8102">
        <v>14.45</v>
      </c>
      <c r="H8102">
        <v>327.8</v>
      </c>
    </row>
    <row r="8103" spans="1:8" ht="15" customHeight="1" x14ac:dyDescent="0.2">
      <c r="A8103" s="420">
        <v>45681</v>
      </c>
      <c r="B8103" t="s">
        <v>2333</v>
      </c>
      <c r="C8103" t="s">
        <v>1734</v>
      </c>
      <c r="D8103" t="s">
        <v>7521</v>
      </c>
      <c r="E8103" t="s">
        <v>1763</v>
      </c>
      <c r="F8103">
        <v>500</v>
      </c>
      <c r="H8103">
        <v>827.8</v>
      </c>
    </row>
    <row r="8104" spans="1:8" ht="15" customHeight="1" x14ac:dyDescent="0.2">
      <c r="A8104" s="420">
        <v>45681</v>
      </c>
      <c r="B8104" t="s">
        <v>2532</v>
      </c>
      <c r="C8104" t="s">
        <v>1734</v>
      </c>
      <c r="D8104" t="s">
        <v>4626</v>
      </c>
      <c r="E8104" t="s">
        <v>1764</v>
      </c>
      <c r="F8104">
        <v>22.67</v>
      </c>
      <c r="H8104">
        <v>850.47</v>
      </c>
    </row>
    <row r="8105" spans="1:8" ht="15" customHeight="1" x14ac:dyDescent="0.2">
      <c r="A8105" s="420">
        <v>45681</v>
      </c>
      <c r="B8105" t="s">
        <v>2532</v>
      </c>
      <c r="C8105" t="s">
        <v>1734</v>
      </c>
      <c r="D8105" t="s">
        <v>4626</v>
      </c>
      <c r="E8105" t="s">
        <v>1764</v>
      </c>
      <c r="F8105">
        <v>77.819999999999993</v>
      </c>
      <c r="H8105">
        <v>928.29</v>
      </c>
    </row>
    <row r="8106" spans="1:8" ht="15" customHeight="1" x14ac:dyDescent="0.2">
      <c r="A8106" s="420">
        <v>45682</v>
      </c>
      <c r="B8106" t="s">
        <v>2532</v>
      </c>
      <c r="C8106" t="s">
        <v>1734</v>
      </c>
      <c r="D8106" t="s">
        <v>4628</v>
      </c>
      <c r="E8106" t="s">
        <v>1765</v>
      </c>
      <c r="F8106">
        <v>212.73</v>
      </c>
      <c r="H8106">
        <v>1141.02</v>
      </c>
    </row>
    <row r="8107" spans="1:8" ht="15" customHeight="1" x14ac:dyDescent="0.2">
      <c r="A8107" s="420">
        <v>45682</v>
      </c>
      <c r="B8107" t="s">
        <v>2532</v>
      </c>
      <c r="C8107" t="s">
        <v>1734</v>
      </c>
      <c r="D8107" t="s">
        <v>4628</v>
      </c>
      <c r="E8107" t="s">
        <v>1765</v>
      </c>
      <c r="F8107">
        <v>81.67</v>
      </c>
      <c r="H8107">
        <v>1222.69</v>
      </c>
    </row>
    <row r="8108" spans="1:8" ht="15" customHeight="1" x14ac:dyDescent="0.2">
      <c r="A8108" s="420">
        <v>45684</v>
      </c>
      <c r="B8108" t="s">
        <v>2532</v>
      </c>
      <c r="C8108" t="s">
        <v>1734</v>
      </c>
      <c r="D8108" t="s">
        <v>4847</v>
      </c>
      <c r="E8108" t="s">
        <v>1767</v>
      </c>
      <c r="F8108">
        <v>17.7</v>
      </c>
      <c r="H8108">
        <v>1240.3900000000001</v>
      </c>
    </row>
    <row r="8109" spans="1:8" ht="15" customHeight="1" x14ac:dyDescent="0.2">
      <c r="A8109" s="420">
        <v>45685</v>
      </c>
      <c r="B8109" t="s">
        <v>2547</v>
      </c>
      <c r="C8109" t="s">
        <v>1734</v>
      </c>
      <c r="D8109" t="s">
        <v>3595</v>
      </c>
      <c r="E8109" t="s">
        <v>1768</v>
      </c>
      <c r="F8109">
        <v>51.6</v>
      </c>
      <c r="H8109">
        <v>1291.99</v>
      </c>
    </row>
    <row r="8110" spans="1:8" ht="15" customHeight="1" x14ac:dyDescent="0.2">
      <c r="A8110" s="420">
        <v>45685</v>
      </c>
      <c r="B8110" t="s">
        <v>2547</v>
      </c>
      <c r="C8110" t="s">
        <v>1734</v>
      </c>
      <c r="D8110" t="s">
        <v>3595</v>
      </c>
      <c r="E8110" t="s">
        <v>1769</v>
      </c>
      <c r="F8110">
        <v>41.32</v>
      </c>
      <c r="H8110">
        <v>1333.31</v>
      </c>
    </row>
    <row r="8111" spans="1:8" ht="15" customHeight="1" x14ac:dyDescent="0.2">
      <c r="A8111" s="420">
        <v>45688</v>
      </c>
      <c r="B8111" t="s">
        <v>2532</v>
      </c>
      <c r="C8111" t="s">
        <v>1734</v>
      </c>
      <c r="D8111" t="s">
        <v>4849</v>
      </c>
      <c r="E8111" t="s">
        <v>1771</v>
      </c>
      <c r="F8111">
        <v>57.95</v>
      </c>
      <c r="H8111">
        <v>1391.26</v>
      </c>
    </row>
    <row r="8112" spans="1:8" ht="15" customHeight="1" x14ac:dyDescent="0.2">
      <c r="A8112" s="420">
        <v>45693</v>
      </c>
      <c r="B8112" t="s">
        <v>2532</v>
      </c>
      <c r="C8112" t="s">
        <v>1734</v>
      </c>
      <c r="D8112" t="s">
        <v>4852</v>
      </c>
      <c r="E8112" t="s">
        <v>1773</v>
      </c>
      <c r="F8112">
        <v>58.27</v>
      </c>
      <c r="H8112">
        <v>1449.53</v>
      </c>
    </row>
    <row r="8113" spans="1:8" ht="15" customHeight="1" x14ac:dyDescent="0.2">
      <c r="A8113" s="420">
        <v>45693</v>
      </c>
      <c r="B8113" t="s">
        <v>2547</v>
      </c>
      <c r="C8113" t="s">
        <v>1734</v>
      </c>
      <c r="D8113" t="s">
        <v>3595</v>
      </c>
      <c r="E8113" t="s">
        <v>1774</v>
      </c>
      <c r="F8113">
        <v>47.3</v>
      </c>
      <c r="H8113">
        <v>1496.83</v>
      </c>
    </row>
    <row r="8114" spans="1:8" ht="15" customHeight="1" x14ac:dyDescent="0.2">
      <c r="A8114" s="420">
        <v>45696</v>
      </c>
      <c r="B8114" t="s">
        <v>2532</v>
      </c>
      <c r="C8114" t="s">
        <v>1734</v>
      </c>
      <c r="D8114" t="s">
        <v>4995</v>
      </c>
      <c r="E8114" t="s">
        <v>1775</v>
      </c>
      <c r="F8114">
        <v>10.83</v>
      </c>
      <c r="H8114">
        <v>1507.66</v>
      </c>
    </row>
    <row r="8115" spans="1:8" ht="15" customHeight="1" x14ac:dyDescent="0.2">
      <c r="A8115" s="420">
        <v>45696</v>
      </c>
      <c r="B8115" t="s">
        <v>2532</v>
      </c>
      <c r="C8115" t="s">
        <v>1734</v>
      </c>
      <c r="D8115" t="s">
        <v>4995</v>
      </c>
      <c r="E8115" t="s">
        <v>1775</v>
      </c>
      <c r="F8115">
        <v>111.28</v>
      </c>
      <c r="H8115">
        <v>1618.94</v>
      </c>
    </row>
    <row r="8116" spans="1:8" ht="15" customHeight="1" x14ac:dyDescent="0.2">
      <c r="A8116" s="420">
        <v>45709</v>
      </c>
      <c r="B8116" t="s">
        <v>2532</v>
      </c>
      <c r="C8116" t="s">
        <v>1734</v>
      </c>
      <c r="D8116" t="s">
        <v>4998</v>
      </c>
      <c r="E8116" t="s">
        <v>1780</v>
      </c>
      <c r="F8116">
        <v>29.54</v>
      </c>
      <c r="H8116">
        <v>1648.48</v>
      </c>
    </row>
    <row r="8117" spans="1:8" ht="15" customHeight="1" x14ac:dyDescent="0.2">
      <c r="A8117" s="420">
        <v>45715</v>
      </c>
      <c r="B8117" t="s">
        <v>2547</v>
      </c>
      <c r="C8117" t="s">
        <v>1734</v>
      </c>
      <c r="D8117" t="s">
        <v>3595</v>
      </c>
      <c r="E8117" t="s">
        <v>1783</v>
      </c>
      <c r="F8117">
        <v>150.38999999999999</v>
      </c>
      <c r="H8117">
        <v>1798.87</v>
      </c>
    </row>
    <row r="8118" spans="1:8" ht="15" customHeight="1" x14ac:dyDescent="0.2">
      <c r="A8118" s="420">
        <v>45716</v>
      </c>
      <c r="B8118" t="s">
        <v>2532</v>
      </c>
      <c r="C8118" t="s">
        <v>1734</v>
      </c>
      <c r="D8118" t="s">
        <v>4856</v>
      </c>
      <c r="E8118" t="s">
        <v>1785</v>
      </c>
      <c r="F8118">
        <v>61.25</v>
      </c>
      <c r="H8118">
        <v>1860.12</v>
      </c>
    </row>
    <row r="8119" spans="1:8" ht="15" customHeight="1" x14ac:dyDescent="0.2">
      <c r="A8119" s="420">
        <v>45721</v>
      </c>
      <c r="B8119" t="s">
        <v>2547</v>
      </c>
      <c r="C8119" t="s">
        <v>1734</v>
      </c>
      <c r="D8119" t="s">
        <v>4858</v>
      </c>
      <c r="E8119" t="s">
        <v>1788</v>
      </c>
      <c r="F8119">
        <v>36.86</v>
      </c>
      <c r="H8119">
        <v>1896.98</v>
      </c>
    </row>
    <row r="8120" spans="1:8" ht="15" customHeight="1" x14ac:dyDescent="0.2">
      <c r="A8120" s="420">
        <v>45728</v>
      </c>
      <c r="B8120" t="s">
        <v>2547</v>
      </c>
      <c r="C8120" t="s">
        <v>1734</v>
      </c>
      <c r="D8120" t="s">
        <v>2863</v>
      </c>
      <c r="E8120" t="s">
        <v>1793</v>
      </c>
      <c r="F8120">
        <v>2.99</v>
      </c>
      <c r="H8120">
        <v>1899.97</v>
      </c>
    </row>
    <row r="8121" spans="1:8" ht="15" customHeight="1" x14ac:dyDescent="0.2">
      <c r="A8121" s="420">
        <v>45729</v>
      </c>
      <c r="B8121" t="s">
        <v>2532</v>
      </c>
      <c r="C8121" t="s">
        <v>1734</v>
      </c>
      <c r="D8121" t="s">
        <v>3700</v>
      </c>
      <c r="E8121" t="s">
        <v>1794</v>
      </c>
      <c r="F8121">
        <v>517.45000000000005</v>
      </c>
      <c r="H8121">
        <v>2417.42</v>
      </c>
    </row>
    <row r="8122" spans="1:8" ht="15" customHeight="1" x14ac:dyDescent="0.2">
      <c r="A8122" s="420">
        <v>45731</v>
      </c>
      <c r="B8122" t="s">
        <v>2547</v>
      </c>
      <c r="C8122" t="s">
        <v>1734</v>
      </c>
      <c r="D8122" t="s">
        <v>2863</v>
      </c>
      <c r="E8122" t="s">
        <v>1798</v>
      </c>
      <c r="F8122">
        <v>9.86</v>
      </c>
      <c r="H8122">
        <v>2427.2800000000002</v>
      </c>
    </row>
    <row r="8123" spans="1:8" ht="15" customHeight="1" x14ac:dyDescent="0.2">
      <c r="A8123" s="420">
        <v>45731</v>
      </c>
      <c r="B8123" t="s">
        <v>2547</v>
      </c>
      <c r="C8123" t="s">
        <v>1734</v>
      </c>
      <c r="D8123" t="s">
        <v>3784</v>
      </c>
      <c r="E8123" t="s">
        <v>1798</v>
      </c>
      <c r="F8123">
        <v>14.94</v>
      </c>
      <c r="H8123">
        <v>2442.2199999999998</v>
      </c>
    </row>
    <row r="8124" spans="1:8" ht="15" customHeight="1" x14ac:dyDescent="0.2">
      <c r="A8124" s="420">
        <v>45731</v>
      </c>
      <c r="B8124" t="s">
        <v>2547</v>
      </c>
      <c r="C8124" t="s">
        <v>1734</v>
      </c>
      <c r="D8124" t="s">
        <v>4858</v>
      </c>
      <c r="E8124" t="s">
        <v>1799</v>
      </c>
      <c r="F8124">
        <v>146.01</v>
      </c>
      <c r="H8124">
        <v>2588.23</v>
      </c>
    </row>
    <row r="8125" spans="1:8" ht="15" customHeight="1" x14ac:dyDescent="0.2">
      <c r="A8125" s="420">
        <v>45732</v>
      </c>
      <c r="B8125" t="s">
        <v>2547</v>
      </c>
      <c r="C8125" t="s">
        <v>1734</v>
      </c>
      <c r="D8125" t="s">
        <v>2863</v>
      </c>
      <c r="E8125" t="s">
        <v>1798</v>
      </c>
      <c r="F8125">
        <v>18.09</v>
      </c>
      <c r="H8125">
        <v>2606.3200000000002</v>
      </c>
    </row>
    <row r="8126" spans="1:8" ht="15" customHeight="1" x14ac:dyDescent="0.2">
      <c r="A8126" s="420">
        <v>45732</v>
      </c>
      <c r="B8126" t="s">
        <v>2547</v>
      </c>
      <c r="C8126" t="s">
        <v>1734</v>
      </c>
      <c r="D8126" t="s">
        <v>3784</v>
      </c>
      <c r="E8126" t="s">
        <v>1798</v>
      </c>
      <c r="F8126">
        <v>20.59</v>
      </c>
      <c r="H8126">
        <v>2626.91</v>
      </c>
    </row>
    <row r="8127" spans="1:8" ht="15" customHeight="1" x14ac:dyDescent="0.2">
      <c r="A8127" s="420">
        <v>45735</v>
      </c>
      <c r="B8127" t="s">
        <v>2547</v>
      </c>
      <c r="C8127" t="s">
        <v>1734</v>
      </c>
      <c r="D8127" t="s">
        <v>4858</v>
      </c>
      <c r="E8127" t="s">
        <v>1802</v>
      </c>
      <c r="F8127">
        <v>107.2</v>
      </c>
      <c r="H8127">
        <v>2734.11</v>
      </c>
    </row>
    <row r="8128" spans="1:8" ht="15" customHeight="1" x14ac:dyDescent="0.2">
      <c r="A8128" s="420">
        <v>45736</v>
      </c>
      <c r="B8128" t="s">
        <v>2532</v>
      </c>
      <c r="C8128" t="s">
        <v>1734</v>
      </c>
      <c r="D8128" t="s">
        <v>3182</v>
      </c>
      <c r="E8128" t="s">
        <v>1803</v>
      </c>
      <c r="F8128">
        <v>7.62</v>
      </c>
      <c r="H8128">
        <v>2741.73</v>
      </c>
    </row>
    <row r="8129" spans="1:8" ht="15" customHeight="1" x14ac:dyDescent="0.2">
      <c r="A8129" s="420">
        <v>45736</v>
      </c>
      <c r="B8129" t="s">
        <v>2532</v>
      </c>
      <c r="C8129" t="s">
        <v>1734</v>
      </c>
      <c r="D8129" t="s">
        <v>4860</v>
      </c>
      <c r="E8129" t="s">
        <v>1804</v>
      </c>
      <c r="F8129">
        <v>8.5</v>
      </c>
      <c r="H8129">
        <v>2750.23</v>
      </c>
    </row>
    <row r="8130" spans="1:8" ht="15" customHeight="1" x14ac:dyDescent="0.2">
      <c r="A8130" s="420">
        <v>45736</v>
      </c>
      <c r="B8130" t="s">
        <v>2532</v>
      </c>
      <c r="C8130" t="s">
        <v>1734</v>
      </c>
      <c r="D8130" t="s">
        <v>4860</v>
      </c>
      <c r="E8130" t="s">
        <v>1804</v>
      </c>
      <c r="F8130">
        <v>44.45</v>
      </c>
      <c r="H8130">
        <v>2794.68</v>
      </c>
    </row>
    <row r="8131" spans="1:8" ht="15" customHeight="1" x14ac:dyDescent="0.2">
      <c r="A8131" s="420">
        <v>45737</v>
      </c>
      <c r="B8131" t="s">
        <v>2547</v>
      </c>
      <c r="C8131" t="s">
        <v>1734</v>
      </c>
      <c r="D8131" t="s">
        <v>4858</v>
      </c>
      <c r="E8131" t="s">
        <v>1774</v>
      </c>
      <c r="F8131">
        <v>44.1</v>
      </c>
      <c r="H8131">
        <v>2838.78</v>
      </c>
    </row>
    <row r="8132" spans="1:8" ht="15" customHeight="1" x14ac:dyDescent="0.2">
      <c r="A8132" s="420">
        <v>45741</v>
      </c>
      <c r="B8132" t="s">
        <v>2547</v>
      </c>
      <c r="C8132" t="s">
        <v>1734</v>
      </c>
      <c r="D8132" t="s">
        <v>4858</v>
      </c>
      <c r="E8132" t="s">
        <v>1774</v>
      </c>
      <c r="F8132">
        <v>56.1</v>
      </c>
      <c r="H8132">
        <v>2894.88</v>
      </c>
    </row>
    <row r="8133" spans="1:8" ht="15" customHeight="1" x14ac:dyDescent="0.2">
      <c r="A8133" s="420">
        <v>45743</v>
      </c>
      <c r="B8133" t="s">
        <v>2547</v>
      </c>
      <c r="C8133" t="s">
        <v>1734</v>
      </c>
      <c r="D8133" t="s">
        <v>4858</v>
      </c>
      <c r="E8133" t="s">
        <v>1788</v>
      </c>
      <c r="F8133">
        <v>34.950000000000003</v>
      </c>
      <c r="H8133">
        <v>2929.83</v>
      </c>
    </row>
    <row r="8134" spans="1:8" ht="15" customHeight="1" x14ac:dyDescent="0.2">
      <c r="A8134" s="420">
        <v>45756</v>
      </c>
      <c r="B8134" t="s">
        <v>2532</v>
      </c>
      <c r="C8134" t="s">
        <v>1734</v>
      </c>
      <c r="D8134" t="s">
        <v>4866</v>
      </c>
      <c r="E8134" t="s">
        <v>1820</v>
      </c>
      <c r="F8134">
        <v>28.91</v>
      </c>
      <c r="H8134">
        <v>2958.74</v>
      </c>
    </row>
    <row r="8135" spans="1:8" ht="15" customHeight="1" x14ac:dyDescent="0.2">
      <c r="A8135" s="420">
        <v>45756</v>
      </c>
      <c r="B8135" t="s">
        <v>2532</v>
      </c>
      <c r="C8135" t="s">
        <v>1734</v>
      </c>
      <c r="D8135" t="s">
        <v>4866</v>
      </c>
      <c r="E8135" t="s">
        <v>1820</v>
      </c>
      <c r="F8135">
        <v>11.5</v>
      </c>
      <c r="H8135">
        <v>2970.24</v>
      </c>
    </row>
    <row r="8136" spans="1:8" ht="15" customHeight="1" x14ac:dyDescent="0.2">
      <c r="A8136" s="420">
        <v>45757</v>
      </c>
      <c r="B8136" t="s">
        <v>2532</v>
      </c>
      <c r="C8136" t="s">
        <v>1734</v>
      </c>
      <c r="D8136" t="s">
        <v>4867</v>
      </c>
      <c r="E8136" t="s">
        <v>1821</v>
      </c>
      <c r="F8136">
        <v>66.099999999999994</v>
      </c>
      <c r="H8136">
        <v>3036.34</v>
      </c>
    </row>
    <row r="8137" spans="1:8" ht="15" customHeight="1" x14ac:dyDescent="0.2">
      <c r="A8137" s="420">
        <v>45761</v>
      </c>
      <c r="B8137" t="s">
        <v>2532</v>
      </c>
      <c r="C8137" t="s">
        <v>1734</v>
      </c>
      <c r="D8137" t="s">
        <v>3365</v>
      </c>
      <c r="E8137" t="s">
        <v>1822</v>
      </c>
      <c r="F8137">
        <v>7.08</v>
      </c>
      <c r="H8137">
        <v>3043.42</v>
      </c>
    </row>
    <row r="8138" spans="1:8" ht="15" customHeight="1" x14ac:dyDescent="0.2">
      <c r="A8138" s="420">
        <v>45761</v>
      </c>
      <c r="B8138" t="s">
        <v>2532</v>
      </c>
      <c r="C8138" t="s">
        <v>1734</v>
      </c>
      <c r="D8138" t="s">
        <v>3365</v>
      </c>
      <c r="E8138" t="s">
        <v>1822</v>
      </c>
      <c r="F8138">
        <v>28.18</v>
      </c>
      <c r="H8138">
        <v>3071.6</v>
      </c>
    </row>
    <row r="8139" spans="1:8" ht="15" customHeight="1" x14ac:dyDescent="0.2">
      <c r="A8139" s="420">
        <v>45764</v>
      </c>
      <c r="B8139" t="s">
        <v>2532</v>
      </c>
      <c r="C8139" t="s">
        <v>1734</v>
      </c>
      <c r="D8139" t="s">
        <v>3368</v>
      </c>
      <c r="E8139" t="s">
        <v>1827</v>
      </c>
      <c r="F8139">
        <v>14.17</v>
      </c>
      <c r="H8139">
        <v>3085.77</v>
      </c>
    </row>
    <row r="8140" spans="1:8" ht="15" customHeight="1" x14ac:dyDescent="0.2">
      <c r="A8140" s="420">
        <v>45764</v>
      </c>
      <c r="B8140" t="s">
        <v>2532</v>
      </c>
      <c r="C8140" t="s">
        <v>1734</v>
      </c>
      <c r="D8140" t="s">
        <v>3368</v>
      </c>
      <c r="E8140" t="s">
        <v>1827</v>
      </c>
      <c r="F8140">
        <v>31.45</v>
      </c>
      <c r="H8140">
        <v>3117.22</v>
      </c>
    </row>
    <row r="8141" spans="1:8" ht="15" customHeight="1" x14ac:dyDescent="0.2">
      <c r="A8141" s="420">
        <v>45765</v>
      </c>
      <c r="B8141" t="s">
        <v>2532</v>
      </c>
      <c r="C8141" t="s">
        <v>1734</v>
      </c>
      <c r="D8141" t="s">
        <v>3370</v>
      </c>
      <c r="E8141" t="s">
        <v>1830</v>
      </c>
      <c r="F8141">
        <v>7.08</v>
      </c>
      <c r="H8141">
        <v>3124.3</v>
      </c>
    </row>
    <row r="8142" spans="1:8" ht="15" customHeight="1" x14ac:dyDescent="0.2">
      <c r="A8142" s="420">
        <v>45765</v>
      </c>
      <c r="B8142" t="s">
        <v>2532</v>
      </c>
      <c r="C8142" t="s">
        <v>1734</v>
      </c>
      <c r="D8142" t="s">
        <v>3370</v>
      </c>
      <c r="E8142" t="s">
        <v>1830</v>
      </c>
      <c r="F8142">
        <v>113.36</v>
      </c>
      <c r="H8142">
        <v>3237.66</v>
      </c>
    </row>
    <row r="8143" spans="1:8" ht="15" customHeight="1" x14ac:dyDescent="0.2">
      <c r="A8143" s="420">
        <v>45765</v>
      </c>
      <c r="B8143" t="s">
        <v>2532</v>
      </c>
      <c r="C8143" t="s">
        <v>1734</v>
      </c>
      <c r="D8143" t="s">
        <v>4869</v>
      </c>
      <c r="E8143" t="s">
        <v>1831</v>
      </c>
      <c r="F8143">
        <v>133.19999999999999</v>
      </c>
      <c r="H8143">
        <v>3370.86</v>
      </c>
    </row>
    <row r="8144" spans="1:8" ht="15" customHeight="1" x14ac:dyDescent="0.2">
      <c r="A8144" s="420">
        <v>45769</v>
      </c>
      <c r="B8144" t="s">
        <v>2532</v>
      </c>
      <c r="C8144" t="s">
        <v>1734</v>
      </c>
      <c r="D8144" t="s">
        <v>5266</v>
      </c>
      <c r="E8144" t="s">
        <v>1832</v>
      </c>
      <c r="F8144">
        <v>5.83</v>
      </c>
      <c r="H8144">
        <v>3376.69</v>
      </c>
    </row>
    <row r="8145" spans="1:8" ht="15" customHeight="1" x14ac:dyDescent="0.2">
      <c r="A8145" s="420">
        <v>45769</v>
      </c>
      <c r="B8145" t="s">
        <v>2532</v>
      </c>
      <c r="C8145" t="s">
        <v>1734</v>
      </c>
      <c r="D8145" t="s">
        <v>5266</v>
      </c>
      <c r="E8145" t="s">
        <v>1832</v>
      </c>
      <c r="F8145">
        <v>27.09</v>
      </c>
      <c r="H8145">
        <v>3403.78</v>
      </c>
    </row>
    <row r="8146" spans="1:8" ht="15" customHeight="1" x14ac:dyDescent="0.2">
      <c r="A8146" s="420">
        <v>45771</v>
      </c>
      <c r="B8146" t="s">
        <v>2532</v>
      </c>
      <c r="C8146" t="s">
        <v>1734</v>
      </c>
      <c r="D8146" t="s">
        <v>3620</v>
      </c>
      <c r="E8146" t="s">
        <v>1833</v>
      </c>
      <c r="F8146">
        <v>20</v>
      </c>
      <c r="H8146">
        <v>3423.78</v>
      </c>
    </row>
    <row r="8147" spans="1:8" ht="15" customHeight="1" x14ac:dyDescent="0.2">
      <c r="A8147" s="420">
        <v>45771</v>
      </c>
      <c r="B8147" t="s">
        <v>2532</v>
      </c>
      <c r="C8147" t="s">
        <v>1734</v>
      </c>
      <c r="D8147" t="s">
        <v>3620</v>
      </c>
      <c r="E8147" t="s">
        <v>1833</v>
      </c>
      <c r="F8147">
        <v>72.73</v>
      </c>
      <c r="H8147">
        <v>3496.51</v>
      </c>
    </row>
    <row r="8148" spans="1:8" ht="15" customHeight="1" x14ac:dyDescent="0.2">
      <c r="A8148" s="420">
        <v>45771</v>
      </c>
      <c r="B8148" t="s">
        <v>2532</v>
      </c>
      <c r="C8148" t="s">
        <v>1734</v>
      </c>
      <c r="D8148" t="s">
        <v>4870</v>
      </c>
      <c r="E8148" t="s">
        <v>1834</v>
      </c>
      <c r="F8148">
        <v>14.17</v>
      </c>
      <c r="H8148">
        <v>3510.68</v>
      </c>
    </row>
    <row r="8149" spans="1:8" ht="15" customHeight="1" x14ac:dyDescent="0.2">
      <c r="A8149" s="420">
        <v>45771</v>
      </c>
      <c r="B8149" t="s">
        <v>2532</v>
      </c>
      <c r="C8149" t="s">
        <v>1734</v>
      </c>
      <c r="D8149" t="s">
        <v>4870</v>
      </c>
      <c r="E8149" t="s">
        <v>1834</v>
      </c>
      <c r="F8149">
        <v>54.55</v>
      </c>
      <c r="H8149">
        <v>3565.23</v>
      </c>
    </row>
    <row r="8150" spans="1:8" ht="15" customHeight="1" x14ac:dyDescent="0.2">
      <c r="A8150" s="420">
        <v>45771</v>
      </c>
      <c r="B8150" t="s">
        <v>2532</v>
      </c>
      <c r="C8150" t="s">
        <v>1734</v>
      </c>
      <c r="D8150" t="s">
        <v>4819</v>
      </c>
      <c r="E8150" t="s">
        <v>1835</v>
      </c>
      <c r="F8150">
        <v>366.24</v>
      </c>
      <c r="H8150">
        <v>3931.47</v>
      </c>
    </row>
    <row r="8151" spans="1:8" ht="15" customHeight="1" x14ac:dyDescent="0.2">
      <c r="A8151" s="420">
        <v>45772</v>
      </c>
      <c r="B8151" t="s">
        <v>2547</v>
      </c>
      <c r="C8151" t="s">
        <v>1734</v>
      </c>
      <c r="D8151" t="s">
        <v>4871</v>
      </c>
      <c r="E8151" t="s">
        <v>1837</v>
      </c>
      <c r="F8151">
        <v>60.1</v>
      </c>
      <c r="H8151">
        <v>3991.57</v>
      </c>
    </row>
    <row r="8152" spans="1:8" ht="15" customHeight="1" x14ac:dyDescent="0.2">
      <c r="A8152" s="420">
        <v>45777</v>
      </c>
      <c r="B8152" t="s">
        <v>2532</v>
      </c>
      <c r="C8152" t="s">
        <v>1734</v>
      </c>
      <c r="D8152" t="s">
        <v>4872</v>
      </c>
      <c r="E8152" t="s">
        <v>1840</v>
      </c>
      <c r="F8152">
        <v>54.03</v>
      </c>
      <c r="H8152">
        <v>4045.6</v>
      </c>
    </row>
    <row r="8153" spans="1:8" ht="15" customHeight="1" x14ac:dyDescent="0.2">
      <c r="A8153" s="420">
        <v>45777</v>
      </c>
      <c r="B8153" t="s">
        <v>2532</v>
      </c>
      <c r="C8153" t="s">
        <v>1734</v>
      </c>
      <c r="D8153" t="s">
        <v>4872</v>
      </c>
      <c r="E8153" t="s">
        <v>1840</v>
      </c>
      <c r="F8153">
        <v>13.68</v>
      </c>
      <c r="H8153">
        <v>4059.28</v>
      </c>
    </row>
    <row r="8154" spans="1:8" ht="15" customHeight="1" x14ac:dyDescent="0.2">
      <c r="A8154" s="420">
        <v>45779</v>
      </c>
      <c r="B8154" t="s">
        <v>2547</v>
      </c>
      <c r="C8154" t="s">
        <v>1734</v>
      </c>
      <c r="D8154" t="s">
        <v>3895</v>
      </c>
      <c r="E8154" t="s">
        <v>1842</v>
      </c>
      <c r="F8154">
        <v>189.65</v>
      </c>
      <c r="H8154">
        <v>4248.93</v>
      </c>
    </row>
    <row r="8155" spans="1:8" ht="15" customHeight="1" x14ac:dyDescent="0.2">
      <c r="A8155" s="420">
        <v>45782</v>
      </c>
      <c r="B8155" t="s">
        <v>2532</v>
      </c>
      <c r="C8155" t="s">
        <v>1734</v>
      </c>
      <c r="D8155" t="s">
        <v>3375</v>
      </c>
      <c r="E8155" t="s">
        <v>1843</v>
      </c>
      <c r="F8155">
        <v>7.08</v>
      </c>
      <c r="H8155">
        <v>4256.01</v>
      </c>
    </row>
    <row r="8156" spans="1:8" ht="15" customHeight="1" x14ac:dyDescent="0.2">
      <c r="A8156" s="420">
        <v>45782</v>
      </c>
      <c r="B8156" t="s">
        <v>2532</v>
      </c>
      <c r="C8156" t="s">
        <v>1734</v>
      </c>
      <c r="D8156" t="s">
        <v>3375</v>
      </c>
      <c r="E8156" t="s">
        <v>1843</v>
      </c>
      <c r="F8156">
        <v>36.729999999999997</v>
      </c>
      <c r="H8156">
        <v>4292.74</v>
      </c>
    </row>
    <row r="8157" spans="1:8" ht="15" customHeight="1" x14ac:dyDescent="0.2">
      <c r="A8157" s="420">
        <v>45782</v>
      </c>
      <c r="B8157" t="s">
        <v>2532</v>
      </c>
      <c r="C8157" t="s">
        <v>1734</v>
      </c>
      <c r="D8157" t="s">
        <v>4874</v>
      </c>
      <c r="E8157" t="s">
        <v>1844</v>
      </c>
      <c r="F8157">
        <v>98.8</v>
      </c>
      <c r="H8157">
        <v>4391.54</v>
      </c>
    </row>
    <row r="8158" spans="1:8" ht="15" customHeight="1" x14ac:dyDescent="0.2">
      <c r="A8158" s="420">
        <v>45790</v>
      </c>
      <c r="B8158" t="s">
        <v>2532</v>
      </c>
      <c r="C8158" t="s">
        <v>1734</v>
      </c>
      <c r="D8158" t="s">
        <v>4877</v>
      </c>
      <c r="E8158" t="s">
        <v>1845</v>
      </c>
      <c r="F8158">
        <v>21.82</v>
      </c>
      <c r="H8158">
        <v>4413.3599999999997</v>
      </c>
    </row>
    <row r="8159" spans="1:8" ht="15" customHeight="1" x14ac:dyDescent="0.2">
      <c r="A8159" s="420">
        <v>45793</v>
      </c>
      <c r="B8159" t="s">
        <v>2532</v>
      </c>
      <c r="C8159" t="s">
        <v>1734</v>
      </c>
      <c r="D8159" t="s">
        <v>4882</v>
      </c>
      <c r="E8159" t="s">
        <v>1850</v>
      </c>
      <c r="F8159">
        <v>24.25</v>
      </c>
      <c r="H8159">
        <v>4437.6099999999997</v>
      </c>
    </row>
    <row r="8160" spans="1:8" ht="15" customHeight="1" x14ac:dyDescent="0.2">
      <c r="A8160" s="420">
        <v>45793</v>
      </c>
      <c r="B8160" t="s">
        <v>2532</v>
      </c>
      <c r="C8160" t="s">
        <v>1734</v>
      </c>
      <c r="D8160" t="s">
        <v>4882</v>
      </c>
      <c r="E8160" t="s">
        <v>1850</v>
      </c>
      <c r="F8160">
        <v>6</v>
      </c>
      <c r="H8160">
        <v>4443.6099999999997</v>
      </c>
    </row>
    <row r="8161" spans="1:8" ht="15" customHeight="1" x14ac:dyDescent="0.2">
      <c r="A8161" s="420">
        <v>45794</v>
      </c>
      <c r="B8161" t="s">
        <v>2532</v>
      </c>
      <c r="C8161" t="s">
        <v>1734</v>
      </c>
      <c r="D8161" t="s">
        <v>4883</v>
      </c>
      <c r="E8161" t="s">
        <v>1851</v>
      </c>
      <c r="F8161">
        <v>23.07</v>
      </c>
      <c r="H8161">
        <v>4466.68</v>
      </c>
    </row>
    <row r="8162" spans="1:8" ht="15" customHeight="1" x14ac:dyDescent="0.2">
      <c r="A8162" s="420">
        <v>45800</v>
      </c>
      <c r="B8162" t="s">
        <v>2532</v>
      </c>
      <c r="C8162" t="s">
        <v>1734</v>
      </c>
      <c r="D8162" t="s">
        <v>4889</v>
      </c>
      <c r="E8162" t="s">
        <v>1857</v>
      </c>
      <c r="F8162">
        <v>22.98</v>
      </c>
      <c r="H8162">
        <v>4489.66</v>
      </c>
    </row>
    <row r="8163" spans="1:8" ht="15" customHeight="1" x14ac:dyDescent="0.2">
      <c r="A8163" s="420">
        <v>45801</v>
      </c>
      <c r="B8163" t="s">
        <v>2532</v>
      </c>
      <c r="C8163" t="s">
        <v>1734</v>
      </c>
      <c r="D8163" t="s">
        <v>4890</v>
      </c>
      <c r="E8163" t="s">
        <v>1860</v>
      </c>
      <c r="F8163">
        <v>5.42</v>
      </c>
      <c r="H8163">
        <v>4495.08</v>
      </c>
    </row>
    <row r="8164" spans="1:8" ht="15" customHeight="1" x14ac:dyDescent="0.2">
      <c r="A8164" s="420">
        <v>45801</v>
      </c>
      <c r="B8164" t="s">
        <v>2532</v>
      </c>
      <c r="C8164" t="s">
        <v>1734</v>
      </c>
      <c r="D8164" t="s">
        <v>4890</v>
      </c>
      <c r="E8164" t="s">
        <v>1860</v>
      </c>
      <c r="F8164">
        <v>29.09</v>
      </c>
      <c r="H8164">
        <v>4524.17</v>
      </c>
    </row>
    <row r="8165" spans="1:8" ht="15" customHeight="1" x14ac:dyDescent="0.2">
      <c r="A8165" s="420">
        <v>45803</v>
      </c>
      <c r="B8165" t="s">
        <v>2532</v>
      </c>
      <c r="C8165" t="s">
        <v>1734</v>
      </c>
      <c r="D8165" t="s">
        <v>4895</v>
      </c>
      <c r="E8165" t="s">
        <v>1861</v>
      </c>
      <c r="F8165">
        <v>41.84</v>
      </c>
      <c r="H8165">
        <v>4566.01</v>
      </c>
    </row>
    <row r="8166" spans="1:8" ht="15" customHeight="1" x14ac:dyDescent="0.2">
      <c r="A8166" s="420">
        <v>45805</v>
      </c>
      <c r="B8166" t="s">
        <v>2532</v>
      </c>
      <c r="C8166" t="s">
        <v>1734</v>
      </c>
      <c r="D8166" t="s">
        <v>4896</v>
      </c>
      <c r="E8166" t="s">
        <v>1862</v>
      </c>
      <c r="F8166">
        <v>28.18</v>
      </c>
      <c r="H8166">
        <v>4594.1899999999996</v>
      </c>
    </row>
    <row r="8167" spans="1:8" ht="15" customHeight="1" x14ac:dyDescent="0.2">
      <c r="A8167" s="420">
        <v>45805</v>
      </c>
      <c r="B8167" t="s">
        <v>2532</v>
      </c>
      <c r="C8167" t="s">
        <v>1734</v>
      </c>
      <c r="D8167" t="s">
        <v>4896</v>
      </c>
      <c r="E8167" t="s">
        <v>1862</v>
      </c>
      <c r="F8167">
        <v>5.42</v>
      </c>
      <c r="H8167">
        <v>4599.6099999999997</v>
      </c>
    </row>
    <row r="8168" spans="1:8" ht="15" customHeight="1" x14ac:dyDescent="0.2">
      <c r="A8168" s="420">
        <v>45811</v>
      </c>
      <c r="B8168" t="s">
        <v>2532</v>
      </c>
      <c r="C8168" t="s">
        <v>1734</v>
      </c>
      <c r="D8168" t="s">
        <v>4099</v>
      </c>
      <c r="E8168" t="s">
        <v>1871</v>
      </c>
      <c r="F8168">
        <v>29.7</v>
      </c>
      <c r="H8168">
        <v>4629.3100000000004</v>
      </c>
    </row>
    <row r="8169" spans="1:8" ht="15" customHeight="1" x14ac:dyDescent="0.2">
      <c r="A8169" s="420">
        <v>45811</v>
      </c>
      <c r="B8169" t="s">
        <v>2532</v>
      </c>
      <c r="C8169" t="s">
        <v>1734</v>
      </c>
      <c r="D8169" t="s">
        <v>4899</v>
      </c>
      <c r="E8169" t="s">
        <v>1872</v>
      </c>
      <c r="F8169">
        <v>10</v>
      </c>
      <c r="H8169">
        <v>4639.3100000000004</v>
      </c>
    </row>
    <row r="8170" spans="1:8" ht="15" customHeight="1" x14ac:dyDescent="0.2">
      <c r="A8170" s="420">
        <v>45811</v>
      </c>
      <c r="B8170" t="s">
        <v>2532</v>
      </c>
      <c r="C8170" t="s">
        <v>1734</v>
      </c>
      <c r="D8170" t="s">
        <v>4899</v>
      </c>
      <c r="E8170" t="s">
        <v>1872</v>
      </c>
      <c r="F8170">
        <v>23.64</v>
      </c>
      <c r="H8170">
        <v>4662.95</v>
      </c>
    </row>
    <row r="8171" spans="1:8" ht="15" customHeight="1" x14ac:dyDescent="0.2">
      <c r="A8171" s="420">
        <v>45814</v>
      </c>
      <c r="B8171" t="s">
        <v>2532</v>
      </c>
      <c r="C8171" t="s">
        <v>1734</v>
      </c>
      <c r="D8171" t="s">
        <v>4902</v>
      </c>
      <c r="E8171" t="s">
        <v>1874</v>
      </c>
      <c r="F8171">
        <v>6.58</v>
      </c>
      <c r="H8171">
        <v>4669.53</v>
      </c>
    </row>
    <row r="8172" spans="1:8" ht="15" customHeight="1" x14ac:dyDescent="0.2">
      <c r="A8172" s="420">
        <v>45814</v>
      </c>
      <c r="B8172" t="s">
        <v>2532</v>
      </c>
      <c r="C8172" t="s">
        <v>1734</v>
      </c>
      <c r="D8172" t="s">
        <v>4902</v>
      </c>
      <c r="E8172" t="s">
        <v>1874</v>
      </c>
      <c r="F8172">
        <v>34.549999999999997</v>
      </c>
      <c r="H8172">
        <v>4704.08</v>
      </c>
    </row>
    <row r="8173" spans="1:8" ht="15" customHeight="1" x14ac:dyDescent="0.2">
      <c r="A8173" s="420">
        <v>45814</v>
      </c>
      <c r="B8173" t="s">
        <v>2532</v>
      </c>
      <c r="C8173" t="s">
        <v>1734</v>
      </c>
      <c r="D8173" t="s">
        <v>3966</v>
      </c>
      <c r="E8173" t="s">
        <v>1875</v>
      </c>
      <c r="F8173">
        <v>306.8</v>
      </c>
      <c r="H8173">
        <v>5010.88</v>
      </c>
    </row>
    <row r="8174" spans="1:8" ht="15" customHeight="1" x14ac:dyDescent="0.2">
      <c r="A8174" s="420">
        <v>45814</v>
      </c>
      <c r="B8174" t="s">
        <v>2532</v>
      </c>
      <c r="C8174" t="s">
        <v>1734</v>
      </c>
      <c r="D8174" t="s">
        <v>3966</v>
      </c>
      <c r="E8174" t="s">
        <v>1875</v>
      </c>
      <c r="F8174">
        <v>112.1</v>
      </c>
      <c r="H8174">
        <v>5122.9799999999996</v>
      </c>
    </row>
    <row r="8175" spans="1:8" ht="15" customHeight="1" x14ac:dyDescent="0.2">
      <c r="A8175" s="420">
        <v>45819</v>
      </c>
      <c r="B8175" t="s">
        <v>2532</v>
      </c>
      <c r="C8175" t="s">
        <v>1734</v>
      </c>
      <c r="D8175" t="s">
        <v>4905</v>
      </c>
      <c r="E8175" t="s">
        <v>1876</v>
      </c>
      <c r="F8175">
        <v>7.25</v>
      </c>
      <c r="H8175">
        <v>5130.2299999999996</v>
      </c>
    </row>
    <row r="8176" spans="1:8" ht="15" customHeight="1" x14ac:dyDescent="0.2">
      <c r="A8176" s="420">
        <v>45819</v>
      </c>
      <c r="B8176" t="s">
        <v>2532</v>
      </c>
      <c r="C8176" t="s">
        <v>1734</v>
      </c>
      <c r="D8176" t="s">
        <v>4905</v>
      </c>
      <c r="E8176" t="s">
        <v>1876</v>
      </c>
      <c r="F8176">
        <v>69.14</v>
      </c>
      <c r="H8176">
        <v>5199.37</v>
      </c>
    </row>
    <row r="8177" spans="1:8" ht="15" customHeight="1" x14ac:dyDescent="0.2">
      <c r="A8177" s="420">
        <v>45821</v>
      </c>
      <c r="B8177" t="s">
        <v>2532</v>
      </c>
      <c r="C8177" t="s">
        <v>1734</v>
      </c>
      <c r="D8177" t="s">
        <v>4907</v>
      </c>
      <c r="E8177" t="s">
        <v>1877</v>
      </c>
      <c r="F8177">
        <v>7.5</v>
      </c>
      <c r="H8177">
        <v>5206.87</v>
      </c>
    </row>
    <row r="8178" spans="1:8" ht="15" customHeight="1" x14ac:dyDescent="0.2">
      <c r="A8178" s="420">
        <v>45821</v>
      </c>
      <c r="B8178" t="s">
        <v>2532</v>
      </c>
      <c r="C8178" t="s">
        <v>1734</v>
      </c>
      <c r="D8178" t="s">
        <v>4907</v>
      </c>
      <c r="E8178" t="s">
        <v>1877</v>
      </c>
      <c r="F8178">
        <v>35.270000000000003</v>
      </c>
      <c r="H8178">
        <v>5242.1400000000003</v>
      </c>
    </row>
    <row r="8179" spans="1:8" ht="15" customHeight="1" x14ac:dyDescent="0.2">
      <c r="A8179" s="420">
        <v>45822</v>
      </c>
      <c r="B8179" t="s">
        <v>2532</v>
      </c>
      <c r="C8179" t="s">
        <v>1734</v>
      </c>
      <c r="D8179" t="s">
        <v>3972</v>
      </c>
      <c r="E8179" t="s">
        <v>1879</v>
      </c>
      <c r="F8179">
        <v>13.64</v>
      </c>
      <c r="H8179">
        <v>5255.78</v>
      </c>
    </row>
    <row r="8180" spans="1:8" ht="15" customHeight="1" x14ac:dyDescent="0.2">
      <c r="A8180" s="420">
        <v>45822</v>
      </c>
      <c r="B8180" t="s">
        <v>2532</v>
      </c>
      <c r="C8180" t="s">
        <v>1734</v>
      </c>
      <c r="D8180" t="s">
        <v>3972</v>
      </c>
      <c r="E8180" t="s">
        <v>1879</v>
      </c>
      <c r="F8180">
        <v>87.5</v>
      </c>
      <c r="H8180">
        <v>5343.28</v>
      </c>
    </row>
    <row r="8181" spans="1:8" ht="15" customHeight="1" x14ac:dyDescent="0.2">
      <c r="A8181" s="420">
        <v>45825</v>
      </c>
      <c r="B8181" t="s">
        <v>2532</v>
      </c>
      <c r="C8181" t="s">
        <v>1734</v>
      </c>
      <c r="D8181" t="s">
        <v>4908</v>
      </c>
      <c r="E8181" t="s">
        <v>1882</v>
      </c>
      <c r="F8181">
        <v>55.1</v>
      </c>
      <c r="H8181">
        <v>5398.38</v>
      </c>
    </row>
    <row r="8182" spans="1:8" ht="15" customHeight="1" x14ac:dyDescent="0.2">
      <c r="A8182" s="420">
        <v>45828</v>
      </c>
      <c r="B8182" t="s">
        <v>2333</v>
      </c>
      <c r="C8182" t="s">
        <v>1734</v>
      </c>
      <c r="D8182" t="s">
        <v>7635</v>
      </c>
      <c r="E8182" t="s">
        <v>1884</v>
      </c>
      <c r="F8182">
        <v>168.55</v>
      </c>
      <c r="H8182">
        <v>5566.93</v>
      </c>
    </row>
    <row r="8183" spans="1:8" ht="15" customHeight="1" x14ac:dyDescent="0.2">
      <c r="A8183" s="420">
        <v>45839</v>
      </c>
      <c r="B8183" t="s">
        <v>2532</v>
      </c>
      <c r="C8183" t="s">
        <v>1734</v>
      </c>
      <c r="D8183" t="s">
        <v>4911</v>
      </c>
      <c r="E8183" t="s">
        <v>1894</v>
      </c>
      <c r="F8183">
        <v>14.17</v>
      </c>
      <c r="H8183">
        <v>5581.1</v>
      </c>
    </row>
    <row r="8184" spans="1:8" ht="15" customHeight="1" x14ac:dyDescent="0.2">
      <c r="A8184" s="420">
        <v>45839</v>
      </c>
      <c r="B8184" t="s">
        <v>2532</v>
      </c>
      <c r="C8184" t="s">
        <v>1734</v>
      </c>
      <c r="D8184" t="s">
        <v>4911</v>
      </c>
      <c r="E8184" t="s">
        <v>1894</v>
      </c>
      <c r="F8184">
        <v>29.09</v>
      </c>
      <c r="H8184">
        <v>5610.19</v>
      </c>
    </row>
    <row r="8185" spans="1:8" ht="15" customHeight="1" x14ac:dyDescent="0.2">
      <c r="A8185" s="420">
        <v>45839</v>
      </c>
      <c r="B8185" t="s">
        <v>2547</v>
      </c>
      <c r="C8185" t="s">
        <v>1734</v>
      </c>
      <c r="D8185" t="s">
        <v>4912</v>
      </c>
      <c r="E8185" t="s">
        <v>1895</v>
      </c>
      <c r="F8185">
        <v>45.9</v>
      </c>
      <c r="H8185">
        <v>5656.09</v>
      </c>
    </row>
    <row r="8186" spans="1:8" ht="15" customHeight="1" x14ac:dyDescent="0.2">
      <c r="A8186" s="420">
        <v>45839</v>
      </c>
      <c r="B8186" t="s">
        <v>2547</v>
      </c>
      <c r="C8186" t="s">
        <v>1734</v>
      </c>
      <c r="D8186" t="s">
        <v>4913</v>
      </c>
      <c r="E8186" t="s">
        <v>1896</v>
      </c>
      <c r="F8186">
        <v>76.8</v>
      </c>
      <c r="H8186">
        <v>5732.89</v>
      </c>
    </row>
    <row r="8187" spans="1:8" ht="15" customHeight="1" x14ac:dyDescent="0.2">
      <c r="A8187" s="420">
        <v>45839</v>
      </c>
      <c r="B8187" t="s">
        <v>2547</v>
      </c>
      <c r="C8187" t="s">
        <v>1734</v>
      </c>
      <c r="D8187" t="s">
        <v>4914</v>
      </c>
      <c r="E8187" t="s">
        <v>1897</v>
      </c>
      <c r="F8187">
        <v>76</v>
      </c>
      <c r="H8187">
        <v>5808.89</v>
      </c>
    </row>
    <row r="8188" spans="1:8" ht="15" customHeight="1" x14ac:dyDescent="0.2">
      <c r="A8188" s="420">
        <v>45848</v>
      </c>
      <c r="B8188" t="s">
        <v>2547</v>
      </c>
      <c r="C8188" t="s">
        <v>1734</v>
      </c>
      <c r="D8188" t="s">
        <v>4919</v>
      </c>
      <c r="E8188" t="s">
        <v>1899</v>
      </c>
      <c r="F8188">
        <v>63.73</v>
      </c>
      <c r="H8188">
        <v>5872.62</v>
      </c>
    </row>
    <row r="8189" spans="1:8" ht="15" customHeight="1" x14ac:dyDescent="0.2">
      <c r="A8189" s="420">
        <v>45849</v>
      </c>
      <c r="B8189" t="s">
        <v>2532</v>
      </c>
      <c r="C8189" t="s">
        <v>1734</v>
      </c>
      <c r="D8189" t="s">
        <v>4920</v>
      </c>
      <c r="E8189" t="s">
        <v>1900</v>
      </c>
      <c r="F8189">
        <v>59.4</v>
      </c>
      <c r="H8189">
        <v>5932.02</v>
      </c>
    </row>
    <row r="8190" spans="1:8" ht="15" customHeight="1" x14ac:dyDescent="0.2">
      <c r="A8190" s="420">
        <v>45853</v>
      </c>
      <c r="B8190" t="s">
        <v>2532</v>
      </c>
      <c r="C8190" t="s">
        <v>1734</v>
      </c>
      <c r="D8190" t="s">
        <v>4922</v>
      </c>
      <c r="E8190" t="s">
        <v>1902</v>
      </c>
      <c r="F8190">
        <v>45.39</v>
      </c>
      <c r="H8190">
        <v>5977.41</v>
      </c>
    </row>
    <row r="8191" spans="1:8" ht="15" customHeight="1" x14ac:dyDescent="0.2">
      <c r="A8191" s="420">
        <v>45853</v>
      </c>
      <c r="B8191" t="s">
        <v>2532</v>
      </c>
      <c r="C8191" t="s">
        <v>1734</v>
      </c>
      <c r="D8191" t="s">
        <v>4922</v>
      </c>
      <c r="E8191" t="s">
        <v>1902</v>
      </c>
      <c r="F8191">
        <v>36.119999999999997</v>
      </c>
      <c r="H8191">
        <v>6013.53</v>
      </c>
    </row>
    <row r="8192" spans="1:8" ht="15" customHeight="1" x14ac:dyDescent="0.2">
      <c r="A8192" s="420">
        <v>45853</v>
      </c>
      <c r="B8192" t="s">
        <v>2532</v>
      </c>
      <c r="C8192" t="s">
        <v>1734</v>
      </c>
      <c r="D8192" t="s">
        <v>4923</v>
      </c>
      <c r="E8192" t="s">
        <v>1903</v>
      </c>
      <c r="F8192">
        <v>9.27</v>
      </c>
      <c r="H8192">
        <v>6022.8</v>
      </c>
    </row>
    <row r="8193" spans="1:8" ht="15" customHeight="1" x14ac:dyDescent="0.2">
      <c r="A8193" s="420">
        <v>45853</v>
      </c>
      <c r="B8193" t="s">
        <v>2532</v>
      </c>
      <c r="C8193" t="s">
        <v>1734</v>
      </c>
      <c r="D8193" t="s">
        <v>4923</v>
      </c>
      <c r="E8193" t="s">
        <v>1903</v>
      </c>
      <c r="F8193">
        <v>3.08</v>
      </c>
      <c r="H8193">
        <v>6025.88</v>
      </c>
    </row>
    <row r="8194" spans="1:8" ht="15" customHeight="1" x14ac:dyDescent="0.2">
      <c r="A8194" s="420">
        <v>45856</v>
      </c>
      <c r="B8194" t="s">
        <v>2532</v>
      </c>
      <c r="C8194" t="s">
        <v>1734</v>
      </c>
      <c r="D8194" t="s">
        <v>4928</v>
      </c>
      <c r="E8194" t="s">
        <v>1904</v>
      </c>
      <c r="F8194">
        <v>77.7</v>
      </c>
      <c r="H8194">
        <v>6103.58</v>
      </c>
    </row>
    <row r="8195" spans="1:8" ht="15" customHeight="1" x14ac:dyDescent="0.2">
      <c r="A8195" s="420">
        <v>45861</v>
      </c>
      <c r="B8195" t="s">
        <v>2532</v>
      </c>
      <c r="C8195" t="s">
        <v>1734</v>
      </c>
      <c r="D8195" t="s">
        <v>3708</v>
      </c>
      <c r="E8195" t="s">
        <v>1905</v>
      </c>
      <c r="F8195">
        <v>1298.19</v>
      </c>
      <c r="H8195">
        <v>7401.77</v>
      </c>
    </row>
    <row r="8196" spans="1:8" ht="15" customHeight="1" x14ac:dyDescent="0.2">
      <c r="A8196" s="420">
        <v>45861</v>
      </c>
      <c r="B8196" t="s">
        <v>2532</v>
      </c>
      <c r="C8196" t="s">
        <v>1734</v>
      </c>
      <c r="D8196" t="s">
        <v>3708</v>
      </c>
      <c r="E8196" t="s">
        <v>1905</v>
      </c>
      <c r="F8196">
        <v>299.99</v>
      </c>
      <c r="H8196">
        <v>7701.76</v>
      </c>
    </row>
    <row r="8197" spans="1:8" ht="15" customHeight="1" x14ac:dyDescent="0.2">
      <c r="A8197" s="420">
        <v>45866</v>
      </c>
      <c r="B8197" t="s">
        <v>2532</v>
      </c>
      <c r="C8197" t="s">
        <v>1734</v>
      </c>
      <c r="D8197" t="s">
        <v>4930</v>
      </c>
      <c r="E8197" t="s">
        <v>1907</v>
      </c>
      <c r="F8197">
        <v>14.17</v>
      </c>
      <c r="H8197">
        <v>7715.93</v>
      </c>
    </row>
    <row r="8198" spans="1:8" ht="15" customHeight="1" x14ac:dyDescent="0.2">
      <c r="A8198" s="420">
        <v>45866</v>
      </c>
      <c r="B8198" t="s">
        <v>2532</v>
      </c>
      <c r="C8198" t="s">
        <v>1734</v>
      </c>
      <c r="D8198" t="s">
        <v>4930</v>
      </c>
      <c r="E8198" t="s">
        <v>1907</v>
      </c>
      <c r="F8198">
        <v>31.73</v>
      </c>
      <c r="H8198">
        <v>7747.66</v>
      </c>
    </row>
    <row r="8199" spans="1:8" ht="15" customHeight="1" x14ac:dyDescent="0.2">
      <c r="A8199" s="420">
        <v>45875</v>
      </c>
      <c r="B8199" t="s">
        <v>2532</v>
      </c>
      <c r="C8199" t="s">
        <v>1734</v>
      </c>
      <c r="D8199" t="s">
        <v>4934</v>
      </c>
      <c r="E8199" t="s">
        <v>1913</v>
      </c>
      <c r="F8199">
        <v>14.17</v>
      </c>
      <c r="H8199">
        <v>7761.83</v>
      </c>
    </row>
    <row r="8200" spans="1:8" ht="15" customHeight="1" x14ac:dyDescent="0.2">
      <c r="A8200" s="420">
        <v>45875</v>
      </c>
      <c r="B8200" t="s">
        <v>2532</v>
      </c>
      <c r="C8200" t="s">
        <v>1734</v>
      </c>
      <c r="D8200" t="s">
        <v>4934</v>
      </c>
      <c r="E8200" t="s">
        <v>1913</v>
      </c>
      <c r="F8200">
        <v>50.82</v>
      </c>
      <c r="H8200">
        <v>7812.65</v>
      </c>
    </row>
    <row r="8201" spans="1:8" ht="15" customHeight="1" x14ac:dyDescent="0.2">
      <c r="A8201" s="420">
        <v>45882</v>
      </c>
      <c r="B8201" t="s">
        <v>2532</v>
      </c>
      <c r="C8201" t="s">
        <v>1734</v>
      </c>
      <c r="D8201" t="s">
        <v>4666</v>
      </c>
      <c r="E8201" t="s">
        <v>1914</v>
      </c>
      <c r="F8201">
        <v>100.66</v>
      </c>
      <c r="H8201">
        <v>7913.31</v>
      </c>
    </row>
    <row r="8202" spans="1:8" ht="15" customHeight="1" x14ac:dyDescent="0.2">
      <c r="A8202" s="420">
        <v>45887</v>
      </c>
      <c r="B8202" t="s">
        <v>2532</v>
      </c>
      <c r="C8202" t="s">
        <v>1734</v>
      </c>
      <c r="D8202" t="s">
        <v>3928</v>
      </c>
      <c r="E8202" t="s">
        <v>7883</v>
      </c>
      <c r="F8202">
        <v>53.08</v>
      </c>
      <c r="H8202">
        <v>7966.39</v>
      </c>
    </row>
    <row r="8203" spans="1:8" ht="15" customHeight="1" x14ac:dyDescent="0.2">
      <c r="A8203" s="420">
        <v>45891</v>
      </c>
      <c r="B8203" t="s">
        <v>2532</v>
      </c>
      <c r="C8203" t="s">
        <v>1734</v>
      </c>
      <c r="D8203" t="s">
        <v>4935</v>
      </c>
      <c r="E8203" t="s">
        <v>1921</v>
      </c>
      <c r="F8203">
        <v>7.08</v>
      </c>
      <c r="H8203">
        <v>7973.47</v>
      </c>
    </row>
    <row r="8204" spans="1:8" ht="15" customHeight="1" x14ac:dyDescent="0.2">
      <c r="A8204" s="420">
        <v>45891</v>
      </c>
      <c r="B8204" t="s">
        <v>2532</v>
      </c>
      <c r="C8204" t="s">
        <v>1734</v>
      </c>
      <c r="D8204" t="s">
        <v>4935</v>
      </c>
      <c r="E8204" t="s">
        <v>1921</v>
      </c>
      <c r="F8204">
        <v>70.180000000000007</v>
      </c>
      <c r="H8204">
        <v>8043.65</v>
      </c>
    </row>
    <row r="8205" spans="1:8" ht="15" customHeight="1" x14ac:dyDescent="0.2">
      <c r="A8205" s="420">
        <v>45905</v>
      </c>
      <c r="B8205" t="s">
        <v>2532</v>
      </c>
      <c r="C8205" t="s">
        <v>1734</v>
      </c>
      <c r="D8205" t="s">
        <v>4812</v>
      </c>
      <c r="E8205" t="s">
        <v>1927</v>
      </c>
      <c r="F8205">
        <v>136.25</v>
      </c>
      <c r="H8205">
        <v>8179.9</v>
      </c>
    </row>
    <row r="8206" spans="1:8" ht="15" customHeight="1" x14ac:dyDescent="0.2">
      <c r="A8206" s="420">
        <v>45905</v>
      </c>
      <c r="B8206" t="s">
        <v>2532</v>
      </c>
      <c r="C8206" t="s">
        <v>1734</v>
      </c>
      <c r="D8206" t="s">
        <v>3746</v>
      </c>
      <c r="E8206" t="s">
        <v>1928</v>
      </c>
      <c r="F8206">
        <v>39.200000000000003</v>
      </c>
      <c r="H8206">
        <v>8219.1</v>
      </c>
    </row>
    <row r="8207" spans="1:8" ht="15" customHeight="1" x14ac:dyDescent="0.2">
      <c r="A8207" s="420">
        <v>45905</v>
      </c>
      <c r="B8207" t="s">
        <v>2532</v>
      </c>
      <c r="C8207" t="s">
        <v>1734</v>
      </c>
      <c r="D8207" t="s">
        <v>3746</v>
      </c>
      <c r="E8207" t="s">
        <v>1928</v>
      </c>
      <c r="F8207">
        <v>3.45</v>
      </c>
      <c r="H8207">
        <v>8222.5499999999993</v>
      </c>
    </row>
    <row r="8208" spans="1:8" ht="15" customHeight="1" x14ac:dyDescent="0.2">
      <c r="A8208" s="420">
        <v>45905</v>
      </c>
      <c r="B8208" t="s">
        <v>2532</v>
      </c>
      <c r="C8208" t="s">
        <v>1734</v>
      </c>
      <c r="D8208" t="s">
        <v>3901</v>
      </c>
      <c r="E8208" t="s">
        <v>1929</v>
      </c>
      <c r="F8208">
        <v>36.520000000000003</v>
      </c>
      <c r="H8208">
        <v>8259.07</v>
      </c>
    </row>
    <row r="8209" spans="1:8" ht="15" customHeight="1" x14ac:dyDescent="0.2">
      <c r="A8209" s="420">
        <v>45909</v>
      </c>
      <c r="B8209" t="s">
        <v>2547</v>
      </c>
      <c r="C8209" t="s">
        <v>1734</v>
      </c>
      <c r="D8209" t="s">
        <v>2956</v>
      </c>
      <c r="E8209" t="s">
        <v>1932</v>
      </c>
      <c r="F8209">
        <v>79.17</v>
      </c>
      <c r="H8209">
        <v>8338.24</v>
      </c>
    </row>
    <row r="8210" spans="1:8" ht="15" customHeight="1" x14ac:dyDescent="0.2">
      <c r="A8210" s="420">
        <v>45910</v>
      </c>
      <c r="B8210" t="s">
        <v>2532</v>
      </c>
      <c r="C8210" t="s">
        <v>1734</v>
      </c>
      <c r="D8210" t="s">
        <v>3902</v>
      </c>
      <c r="E8210" t="s">
        <v>1933</v>
      </c>
      <c r="F8210">
        <v>25.84</v>
      </c>
      <c r="H8210">
        <v>8364.08</v>
      </c>
    </row>
    <row r="8211" spans="1:8" ht="15" customHeight="1" x14ac:dyDescent="0.2">
      <c r="A8211" s="420">
        <v>45910</v>
      </c>
      <c r="B8211" t="s">
        <v>2532</v>
      </c>
      <c r="C8211" t="s">
        <v>1734</v>
      </c>
      <c r="D8211" t="s">
        <v>4939</v>
      </c>
      <c r="E8211" t="s">
        <v>1934</v>
      </c>
      <c r="F8211">
        <v>14.17</v>
      </c>
      <c r="H8211">
        <v>8378.25</v>
      </c>
    </row>
    <row r="8212" spans="1:8" ht="15" customHeight="1" x14ac:dyDescent="0.2">
      <c r="A8212" s="420">
        <v>45910</v>
      </c>
      <c r="B8212" t="s">
        <v>2532</v>
      </c>
      <c r="C8212" t="s">
        <v>1734</v>
      </c>
      <c r="D8212" t="s">
        <v>4939</v>
      </c>
      <c r="E8212" t="s">
        <v>1934</v>
      </c>
      <c r="F8212">
        <v>34.450000000000003</v>
      </c>
      <c r="H8212">
        <v>8412.7000000000007</v>
      </c>
    </row>
    <row r="8213" spans="1:8" ht="15" customHeight="1" x14ac:dyDescent="0.2">
      <c r="A8213" s="420">
        <v>45913</v>
      </c>
      <c r="B8213" t="s">
        <v>2532</v>
      </c>
      <c r="C8213" t="s">
        <v>1734</v>
      </c>
      <c r="D8213" t="s">
        <v>2868</v>
      </c>
      <c r="E8213" t="s">
        <v>1935</v>
      </c>
      <c r="F8213">
        <v>76.900000000000006</v>
      </c>
      <c r="H8213">
        <v>8489.6</v>
      </c>
    </row>
    <row r="8214" spans="1:8" ht="15" customHeight="1" x14ac:dyDescent="0.2">
      <c r="A8214" s="420">
        <v>45913</v>
      </c>
      <c r="B8214" t="s">
        <v>2532</v>
      </c>
      <c r="C8214" t="s">
        <v>1734</v>
      </c>
      <c r="D8214" t="s">
        <v>2868</v>
      </c>
      <c r="E8214" t="s">
        <v>1935</v>
      </c>
      <c r="F8214">
        <v>36.33</v>
      </c>
      <c r="H8214">
        <v>8525.93</v>
      </c>
    </row>
    <row r="8215" spans="1:8" ht="15" customHeight="1" x14ac:dyDescent="0.2">
      <c r="A8215" s="420">
        <v>45918</v>
      </c>
      <c r="B8215" t="s">
        <v>2333</v>
      </c>
      <c r="C8215" t="s">
        <v>1734</v>
      </c>
      <c r="D8215" t="s">
        <v>7706</v>
      </c>
      <c r="E8215" t="s">
        <v>1939</v>
      </c>
      <c r="F8215">
        <v>202.48</v>
      </c>
      <c r="H8215">
        <v>8728.41</v>
      </c>
    </row>
    <row r="8216" spans="1:8" ht="15" customHeight="1" x14ac:dyDescent="0.2">
      <c r="A8216" s="420">
        <v>45930</v>
      </c>
      <c r="B8216" t="s">
        <v>2532</v>
      </c>
      <c r="C8216" t="s">
        <v>1734</v>
      </c>
      <c r="D8216" t="s">
        <v>4941</v>
      </c>
      <c r="E8216" t="s">
        <v>1942</v>
      </c>
      <c r="F8216">
        <v>31.82</v>
      </c>
      <c r="H8216">
        <v>8760.23</v>
      </c>
    </row>
    <row r="8217" spans="1:8" ht="15" customHeight="1" x14ac:dyDescent="0.2">
      <c r="A8217" s="420">
        <v>45931</v>
      </c>
      <c r="B8217" t="s">
        <v>2547</v>
      </c>
      <c r="C8217" t="s">
        <v>1734</v>
      </c>
      <c r="D8217" t="s">
        <v>4944</v>
      </c>
      <c r="E8217" t="s">
        <v>1944</v>
      </c>
      <c r="F8217">
        <v>220.6</v>
      </c>
      <c r="H8217">
        <v>8980.83</v>
      </c>
    </row>
    <row r="8218" spans="1:8" ht="15" customHeight="1" x14ac:dyDescent="0.2">
      <c r="A8218" s="420">
        <v>45933</v>
      </c>
      <c r="B8218" t="s">
        <v>2532</v>
      </c>
      <c r="C8218" t="s">
        <v>1734</v>
      </c>
      <c r="D8218" t="s">
        <v>4948</v>
      </c>
      <c r="E8218" t="s">
        <v>1948</v>
      </c>
      <c r="F8218">
        <v>14.17</v>
      </c>
      <c r="H8218">
        <v>8995</v>
      </c>
    </row>
    <row r="8219" spans="1:8" ht="15" customHeight="1" x14ac:dyDescent="0.2">
      <c r="A8219" s="420">
        <v>45933</v>
      </c>
      <c r="B8219" t="s">
        <v>2532</v>
      </c>
      <c r="C8219" t="s">
        <v>1734</v>
      </c>
      <c r="D8219" t="s">
        <v>4948</v>
      </c>
      <c r="E8219" t="s">
        <v>1948</v>
      </c>
      <c r="F8219">
        <v>49.91</v>
      </c>
      <c r="H8219">
        <v>9044.91</v>
      </c>
    </row>
    <row r="8220" spans="1:8" ht="15" customHeight="1" x14ac:dyDescent="0.2">
      <c r="A8220" s="420">
        <v>45934</v>
      </c>
      <c r="B8220" t="s">
        <v>2532</v>
      </c>
      <c r="C8220" t="s">
        <v>1734</v>
      </c>
      <c r="D8220" t="s">
        <v>4949</v>
      </c>
      <c r="E8220" t="s">
        <v>1950</v>
      </c>
      <c r="F8220">
        <v>15.83</v>
      </c>
      <c r="H8220">
        <v>9060.74</v>
      </c>
    </row>
    <row r="8221" spans="1:8" ht="15" customHeight="1" x14ac:dyDescent="0.2">
      <c r="A8221" s="420">
        <v>45934</v>
      </c>
      <c r="B8221" t="s">
        <v>2532</v>
      </c>
      <c r="C8221" t="s">
        <v>1734</v>
      </c>
      <c r="D8221" t="s">
        <v>4949</v>
      </c>
      <c r="E8221" t="s">
        <v>1950</v>
      </c>
      <c r="F8221">
        <v>55.36</v>
      </c>
      <c r="H8221">
        <v>9116.1</v>
      </c>
    </row>
    <row r="8222" spans="1:8" ht="15" customHeight="1" x14ac:dyDescent="0.2">
      <c r="A8222" s="420">
        <v>45940</v>
      </c>
      <c r="B8222" t="s">
        <v>2532</v>
      </c>
      <c r="C8222" t="s">
        <v>1734</v>
      </c>
      <c r="D8222" t="s">
        <v>4953</v>
      </c>
      <c r="E8222" t="s">
        <v>1954</v>
      </c>
      <c r="F8222">
        <v>75.33</v>
      </c>
      <c r="H8222">
        <v>9191.43</v>
      </c>
    </row>
    <row r="8223" spans="1:8" ht="15" customHeight="1" x14ac:dyDescent="0.2">
      <c r="A8223" s="420">
        <v>45940</v>
      </c>
      <c r="B8223" t="s">
        <v>2532</v>
      </c>
      <c r="C8223" t="s">
        <v>1734</v>
      </c>
      <c r="D8223" t="s">
        <v>4953</v>
      </c>
      <c r="E8223" t="s">
        <v>1954</v>
      </c>
      <c r="F8223">
        <v>129.63999999999999</v>
      </c>
      <c r="H8223">
        <v>9321.07</v>
      </c>
    </row>
    <row r="8224" spans="1:8" ht="15" customHeight="1" x14ac:dyDescent="0.2">
      <c r="A8224" s="420">
        <v>45948</v>
      </c>
      <c r="B8224" t="s">
        <v>2532</v>
      </c>
      <c r="C8224" t="s">
        <v>1734</v>
      </c>
      <c r="D8224" t="s">
        <v>4956</v>
      </c>
      <c r="E8224" t="s">
        <v>1957</v>
      </c>
      <c r="F8224">
        <v>21.67</v>
      </c>
      <c r="H8224">
        <v>9342.74</v>
      </c>
    </row>
    <row r="8225" spans="1:8" ht="15" customHeight="1" x14ac:dyDescent="0.2">
      <c r="A8225" s="420">
        <v>45948</v>
      </c>
      <c r="B8225" t="s">
        <v>2532</v>
      </c>
      <c r="C8225" t="s">
        <v>1734</v>
      </c>
      <c r="D8225" t="s">
        <v>4956</v>
      </c>
      <c r="E8225" t="s">
        <v>1957</v>
      </c>
      <c r="F8225">
        <v>37.090000000000003</v>
      </c>
      <c r="H8225">
        <v>9379.83</v>
      </c>
    </row>
    <row r="8226" spans="1:8" ht="15" customHeight="1" x14ac:dyDescent="0.2">
      <c r="A8226" s="420">
        <v>45952</v>
      </c>
      <c r="B8226" t="s">
        <v>2532</v>
      </c>
      <c r="C8226" t="s">
        <v>1734</v>
      </c>
      <c r="D8226" t="s">
        <v>4959</v>
      </c>
      <c r="E8226" t="s">
        <v>1959</v>
      </c>
      <c r="F8226">
        <v>12.5</v>
      </c>
      <c r="H8226">
        <v>9392.33</v>
      </c>
    </row>
    <row r="8227" spans="1:8" ht="15" customHeight="1" x14ac:dyDescent="0.2">
      <c r="A8227" s="420">
        <v>45952</v>
      </c>
      <c r="B8227" t="s">
        <v>2532</v>
      </c>
      <c r="C8227" t="s">
        <v>1734</v>
      </c>
      <c r="D8227" t="s">
        <v>4959</v>
      </c>
      <c r="E8227" t="s">
        <v>1959</v>
      </c>
      <c r="F8227">
        <v>33.270000000000003</v>
      </c>
      <c r="H8227">
        <v>9425.6</v>
      </c>
    </row>
    <row r="8228" spans="1:8" ht="15" customHeight="1" x14ac:dyDescent="0.2">
      <c r="A8228" s="420">
        <v>45953</v>
      </c>
      <c r="B8228" t="s">
        <v>2532</v>
      </c>
      <c r="C8228" t="s">
        <v>1734</v>
      </c>
      <c r="D8228" t="s">
        <v>4962</v>
      </c>
      <c r="E8228" t="s">
        <v>1960</v>
      </c>
      <c r="F8228">
        <v>7.25</v>
      </c>
      <c r="H8228">
        <v>9432.85</v>
      </c>
    </row>
    <row r="8229" spans="1:8" ht="15" customHeight="1" x14ac:dyDescent="0.2">
      <c r="A8229" s="420">
        <v>45953</v>
      </c>
      <c r="B8229" t="s">
        <v>2532</v>
      </c>
      <c r="C8229" t="s">
        <v>1734</v>
      </c>
      <c r="D8229" t="s">
        <v>4962</v>
      </c>
      <c r="E8229" t="s">
        <v>1960</v>
      </c>
      <c r="F8229">
        <v>71.05</v>
      </c>
      <c r="H8229">
        <v>9503.9</v>
      </c>
    </row>
    <row r="8230" spans="1:8" ht="15" customHeight="1" x14ac:dyDescent="0.2">
      <c r="A8230" s="420">
        <v>45959</v>
      </c>
      <c r="B8230" t="s">
        <v>2532</v>
      </c>
      <c r="C8230" t="s">
        <v>1734</v>
      </c>
      <c r="D8230" t="s">
        <v>4964</v>
      </c>
      <c r="E8230" t="s">
        <v>1961</v>
      </c>
      <c r="F8230">
        <v>43.46</v>
      </c>
      <c r="H8230">
        <v>9547.36</v>
      </c>
    </row>
    <row r="8231" spans="1:8" ht="15" customHeight="1" x14ac:dyDescent="0.2">
      <c r="A8231" s="420">
        <v>45960</v>
      </c>
      <c r="B8231" t="s">
        <v>2532</v>
      </c>
      <c r="C8231" t="s">
        <v>1734</v>
      </c>
      <c r="D8231" t="s">
        <v>4965</v>
      </c>
      <c r="E8231" t="s">
        <v>1962</v>
      </c>
      <c r="F8231">
        <v>7.08</v>
      </c>
      <c r="H8231">
        <v>9554.44</v>
      </c>
    </row>
    <row r="8232" spans="1:8" ht="15" customHeight="1" x14ac:dyDescent="0.2">
      <c r="A8232" s="420">
        <v>45960</v>
      </c>
      <c r="B8232" t="s">
        <v>2532</v>
      </c>
      <c r="C8232" t="s">
        <v>1734</v>
      </c>
      <c r="D8232" t="s">
        <v>4965</v>
      </c>
      <c r="E8232" t="s">
        <v>1962</v>
      </c>
      <c r="F8232">
        <v>18.82</v>
      </c>
      <c r="H8232">
        <v>9573.26</v>
      </c>
    </row>
    <row r="8233" spans="1:8" ht="15" customHeight="1" x14ac:dyDescent="0.2">
      <c r="A8233" s="420">
        <v>45979</v>
      </c>
      <c r="B8233" t="s">
        <v>2532</v>
      </c>
      <c r="C8233" t="s">
        <v>1734</v>
      </c>
      <c r="D8233" t="s">
        <v>3918</v>
      </c>
      <c r="E8233" t="s">
        <v>1975</v>
      </c>
      <c r="F8233">
        <v>471.59</v>
      </c>
      <c r="H8233">
        <v>10044.85</v>
      </c>
    </row>
    <row r="8234" spans="1:8" ht="15" customHeight="1" x14ac:dyDescent="0.2">
      <c r="A8234" s="420">
        <v>45980</v>
      </c>
      <c r="B8234" t="s">
        <v>2532</v>
      </c>
      <c r="C8234" t="s">
        <v>1734</v>
      </c>
      <c r="D8234" t="s">
        <v>4966</v>
      </c>
      <c r="E8234" t="s">
        <v>1976</v>
      </c>
      <c r="F8234">
        <v>6.25</v>
      </c>
      <c r="H8234">
        <v>10051.1</v>
      </c>
    </row>
    <row r="8235" spans="1:8" ht="15" customHeight="1" x14ac:dyDescent="0.2">
      <c r="A8235" s="420">
        <v>45980</v>
      </c>
      <c r="B8235" t="s">
        <v>2532</v>
      </c>
      <c r="C8235" t="s">
        <v>1734</v>
      </c>
      <c r="D8235" t="s">
        <v>4966</v>
      </c>
      <c r="E8235" t="s">
        <v>1976</v>
      </c>
      <c r="F8235">
        <v>16.809999999999999</v>
      </c>
      <c r="H8235">
        <v>10067.91</v>
      </c>
    </row>
    <row r="8236" spans="1:8" ht="15" customHeight="1" x14ac:dyDescent="0.2">
      <c r="A8236" s="420">
        <v>45981</v>
      </c>
      <c r="B8236" t="s">
        <v>2532</v>
      </c>
      <c r="C8236" t="s">
        <v>1734</v>
      </c>
      <c r="D8236" t="s">
        <v>4968</v>
      </c>
      <c r="E8236" t="s">
        <v>1977</v>
      </c>
      <c r="F8236">
        <v>67.23</v>
      </c>
      <c r="H8236">
        <v>10135.14</v>
      </c>
    </row>
    <row r="8237" spans="1:8" ht="15" customHeight="1" x14ac:dyDescent="0.2">
      <c r="A8237" s="420">
        <v>45981</v>
      </c>
      <c r="B8237" t="s">
        <v>2532</v>
      </c>
      <c r="C8237" t="s">
        <v>1734</v>
      </c>
      <c r="D8237" t="s">
        <v>4968</v>
      </c>
      <c r="E8237" t="s">
        <v>1977</v>
      </c>
      <c r="F8237">
        <v>4.17</v>
      </c>
      <c r="H8237">
        <v>10139.31</v>
      </c>
    </row>
    <row r="8238" spans="1:8" ht="15" customHeight="1" x14ac:dyDescent="0.2">
      <c r="A8238" s="420">
        <v>45986</v>
      </c>
      <c r="B8238" t="s">
        <v>2532</v>
      </c>
      <c r="C8238" t="s">
        <v>1734</v>
      </c>
      <c r="D8238" t="s">
        <v>4970</v>
      </c>
      <c r="E8238" t="s">
        <v>1978</v>
      </c>
      <c r="F8238">
        <v>12.78</v>
      </c>
      <c r="H8238">
        <v>10152.09</v>
      </c>
    </row>
    <row r="8239" spans="1:8" ht="15" customHeight="1" x14ac:dyDescent="0.2">
      <c r="A8239" s="420">
        <v>45986</v>
      </c>
      <c r="B8239" t="s">
        <v>2532</v>
      </c>
      <c r="C8239" t="s">
        <v>1734</v>
      </c>
      <c r="D8239" t="s">
        <v>4970</v>
      </c>
      <c r="E8239" t="s">
        <v>1978</v>
      </c>
      <c r="F8239">
        <v>57.4</v>
      </c>
      <c r="H8239">
        <v>10209.49</v>
      </c>
    </row>
    <row r="8240" spans="1:8" ht="15" customHeight="1" x14ac:dyDescent="0.2">
      <c r="A8240" s="420">
        <v>45988</v>
      </c>
      <c r="B8240" t="s">
        <v>2532</v>
      </c>
      <c r="C8240" t="s">
        <v>1734</v>
      </c>
      <c r="D8240" t="s">
        <v>4972</v>
      </c>
      <c r="E8240" t="s">
        <v>1980</v>
      </c>
      <c r="F8240">
        <v>7.08</v>
      </c>
      <c r="H8240">
        <v>10216.57</v>
      </c>
    </row>
    <row r="8241" spans="1:8" ht="15" customHeight="1" x14ac:dyDescent="0.2">
      <c r="A8241" s="420">
        <v>45988</v>
      </c>
      <c r="B8241" t="s">
        <v>2532</v>
      </c>
      <c r="C8241" t="s">
        <v>1734</v>
      </c>
      <c r="D8241" t="s">
        <v>4972</v>
      </c>
      <c r="E8241" t="s">
        <v>1980</v>
      </c>
      <c r="F8241">
        <v>28.91</v>
      </c>
      <c r="H8241">
        <v>10245.48</v>
      </c>
    </row>
    <row r="8242" spans="1:8" ht="15" customHeight="1" x14ac:dyDescent="0.2">
      <c r="A8242" s="420">
        <v>45989</v>
      </c>
      <c r="B8242" t="s">
        <v>2532</v>
      </c>
      <c r="C8242" t="s">
        <v>1734</v>
      </c>
      <c r="D8242" t="s">
        <v>5001</v>
      </c>
      <c r="E8242" t="s">
        <v>1982</v>
      </c>
      <c r="F8242">
        <v>19.59</v>
      </c>
      <c r="H8242">
        <v>10265.07</v>
      </c>
    </row>
    <row r="8243" spans="1:8" ht="15" customHeight="1" x14ac:dyDescent="0.2">
      <c r="A8243" s="420">
        <v>45994</v>
      </c>
      <c r="B8243" t="s">
        <v>2532</v>
      </c>
      <c r="C8243" t="s">
        <v>1734</v>
      </c>
      <c r="D8243" t="s">
        <v>4974</v>
      </c>
      <c r="E8243" t="s">
        <v>1986</v>
      </c>
      <c r="F8243">
        <v>132.54</v>
      </c>
      <c r="H8243">
        <v>10397.61</v>
      </c>
    </row>
    <row r="8244" spans="1:8" ht="15" customHeight="1" x14ac:dyDescent="0.2">
      <c r="A8244" s="420">
        <v>45994</v>
      </c>
      <c r="B8244" t="s">
        <v>2532</v>
      </c>
      <c r="C8244" t="s">
        <v>1734</v>
      </c>
      <c r="D8244" t="s">
        <v>4974</v>
      </c>
      <c r="E8244" t="s">
        <v>1986</v>
      </c>
      <c r="F8244">
        <v>65.86</v>
      </c>
      <c r="H8244">
        <v>10463.469999999999</v>
      </c>
    </row>
    <row r="8245" spans="1:8" ht="15" customHeight="1" x14ac:dyDescent="0.2">
      <c r="A8245" s="420">
        <v>45999</v>
      </c>
      <c r="B8245" t="s">
        <v>2333</v>
      </c>
      <c r="C8245" t="s">
        <v>1734</v>
      </c>
      <c r="D8245" t="s">
        <v>4978</v>
      </c>
      <c r="E8245" t="s">
        <v>1991</v>
      </c>
      <c r="F8245">
        <v>88.9</v>
      </c>
      <c r="H8245">
        <v>10552.37</v>
      </c>
    </row>
    <row r="8246" spans="1:8" ht="15" customHeight="1" x14ac:dyDescent="0.2">
      <c r="A8246" s="420">
        <v>45999</v>
      </c>
      <c r="B8246" t="s">
        <v>2532</v>
      </c>
      <c r="C8246" t="s">
        <v>1734</v>
      </c>
      <c r="D8246" t="s">
        <v>4980</v>
      </c>
      <c r="E8246" t="s">
        <v>1992</v>
      </c>
      <c r="F8246">
        <v>6.25</v>
      </c>
      <c r="H8246">
        <v>10558.62</v>
      </c>
    </row>
    <row r="8247" spans="1:8" ht="15" customHeight="1" x14ac:dyDescent="0.2">
      <c r="A8247" s="420">
        <v>45999</v>
      </c>
      <c r="B8247" t="s">
        <v>2532</v>
      </c>
      <c r="C8247" t="s">
        <v>1734</v>
      </c>
      <c r="D8247" t="s">
        <v>4980</v>
      </c>
      <c r="E8247" t="s">
        <v>1992</v>
      </c>
      <c r="F8247">
        <v>34.36</v>
      </c>
      <c r="H8247">
        <v>10592.98</v>
      </c>
    </row>
    <row r="8248" spans="1:8" ht="15" customHeight="1" x14ac:dyDescent="0.2">
      <c r="A8248" s="420">
        <v>46002</v>
      </c>
      <c r="B8248" t="s">
        <v>2547</v>
      </c>
      <c r="C8248" t="s">
        <v>1734</v>
      </c>
      <c r="D8248" t="s">
        <v>4988</v>
      </c>
      <c r="E8248" t="s">
        <v>1994</v>
      </c>
      <c r="F8248">
        <v>216</v>
      </c>
      <c r="H8248">
        <v>10808.98</v>
      </c>
    </row>
    <row r="8249" spans="1:8" ht="15" customHeight="1" x14ac:dyDescent="0.2">
      <c r="A8249" s="420">
        <v>46003</v>
      </c>
      <c r="B8249" t="s">
        <v>2532</v>
      </c>
      <c r="C8249" t="s">
        <v>1734</v>
      </c>
      <c r="D8249" t="s">
        <v>4989</v>
      </c>
      <c r="E8249" t="s">
        <v>1995</v>
      </c>
      <c r="F8249">
        <v>12.08</v>
      </c>
      <c r="H8249">
        <v>10821.06</v>
      </c>
    </row>
    <row r="8250" spans="1:8" ht="15" customHeight="1" x14ac:dyDescent="0.2">
      <c r="A8250" s="420">
        <v>46003</v>
      </c>
      <c r="B8250" t="s">
        <v>2532</v>
      </c>
      <c r="C8250" t="s">
        <v>1734</v>
      </c>
      <c r="D8250" t="s">
        <v>4989</v>
      </c>
      <c r="E8250" t="s">
        <v>1995</v>
      </c>
      <c r="F8250">
        <v>32.549999999999997</v>
      </c>
      <c r="H8250">
        <v>10853.61</v>
      </c>
    </row>
    <row r="8251" spans="1:8" ht="15" customHeight="1" x14ac:dyDescent="0.2">
      <c r="A8251" s="420">
        <v>46007</v>
      </c>
      <c r="B8251" t="s">
        <v>2532</v>
      </c>
      <c r="C8251" t="s">
        <v>1734</v>
      </c>
      <c r="D8251" t="s">
        <v>4668</v>
      </c>
      <c r="E8251" t="s">
        <v>1998</v>
      </c>
      <c r="F8251">
        <v>118.29</v>
      </c>
      <c r="H8251">
        <v>10971.9</v>
      </c>
    </row>
    <row r="8252" spans="1:8" ht="15" customHeight="1" x14ac:dyDescent="0.2">
      <c r="A8252" s="420">
        <v>46008</v>
      </c>
      <c r="B8252" t="s">
        <v>2532</v>
      </c>
      <c r="C8252" t="s">
        <v>1734</v>
      </c>
      <c r="D8252" t="s">
        <v>4991</v>
      </c>
      <c r="E8252" t="s">
        <v>1999</v>
      </c>
      <c r="F8252">
        <v>15</v>
      </c>
      <c r="H8252">
        <v>10986.9</v>
      </c>
    </row>
    <row r="8253" spans="1:8" ht="15" customHeight="1" x14ac:dyDescent="0.2">
      <c r="A8253" s="420">
        <v>46008</v>
      </c>
      <c r="B8253" t="s">
        <v>2532</v>
      </c>
      <c r="C8253" t="s">
        <v>1734</v>
      </c>
      <c r="D8253" t="s">
        <v>4991</v>
      </c>
      <c r="E8253" t="s">
        <v>1999</v>
      </c>
      <c r="F8253">
        <v>67.73</v>
      </c>
      <c r="H8253">
        <v>11054.63</v>
      </c>
    </row>
    <row r="8254" spans="1:8" ht="15" customHeight="1" x14ac:dyDescent="0.2">
      <c r="A8254" s="420">
        <v>46010</v>
      </c>
      <c r="B8254" t="s">
        <v>2532</v>
      </c>
      <c r="C8254" t="s">
        <v>1734</v>
      </c>
      <c r="D8254" t="s">
        <v>3036</v>
      </c>
      <c r="E8254" t="s">
        <v>2001</v>
      </c>
      <c r="F8254">
        <v>59.55</v>
      </c>
      <c r="H8254">
        <v>11114.18</v>
      </c>
    </row>
    <row r="8255" spans="1:8" ht="15" customHeight="1" x14ac:dyDescent="0.2">
      <c r="A8255" s="420">
        <v>46012</v>
      </c>
      <c r="B8255" t="s">
        <v>2532</v>
      </c>
      <c r="C8255" t="s">
        <v>1734</v>
      </c>
      <c r="D8255" t="s">
        <v>3035</v>
      </c>
      <c r="E8255" t="s">
        <v>2003</v>
      </c>
      <c r="F8255">
        <v>110.04</v>
      </c>
      <c r="H8255">
        <v>11224.22</v>
      </c>
    </row>
    <row r="8256" spans="1:8" ht="15" customHeight="1" x14ac:dyDescent="0.2">
      <c r="A8256" s="420">
        <v>46013</v>
      </c>
      <c r="B8256" t="s">
        <v>2532</v>
      </c>
      <c r="C8256" t="s">
        <v>1734</v>
      </c>
      <c r="D8256" t="s">
        <v>3968</v>
      </c>
      <c r="E8256" t="s">
        <v>2004</v>
      </c>
      <c r="F8256">
        <v>209.09</v>
      </c>
      <c r="H8256">
        <v>11433.31</v>
      </c>
    </row>
    <row r="8257" spans="1:10" ht="15" customHeight="1" x14ac:dyDescent="0.2">
      <c r="A8257" s="420">
        <v>46013</v>
      </c>
      <c r="B8257" t="s">
        <v>2517</v>
      </c>
      <c r="C8257" t="s">
        <v>1734</v>
      </c>
      <c r="D8257" t="s">
        <v>3969</v>
      </c>
      <c r="E8257" t="s">
        <v>2005</v>
      </c>
      <c r="G8257">
        <v>209.09</v>
      </c>
      <c r="H8257">
        <v>11224.22</v>
      </c>
    </row>
    <row r="8258" spans="1:10" ht="15" customHeight="1" x14ac:dyDescent="0.2">
      <c r="A8258" s="420">
        <v>46014</v>
      </c>
      <c r="B8258" t="s">
        <v>2532</v>
      </c>
      <c r="C8258" t="s">
        <v>1734</v>
      </c>
      <c r="D8258" t="s">
        <v>3036</v>
      </c>
      <c r="E8258" t="s">
        <v>2006</v>
      </c>
      <c r="F8258">
        <v>84.99</v>
      </c>
      <c r="H8258">
        <v>11309.21</v>
      </c>
    </row>
    <row r="8259" spans="1:10" ht="15" customHeight="1" x14ac:dyDescent="0.2">
      <c r="A8259" t="s">
        <v>1734</v>
      </c>
      <c r="E8259" t="s">
        <v>349</v>
      </c>
      <c r="F8259">
        <v>11518.3</v>
      </c>
      <c r="G8259">
        <v>209.09</v>
      </c>
      <c r="H8259">
        <v>11309.21</v>
      </c>
    </row>
    <row r="8261" spans="1:10" ht="15" customHeight="1" x14ac:dyDescent="0.2">
      <c r="A8261" t="s">
        <v>1626</v>
      </c>
      <c r="B8261" t="s">
        <v>1627</v>
      </c>
      <c r="F8261" t="s">
        <v>2430</v>
      </c>
      <c r="G8261" t="s">
        <v>2431</v>
      </c>
      <c r="H8261" t="s">
        <v>2432</v>
      </c>
      <c r="I8261" t="s">
        <v>2433</v>
      </c>
      <c r="J8261" t="s">
        <v>2434</v>
      </c>
    </row>
    <row r="8262" spans="1:10" ht="15" customHeight="1" x14ac:dyDescent="0.2">
      <c r="A8262" s="420">
        <v>45667</v>
      </c>
      <c r="B8262" t="s">
        <v>2532</v>
      </c>
      <c r="C8262" t="s">
        <v>1626</v>
      </c>
      <c r="D8262" t="s">
        <v>3771</v>
      </c>
      <c r="E8262" t="s">
        <v>1628</v>
      </c>
      <c r="F8262">
        <v>40.15</v>
      </c>
      <c r="H8262">
        <v>40.15</v>
      </c>
    </row>
    <row r="8263" spans="1:10" ht="15" customHeight="1" x14ac:dyDescent="0.2">
      <c r="A8263" s="420">
        <v>45684</v>
      </c>
      <c r="B8263" t="s">
        <v>2532</v>
      </c>
      <c r="C8263" t="s">
        <v>1626</v>
      </c>
      <c r="D8263" t="s">
        <v>3774</v>
      </c>
      <c r="E8263" t="s">
        <v>1631</v>
      </c>
      <c r="F8263">
        <v>20.9</v>
      </c>
      <c r="H8263">
        <v>61.05</v>
      </c>
    </row>
    <row r="8264" spans="1:10" ht="15" customHeight="1" x14ac:dyDescent="0.2">
      <c r="A8264" s="420">
        <v>45685</v>
      </c>
      <c r="B8264" t="s">
        <v>2532</v>
      </c>
      <c r="C8264" t="s">
        <v>1626</v>
      </c>
      <c r="D8264" t="s">
        <v>3777</v>
      </c>
      <c r="E8264" t="s">
        <v>1633</v>
      </c>
      <c r="F8264">
        <v>20.9</v>
      </c>
      <c r="H8264">
        <v>81.95</v>
      </c>
    </row>
    <row r="8265" spans="1:10" ht="15" customHeight="1" x14ac:dyDescent="0.2">
      <c r="A8265" s="420">
        <v>45694</v>
      </c>
      <c r="B8265" t="s">
        <v>2532</v>
      </c>
      <c r="C8265" t="s">
        <v>1626</v>
      </c>
      <c r="D8265" t="s">
        <v>3779</v>
      </c>
      <c r="E8265" t="s">
        <v>1637</v>
      </c>
      <c r="F8265">
        <v>20.9</v>
      </c>
      <c r="H8265">
        <v>102.85</v>
      </c>
    </row>
    <row r="8266" spans="1:10" ht="15" customHeight="1" x14ac:dyDescent="0.2">
      <c r="A8266" s="420">
        <v>45705</v>
      </c>
      <c r="B8266" t="s">
        <v>2532</v>
      </c>
      <c r="C8266" t="s">
        <v>1626</v>
      </c>
      <c r="D8266" t="s">
        <v>3781</v>
      </c>
      <c r="E8266" t="s">
        <v>1640</v>
      </c>
      <c r="F8266">
        <v>20.9</v>
      </c>
      <c r="H8266">
        <v>123.75</v>
      </c>
    </row>
    <row r="8267" spans="1:10" ht="15" customHeight="1" x14ac:dyDescent="0.2">
      <c r="A8267" s="420">
        <v>45714</v>
      </c>
      <c r="B8267" t="s">
        <v>2333</v>
      </c>
      <c r="C8267" t="s">
        <v>1626</v>
      </c>
      <c r="D8267" t="s">
        <v>7544</v>
      </c>
      <c r="E8267" t="s">
        <v>1642</v>
      </c>
      <c r="F8267">
        <v>2.78</v>
      </c>
      <c r="H8267">
        <v>126.53</v>
      </c>
    </row>
    <row r="8268" spans="1:10" ht="15" customHeight="1" x14ac:dyDescent="0.2">
      <c r="A8268" s="420">
        <v>45722</v>
      </c>
      <c r="B8268" t="s">
        <v>2532</v>
      </c>
      <c r="C8268" t="s">
        <v>1626</v>
      </c>
      <c r="D8268" t="s">
        <v>3783</v>
      </c>
      <c r="E8268" t="s">
        <v>1644</v>
      </c>
      <c r="F8268">
        <v>35.520000000000003</v>
      </c>
      <c r="H8268">
        <v>162.05000000000001</v>
      </c>
    </row>
    <row r="8269" spans="1:10" ht="15" customHeight="1" x14ac:dyDescent="0.2">
      <c r="A8269" s="420">
        <v>45722</v>
      </c>
      <c r="B8269" t="s">
        <v>2547</v>
      </c>
      <c r="C8269" t="s">
        <v>1626</v>
      </c>
      <c r="D8269" t="s">
        <v>3784</v>
      </c>
      <c r="E8269" t="s">
        <v>1645</v>
      </c>
      <c r="F8269">
        <v>20.9</v>
      </c>
      <c r="H8269">
        <v>182.95</v>
      </c>
    </row>
    <row r="8270" spans="1:10" ht="15" customHeight="1" x14ac:dyDescent="0.2">
      <c r="A8270" s="420">
        <v>45737</v>
      </c>
      <c r="B8270" t="s">
        <v>2547</v>
      </c>
      <c r="C8270" t="s">
        <v>1626</v>
      </c>
      <c r="D8270" t="s">
        <v>3784</v>
      </c>
      <c r="E8270" t="s">
        <v>1645</v>
      </c>
      <c r="F8270">
        <v>20.9</v>
      </c>
      <c r="H8270">
        <v>203.85</v>
      </c>
    </row>
    <row r="8271" spans="1:10" ht="15" customHeight="1" x14ac:dyDescent="0.2">
      <c r="A8271" s="420">
        <v>45737</v>
      </c>
      <c r="B8271" t="s">
        <v>2547</v>
      </c>
      <c r="C8271" t="s">
        <v>1626</v>
      </c>
      <c r="D8271" t="s">
        <v>3784</v>
      </c>
      <c r="E8271" t="s">
        <v>1645</v>
      </c>
      <c r="F8271">
        <v>20.9</v>
      </c>
      <c r="H8271">
        <v>224.75</v>
      </c>
    </row>
    <row r="8272" spans="1:10" ht="15" customHeight="1" x14ac:dyDescent="0.2">
      <c r="A8272" s="420">
        <v>45743</v>
      </c>
      <c r="B8272" t="s">
        <v>2547</v>
      </c>
      <c r="C8272" t="s">
        <v>1626</v>
      </c>
      <c r="D8272" t="s">
        <v>3786</v>
      </c>
      <c r="E8272" t="s">
        <v>1645</v>
      </c>
      <c r="F8272">
        <v>20.9</v>
      </c>
      <c r="H8272">
        <v>245.65</v>
      </c>
    </row>
    <row r="8273" spans="1:8" ht="15" customHeight="1" x14ac:dyDescent="0.2">
      <c r="A8273" s="420">
        <v>45751</v>
      </c>
      <c r="B8273" t="s">
        <v>2532</v>
      </c>
      <c r="C8273" t="s">
        <v>1626</v>
      </c>
      <c r="D8273" t="s">
        <v>3789</v>
      </c>
      <c r="E8273" t="s">
        <v>1651</v>
      </c>
      <c r="F8273">
        <v>20.9</v>
      </c>
      <c r="H8273">
        <v>266.55</v>
      </c>
    </row>
    <row r="8274" spans="1:8" ht="15" customHeight="1" x14ac:dyDescent="0.2">
      <c r="A8274" s="420">
        <v>45754</v>
      </c>
      <c r="B8274" t="s">
        <v>2532</v>
      </c>
      <c r="C8274" t="s">
        <v>1626</v>
      </c>
      <c r="D8274" t="s">
        <v>3792</v>
      </c>
      <c r="E8274" t="s">
        <v>1652</v>
      </c>
      <c r="F8274">
        <v>21.42</v>
      </c>
      <c r="H8274">
        <v>287.97000000000003</v>
      </c>
    </row>
    <row r="8275" spans="1:8" ht="15" customHeight="1" x14ac:dyDescent="0.2">
      <c r="A8275" s="420">
        <v>45761</v>
      </c>
      <c r="B8275" t="s">
        <v>2532</v>
      </c>
      <c r="C8275" t="s">
        <v>1626</v>
      </c>
      <c r="D8275" t="s">
        <v>3793</v>
      </c>
      <c r="E8275" t="s">
        <v>1654</v>
      </c>
      <c r="F8275">
        <v>20.9</v>
      </c>
      <c r="H8275">
        <v>308.87</v>
      </c>
    </row>
    <row r="8276" spans="1:8" ht="15" customHeight="1" x14ac:dyDescent="0.2">
      <c r="A8276" s="420">
        <v>45769</v>
      </c>
      <c r="B8276" t="s">
        <v>2532</v>
      </c>
      <c r="C8276" t="s">
        <v>1626</v>
      </c>
      <c r="D8276" t="s">
        <v>3795</v>
      </c>
      <c r="E8276" t="s">
        <v>1657</v>
      </c>
      <c r="F8276">
        <v>41.8</v>
      </c>
      <c r="H8276">
        <v>350.67</v>
      </c>
    </row>
    <row r="8277" spans="1:8" ht="15" customHeight="1" x14ac:dyDescent="0.2">
      <c r="A8277" s="420">
        <v>45809</v>
      </c>
      <c r="B8277" t="s">
        <v>2532</v>
      </c>
      <c r="C8277" t="s">
        <v>1626</v>
      </c>
      <c r="D8277" t="s">
        <v>3798</v>
      </c>
      <c r="E8277" t="s">
        <v>1660</v>
      </c>
      <c r="F8277">
        <v>83.6</v>
      </c>
      <c r="H8277">
        <v>434.27</v>
      </c>
    </row>
    <row r="8278" spans="1:8" ht="15" customHeight="1" x14ac:dyDescent="0.2">
      <c r="A8278" s="420">
        <v>45839</v>
      </c>
      <c r="B8278" t="s">
        <v>2532</v>
      </c>
      <c r="C8278" t="s">
        <v>1626</v>
      </c>
      <c r="D8278" t="s">
        <v>3801</v>
      </c>
      <c r="E8278" t="s">
        <v>1666</v>
      </c>
      <c r="F8278">
        <v>73.150000000000006</v>
      </c>
      <c r="H8278">
        <v>507.42</v>
      </c>
    </row>
    <row r="8279" spans="1:8" ht="27.75" customHeight="1" x14ac:dyDescent="0.2">
      <c r="A8279" s="420">
        <v>45839</v>
      </c>
      <c r="B8279" t="s">
        <v>2532</v>
      </c>
      <c r="C8279" t="s">
        <v>1626</v>
      </c>
      <c r="D8279" s="421" t="s">
        <v>3802</v>
      </c>
      <c r="E8279" s="421" t="s">
        <v>1667</v>
      </c>
      <c r="G8279">
        <v>10.45</v>
      </c>
      <c r="H8279">
        <v>496.97</v>
      </c>
    </row>
    <row r="8280" spans="1:8" ht="15" customHeight="1" x14ac:dyDescent="0.2">
      <c r="A8280" s="420">
        <v>45839</v>
      </c>
      <c r="B8280" t="s">
        <v>2517</v>
      </c>
      <c r="C8280" t="s">
        <v>1626</v>
      </c>
      <c r="D8280" t="s">
        <v>3804</v>
      </c>
      <c r="E8280" t="s">
        <v>1668</v>
      </c>
      <c r="F8280">
        <v>62.7</v>
      </c>
      <c r="H8280">
        <v>559.66999999999996</v>
      </c>
    </row>
    <row r="8281" spans="1:8" ht="15" customHeight="1" x14ac:dyDescent="0.2">
      <c r="A8281" s="420">
        <v>45870</v>
      </c>
      <c r="B8281" t="s">
        <v>2532</v>
      </c>
      <c r="C8281" t="s">
        <v>1626</v>
      </c>
      <c r="D8281" t="s">
        <v>3813</v>
      </c>
      <c r="E8281" t="s">
        <v>1673</v>
      </c>
      <c r="F8281">
        <v>70.36</v>
      </c>
      <c r="H8281">
        <v>630.03</v>
      </c>
    </row>
    <row r="8282" spans="1:8" ht="15" customHeight="1" x14ac:dyDescent="0.2">
      <c r="A8282" s="420">
        <v>45900</v>
      </c>
      <c r="B8282" t="s">
        <v>2532</v>
      </c>
      <c r="C8282" t="s">
        <v>1626</v>
      </c>
      <c r="D8282" t="s">
        <v>2852</v>
      </c>
      <c r="E8282" t="s">
        <v>1682</v>
      </c>
      <c r="F8282">
        <v>28.93</v>
      </c>
      <c r="H8282">
        <v>658.96</v>
      </c>
    </row>
    <row r="8283" spans="1:8" ht="15" customHeight="1" x14ac:dyDescent="0.2">
      <c r="A8283" s="420">
        <v>45901</v>
      </c>
      <c r="B8283" t="s">
        <v>2532</v>
      </c>
      <c r="C8283" t="s">
        <v>1626</v>
      </c>
      <c r="D8283" t="s">
        <v>3816</v>
      </c>
      <c r="E8283" t="s">
        <v>1683</v>
      </c>
      <c r="F8283">
        <v>135.85</v>
      </c>
      <c r="H8283">
        <v>794.81</v>
      </c>
    </row>
    <row r="8284" spans="1:8" ht="15" customHeight="1" x14ac:dyDescent="0.2">
      <c r="A8284" s="420">
        <v>45931</v>
      </c>
      <c r="B8284" t="s">
        <v>2532</v>
      </c>
      <c r="C8284" t="s">
        <v>1626</v>
      </c>
      <c r="D8284" t="s">
        <v>3819</v>
      </c>
      <c r="E8284" t="s">
        <v>1688</v>
      </c>
      <c r="F8284">
        <v>68.400000000000006</v>
      </c>
      <c r="H8284">
        <v>863.21</v>
      </c>
    </row>
    <row r="8285" spans="1:8" ht="15" customHeight="1" x14ac:dyDescent="0.2">
      <c r="A8285" s="420">
        <v>45939</v>
      </c>
      <c r="B8285" t="s">
        <v>2532</v>
      </c>
      <c r="C8285" t="s">
        <v>1626</v>
      </c>
      <c r="D8285" t="s">
        <v>3821</v>
      </c>
      <c r="E8285" t="s">
        <v>1694</v>
      </c>
      <c r="F8285">
        <v>20.9</v>
      </c>
      <c r="H8285">
        <v>884.11</v>
      </c>
    </row>
    <row r="8286" spans="1:8" ht="15" customHeight="1" x14ac:dyDescent="0.2">
      <c r="A8286" s="420">
        <v>45962</v>
      </c>
      <c r="B8286" t="s">
        <v>2532</v>
      </c>
      <c r="C8286" t="s">
        <v>1626</v>
      </c>
      <c r="D8286" t="s">
        <v>3824</v>
      </c>
      <c r="E8286" t="s">
        <v>1705</v>
      </c>
      <c r="F8286">
        <v>84.12</v>
      </c>
      <c r="H8286">
        <v>968.23</v>
      </c>
    </row>
    <row r="8287" spans="1:8" ht="15" customHeight="1" x14ac:dyDescent="0.2">
      <c r="A8287" s="420">
        <v>45992</v>
      </c>
      <c r="B8287" t="s">
        <v>2532</v>
      </c>
      <c r="C8287" t="s">
        <v>1626</v>
      </c>
      <c r="D8287" t="s">
        <v>3829</v>
      </c>
      <c r="E8287" t="s">
        <v>1715</v>
      </c>
      <c r="F8287">
        <v>101.71</v>
      </c>
      <c r="H8287">
        <v>1069.94</v>
      </c>
    </row>
    <row r="8288" spans="1:8" ht="15" customHeight="1" x14ac:dyDescent="0.2">
      <c r="A8288" t="s">
        <v>1626</v>
      </c>
      <c r="E8288" t="s">
        <v>349</v>
      </c>
      <c r="F8288">
        <v>1080.3900000000001</v>
      </c>
      <c r="G8288">
        <v>10.45</v>
      </c>
      <c r="H8288">
        <v>1069.94</v>
      </c>
    </row>
    <row r="8290" spans="1:10" ht="15" customHeight="1" x14ac:dyDescent="0.2">
      <c r="A8290" t="s">
        <v>1623</v>
      </c>
      <c r="B8290" t="s">
        <v>1624</v>
      </c>
      <c r="F8290" t="s">
        <v>2430</v>
      </c>
      <c r="G8290" t="s">
        <v>2431</v>
      </c>
      <c r="H8290" t="s">
        <v>2432</v>
      </c>
      <c r="I8290" t="s">
        <v>2433</v>
      </c>
      <c r="J8290" t="s">
        <v>2434</v>
      </c>
    </row>
    <row r="8291" spans="1:10" ht="15" customHeight="1" x14ac:dyDescent="0.2">
      <c r="A8291" s="420">
        <v>45665</v>
      </c>
      <c r="B8291" t="s">
        <v>2532</v>
      </c>
      <c r="C8291" t="s">
        <v>1623</v>
      </c>
      <c r="D8291" t="s">
        <v>5024</v>
      </c>
      <c r="E8291" t="s">
        <v>1625</v>
      </c>
      <c r="F8291">
        <v>10</v>
      </c>
      <c r="H8291">
        <v>10</v>
      </c>
    </row>
    <row r="8292" spans="1:10" ht="15" customHeight="1" x14ac:dyDescent="0.2">
      <c r="A8292" s="420">
        <v>45671</v>
      </c>
      <c r="B8292" t="s">
        <v>2532</v>
      </c>
      <c r="C8292" t="s">
        <v>1623</v>
      </c>
      <c r="D8292" t="s">
        <v>4728</v>
      </c>
      <c r="E8292" t="s">
        <v>1629</v>
      </c>
      <c r="F8292">
        <v>80.650000000000006</v>
      </c>
      <c r="H8292">
        <v>90.65</v>
      </c>
    </row>
    <row r="8293" spans="1:10" ht="15" customHeight="1" x14ac:dyDescent="0.2">
      <c r="A8293" s="420">
        <v>45679</v>
      </c>
      <c r="B8293" t="s">
        <v>2532</v>
      </c>
      <c r="C8293" t="s">
        <v>1623</v>
      </c>
      <c r="D8293" t="s">
        <v>5029</v>
      </c>
      <c r="E8293" t="s">
        <v>1630</v>
      </c>
      <c r="F8293">
        <v>6.07</v>
      </c>
      <c r="H8293">
        <v>96.72</v>
      </c>
    </row>
    <row r="8294" spans="1:10" ht="15" customHeight="1" x14ac:dyDescent="0.2">
      <c r="A8294" s="420">
        <v>45701</v>
      </c>
      <c r="B8294" t="s">
        <v>2532</v>
      </c>
      <c r="C8294" t="s">
        <v>1623</v>
      </c>
      <c r="D8294" t="s">
        <v>4731</v>
      </c>
      <c r="E8294" t="s">
        <v>1639</v>
      </c>
      <c r="F8294">
        <v>79</v>
      </c>
      <c r="H8294">
        <v>175.72</v>
      </c>
    </row>
    <row r="8295" spans="1:10" ht="15" customHeight="1" x14ac:dyDescent="0.2">
      <c r="A8295" s="420">
        <v>45714</v>
      </c>
      <c r="B8295" t="s">
        <v>2532</v>
      </c>
      <c r="C8295" t="s">
        <v>1623</v>
      </c>
      <c r="D8295" t="s">
        <v>5035</v>
      </c>
      <c r="E8295" t="s">
        <v>1643</v>
      </c>
      <c r="F8295">
        <v>50</v>
      </c>
      <c r="H8295">
        <v>225.72</v>
      </c>
    </row>
    <row r="8296" spans="1:10" ht="15" customHeight="1" x14ac:dyDescent="0.2">
      <c r="A8296" s="420">
        <v>45729</v>
      </c>
      <c r="B8296" t="s">
        <v>2547</v>
      </c>
      <c r="C8296" t="s">
        <v>1623</v>
      </c>
      <c r="D8296" t="s">
        <v>4734</v>
      </c>
      <c r="E8296" t="s">
        <v>1647</v>
      </c>
      <c r="F8296">
        <v>79</v>
      </c>
      <c r="H8296">
        <v>304.72000000000003</v>
      </c>
    </row>
    <row r="8297" spans="1:10" ht="15" customHeight="1" x14ac:dyDescent="0.2">
      <c r="A8297" s="420">
        <v>45762</v>
      </c>
      <c r="B8297" t="s">
        <v>2547</v>
      </c>
      <c r="C8297" t="s">
        <v>1623</v>
      </c>
      <c r="D8297" t="s">
        <v>4737</v>
      </c>
      <c r="E8297" t="s">
        <v>1647</v>
      </c>
      <c r="F8297">
        <v>83.4</v>
      </c>
      <c r="H8297">
        <v>388.12</v>
      </c>
    </row>
    <row r="8298" spans="1:10" ht="15" customHeight="1" x14ac:dyDescent="0.2">
      <c r="A8298" s="420">
        <v>45791</v>
      </c>
      <c r="B8298" t="s">
        <v>2547</v>
      </c>
      <c r="C8298" t="s">
        <v>1623</v>
      </c>
      <c r="D8298" t="s">
        <v>4740</v>
      </c>
      <c r="E8298" t="s">
        <v>1659</v>
      </c>
      <c r="F8298">
        <v>95.11</v>
      </c>
      <c r="H8298">
        <v>483.23</v>
      </c>
    </row>
    <row r="8299" spans="1:10" ht="15" customHeight="1" x14ac:dyDescent="0.2">
      <c r="A8299" s="420">
        <v>45821</v>
      </c>
      <c r="B8299" t="s">
        <v>2532</v>
      </c>
      <c r="C8299" t="s">
        <v>1623</v>
      </c>
      <c r="D8299" t="s">
        <v>4743</v>
      </c>
      <c r="E8299" t="s">
        <v>1662</v>
      </c>
      <c r="F8299">
        <v>80.650000000000006</v>
      </c>
      <c r="H8299">
        <v>563.88</v>
      </c>
    </row>
    <row r="8300" spans="1:10" ht="15" customHeight="1" x14ac:dyDescent="0.2">
      <c r="A8300" s="420">
        <v>45821</v>
      </c>
      <c r="B8300" t="s">
        <v>2532</v>
      </c>
      <c r="C8300" t="s">
        <v>1623</v>
      </c>
      <c r="D8300" t="s">
        <v>5176</v>
      </c>
      <c r="E8300" t="s">
        <v>1663</v>
      </c>
      <c r="F8300">
        <v>8.33</v>
      </c>
      <c r="H8300">
        <v>572.21</v>
      </c>
    </row>
    <row r="8301" spans="1:10" ht="15" customHeight="1" x14ac:dyDescent="0.2">
      <c r="A8301" s="420">
        <v>45826</v>
      </c>
      <c r="B8301" t="s">
        <v>2547</v>
      </c>
      <c r="C8301" t="s">
        <v>1623</v>
      </c>
      <c r="D8301" t="s">
        <v>5181</v>
      </c>
      <c r="E8301" t="s">
        <v>1665</v>
      </c>
      <c r="F8301">
        <v>4.99</v>
      </c>
      <c r="H8301">
        <v>577.20000000000005</v>
      </c>
    </row>
    <row r="8302" spans="1:10" ht="15" customHeight="1" x14ac:dyDescent="0.2">
      <c r="A8302" s="420">
        <v>45839</v>
      </c>
      <c r="B8302" t="s">
        <v>2532</v>
      </c>
      <c r="C8302" t="s">
        <v>1623</v>
      </c>
      <c r="D8302" t="s">
        <v>5051</v>
      </c>
      <c r="E8302" t="s">
        <v>1669</v>
      </c>
      <c r="F8302">
        <v>156</v>
      </c>
      <c r="H8302">
        <v>733.2</v>
      </c>
    </row>
    <row r="8303" spans="1:10" ht="15" customHeight="1" x14ac:dyDescent="0.2">
      <c r="A8303" s="420">
        <v>45839</v>
      </c>
      <c r="B8303" t="s">
        <v>2517</v>
      </c>
      <c r="C8303" t="s">
        <v>1623</v>
      </c>
      <c r="D8303" t="s">
        <v>7873</v>
      </c>
      <c r="E8303" t="s">
        <v>1379</v>
      </c>
      <c r="F8303">
        <v>867.09</v>
      </c>
      <c r="H8303">
        <v>1600.29</v>
      </c>
    </row>
    <row r="8304" spans="1:10" ht="15" customHeight="1" x14ac:dyDescent="0.2">
      <c r="A8304" s="420">
        <v>45846</v>
      </c>
      <c r="B8304" t="s">
        <v>2532</v>
      </c>
      <c r="C8304" t="s">
        <v>1623</v>
      </c>
      <c r="D8304" t="s">
        <v>5052</v>
      </c>
      <c r="E8304" t="s">
        <v>1669</v>
      </c>
      <c r="F8304">
        <v>156</v>
      </c>
      <c r="H8304">
        <v>1756.29</v>
      </c>
    </row>
    <row r="8305" spans="1:8" ht="15" customHeight="1" x14ac:dyDescent="0.2">
      <c r="A8305" s="420">
        <v>45851</v>
      </c>
      <c r="B8305" t="s">
        <v>2532</v>
      </c>
      <c r="C8305" t="s">
        <v>1623</v>
      </c>
      <c r="D8305" t="s">
        <v>5182</v>
      </c>
      <c r="E8305" t="s">
        <v>1670</v>
      </c>
      <c r="F8305">
        <v>4.16</v>
      </c>
      <c r="H8305">
        <v>1760.45</v>
      </c>
    </row>
    <row r="8306" spans="1:8" ht="15" customHeight="1" x14ac:dyDescent="0.2">
      <c r="A8306" s="420">
        <v>45853</v>
      </c>
      <c r="B8306" t="s">
        <v>2532</v>
      </c>
      <c r="C8306" t="s">
        <v>1623</v>
      </c>
      <c r="D8306" t="s">
        <v>4746</v>
      </c>
      <c r="E8306" t="s">
        <v>1672</v>
      </c>
      <c r="F8306">
        <v>79</v>
      </c>
      <c r="H8306">
        <v>1839.45</v>
      </c>
    </row>
    <row r="8307" spans="1:8" ht="15" customHeight="1" x14ac:dyDescent="0.2">
      <c r="A8307" s="420">
        <v>45877</v>
      </c>
      <c r="B8307" t="s">
        <v>2532</v>
      </c>
      <c r="C8307" t="s">
        <v>1623</v>
      </c>
      <c r="D8307" t="s">
        <v>5055</v>
      </c>
      <c r="E8307" t="s">
        <v>1674</v>
      </c>
      <c r="F8307">
        <v>165.02</v>
      </c>
      <c r="H8307">
        <v>2004.47</v>
      </c>
    </row>
    <row r="8308" spans="1:8" ht="15" customHeight="1" x14ac:dyDescent="0.2">
      <c r="A8308" s="420">
        <v>45881</v>
      </c>
      <c r="B8308" t="s">
        <v>2532</v>
      </c>
      <c r="C8308" t="s">
        <v>1623</v>
      </c>
      <c r="D8308" t="s">
        <v>4749</v>
      </c>
      <c r="E8308" t="s">
        <v>1677</v>
      </c>
      <c r="F8308">
        <v>80.83</v>
      </c>
      <c r="H8308">
        <v>2085.3000000000002</v>
      </c>
    </row>
    <row r="8309" spans="1:8" ht="15" customHeight="1" x14ac:dyDescent="0.2">
      <c r="A8309" s="420">
        <v>45882</v>
      </c>
      <c r="B8309" t="s">
        <v>2532</v>
      </c>
      <c r="C8309" t="s">
        <v>1623</v>
      </c>
      <c r="D8309" t="s">
        <v>5185</v>
      </c>
      <c r="E8309" t="s">
        <v>1679</v>
      </c>
      <c r="F8309">
        <v>4.16</v>
      </c>
      <c r="H8309">
        <v>2089.46</v>
      </c>
    </row>
    <row r="8310" spans="1:8" ht="15" customHeight="1" x14ac:dyDescent="0.2">
      <c r="A8310" s="420">
        <v>45890</v>
      </c>
      <c r="B8310" t="s">
        <v>2532</v>
      </c>
      <c r="C8310" t="s">
        <v>1623</v>
      </c>
      <c r="D8310" t="s">
        <v>5058</v>
      </c>
      <c r="E8310" t="s">
        <v>1681</v>
      </c>
      <c r="F8310">
        <v>100</v>
      </c>
      <c r="H8310">
        <v>2189.46</v>
      </c>
    </row>
    <row r="8311" spans="1:8" ht="15" customHeight="1" x14ac:dyDescent="0.2">
      <c r="A8311" s="420">
        <v>45908</v>
      </c>
      <c r="B8311" t="s">
        <v>2532</v>
      </c>
      <c r="C8311" t="s">
        <v>1623</v>
      </c>
      <c r="D8311" t="s">
        <v>5060</v>
      </c>
      <c r="E8311" t="s">
        <v>1684</v>
      </c>
      <c r="F8311">
        <v>156</v>
      </c>
      <c r="H8311">
        <v>2345.46</v>
      </c>
    </row>
    <row r="8312" spans="1:8" ht="15" customHeight="1" x14ac:dyDescent="0.2">
      <c r="A8312" s="420">
        <v>45912</v>
      </c>
      <c r="B8312" t="s">
        <v>2532</v>
      </c>
      <c r="C8312" t="s">
        <v>1623</v>
      </c>
      <c r="D8312" t="s">
        <v>4752</v>
      </c>
      <c r="E8312" t="s">
        <v>1685</v>
      </c>
      <c r="F8312">
        <v>79</v>
      </c>
      <c r="H8312">
        <v>2424.46</v>
      </c>
    </row>
    <row r="8313" spans="1:8" ht="15" customHeight="1" x14ac:dyDescent="0.2">
      <c r="A8313" s="420">
        <v>45913</v>
      </c>
      <c r="B8313" t="s">
        <v>2532</v>
      </c>
      <c r="C8313" t="s">
        <v>1623</v>
      </c>
      <c r="D8313" t="s">
        <v>5189</v>
      </c>
      <c r="E8313" t="s">
        <v>1687</v>
      </c>
      <c r="F8313">
        <v>4.16</v>
      </c>
      <c r="H8313">
        <v>2428.62</v>
      </c>
    </row>
    <row r="8314" spans="1:8" ht="15" customHeight="1" x14ac:dyDescent="0.2">
      <c r="A8314" s="420">
        <v>45938</v>
      </c>
      <c r="B8314" t="s">
        <v>2532</v>
      </c>
      <c r="C8314" t="s">
        <v>1623</v>
      </c>
      <c r="D8314" t="s">
        <v>5063</v>
      </c>
      <c r="E8314" t="s">
        <v>1692</v>
      </c>
      <c r="F8314">
        <v>156</v>
      </c>
      <c r="H8314">
        <v>2584.62</v>
      </c>
    </row>
    <row r="8315" spans="1:8" ht="15" customHeight="1" x14ac:dyDescent="0.2">
      <c r="A8315" s="420">
        <v>45943</v>
      </c>
      <c r="B8315" t="s">
        <v>2532</v>
      </c>
      <c r="C8315" t="s">
        <v>1623</v>
      </c>
      <c r="D8315" t="s">
        <v>5192</v>
      </c>
      <c r="E8315" t="s">
        <v>1696</v>
      </c>
      <c r="F8315">
        <v>4.16</v>
      </c>
      <c r="H8315">
        <v>2588.7800000000002</v>
      </c>
    </row>
    <row r="8316" spans="1:8" ht="15" customHeight="1" x14ac:dyDescent="0.2">
      <c r="A8316" s="420">
        <v>45943</v>
      </c>
      <c r="B8316" t="s">
        <v>2532</v>
      </c>
      <c r="C8316" t="s">
        <v>1623</v>
      </c>
      <c r="D8316" t="s">
        <v>4755</v>
      </c>
      <c r="E8316" t="s">
        <v>1697</v>
      </c>
      <c r="F8316">
        <v>79</v>
      </c>
      <c r="H8316">
        <v>2667.78</v>
      </c>
    </row>
    <row r="8317" spans="1:8" ht="15" customHeight="1" x14ac:dyDescent="0.2">
      <c r="A8317" s="420">
        <v>45969</v>
      </c>
      <c r="B8317" t="s">
        <v>2532</v>
      </c>
      <c r="C8317" t="s">
        <v>1623</v>
      </c>
      <c r="D8317" t="s">
        <v>5066</v>
      </c>
      <c r="E8317" t="s">
        <v>1709</v>
      </c>
      <c r="F8317">
        <v>170.1</v>
      </c>
      <c r="H8317">
        <v>2837.88</v>
      </c>
    </row>
    <row r="8318" spans="1:8" ht="15" customHeight="1" x14ac:dyDescent="0.2">
      <c r="A8318" s="420">
        <v>45974</v>
      </c>
      <c r="B8318" t="s">
        <v>2532</v>
      </c>
      <c r="C8318" t="s">
        <v>1623</v>
      </c>
      <c r="D8318" t="s">
        <v>5195</v>
      </c>
      <c r="E8318" t="s">
        <v>1711</v>
      </c>
      <c r="F8318">
        <v>4.16</v>
      </c>
      <c r="H8318">
        <v>2842.04</v>
      </c>
    </row>
    <row r="8319" spans="1:8" ht="15" customHeight="1" x14ac:dyDescent="0.2">
      <c r="A8319" s="420">
        <v>45974</v>
      </c>
      <c r="B8319" t="s">
        <v>2532</v>
      </c>
      <c r="C8319" t="s">
        <v>1623</v>
      </c>
      <c r="D8319" t="s">
        <v>4758</v>
      </c>
      <c r="E8319" t="s">
        <v>1697</v>
      </c>
      <c r="F8319">
        <v>79</v>
      </c>
      <c r="H8319">
        <v>2921.04</v>
      </c>
    </row>
    <row r="8320" spans="1:8" ht="15" customHeight="1" x14ac:dyDescent="0.2">
      <c r="A8320" s="420">
        <v>45994</v>
      </c>
      <c r="B8320" t="s">
        <v>2532</v>
      </c>
      <c r="C8320" t="s">
        <v>1623</v>
      </c>
      <c r="D8320" t="s">
        <v>5069</v>
      </c>
      <c r="E8320" t="s">
        <v>1716</v>
      </c>
      <c r="F8320">
        <v>100</v>
      </c>
      <c r="H8320">
        <v>3021.04</v>
      </c>
    </row>
    <row r="8321" spans="1:10" ht="15" customHeight="1" x14ac:dyDescent="0.2">
      <c r="A8321" s="420">
        <v>45999</v>
      </c>
      <c r="B8321" t="s">
        <v>2532</v>
      </c>
      <c r="C8321" t="s">
        <v>1623</v>
      </c>
      <c r="D8321" t="s">
        <v>5071</v>
      </c>
      <c r="E8321" t="s">
        <v>1717</v>
      </c>
      <c r="F8321">
        <v>156</v>
      </c>
      <c r="H8321">
        <v>3177.04</v>
      </c>
    </row>
    <row r="8322" spans="1:10" ht="15" customHeight="1" x14ac:dyDescent="0.2">
      <c r="A8322" s="420">
        <v>46003</v>
      </c>
      <c r="B8322" t="s">
        <v>2547</v>
      </c>
      <c r="C8322" t="s">
        <v>1623</v>
      </c>
      <c r="D8322" t="s">
        <v>4761</v>
      </c>
      <c r="E8322" t="s">
        <v>1647</v>
      </c>
      <c r="F8322">
        <v>79</v>
      </c>
      <c r="H8322">
        <v>3256.04</v>
      </c>
    </row>
    <row r="8323" spans="1:10" ht="15" customHeight="1" x14ac:dyDescent="0.2">
      <c r="A8323" s="420">
        <v>46004</v>
      </c>
      <c r="B8323" t="s">
        <v>2532</v>
      </c>
      <c r="C8323" t="s">
        <v>1623</v>
      </c>
      <c r="D8323" t="s">
        <v>5198</v>
      </c>
      <c r="E8323" t="s">
        <v>1720</v>
      </c>
      <c r="F8323">
        <v>4.16</v>
      </c>
      <c r="H8323">
        <v>3260.2</v>
      </c>
    </row>
    <row r="8324" spans="1:10" ht="15" customHeight="1" x14ac:dyDescent="0.2">
      <c r="A8324" t="s">
        <v>1623</v>
      </c>
      <c r="E8324" t="s">
        <v>349</v>
      </c>
      <c r="F8324">
        <v>3260.2</v>
      </c>
      <c r="H8324">
        <v>3260.2</v>
      </c>
    </row>
    <row r="8326" spans="1:10" ht="15" customHeight="1" x14ac:dyDescent="0.2">
      <c r="A8326" t="s">
        <v>1619</v>
      </c>
      <c r="B8326" t="s">
        <v>1620</v>
      </c>
      <c r="F8326" t="s">
        <v>2430</v>
      </c>
      <c r="G8326" t="s">
        <v>2431</v>
      </c>
      <c r="H8326" t="s">
        <v>2432</v>
      </c>
      <c r="I8326" t="s">
        <v>2433</v>
      </c>
      <c r="J8326" t="s">
        <v>2434</v>
      </c>
    </row>
    <row r="8327" spans="1:10" ht="15" customHeight="1" x14ac:dyDescent="0.2">
      <c r="A8327" s="420">
        <v>45659</v>
      </c>
      <c r="B8327" t="s">
        <v>2333</v>
      </c>
      <c r="C8327" t="s">
        <v>1619</v>
      </c>
      <c r="D8327" t="s">
        <v>7498</v>
      </c>
      <c r="E8327" t="s">
        <v>1621</v>
      </c>
      <c r="F8327">
        <v>1.05</v>
      </c>
      <c r="H8327">
        <v>1.05</v>
      </c>
    </row>
    <row r="8328" spans="1:10" ht="15" customHeight="1" x14ac:dyDescent="0.2">
      <c r="A8328" s="420">
        <v>45659</v>
      </c>
      <c r="B8328" t="s">
        <v>2333</v>
      </c>
      <c r="C8328" t="s">
        <v>1619</v>
      </c>
      <c r="D8328" t="s">
        <v>7499</v>
      </c>
      <c r="E8328" t="s">
        <v>1621</v>
      </c>
      <c r="F8328">
        <v>1.05</v>
      </c>
      <c r="H8328">
        <v>2.1</v>
      </c>
    </row>
    <row r="8329" spans="1:10" ht="15" customHeight="1" x14ac:dyDescent="0.2">
      <c r="A8329" s="420">
        <v>45663</v>
      </c>
      <c r="B8329" t="s">
        <v>2333</v>
      </c>
      <c r="C8329" t="s">
        <v>1619</v>
      </c>
      <c r="D8329" t="s">
        <v>7511</v>
      </c>
      <c r="E8329" t="s">
        <v>1622</v>
      </c>
      <c r="F8329">
        <v>30.6</v>
      </c>
      <c r="H8329">
        <v>32.700000000000003</v>
      </c>
    </row>
    <row r="8330" spans="1:10" ht="15" customHeight="1" x14ac:dyDescent="0.2">
      <c r="A8330" s="420">
        <v>45685</v>
      </c>
      <c r="B8330" t="s">
        <v>2333</v>
      </c>
      <c r="C8330" t="s">
        <v>1619</v>
      </c>
      <c r="D8330" t="s">
        <v>7523</v>
      </c>
      <c r="E8330" t="s">
        <v>1634</v>
      </c>
      <c r="F8330">
        <v>104.8</v>
      </c>
      <c r="H8330">
        <v>137.5</v>
      </c>
    </row>
    <row r="8331" spans="1:10" ht="15" customHeight="1" x14ac:dyDescent="0.2">
      <c r="A8331" s="420">
        <v>45688</v>
      </c>
      <c r="B8331" t="s">
        <v>2333</v>
      </c>
      <c r="C8331" t="s">
        <v>1619</v>
      </c>
      <c r="D8331" t="s">
        <v>7524</v>
      </c>
      <c r="E8331" t="s">
        <v>1635</v>
      </c>
      <c r="F8331">
        <v>0.69</v>
      </c>
      <c r="H8331">
        <v>138.19</v>
      </c>
    </row>
    <row r="8332" spans="1:10" ht="15" customHeight="1" x14ac:dyDescent="0.2">
      <c r="A8332" s="420">
        <v>45692</v>
      </c>
      <c r="B8332" t="s">
        <v>2532</v>
      </c>
      <c r="C8332" t="s">
        <v>1619</v>
      </c>
      <c r="D8332" t="s">
        <v>3994</v>
      </c>
      <c r="E8332" t="s">
        <v>1636</v>
      </c>
      <c r="F8332">
        <v>41</v>
      </c>
      <c r="H8332">
        <v>179.19</v>
      </c>
    </row>
    <row r="8333" spans="1:10" ht="15" customHeight="1" x14ac:dyDescent="0.2">
      <c r="A8333" s="420">
        <v>45694</v>
      </c>
      <c r="B8333" t="s">
        <v>2333</v>
      </c>
      <c r="C8333" t="s">
        <v>1619</v>
      </c>
      <c r="D8333" t="s">
        <v>7537</v>
      </c>
      <c r="E8333" t="s">
        <v>1622</v>
      </c>
      <c r="F8333">
        <v>30.6</v>
      </c>
      <c r="H8333">
        <v>209.79</v>
      </c>
    </row>
    <row r="8334" spans="1:10" ht="15" customHeight="1" x14ac:dyDescent="0.2">
      <c r="A8334" s="420">
        <v>45719</v>
      </c>
      <c r="B8334" t="s">
        <v>2333</v>
      </c>
      <c r="C8334" t="s">
        <v>1619</v>
      </c>
      <c r="D8334" t="s">
        <v>7547</v>
      </c>
      <c r="E8334" t="s">
        <v>1635</v>
      </c>
      <c r="F8334">
        <v>0.69</v>
      </c>
      <c r="H8334">
        <v>210.48</v>
      </c>
    </row>
    <row r="8335" spans="1:10" ht="15" customHeight="1" x14ac:dyDescent="0.2">
      <c r="A8335" s="420">
        <v>45722</v>
      </c>
      <c r="B8335" t="s">
        <v>2333</v>
      </c>
      <c r="C8335" t="s">
        <v>1619</v>
      </c>
      <c r="D8335" t="s">
        <v>7557</v>
      </c>
      <c r="E8335" t="s">
        <v>1622</v>
      </c>
      <c r="F8335">
        <v>30.6</v>
      </c>
      <c r="H8335">
        <v>241.08</v>
      </c>
    </row>
    <row r="8336" spans="1:10" ht="15" customHeight="1" x14ac:dyDescent="0.2">
      <c r="A8336" s="420">
        <v>45728</v>
      </c>
      <c r="B8336" t="s">
        <v>2333</v>
      </c>
      <c r="C8336" t="s">
        <v>1619</v>
      </c>
      <c r="D8336" t="s">
        <v>7562</v>
      </c>
      <c r="E8336" t="s">
        <v>1635</v>
      </c>
      <c r="F8336">
        <v>37.799999999999997</v>
      </c>
      <c r="H8336">
        <v>278.88</v>
      </c>
    </row>
    <row r="8337" spans="1:8" ht="15" customHeight="1" x14ac:dyDescent="0.2">
      <c r="A8337" s="420">
        <v>45747</v>
      </c>
      <c r="B8337" t="s">
        <v>2333</v>
      </c>
      <c r="C8337" t="s">
        <v>1619</v>
      </c>
      <c r="D8337" t="s">
        <v>7564</v>
      </c>
      <c r="E8337" t="s">
        <v>1635</v>
      </c>
      <c r="F8337">
        <v>0.71</v>
      </c>
      <c r="H8337">
        <v>279.58999999999997</v>
      </c>
    </row>
    <row r="8338" spans="1:8" ht="15" customHeight="1" x14ac:dyDescent="0.2">
      <c r="A8338" s="420">
        <v>45751</v>
      </c>
      <c r="B8338" t="s">
        <v>2333</v>
      </c>
      <c r="C8338" t="s">
        <v>1619</v>
      </c>
      <c r="D8338" t="s">
        <v>7569</v>
      </c>
      <c r="E8338" t="s">
        <v>1635</v>
      </c>
      <c r="F8338">
        <v>2.99</v>
      </c>
      <c r="H8338">
        <v>282.58</v>
      </c>
    </row>
    <row r="8339" spans="1:8" ht="15" customHeight="1" x14ac:dyDescent="0.2">
      <c r="A8339" s="420">
        <v>45751</v>
      </c>
      <c r="B8339" t="s">
        <v>2333</v>
      </c>
      <c r="C8339" t="s">
        <v>1619</v>
      </c>
      <c r="D8339" t="s">
        <v>7570</v>
      </c>
      <c r="E8339" t="s">
        <v>1635</v>
      </c>
      <c r="F8339">
        <v>1.69</v>
      </c>
      <c r="H8339">
        <v>284.27</v>
      </c>
    </row>
    <row r="8340" spans="1:8" ht="15" customHeight="1" x14ac:dyDescent="0.2">
      <c r="A8340" s="420">
        <v>45754</v>
      </c>
      <c r="B8340" t="s">
        <v>2333</v>
      </c>
      <c r="C8340" t="s">
        <v>1619</v>
      </c>
      <c r="D8340" t="s">
        <v>7579</v>
      </c>
      <c r="E8340" t="s">
        <v>1622</v>
      </c>
      <c r="F8340">
        <v>31.8</v>
      </c>
      <c r="H8340">
        <v>316.07</v>
      </c>
    </row>
    <row r="8341" spans="1:8" ht="15" customHeight="1" x14ac:dyDescent="0.2">
      <c r="A8341" s="420">
        <v>45777</v>
      </c>
      <c r="B8341" t="s">
        <v>2333</v>
      </c>
      <c r="C8341" t="s">
        <v>1619</v>
      </c>
      <c r="D8341" t="s">
        <v>7588</v>
      </c>
      <c r="E8341" t="s">
        <v>1635</v>
      </c>
      <c r="F8341">
        <v>0.69</v>
      </c>
      <c r="H8341">
        <v>316.76</v>
      </c>
    </row>
    <row r="8342" spans="1:8" ht="15" customHeight="1" x14ac:dyDescent="0.2">
      <c r="A8342" s="420">
        <v>45783</v>
      </c>
      <c r="B8342" t="s">
        <v>2333</v>
      </c>
      <c r="C8342" t="s">
        <v>1619</v>
      </c>
      <c r="D8342" t="s">
        <v>7600</v>
      </c>
      <c r="E8342" t="s">
        <v>1622</v>
      </c>
      <c r="F8342">
        <v>31.8</v>
      </c>
      <c r="H8342">
        <v>348.56</v>
      </c>
    </row>
    <row r="8343" spans="1:8" ht="15" customHeight="1" x14ac:dyDescent="0.2">
      <c r="A8343" s="420">
        <v>45807</v>
      </c>
      <c r="B8343" t="s">
        <v>2333</v>
      </c>
      <c r="C8343" t="s">
        <v>1619</v>
      </c>
      <c r="D8343" t="s">
        <v>7613</v>
      </c>
      <c r="E8343" t="s">
        <v>1635</v>
      </c>
      <c r="F8343">
        <v>0.45</v>
      </c>
      <c r="H8343">
        <v>349.01</v>
      </c>
    </row>
    <row r="8344" spans="1:8" ht="15" customHeight="1" x14ac:dyDescent="0.2">
      <c r="A8344" s="420">
        <v>45810</v>
      </c>
      <c r="B8344" t="s">
        <v>2333</v>
      </c>
      <c r="C8344" t="s">
        <v>1619</v>
      </c>
      <c r="D8344" t="s">
        <v>7616</v>
      </c>
      <c r="E8344" t="s">
        <v>1635</v>
      </c>
      <c r="F8344">
        <v>0.69</v>
      </c>
      <c r="H8344">
        <v>349.7</v>
      </c>
    </row>
    <row r="8345" spans="1:8" ht="15" customHeight="1" x14ac:dyDescent="0.2">
      <c r="A8345" s="420">
        <v>45814</v>
      </c>
      <c r="B8345" t="s">
        <v>2333</v>
      </c>
      <c r="C8345" t="s">
        <v>1619</v>
      </c>
      <c r="D8345" t="s">
        <v>7626</v>
      </c>
      <c r="E8345" t="s">
        <v>1622</v>
      </c>
      <c r="F8345">
        <v>31.8</v>
      </c>
      <c r="H8345">
        <v>381.5</v>
      </c>
    </row>
    <row r="8346" spans="1:8" ht="15" customHeight="1" x14ac:dyDescent="0.2">
      <c r="A8346" s="420">
        <v>45838</v>
      </c>
      <c r="B8346" t="s">
        <v>2333</v>
      </c>
      <c r="C8346" t="s">
        <v>1619</v>
      </c>
      <c r="D8346" t="s">
        <v>7637</v>
      </c>
      <c r="E8346" t="s">
        <v>1635</v>
      </c>
      <c r="F8346">
        <v>0.68</v>
      </c>
      <c r="H8346">
        <v>382.18</v>
      </c>
    </row>
    <row r="8347" spans="1:8" ht="15" customHeight="1" x14ac:dyDescent="0.2">
      <c r="A8347" s="420">
        <v>45838</v>
      </c>
      <c r="B8347" t="s">
        <v>2333</v>
      </c>
      <c r="C8347" t="s">
        <v>1619</v>
      </c>
      <c r="D8347" t="s">
        <v>7638</v>
      </c>
      <c r="E8347" t="s">
        <v>1635</v>
      </c>
      <c r="F8347">
        <v>0.44</v>
      </c>
      <c r="H8347">
        <v>382.62</v>
      </c>
    </row>
    <row r="8348" spans="1:8" ht="15" customHeight="1" x14ac:dyDescent="0.2">
      <c r="A8348" s="420">
        <v>45845</v>
      </c>
      <c r="B8348" t="s">
        <v>2333</v>
      </c>
      <c r="C8348" t="s">
        <v>1619</v>
      </c>
      <c r="D8348" t="s">
        <v>7650</v>
      </c>
      <c r="E8348" t="s">
        <v>1622</v>
      </c>
      <c r="F8348">
        <v>31.8</v>
      </c>
      <c r="H8348">
        <v>414.42</v>
      </c>
    </row>
    <row r="8349" spans="1:8" ht="15" customHeight="1" x14ac:dyDescent="0.2">
      <c r="A8349" s="420">
        <v>45867</v>
      </c>
      <c r="B8349" t="s">
        <v>2333</v>
      </c>
      <c r="C8349" t="s">
        <v>1619</v>
      </c>
      <c r="D8349" t="s">
        <v>7660</v>
      </c>
      <c r="E8349" t="s">
        <v>1635</v>
      </c>
      <c r="F8349">
        <v>0.45</v>
      </c>
      <c r="H8349">
        <v>414.87</v>
      </c>
    </row>
    <row r="8350" spans="1:8" ht="15" customHeight="1" x14ac:dyDescent="0.2">
      <c r="A8350" s="420">
        <v>45869</v>
      </c>
      <c r="B8350" t="s">
        <v>2333</v>
      </c>
      <c r="C8350" t="s">
        <v>1619</v>
      </c>
      <c r="D8350" t="s">
        <v>7661</v>
      </c>
      <c r="E8350" t="s">
        <v>1635</v>
      </c>
      <c r="F8350">
        <v>0.68</v>
      </c>
      <c r="H8350">
        <v>415.55</v>
      </c>
    </row>
    <row r="8351" spans="1:8" ht="15" customHeight="1" x14ac:dyDescent="0.2">
      <c r="A8351" s="420">
        <v>45875</v>
      </c>
      <c r="B8351" t="s">
        <v>2333</v>
      </c>
      <c r="C8351" t="s">
        <v>1619</v>
      </c>
      <c r="D8351" t="s">
        <v>7673</v>
      </c>
      <c r="E8351" t="s">
        <v>1622</v>
      </c>
      <c r="F8351">
        <v>31.8</v>
      </c>
      <c r="H8351">
        <v>447.35</v>
      </c>
    </row>
    <row r="8352" spans="1:8" ht="15" customHeight="1" x14ac:dyDescent="0.2">
      <c r="A8352" s="420">
        <v>45898</v>
      </c>
      <c r="B8352" t="s">
        <v>2333</v>
      </c>
      <c r="C8352" t="s">
        <v>1619</v>
      </c>
      <c r="D8352" t="s">
        <v>7684</v>
      </c>
      <c r="E8352" t="s">
        <v>1635</v>
      </c>
      <c r="F8352">
        <v>0.45</v>
      </c>
      <c r="H8352">
        <v>447.8</v>
      </c>
    </row>
    <row r="8353" spans="1:8" ht="15" customHeight="1" x14ac:dyDescent="0.2">
      <c r="A8353" s="420">
        <v>45901</v>
      </c>
      <c r="B8353" t="s">
        <v>2333</v>
      </c>
      <c r="C8353" t="s">
        <v>1619</v>
      </c>
      <c r="D8353" t="s">
        <v>7685</v>
      </c>
      <c r="E8353" t="s">
        <v>1635</v>
      </c>
      <c r="F8353">
        <v>0.68</v>
      </c>
      <c r="H8353">
        <v>448.48</v>
      </c>
    </row>
    <row r="8354" spans="1:8" ht="15" customHeight="1" x14ac:dyDescent="0.2">
      <c r="A8354" s="420">
        <v>45908</v>
      </c>
      <c r="B8354" t="s">
        <v>2333</v>
      </c>
      <c r="C8354" t="s">
        <v>1619</v>
      </c>
      <c r="D8354" t="s">
        <v>7695</v>
      </c>
      <c r="E8354" t="s">
        <v>1622</v>
      </c>
      <c r="F8354">
        <v>31.8</v>
      </c>
      <c r="H8354">
        <v>480.28</v>
      </c>
    </row>
    <row r="8355" spans="1:8" ht="15" customHeight="1" x14ac:dyDescent="0.2">
      <c r="A8355" s="420">
        <v>45929</v>
      </c>
      <c r="B8355" t="s">
        <v>2333</v>
      </c>
      <c r="C8355" t="s">
        <v>1619</v>
      </c>
      <c r="D8355" t="s">
        <v>7709</v>
      </c>
      <c r="E8355" t="s">
        <v>1635</v>
      </c>
      <c r="F8355">
        <v>0.44</v>
      </c>
      <c r="H8355">
        <v>480.72</v>
      </c>
    </row>
    <row r="8356" spans="1:8" ht="15" customHeight="1" x14ac:dyDescent="0.2">
      <c r="A8356" s="420">
        <v>45930</v>
      </c>
      <c r="B8356" t="s">
        <v>2333</v>
      </c>
      <c r="C8356" t="s">
        <v>1619</v>
      </c>
      <c r="D8356" t="s">
        <v>7710</v>
      </c>
      <c r="E8356" t="s">
        <v>1635</v>
      </c>
      <c r="F8356">
        <v>0.67</v>
      </c>
      <c r="H8356">
        <v>481.39</v>
      </c>
    </row>
    <row r="8357" spans="1:8" ht="15" customHeight="1" x14ac:dyDescent="0.2">
      <c r="A8357" s="420">
        <v>45933</v>
      </c>
      <c r="B8357" t="s">
        <v>2333</v>
      </c>
      <c r="C8357" t="s">
        <v>1619</v>
      </c>
      <c r="D8357" t="s">
        <v>7714</v>
      </c>
      <c r="E8357" t="s">
        <v>1690</v>
      </c>
      <c r="F8357">
        <v>3.97</v>
      </c>
      <c r="H8357">
        <v>485.36</v>
      </c>
    </row>
    <row r="8358" spans="1:8" ht="15" customHeight="1" x14ac:dyDescent="0.2">
      <c r="A8358" s="420">
        <v>45933</v>
      </c>
      <c r="B8358" t="s">
        <v>3866</v>
      </c>
      <c r="C8358" t="s">
        <v>1619</v>
      </c>
      <c r="D8358" t="s">
        <v>7792</v>
      </c>
      <c r="E8358" t="s">
        <v>1691</v>
      </c>
      <c r="G8358">
        <v>41.33</v>
      </c>
      <c r="H8358">
        <v>444.03</v>
      </c>
    </row>
    <row r="8359" spans="1:8" ht="15" customHeight="1" x14ac:dyDescent="0.2">
      <c r="A8359" s="420">
        <v>45936</v>
      </c>
      <c r="B8359" t="s">
        <v>2333</v>
      </c>
      <c r="C8359" t="s">
        <v>1619</v>
      </c>
      <c r="D8359" t="s">
        <v>7724</v>
      </c>
      <c r="E8359" t="s">
        <v>1622</v>
      </c>
      <c r="F8359">
        <v>39.799999999999997</v>
      </c>
      <c r="H8359">
        <v>483.83</v>
      </c>
    </row>
    <row r="8360" spans="1:8" ht="15" customHeight="1" x14ac:dyDescent="0.2">
      <c r="A8360" s="420">
        <v>45940</v>
      </c>
      <c r="B8360" t="s">
        <v>3866</v>
      </c>
      <c r="C8360" t="s">
        <v>1619</v>
      </c>
      <c r="D8360" t="s">
        <v>6985</v>
      </c>
      <c r="E8360" t="s">
        <v>1695</v>
      </c>
      <c r="F8360">
        <v>40.229999999999997</v>
      </c>
      <c r="H8360">
        <v>524.05999999999995</v>
      </c>
    </row>
    <row r="8361" spans="1:8" ht="15" customHeight="1" x14ac:dyDescent="0.2">
      <c r="A8361" s="420">
        <v>45945</v>
      </c>
      <c r="B8361" t="s">
        <v>2555</v>
      </c>
      <c r="C8361" t="s">
        <v>1619</v>
      </c>
      <c r="D8361" t="s">
        <v>7807</v>
      </c>
      <c r="E8361" t="s">
        <v>1698</v>
      </c>
      <c r="F8361">
        <v>11.3</v>
      </c>
      <c r="H8361">
        <v>535.36</v>
      </c>
    </row>
    <row r="8362" spans="1:8" ht="15" customHeight="1" x14ac:dyDescent="0.2">
      <c r="A8362" s="420">
        <v>45945</v>
      </c>
      <c r="B8362" t="s">
        <v>2555</v>
      </c>
      <c r="C8362" t="s">
        <v>1619</v>
      </c>
      <c r="D8362" t="s">
        <v>7808</v>
      </c>
      <c r="E8362" t="s">
        <v>1699</v>
      </c>
      <c r="F8362">
        <v>15</v>
      </c>
      <c r="H8362">
        <v>550.36</v>
      </c>
    </row>
    <row r="8363" spans="1:8" ht="15" customHeight="1" x14ac:dyDescent="0.2">
      <c r="A8363" s="420">
        <v>45945</v>
      </c>
      <c r="B8363" t="s">
        <v>2555</v>
      </c>
      <c r="C8363" t="s">
        <v>1619</v>
      </c>
      <c r="D8363" t="s">
        <v>7809</v>
      </c>
      <c r="E8363" t="s">
        <v>1700</v>
      </c>
      <c r="G8363">
        <v>82.2</v>
      </c>
      <c r="H8363">
        <v>468.16</v>
      </c>
    </row>
    <row r="8364" spans="1:8" ht="15" customHeight="1" x14ac:dyDescent="0.2">
      <c r="A8364" s="420">
        <v>45946</v>
      </c>
      <c r="B8364" t="s">
        <v>3866</v>
      </c>
      <c r="C8364" t="s">
        <v>1619</v>
      </c>
      <c r="D8364" t="s">
        <v>7797</v>
      </c>
      <c r="E8364" t="s">
        <v>1701</v>
      </c>
      <c r="F8364">
        <v>25</v>
      </c>
      <c r="H8364">
        <v>493.16</v>
      </c>
    </row>
    <row r="8365" spans="1:8" ht="15" customHeight="1" x14ac:dyDescent="0.2">
      <c r="A8365" s="420">
        <v>45946</v>
      </c>
      <c r="B8365" t="s">
        <v>2555</v>
      </c>
      <c r="C8365" t="s">
        <v>1619</v>
      </c>
      <c r="D8365" t="s">
        <v>7810</v>
      </c>
      <c r="E8365" t="s">
        <v>1702</v>
      </c>
      <c r="G8365">
        <v>10.94</v>
      </c>
      <c r="H8365">
        <v>482.22</v>
      </c>
    </row>
    <row r="8366" spans="1:8" ht="15" customHeight="1" x14ac:dyDescent="0.2">
      <c r="A8366" s="420">
        <v>45946</v>
      </c>
      <c r="B8366" t="s">
        <v>2555</v>
      </c>
      <c r="C8366" t="s">
        <v>1619</v>
      </c>
      <c r="D8366" t="s">
        <v>7811</v>
      </c>
      <c r="E8366" t="s">
        <v>1703</v>
      </c>
      <c r="F8366">
        <v>40.659999999999997</v>
      </c>
      <c r="H8366">
        <v>522.88</v>
      </c>
    </row>
    <row r="8367" spans="1:8" ht="15" customHeight="1" x14ac:dyDescent="0.2">
      <c r="A8367" s="420">
        <v>45947</v>
      </c>
      <c r="B8367" t="s">
        <v>2555</v>
      </c>
      <c r="C8367" t="s">
        <v>1619</v>
      </c>
      <c r="D8367" t="s">
        <v>7819</v>
      </c>
      <c r="E8367" t="s">
        <v>1704</v>
      </c>
      <c r="F8367">
        <v>7.65</v>
      </c>
      <c r="H8367">
        <v>530.53</v>
      </c>
    </row>
    <row r="8368" spans="1:8" ht="15" customHeight="1" x14ac:dyDescent="0.2">
      <c r="A8368" s="420">
        <v>45947</v>
      </c>
      <c r="B8368" t="s">
        <v>2555</v>
      </c>
      <c r="C8368" t="s">
        <v>1619</v>
      </c>
      <c r="D8368" t="s">
        <v>7820</v>
      </c>
      <c r="E8368" t="s">
        <v>1704</v>
      </c>
      <c r="F8368">
        <v>7.65</v>
      </c>
      <c r="H8368">
        <v>538.17999999999995</v>
      </c>
    </row>
    <row r="8369" spans="1:8" ht="15" customHeight="1" x14ac:dyDescent="0.2">
      <c r="A8369" s="420">
        <v>45959</v>
      </c>
      <c r="B8369" t="s">
        <v>2333</v>
      </c>
      <c r="C8369" t="s">
        <v>1619</v>
      </c>
      <c r="D8369" t="s">
        <v>7736</v>
      </c>
      <c r="E8369" t="s">
        <v>1635</v>
      </c>
      <c r="F8369">
        <v>0.44</v>
      </c>
      <c r="H8369">
        <v>538.62</v>
      </c>
    </row>
    <row r="8370" spans="1:8" ht="15" customHeight="1" x14ac:dyDescent="0.2">
      <c r="A8370" s="420">
        <v>45961</v>
      </c>
      <c r="B8370" t="s">
        <v>2333</v>
      </c>
      <c r="C8370" t="s">
        <v>1619</v>
      </c>
      <c r="D8370" t="s">
        <v>7738</v>
      </c>
      <c r="E8370" t="s">
        <v>1635</v>
      </c>
      <c r="G8370">
        <v>0.44</v>
      </c>
      <c r="H8370">
        <v>538.17999999999995</v>
      </c>
    </row>
    <row r="8371" spans="1:8" ht="15" customHeight="1" x14ac:dyDescent="0.2">
      <c r="A8371" s="420">
        <v>45961</v>
      </c>
      <c r="B8371" t="s">
        <v>2333</v>
      </c>
      <c r="C8371" t="s">
        <v>1619</v>
      </c>
      <c r="D8371" t="s">
        <v>7739</v>
      </c>
      <c r="E8371" t="s">
        <v>1635</v>
      </c>
      <c r="F8371">
        <v>0.68</v>
      </c>
      <c r="H8371">
        <v>538.86</v>
      </c>
    </row>
    <row r="8372" spans="1:8" ht="15" customHeight="1" x14ac:dyDescent="0.2">
      <c r="A8372" s="420">
        <v>45964</v>
      </c>
      <c r="B8372" t="s">
        <v>2333</v>
      </c>
      <c r="C8372" t="s">
        <v>1619</v>
      </c>
      <c r="D8372" t="s">
        <v>7740</v>
      </c>
      <c r="E8372" t="s">
        <v>1707</v>
      </c>
      <c r="F8372">
        <v>21.68</v>
      </c>
      <c r="H8372">
        <v>560.54</v>
      </c>
    </row>
    <row r="8373" spans="1:8" ht="15" customHeight="1" x14ac:dyDescent="0.2">
      <c r="A8373" s="420">
        <v>45966</v>
      </c>
      <c r="B8373" t="s">
        <v>3866</v>
      </c>
      <c r="C8373" t="s">
        <v>1619</v>
      </c>
      <c r="D8373" t="s">
        <v>7798</v>
      </c>
      <c r="E8373" t="s">
        <v>1691</v>
      </c>
      <c r="G8373">
        <v>41.33</v>
      </c>
      <c r="H8373">
        <v>519.21</v>
      </c>
    </row>
    <row r="8374" spans="1:8" ht="15" customHeight="1" x14ac:dyDescent="0.2">
      <c r="A8374" s="420">
        <v>45967</v>
      </c>
      <c r="B8374" t="s">
        <v>2333</v>
      </c>
      <c r="C8374" t="s">
        <v>1619</v>
      </c>
      <c r="D8374" t="s">
        <v>7752</v>
      </c>
      <c r="E8374" t="s">
        <v>1622</v>
      </c>
      <c r="F8374">
        <v>31.8</v>
      </c>
      <c r="H8374">
        <v>551.01</v>
      </c>
    </row>
    <row r="8375" spans="1:8" ht="15" customHeight="1" x14ac:dyDescent="0.2">
      <c r="A8375" s="420">
        <v>45971</v>
      </c>
      <c r="B8375" t="s">
        <v>3866</v>
      </c>
      <c r="C8375" t="s">
        <v>1619</v>
      </c>
      <c r="D8375" t="s">
        <v>6988</v>
      </c>
      <c r="E8375" t="s">
        <v>1695</v>
      </c>
      <c r="F8375">
        <v>40.44</v>
      </c>
      <c r="H8375">
        <v>591.45000000000005</v>
      </c>
    </row>
    <row r="8376" spans="1:8" ht="15" customHeight="1" x14ac:dyDescent="0.2">
      <c r="A8376" s="420">
        <v>45977</v>
      </c>
      <c r="B8376" t="s">
        <v>2457</v>
      </c>
      <c r="C8376" t="s">
        <v>1619</v>
      </c>
      <c r="D8376" t="s">
        <v>2495</v>
      </c>
      <c r="E8376" t="s">
        <v>7884</v>
      </c>
      <c r="F8376">
        <v>9.74</v>
      </c>
      <c r="H8376">
        <v>601.19000000000005</v>
      </c>
    </row>
    <row r="8377" spans="1:8" ht="15" customHeight="1" x14ac:dyDescent="0.2">
      <c r="A8377" s="420">
        <v>45977</v>
      </c>
      <c r="B8377" t="s">
        <v>2457</v>
      </c>
      <c r="C8377" t="s">
        <v>1619</v>
      </c>
      <c r="D8377" t="s">
        <v>2489</v>
      </c>
      <c r="E8377" t="s">
        <v>7885</v>
      </c>
      <c r="F8377">
        <v>9.17</v>
      </c>
      <c r="H8377">
        <v>610.36</v>
      </c>
    </row>
    <row r="8378" spans="1:8" ht="15" customHeight="1" x14ac:dyDescent="0.2">
      <c r="A8378" s="420">
        <v>45979</v>
      </c>
      <c r="B8378" t="s">
        <v>2555</v>
      </c>
      <c r="C8378" t="s">
        <v>1619</v>
      </c>
      <c r="D8378" t="s">
        <v>7821</v>
      </c>
      <c r="E8378" t="s">
        <v>1703</v>
      </c>
      <c r="F8378">
        <v>40.659999999999997</v>
      </c>
      <c r="H8378">
        <v>651.02</v>
      </c>
    </row>
    <row r="8379" spans="1:8" ht="15" customHeight="1" x14ac:dyDescent="0.2">
      <c r="A8379" s="420">
        <v>45992</v>
      </c>
      <c r="B8379" t="s">
        <v>2333</v>
      </c>
      <c r="C8379" t="s">
        <v>1619</v>
      </c>
      <c r="D8379" t="s">
        <v>7767</v>
      </c>
      <c r="E8379" t="s">
        <v>1635</v>
      </c>
      <c r="F8379">
        <v>0.68</v>
      </c>
      <c r="H8379">
        <v>651.70000000000005</v>
      </c>
    </row>
    <row r="8380" spans="1:8" ht="15" customHeight="1" x14ac:dyDescent="0.2">
      <c r="A8380" s="420">
        <v>45994</v>
      </c>
      <c r="B8380" t="s">
        <v>3866</v>
      </c>
      <c r="C8380" t="s">
        <v>1619</v>
      </c>
      <c r="D8380" t="s">
        <v>7801</v>
      </c>
      <c r="E8380" t="s">
        <v>1691</v>
      </c>
      <c r="G8380">
        <v>41.33</v>
      </c>
      <c r="H8380">
        <v>610.37</v>
      </c>
    </row>
    <row r="8381" spans="1:8" ht="15" customHeight="1" x14ac:dyDescent="0.2">
      <c r="A8381" s="420">
        <v>45999</v>
      </c>
      <c r="B8381" t="s">
        <v>2333</v>
      </c>
      <c r="C8381" t="s">
        <v>1619</v>
      </c>
      <c r="D8381" t="s">
        <v>7779</v>
      </c>
      <c r="E8381" t="s">
        <v>1622</v>
      </c>
      <c r="F8381">
        <v>43.7</v>
      </c>
      <c r="H8381">
        <v>654.07000000000005</v>
      </c>
    </row>
    <row r="8382" spans="1:8" ht="15" customHeight="1" x14ac:dyDescent="0.2">
      <c r="A8382" s="420">
        <v>46001</v>
      </c>
      <c r="B8382" t="s">
        <v>3866</v>
      </c>
      <c r="C8382" t="s">
        <v>1619</v>
      </c>
      <c r="D8382" t="s">
        <v>6990</v>
      </c>
      <c r="E8382" t="s">
        <v>1695</v>
      </c>
      <c r="F8382">
        <v>40.229999999999997</v>
      </c>
      <c r="H8382">
        <v>694.3</v>
      </c>
    </row>
    <row r="8383" spans="1:8" ht="15" customHeight="1" x14ac:dyDescent="0.2">
      <c r="A8383" s="420">
        <v>46007</v>
      </c>
      <c r="B8383" t="s">
        <v>2457</v>
      </c>
      <c r="C8383" t="s">
        <v>1619</v>
      </c>
      <c r="D8383" t="s">
        <v>2495</v>
      </c>
      <c r="E8383" t="s">
        <v>7886</v>
      </c>
      <c r="F8383">
        <v>9.5399999999999991</v>
      </c>
      <c r="H8383">
        <v>703.84</v>
      </c>
    </row>
    <row r="8384" spans="1:8" ht="15" customHeight="1" x14ac:dyDescent="0.2">
      <c r="A8384" s="420">
        <v>46007</v>
      </c>
      <c r="B8384" t="s">
        <v>2457</v>
      </c>
      <c r="C8384" t="s">
        <v>1619</v>
      </c>
      <c r="D8384" t="s">
        <v>2489</v>
      </c>
      <c r="E8384" t="s">
        <v>7887</v>
      </c>
      <c r="F8384">
        <v>8.99</v>
      </c>
      <c r="H8384">
        <v>712.83</v>
      </c>
    </row>
    <row r="8385" spans="1:10" ht="15" customHeight="1" x14ac:dyDescent="0.2">
      <c r="A8385" s="420">
        <v>46007</v>
      </c>
      <c r="B8385" t="s">
        <v>2555</v>
      </c>
      <c r="C8385" t="s">
        <v>1619</v>
      </c>
      <c r="D8385" t="s">
        <v>7825</v>
      </c>
      <c r="E8385" t="s">
        <v>1703</v>
      </c>
      <c r="F8385">
        <v>40.659999999999997</v>
      </c>
      <c r="H8385">
        <v>753.49</v>
      </c>
    </row>
    <row r="8386" spans="1:10" ht="15" customHeight="1" x14ac:dyDescent="0.2">
      <c r="A8386" t="s">
        <v>1619</v>
      </c>
      <c r="E8386" t="s">
        <v>349</v>
      </c>
      <c r="F8386">
        <v>971.06</v>
      </c>
      <c r="G8386">
        <v>217.57</v>
      </c>
      <c r="H8386">
        <v>753.49</v>
      </c>
    </row>
    <row r="8388" spans="1:10" ht="15" customHeight="1" x14ac:dyDescent="0.2">
      <c r="A8388" t="s">
        <v>914</v>
      </c>
      <c r="B8388" t="s">
        <v>915</v>
      </c>
      <c r="F8388" t="s">
        <v>2430</v>
      </c>
      <c r="G8388" t="s">
        <v>2431</v>
      </c>
      <c r="H8388" t="s">
        <v>2432</v>
      </c>
      <c r="I8388" t="s">
        <v>2433</v>
      </c>
      <c r="J8388" t="s">
        <v>2434</v>
      </c>
    </row>
    <row r="8389" spans="1:10" ht="15" customHeight="1" x14ac:dyDescent="0.2">
      <c r="A8389" s="420">
        <v>45946</v>
      </c>
      <c r="B8389" t="s">
        <v>3866</v>
      </c>
      <c r="C8389" t="s">
        <v>914</v>
      </c>
      <c r="D8389" t="s">
        <v>7795</v>
      </c>
      <c r="E8389" t="s">
        <v>916</v>
      </c>
      <c r="F8389">
        <v>150</v>
      </c>
      <c r="H8389">
        <v>150</v>
      </c>
    </row>
    <row r="8390" spans="1:10" ht="15" customHeight="1" x14ac:dyDescent="0.2">
      <c r="A8390" s="420">
        <v>45947</v>
      </c>
      <c r="B8390" t="s">
        <v>2555</v>
      </c>
      <c r="C8390" t="s">
        <v>914</v>
      </c>
      <c r="D8390" t="s">
        <v>7815</v>
      </c>
      <c r="E8390" t="s">
        <v>918</v>
      </c>
      <c r="F8390">
        <v>150</v>
      </c>
      <c r="H8390">
        <v>300</v>
      </c>
    </row>
    <row r="8391" spans="1:10" ht="15" customHeight="1" x14ac:dyDescent="0.2">
      <c r="A8391" s="420">
        <v>45947</v>
      </c>
      <c r="B8391" t="s">
        <v>2555</v>
      </c>
      <c r="C8391" t="s">
        <v>914</v>
      </c>
      <c r="D8391" t="s">
        <v>7816</v>
      </c>
      <c r="E8391" t="s">
        <v>918</v>
      </c>
      <c r="F8391">
        <v>150</v>
      </c>
      <c r="H8391">
        <v>450</v>
      </c>
    </row>
    <row r="8392" spans="1:10" ht="15" customHeight="1" x14ac:dyDescent="0.2">
      <c r="A8392" s="420">
        <v>45947</v>
      </c>
      <c r="B8392" t="s">
        <v>2555</v>
      </c>
      <c r="C8392" t="s">
        <v>914</v>
      </c>
      <c r="D8392" t="s">
        <v>7817</v>
      </c>
      <c r="E8392" t="s">
        <v>919</v>
      </c>
      <c r="F8392">
        <v>159.37</v>
      </c>
      <c r="H8392">
        <v>609.37</v>
      </c>
    </row>
    <row r="8393" spans="1:10" ht="15" customHeight="1" x14ac:dyDescent="0.2">
      <c r="A8393" s="420">
        <v>45947</v>
      </c>
      <c r="B8393" t="s">
        <v>2555</v>
      </c>
      <c r="C8393" t="s">
        <v>914</v>
      </c>
      <c r="D8393" t="s">
        <v>7818</v>
      </c>
      <c r="E8393" t="s">
        <v>919</v>
      </c>
      <c r="F8393">
        <v>150</v>
      </c>
      <c r="H8393">
        <v>759.37</v>
      </c>
    </row>
    <row r="8394" spans="1:10" ht="15" customHeight="1" x14ac:dyDescent="0.2">
      <c r="A8394" t="s">
        <v>914</v>
      </c>
      <c r="E8394" t="s">
        <v>349</v>
      </c>
      <c r="F8394">
        <v>759.37</v>
      </c>
      <c r="H8394">
        <v>759.37</v>
      </c>
    </row>
    <row r="8396" spans="1:10" ht="15" customHeight="1" x14ac:dyDescent="0.2">
      <c r="A8396" t="s">
        <v>1461</v>
      </c>
      <c r="B8396" t="s">
        <v>1462</v>
      </c>
      <c r="F8396" t="s">
        <v>2430</v>
      </c>
      <c r="G8396" t="s">
        <v>2431</v>
      </c>
      <c r="H8396" t="s">
        <v>2432</v>
      </c>
      <c r="I8396" t="s">
        <v>2433</v>
      </c>
      <c r="J8396" t="s">
        <v>2434</v>
      </c>
    </row>
    <row r="8397" spans="1:10" ht="15" customHeight="1" x14ac:dyDescent="0.2">
      <c r="A8397" s="420">
        <v>45708</v>
      </c>
      <c r="B8397" t="s">
        <v>2532</v>
      </c>
      <c r="C8397" t="s">
        <v>1461</v>
      </c>
      <c r="D8397" t="s">
        <v>5095</v>
      </c>
      <c r="E8397" t="s">
        <v>1463</v>
      </c>
      <c r="F8397">
        <v>150</v>
      </c>
      <c r="H8397">
        <v>150</v>
      </c>
    </row>
    <row r="8398" spans="1:10" ht="15" customHeight="1" x14ac:dyDescent="0.2">
      <c r="A8398" s="420">
        <v>45721</v>
      </c>
      <c r="B8398" t="s">
        <v>2532</v>
      </c>
      <c r="C8398" t="s">
        <v>1461</v>
      </c>
      <c r="D8398" t="s">
        <v>5100</v>
      </c>
      <c r="E8398" t="s">
        <v>1474</v>
      </c>
      <c r="F8398">
        <v>150</v>
      </c>
      <c r="H8398">
        <v>300</v>
      </c>
    </row>
    <row r="8399" spans="1:10" ht="15" customHeight="1" x14ac:dyDescent="0.2">
      <c r="A8399" s="420">
        <v>45722</v>
      </c>
      <c r="B8399" t="s">
        <v>2532</v>
      </c>
      <c r="C8399" t="s">
        <v>1461</v>
      </c>
      <c r="D8399" t="s">
        <v>5101</v>
      </c>
      <c r="E8399" t="s">
        <v>1475</v>
      </c>
      <c r="F8399">
        <v>150</v>
      </c>
      <c r="H8399">
        <v>450</v>
      </c>
    </row>
    <row r="8400" spans="1:10" ht="15" customHeight="1" x14ac:dyDescent="0.2">
      <c r="A8400" s="420">
        <v>45755</v>
      </c>
      <c r="B8400" t="s">
        <v>2532</v>
      </c>
      <c r="C8400" t="s">
        <v>1461</v>
      </c>
      <c r="D8400" t="s">
        <v>5104</v>
      </c>
      <c r="E8400" t="s">
        <v>1483</v>
      </c>
      <c r="F8400">
        <v>150</v>
      </c>
      <c r="H8400">
        <v>600</v>
      </c>
    </row>
    <row r="8401" spans="1:8" ht="15" customHeight="1" x14ac:dyDescent="0.2">
      <c r="A8401" s="420">
        <v>45792</v>
      </c>
      <c r="B8401" t="s">
        <v>2532</v>
      </c>
      <c r="C8401" t="s">
        <v>1461</v>
      </c>
      <c r="D8401" t="s">
        <v>5107</v>
      </c>
      <c r="E8401" t="s">
        <v>1492</v>
      </c>
      <c r="F8401">
        <v>150</v>
      </c>
      <c r="H8401">
        <v>750</v>
      </c>
    </row>
    <row r="8402" spans="1:8" ht="15" customHeight="1" x14ac:dyDescent="0.2">
      <c r="A8402" s="420">
        <v>45798</v>
      </c>
      <c r="B8402" t="s">
        <v>2532</v>
      </c>
      <c r="C8402" t="s">
        <v>1461</v>
      </c>
      <c r="D8402" t="s">
        <v>5112</v>
      </c>
      <c r="E8402" t="s">
        <v>1497</v>
      </c>
      <c r="F8402">
        <v>150</v>
      </c>
      <c r="H8402">
        <v>900</v>
      </c>
    </row>
    <row r="8403" spans="1:8" ht="15" customHeight="1" x14ac:dyDescent="0.2">
      <c r="A8403" s="420">
        <v>45798</v>
      </c>
      <c r="B8403" t="s">
        <v>2532</v>
      </c>
      <c r="C8403" t="s">
        <v>1461</v>
      </c>
      <c r="D8403" t="s">
        <v>5113</v>
      </c>
      <c r="E8403" t="s">
        <v>1498</v>
      </c>
      <c r="F8403">
        <v>150</v>
      </c>
      <c r="H8403">
        <v>1050</v>
      </c>
    </row>
    <row r="8404" spans="1:8" ht="15" customHeight="1" x14ac:dyDescent="0.2">
      <c r="A8404" s="420">
        <v>45824</v>
      </c>
      <c r="B8404" t="s">
        <v>2532</v>
      </c>
      <c r="C8404" t="s">
        <v>1461</v>
      </c>
      <c r="D8404" t="s">
        <v>5116</v>
      </c>
      <c r="E8404" t="s">
        <v>1509</v>
      </c>
      <c r="F8404">
        <v>150</v>
      </c>
      <c r="H8404">
        <v>1200</v>
      </c>
    </row>
    <row r="8405" spans="1:8" ht="15" customHeight="1" x14ac:dyDescent="0.2">
      <c r="A8405" s="420">
        <v>45834</v>
      </c>
      <c r="B8405" t="s">
        <v>2532</v>
      </c>
      <c r="C8405" t="s">
        <v>1461</v>
      </c>
      <c r="D8405" t="s">
        <v>5119</v>
      </c>
      <c r="E8405" t="s">
        <v>1513</v>
      </c>
      <c r="F8405">
        <v>150</v>
      </c>
      <c r="H8405">
        <v>1350</v>
      </c>
    </row>
    <row r="8406" spans="1:8" ht="15" customHeight="1" x14ac:dyDescent="0.2">
      <c r="A8406" s="420">
        <v>45841</v>
      </c>
      <c r="B8406" t="s">
        <v>2532</v>
      </c>
      <c r="C8406" t="s">
        <v>1461</v>
      </c>
      <c r="D8406" t="s">
        <v>5124</v>
      </c>
      <c r="E8406" t="s">
        <v>1530</v>
      </c>
      <c r="F8406">
        <v>150</v>
      </c>
      <c r="H8406">
        <v>1500</v>
      </c>
    </row>
    <row r="8407" spans="1:8" ht="15" customHeight="1" x14ac:dyDescent="0.2">
      <c r="A8407" s="420">
        <v>45841</v>
      </c>
      <c r="B8407" t="s">
        <v>2532</v>
      </c>
      <c r="C8407" t="s">
        <v>1461</v>
      </c>
      <c r="D8407" t="s">
        <v>5125</v>
      </c>
      <c r="E8407" t="s">
        <v>1531</v>
      </c>
      <c r="F8407">
        <v>150</v>
      </c>
      <c r="H8407">
        <v>1650</v>
      </c>
    </row>
    <row r="8408" spans="1:8" ht="15" customHeight="1" x14ac:dyDescent="0.2">
      <c r="A8408" s="420">
        <v>45848</v>
      </c>
      <c r="B8408" t="s">
        <v>2532</v>
      </c>
      <c r="C8408" t="s">
        <v>1461</v>
      </c>
      <c r="D8408" t="s">
        <v>5128</v>
      </c>
      <c r="E8408" t="s">
        <v>1535</v>
      </c>
      <c r="F8408">
        <v>150</v>
      </c>
      <c r="H8408">
        <v>1800</v>
      </c>
    </row>
    <row r="8409" spans="1:8" ht="15" customHeight="1" x14ac:dyDescent="0.2">
      <c r="A8409" s="420">
        <v>45854</v>
      </c>
      <c r="B8409" t="s">
        <v>2532</v>
      </c>
      <c r="C8409" t="s">
        <v>1461</v>
      </c>
      <c r="D8409" t="s">
        <v>5131</v>
      </c>
      <c r="E8409" t="s">
        <v>1537</v>
      </c>
      <c r="F8409">
        <v>150</v>
      </c>
      <c r="H8409">
        <v>1950</v>
      </c>
    </row>
    <row r="8410" spans="1:8" ht="15" customHeight="1" x14ac:dyDescent="0.2">
      <c r="A8410" s="420">
        <v>45854</v>
      </c>
      <c r="B8410" t="s">
        <v>2532</v>
      </c>
      <c r="C8410" t="s">
        <v>1461</v>
      </c>
      <c r="D8410" t="s">
        <v>5132</v>
      </c>
      <c r="E8410" t="s">
        <v>1538</v>
      </c>
      <c r="F8410">
        <v>150</v>
      </c>
      <c r="H8410">
        <v>2100</v>
      </c>
    </row>
    <row r="8411" spans="1:8" ht="15" customHeight="1" x14ac:dyDescent="0.2">
      <c r="A8411" s="420">
        <v>45860</v>
      </c>
      <c r="B8411" t="s">
        <v>2333</v>
      </c>
      <c r="C8411" t="s">
        <v>1461</v>
      </c>
      <c r="D8411" t="s">
        <v>7659</v>
      </c>
      <c r="E8411" t="s">
        <v>1542</v>
      </c>
      <c r="F8411">
        <v>170</v>
      </c>
      <c r="H8411">
        <v>2270</v>
      </c>
    </row>
    <row r="8412" spans="1:8" ht="15" customHeight="1" x14ac:dyDescent="0.2">
      <c r="A8412" s="420">
        <v>45868</v>
      </c>
      <c r="B8412" t="s">
        <v>2532</v>
      </c>
      <c r="C8412" t="s">
        <v>1461</v>
      </c>
      <c r="D8412" t="s">
        <v>5135</v>
      </c>
      <c r="E8412" t="s">
        <v>1544</v>
      </c>
      <c r="F8412">
        <v>150</v>
      </c>
      <c r="H8412">
        <v>2420</v>
      </c>
    </row>
    <row r="8413" spans="1:8" ht="15" customHeight="1" x14ac:dyDescent="0.2">
      <c r="A8413" s="420">
        <v>45869</v>
      </c>
      <c r="B8413" t="s">
        <v>2532</v>
      </c>
      <c r="C8413" t="s">
        <v>1461</v>
      </c>
      <c r="D8413" t="s">
        <v>5138</v>
      </c>
      <c r="E8413" t="s">
        <v>1546</v>
      </c>
      <c r="F8413">
        <v>150</v>
      </c>
      <c r="H8413">
        <v>2570</v>
      </c>
    </row>
    <row r="8414" spans="1:8" ht="15" customHeight="1" x14ac:dyDescent="0.2">
      <c r="A8414" s="420">
        <v>45902</v>
      </c>
      <c r="B8414" t="s">
        <v>2532</v>
      </c>
      <c r="C8414" t="s">
        <v>1461</v>
      </c>
      <c r="D8414" t="s">
        <v>5141</v>
      </c>
      <c r="E8414" t="s">
        <v>1560</v>
      </c>
      <c r="F8414">
        <v>150</v>
      </c>
      <c r="H8414">
        <v>2720</v>
      </c>
    </row>
    <row r="8415" spans="1:8" ht="15" customHeight="1" x14ac:dyDescent="0.2">
      <c r="A8415" s="420">
        <v>45903</v>
      </c>
      <c r="B8415" t="s">
        <v>2532</v>
      </c>
      <c r="C8415" t="s">
        <v>1461</v>
      </c>
      <c r="D8415" t="s">
        <v>5142</v>
      </c>
      <c r="E8415" t="s">
        <v>1562</v>
      </c>
      <c r="F8415">
        <v>150</v>
      </c>
      <c r="H8415">
        <v>2870</v>
      </c>
    </row>
    <row r="8416" spans="1:8" ht="15" customHeight="1" x14ac:dyDescent="0.2">
      <c r="A8416" s="420">
        <v>45905</v>
      </c>
      <c r="B8416" t="s">
        <v>2532</v>
      </c>
      <c r="C8416" t="s">
        <v>1461</v>
      </c>
      <c r="D8416" t="s">
        <v>5145</v>
      </c>
      <c r="E8416" t="s">
        <v>1565</v>
      </c>
      <c r="F8416">
        <v>150</v>
      </c>
      <c r="H8416">
        <v>3020</v>
      </c>
    </row>
    <row r="8417" spans="1:10" ht="15" customHeight="1" x14ac:dyDescent="0.2">
      <c r="A8417" s="420">
        <v>45911</v>
      </c>
      <c r="B8417" t="s">
        <v>2547</v>
      </c>
      <c r="C8417" t="s">
        <v>1461</v>
      </c>
      <c r="D8417" t="s">
        <v>3187</v>
      </c>
      <c r="E8417" t="s">
        <v>1566</v>
      </c>
      <c r="F8417">
        <v>1772</v>
      </c>
      <c r="H8417">
        <v>4792</v>
      </c>
    </row>
    <row r="8418" spans="1:10" ht="15" customHeight="1" x14ac:dyDescent="0.2">
      <c r="A8418" s="420">
        <v>45953</v>
      </c>
      <c r="B8418" t="s">
        <v>2532</v>
      </c>
      <c r="C8418" t="s">
        <v>1461</v>
      </c>
      <c r="D8418" t="s">
        <v>5152</v>
      </c>
      <c r="E8418" t="s">
        <v>1581</v>
      </c>
      <c r="F8418">
        <v>150</v>
      </c>
      <c r="H8418">
        <v>4942</v>
      </c>
    </row>
    <row r="8419" spans="1:10" ht="15" customHeight="1" x14ac:dyDescent="0.2">
      <c r="A8419" s="420">
        <v>45953</v>
      </c>
      <c r="B8419" t="s">
        <v>2532</v>
      </c>
      <c r="C8419" t="s">
        <v>1461</v>
      </c>
      <c r="D8419" t="s">
        <v>5153</v>
      </c>
      <c r="E8419" t="s">
        <v>1582</v>
      </c>
      <c r="F8419">
        <v>150</v>
      </c>
      <c r="H8419">
        <v>5092</v>
      </c>
    </row>
    <row r="8420" spans="1:10" ht="15" customHeight="1" x14ac:dyDescent="0.2">
      <c r="A8420" s="420">
        <v>45994</v>
      </c>
      <c r="B8420" t="s">
        <v>2532</v>
      </c>
      <c r="C8420" t="s">
        <v>1461</v>
      </c>
      <c r="D8420" t="s">
        <v>5158</v>
      </c>
      <c r="E8420" t="s">
        <v>1606</v>
      </c>
      <c r="F8420">
        <v>150</v>
      </c>
      <c r="H8420">
        <v>5242</v>
      </c>
    </row>
    <row r="8421" spans="1:10" ht="15" customHeight="1" x14ac:dyDescent="0.2">
      <c r="A8421" s="420">
        <v>46008</v>
      </c>
      <c r="B8421" t="s">
        <v>2532</v>
      </c>
      <c r="C8421" t="s">
        <v>1461</v>
      </c>
      <c r="D8421" t="s">
        <v>5161</v>
      </c>
      <c r="E8421" t="s">
        <v>1609</v>
      </c>
      <c r="F8421">
        <v>150</v>
      </c>
      <c r="H8421">
        <v>5392</v>
      </c>
    </row>
    <row r="8422" spans="1:10" ht="15" customHeight="1" x14ac:dyDescent="0.2">
      <c r="A8422" s="420">
        <v>46022</v>
      </c>
      <c r="B8422" t="s">
        <v>2507</v>
      </c>
      <c r="C8422" t="s">
        <v>1461</v>
      </c>
      <c r="D8422" t="s">
        <v>1618</v>
      </c>
      <c r="E8422" t="s">
        <v>1618</v>
      </c>
      <c r="G8422">
        <v>878.72</v>
      </c>
      <c r="H8422">
        <v>4513.28</v>
      </c>
      <c r="J8422" t="s">
        <v>2511</v>
      </c>
    </row>
    <row r="8423" spans="1:10" ht="15" customHeight="1" x14ac:dyDescent="0.2">
      <c r="A8423" t="s">
        <v>1461</v>
      </c>
      <c r="E8423" t="s">
        <v>349</v>
      </c>
      <c r="F8423">
        <v>5392</v>
      </c>
      <c r="G8423">
        <v>878.72</v>
      </c>
      <c r="H8423">
        <v>4513.28</v>
      </c>
    </row>
    <row r="8425" spans="1:10" ht="15" customHeight="1" x14ac:dyDescent="0.2">
      <c r="A8425" t="s">
        <v>947</v>
      </c>
      <c r="B8425" t="s">
        <v>948</v>
      </c>
      <c r="F8425" t="s">
        <v>2430</v>
      </c>
      <c r="G8425" t="s">
        <v>2431</v>
      </c>
      <c r="H8425" t="s">
        <v>2432</v>
      </c>
      <c r="I8425" t="s">
        <v>2433</v>
      </c>
      <c r="J8425" t="s">
        <v>2434</v>
      </c>
    </row>
    <row r="8426" spans="1:10" ht="15" customHeight="1" x14ac:dyDescent="0.2">
      <c r="A8426" s="420">
        <v>45688</v>
      </c>
      <c r="B8426" t="s">
        <v>2547</v>
      </c>
      <c r="C8426" t="s">
        <v>947</v>
      </c>
      <c r="D8426" t="s">
        <v>3401</v>
      </c>
      <c r="E8426" t="s">
        <v>948</v>
      </c>
      <c r="F8426">
        <v>5900</v>
      </c>
      <c r="H8426">
        <v>5900</v>
      </c>
    </row>
    <row r="8427" spans="1:10" ht="15" customHeight="1" x14ac:dyDescent="0.2">
      <c r="A8427" s="420">
        <v>45716</v>
      </c>
      <c r="B8427" t="s">
        <v>2532</v>
      </c>
      <c r="C8427" t="s">
        <v>947</v>
      </c>
      <c r="D8427" t="s">
        <v>3404</v>
      </c>
      <c r="E8427" t="s">
        <v>958</v>
      </c>
      <c r="F8427">
        <v>5900</v>
      </c>
      <c r="H8427">
        <v>11800</v>
      </c>
    </row>
    <row r="8428" spans="1:10" ht="15" customHeight="1" x14ac:dyDescent="0.2">
      <c r="A8428" s="420">
        <v>45747</v>
      </c>
      <c r="B8428" t="s">
        <v>2532</v>
      </c>
      <c r="C8428" t="s">
        <v>947</v>
      </c>
      <c r="D8428" t="s">
        <v>3406</v>
      </c>
      <c r="E8428" t="s">
        <v>963</v>
      </c>
      <c r="F8428">
        <v>5900</v>
      </c>
      <c r="H8428">
        <v>17700</v>
      </c>
    </row>
    <row r="8429" spans="1:10" ht="15" customHeight="1" x14ac:dyDescent="0.2">
      <c r="A8429" s="420">
        <v>45777</v>
      </c>
      <c r="B8429" t="s">
        <v>2532</v>
      </c>
      <c r="C8429" t="s">
        <v>947</v>
      </c>
      <c r="D8429" t="s">
        <v>3408</v>
      </c>
      <c r="E8429" t="s">
        <v>965</v>
      </c>
      <c r="F8429">
        <v>5900</v>
      </c>
      <c r="H8429">
        <v>23600</v>
      </c>
    </row>
    <row r="8430" spans="1:10" ht="15" customHeight="1" x14ac:dyDescent="0.2">
      <c r="A8430" s="420">
        <v>45808</v>
      </c>
      <c r="B8430" t="s">
        <v>2532</v>
      </c>
      <c r="C8430" t="s">
        <v>947</v>
      </c>
      <c r="D8430" t="s">
        <v>3410</v>
      </c>
      <c r="E8430" t="s">
        <v>973</v>
      </c>
      <c r="F8430">
        <v>5900</v>
      </c>
      <c r="H8430">
        <v>29500</v>
      </c>
    </row>
    <row r="8431" spans="1:10" ht="15" customHeight="1" x14ac:dyDescent="0.2">
      <c r="A8431" s="420">
        <v>45838</v>
      </c>
      <c r="B8431" t="s">
        <v>2532</v>
      </c>
      <c r="C8431" t="s">
        <v>947</v>
      </c>
      <c r="D8431" t="s">
        <v>3412</v>
      </c>
      <c r="E8431" t="s">
        <v>982</v>
      </c>
      <c r="F8431">
        <v>5900</v>
      </c>
      <c r="H8431">
        <v>35400</v>
      </c>
    </row>
    <row r="8432" spans="1:10" ht="15" customHeight="1" x14ac:dyDescent="0.2">
      <c r="A8432" s="420">
        <v>45869</v>
      </c>
      <c r="B8432" t="s">
        <v>2532</v>
      </c>
      <c r="C8432" t="s">
        <v>947</v>
      </c>
      <c r="D8432" t="s">
        <v>3414</v>
      </c>
      <c r="E8432" t="s">
        <v>997</v>
      </c>
      <c r="F8432">
        <v>5900</v>
      </c>
      <c r="H8432">
        <v>41300</v>
      </c>
    </row>
    <row r="8433" spans="1:10" ht="15" customHeight="1" x14ac:dyDescent="0.2">
      <c r="A8433" s="420">
        <v>45900</v>
      </c>
      <c r="B8433" t="s">
        <v>2532</v>
      </c>
      <c r="C8433" t="s">
        <v>947</v>
      </c>
      <c r="D8433" t="s">
        <v>3416</v>
      </c>
      <c r="E8433" t="s">
        <v>1008</v>
      </c>
      <c r="F8433">
        <v>5900</v>
      </c>
      <c r="H8433">
        <v>47200</v>
      </c>
    </row>
    <row r="8434" spans="1:10" ht="15" customHeight="1" x14ac:dyDescent="0.2">
      <c r="A8434" s="420">
        <v>45930</v>
      </c>
      <c r="B8434" t="s">
        <v>2547</v>
      </c>
      <c r="C8434" t="s">
        <v>947</v>
      </c>
      <c r="D8434" t="s">
        <v>3418</v>
      </c>
      <c r="E8434" t="s">
        <v>1017</v>
      </c>
      <c r="F8434">
        <v>5900</v>
      </c>
      <c r="H8434">
        <v>53100</v>
      </c>
    </row>
    <row r="8435" spans="1:10" ht="15" customHeight="1" x14ac:dyDescent="0.2">
      <c r="A8435" s="420">
        <v>45961</v>
      </c>
      <c r="B8435" t="s">
        <v>2532</v>
      </c>
      <c r="C8435" t="s">
        <v>947</v>
      </c>
      <c r="D8435" t="s">
        <v>3420</v>
      </c>
      <c r="E8435" t="s">
        <v>1026</v>
      </c>
      <c r="F8435">
        <v>5900</v>
      </c>
      <c r="H8435">
        <v>59000</v>
      </c>
    </row>
    <row r="8436" spans="1:10" ht="15" customHeight="1" x14ac:dyDescent="0.2">
      <c r="A8436" s="420">
        <v>45991</v>
      </c>
      <c r="B8436" t="s">
        <v>2532</v>
      </c>
      <c r="C8436" t="s">
        <v>947</v>
      </c>
      <c r="D8436" t="s">
        <v>3422</v>
      </c>
      <c r="E8436" t="s">
        <v>1038</v>
      </c>
      <c r="F8436">
        <v>5900</v>
      </c>
      <c r="H8436">
        <v>64900</v>
      </c>
    </row>
    <row r="8437" spans="1:10" ht="15" customHeight="1" x14ac:dyDescent="0.2">
      <c r="A8437" s="420">
        <v>46022</v>
      </c>
      <c r="B8437" t="s">
        <v>2532</v>
      </c>
      <c r="C8437" t="s">
        <v>947</v>
      </c>
      <c r="D8437" t="s">
        <v>3424</v>
      </c>
      <c r="E8437" t="s">
        <v>1047</v>
      </c>
      <c r="F8437">
        <v>5900</v>
      </c>
      <c r="H8437">
        <v>70800</v>
      </c>
    </row>
    <row r="8438" spans="1:10" ht="15" customHeight="1" x14ac:dyDescent="0.2">
      <c r="A8438" s="420">
        <v>46022</v>
      </c>
      <c r="B8438" t="s">
        <v>2507</v>
      </c>
      <c r="C8438" t="s">
        <v>947</v>
      </c>
      <c r="D8438" t="s">
        <v>1048</v>
      </c>
      <c r="E8438" t="s">
        <v>1048</v>
      </c>
      <c r="F8438">
        <v>3000</v>
      </c>
      <c r="H8438">
        <v>73800</v>
      </c>
      <c r="J8438" t="s">
        <v>2511</v>
      </c>
    </row>
    <row r="8439" spans="1:10" ht="15" customHeight="1" x14ac:dyDescent="0.2">
      <c r="A8439" t="s">
        <v>947</v>
      </c>
      <c r="E8439" t="s">
        <v>349</v>
      </c>
      <c r="F8439">
        <v>73800</v>
      </c>
      <c r="H8439">
        <v>73800</v>
      </c>
    </row>
    <row r="8441" spans="1:10" ht="15" customHeight="1" x14ac:dyDescent="0.2">
      <c r="A8441" t="s">
        <v>949</v>
      </c>
      <c r="B8441" t="s">
        <v>950</v>
      </c>
      <c r="F8441" t="s">
        <v>2430</v>
      </c>
      <c r="G8441" t="s">
        <v>2431</v>
      </c>
      <c r="H8441" t="s">
        <v>2432</v>
      </c>
      <c r="I8441" t="s">
        <v>2433</v>
      </c>
      <c r="J8441" t="s">
        <v>2434</v>
      </c>
    </row>
    <row r="8442" spans="1:10" ht="15" customHeight="1" x14ac:dyDescent="0.2">
      <c r="A8442" s="420">
        <v>45688</v>
      </c>
      <c r="B8442" t="s">
        <v>6077</v>
      </c>
      <c r="C8442" t="s">
        <v>949</v>
      </c>
      <c r="E8442" t="s">
        <v>951</v>
      </c>
      <c r="F8442">
        <v>33.770000000000003</v>
      </c>
      <c r="H8442">
        <v>33.770000000000003</v>
      </c>
    </row>
    <row r="8443" spans="1:10" ht="15" customHeight="1" x14ac:dyDescent="0.2">
      <c r="A8443" s="420">
        <v>45716</v>
      </c>
      <c r="B8443" t="s">
        <v>6077</v>
      </c>
      <c r="C8443" t="s">
        <v>949</v>
      </c>
      <c r="D8443" t="s">
        <v>6082</v>
      </c>
      <c r="E8443" t="s">
        <v>959</v>
      </c>
      <c r="F8443">
        <v>25.88</v>
      </c>
      <c r="H8443">
        <v>59.65</v>
      </c>
    </row>
    <row r="8444" spans="1:10" ht="15" customHeight="1" x14ac:dyDescent="0.2">
      <c r="A8444" s="420">
        <v>45747</v>
      </c>
      <c r="B8444" t="s">
        <v>6077</v>
      </c>
      <c r="C8444" t="s">
        <v>949</v>
      </c>
      <c r="D8444" t="s">
        <v>6087</v>
      </c>
      <c r="E8444" t="s">
        <v>964</v>
      </c>
      <c r="F8444">
        <v>62.19</v>
      </c>
      <c r="H8444">
        <v>121.84</v>
      </c>
    </row>
    <row r="8445" spans="1:10" ht="15" customHeight="1" x14ac:dyDescent="0.2">
      <c r="A8445" s="420">
        <v>45777</v>
      </c>
      <c r="B8445" t="s">
        <v>6077</v>
      </c>
      <c r="C8445" t="s">
        <v>949</v>
      </c>
      <c r="D8445" t="s">
        <v>6092</v>
      </c>
      <c r="E8445" t="s">
        <v>966</v>
      </c>
      <c r="F8445">
        <v>54.06</v>
      </c>
      <c r="H8445">
        <v>175.9</v>
      </c>
    </row>
    <row r="8446" spans="1:10" ht="15" customHeight="1" x14ac:dyDescent="0.2">
      <c r="A8446" s="420">
        <v>45777</v>
      </c>
      <c r="B8446" t="s">
        <v>6077</v>
      </c>
      <c r="C8446" t="s">
        <v>949</v>
      </c>
      <c r="D8446" t="s">
        <v>6092</v>
      </c>
      <c r="E8446" t="s">
        <v>967</v>
      </c>
      <c r="F8446">
        <v>4.92</v>
      </c>
      <c r="H8446">
        <v>180.82</v>
      </c>
    </row>
    <row r="8447" spans="1:10" ht="15" customHeight="1" x14ac:dyDescent="0.2">
      <c r="A8447" s="420">
        <v>45808</v>
      </c>
      <c r="B8447" t="s">
        <v>6077</v>
      </c>
      <c r="C8447" t="s">
        <v>949</v>
      </c>
      <c r="D8447" t="s">
        <v>6097</v>
      </c>
      <c r="E8447" t="s">
        <v>974</v>
      </c>
      <c r="F8447">
        <v>40.58</v>
      </c>
      <c r="H8447">
        <v>221.4</v>
      </c>
    </row>
    <row r="8448" spans="1:10" ht="15" customHeight="1" x14ac:dyDescent="0.2">
      <c r="A8448" s="420">
        <v>45808</v>
      </c>
      <c r="B8448" t="s">
        <v>6077</v>
      </c>
      <c r="C8448" t="s">
        <v>949</v>
      </c>
      <c r="D8448" t="s">
        <v>6097</v>
      </c>
      <c r="E8448" t="s">
        <v>975</v>
      </c>
      <c r="F8448">
        <v>3.69</v>
      </c>
      <c r="H8448">
        <v>225.09</v>
      </c>
    </row>
    <row r="8449" spans="1:8" ht="15" customHeight="1" x14ac:dyDescent="0.2">
      <c r="A8449" s="420">
        <v>45838</v>
      </c>
      <c r="B8449" t="s">
        <v>6077</v>
      </c>
      <c r="C8449" t="s">
        <v>949</v>
      </c>
      <c r="D8449" t="s">
        <v>6102</v>
      </c>
      <c r="E8449" t="s">
        <v>983</v>
      </c>
      <c r="F8449">
        <v>42.67</v>
      </c>
      <c r="H8449">
        <v>267.76</v>
      </c>
    </row>
    <row r="8450" spans="1:8" ht="15" customHeight="1" x14ac:dyDescent="0.2">
      <c r="A8450" s="420">
        <v>45838</v>
      </c>
      <c r="B8450" t="s">
        <v>6077</v>
      </c>
      <c r="C8450" t="s">
        <v>949</v>
      </c>
      <c r="D8450" t="s">
        <v>6102</v>
      </c>
      <c r="E8450" t="s">
        <v>984</v>
      </c>
      <c r="F8450">
        <v>3.88</v>
      </c>
      <c r="H8450">
        <v>271.64</v>
      </c>
    </row>
    <row r="8451" spans="1:8" ht="15" customHeight="1" x14ac:dyDescent="0.2">
      <c r="A8451" s="420">
        <v>45839</v>
      </c>
      <c r="B8451" t="s">
        <v>2517</v>
      </c>
      <c r="C8451" t="s">
        <v>949</v>
      </c>
      <c r="D8451" t="s">
        <v>7888</v>
      </c>
      <c r="E8451" t="s">
        <v>993</v>
      </c>
      <c r="F8451">
        <v>54.88</v>
      </c>
      <c r="H8451">
        <v>326.52</v>
      </c>
    </row>
    <row r="8452" spans="1:8" ht="15" customHeight="1" x14ac:dyDescent="0.2">
      <c r="A8452" s="420">
        <v>45839</v>
      </c>
      <c r="B8452" t="s">
        <v>2517</v>
      </c>
      <c r="C8452" t="s">
        <v>949</v>
      </c>
      <c r="D8452" t="s">
        <v>7889</v>
      </c>
      <c r="E8452" t="s">
        <v>993</v>
      </c>
      <c r="G8452">
        <v>62.19</v>
      </c>
      <c r="H8452">
        <v>264.33</v>
      </c>
    </row>
    <row r="8453" spans="1:8" ht="15" customHeight="1" x14ac:dyDescent="0.2">
      <c r="A8453" s="420">
        <v>45869</v>
      </c>
      <c r="B8453" t="s">
        <v>6077</v>
      </c>
      <c r="C8453" t="s">
        <v>949</v>
      </c>
      <c r="D8453" t="s">
        <v>6107</v>
      </c>
      <c r="E8453" t="s">
        <v>998</v>
      </c>
      <c r="F8453">
        <v>56.45</v>
      </c>
      <c r="H8453">
        <v>320.77999999999997</v>
      </c>
    </row>
    <row r="8454" spans="1:8" ht="15" customHeight="1" x14ac:dyDescent="0.2">
      <c r="A8454" s="420">
        <v>45869</v>
      </c>
      <c r="B8454" t="s">
        <v>6077</v>
      </c>
      <c r="C8454" t="s">
        <v>949</v>
      </c>
      <c r="D8454" t="s">
        <v>6107</v>
      </c>
      <c r="E8454" t="s">
        <v>999</v>
      </c>
      <c r="F8454">
        <v>5.14</v>
      </c>
      <c r="H8454">
        <v>325.92</v>
      </c>
    </row>
    <row r="8455" spans="1:8" ht="15" customHeight="1" x14ac:dyDescent="0.2">
      <c r="A8455" s="420">
        <v>45900</v>
      </c>
      <c r="B8455" t="s">
        <v>6077</v>
      </c>
      <c r="C8455" t="s">
        <v>949</v>
      </c>
      <c r="D8455" t="s">
        <v>6112</v>
      </c>
      <c r="E8455" t="s">
        <v>1009</v>
      </c>
      <c r="F8455">
        <v>56.22</v>
      </c>
      <c r="H8455">
        <v>382.14</v>
      </c>
    </row>
    <row r="8456" spans="1:8" ht="15" customHeight="1" x14ac:dyDescent="0.2">
      <c r="A8456" s="420">
        <v>45900</v>
      </c>
      <c r="B8456" t="s">
        <v>6077</v>
      </c>
      <c r="C8456" t="s">
        <v>949</v>
      </c>
      <c r="D8456" t="s">
        <v>6112</v>
      </c>
      <c r="E8456" t="s">
        <v>1010</v>
      </c>
      <c r="F8456">
        <v>5.1100000000000003</v>
      </c>
      <c r="H8456">
        <v>387.25</v>
      </c>
    </row>
    <row r="8457" spans="1:8" ht="15" customHeight="1" x14ac:dyDescent="0.2">
      <c r="A8457" s="420">
        <v>45930</v>
      </c>
      <c r="B8457" t="s">
        <v>6077</v>
      </c>
      <c r="C8457" t="s">
        <v>949</v>
      </c>
      <c r="D8457" t="s">
        <v>6119</v>
      </c>
      <c r="E8457" t="s">
        <v>1018</v>
      </c>
      <c r="F8457">
        <v>55.95</v>
      </c>
      <c r="H8457">
        <v>443.2</v>
      </c>
    </row>
    <row r="8458" spans="1:8" ht="15" customHeight="1" x14ac:dyDescent="0.2">
      <c r="A8458" s="420">
        <v>45930</v>
      </c>
      <c r="B8458" t="s">
        <v>6077</v>
      </c>
      <c r="C8458" t="s">
        <v>949</v>
      </c>
      <c r="D8458" t="s">
        <v>6119</v>
      </c>
      <c r="E8458" t="s">
        <v>1019</v>
      </c>
      <c r="F8458">
        <v>5.09</v>
      </c>
      <c r="H8458">
        <v>448.29</v>
      </c>
    </row>
    <row r="8459" spans="1:8" ht="15" customHeight="1" x14ac:dyDescent="0.2">
      <c r="A8459" s="420">
        <v>45961</v>
      </c>
      <c r="B8459" t="s">
        <v>6077</v>
      </c>
      <c r="C8459" t="s">
        <v>949</v>
      </c>
      <c r="D8459" t="s">
        <v>6128</v>
      </c>
      <c r="E8459" t="s">
        <v>1027</v>
      </c>
      <c r="F8459">
        <v>55.72</v>
      </c>
      <c r="H8459">
        <v>504.01</v>
      </c>
    </row>
    <row r="8460" spans="1:8" ht="15" customHeight="1" x14ac:dyDescent="0.2">
      <c r="A8460" s="420">
        <v>45961</v>
      </c>
      <c r="B8460" t="s">
        <v>6077</v>
      </c>
      <c r="C8460" t="s">
        <v>949</v>
      </c>
      <c r="D8460" t="s">
        <v>6128</v>
      </c>
      <c r="E8460" t="s">
        <v>1028</v>
      </c>
      <c r="F8460">
        <v>5.0599999999999996</v>
      </c>
      <c r="H8460">
        <v>509.07</v>
      </c>
    </row>
    <row r="8461" spans="1:8" ht="15" customHeight="1" x14ac:dyDescent="0.2">
      <c r="A8461" s="420">
        <v>45991</v>
      </c>
      <c r="B8461" t="s">
        <v>6077</v>
      </c>
      <c r="C8461" t="s">
        <v>949</v>
      </c>
      <c r="D8461" t="s">
        <v>6137</v>
      </c>
      <c r="E8461" t="s">
        <v>1039</v>
      </c>
      <c r="F8461">
        <v>35.08</v>
      </c>
      <c r="H8461">
        <v>544.15</v>
      </c>
    </row>
    <row r="8462" spans="1:8" ht="15" customHeight="1" x14ac:dyDescent="0.2">
      <c r="A8462" s="420">
        <v>45991</v>
      </c>
      <c r="B8462" t="s">
        <v>6077</v>
      </c>
      <c r="C8462" t="s">
        <v>949</v>
      </c>
      <c r="D8462" t="s">
        <v>6137</v>
      </c>
      <c r="E8462" t="s">
        <v>1040</v>
      </c>
      <c r="F8462">
        <v>3.19</v>
      </c>
      <c r="H8462">
        <v>547.34</v>
      </c>
    </row>
    <row r="8463" spans="1:8" ht="15" customHeight="1" x14ac:dyDescent="0.2">
      <c r="A8463" s="420">
        <v>46022</v>
      </c>
      <c r="B8463" t="s">
        <v>6077</v>
      </c>
      <c r="C8463" t="s">
        <v>949</v>
      </c>
      <c r="D8463" t="s">
        <v>6144</v>
      </c>
      <c r="E8463" t="s">
        <v>1049</v>
      </c>
      <c r="F8463">
        <v>30.47</v>
      </c>
      <c r="H8463">
        <v>577.80999999999995</v>
      </c>
    </row>
    <row r="8464" spans="1:8" ht="15" customHeight="1" x14ac:dyDescent="0.2">
      <c r="A8464" s="420">
        <v>46022</v>
      </c>
      <c r="B8464" t="s">
        <v>6077</v>
      </c>
      <c r="C8464" t="s">
        <v>949</v>
      </c>
      <c r="D8464" t="s">
        <v>6144</v>
      </c>
      <c r="E8464" t="s">
        <v>1050</v>
      </c>
      <c r="F8464">
        <v>2.77</v>
      </c>
      <c r="H8464">
        <v>580.58000000000004</v>
      </c>
    </row>
    <row r="8465" spans="1:10" ht="15" customHeight="1" x14ac:dyDescent="0.2">
      <c r="A8465" t="s">
        <v>949</v>
      </c>
      <c r="E8465" t="s">
        <v>349</v>
      </c>
      <c r="F8465">
        <v>642.77</v>
      </c>
      <c r="G8465">
        <v>62.19</v>
      </c>
      <c r="H8465">
        <v>580.58000000000004</v>
      </c>
    </row>
    <row r="8467" spans="1:10" ht="15" customHeight="1" x14ac:dyDescent="0.2">
      <c r="A8467" t="s">
        <v>1157</v>
      </c>
      <c r="B8467" t="s">
        <v>1158</v>
      </c>
      <c r="F8467" t="s">
        <v>2430</v>
      </c>
      <c r="G8467" t="s">
        <v>2431</v>
      </c>
      <c r="H8467" t="s">
        <v>2432</v>
      </c>
      <c r="I8467" t="s">
        <v>2433</v>
      </c>
      <c r="J8467" t="s">
        <v>2434</v>
      </c>
    </row>
    <row r="8468" spans="1:10" ht="15" customHeight="1" x14ac:dyDescent="0.2">
      <c r="A8468" s="420">
        <v>45688</v>
      </c>
      <c r="B8468" t="s">
        <v>6077</v>
      </c>
      <c r="C8468" t="s">
        <v>1157</v>
      </c>
      <c r="E8468" t="s">
        <v>951</v>
      </c>
      <c r="F8468">
        <v>33.200000000000003</v>
      </c>
      <c r="H8468">
        <v>33.200000000000003</v>
      </c>
    </row>
    <row r="8469" spans="1:10" ht="15" customHeight="1" x14ac:dyDescent="0.2">
      <c r="A8469" s="420">
        <v>45688</v>
      </c>
      <c r="B8469" t="s">
        <v>6077</v>
      </c>
      <c r="C8469" t="s">
        <v>1157</v>
      </c>
      <c r="E8469" t="s">
        <v>951</v>
      </c>
      <c r="F8469">
        <v>5.07</v>
      </c>
      <c r="H8469">
        <v>38.270000000000003</v>
      </c>
    </row>
    <row r="8470" spans="1:10" ht="15" customHeight="1" x14ac:dyDescent="0.2">
      <c r="A8470" s="420">
        <v>45716</v>
      </c>
      <c r="B8470" t="s">
        <v>6077</v>
      </c>
      <c r="C8470" t="s">
        <v>1157</v>
      </c>
      <c r="D8470" t="s">
        <v>6082</v>
      </c>
      <c r="E8470" t="s">
        <v>960</v>
      </c>
      <c r="F8470">
        <v>25.45</v>
      </c>
      <c r="H8470">
        <v>63.72</v>
      </c>
    </row>
    <row r="8471" spans="1:10" ht="15" customHeight="1" x14ac:dyDescent="0.2">
      <c r="A8471" s="420">
        <v>45716</v>
      </c>
      <c r="B8471" t="s">
        <v>6077</v>
      </c>
      <c r="C8471" t="s">
        <v>1157</v>
      </c>
      <c r="D8471" t="s">
        <v>6082</v>
      </c>
      <c r="E8471" t="s">
        <v>960</v>
      </c>
      <c r="F8471">
        <v>3.88</v>
      </c>
      <c r="H8471">
        <v>67.599999999999994</v>
      </c>
    </row>
    <row r="8472" spans="1:10" ht="15" customHeight="1" x14ac:dyDescent="0.2">
      <c r="A8472" s="420">
        <v>45747</v>
      </c>
      <c r="B8472" t="s">
        <v>6077</v>
      </c>
      <c r="C8472" t="s">
        <v>1157</v>
      </c>
      <c r="D8472" t="s">
        <v>6087</v>
      </c>
      <c r="E8472" t="s">
        <v>964</v>
      </c>
      <c r="F8472">
        <v>54.88</v>
      </c>
      <c r="H8472">
        <v>122.48</v>
      </c>
    </row>
    <row r="8473" spans="1:10" ht="15" customHeight="1" x14ac:dyDescent="0.2">
      <c r="A8473" s="420">
        <v>45777</v>
      </c>
      <c r="B8473" t="s">
        <v>6077</v>
      </c>
      <c r="C8473" t="s">
        <v>1157</v>
      </c>
      <c r="D8473" t="s">
        <v>6092</v>
      </c>
      <c r="E8473" t="s">
        <v>1159</v>
      </c>
      <c r="F8473">
        <v>57.99</v>
      </c>
      <c r="H8473">
        <v>180.47</v>
      </c>
    </row>
    <row r="8474" spans="1:10" ht="15" customHeight="1" x14ac:dyDescent="0.2">
      <c r="A8474" s="420">
        <v>45777</v>
      </c>
      <c r="B8474" t="s">
        <v>6077</v>
      </c>
      <c r="C8474" t="s">
        <v>1157</v>
      </c>
      <c r="D8474" t="s">
        <v>6092</v>
      </c>
      <c r="E8474" t="s">
        <v>1160</v>
      </c>
      <c r="F8474">
        <v>8.85</v>
      </c>
      <c r="H8474">
        <v>189.32</v>
      </c>
    </row>
    <row r="8475" spans="1:10" ht="15" customHeight="1" x14ac:dyDescent="0.2">
      <c r="A8475" s="420">
        <v>45808</v>
      </c>
      <c r="B8475" t="s">
        <v>6077</v>
      </c>
      <c r="C8475" t="s">
        <v>1157</v>
      </c>
      <c r="D8475" t="s">
        <v>6097</v>
      </c>
      <c r="E8475" t="s">
        <v>1161</v>
      </c>
      <c r="F8475">
        <v>43.54</v>
      </c>
      <c r="H8475">
        <v>232.86</v>
      </c>
    </row>
    <row r="8476" spans="1:10" ht="15" customHeight="1" x14ac:dyDescent="0.2">
      <c r="A8476" s="420">
        <v>45808</v>
      </c>
      <c r="B8476" t="s">
        <v>6077</v>
      </c>
      <c r="C8476" t="s">
        <v>1157</v>
      </c>
      <c r="D8476" t="s">
        <v>6097</v>
      </c>
      <c r="E8476" t="s">
        <v>1162</v>
      </c>
      <c r="F8476">
        <v>6.64</v>
      </c>
      <c r="H8476">
        <v>239.5</v>
      </c>
    </row>
    <row r="8477" spans="1:10" ht="15" customHeight="1" x14ac:dyDescent="0.2">
      <c r="A8477" s="420">
        <v>45838</v>
      </c>
      <c r="B8477" t="s">
        <v>6077</v>
      </c>
      <c r="C8477" t="s">
        <v>1157</v>
      </c>
      <c r="D8477" t="s">
        <v>6102</v>
      </c>
      <c r="E8477" t="s">
        <v>1163</v>
      </c>
      <c r="F8477">
        <v>45.78</v>
      </c>
      <c r="H8477">
        <v>285.27999999999997</v>
      </c>
    </row>
    <row r="8478" spans="1:10" ht="15" customHeight="1" x14ac:dyDescent="0.2">
      <c r="A8478" s="420">
        <v>45838</v>
      </c>
      <c r="B8478" t="s">
        <v>6077</v>
      </c>
      <c r="C8478" t="s">
        <v>1157</v>
      </c>
      <c r="D8478" t="s">
        <v>6102</v>
      </c>
      <c r="E8478" t="s">
        <v>1164</v>
      </c>
      <c r="F8478">
        <v>6.98</v>
      </c>
      <c r="H8478">
        <v>292.26</v>
      </c>
    </row>
    <row r="8479" spans="1:10" ht="15" customHeight="1" x14ac:dyDescent="0.2">
      <c r="A8479" s="420">
        <v>45839</v>
      </c>
      <c r="B8479" t="s">
        <v>2517</v>
      </c>
      <c r="C8479" t="s">
        <v>1157</v>
      </c>
      <c r="D8479" t="s">
        <v>7888</v>
      </c>
      <c r="E8479" t="s">
        <v>993</v>
      </c>
      <c r="G8479">
        <v>54.88</v>
      </c>
      <c r="H8479">
        <v>237.38</v>
      </c>
    </row>
    <row r="8480" spans="1:10" ht="15" customHeight="1" x14ac:dyDescent="0.2">
      <c r="A8480" s="420">
        <v>45839</v>
      </c>
      <c r="B8480" t="s">
        <v>2517</v>
      </c>
      <c r="C8480" t="s">
        <v>1157</v>
      </c>
      <c r="D8480" t="s">
        <v>7889</v>
      </c>
      <c r="E8480" t="s">
        <v>993</v>
      </c>
      <c r="F8480">
        <v>62.19</v>
      </c>
      <c r="H8480">
        <v>299.57</v>
      </c>
    </row>
    <row r="8481" spans="1:10" ht="15" customHeight="1" x14ac:dyDescent="0.2">
      <c r="A8481" s="420">
        <v>45869</v>
      </c>
      <c r="B8481" t="s">
        <v>6077</v>
      </c>
      <c r="C8481" t="s">
        <v>1157</v>
      </c>
      <c r="D8481" t="s">
        <v>6107</v>
      </c>
      <c r="E8481" t="s">
        <v>1173</v>
      </c>
      <c r="F8481">
        <v>60.56</v>
      </c>
      <c r="H8481">
        <v>360.13</v>
      </c>
    </row>
    <row r="8482" spans="1:10" ht="15" customHeight="1" x14ac:dyDescent="0.2">
      <c r="A8482" s="420">
        <v>45869</v>
      </c>
      <c r="B8482" t="s">
        <v>6077</v>
      </c>
      <c r="C8482" t="s">
        <v>1157</v>
      </c>
      <c r="D8482" t="s">
        <v>6107</v>
      </c>
      <c r="E8482" t="s">
        <v>1174</v>
      </c>
      <c r="F8482">
        <v>9.24</v>
      </c>
      <c r="H8482">
        <v>369.37</v>
      </c>
    </row>
    <row r="8483" spans="1:10" ht="15" customHeight="1" x14ac:dyDescent="0.2">
      <c r="A8483" s="420">
        <v>45900</v>
      </c>
      <c r="B8483" t="s">
        <v>6077</v>
      </c>
      <c r="C8483" t="s">
        <v>1157</v>
      </c>
      <c r="D8483" t="s">
        <v>6112</v>
      </c>
      <c r="E8483" t="s">
        <v>1175</v>
      </c>
      <c r="F8483">
        <v>60.3</v>
      </c>
      <c r="H8483">
        <v>429.67</v>
      </c>
    </row>
    <row r="8484" spans="1:10" ht="15" customHeight="1" x14ac:dyDescent="0.2">
      <c r="A8484" s="420">
        <v>45900</v>
      </c>
      <c r="B8484" t="s">
        <v>6077</v>
      </c>
      <c r="C8484" t="s">
        <v>1157</v>
      </c>
      <c r="D8484" t="s">
        <v>6112</v>
      </c>
      <c r="E8484" t="s">
        <v>1176</v>
      </c>
      <c r="F8484">
        <v>9.19</v>
      </c>
      <c r="H8484">
        <v>438.86</v>
      </c>
    </row>
    <row r="8485" spans="1:10" ht="15" customHeight="1" x14ac:dyDescent="0.2">
      <c r="A8485" s="420">
        <v>45930</v>
      </c>
      <c r="B8485" t="s">
        <v>6077</v>
      </c>
      <c r="C8485" t="s">
        <v>1157</v>
      </c>
      <c r="D8485" t="s">
        <v>6119</v>
      </c>
      <c r="E8485" t="s">
        <v>1177</v>
      </c>
      <c r="F8485">
        <v>60.02</v>
      </c>
      <c r="H8485">
        <v>498.88</v>
      </c>
    </row>
    <row r="8486" spans="1:10" ht="15" customHeight="1" x14ac:dyDescent="0.2">
      <c r="A8486" s="420">
        <v>45930</v>
      </c>
      <c r="B8486" t="s">
        <v>6077</v>
      </c>
      <c r="C8486" t="s">
        <v>1157</v>
      </c>
      <c r="D8486" t="s">
        <v>6119</v>
      </c>
      <c r="E8486" t="s">
        <v>1178</v>
      </c>
      <c r="F8486">
        <v>9.16</v>
      </c>
      <c r="H8486">
        <v>508.04</v>
      </c>
    </row>
    <row r="8487" spans="1:10" ht="15" customHeight="1" x14ac:dyDescent="0.2">
      <c r="A8487" s="420">
        <v>45961</v>
      </c>
      <c r="B8487" t="s">
        <v>6077</v>
      </c>
      <c r="C8487" t="s">
        <v>1157</v>
      </c>
      <c r="D8487" t="s">
        <v>6128</v>
      </c>
      <c r="E8487" t="s">
        <v>1179</v>
      </c>
      <c r="F8487">
        <v>59.77</v>
      </c>
      <c r="H8487">
        <v>567.80999999999995</v>
      </c>
    </row>
    <row r="8488" spans="1:10" ht="15" customHeight="1" x14ac:dyDescent="0.2">
      <c r="A8488" s="420">
        <v>45961</v>
      </c>
      <c r="B8488" t="s">
        <v>6077</v>
      </c>
      <c r="C8488" t="s">
        <v>1157</v>
      </c>
      <c r="D8488" t="s">
        <v>6128</v>
      </c>
      <c r="E8488" t="s">
        <v>1180</v>
      </c>
      <c r="F8488">
        <v>9.11</v>
      </c>
      <c r="H8488">
        <v>576.91999999999996</v>
      </c>
    </row>
    <row r="8489" spans="1:10" ht="15" customHeight="1" x14ac:dyDescent="0.2">
      <c r="A8489" s="420">
        <v>45991</v>
      </c>
      <c r="B8489" t="s">
        <v>6077</v>
      </c>
      <c r="C8489" t="s">
        <v>1157</v>
      </c>
      <c r="D8489" t="s">
        <v>6137</v>
      </c>
      <c r="E8489" t="s">
        <v>1181</v>
      </c>
      <c r="F8489">
        <v>37.64</v>
      </c>
      <c r="H8489">
        <v>614.55999999999995</v>
      </c>
    </row>
    <row r="8490" spans="1:10" ht="15" customHeight="1" x14ac:dyDescent="0.2">
      <c r="A8490" s="420">
        <v>45991</v>
      </c>
      <c r="B8490" t="s">
        <v>6077</v>
      </c>
      <c r="C8490" t="s">
        <v>1157</v>
      </c>
      <c r="D8490" t="s">
        <v>6137</v>
      </c>
      <c r="E8490" t="s">
        <v>1182</v>
      </c>
      <c r="F8490">
        <v>5.74</v>
      </c>
      <c r="H8490">
        <v>620.29999999999995</v>
      </c>
    </row>
    <row r="8491" spans="1:10" ht="15" customHeight="1" x14ac:dyDescent="0.2">
      <c r="A8491" s="420">
        <v>46022</v>
      </c>
      <c r="B8491" t="s">
        <v>6077</v>
      </c>
      <c r="C8491" t="s">
        <v>1157</v>
      </c>
      <c r="D8491" t="s">
        <v>6144</v>
      </c>
      <c r="E8491" t="s">
        <v>1185</v>
      </c>
      <c r="F8491">
        <v>32.69</v>
      </c>
      <c r="H8491">
        <v>652.99</v>
      </c>
    </row>
    <row r="8492" spans="1:10" ht="15" customHeight="1" x14ac:dyDescent="0.2">
      <c r="A8492" s="420">
        <v>46022</v>
      </c>
      <c r="B8492" t="s">
        <v>6077</v>
      </c>
      <c r="C8492" t="s">
        <v>1157</v>
      </c>
      <c r="D8492" t="s">
        <v>6144</v>
      </c>
      <c r="E8492" t="s">
        <v>1186</v>
      </c>
      <c r="F8492">
        <v>4.9800000000000004</v>
      </c>
      <c r="H8492">
        <v>657.97</v>
      </c>
    </row>
    <row r="8493" spans="1:10" ht="15" customHeight="1" x14ac:dyDescent="0.2">
      <c r="A8493" t="s">
        <v>1157</v>
      </c>
      <c r="E8493" t="s">
        <v>349</v>
      </c>
      <c r="F8493">
        <v>712.85</v>
      </c>
      <c r="G8493">
        <v>54.88</v>
      </c>
      <c r="H8493">
        <v>657.97</v>
      </c>
    </row>
    <row r="8495" spans="1:10" ht="15" customHeight="1" x14ac:dyDescent="0.2">
      <c r="A8495" t="s">
        <v>1165</v>
      </c>
      <c r="B8495" t="s">
        <v>1166</v>
      </c>
      <c r="F8495" t="s">
        <v>2430</v>
      </c>
      <c r="G8495" t="s">
        <v>2431</v>
      </c>
      <c r="H8495" t="s">
        <v>2432</v>
      </c>
      <c r="I8495" t="s">
        <v>2433</v>
      </c>
      <c r="J8495" t="s">
        <v>2434</v>
      </c>
    </row>
    <row r="8496" spans="1:10" ht="15" customHeight="1" x14ac:dyDescent="0.2">
      <c r="A8496" s="420">
        <v>45838</v>
      </c>
      <c r="B8496" t="s">
        <v>2535</v>
      </c>
      <c r="C8496" t="s">
        <v>1165</v>
      </c>
      <c r="D8496" t="s">
        <v>7089</v>
      </c>
      <c r="E8496" t="s">
        <v>1167</v>
      </c>
      <c r="F8496">
        <v>205</v>
      </c>
      <c r="H8496">
        <v>205</v>
      </c>
      <c r="J8496" t="s">
        <v>2511</v>
      </c>
    </row>
    <row r="8497" spans="1:10" ht="15" customHeight="1" x14ac:dyDescent="0.2">
      <c r="A8497" s="420">
        <v>45839</v>
      </c>
      <c r="B8497" t="s">
        <v>2535</v>
      </c>
      <c r="C8497" t="s">
        <v>1165</v>
      </c>
      <c r="D8497" t="s">
        <v>7089</v>
      </c>
      <c r="E8497" t="s">
        <v>1171</v>
      </c>
      <c r="G8497">
        <v>205</v>
      </c>
      <c r="J8497" t="s">
        <v>2511</v>
      </c>
    </row>
    <row r="8498" spans="1:10" ht="15" customHeight="1" x14ac:dyDescent="0.2">
      <c r="A8498" s="420">
        <v>46020</v>
      </c>
      <c r="B8498" t="s">
        <v>2333</v>
      </c>
      <c r="C8498" t="s">
        <v>1165</v>
      </c>
      <c r="D8498" t="s">
        <v>7786</v>
      </c>
      <c r="E8498" t="s">
        <v>7787</v>
      </c>
      <c r="F8498">
        <v>1165</v>
      </c>
      <c r="H8498">
        <v>1165</v>
      </c>
    </row>
    <row r="8499" spans="1:10" ht="15" customHeight="1" x14ac:dyDescent="0.2">
      <c r="A8499" t="s">
        <v>1165</v>
      </c>
      <c r="E8499" t="s">
        <v>349</v>
      </c>
      <c r="F8499">
        <v>1370</v>
      </c>
      <c r="G8499">
        <v>205</v>
      </c>
      <c r="H8499">
        <v>1165</v>
      </c>
    </row>
    <row r="8501" spans="1:10" ht="15" customHeight="1" x14ac:dyDescent="0.2">
      <c r="A8501" t="s">
        <v>1187</v>
      </c>
      <c r="B8501" t="s">
        <v>1188</v>
      </c>
      <c r="F8501" t="s">
        <v>2430</v>
      </c>
      <c r="G8501" t="s">
        <v>2431</v>
      </c>
      <c r="H8501" t="s">
        <v>2432</v>
      </c>
      <c r="I8501" t="s">
        <v>2433</v>
      </c>
      <c r="J8501" t="s">
        <v>2434</v>
      </c>
    </row>
    <row r="8502" spans="1:10" ht="15" customHeight="1" x14ac:dyDescent="0.2">
      <c r="A8502" s="420">
        <v>46022</v>
      </c>
      <c r="B8502" t="s">
        <v>2507</v>
      </c>
      <c r="C8502" t="s">
        <v>1187</v>
      </c>
      <c r="D8502" t="s">
        <v>7100</v>
      </c>
      <c r="E8502" t="s">
        <v>1189</v>
      </c>
      <c r="F8502">
        <v>197</v>
      </c>
      <c r="H8502">
        <v>197</v>
      </c>
    </row>
    <row r="8503" spans="1:10" ht="15" customHeight="1" x14ac:dyDescent="0.2">
      <c r="A8503" t="s">
        <v>1187</v>
      </c>
      <c r="E8503" t="s">
        <v>349</v>
      </c>
      <c r="F8503">
        <v>197</v>
      </c>
      <c r="H8503">
        <v>197</v>
      </c>
    </row>
    <row r="8505" spans="1:10" ht="15" customHeight="1" x14ac:dyDescent="0.2">
      <c r="A8505" t="s">
        <v>1168</v>
      </c>
      <c r="B8505" t="s">
        <v>1169</v>
      </c>
      <c r="F8505" t="s">
        <v>2430</v>
      </c>
      <c r="G8505" t="s">
        <v>2431</v>
      </c>
      <c r="H8505" t="s">
        <v>2432</v>
      </c>
      <c r="I8505" t="s">
        <v>2433</v>
      </c>
      <c r="J8505" t="s">
        <v>2434</v>
      </c>
    </row>
    <row r="8506" spans="1:10" ht="15" customHeight="1" x14ac:dyDescent="0.2">
      <c r="A8506" s="420">
        <v>45838</v>
      </c>
      <c r="B8506" t="s">
        <v>2535</v>
      </c>
      <c r="C8506" t="s">
        <v>1168</v>
      </c>
      <c r="D8506" t="s">
        <v>7090</v>
      </c>
      <c r="E8506" t="s">
        <v>1170</v>
      </c>
      <c r="F8506">
        <v>783</v>
      </c>
      <c r="H8506">
        <v>783</v>
      </c>
      <c r="J8506" t="s">
        <v>2511</v>
      </c>
    </row>
    <row r="8507" spans="1:10" ht="15" customHeight="1" x14ac:dyDescent="0.2">
      <c r="A8507" s="420">
        <v>45839</v>
      </c>
      <c r="B8507" t="s">
        <v>2535</v>
      </c>
      <c r="C8507" t="s">
        <v>1168</v>
      </c>
      <c r="D8507" t="s">
        <v>7090</v>
      </c>
      <c r="E8507" t="s">
        <v>1172</v>
      </c>
      <c r="G8507">
        <v>783</v>
      </c>
      <c r="J8507" t="s">
        <v>2511</v>
      </c>
    </row>
    <row r="8508" spans="1:10" ht="15" customHeight="1" x14ac:dyDescent="0.2">
      <c r="A8508" s="420">
        <v>46022</v>
      </c>
      <c r="B8508" t="s">
        <v>2517</v>
      </c>
      <c r="C8508" t="s">
        <v>1168</v>
      </c>
      <c r="D8508" t="s">
        <v>6329</v>
      </c>
      <c r="E8508" t="s">
        <v>1190</v>
      </c>
      <c r="F8508">
        <v>1009</v>
      </c>
      <c r="H8508">
        <v>1009</v>
      </c>
    </row>
    <row r="8509" spans="1:10" ht="15" customHeight="1" x14ac:dyDescent="0.2">
      <c r="A8509" t="s">
        <v>1168</v>
      </c>
      <c r="E8509" t="s">
        <v>349</v>
      </c>
      <c r="F8509">
        <v>1792</v>
      </c>
      <c r="G8509">
        <v>783</v>
      </c>
      <c r="H8509">
        <v>1009</v>
      </c>
    </row>
    <row r="8511" spans="1:10" ht="15" customHeight="1" x14ac:dyDescent="0.2">
      <c r="A8511" t="s">
        <v>1675</v>
      </c>
      <c r="B8511" t="s">
        <v>1676</v>
      </c>
      <c r="F8511" t="s">
        <v>2430</v>
      </c>
      <c r="G8511" t="s">
        <v>2431</v>
      </c>
      <c r="H8511" t="s">
        <v>2432</v>
      </c>
      <c r="I8511" t="s">
        <v>2433</v>
      </c>
      <c r="J8511" t="s">
        <v>2434</v>
      </c>
    </row>
    <row r="8512" spans="1:10" ht="15" customHeight="1" x14ac:dyDescent="0.2">
      <c r="A8512" s="420">
        <v>45877</v>
      </c>
      <c r="B8512" t="s">
        <v>2532</v>
      </c>
      <c r="C8512" t="s">
        <v>1675</v>
      </c>
      <c r="D8512" t="s">
        <v>5164</v>
      </c>
      <c r="E8512" t="s">
        <v>860</v>
      </c>
      <c r="F8512">
        <v>5.56</v>
      </c>
      <c r="H8512">
        <v>5.56</v>
      </c>
    </row>
    <row r="8513" spans="1:10" ht="15" customHeight="1" x14ac:dyDescent="0.2">
      <c r="A8513" t="s">
        <v>1675</v>
      </c>
      <c r="E8513" t="s">
        <v>349</v>
      </c>
      <c r="F8513">
        <v>5.56</v>
      </c>
      <c r="H8513">
        <v>5.56</v>
      </c>
    </row>
    <row r="8515" spans="1:10" ht="15" customHeight="1" x14ac:dyDescent="0.2">
      <c r="A8515" t="s">
        <v>952</v>
      </c>
      <c r="B8515" t="s">
        <v>953</v>
      </c>
      <c r="F8515" t="s">
        <v>2430</v>
      </c>
      <c r="G8515" t="s">
        <v>2431</v>
      </c>
      <c r="H8515" t="s">
        <v>2432</v>
      </c>
      <c r="I8515" t="s">
        <v>2433</v>
      </c>
      <c r="J8515" t="s">
        <v>2434</v>
      </c>
    </row>
    <row r="8516" spans="1:10" ht="15" customHeight="1" x14ac:dyDescent="0.2">
      <c r="A8516" s="420">
        <v>45688</v>
      </c>
      <c r="B8516" t="s">
        <v>6077</v>
      </c>
      <c r="C8516" t="s">
        <v>952</v>
      </c>
      <c r="E8516" t="s">
        <v>951</v>
      </c>
      <c r="F8516">
        <v>5627.1</v>
      </c>
      <c r="H8516">
        <v>5627.1</v>
      </c>
    </row>
    <row r="8517" spans="1:10" ht="15" customHeight="1" x14ac:dyDescent="0.2">
      <c r="A8517" s="420">
        <v>45716</v>
      </c>
      <c r="B8517" t="s">
        <v>6077</v>
      </c>
      <c r="C8517" t="s">
        <v>952</v>
      </c>
      <c r="D8517" t="s">
        <v>6082</v>
      </c>
      <c r="E8517" t="s">
        <v>960</v>
      </c>
      <c r="F8517">
        <v>4313.3500000000004</v>
      </c>
      <c r="H8517">
        <v>9940.4500000000007</v>
      </c>
    </row>
    <row r="8518" spans="1:10" ht="15" customHeight="1" x14ac:dyDescent="0.2">
      <c r="A8518" s="420">
        <v>45747</v>
      </c>
      <c r="B8518" t="s">
        <v>6077</v>
      </c>
      <c r="C8518" t="s">
        <v>952</v>
      </c>
      <c r="D8518" t="s">
        <v>6087</v>
      </c>
      <c r="E8518" t="s">
        <v>964</v>
      </c>
      <c r="F8518">
        <v>9146.49</v>
      </c>
      <c r="H8518">
        <v>19086.939999999999</v>
      </c>
    </row>
    <row r="8519" spans="1:10" ht="15" customHeight="1" x14ac:dyDescent="0.2">
      <c r="A8519" s="420">
        <v>45777</v>
      </c>
      <c r="B8519" t="s">
        <v>6077</v>
      </c>
      <c r="C8519" t="s">
        <v>952</v>
      </c>
      <c r="D8519" t="s">
        <v>6092</v>
      </c>
      <c r="E8519" t="s">
        <v>968</v>
      </c>
      <c r="F8519">
        <v>9829.7900000000009</v>
      </c>
      <c r="H8519">
        <v>28916.73</v>
      </c>
    </row>
    <row r="8520" spans="1:10" ht="15" customHeight="1" x14ac:dyDescent="0.2">
      <c r="A8520" s="420">
        <v>45808</v>
      </c>
      <c r="B8520" t="s">
        <v>6077</v>
      </c>
      <c r="C8520" t="s">
        <v>952</v>
      </c>
      <c r="D8520" t="s">
        <v>6097</v>
      </c>
      <c r="E8520" t="s">
        <v>976</v>
      </c>
      <c r="F8520">
        <v>7378.85</v>
      </c>
      <c r="H8520">
        <v>36295.58</v>
      </c>
    </row>
    <row r="8521" spans="1:10" ht="15" customHeight="1" x14ac:dyDescent="0.2">
      <c r="A8521" s="420">
        <v>45838</v>
      </c>
      <c r="B8521" t="s">
        <v>6077</v>
      </c>
      <c r="C8521" t="s">
        <v>952</v>
      </c>
      <c r="D8521" t="s">
        <v>6102</v>
      </c>
      <c r="E8521" t="s">
        <v>985</v>
      </c>
      <c r="F8521">
        <v>7759.29</v>
      </c>
      <c r="H8521">
        <v>44054.87</v>
      </c>
    </row>
    <row r="8522" spans="1:10" ht="15" customHeight="1" x14ac:dyDescent="0.2">
      <c r="A8522" s="420">
        <v>45869</v>
      </c>
      <c r="B8522" t="s">
        <v>6077</v>
      </c>
      <c r="C8522" t="s">
        <v>952</v>
      </c>
      <c r="D8522" t="s">
        <v>6107</v>
      </c>
      <c r="E8522" t="s">
        <v>1000</v>
      </c>
      <c r="F8522">
        <v>10264.959999999999</v>
      </c>
      <c r="H8522">
        <v>54319.83</v>
      </c>
    </row>
    <row r="8523" spans="1:10" ht="15" customHeight="1" x14ac:dyDescent="0.2">
      <c r="A8523" s="420">
        <v>45900</v>
      </c>
      <c r="B8523" t="s">
        <v>6077</v>
      </c>
      <c r="C8523" t="s">
        <v>952</v>
      </c>
      <c r="D8523" t="s">
        <v>6112</v>
      </c>
      <c r="E8523" t="s">
        <v>1011</v>
      </c>
      <c r="F8523">
        <v>10220.870000000001</v>
      </c>
      <c r="H8523">
        <v>64540.7</v>
      </c>
    </row>
    <row r="8524" spans="1:10" ht="15" customHeight="1" x14ac:dyDescent="0.2">
      <c r="A8524" s="420">
        <v>45930</v>
      </c>
      <c r="B8524" t="s">
        <v>6077</v>
      </c>
      <c r="C8524" t="s">
        <v>952</v>
      </c>
      <c r="D8524" t="s">
        <v>6119</v>
      </c>
      <c r="E8524" t="s">
        <v>1020</v>
      </c>
      <c r="F8524">
        <v>11695.81</v>
      </c>
      <c r="H8524">
        <v>76236.509999999995</v>
      </c>
    </row>
    <row r="8525" spans="1:10" ht="15" customHeight="1" x14ac:dyDescent="0.2">
      <c r="A8525" s="420">
        <v>45961</v>
      </c>
      <c r="B8525" t="s">
        <v>6077</v>
      </c>
      <c r="C8525" t="s">
        <v>952</v>
      </c>
      <c r="D8525" t="s">
        <v>6128</v>
      </c>
      <c r="E8525" t="s">
        <v>1029</v>
      </c>
      <c r="F8525">
        <v>11654.28</v>
      </c>
      <c r="H8525">
        <v>87890.79</v>
      </c>
    </row>
    <row r="8526" spans="1:10" ht="15" customHeight="1" x14ac:dyDescent="0.2">
      <c r="A8526" s="420">
        <v>45991</v>
      </c>
      <c r="B8526" t="s">
        <v>6077</v>
      </c>
      <c r="C8526" t="s">
        <v>952</v>
      </c>
      <c r="D8526" t="s">
        <v>6137</v>
      </c>
      <c r="E8526" t="s">
        <v>1041</v>
      </c>
      <c r="F8526">
        <v>7903.1</v>
      </c>
      <c r="H8526">
        <v>95793.89</v>
      </c>
    </row>
    <row r="8527" spans="1:10" ht="15" customHeight="1" x14ac:dyDescent="0.2">
      <c r="A8527" s="420">
        <v>46022</v>
      </c>
      <c r="B8527" t="s">
        <v>6077</v>
      </c>
      <c r="C8527" t="s">
        <v>952</v>
      </c>
      <c r="D8527" t="s">
        <v>6144</v>
      </c>
      <c r="E8527" t="s">
        <v>1051</v>
      </c>
      <c r="F8527">
        <v>7064.12</v>
      </c>
      <c r="H8527">
        <v>102858.01</v>
      </c>
    </row>
    <row r="8528" spans="1:10" ht="15" customHeight="1" x14ac:dyDescent="0.2">
      <c r="A8528" t="s">
        <v>952</v>
      </c>
      <c r="E8528" t="s">
        <v>349</v>
      </c>
      <c r="F8528">
        <v>102858.01</v>
      </c>
      <c r="H8528">
        <v>102858.01</v>
      </c>
    </row>
    <row r="8530" spans="1:10" ht="15" customHeight="1" x14ac:dyDescent="0.2">
      <c r="A8530" t="s">
        <v>936</v>
      </c>
      <c r="B8530" t="s">
        <v>937</v>
      </c>
      <c r="F8530" t="s">
        <v>2430</v>
      </c>
      <c r="G8530" t="s">
        <v>2431</v>
      </c>
      <c r="H8530" t="s">
        <v>2432</v>
      </c>
      <c r="I8530" t="s">
        <v>2433</v>
      </c>
      <c r="J8530" t="s">
        <v>2434</v>
      </c>
    </row>
    <row r="8531" spans="1:10" ht="15" customHeight="1" x14ac:dyDescent="0.2">
      <c r="A8531" s="420">
        <v>45658</v>
      </c>
      <c r="B8531" t="s">
        <v>2517</v>
      </c>
      <c r="C8531" t="s">
        <v>936</v>
      </c>
      <c r="D8531" t="s">
        <v>6158</v>
      </c>
      <c r="E8531" t="s">
        <v>938</v>
      </c>
      <c r="G8531">
        <v>3360.07</v>
      </c>
      <c r="I8531">
        <v>3360.07</v>
      </c>
    </row>
    <row r="8532" spans="1:10" ht="15" customHeight="1" x14ac:dyDescent="0.2">
      <c r="A8532" s="420">
        <v>45838</v>
      </c>
      <c r="B8532" t="s">
        <v>2507</v>
      </c>
      <c r="C8532" t="s">
        <v>936</v>
      </c>
      <c r="D8532" t="s">
        <v>6159</v>
      </c>
      <c r="E8532" t="s">
        <v>986</v>
      </c>
      <c r="F8532">
        <v>4691.1099999999997</v>
      </c>
      <c r="H8532">
        <v>1331.04</v>
      </c>
      <c r="J8532" t="s">
        <v>2511</v>
      </c>
    </row>
    <row r="8533" spans="1:10" ht="15" customHeight="1" x14ac:dyDescent="0.2">
      <c r="A8533" s="420">
        <v>45839</v>
      </c>
      <c r="B8533" t="s">
        <v>2507</v>
      </c>
      <c r="C8533" t="s">
        <v>936</v>
      </c>
      <c r="D8533" t="s">
        <v>6159</v>
      </c>
      <c r="E8533" t="s">
        <v>994</v>
      </c>
      <c r="G8533">
        <v>4691.1099999999997</v>
      </c>
      <c r="I8533">
        <v>3360.07</v>
      </c>
      <c r="J8533" t="s">
        <v>2511</v>
      </c>
    </row>
    <row r="8534" spans="1:10" ht="15" customHeight="1" x14ac:dyDescent="0.2">
      <c r="A8534" s="420">
        <v>46022</v>
      </c>
      <c r="B8534" t="s">
        <v>2507</v>
      </c>
      <c r="C8534" t="s">
        <v>936</v>
      </c>
      <c r="D8534" t="s">
        <v>6160</v>
      </c>
      <c r="E8534" t="s">
        <v>1052</v>
      </c>
      <c r="F8534">
        <v>3075.16</v>
      </c>
      <c r="I8534">
        <v>284.91000000000003</v>
      </c>
    </row>
    <row r="8535" spans="1:10" ht="15" customHeight="1" x14ac:dyDescent="0.2">
      <c r="A8535" t="s">
        <v>936</v>
      </c>
      <c r="E8535" t="s">
        <v>349</v>
      </c>
      <c r="F8535">
        <v>7766.27</v>
      </c>
      <c r="G8535">
        <v>8051.18</v>
      </c>
      <c r="I8535">
        <v>284.91000000000003</v>
      </c>
    </row>
    <row r="8537" spans="1:10" ht="15" customHeight="1" x14ac:dyDescent="0.2">
      <c r="A8537" t="s">
        <v>961</v>
      </c>
      <c r="B8537" t="s">
        <v>962</v>
      </c>
      <c r="F8537" t="s">
        <v>2430</v>
      </c>
      <c r="G8537" t="s">
        <v>2431</v>
      </c>
      <c r="H8537" t="s">
        <v>2432</v>
      </c>
      <c r="I8537" t="s">
        <v>2433</v>
      </c>
      <c r="J8537" t="s">
        <v>2434</v>
      </c>
    </row>
    <row r="8538" spans="1:10" ht="15" customHeight="1" x14ac:dyDescent="0.2">
      <c r="A8538" s="420">
        <v>45716</v>
      </c>
      <c r="B8538" t="s">
        <v>6077</v>
      </c>
      <c r="C8538" t="s">
        <v>961</v>
      </c>
      <c r="D8538" t="s">
        <v>6082</v>
      </c>
      <c r="E8538" t="s">
        <v>960</v>
      </c>
      <c r="F8538">
        <v>5000</v>
      </c>
      <c r="H8538">
        <v>5000</v>
      </c>
    </row>
    <row r="8539" spans="1:10" ht="15" customHeight="1" x14ac:dyDescent="0.2">
      <c r="A8539" t="s">
        <v>961</v>
      </c>
      <c r="E8539" t="s">
        <v>349</v>
      </c>
      <c r="F8539">
        <v>5000</v>
      </c>
      <c r="H8539">
        <v>5000</v>
      </c>
    </row>
    <row r="8541" spans="1:10" ht="15" customHeight="1" x14ac:dyDescent="0.2">
      <c r="A8541" t="s">
        <v>1030</v>
      </c>
      <c r="B8541" t="s">
        <v>1031</v>
      </c>
      <c r="F8541" t="s">
        <v>2430</v>
      </c>
      <c r="G8541" t="s">
        <v>2431</v>
      </c>
      <c r="H8541" t="s">
        <v>2432</v>
      </c>
      <c r="I8541" t="s">
        <v>2433</v>
      </c>
      <c r="J8541" t="s">
        <v>2434</v>
      </c>
    </row>
    <row r="8542" spans="1:10" ht="15" customHeight="1" x14ac:dyDescent="0.2">
      <c r="A8542" s="420">
        <v>45961</v>
      </c>
      <c r="B8542" t="s">
        <v>6077</v>
      </c>
      <c r="C8542" t="s">
        <v>1030</v>
      </c>
      <c r="D8542" t="s">
        <v>6128</v>
      </c>
      <c r="E8542" t="s">
        <v>1032</v>
      </c>
      <c r="F8542">
        <v>2524</v>
      </c>
      <c r="H8542">
        <v>2524</v>
      </c>
    </row>
    <row r="8543" spans="1:10" ht="15" customHeight="1" x14ac:dyDescent="0.2">
      <c r="A8543" t="s">
        <v>1030</v>
      </c>
      <c r="E8543" t="s">
        <v>349</v>
      </c>
      <c r="F8543">
        <v>2524</v>
      </c>
      <c r="H8543">
        <v>2524</v>
      </c>
    </row>
    <row r="8545" spans="1:10" ht="15" customHeight="1" x14ac:dyDescent="0.2">
      <c r="A8545" t="s">
        <v>954</v>
      </c>
      <c r="B8545" t="s">
        <v>955</v>
      </c>
      <c r="F8545" t="s">
        <v>2430</v>
      </c>
      <c r="G8545" t="s">
        <v>2431</v>
      </c>
      <c r="H8545" t="s">
        <v>2432</v>
      </c>
      <c r="I8545" t="s">
        <v>2433</v>
      </c>
      <c r="J8545" t="s">
        <v>2434</v>
      </c>
    </row>
    <row r="8546" spans="1:10" ht="15" customHeight="1" x14ac:dyDescent="0.2">
      <c r="A8546" s="420">
        <v>45688</v>
      </c>
      <c r="B8546" t="s">
        <v>6077</v>
      </c>
      <c r="C8546" t="s">
        <v>954</v>
      </c>
      <c r="E8546" t="s">
        <v>951</v>
      </c>
      <c r="F8546">
        <v>1637.69</v>
      </c>
      <c r="H8546">
        <v>1637.69</v>
      </c>
    </row>
    <row r="8547" spans="1:10" ht="15" customHeight="1" x14ac:dyDescent="0.2">
      <c r="A8547" s="420">
        <v>45716</v>
      </c>
      <c r="B8547" t="s">
        <v>6077</v>
      </c>
      <c r="C8547" t="s">
        <v>954</v>
      </c>
      <c r="D8547" t="s">
        <v>6082</v>
      </c>
      <c r="E8547" t="s">
        <v>960</v>
      </c>
      <c r="F8547">
        <v>845.73</v>
      </c>
      <c r="H8547">
        <v>2483.42</v>
      </c>
    </row>
    <row r="8548" spans="1:10" ht="15" customHeight="1" x14ac:dyDescent="0.2">
      <c r="A8548" s="420">
        <v>45747</v>
      </c>
      <c r="B8548" t="s">
        <v>6077</v>
      </c>
      <c r="C8548" t="s">
        <v>954</v>
      </c>
      <c r="D8548" t="s">
        <v>6087</v>
      </c>
      <c r="E8548" t="s">
        <v>964</v>
      </c>
      <c r="F8548">
        <v>2825.29</v>
      </c>
      <c r="H8548">
        <v>5308.71</v>
      </c>
    </row>
    <row r="8549" spans="1:10" ht="15" customHeight="1" x14ac:dyDescent="0.2">
      <c r="A8549" s="420">
        <v>45747</v>
      </c>
      <c r="B8549" t="s">
        <v>6077</v>
      </c>
      <c r="C8549" t="s">
        <v>954</v>
      </c>
      <c r="D8549" t="s">
        <v>6087</v>
      </c>
      <c r="E8549" t="s">
        <v>964</v>
      </c>
      <c r="F8549">
        <v>641.79</v>
      </c>
      <c r="H8549">
        <v>5950.5</v>
      </c>
    </row>
    <row r="8550" spans="1:10" ht="15" customHeight="1" x14ac:dyDescent="0.2">
      <c r="A8550" s="420">
        <v>45747</v>
      </c>
      <c r="B8550" t="s">
        <v>6077</v>
      </c>
      <c r="C8550" t="s">
        <v>954</v>
      </c>
      <c r="D8550" t="s">
        <v>6087</v>
      </c>
      <c r="E8550" t="s">
        <v>964</v>
      </c>
      <c r="F8550">
        <v>33.85</v>
      </c>
      <c r="H8550">
        <v>5984.35</v>
      </c>
    </row>
    <row r="8551" spans="1:10" ht="15" customHeight="1" x14ac:dyDescent="0.2">
      <c r="A8551" s="420">
        <v>45747</v>
      </c>
      <c r="B8551" t="s">
        <v>6077</v>
      </c>
      <c r="C8551" t="s">
        <v>954</v>
      </c>
      <c r="D8551" t="s">
        <v>6087</v>
      </c>
      <c r="E8551" t="s">
        <v>964</v>
      </c>
      <c r="F8551">
        <v>1.83</v>
      </c>
      <c r="H8551">
        <v>5986.18</v>
      </c>
    </row>
    <row r="8552" spans="1:10" ht="15" customHeight="1" x14ac:dyDescent="0.2">
      <c r="A8552" s="420">
        <v>45777</v>
      </c>
      <c r="B8552" t="s">
        <v>6077</v>
      </c>
      <c r="C8552" t="s">
        <v>954</v>
      </c>
      <c r="D8552" t="s">
        <v>6092</v>
      </c>
      <c r="E8552" t="s">
        <v>969</v>
      </c>
      <c r="F8552">
        <v>3747.47</v>
      </c>
      <c r="H8552">
        <v>9733.65</v>
      </c>
    </row>
    <row r="8553" spans="1:10" ht="15" customHeight="1" x14ac:dyDescent="0.2">
      <c r="A8553" s="420">
        <v>45777</v>
      </c>
      <c r="B8553" t="s">
        <v>6077</v>
      </c>
      <c r="C8553" t="s">
        <v>954</v>
      </c>
      <c r="D8553" t="s">
        <v>6092</v>
      </c>
      <c r="E8553" t="s">
        <v>970</v>
      </c>
      <c r="F8553">
        <v>843.68</v>
      </c>
      <c r="H8553">
        <v>10577.33</v>
      </c>
    </row>
    <row r="8554" spans="1:10" ht="15" customHeight="1" x14ac:dyDescent="0.2">
      <c r="A8554" s="420">
        <v>45777</v>
      </c>
      <c r="B8554" t="s">
        <v>6077</v>
      </c>
      <c r="C8554" t="s">
        <v>954</v>
      </c>
      <c r="D8554" t="s">
        <v>6092</v>
      </c>
      <c r="E8554" t="s">
        <v>971</v>
      </c>
      <c r="F8554">
        <v>40</v>
      </c>
      <c r="H8554">
        <v>10617.33</v>
      </c>
    </row>
    <row r="8555" spans="1:10" ht="15" customHeight="1" x14ac:dyDescent="0.2">
      <c r="A8555" s="420">
        <v>45777</v>
      </c>
      <c r="B8555" t="s">
        <v>6077</v>
      </c>
      <c r="C8555" t="s">
        <v>954</v>
      </c>
      <c r="D8555" t="s">
        <v>6092</v>
      </c>
      <c r="E8555" t="s">
        <v>972</v>
      </c>
      <c r="F8555">
        <v>1.97</v>
      </c>
      <c r="H8555">
        <v>10619.3</v>
      </c>
    </row>
    <row r="8556" spans="1:10" ht="15" customHeight="1" x14ac:dyDescent="0.2">
      <c r="A8556" s="420">
        <v>45808</v>
      </c>
      <c r="B8556" t="s">
        <v>6077</v>
      </c>
      <c r="C8556" t="s">
        <v>954</v>
      </c>
      <c r="D8556" t="s">
        <v>6097</v>
      </c>
      <c r="E8556" t="s">
        <v>977</v>
      </c>
      <c r="F8556">
        <v>2219.08</v>
      </c>
      <c r="H8556">
        <v>12838.38</v>
      </c>
    </row>
    <row r="8557" spans="1:10" ht="15" customHeight="1" x14ac:dyDescent="0.2">
      <c r="A8557" s="420">
        <v>45808</v>
      </c>
      <c r="B8557" t="s">
        <v>6077</v>
      </c>
      <c r="C8557" t="s">
        <v>954</v>
      </c>
      <c r="D8557" t="s">
        <v>6097</v>
      </c>
      <c r="E8557" t="s">
        <v>978</v>
      </c>
      <c r="F8557">
        <v>372.2</v>
      </c>
      <c r="H8557">
        <v>13210.58</v>
      </c>
    </row>
    <row r="8558" spans="1:10" ht="15" customHeight="1" x14ac:dyDescent="0.2">
      <c r="A8558" s="420">
        <v>45808</v>
      </c>
      <c r="B8558" t="s">
        <v>6077</v>
      </c>
      <c r="C8558" t="s">
        <v>954</v>
      </c>
      <c r="D8558" t="s">
        <v>6097</v>
      </c>
      <c r="E8558" t="s">
        <v>979</v>
      </c>
      <c r="F8558">
        <v>25.53</v>
      </c>
      <c r="H8558">
        <v>13236.11</v>
      </c>
    </row>
    <row r="8559" spans="1:10" ht="15" customHeight="1" x14ac:dyDescent="0.2">
      <c r="A8559" s="420">
        <v>45808</v>
      </c>
      <c r="B8559" t="s">
        <v>6077</v>
      </c>
      <c r="C8559" t="s">
        <v>954</v>
      </c>
      <c r="D8559" t="s">
        <v>6097</v>
      </c>
      <c r="E8559" t="s">
        <v>980</v>
      </c>
      <c r="F8559">
        <v>1.47</v>
      </c>
      <c r="H8559">
        <v>13237.58</v>
      </c>
    </row>
    <row r="8560" spans="1:10" ht="15" customHeight="1" x14ac:dyDescent="0.2">
      <c r="A8560" s="420">
        <v>45808</v>
      </c>
      <c r="B8560" t="s">
        <v>6077</v>
      </c>
      <c r="C8560" t="s">
        <v>954</v>
      </c>
      <c r="D8560" t="s">
        <v>6097</v>
      </c>
      <c r="E8560" t="s">
        <v>981</v>
      </c>
      <c r="F8560">
        <v>29.5</v>
      </c>
      <c r="H8560">
        <v>13267.08</v>
      </c>
    </row>
    <row r="8561" spans="1:8" ht="15" customHeight="1" x14ac:dyDescent="0.2">
      <c r="A8561" s="420">
        <v>45838</v>
      </c>
      <c r="B8561" t="s">
        <v>6077</v>
      </c>
      <c r="C8561" t="s">
        <v>954</v>
      </c>
      <c r="D8561" t="s">
        <v>6102</v>
      </c>
      <c r="E8561" t="s">
        <v>987</v>
      </c>
      <c r="F8561">
        <v>2280.42</v>
      </c>
      <c r="H8561">
        <v>15547.5</v>
      </c>
    </row>
    <row r="8562" spans="1:8" ht="15" customHeight="1" x14ac:dyDescent="0.2">
      <c r="A8562" s="420">
        <v>45838</v>
      </c>
      <c r="B8562" t="s">
        <v>6077</v>
      </c>
      <c r="C8562" t="s">
        <v>954</v>
      </c>
      <c r="D8562" t="s">
        <v>6102</v>
      </c>
      <c r="E8562" t="s">
        <v>988</v>
      </c>
      <c r="F8562">
        <v>526.30999999999995</v>
      </c>
      <c r="H8562">
        <v>16073.81</v>
      </c>
    </row>
    <row r="8563" spans="1:8" ht="15" customHeight="1" x14ac:dyDescent="0.2">
      <c r="A8563" s="420">
        <v>45838</v>
      </c>
      <c r="B8563" t="s">
        <v>6077</v>
      </c>
      <c r="C8563" t="s">
        <v>954</v>
      </c>
      <c r="D8563" t="s">
        <v>6102</v>
      </c>
      <c r="E8563" t="s">
        <v>989</v>
      </c>
      <c r="F8563">
        <v>29.85</v>
      </c>
      <c r="H8563">
        <v>16103.66</v>
      </c>
    </row>
    <row r="8564" spans="1:8" ht="15" customHeight="1" x14ac:dyDescent="0.2">
      <c r="A8564" s="420">
        <v>45838</v>
      </c>
      <c r="B8564" t="s">
        <v>6077</v>
      </c>
      <c r="C8564" t="s">
        <v>954</v>
      </c>
      <c r="D8564" t="s">
        <v>6102</v>
      </c>
      <c r="E8564" t="s">
        <v>990</v>
      </c>
      <c r="F8564">
        <v>1.55</v>
      </c>
      <c r="H8564">
        <v>16105.21</v>
      </c>
    </row>
    <row r="8565" spans="1:8" ht="15" customHeight="1" x14ac:dyDescent="0.2">
      <c r="A8565" s="420">
        <v>45838</v>
      </c>
      <c r="B8565" t="s">
        <v>6077</v>
      </c>
      <c r="C8565" t="s">
        <v>954</v>
      </c>
      <c r="D8565" t="s">
        <v>6102</v>
      </c>
      <c r="E8565" t="s">
        <v>991</v>
      </c>
      <c r="F8565">
        <v>29.5</v>
      </c>
      <c r="H8565">
        <v>16134.71</v>
      </c>
    </row>
    <row r="8566" spans="1:8" ht="15" customHeight="1" x14ac:dyDescent="0.2">
      <c r="A8566" s="420">
        <v>45839</v>
      </c>
      <c r="B8566" t="s">
        <v>2517</v>
      </c>
      <c r="C8566" t="s">
        <v>954</v>
      </c>
      <c r="D8566" t="s">
        <v>6231</v>
      </c>
      <c r="E8566" t="s">
        <v>995</v>
      </c>
      <c r="G8566">
        <v>8.81</v>
      </c>
      <c r="H8566">
        <v>16125.9</v>
      </c>
    </row>
    <row r="8567" spans="1:8" ht="15" customHeight="1" x14ac:dyDescent="0.2">
      <c r="A8567" s="420">
        <v>45869</v>
      </c>
      <c r="B8567" t="s">
        <v>6077</v>
      </c>
      <c r="C8567" t="s">
        <v>954</v>
      </c>
      <c r="D8567" t="s">
        <v>6107</v>
      </c>
      <c r="E8567" t="s">
        <v>1001</v>
      </c>
      <c r="F8567">
        <v>2882.84</v>
      </c>
      <c r="H8567">
        <v>19008.740000000002</v>
      </c>
    </row>
    <row r="8568" spans="1:8" ht="15" customHeight="1" x14ac:dyDescent="0.2">
      <c r="A8568" s="420">
        <v>45869</v>
      </c>
      <c r="B8568" t="s">
        <v>6077</v>
      </c>
      <c r="C8568" t="s">
        <v>954</v>
      </c>
      <c r="D8568" t="s">
        <v>6107</v>
      </c>
      <c r="E8568" t="s">
        <v>1002</v>
      </c>
      <c r="F8568">
        <v>885.33</v>
      </c>
      <c r="H8568">
        <v>19894.07</v>
      </c>
    </row>
    <row r="8569" spans="1:8" ht="15" customHeight="1" x14ac:dyDescent="0.2">
      <c r="A8569" s="420">
        <v>45869</v>
      </c>
      <c r="B8569" t="s">
        <v>6077</v>
      </c>
      <c r="C8569" t="s">
        <v>954</v>
      </c>
      <c r="D8569" t="s">
        <v>6107</v>
      </c>
      <c r="E8569" t="s">
        <v>1003</v>
      </c>
      <c r="F8569">
        <v>43.76</v>
      </c>
      <c r="H8569">
        <v>19937.830000000002</v>
      </c>
    </row>
    <row r="8570" spans="1:8" ht="15" customHeight="1" x14ac:dyDescent="0.2">
      <c r="A8570" s="420">
        <v>45869</v>
      </c>
      <c r="B8570" t="s">
        <v>6077</v>
      </c>
      <c r="C8570" t="s">
        <v>954</v>
      </c>
      <c r="D8570" t="s">
        <v>6107</v>
      </c>
      <c r="E8570" t="s">
        <v>990</v>
      </c>
      <c r="F8570">
        <v>2.0499999999999998</v>
      </c>
      <c r="H8570">
        <v>19939.88</v>
      </c>
    </row>
    <row r="8571" spans="1:8" ht="15" customHeight="1" x14ac:dyDescent="0.2">
      <c r="A8571" s="420">
        <v>45869</v>
      </c>
      <c r="B8571" t="s">
        <v>6077</v>
      </c>
      <c r="C8571" t="s">
        <v>954</v>
      </c>
      <c r="D8571" t="s">
        <v>6107</v>
      </c>
      <c r="E8571" t="s">
        <v>990</v>
      </c>
      <c r="G8571">
        <v>2.0499999999999998</v>
      </c>
      <c r="H8571">
        <v>19937.830000000002</v>
      </c>
    </row>
    <row r="8572" spans="1:8" ht="15" customHeight="1" x14ac:dyDescent="0.2">
      <c r="A8572" s="420">
        <v>45869</v>
      </c>
      <c r="B8572" t="s">
        <v>6077</v>
      </c>
      <c r="C8572" t="s">
        <v>954</v>
      </c>
      <c r="D8572" t="s">
        <v>6107</v>
      </c>
      <c r="E8572" t="s">
        <v>991</v>
      </c>
      <c r="F8572">
        <v>29.5</v>
      </c>
      <c r="H8572">
        <v>19967.330000000002</v>
      </c>
    </row>
    <row r="8573" spans="1:8" ht="15" customHeight="1" x14ac:dyDescent="0.2">
      <c r="A8573" s="420">
        <v>45900</v>
      </c>
      <c r="B8573" t="s">
        <v>6077</v>
      </c>
      <c r="C8573" t="s">
        <v>954</v>
      </c>
      <c r="D8573" t="s">
        <v>6112</v>
      </c>
      <c r="E8573" t="s">
        <v>1012</v>
      </c>
      <c r="F8573">
        <v>2510.08</v>
      </c>
      <c r="H8573">
        <v>22477.41</v>
      </c>
    </row>
    <row r="8574" spans="1:8" ht="15" customHeight="1" x14ac:dyDescent="0.2">
      <c r="A8574" s="420">
        <v>45900</v>
      </c>
      <c r="B8574" t="s">
        <v>6077</v>
      </c>
      <c r="C8574" t="s">
        <v>954</v>
      </c>
      <c r="D8574" t="s">
        <v>6112</v>
      </c>
      <c r="E8574" t="s">
        <v>1013</v>
      </c>
      <c r="F8574">
        <v>423.65</v>
      </c>
      <c r="H8574">
        <v>22901.06</v>
      </c>
    </row>
    <row r="8575" spans="1:8" ht="15" customHeight="1" x14ac:dyDescent="0.2">
      <c r="A8575" s="420">
        <v>45900</v>
      </c>
      <c r="B8575" t="s">
        <v>6077</v>
      </c>
      <c r="C8575" t="s">
        <v>954</v>
      </c>
      <c r="D8575" t="s">
        <v>6112</v>
      </c>
      <c r="E8575" t="s">
        <v>1014</v>
      </c>
      <c r="F8575">
        <v>35.81</v>
      </c>
      <c r="H8575">
        <v>22936.87</v>
      </c>
    </row>
    <row r="8576" spans="1:8" ht="15" customHeight="1" x14ac:dyDescent="0.2">
      <c r="A8576" s="420">
        <v>45900</v>
      </c>
      <c r="B8576" t="s">
        <v>6077</v>
      </c>
      <c r="C8576" t="s">
        <v>954</v>
      </c>
      <c r="D8576" t="s">
        <v>6112</v>
      </c>
      <c r="E8576" t="s">
        <v>1015</v>
      </c>
      <c r="F8576">
        <v>2.0499999999999998</v>
      </c>
      <c r="H8576">
        <v>22938.92</v>
      </c>
    </row>
    <row r="8577" spans="1:8" ht="15" customHeight="1" x14ac:dyDescent="0.2">
      <c r="A8577" s="420">
        <v>45900</v>
      </c>
      <c r="B8577" t="s">
        <v>6077</v>
      </c>
      <c r="C8577" t="s">
        <v>954</v>
      </c>
      <c r="D8577" t="s">
        <v>6112</v>
      </c>
      <c r="E8577" t="s">
        <v>1015</v>
      </c>
      <c r="G8577">
        <v>2.0499999999999998</v>
      </c>
      <c r="H8577">
        <v>22936.87</v>
      </c>
    </row>
    <row r="8578" spans="1:8" ht="15" customHeight="1" x14ac:dyDescent="0.2">
      <c r="A8578" s="420">
        <v>45900</v>
      </c>
      <c r="B8578" t="s">
        <v>6077</v>
      </c>
      <c r="C8578" t="s">
        <v>954</v>
      </c>
      <c r="D8578" t="s">
        <v>6112</v>
      </c>
      <c r="E8578" t="s">
        <v>1016</v>
      </c>
      <c r="F8578">
        <v>59</v>
      </c>
      <c r="H8578">
        <v>22995.87</v>
      </c>
    </row>
    <row r="8579" spans="1:8" ht="15" customHeight="1" x14ac:dyDescent="0.2">
      <c r="A8579" s="420">
        <v>45930</v>
      </c>
      <c r="B8579" t="s">
        <v>6077</v>
      </c>
      <c r="C8579" t="s">
        <v>954</v>
      </c>
      <c r="D8579" t="s">
        <v>6119</v>
      </c>
      <c r="E8579" t="s">
        <v>1021</v>
      </c>
      <c r="F8579">
        <v>2490.19</v>
      </c>
      <c r="H8579">
        <v>25486.06</v>
      </c>
    </row>
    <row r="8580" spans="1:8" ht="15" customHeight="1" x14ac:dyDescent="0.2">
      <c r="A8580" s="420">
        <v>45930</v>
      </c>
      <c r="B8580" t="s">
        <v>6077</v>
      </c>
      <c r="C8580" t="s">
        <v>954</v>
      </c>
      <c r="D8580" t="s">
        <v>6119</v>
      </c>
      <c r="E8580" t="s">
        <v>1022</v>
      </c>
      <c r="F8580">
        <v>475.6</v>
      </c>
      <c r="H8580">
        <v>25961.66</v>
      </c>
    </row>
    <row r="8581" spans="1:8" ht="15" customHeight="1" x14ac:dyDescent="0.2">
      <c r="A8581" s="420">
        <v>45930</v>
      </c>
      <c r="B8581" t="s">
        <v>6077</v>
      </c>
      <c r="C8581" t="s">
        <v>954</v>
      </c>
      <c r="D8581" t="s">
        <v>6119</v>
      </c>
      <c r="E8581" t="s">
        <v>1023</v>
      </c>
      <c r="F8581">
        <v>42.48</v>
      </c>
      <c r="H8581">
        <v>26004.14</v>
      </c>
    </row>
    <row r="8582" spans="1:8" ht="15" customHeight="1" x14ac:dyDescent="0.2">
      <c r="A8582" s="420">
        <v>45930</v>
      </c>
      <c r="B8582" t="s">
        <v>6077</v>
      </c>
      <c r="C8582" t="s">
        <v>954</v>
      </c>
      <c r="D8582" t="s">
        <v>6119</v>
      </c>
      <c r="E8582" t="s">
        <v>1024</v>
      </c>
      <c r="F8582">
        <v>2.0299999999999998</v>
      </c>
      <c r="H8582">
        <v>26006.17</v>
      </c>
    </row>
    <row r="8583" spans="1:8" ht="15" customHeight="1" x14ac:dyDescent="0.2">
      <c r="A8583" s="420">
        <v>45930</v>
      </c>
      <c r="B8583" t="s">
        <v>6077</v>
      </c>
      <c r="C8583" t="s">
        <v>954</v>
      </c>
      <c r="D8583" t="s">
        <v>6119</v>
      </c>
      <c r="E8583" t="s">
        <v>1024</v>
      </c>
      <c r="G8583">
        <v>2.0299999999999998</v>
      </c>
      <c r="H8583">
        <v>26004.14</v>
      </c>
    </row>
    <row r="8584" spans="1:8" ht="15" customHeight="1" x14ac:dyDescent="0.2">
      <c r="A8584" s="420">
        <v>45930</v>
      </c>
      <c r="B8584" t="s">
        <v>6077</v>
      </c>
      <c r="C8584" t="s">
        <v>954</v>
      </c>
      <c r="D8584" t="s">
        <v>6119</v>
      </c>
      <c r="E8584" t="s">
        <v>1025</v>
      </c>
      <c r="F8584">
        <v>59</v>
      </c>
      <c r="H8584">
        <v>26063.14</v>
      </c>
    </row>
    <row r="8585" spans="1:8" ht="15" customHeight="1" x14ac:dyDescent="0.2">
      <c r="A8585" s="420">
        <v>45961</v>
      </c>
      <c r="B8585" t="s">
        <v>6077</v>
      </c>
      <c r="C8585" t="s">
        <v>954</v>
      </c>
      <c r="D8585" t="s">
        <v>6128</v>
      </c>
      <c r="E8585" t="s">
        <v>1033</v>
      </c>
      <c r="F8585">
        <v>3347.1</v>
      </c>
      <c r="H8585">
        <v>29410.240000000002</v>
      </c>
    </row>
    <row r="8586" spans="1:8" ht="15" customHeight="1" x14ac:dyDescent="0.2">
      <c r="A8586" s="420">
        <v>45961</v>
      </c>
      <c r="B8586" t="s">
        <v>6077</v>
      </c>
      <c r="C8586" t="s">
        <v>954</v>
      </c>
      <c r="D8586" t="s">
        <v>6128</v>
      </c>
      <c r="E8586" t="s">
        <v>1034</v>
      </c>
      <c r="F8586">
        <v>412.78</v>
      </c>
      <c r="H8586">
        <v>29823.02</v>
      </c>
    </row>
    <row r="8587" spans="1:8" ht="15" customHeight="1" x14ac:dyDescent="0.2">
      <c r="A8587" s="420">
        <v>45961</v>
      </c>
      <c r="B8587" t="s">
        <v>6077</v>
      </c>
      <c r="C8587" t="s">
        <v>954</v>
      </c>
      <c r="D8587" t="s">
        <v>6128</v>
      </c>
      <c r="E8587" t="s">
        <v>1035</v>
      </c>
      <c r="F8587">
        <v>40.549999999999997</v>
      </c>
      <c r="H8587">
        <v>29863.57</v>
      </c>
    </row>
    <row r="8588" spans="1:8" ht="15" customHeight="1" x14ac:dyDescent="0.2">
      <c r="A8588" s="420">
        <v>45961</v>
      </c>
      <c r="B8588" t="s">
        <v>6077</v>
      </c>
      <c r="C8588" t="s">
        <v>954</v>
      </c>
      <c r="D8588" t="s">
        <v>6128</v>
      </c>
      <c r="E8588" t="s">
        <v>1036</v>
      </c>
      <c r="F8588">
        <v>2.0299999999999998</v>
      </c>
      <c r="H8588">
        <v>29865.599999999999</v>
      </c>
    </row>
    <row r="8589" spans="1:8" ht="15" customHeight="1" x14ac:dyDescent="0.2">
      <c r="A8589" s="420">
        <v>45961</v>
      </c>
      <c r="B8589" t="s">
        <v>6077</v>
      </c>
      <c r="C8589" t="s">
        <v>954</v>
      </c>
      <c r="D8589" t="s">
        <v>6128</v>
      </c>
      <c r="E8589" t="s">
        <v>1036</v>
      </c>
      <c r="G8589">
        <v>2.0299999999999998</v>
      </c>
      <c r="H8589">
        <v>29863.57</v>
      </c>
    </row>
    <row r="8590" spans="1:8" ht="15" customHeight="1" x14ac:dyDescent="0.2">
      <c r="A8590" s="420">
        <v>45961</v>
      </c>
      <c r="B8590" t="s">
        <v>6077</v>
      </c>
      <c r="C8590" t="s">
        <v>954</v>
      </c>
      <c r="D8590" t="s">
        <v>6128</v>
      </c>
      <c r="E8590" t="s">
        <v>1037</v>
      </c>
      <c r="F8590">
        <v>59</v>
      </c>
      <c r="H8590">
        <v>29922.57</v>
      </c>
    </row>
    <row r="8591" spans="1:8" ht="15" customHeight="1" x14ac:dyDescent="0.2">
      <c r="A8591" s="420">
        <v>45991</v>
      </c>
      <c r="B8591" t="s">
        <v>6077</v>
      </c>
      <c r="C8591" t="s">
        <v>954</v>
      </c>
      <c r="D8591" t="s">
        <v>6137</v>
      </c>
      <c r="E8591" t="s">
        <v>1042</v>
      </c>
      <c r="F8591">
        <v>3917.07</v>
      </c>
      <c r="H8591">
        <v>33839.64</v>
      </c>
    </row>
    <row r="8592" spans="1:8" ht="15" customHeight="1" x14ac:dyDescent="0.2">
      <c r="A8592" s="420">
        <v>45991</v>
      </c>
      <c r="B8592" t="s">
        <v>6077</v>
      </c>
      <c r="C8592" t="s">
        <v>954</v>
      </c>
      <c r="D8592" t="s">
        <v>6137</v>
      </c>
      <c r="E8592" t="s">
        <v>1043</v>
      </c>
      <c r="F8592">
        <v>305.07</v>
      </c>
      <c r="H8592">
        <v>34144.71</v>
      </c>
    </row>
    <row r="8593" spans="1:10" ht="15" customHeight="1" x14ac:dyDescent="0.2">
      <c r="A8593" s="420">
        <v>45991</v>
      </c>
      <c r="B8593" t="s">
        <v>6077</v>
      </c>
      <c r="C8593" t="s">
        <v>954</v>
      </c>
      <c r="D8593" t="s">
        <v>6137</v>
      </c>
      <c r="E8593" t="s">
        <v>1044</v>
      </c>
      <c r="F8593">
        <v>29.25</v>
      </c>
      <c r="H8593">
        <v>34173.96</v>
      </c>
    </row>
    <row r="8594" spans="1:10" ht="15" customHeight="1" x14ac:dyDescent="0.2">
      <c r="A8594" s="420">
        <v>45991</v>
      </c>
      <c r="B8594" t="s">
        <v>6077</v>
      </c>
      <c r="C8594" t="s">
        <v>954</v>
      </c>
      <c r="D8594" t="s">
        <v>6137</v>
      </c>
      <c r="E8594" t="s">
        <v>1045</v>
      </c>
      <c r="F8594">
        <v>1.28</v>
      </c>
      <c r="H8594">
        <v>34175.24</v>
      </c>
    </row>
    <row r="8595" spans="1:10" ht="15" customHeight="1" x14ac:dyDescent="0.2">
      <c r="A8595" s="420">
        <v>45991</v>
      </c>
      <c r="B8595" t="s">
        <v>6077</v>
      </c>
      <c r="C8595" t="s">
        <v>954</v>
      </c>
      <c r="D8595" t="s">
        <v>6137</v>
      </c>
      <c r="E8595" t="s">
        <v>1045</v>
      </c>
      <c r="G8595">
        <v>1.28</v>
      </c>
      <c r="H8595">
        <v>34173.96</v>
      </c>
    </row>
    <row r="8596" spans="1:10" ht="15" customHeight="1" x14ac:dyDescent="0.2">
      <c r="A8596" s="420">
        <v>45991</v>
      </c>
      <c r="B8596" t="s">
        <v>6077</v>
      </c>
      <c r="C8596" t="s">
        <v>954</v>
      </c>
      <c r="D8596" t="s">
        <v>6137</v>
      </c>
      <c r="E8596" t="s">
        <v>1046</v>
      </c>
      <c r="F8596">
        <v>59</v>
      </c>
      <c r="H8596">
        <v>34232.959999999999</v>
      </c>
    </row>
    <row r="8597" spans="1:10" ht="15" customHeight="1" x14ac:dyDescent="0.2">
      <c r="A8597" s="420">
        <v>46022</v>
      </c>
      <c r="B8597" t="s">
        <v>6077</v>
      </c>
      <c r="C8597" t="s">
        <v>954</v>
      </c>
      <c r="D8597" t="s">
        <v>6144</v>
      </c>
      <c r="E8597" t="s">
        <v>1053</v>
      </c>
      <c r="F8597">
        <v>1312.91</v>
      </c>
      <c r="H8597">
        <v>35545.870000000003</v>
      </c>
    </row>
    <row r="8598" spans="1:10" ht="15" customHeight="1" x14ac:dyDescent="0.2">
      <c r="A8598" s="420">
        <v>46022</v>
      </c>
      <c r="B8598" t="s">
        <v>6077</v>
      </c>
      <c r="C8598" t="s">
        <v>954</v>
      </c>
      <c r="D8598" t="s">
        <v>6144</v>
      </c>
      <c r="E8598" t="s">
        <v>1054</v>
      </c>
      <c r="F8598">
        <v>244.78</v>
      </c>
      <c r="H8598">
        <v>35790.65</v>
      </c>
    </row>
    <row r="8599" spans="1:10" ht="15" customHeight="1" x14ac:dyDescent="0.2">
      <c r="A8599" s="420">
        <v>46022</v>
      </c>
      <c r="B8599" t="s">
        <v>6077</v>
      </c>
      <c r="C8599" t="s">
        <v>954</v>
      </c>
      <c r="D8599" t="s">
        <v>6144</v>
      </c>
      <c r="E8599" t="s">
        <v>1055</v>
      </c>
      <c r="F8599">
        <v>26.14</v>
      </c>
      <c r="H8599">
        <v>35816.79</v>
      </c>
    </row>
    <row r="8600" spans="1:10" ht="15" customHeight="1" x14ac:dyDescent="0.2">
      <c r="A8600" s="420">
        <v>46022</v>
      </c>
      <c r="B8600" t="s">
        <v>6077</v>
      </c>
      <c r="C8600" t="s">
        <v>954</v>
      </c>
      <c r="D8600" t="s">
        <v>6144</v>
      </c>
      <c r="E8600" t="s">
        <v>1056</v>
      </c>
      <c r="F8600">
        <v>1.1100000000000001</v>
      </c>
      <c r="H8600">
        <v>35817.9</v>
      </c>
    </row>
    <row r="8601" spans="1:10" ht="15" customHeight="1" x14ac:dyDescent="0.2">
      <c r="A8601" s="420">
        <v>46022</v>
      </c>
      <c r="B8601" t="s">
        <v>6077</v>
      </c>
      <c r="C8601" t="s">
        <v>954</v>
      </c>
      <c r="D8601" t="s">
        <v>6144</v>
      </c>
      <c r="E8601" t="s">
        <v>1056</v>
      </c>
      <c r="G8601">
        <v>1.1100000000000001</v>
      </c>
      <c r="H8601">
        <v>35816.79</v>
      </c>
    </row>
    <row r="8602" spans="1:10" ht="15" customHeight="1" x14ac:dyDescent="0.2">
      <c r="A8602" s="420">
        <v>46022</v>
      </c>
      <c r="B8602" t="s">
        <v>6077</v>
      </c>
      <c r="C8602" t="s">
        <v>954</v>
      </c>
      <c r="D8602" t="s">
        <v>6144</v>
      </c>
      <c r="E8602" t="s">
        <v>1057</v>
      </c>
      <c r="F8602">
        <v>59</v>
      </c>
      <c r="H8602">
        <v>35875.79</v>
      </c>
    </row>
    <row r="8603" spans="1:10" ht="15" customHeight="1" x14ac:dyDescent="0.2">
      <c r="A8603" t="s">
        <v>954</v>
      </c>
      <c r="E8603" t="s">
        <v>349</v>
      </c>
      <c r="F8603">
        <v>35895.15</v>
      </c>
      <c r="G8603">
        <v>19.36</v>
      </c>
      <c r="H8603">
        <v>35875.79</v>
      </c>
    </row>
    <row r="8605" spans="1:10" ht="15" customHeight="1" x14ac:dyDescent="0.2">
      <c r="A8605" t="s">
        <v>941</v>
      </c>
      <c r="B8605" t="s">
        <v>942</v>
      </c>
      <c r="F8605" t="s">
        <v>2430</v>
      </c>
      <c r="G8605" t="s">
        <v>2431</v>
      </c>
      <c r="H8605" t="s">
        <v>2432</v>
      </c>
      <c r="I8605" t="s">
        <v>2433</v>
      </c>
      <c r="J8605" t="s">
        <v>2434</v>
      </c>
    </row>
    <row r="8606" spans="1:10" ht="15" customHeight="1" x14ac:dyDescent="0.2">
      <c r="A8606" s="420">
        <v>45658</v>
      </c>
      <c r="B8606" t="s">
        <v>2517</v>
      </c>
      <c r="C8606" t="s">
        <v>941</v>
      </c>
      <c r="D8606" t="s">
        <v>6158</v>
      </c>
      <c r="E8606" t="s">
        <v>938</v>
      </c>
      <c r="G8606">
        <v>861.08</v>
      </c>
      <c r="I8606">
        <v>861.08</v>
      </c>
    </row>
    <row r="8607" spans="1:10" ht="15" customHeight="1" x14ac:dyDescent="0.2">
      <c r="A8607" s="420">
        <v>45838</v>
      </c>
      <c r="B8607" t="s">
        <v>2507</v>
      </c>
      <c r="C8607" t="s">
        <v>941</v>
      </c>
      <c r="D8607" t="s">
        <v>6159</v>
      </c>
      <c r="E8607" t="s">
        <v>986</v>
      </c>
      <c r="F8607">
        <v>1533.58</v>
      </c>
      <c r="H8607">
        <v>672.5</v>
      </c>
      <c r="J8607" t="s">
        <v>2511</v>
      </c>
    </row>
    <row r="8608" spans="1:10" ht="15" customHeight="1" x14ac:dyDescent="0.2">
      <c r="A8608" s="420">
        <v>45839</v>
      </c>
      <c r="B8608" t="s">
        <v>2507</v>
      </c>
      <c r="C8608" t="s">
        <v>941</v>
      </c>
      <c r="D8608" t="s">
        <v>6159</v>
      </c>
      <c r="E8608" t="s">
        <v>994</v>
      </c>
      <c r="G8608">
        <v>1533.58</v>
      </c>
      <c r="I8608">
        <v>861.08</v>
      </c>
      <c r="J8608" t="s">
        <v>2511</v>
      </c>
    </row>
    <row r="8609" spans="1:10" ht="15" customHeight="1" x14ac:dyDescent="0.2">
      <c r="A8609" s="420">
        <v>46022</v>
      </c>
      <c r="B8609" t="s">
        <v>2507</v>
      </c>
      <c r="C8609" t="s">
        <v>941</v>
      </c>
      <c r="D8609" t="s">
        <v>6160</v>
      </c>
      <c r="E8609" t="s">
        <v>1052</v>
      </c>
      <c r="F8609">
        <v>737.87</v>
      </c>
      <c r="I8609">
        <v>123.21</v>
      </c>
    </row>
    <row r="8610" spans="1:10" ht="15" customHeight="1" x14ac:dyDescent="0.2">
      <c r="A8610" t="s">
        <v>941</v>
      </c>
      <c r="E8610" t="s">
        <v>349</v>
      </c>
      <c r="F8610">
        <v>2271.4499999999998</v>
      </c>
      <c r="G8610">
        <v>2394.66</v>
      </c>
      <c r="I8610">
        <v>123.21</v>
      </c>
    </row>
    <row r="8612" spans="1:10" ht="15" customHeight="1" x14ac:dyDescent="0.2">
      <c r="A8612" t="s">
        <v>944</v>
      </c>
      <c r="B8612" t="s">
        <v>945</v>
      </c>
      <c r="F8612" t="s">
        <v>2430</v>
      </c>
      <c r="G8612" t="s">
        <v>2431</v>
      </c>
      <c r="H8612" t="s">
        <v>2432</v>
      </c>
      <c r="I8612" t="s">
        <v>2433</v>
      </c>
      <c r="J8612" t="s">
        <v>2434</v>
      </c>
    </row>
    <row r="8613" spans="1:10" ht="15" customHeight="1" x14ac:dyDescent="0.2">
      <c r="A8613" s="420">
        <v>45672</v>
      </c>
      <c r="B8613" t="s">
        <v>2532</v>
      </c>
      <c r="C8613" t="s">
        <v>944</v>
      </c>
      <c r="D8613" t="s">
        <v>5081</v>
      </c>
      <c r="E8613" t="s">
        <v>946</v>
      </c>
      <c r="F8613">
        <v>254</v>
      </c>
      <c r="H8613">
        <v>254</v>
      </c>
    </row>
    <row r="8614" spans="1:10" ht="15" customHeight="1" x14ac:dyDescent="0.2">
      <c r="A8614" s="420">
        <v>45838</v>
      </c>
      <c r="B8614" t="s">
        <v>2535</v>
      </c>
      <c r="C8614" t="s">
        <v>944</v>
      </c>
      <c r="D8614" t="s">
        <v>7472</v>
      </c>
      <c r="E8614" t="s">
        <v>992</v>
      </c>
      <c r="G8614">
        <v>128.05000000000001</v>
      </c>
      <c r="H8614">
        <v>125.95</v>
      </c>
      <c r="J8614" t="s">
        <v>2511</v>
      </c>
    </row>
    <row r="8615" spans="1:10" ht="15" customHeight="1" x14ac:dyDescent="0.2">
      <c r="A8615" s="420">
        <v>45839</v>
      </c>
      <c r="B8615" t="s">
        <v>2535</v>
      </c>
      <c r="C8615" t="s">
        <v>944</v>
      </c>
      <c r="D8615" t="s">
        <v>7472</v>
      </c>
      <c r="E8615" t="s">
        <v>996</v>
      </c>
      <c r="F8615">
        <v>128.05000000000001</v>
      </c>
      <c r="H8615">
        <v>254</v>
      </c>
      <c r="J8615" t="s">
        <v>2511</v>
      </c>
    </row>
    <row r="8616" spans="1:10" ht="15" customHeight="1" x14ac:dyDescent="0.2">
      <c r="A8616" t="s">
        <v>944</v>
      </c>
      <c r="E8616" t="s">
        <v>349</v>
      </c>
      <c r="F8616">
        <v>382.05</v>
      </c>
      <c r="G8616">
        <v>128.05000000000001</v>
      </c>
      <c r="H8616">
        <v>254</v>
      </c>
    </row>
    <row r="8618" spans="1:10" ht="15" customHeight="1" x14ac:dyDescent="0.2">
      <c r="A8618" t="s">
        <v>956</v>
      </c>
      <c r="B8618" t="s">
        <v>957</v>
      </c>
      <c r="F8618" t="s">
        <v>2430</v>
      </c>
      <c r="G8618" t="s">
        <v>2431</v>
      </c>
      <c r="H8618" t="s">
        <v>2432</v>
      </c>
      <c r="I8618" t="s">
        <v>2433</v>
      </c>
      <c r="J8618" t="s">
        <v>2434</v>
      </c>
    </row>
    <row r="8619" spans="1:10" ht="15" customHeight="1" x14ac:dyDescent="0.2">
      <c r="A8619" s="420">
        <v>45688</v>
      </c>
      <c r="B8619" t="s">
        <v>6077</v>
      </c>
      <c r="C8619" t="s">
        <v>956</v>
      </c>
      <c r="E8619" t="s">
        <v>951</v>
      </c>
      <c r="G8619">
        <v>124.76</v>
      </c>
      <c r="I8619">
        <v>124.76</v>
      </c>
    </row>
    <row r="8620" spans="1:10" ht="15" customHeight="1" x14ac:dyDescent="0.2">
      <c r="A8620" s="420">
        <v>45716</v>
      </c>
      <c r="B8620" t="s">
        <v>6077</v>
      </c>
      <c r="C8620" t="s">
        <v>956</v>
      </c>
      <c r="D8620" t="s">
        <v>6082</v>
      </c>
      <c r="E8620" t="s">
        <v>960</v>
      </c>
      <c r="G8620">
        <v>124.76</v>
      </c>
      <c r="I8620">
        <v>249.52</v>
      </c>
    </row>
    <row r="8621" spans="1:10" ht="15" customHeight="1" x14ac:dyDescent="0.2">
      <c r="A8621" s="420">
        <v>45747</v>
      </c>
      <c r="B8621" t="s">
        <v>6077</v>
      </c>
      <c r="C8621" t="s">
        <v>956</v>
      </c>
      <c r="D8621" t="s">
        <v>6087</v>
      </c>
      <c r="E8621" t="s">
        <v>964</v>
      </c>
      <c r="G8621">
        <v>124.76</v>
      </c>
      <c r="I8621">
        <v>374.28</v>
      </c>
    </row>
    <row r="8622" spans="1:10" ht="15" customHeight="1" x14ac:dyDescent="0.2">
      <c r="A8622" s="420">
        <v>45777</v>
      </c>
      <c r="B8622" t="s">
        <v>6077</v>
      </c>
      <c r="C8622" t="s">
        <v>956</v>
      </c>
      <c r="D8622" t="s">
        <v>6092</v>
      </c>
      <c r="E8622" t="s">
        <v>968</v>
      </c>
      <c r="G8622">
        <v>124.76</v>
      </c>
      <c r="I8622">
        <v>499.04</v>
      </c>
    </row>
    <row r="8623" spans="1:10" ht="15" customHeight="1" x14ac:dyDescent="0.2">
      <c r="A8623" s="420">
        <v>45808</v>
      </c>
      <c r="B8623" t="s">
        <v>6077</v>
      </c>
      <c r="C8623" t="s">
        <v>956</v>
      </c>
      <c r="D8623" t="s">
        <v>6097</v>
      </c>
      <c r="E8623" t="s">
        <v>976</v>
      </c>
      <c r="G8623">
        <v>474.76</v>
      </c>
      <c r="I8623">
        <v>973.8</v>
      </c>
    </row>
    <row r="8624" spans="1:10" ht="15" customHeight="1" x14ac:dyDescent="0.2">
      <c r="A8624" s="420">
        <v>45838</v>
      </c>
      <c r="B8624" t="s">
        <v>6077</v>
      </c>
      <c r="C8624" t="s">
        <v>956</v>
      </c>
      <c r="D8624" t="s">
        <v>6102</v>
      </c>
      <c r="E8624" t="s">
        <v>985</v>
      </c>
      <c r="G8624">
        <v>474.76</v>
      </c>
      <c r="I8624">
        <v>1448.56</v>
      </c>
    </row>
    <row r="8625" spans="1:10" ht="15" customHeight="1" x14ac:dyDescent="0.2">
      <c r="A8625" s="420">
        <v>45869</v>
      </c>
      <c r="B8625" t="s">
        <v>6077</v>
      </c>
      <c r="C8625" t="s">
        <v>956</v>
      </c>
      <c r="D8625" t="s">
        <v>6107</v>
      </c>
      <c r="E8625" t="s">
        <v>1000</v>
      </c>
      <c r="G8625">
        <v>474.76</v>
      </c>
      <c r="I8625">
        <v>1923.32</v>
      </c>
    </row>
    <row r="8626" spans="1:10" ht="15" customHeight="1" x14ac:dyDescent="0.2">
      <c r="A8626" s="420">
        <v>45900</v>
      </c>
      <c r="B8626" t="s">
        <v>6077</v>
      </c>
      <c r="C8626" t="s">
        <v>956</v>
      </c>
      <c r="D8626" t="s">
        <v>6112</v>
      </c>
      <c r="E8626" t="s">
        <v>1011</v>
      </c>
      <c r="G8626">
        <v>474.76</v>
      </c>
      <c r="I8626">
        <v>2398.08</v>
      </c>
    </row>
    <row r="8627" spans="1:10" ht="15" customHeight="1" x14ac:dyDescent="0.2">
      <c r="A8627" s="420">
        <v>45930</v>
      </c>
      <c r="B8627" t="s">
        <v>6077</v>
      </c>
      <c r="C8627" t="s">
        <v>956</v>
      </c>
      <c r="D8627" t="s">
        <v>6119</v>
      </c>
      <c r="E8627" t="s">
        <v>1020</v>
      </c>
      <c r="G8627">
        <v>474.76</v>
      </c>
      <c r="I8627">
        <v>2872.84</v>
      </c>
    </row>
    <row r="8628" spans="1:10" ht="15" customHeight="1" x14ac:dyDescent="0.2">
      <c r="A8628" s="420">
        <v>45961</v>
      </c>
      <c r="B8628" t="s">
        <v>6077</v>
      </c>
      <c r="C8628" t="s">
        <v>956</v>
      </c>
      <c r="D8628" t="s">
        <v>6128</v>
      </c>
      <c r="E8628" t="s">
        <v>1029</v>
      </c>
      <c r="G8628">
        <v>474.76</v>
      </c>
      <c r="I8628">
        <v>3347.6</v>
      </c>
    </row>
    <row r="8629" spans="1:10" ht="15" customHeight="1" x14ac:dyDescent="0.2">
      <c r="A8629" s="420">
        <v>45991</v>
      </c>
      <c r="B8629" t="s">
        <v>6077</v>
      </c>
      <c r="C8629" t="s">
        <v>956</v>
      </c>
      <c r="D8629" t="s">
        <v>6137</v>
      </c>
      <c r="E8629" t="s">
        <v>1041</v>
      </c>
      <c r="G8629">
        <v>350</v>
      </c>
      <c r="I8629">
        <v>3697.6</v>
      </c>
    </row>
    <row r="8630" spans="1:10" ht="15" customHeight="1" x14ac:dyDescent="0.2">
      <c r="A8630" s="420">
        <v>46022</v>
      </c>
      <c r="B8630" t="s">
        <v>6077</v>
      </c>
      <c r="C8630" t="s">
        <v>956</v>
      </c>
      <c r="D8630" t="s">
        <v>6144</v>
      </c>
      <c r="E8630" t="s">
        <v>1051</v>
      </c>
      <c r="G8630">
        <v>350</v>
      </c>
      <c r="I8630">
        <v>4047.6</v>
      </c>
    </row>
    <row r="8631" spans="1:10" ht="15" customHeight="1" x14ac:dyDescent="0.2">
      <c r="A8631" s="420">
        <v>46022</v>
      </c>
      <c r="B8631" t="s">
        <v>2439</v>
      </c>
      <c r="C8631" t="s">
        <v>956</v>
      </c>
      <c r="D8631" t="s">
        <v>5649</v>
      </c>
      <c r="E8631" t="s">
        <v>1058</v>
      </c>
      <c r="F8631">
        <v>4047.6</v>
      </c>
    </row>
    <row r="8632" spans="1:10" ht="15" customHeight="1" x14ac:dyDescent="0.2">
      <c r="A8632" t="s">
        <v>956</v>
      </c>
      <c r="E8632" t="s">
        <v>349</v>
      </c>
      <c r="F8632">
        <v>4047.6</v>
      </c>
      <c r="G8632">
        <v>4047.6</v>
      </c>
    </row>
    <row r="8634" spans="1:10" ht="15" customHeight="1" x14ac:dyDescent="0.2">
      <c r="A8634" t="s">
        <v>1059</v>
      </c>
      <c r="B8634" t="s">
        <v>1060</v>
      </c>
      <c r="F8634" t="s">
        <v>2430</v>
      </c>
      <c r="G8634" t="s">
        <v>2431</v>
      </c>
      <c r="H8634" t="s">
        <v>2432</v>
      </c>
      <c r="I8634" t="s">
        <v>2433</v>
      </c>
      <c r="J8634" t="s">
        <v>2434</v>
      </c>
    </row>
    <row r="8635" spans="1:10" ht="15" customHeight="1" x14ac:dyDescent="0.2">
      <c r="A8635" s="420">
        <v>46022</v>
      </c>
      <c r="B8635" t="s">
        <v>2439</v>
      </c>
      <c r="C8635" t="s">
        <v>1059</v>
      </c>
      <c r="D8635" t="s">
        <v>5649</v>
      </c>
      <c r="E8635" t="s">
        <v>1058</v>
      </c>
      <c r="G8635">
        <v>4047.6</v>
      </c>
      <c r="I8635">
        <v>4047.6</v>
      </c>
    </row>
    <row r="8636" spans="1:10" ht="15" customHeight="1" x14ac:dyDescent="0.2">
      <c r="A8636" t="s">
        <v>1059</v>
      </c>
      <c r="E8636" t="s">
        <v>349</v>
      </c>
      <c r="G8636">
        <v>4047.6</v>
      </c>
      <c r="I8636">
        <v>4047.6</v>
      </c>
    </row>
    <row r="8638" spans="1:10" ht="15" customHeight="1" x14ac:dyDescent="0.2">
      <c r="A8638" t="s">
        <v>1005</v>
      </c>
      <c r="B8638" t="s">
        <v>1006</v>
      </c>
      <c r="F8638" t="s">
        <v>2430</v>
      </c>
      <c r="G8638" t="s">
        <v>2431</v>
      </c>
      <c r="H8638" t="s">
        <v>2432</v>
      </c>
      <c r="I8638" t="s">
        <v>2433</v>
      </c>
      <c r="J8638" t="s">
        <v>2434</v>
      </c>
    </row>
    <row r="8639" spans="1:10" ht="15" customHeight="1" x14ac:dyDescent="0.2">
      <c r="A8639" s="420">
        <v>45883</v>
      </c>
      <c r="B8639" t="s">
        <v>2333</v>
      </c>
      <c r="C8639" t="s">
        <v>1005</v>
      </c>
      <c r="D8639" t="s">
        <v>7682</v>
      </c>
      <c r="E8639" t="s">
        <v>7683</v>
      </c>
      <c r="G8639">
        <v>2100</v>
      </c>
      <c r="I8639">
        <v>2100</v>
      </c>
    </row>
    <row r="8640" spans="1:10" ht="15" customHeight="1" x14ac:dyDescent="0.2">
      <c r="A8640" t="s">
        <v>1005</v>
      </c>
      <c r="E8640" t="s">
        <v>349</v>
      </c>
      <c r="G8640">
        <v>2100</v>
      </c>
      <c r="I8640">
        <v>2100</v>
      </c>
    </row>
    <row r="8642" spans="1:10" ht="15" customHeight="1" x14ac:dyDescent="0.2">
      <c r="A8642" t="s">
        <v>7890</v>
      </c>
      <c r="B8642" t="s">
        <v>7891</v>
      </c>
      <c r="F8642" t="s">
        <v>2430</v>
      </c>
      <c r="G8642" t="s">
        <v>2431</v>
      </c>
      <c r="H8642" t="s">
        <v>2432</v>
      </c>
      <c r="I8642" t="s">
        <v>2433</v>
      </c>
      <c r="J8642" t="s">
        <v>2434</v>
      </c>
    </row>
    <row r="8643" spans="1:10" ht="15" customHeight="1" x14ac:dyDescent="0.2">
      <c r="A8643" s="420">
        <v>45660</v>
      </c>
      <c r="B8643" t="s">
        <v>2532</v>
      </c>
      <c r="C8643" t="s">
        <v>7890</v>
      </c>
      <c r="D8643" t="s">
        <v>4183</v>
      </c>
      <c r="E8643" t="s">
        <v>4184</v>
      </c>
      <c r="F8643">
        <v>1440</v>
      </c>
      <c r="H8643">
        <v>1440</v>
      </c>
    </row>
    <row r="8644" spans="1:10" ht="15" customHeight="1" x14ac:dyDescent="0.2">
      <c r="A8644" s="420">
        <v>45838</v>
      </c>
      <c r="B8644" t="s">
        <v>2535</v>
      </c>
      <c r="C8644" t="s">
        <v>7890</v>
      </c>
      <c r="D8644" t="s">
        <v>7476</v>
      </c>
      <c r="E8644" t="s">
        <v>7477</v>
      </c>
      <c r="G8644">
        <v>725.92</v>
      </c>
      <c r="H8644">
        <v>714.08</v>
      </c>
      <c r="J8644" t="s">
        <v>2511</v>
      </c>
    </row>
    <row r="8645" spans="1:10" ht="15" customHeight="1" x14ac:dyDescent="0.2">
      <c r="A8645" s="420">
        <v>45838</v>
      </c>
      <c r="B8645" t="s">
        <v>2547</v>
      </c>
      <c r="C8645" t="s">
        <v>7890</v>
      </c>
      <c r="D8645" t="s">
        <v>4227</v>
      </c>
      <c r="E8645" t="s">
        <v>4228</v>
      </c>
      <c r="F8645">
        <v>2470</v>
      </c>
      <c r="H8645">
        <v>3184.08</v>
      </c>
    </row>
    <row r="8646" spans="1:10" ht="15" customHeight="1" x14ac:dyDescent="0.2">
      <c r="A8646" s="420">
        <v>45838</v>
      </c>
      <c r="B8646" t="s">
        <v>2535</v>
      </c>
      <c r="C8646" t="s">
        <v>7890</v>
      </c>
      <c r="D8646" t="s">
        <v>7478</v>
      </c>
      <c r="E8646" t="s">
        <v>7479</v>
      </c>
      <c r="G8646">
        <v>1245.1600000000001</v>
      </c>
      <c r="H8646">
        <v>1938.92</v>
      </c>
      <c r="J8646" t="s">
        <v>2509</v>
      </c>
    </row>
    <row r="8647" spans="1:10" ht="15" customHeight="1" x14ac:dyDescent="0.2">
      <c r="A8647" s="420">
        <v>45839</v>
      </c>
      <c r="B8647" t="s">
        <v>2535</v>
      </c>
      <c r="C8647" t="s">
        <v>7890</v>
      </c>
      <c r="D8647" t="s">
        <v>7476</v>
      </c>
      <c r="E8647" t="s">
        <v>7482</v>
      </c>
      <c r="F8647">
        <v>725.92</v>
      </c>
      <c r="H8647">
        <v>2664.84</v>
      </c>
      <c r="J8647" t="s">
        <v>2511</v>
      </c>
    </row>
    <row r="8648" spans="1:10" ht="15" customHeight="1" x14ac:dyDescent="0.2">
      <c r="A8648" s="420">
        <v>45839</v>
      </c>
      <c r="B8648" t="s">
        <v>2535</v>
      </c>
      <c r="C8648" t="s">
        <v>7890</v>
      </c>
      <c r="D8648" t="s">
        <v>7478</v>
      </c>
      <c r="E8648" t="s">
        <v>7483</v>
      </c>
      <c r="F8648">
        <v>1245.1600000000001</v>
      </c>
      <c r="H8648">
        <v>3910</v>
      </c>
      <c r="J8648" t="s">
        <v>2509</v>
      </c>
    </row>
    <row r="8649" spans="1:10" ht="15" customHeight="1" x14ac:dyDescent="0.2">
      <c r="A8649" t="s">
        <v>7890</v>
      </c>
      <c r="E8649" t="s">
        <v>349</v>
      </c>
      <c r="F8649">
        <v>5881.08</v>
      </c>
      <c r="G8649">
        <v>1971.08</v>
      </c>
      <c r="H8649">
        <v>3910</v>
      </c>
    </row>
    <row r="8651" spans="1:10" ht="15" customHeight="1" x14ac:dyDescent="0.2">
      <c r="A8651" t="s">
        <v>7892</v>
      </c>
      <c r="B8651" t="s">
        <v>7893</v>
      </c>
      <c r="F8651" t="s">
        <v>2430</v>
      </c>
      <c r="G8651" t="s">
        <v>2431</v>
      </c>
      <c r="H8651" t="s">
        <v>2432</v>
      </c>
      <c r="I8651" t="s">
        <v>2433</v>
      </c>
      <c r="J8651" t="s">
        <v>2434</v>
      </c>
    </row>
    <row r="8652" spans="1:10" ht="15" customHeight="1" x14ac:dyDescent="0.2">
      <c r="A8652" s="420">
        <v>45658</v>
      </c>
      <c r="B8652" t="s">
        <v>2507</v>
      </c>
      <c r="C8652" t="s">
        <v>7892</v>
      </c>
      <c r="D8652" t="s">
        <v>5495</v>
      </c>
      <c r="E8652" t="s">
        <v>5496</v>
      </c>
      <c r="G8652">
        <v>13298</v>
      </c>
      <c r="I8652">
        <v>13298</v>
      </c>
      <c r="J8652" t="s">
        <v>2511</v>
      </c>
    </row>
    <row r="8653" spans="1:10" ht="15" customHeight="1" x14ac:dyDescent="0.2">
      <c r="A8653" s="420">
        <v>45658</v>
      </c>
      <c r="B8653" t="s">
        <v>2517</v>
      </c>
      <c r="C8653" t="s">
        <v>7892</v>
      </c>
      <c r="D8653" t="s">
        <v>7461</v>
      </c>
      <c r="E8653" t="s">
        <v>7462</v>
      </c>
      <c r="F8653">
        <v>18903</v>
      </c>
      <c r="H8653">
        <v>5605</v>
      </c>
    </row>
    <row r="8654" spans="1:10" ht="15" customHeight="1" x14ac:dyDescent="0.2">
      <c r="A8654" s="420">
        <v>45688</v>
      </c>
      <c r="B8654" t="s">
        <v>2532</v>
      </c>
      <c r="C8654" t="s">
        <v>7892</v>
      </c>
      <c r="D8654" t="s">
        <v>4388</v>
      </c>
      <c r="E8654" t="s">
        <v>4389</v>
      </c>
      <c r="F8654">
        <v>8226.2999999999993</v>
      </c>
      <c r="H8654">
        <v>13831.3</v>
      </c>
    </row>
    <row r="8655" spans="1:10" ht="15" customHeight="1" x14ac:dyDescent="0.2">
      <c r="A8655" s="420">
        <v>45716</v>
      </c>
      <c r="B8655" t="s">
        <v>2532</v>
      </c>
      <c r="C8655" t="s">
        <v>7892</v>
      </c>
      <c r="D8655" t="s">
        <v>4400</v>
      </c>
      <c r="E8655" t="s">
        <v>4401</v>
      </c>
      <c r="F8655">
        <v>7361.9</v>
      </c>
      <c r="H8655">
        <v>21193.200000000001</v>
      </c>
    </row>
    <row r="8656" spans="1:10" ht="15" customHeight="1" x14ac:dyDescent="0.2">
      <c r="A8656" s="420">
        <v>45747</v>
      </c>
      <c r="B8656" t="s">
        <v>2532</v>
      </c>
      <c r="C8656" t="s">
        <v>7892</v>
      </c>
      <c r="D8656" t="s">
        <v>4420</v>
      </c>
      <c r="E8656" t="s">
        <v>4421</v>
      </c>
      <c r="F8656">
        <v>7363.15</v>
      </c>
      <c r="H8656">
        <v>28556.35</v>
      </c>
    </row>
    <row r="8657" spans="1:10" ht="15" customHeight="1" x14ac:dyDescent="0.2">
      <c r="A8657" s="420">
        <v>45777</v>
      </c>
      <c r="B8657" t="s">
        <v>2532</v>
      </c>
      <c r="C8657" t="s">
        <v>7892</v>
      </c>
      <c r="D8657" t="s">
        <v>4436</v>
      </c>
      <c r="E8657" t="s">
        <v>4437</v>
      </c>
      <c r="F8657">
        <v>6080.45</v>
      </c>
      <c r="H8657">
        <v>34636.800000000003</v>
      </c>
    </row>
    <row r="8658" spans="1:10" ht="15" customHeight="1" x14ac:dyDescent="0.2">
      <c r="A8658" s="420">
        <v>45777</v>
      </c>
      <c r="B8658" t="s">
        <v>2547</v>
      </c>
      <c r="C8658" t="s">
        <v>7892</v>
      </c>
      <c r="D8658" t="s">
        <v>4509</v>
      </c>
      <c r="E8658" t="s">
        <v>4510</v>
      </c>
      <c r="F8658">
        <v>6146.4</v>
      </c>
      <c r="H8658">
        <v>40783.199999999997</v>
      </c>
    </row>
    <row r="8659" spans="1:10" ht="15" customHeight="1" x14ac:dyDescent="0.2">
      <c r="A8659" s="420">
        <v>45779</v>
      </c>
      <c r="B8659" t="s">
        <v>2532</v>
      </c>
      <c r="C8659" t="s">
        <v>7892</v>
      </c>
      <c r="D8659" t="s">
        <v>4458</v>
      </c>
      <c r="E8659" t="s">
        <v>4459</v>
      </c>
      <c r="F8659">
        <v>6871.15</v>
      </c>
      <c r="H8659">
        <v>47654.35</v>
      </c>
    </row>
    <row r="8660" spans="1:10" ht="15" customHeight="1" x14ac:dyDescent="0.2">
      <c r="A8660" s="420">
        <v>45808</v>
      </c>
      <c r="B8660" t="s">
        <v>2532</v>
      </c>
      <c r="C8660" t="s">
        <v>7892</v>
      </c>
      <c r="D8660" t="s">
        <v>4492</v>
      </c>
      <c r="E8660" t="s">
        <v>4493</v>
      </c>
      <c r="F8660">
        <v>6509.75</v>
      </c>
      <c r="H8660">
        <v>54164.1</v>
      </c>
    </row>
    <row r="8661" spans="1:10" ht="15" customHeight="1" x14ac:dyDescent="0.2">
      <c r="A8661" s="420">
        <v>45810</v>
      </c>
      <c r="B8661" t="s">
        <v>2532</v>
      </c>
      <c r="C8661" t="s">
        <v>7892</v>
      </c>
      <c r="D8661" t="s">
        <v>4474</v>
      </c>
      <c r="E8661" t="s">
        <v>4475</v>
      </c>
      <c r="F8661">
        <v>7945.25</v>
      </c>
      <c r="H8661">
        <v>62109.35</v>
      </c>
    </row>
    <row r="8662" spans="1:10" ht="15" customHeight="1" x14ac:dyDescent="0.2">
      <c r="A8662" s="420">
        <v>45838</v>
      </c>
      <c r="B8662" t="s">
        <v>2535</v>
      </c>
      <c r="C8662" t="s">
        <v>7892</v>
      </c>
      <c r="D8662" t="s">
        <v>7473</v>
      </c>
      <c r="E8662" t="s">
        <v>7474</v>
      </c>
      <c r="G8662">
        <v>20733</v>
      </c>
      <c r="H8662">
        <v>41376.35</v>
      </c>
      <c r="J8662" t="s">
        <v>2513</v>
      </c>
    </row>
    <row r="8663" spans="1:10" ht="15" customHeight="1" x14ac:dyDescent="0.2">
      <c r="A8663" s="420">
        <v>45838</v>
      </c>
      <c r="B8663" t="s">
        <v>2535</v>
      </c>
      <c r="C8663" t="s">
        <v>7892</v>
      </c>
      <c r="D8663" t="s">
        <v>5518</v>
      </c>
      <c r="E8663" t="s">
        <v>5519</v>
      </c>
      <c r="F8663">
        <v>24927</v>
      </c>
      <c r="H8663">
        <v>66303.350000000006</v>
      </c>
      <c r="J8663" t="s">
        <v>2509</v>
      </c>
    </row>
    <row r="8664" spans="1:10" ht="15" customHeight="1" x14ac:dyDescent="0.2">
      <c r="A8664" s="420">
        <v>45839</v>
      </c>
      <c r="B8664" t="s">
        <v>2535</v>
      </c>
      <c r="C8664" t="s">
        <v>7892</v>
      </c>
      <c r="D8664" t="s">
        <v>5518</v>
      </c>
      <c r="E8664" t="s">
        <v>5526</v>
      </c>
      <c r="G8664">
        <v>24927</v>
      </c>
      <c r="H8664">
        <v>41376.35</v>
      </c>
      <c r="J8664" t="s">
        <v>2509</v>
      </c>
    </row>
    <row r="8665" spans="1:10" ht="15" customHeight="1" x14ac:dyDescent="0.2">
      <c r="A8665" s="420">
        <v>45839</v>
      </c>
      <c r="B8665" t="s">
        <v>2547</v>
      </c>
      <c r="C8665" t="s">
        <v>7892</v>
      </c>
      <c r="D8665" t="s">
        <v>4527</v>
      </c>
      <c r="E8665" t="s">
        <v>4528</v>
      </c>
      <c r="F8665">
        <v>8187.75</v>
      </c>
      <c r="H8665">
        <v>49564.1</v>
      </c>
    </row>
    <row r="8666" spans="1:10" ht="15" customHeight="1" x14ac:dyDescent="0.2">
      <c r="A8666" s="420">
        <v>45839</v>
      </c>
      <c r="B8666" t="s">
        <v>2535</v>
      </c>
      <c r="C8666" t="s">
        <v>7892</v>
      </c>
      <c r="D8666" t="s">
        <v>7473</v>
      </c>
      <c r="E8666" t="s">
        <v>7484</v>
      </c>
      <c r="F8666">
        <v>20733</v>
      </c>
      <c r="H8666">
        <v>70297.100000000006</v>
      </c>
      <c r="J8666" t="s">
        <v>2513</v>
      </c>
    </row>
    <row r="8667" spans="1:10" ht="15" customHeight="1" x14ac:dyDescent="0.2">
      <c r="A8667" s="420">
        <v>45869</v>
      </c>
      <c r="B8667" t="s">
        <v>2532</v>
      </c>
      <c r="C8667" t="s">
        <v>7892</v>
      </c>
      <c r="D8667" t="s">
        <v>4535</v>
      </c>
      <c r="E8667" t="s">
        <v>4536</v>
      </c>
      <c r="F8667">
        <v>8208.7000000000007</v>
      </c>
      <c r="H8667">
        <v>78505.8</v>
      </c>
    </row>
    <row r="8668" spans="1:10" ht="15" customHeight="1" x14ac:dyDescent="0.2">
      <c r="A8668" s="420">
        <v>45869</v>
      </c>
      <c r="B8668" t="s">
        <v>2532</v>
      </c>
      <c r="C8668" t="s">
        <v>7892</v>
      </c>
      <c r="D8668" t="s">
        <v>4543</v>
      </c>
      <c r="E8668" t="s">
        <v>4544</v>
      </c>
      <c r="F8668">
        <v>7091.45</v>
      </c>
      <c r="H8668">
        <v>85597.25</v>
      </c>
    </row>
    <row r="8669" spans="1:10" ht="15" customHeight="1" x14ac:dyDescent="0.2">
      <c r="A8669" s="420">
        <v>45869</v>
      </c>
      <c r="B8669" t="s">
        <v>2532</v>
      </c>
      <c r="C8669" t="s">
        <v>7892</v>
      </c>
      <c r="D8669" t="s">
        <v>4564</v>
      </c>
      <c r="E8669" t="s">
        <v>4565</v>
      </c>
      <c r="F8669">
        <v>8377</v>
      </c>
      <c r="H8669">
        <v>93974.25</v>
      </c>
    </row>
    <row r="8670" spans="1:10" ht="15" customHeight="1" x14ac:dyDescent="0.2">
      <c r="A8670" s="420">
        <v>45901</v>
      </c>
      <c r="B8670" t="s">
        <v>2532</v>
      </c>
      <c r="C8670" t="s">
        <v>7892</v>
      </c>
      <c r="D8670" t="s">
        <v>4549</v>
      </c>
      <c r="E8670" t="s">
        <v>4550</v>
      </c>
      <c r="F8670">
        <v>8331.4</v>
      </c>
      <c r="H8670">
        <v>102305.65</v>
      </c>
    </row>
    <row r="8671" spans="1:10" ht="15" customHeight="1" x14ac:dyDescent="0.2">
      <c r="A8671" s="420">
        <v>45961</v>
      </c>
      <c r="B8671" t="s">
        <v>2532</v>
      </c>
      <c r="C8671" t="s">
        <v>7892</v>
      </c>
      <c r="D8671" t="s">
        <v>4558</v>
      </c>
      <c r="E8671" t="s">
        <v>4559</v>
      </c>
      <c r="F8671">
        <v>8149.59</v>
      </c>
      <c r="H8671">
        <v>110455.24</v>
      </c>
    </row>
    <row r="8672" spans="1:10" ht="15" customHeight="1" x14ac:dyDescent="0.2">
      <c r="A8672" s="420">
        <v>45961</v>
      </c>
      <c r="B8672" t="s">
        <v>2532</v>
      </c>
      <c r="C8672" t="s">
        <v>7892</v>
      </c>
      <c r="D8672" t="s">
        <v>4572</v>
      </c>
      <c r="E8672" t="s">
        <v>4573</v>
      </c>
      <c r="F8672">
        <v>7297.23</v>
      </c>
      <c r="H8672">
        <v>117752.47</v>
      </c>
    </row>
    <row r="8673" spans="1:10" ht="15" customHeight="1" x14ac:dyDescent="0.2">
      <c r="A8673" s="420">
        <v>45961</v>
      </c>
      <c r="B8673" t="s">
        <v>2532</v>
      </c>
      <c r="C8673" t="s">
        <v>7892</v>
      </c>
      <c r="D8673" t="s">
        <v>4580</v>
      </c>
      <c r="E8673" t="s">
        <v>4581</v>
      </c>
      <c r="F8673">
        <v>9885.69</v>
      </c>
      <c r="H8673">
        <v>127638.16</v>
      </c>
    </row>
    <row r="8674" spans="1:10" ht="15" customHeight="1" x14ac:dyDescent="0.2">
      <c r="A8674" s="420">
        <v>45964</v>
      </c>
      <c r="B8674" t="s">
        <v>2532</v>
      </c>
      <c r="C8674" t="s">
        <v>7892</v>
      </c>
      <c r="D8674" t="s">
        <v>4598</v>
      </c>
      <c r="E8674" t="s">
        <v>4599</v>
      </c>
      <c r="F8674">
        <v>8637.85</v>
      </c>
      <c r="H8674">
        <v>136276.01</v>
      </c>
    </row>
    <row r="8675" spans="1:10" ht="15" customHeight="1" x14ac:dyDescent="0.2">
      <c r="A8675" s="420">
        <v>45991</v>
      </c>
      <c r="B8675" t="s">
        <v>2532</v>
      </c>
      <c r="C8675" t="s">
        <v>7892</v>
      </c>
      <c r="D8675" t="s">
        <v>4604</v>
      </c>
      <c r="E8675" t="s">
        <v>4605</v>
      </c>
      <c r="F8675">
        <v>8659.14</v>
      </c>
      <c r="H8675">
        <v>144935.15</v>
      </c>
    </row>
    <row r="8676" spans="1:10" ht="15" customHeight="1" x14ac:dyDescent="0.2">
      <c r="A8676" s="420">
        <v>45991</v>
      </c>
      <c r="B8676" t="s">
        <v>2532</v>
      </c>
      <c r="C8676" t="s">
        <v>7892</v>
      </c>
      <c r="D8676" t="s">
        <v>4612</v>
      </c>
      <c r="E8676" t="s">
        <v>4613</v>
      </c>
      <c r="F8676">
        <v>9537.67</v>
      </c>
      <c r="H8676">
        <v>154472.82</v>
      </c>
    </row>
    <row r="8677" spans="1:10" ht="15" customHeight="1" x14ac:dyDescent="0.2">
      <c r="A8677" s="420">
        <v>45992</v>
      </c>
      <c r="B8677" t="s">
        <v>2532</v>
      </c>
      <c r="C8677" t="s">
        <v>7892</v>
      </c>
      <c r="D8677" t="s">
        <v>4590</v>
      </c>
      <c r="E8677" t="s">
        <v>4591</v>
      </c>
      <c r="F8677">
        <v>8564.51</v>
      </c>
      <c r="H8677">
        <v>163037.32999999999</v>
      </c>
    </row>
    <row r="8678" spans="1:10" ht="15" customHeight="1" x14ac:dyDescent="0.2">
      <c r="A8678" s="420">
        <v>46022</v>
      </c>
      <c r="B8678" t="s">
        <v>2333</v>
      </c>
      <c r="C8678" t="s">
        <v>7892</v>
      </c>
      <c r="D8678" t="s">
        <v>7490</v>
      </c>
      <c r="E8678" t="s">
        <v>7491</v>
      </c>
      <c r="G8678">
        <v>32651</v>
      </c>
      <c r="H8678">
        <v>130386.33</v>
      </c>
    </row>
    <row r="8679" spans="1:10" ht="15" customHeight="1" x14ac:dyDescent="0.2">
      <c r="A8679" s="420">
        <v>46022</v>
      </c>
      <c r="B8679" t="s">
        <v>2507</v>
      </c>
      <c r="C8679" t="s">
        <v>7892</v>
      </c>
      <c r="D8679" t="s">
        <v>5534</v>
      </c>
      <c r="E8679" t="s">
        <v>5534</v>
      </c>
      <c r="F8679">
        <v>24664</v>
      </c>
      <c r="H8679">
        <v>155050.32999999999</v>
      </c>
      <c r="J8679" t="s">
        <v>2511</v>
      </c>
    </row>
    <row r="8680" spans="1:10" ht="15" customHeight="1" x14ac:dyDescent="0.2">
      <c r="A8680" t="s">
        <v>7892</v>
      </c>
      <c r="E8680" t="s">
        <v>349</v>
      </c>
      <c r="F8680">
        <v>246659.33</v>
      </c>
      <c r="G8680">
        <v>91609</v>
      </c>
      <c r="H8680">
        <v>155050.32999999999</v>
      </c>
    </row>
    <row r="8682" spans="1:10" ht="15" customHeight="1" x14ac:dyDescent="0.2">
      <c r="A8682" t="s">
        <v>7894</v>
      </c>
      <c r="B8682" t="s">
        <v>7895</v>
      </c>
      <c r="F8682" t="s">
        <v>2430</v>
      </c>
      <c r="G8682" t="s">
        <v>2431</v>
      </c>
      <c r="H8682" t="s">
        <v>2432</v>
      </c>
      <c r="I8682" t="s">
        <v>2433</v>
      </c>
      <c r="J8682" t="s">
        <v>2434</v>
      </c>
    </row>
    <row r="8683" spans="1:10" ht="15" customHeight="1" x14ac:dyDescent="0.2">
      <c r="A8683" s="420">
        <v>45658</v>
      </c>
      <c r="B8683" t="s">
        <v>2507</v>
      </c>
      <c r="C8683" t="s">
        <v>7894</v>
      </c>
      <c r="D8683" t="s">
        <v>5497</v>
      </c>
      <c r="E8683" t="s">
        <v>5498</v>
      </c>
      <c r="G8683">
        <v>5541</v>
      </c>
      <c r="I8683">
        <v>5541</v>
      </c>
      <c r="J8683" t="s">
        <v>2511</v>
      </c>
    </row>
    <row r="8684" spans="1:10" ht="15" customHeight="1" x14ac:dyDescent="0.2">
      <c r="A8684" s="420">
        <v>45658</v>
      </c>
      <c r="B8684" t="s">
        <v>2517</v>
      </c>
      <c r="C8684" t="s">
        <v>7894</v>
      </c>
      <c r="D8684" t="s">
        <v>7463</v>
      </c>
      <c r="E8684" t="s">
        <v>7464</v>
      </c>
      <c r="F8684">
        <v>3938</v>
      </c>
      <c r="I8684">
        <v>1603</v>
      </c>
    </row>
    <row r="8685" spans="1:10" ht="15" customHeight="1" x14ac:dyDescent="0.2">
      <c r="A8685" s="420">
        <v>45688</v>
      </c>
      <c r="B8685" t="s">
        <v>2532</v>
      </c>
      <c r="C8685" t="s">
        <v>7894</v>
      </c>
      <c r="D8685" t="s">
        <v>4386</v>
      </c>
      <c r="E8685" t="s">
        <v>4387</v>
      </c>
      <c r="F8685">
        <v>1713.81</v>
      </c>
      <c r="H8685">
        <v>110.81</v>
      </c>
    </row>
    <row r="8686" spans="1:10" ht="15" customHeight="1" x14ac:dyDescent="0.2">
      <c r="A8686" s="420">
        <v>45719</v>
      </c>
      <c r="B8686" t="s">
        <v>2532</v>
      </c>
      <c r="C8686" t="s">
        <v>7894</v>
      </c>
      <c r="D8686" t="s">
        <v>4402</v>
      </c>
      <c r="E8686" t="s">
        <v>4403</v>
      </c>
      <c r="F8686">
        <v>1533.73</v>
      </c>
      <c r="H8686">
        <v>1644.54</v>
      </c>
    </row>
    <row r="8687" spans="1:10" ht="15" customHeight="1" x14ac:dyDescent="0.2">
      <c r="A8687" s="420">
        <v>45747</v>
      </c>
      <c r="B8687" t="s">
        <v>2532</v>
      </c>
      <c r="C8687" t="s">
        <v>7894</v>
      </c>
      <c r="D8687" t="s">
        <v>4418</v>
      </c>
      <c r="E8687" t="s">
        <v>4419</v>
      </c>
      <c r="F8687">
        <v>1533.99</v>
      </c>
      <c r="H8687">
        <v>3178.53</v>
      </c>
    </row>
    <row r="8688" spans="1:10" ht="15" customHeight="1" x14ac:dyDescent="0.2">
      <c r="A8688" s="420">
        <v>45777</v>
      </c>
      <c r="B8688" t="s">
        <v>2532</v>
      </c>
      <c r="C8688" t="s">
        <v>7894</v>
      </c>
      <c r="D8688" t="s">
        <v>4434</v>
      </c>
      <c r="E8688" t="s">
        <v>4435</v>
      </c>
      <c r="F8688">
        <v>1266.76</v>
      </c>
      <c r="H8688">
        <v>4445.29</v>
      </c>
    </row>
    <row r="8689" spans="1:10" ht="15" customHeight="1" x14ac:dyDescent="0.2">
      <c r="A8689" s="420">
        <v>45777</v>
      </c>
      <c r="B8689" t="s">
        <v>2547</v>
      </c>
      <c r="C8689" t="s">
        <v>7894</v>
      </c>
      <c r="D8689" t="s">
        <v>4511</v>
      </c>
      <c r="E8689" t="s">
        <v>4512</v>
      </c>
      <c r="F8689">
        <v>1280.5</v>
      </c>
      <c r="H8689">
        <v>5725.79</v>
      </c>
    </row>
    <row r="8690" spans="1:10" ht="15" customHeight="1" x14ac:dyDescent="0.2">
      <c r="A8690" s="420">
        <v>45779</v>
      </c>
      <c r="B8690" t="s">
        <v>2532</v>
      </c>
      <c r="C8690" t="s">
        <v>7894</v>
      </c>
      <c r="D8690" t="s">
        <v>4456</v>
      </c>
      <c r="E8690" t="s">
        <v>4457</v>
      </c>
      <c r="F8690">
        <v>1431.49</v>
      </c>
      <c r="H8690">
        <v>7157.28</v>
      </c>
    </row>
    <row r="8691" spans="1:10" ht="15" customHeight="1" x14ac:dyDescent="0.2">
      <c r="A8691" s="420">
        <v>45810</v>
      </c>
      <c r="B8691" t="s">
        <v>2532</v>
      </c>
      <c r="C8691" t="s">
        <v>7894</v>
      </c>
      <c r="D8691" t="s">
        <v>4476</v>
      </c>
      <c r="E8691" t="s">
        <v>4477</v>
      </c>
      <c r="F8691">
        <v>1655.26</v>
      </c>
      <c r="H8691">
        <v>8812.5400000000009</v>
      </c>
    </row>
    <row r="8692" spans="1:10" ht="15" customHeight="1" x14ac:dyDescent="0.2">
      <c r="A8692" s="420">
        <v>45810</v>
      </c>
      <c r="B8692" t="s">
        <v>2532</v>
      </c>
      <c r="C8692" t="s">
        <v>7894</v>
      </c>
      <c r="D8692" t="s">
        <v>4494</v>
      </c>
      <c r="E8692" t="s">
        <v>4495</v>
      </c>
      <c r="F8692">
        <v>1356.2</v>
      </c>
      <c r="H8692">
        <v>10168.74</v>
      </c>
    </row>
    <row r="8693" spans="1:10" ht="15" customHeight="1" x14ac:dyDescent="0.2">
      <c r="A8693" s="420">
        <v>45838</v>
      </c>
      <c r="B8693" t="s">
        <v>2535</v>
      </c>
      <c r="C8693" t="s">
        <v>7894</v>
      </c>
      <c r="D8693" t="s">
        <v>7473</v>
      </c>
      <c r="E8693" t="s">
        <v>7475</v>
      </c>
      <c r="G8693">
        <v>4319</v>
      </c>
      <c r="H8693">
        <v>5849.74</v>
      </c>
      <c r="J8693" t="s">
        <v>2513</v>
      </c>
    </row>
    <row r="8694" spans="1:10" ht="15" customHeight="1" x14ac:dyDescent="0.2">
      <c r="A8694" s="420">
        <v>45838</v>
      </c>
      <c r="B8694" t="s">
        <v>2535</v>
      </c>
      <c r="C8694" t="s">
        <v>7894</v>
      </c>
      <c r="D8694" t="s">
        <v>5516</v>
      </c>
      <c r="E8694" t="s">
        <v>5517</v>
      </c>
      <c r="F8694">
        <v>9960</v>
      </c>
      <c r="H8694">
        <v>15809.74</v>
      </c>
      <c r="J8694" t="s">
        <v>2509</v>
      </c>
    </row>
    <row r="8695" spans="1:10" ht="15" customHeight="1" x14ac:dyDescent="0.2">
      <c r="A8695" s="420">
        <v>45839</v>
      </c>
      <c r="B8695" t="s">
        <v>2535</v>
      </c>
      <c r="C8695" t="s">
        <v>7894</v>
      </c>
      <c r="D8695" t="s">
        <v>5516</v>
      </c>
      <c r="E8695" t="s">
        <v>5525</v>
      </c>
      <c r="G8695">
        <v>9960</v>
      </c>
      <c r="H8695">
        <v>5849.74</v>
      </c>
      <c r="J8695" t="s">
        <v>2509</v>
      </c>
    </row>
    <row r="8696" spans="1:10" ht="15" customHeight="1" x14ac:dyDescent="0.2">
      <c r="A8696" s="420">
        <v>45839</v>
      </c>
      <c r="B8696" t="s">
        <v>2547</v>
      </c>
      <c r="C8696" t="s">
        <v>7894</v>
      </c>
      <c r="D8696" t="s">
        <v>4525</v>
      </c>
      <c r="E8696" t="s">
        <v>4526</v>
      </c>
      <c r="F8696">
        <v>1705.78</v>
      </c>
      <c r="H8696">
        <v>7555.52</v>
      </c>
    </row>
    <row r="8697" spans="1:10" ht="15" customHeight="1" x14ac:dyDescent="0.2">
      <c r="A8697" s="420">
        <v>45839</v>
      </c>
      <c r="B8697" t="s">
        <v>2535</v>
      </c>
      <c r="C8697" t="s">
        <v>7894</v>
      </c>
      <c r="D8697" t="s">
        <v>7473</v>
      </c>
      <c r="E8697" t="s">
        <v>7485</v>
      </c>
      <c r="F8697">
        <v>4319</v>
      </c>
      <c r="H8697">
        <v>11874.52</v>
      </c>
      <c r="J8697" t="s">
        <v>2513</v>
      </c>
    </row>
    <row r="8698" spans="1:10" ht="15" customHeight="1" x14ac:dyDescent="0.2">
      <c r="A8698" s="420">
        <v>45869</v>
      </c>
      <c r="B8698" t="s">
        <v>2532</v>
      </c>
      <c r="C8698" t="s">
        <v>7894</v>
      </c>
      <c r="D8698" t="s">
        <v>4533</v>
      </c>
      <c r="E8698" t="s">
        <v>4534</v>
      </c>
      <c r="F8698">
        <v>3420.29</v>
      </c>
      <c r="H8698">
        <v>15294.81</v>
      </c>
    </row>
    <row r="8699" spans="1:10" ht="15" customHeight="1" x14ac:dyDescent="0.2">
      <c r="A8699" s="420">
        <v>45869</v>
      </c>
      <c r="B8699" t="s">
        <v>2532</v>
      </c>
      <c r="C8699" t="s">
        <v>7894</v>
      </c>
      <c r="D8699" t="s">
        <v>4541</v>
      </c>
      <c r="E8699" t="s">
        <v>4542</v>
      </c>
      <c r="F8699">
        <v>2954.77</v>
      </c>
      <c r="H8699">
        <v>18249.580000000002</v>
      </c>
    </row>
    <row r="8700" spans="1:10" ht="15" customHeight="1" x14ac:dyDescent="0.2">
      <c r="A8700" s="420">
        <v>45869</v>
      </c>
      <c r="B8700" t="s">
        <v>2532</v>
      </c>
      <c r="C8700" t="s">
        <v>7894</v>
      </c>
      <c r="D8700" t="s">
        <v>4566</v>
      </c>
      <c r="E8700" t="s">
        <v>4567</v>
      </c>
      <c r="F8700">
        <v>3490.42</v>
      </c>
      <c r="H8700">
        <v>21740</v>
      </c>
    </row>
    <row r="8701" spans="1:10" ht="15" customHeight="1" x14ac:dyDescent="0.2">
      <c r="A8701" s="420">
        <v>45901</v>
      </c>
      <c r="B8701" t="s">
        <v>2532</v>
      </c>
      <c r="C8701" t="s">
        <v>7894</v>
      </c>
      <c r="D8701" t="s">
        <v>4551</v>
      </c>
      <c r="E8701" t="s">
        <v>4552</v>
      </c>
      <c r="F8701">
        <v>3471.42</v>
      </c>
      <c r="H8701">
        <v>25211.42</v>
      </c>
    </row>
    <row r="8702" spans="1:10" ht="15" customHeight="1" x14ac:dyDescent="0.2">
      <c r="A8702" s="420">
        <v>45931</v>
      </c>
      <c r="B8702" t="s">
        <v>2532</v>
      </c>
      <c r="C8702" t="s">
        <v>7894</v>
      </c>
      <c r="D8702" t="s">
        <v>4556</v>
      </c>
      <c r="E8702" t="s">
        <v>4557</v>
      </c>
      <c r="F8702">
        <v>3134.46</v>
      </c>
      <c r="H8702">
        <v>28345.88</v>
      </c>
    </row>
    <row r="8703" spans="1:10" ht="15" customHeight="1" x14ac:dyDescent="0.2">
      <c r="A8703" s="420">
        <v>45961</v>
      </c>
      <c r="B8703" t="s">
        <v>2532</v>
      </c>
      <c r="C8703" t="s">
        <v>7894</v>
      </c>
      <c r="D8703" t="s">
        <v>4574</v>
      </c>
      <c r="E8703" t="s">
        <v>4575</v>
      </c>
      <c r="F8703">
        <v>2806.63</v>
      </c>
      <c r="H8703">
        <v>31152.51</v>
      </c>
    </row>
    <row r="8704" spans="1:10" ht="15" customHeight="1" x14ac:dyDescent="0.2">
      <c r="A8704" s="420">
        <v>45961</v>
      </c>
      <c r="B8704" t="s">
        <v>2532</v>
      </c>
      <c r="C8704" t="s">
        <v>7894</v>
      </c>
      <c r="D8704" t="s">
        <v>4582</v>
      </c>
      <c r="E8704" t="s">
        <v>4583</v>
      </c>
      <c r="F8704">
        <v>3802.19</v>
      </c>
      <c r="H8704">
        <v>34954.699999999997</v>
      </c>
    </row>
    <row r="8705" spans="1:10" ht="15" customHeight="1" x14ac:dyDescent="0.2">
      <c r="A8705" s="420">
        <v>45961</v>
      </c>
      <c r="B8705" t="s">
        <v>2532</v>
      </c>
      <c r="C8705" t="s">
        <v>7894</v>
      </c>
      <c r="D8705" t="s">
        <v>4596</v>
      </c>
      <c r="E8705" t="s">
        <v>4597</v>
      </c>
      <c r="F8705">
        <v>3322.25</v>
      </c>
      <c r="H8705">
        <v>38276.949999999997</v>
      </c>
    </row>
    <row r="8706" spans="1:10" ht="15" customHeight="1" x14ac:dyDescent="0.2">
      <c r="A8706" s="420">
        <v>45991</v>
      </c>
      <c r="B8706" t="s">
        <v>2532</v>
      </c>
      <c r="C8706" t="s">
        <v>7894</v>
      </c>
      <c r="D8706" t="s">
        <v>4606</v>
      </c>
      <c r="E8706" t="s">
        <v>4607</v>
      </c>
      <c r="F8706">
        <v>3330.44</v>
      </c>
      <c r="H8706">
        <v>41607.39</v>
      </c>
    </row>
    <row r="8707" spans="1:10" ht="15" customHeight="1" x14ac:dyDescent="0.2">
      <c r="A8707" s="420">
        <v>45991</v>
      </c>
      <c r="B8707" t="s">
        <v>2532</v>
      </c>
      <c r="C8707" t="s">
        <v>7894</v>
      </c>
      <c r="D8707" t="s">
        <v>4614</v>
      </c>
      <c r="E8707" t="s">
        <v>4615</v>
      </c>
      <c r="F8707">
        <v>3668.33</v>
      </c>
      <c r="H8707">
        <v>45275.72</v>
      </c>
    </row>
    <row r="8708" spans="1:10" ht="15" customHeight="1" x14ac:dyDescent="0.2">
      <c r="A8708" s="420">
        <v>45992</v>
      </c>
      <c r="B8708" t="s">
        <v>2532</v>
      </c>
      <c r="C8708" t="s">
        <v>7894</v>
      </c>
      <c r="D8708" t="s">
        <v>4588</v>
      </c>
      <c r="E8708" t="s">
        <v>4589</v>
      </c>
      <c r="F8708">
        <v>3294.04</v>
      </c>
      <c r="H8708">
        <v>48569.760000000002</v>
      </c>
    </row>
    <row r="8709" spans="1:10" ht="15" customHeight="1" x14ac:dyDescent="0.2">
      <c r="A8709" s="420">
        <v>46022</v>
      </c>
      <c r="B8709" t="s">
        <v>2507</v>
      </c>
      <c r="C8709" t="s">
        <v>7894</v>
      </c>
      <c r="D8709" t="s">
        <v>5535</v>
      </c>
      <c r="E8709" t="s">
        <v>5535</v>
      </c>
      <c r="F8709">
        <v>10164</v>
      </c>
      <c r="H8709">
        <v>58733.760000000002</v>
      </c>
      <c r="J8709" t="s">
        <v>2511</v>
      </c>
    </row>
    <row r="8710" spans="1:10" ht="15" customHeight="1" x14ac:dyDescent="0.2">
      <c r="A8710" s="420">
        <v>46022</v>
      </c>
      <c r="B8710" t="s">
        <v>2507</v>
      </c>
      <c r="C8710" t="s">
        <v>7894</v>
      </c>
      <c r="D8710" t="s">
        <v>7492</v>
      </c>
      <c r="E8710" t="s">
        <v>7475</v>
      </c>
      <c r="G8710">
        <v>12429</v>
      </c>
      <c r="H8710">
        <v>46304.76</v>
      </c>
    </row>
    <row r="8711" spans="1:10" ht="15" customHeight="1" x14ac:dyDescent="0.2">
      <c r="A8711" t="s">
        <v>7894</v>
      </c>
      <c r="E8711" t="s">
        <v>349</v>
      </c>
      <c r="F8711">
        <v>78553.759999999995</v>
      </c>
      <c r="G8711">
        <v>32249</v>
      </c>
      <c r="H8711">
        <v>46304.76</v>
      </c>
    </row>
    <row r="8713" spans="1:10" ht="15" customHeight="1" x14ac:dyDescent="0.2">
      <c r="A8713" t="s">
        <v>811</v>
      </c>
      <c r="B8713" t="s">
        <v>812</v>
      </c>
      <c r="F8713" t="s">
        <v>2430</v>
      </c>
      <c r="G8713" t="s">
        <v>2431</v>
      </c>
      <c r="H8713" t="s">
        <v>2432</v>
      </c>
      <c r="I8713" t="s">
        <v>2433</v>
      </c>
      <c r="J8713" t="s">
        <v>2434</v>
      </c>
    </row>
    <row r="8714" spans="1:10" ht="15" customHeight="1" x14ac:dyDescent="0.2">
      <c r="A8714" s="420">
        <v>45659</v>
      </c>
      <c r="B8714" t="s">
        <v>2517</v>
      </c>
      <c r="C8714" t="s">
        <v>811</v>
      </c>
      <c r="D8714" t="s">
        <v>6076</v>
      </c>
      <c r="E8714" t="s">
        <v>813</v>
      </c>
      <c r="F8714">
        <v>0.1</v>
      </c>
      <c r="H8714">
        <v>0.1</v>
      </c>
    </row>
    <row r="8715" spans="1:10" ht="15" customHeight="1" x14ac:dyDescent="0.2">
      <c r="A8715" s="420">
        <v>45679</v>
      </c>
      <c r="B8715" t="s">
        <v>2517</v>
      </c>
      <c r="C8715" t="s">
        <v>811</v>
      </c>
      <c r="D8715" t="s">
        <v>6265</v>
      </c>
      <c r="E8715" t="s">
        <v>818</v>
      </c>
      <c r="F8715">
        <v>0.15</v>
      </c>
      <c r="H8715">
        <v>0.25</v>
      </c>
    </row>
    <row r="8716" spans="1:10" ht="15" customHeight="1" x14ac:dyDescent="0.2">
      <c r="A8716" s="420">
        <v>45684</v>
      </c>
      <c r="B8716" t="s">
        <v>2517</v>
      </c>
      <c r="C8716" t="s">
        <v>811</v>
      </c>
      <c r="D8716" t="s">
        <v>3458</v>
      </c>
      <c r="E8716" t="s">
        <v>820</v>
      </c>
      <c r="F8716">
        <v>2</v>
      </c>
      <c r="H8716">
        <v>2.25</v>
      </c>
    </row>
    <row r="8717" spans="1:10" ht="15" customHeight="1" x14ac:dyDescent="0.2">
      <c r="A8717" s="420">
        <v>45688</v>
      </c>
      <c r="B8717" t="s">
        <v>2439</v>
      </c>
      <c r="C8717" t="s">
        <v>811</v>
      </c>
      <c r="D8717" t="s">
        <v>7200</v>
      </c>
      <c r="E8717" t="s">
        <v>822</v>
      </c>
      <c r="F8717">
        <v>0.02</v>
      </c>
      <c r="H8717">
        <v>2.27</v>
      </c>
    </row>
    <row r="8718" spans="1:10" ht="15" customHeight="1" x14ac:dyDescent="0.2">
      <c r="A8718" s="420">
        <v>45713</v>
      </c>
      <c r="B8718" t="s">
        <v>2517</v>
      </c>
      <c r="C8718" t="s">
        <v>811</v>
      </c>
      <c r="D8718" t="s">
        <v>3466</v>
      </c>
      <c r="E8718" t="s">
        <v>820</v>
      </c>
      <c r="F8718">
        <v>2</v>
      </c>
      <c r="H8718">
        <v>4.2699999999999996</v>
      </c>
    </row>
    <row r="8719" spans="1:10" ht="15" customHeight="1" x14ac:dyDescent="0.2">
      <c r="A8719" s="420">
        <v>45734</v>
      </c>
      <c r="B8719" t="s">
        <v>2517</v>
      </c>
      <c r="C8719" t="s">
        <v>811</v>
      </c>
      <c r="D8719" t="s">
        <v>6174</v>
      </c>
      <c r="E8719" t="s">
        <v>827</v>
      </c>
      <c r="F8719">
        <v>0.39</v>
      </c>
      <c r="H8719">
        <v>4.66</v>
      </c>
    </row>
    <row r="8720" spans="1:10" ht="15" customHeight="1" x14ac:dyDescent="0.2">
      <c r="A8720" s="420">
        <v>45741</v>
      </c>
      <c r="B8720" t="s">
        <v>2517</v>
      </c>
      <c r="C8720" t="s">
        <v>811</v>
      </c>
      <c r="D8720" t="s">
        <v>3470</v>
      </c>
      <c r="E8720" t="s">
        <v>820</v>
      </c>
      <c r="F8720">
        <v>2</v>
      </c>
      <c r="H8720">
        <v>6.66</v>
      </c>
    </row>
    <row r="8721" spans="1:8" ht="15" customHeight="1" x14ac:dyDescent="0.2">
      <c r="A8721" s="420">
        <v>45747</v>
      </c>
      <c r="B8721" t="s">
        <v>2517</v>
      </c>
      <c r="C8721" t="s">
        <v>811</v>
      </c>
      <c r="D8721" t="s">
        <v>6311</v>
      </c>
      <c r="E8721" t="s">
        <v>829</v>
      </c>
      <c r="F8721">
        <v>0.16</v>
      </c>
      <c r="H8721">
        <v>6.82</v>
      </c>
    </row>
    <row r="8722" spans="1:8" ht="15" customHeight="1" x14ac:dyDescent="0.2">
      <c r="A8722" s="420">
        <v>45747</v>
      </c>
      <c r="B8722" t="s">
        <v>2517</v>
      </c>
      <c r="C8722" t="s">
        <v>811</v>
      </c>
      <c r="D8722" t="s">
        <v>4706</v>
      </c>
      <c r="E8722" t="s">
        <v>830</v>
      </c>
      <c r="F8722">
        <v>0.09</v>
      </c>
      <c r="H8722">
        <v>6.91</v>
      </c>
    </row>
    <row r="8723" spans="1:8" ht="15" customHeight="1" x14ac:dyDescent="0.2">
      <c r="A8723" s="420">
        <v>45749</v>
      </c>
      <c r="B8723" t="s">
        <v>2517</v>
      </c>
      <c r="C8723" t="s">
        <v>811</v>
      </c>
      <c r="D8723" t="s">
        <v>4684</v>
      </c>
      <c r="E8723" t="s">
        <v>831</v>
      </c>
      <c r="F8723">
        <v>1.24</v>
      </c>
      <c r="H8723">
        <v>8.15</v>
      </c>
    </row>
    <row r="8724" spans="1:8" ht="15" customHeight="1" x14ac:dyDescent="0.2">
      <c r="A8724" s="420">
        <v>45754</v>
      </c>
      <c r="B8724" t="s">
        <v>2517</v>
      </c>
      <c r="C8724" t="s">
        <v>811</v>
      </c>
      <c r="D8724" t="s">
        <v>7209</v>
      </c>
      <c r="E8724" t="s">
        <v>833</v>
      </c>
      <c r="F8724">
        <v>0.01</v>
      </c>
      <c r="H8724">
        <v>8.16</v>
      </c>
    </row>
    <row r="8725" spans="1:8" ht="15" customHeight="1" x14ac:dyDescent="0.2">
      <c r="A8725" s="420">
        <v>45771</v>
      </c>
      <c r="B8725" t="s">
        <v>2517</v>
      </c>
      <c r="C8725" t="s">
        <v>811</v>
      </c>
      <c r="D8725" t="s">
        <v>6273</v>
      </c>
      <c r="E8725" t="s">
        <v>818</v>
      </c>
      <c r="F8725">
        <v>0.09</v>
      </c>
      <c r="H8725">
        <v>8.25</v>
      </c>
    </row>
    <row r="8726" spans="1:8" ht="15" customHeight="1" x14ac:dyDescent="0.2">
      <c r="A8726" s="420">
        <v>45772</v>
      </c>
      <c r="B8726" t="s">
        <v>2517</v>
      </c>
      <c r="C8726" t="s">
        <v>811</v>
      </c>
      <c r="D8726" t="s">
        <v>3477</v>
      </c>
      <c r="E8726" t="s">
        <v>820</v>
      </c>
      <c r="F8726">
        <v>2</v>
      </c>
      <c r="H8726">
        <v>10.25</v>
      </c>
    </row>
    <row r="8727" spans="1:8" ht="15" customHeight="1" x14ac:dyDescent="0.2">
      <c r="A8727" s="420">
        <v>45777</v>
      </c>
      <c r="B8727" t="s">
        <v>2517</v>
      </c>
      <c r="C8727" t="s">
        <v>811</v>
      </c>
      <c r="D8727" t="s">
        <v>7226</v>
      </c>
      <c r="E8727" t="s">
        <v>835</v>
      </c>
      <c r="F8727">
        <v>0.01</v>
      </c>
      <c r="H8727">
        <v>10.26</v>
      </c>
    </row>
    <row r="8728" spans="1:8" ht="15" customHeight="1" x14ac:dyDescent="0.2">
      <c r="A8728" s="420">
        <v>45777</v>
      </c>
      <c r="B8728" t="s">
        <v>2517</v>
      </c>
      <c r="C8728" t="s">
        <v>811</v>
      </c>
      <c r="D8728" t="s">
        <v>6313</v>
      </c>
      <c r="E8728" t="s">
        <v>836</v>
      </c>
      <c r="F8728">
        <v>0.27</v>
      </c>
      <c r="H8728">
        <v>10.53</v>
      </c>
    </row>
    <row r="8729" spans="1:8" ht="15" customHeight="1" x14ac:dyDescent="0.2">
      <c r="A8729" s="420">
        <v>45793</v>
      </c>
      <c r="B8729" t="s">
        <v>2517</v>
      </c>
      <c r="C8729" t="s">
        <v>811</v>
      </c>
      <c r="D8729" t="s">
        <v>6183</v>
      </c>
      <c r="E8729" t="s">
        <v>827</v>
      </c>
      <c r="F8729">
        <v>1.51</v>
      </c>
      <c r="H8729">
        <v>12.04</v>
      </c>
    </row>
    <row r="8730" spans="1:8" ht="15" customHeight="1" x14ac:dyDescent="0.2">
      <c r="A8730" s="420">
        <v>45798</v>
      </c>
      <c r="B8730" t="s">
        <v>2517</v>
      </c>
      <c r="C8730" t="s">
        <v>811</v>
      </c>
      <c r="D8730" t="s">
        <v>6276</v>
      </c>
      <c r="E8730" t="s">
        <v>818</v>
      </c>
      <c r="F8730">
        <v>0.2</v>
      </c>
      <c r="H8730">
        <v>12.24</v>
      </c>
    </row>
    <row r="8731" spans="1:8" ht="15" customHeight="1" x14ac:dyDescent="0.2">
      <c r="A8731" s="420">
        <v>45803</v>
      </c>
      <c r="B8731" t="s">
        <v>2517</v>
      </c>
      <c r="C8731" t="s">
        <v>811</v>
      </c>
      <c r="D8731" t="s">
        <v>3485</v>
      </c>
      <c r="E8731" t="s">
        <v>820</v>
      </c>
      <c r="F8731">
        <v>3</v>
      </c>
      <c r="H8731">
        <v>15.24</v>
      </c>
    </row>
    <row r="8732" spans="1:8" ht="15" customHeight="1" x14ac:dyDescent="0.2">
      <c r="A8732" s="420">
        <v>45807</v>
      </c>
      <c r="B8732" t="s">
        <v>2517</v>
      </c>
      <c r="C8732" t="s">
        <v>811</v>
      </c>
      <c r="D8732" t="s">
        <v>4795</v>
      </c>
      <c r="E8732" t="s">
        <v>843</v>
      </c>
      <c r="F8732">
        <v>0.02</v>
      </c>
      <c r="H8732">
        <v>15.26</v>
      </c>
    </row>
    <row r="8733" spans="1:8" ht="15" customHeight="1" x14ac:dyDescent="0.2">
      <c r="A8733" s="420">
        <v>45808</v>
      </c>
      <c r="B8733" t="s">
        <v>2517</v>
      </c>
      <c r="C8733" t="s">
        <v>811</v>
      </c>
      <c r="D8733" t="s">
        <v>6317</v>
      </c>
      <c r="E8733" t="s">
        <v>844</v>
      </c>
      <c r="F8733">
        <v>0.28000000000000003</v>
      </c>
      <c r="H8733">
        <v>15.54</v>
      </c>
    </row>
    <row r="8734" spans="1:8" ht="15" customHeight="1" x14ac:dyDescent="0.2">
      <c r="A8734" s="420">
        <v>45810</v>
      </c>
      <c r="B8734" t="s">
        <v>2517</v>
      </c>
      <c r="C8734" t="s">
        <v>811</v>
      </c>
      <c r="D8734" t="s">
        <v>4711</v>
      </c>
      <c r="E8734" t="s">
        <v>830</v>
      </c>
      <c r="F8734">
        <v>0.06</v>
      </c>
      <c r="H8734">
        <v>15.6</v>
      </c>
    </row>
    <row r="8735" spans="1:8" ht="15" customHeight="1" x14ac:dyDescent="0.2">
      <c r="A8735" s="420">
        <v>45825</v>
      </c>
      <c r="B8735" t="s">
        <v>2517</v>
      </c>
      <c r="C8735" t="s">
        <v>811</v>
      </c>
      <c r="D8735" t="s">
        <v>6187</v>
      </c>
      <c r="E8735" t="s">
        <v>827</v>
      </c>
      <c r="F8735">
        <v>0.03</v>
      </c>
      <c r="H8735">
        <v>15.63</v>
      </c>
    </row>
    <row r="8736" spans="1:8" ht="15" customHeight="1" x14ac:dyDescent="0.2">
      <c r="A8736" s="420">
        <v>45834</v>
      </c>
      <c r="B8736" t="s">
        <v>2517</v>
      </c>
      <c r="C8736" t="s">
        <v>811</v>
      </c>
      <c r="D8736" t="s">
        <v>3493</v>
      </c>
      <c r="E8736" t="s">
        <v>820</v>
      </c>
      <c r="F8736">
        <v>2</v>
      </c>
      <c r="H8736">
        <v>17.63</v>
      </c>
    </row>
    <row r="8737" spans="1:10" ht="15" customHeight="1" x14ac:dyDescent="0.2">
      <c r="A8737" s="420">
        <v>45838</v>
      </c>
      <c r="B8737" t="s">
        <v>2517</v>
      </c>
      <c r="C8737" t="s">
        <v>811</v>
      </c>
      <c r="D8737" t="s">
        <v>6319</v>
      </c>
      <c r="E8737" t="s">
        <v>846</v>
      </c>
      <c r="F8737">
        <v>0.98</v>
      </c>
      <c r="H8737">
        <v>18.61</v>
      </c>
    </row>
    <row r="8738" spans="1:10" ht="15" customHeight="1" x14ac:dyDescent="0.2">
      <c r="A8738" s="420">
        <v>45839</v>
      </c>
      <c r="B8738" t="s">
        <v>2517</v>
      </c>
      <c r="C8738" t="s">
        <v>811</v>
      </c>
      <c r="D8738" t="s">
        <v>7896</v>
      </c>
      <c r="E8738" t="s">
        <v>854</v>
      </c>
      <c r="G8738">
        <v>18.61</v>
      </c>
    </row>
    <row r="8739" spans="1:10" ht="15" customHeight="1" x14ac:dyDescent="0.2">
      <c r="A8739" t="s">
        <v>811</v>
      </c>
      <c r="E8739" t="s">
        <v>349</v>
      </c>
      <c r="F8739">
        <v>18.61</v>
      </c>
      <c r="G8739">
        <v>18.61</v>
      </c>
    </row>
    <row r="8741" spans="1:10" ht="15" customHeight="1" x14ac:dyDescent="0.2">
      <c r="A8741" t="s">
        <v>7897</v>
      </c>
      <c r="B8741" t="s">
        <v>7898</v>
      </c>
      <c r="F8741" t="s">
        <v>2430</v>
      </c>
      <c r="G8741" t="s">
        <v>2431</v>
      </c>
      <c r="H8741" t="s">
        <v>2432</v>
      </c>
      <c r="I8741" t="s">
        <v>2433</v>
      </c>
      <c r="J8741" t="s">
        <v>2434</v>
      </c>
    </row>
    <row r="8742" spans="1:10" ht="15" customHeight="1" x14ac:dyDescent="0.2">
      <c r="A8742" s="420">
        <v>45839</v>
      </c>
      <c r="B8742" t="s">
        <v>2517</v>
      </c>
      <c r="C8742" t="s">
        <v>7897</v>
      </c>
      <c r="D8742" t="s">
        <v>7896</v>
      </c>
      <c r="E8742" t="s">
        <v>854</v>
      </c>
      <c r="F8742">
        <v>18.61</v>
      </c>
      <c r="H8742">
        <v>18.61</v>
      </c>
    </row>
    <row r="8743" spans="1:10" ht="15" customHeight="1" x14ac:dyDescent="0.2">
      <c r="A8743" s="420">
        <v>45840</v>
      </c>
      <c r="B8743" t="s">
        <v>2517</v>
      </c>
      <c r="C8743" t="s">
        <v>7897</v>
      </c>
      <c r="D8743" t="s">
        <v>4651</v>
      </c>
      <c r="E8743" t="s">
        <v>4652</v>
      </c>
      <c r="F8743">
        <v>0.02</v>
      </c>
      <c r="H8743">
        <v>18.63</v>
      </c>
    </row>
    <row r="8744" spans="1:10" ht="15" customHeight="1" x14ac:dyDescent="0.2">
      <c r="A8744" s="420">
        <v>45854</v>
      </c>
      <c r="B8744" t="s">
        <v>2517</v>
      </c>
      <c r="C8744" t="s">
        <v>7897</v>
      </c>
      <c r="D8744" t="s">
        <v>6191</v>
      </c>
      <c r="E8744" t="s">
        <v>827</v>
      </c>
      <c r="F8744">
        <v>0.15</v>
      </c>
      <c r="H8744">
        <v>18.78</v>
      </c>
    </row>
    <row r="8745" spans="1:10" ht="15" customHeight="1" x14ac:dyDescent="0.2">
      <c r="A8745" s="420">
        <v>45863</v>
      </c>
      <c r="B8745" t="s">
        <v>2517</v>
      </c>
      <c r="C8745" t="s">
        <v>7897</v>
      </c>
      <c r="D8745" t="s">
        <v>3501</v>
      </c>
      <c r="E8745" t="s">
        <v>820</v>
      </c>
      <c r="F8745">
        <v>2</v>
      </c>
      <c r="H8745">
        <v>20.78</v>
      </c>
    </row>
    <row r="8746" spans="1:10" ht="15" customHeight="1" x14ac:dyDescent="0.2">
      <c r="A8746" s="420">
        <v>45880</v>
      </c>
      <c r="B8746" t="s">
        <v>2517</v>
      </c>
      <c r="C8746" t="s">
        <v>7897</v>
      </c>
      <c r="D8746" t="s">
        <v>7419</v>
      </c>
      <c r="E8746" t="s">
        <v>7420</v>
      </c>
      <c r="F8746">
        <v>0.01</v>
      </c>
      <c r="H8746">
        <v>20.79</v>
      </c>
    </row>
    <row r="8747" spans="1:10" ht="15" customHeight="1" x14ac:dyDescent="0.2">
      <c r="A8747" s="420">
        <v>45888</v>
      </c>
      <c r="B8747" t="s">
        <v>2517</v>
      </c>
      <c r="C8747" t="s">
        <v>7897</v>
      </c>
      <c r="D8747" t="s">
        <v>6194</v>
      </c>
      <c r="E8747" t="s">
        <v>827</v>
      </c>
      <c r="F8747">
        <v>1.1200000000000001</v>
      </c>
      <c r="H8747">
        <v>21.91</v>
      </c>
    </row>
    <row r="8748" spans="1:10" ht="15" customHeight="1" x14ac:dyDescent="0.2">
      <c r="A8748" s="420">
        <v>45895</v>
      </c>
      <c r="B8748" t="s">
        <v>2517</v>
      </c>
      <c r="C8748" t="s">
        <v>7897</v>
      </c>
      <c r="D8748" t="s">
        <v>3508</v>
      </c>
      <c r="E8748" t="s">
        <v>820</v>
      </c>
      <c r="F8748">
        <v>2</v>
      </c>
      <c r="H8748">
        <v>23.91</v>
      </c>
    </row>
    <row r="8749" spans="1:10" ht="15" customHeight="1" x14ac:dyDescent="0.2">
      <c r="A8749" s="420">
        <v>45900</v>
      </c>
      <c r="B8749" t="s">
        <v>2517</v>
      </c>
      <c r="C8749" t="s">
        <v>7897</v>
      </c>
      <c r="D8749" t="s">
        <v>6321</v>
      </c>
      <c r="E8749" t="s">
        <v>6381</v>
      </c>
      <c r="F8749">
        <v>0.61</v>
      </c>
      <c r="H8749">
        <v>24.52</v>
      </c>
    </row>
    <row r="8750" spans="1:10" ht="15" customHeight="1" x14ac:dyDescent="0.2">
      <c r="A8750" s="420">
        <v>45916</v>
      </c>
      <c r="B8750" t="s">
        <v>2517</v>
      </c>
      <c r="C8750" t="s">
        <v>7897</v>
      </c>
      <c r="D8750" t="s">
        <v>6197</v>
      </c>
      <c r="E8750" t="s">
        <v>827</v>
      </c>
      <c r="F8750">
        <v>0.73</v>
      </c>
      <c r="H8750">
        <v>25.25</v>
      </c>
    </row>
    <row r="8751" spans="1:10" ht="15" customHeight="1" x14ac:dyDescent="0.2">
      <c r="A8751" s="420">
        <v>45925</v>
      </c>
      <c r="B8751" t="s">
        <v>2517</v>
      </c>
      <c r="C8751" t="s">
        <v>7897</v>
      </c>
      <c r="D8751" t="s">
        <v>3515</v>
      </c>
      <c r="E8751" t="s">
        <v>820</v>
      </c>
      <c r="F8751">
        <v>2</v>
      </c>
      <c r="H8751">
        <v>27.25</v>
      </c>
    </row>
    <row r="8752" spans="1:10" ht="15" customHeight="1" x14ac:dyDescent="0.2">
      <c r="A8752" s="420">
        <v>45930</v>
      </c>
      <c r="B8752" t="s">
        <v>2517</v>
      </c>
      <c r="C8752" t="s">
        <v>7897</v>
      </c>
      <c r="D8752" t="s">
        <v>6323</v>
      </c>
      <c r="E8752" t="s">
        <v>6384</v>
      </c>
      <c r="F8752">
        <v>0.43</v>
      </c>
      <c r="H8752">
        <v>27.68</v>
      </c>
    </row>
    <row r="8753" spans="1:10" ht="15" customHeight="1" x14ac:dyDescent="0.2">
      <c r="A8753" s="420">
        <v>45946</v>
      </c>
      <c r="B8753" t="s">
        <v>2517</v>
      </c>
      <c r="C8753" t="s">
        <v>7897</v>
      </c>
      <c r="D8753" t="s">
        <v>6200</v>
      </c>
      <c r="E8753" t="s">
        <v>827</v>
      </c>
      <c r="F8753">
        <v>1.1000000000000001</v>
      </c>
      <c r="H8753">
        <v>28.78</v>
      </c>
    </row>
    <row r="8754" spans="1:10" ht="15" customHeight="1" x14ac:dyDescent="0.2">
      <c r="A8754" s="420">
        <v>45957</v>
      </c>
      <c r="B8754" t="s">
        <v>2517</v>
      </c>
      <c r="C8754" t="s">
        <v>7897</v>
      </c>
      <c r="D8754" t="s">
        <v>3522</v>
      </c>
      <c r="E8754" t="s">
        <v>820</v>
      </c>
      <c r="F8754">
        <v>2</v>
      </c>
      <c r="H8754">
        <v>30.78</v>
      </c>
    </row>
    <row r="8755" spans="1:10" ht="15" customHeight="1" x14ac:dyDescent="0.2">
      <c r="A8755" s="420">
        <v>45961</v>
      </c>
      <c r="B8755" t="s">
        <v>2517</v>
      </c>
      <c r="C8755" t="s">
        <v>7897</v>
      </c>
      <c r="D8755" t="s">
        <v>6325</v>
      </c>
      <c r="E8755" t="s">
        <v>6387</v>
      </c>
      <c r="F8755">
        <v>0.15</v>
      </c>
      <c r="H8755">
        <v>30.93</v>
      </c>
    </row>
    <row r="8756" spans="1:10" ht="15" customHeight="1" x14ac:dyDescent="0.2">
      <c r="A8756" s="420">
        <v>45986</v>
      </c>
      <c r="B8756" t="s">
        <v>2517</v>
      </c>
      <c r="C8756" t="s">
        <v>7897</v>
      </c>
      <c r="D8756" t="s">
        <v>3529</v>
      </c>
      <c r="E8756" t="s">
        <v>820</v>
      </c>
      <c r="F8756">
        <v>2</v>
      </c>
      <c r="H8756">
        <v>32.93</v>
      </c>
    </row>
    <row r="8757" spans="1:10" ht="15" customHeight="1" x14ac:dyDescent="0.2">
      <c r="A8757" s="420">
        <v>46007</v>
      </c>
      <c r="B8757" t="s">
        <v>2517</v>
      </c>
      <c r="C8757" t="s">
        <v>7897</v>
      </c>
      <c r="D8757" t="s">
        <v>6205</v>
      </c>
      <c r="E8757" t="s">
        <v>827</v>
      </c>
      <c r="F8757">
        <v>0.78</v>
      </c>
      <c r="H8757">
        <v>33.71</v>
      </c>
    </row>
    <row r="8758" spans="1:10" ht="15" customHeight="1" x14ac:dyDescent="0.2">
      <c r="A8758" s="420">
        <v>46009</v>
      </c>
      <c r="B8758" t="s">
        <v>2517</v>
      </c>
      <c r="C8758" t="s">
        <v>7897</v>
      </c>
      <c r="D8758" t="s">
        <v>7865</v>
      </c>
      <c r="E8758" t="s">
        <v>2067</v>
      </c>
      <c r="F8758">
        <v>0.03</v>
      </c>
      <c r="H8758">
        <v>33.74</v>
      </c>
    </row>
    <row r="8759" spans="1:10" ht="15" customHeight="1" x14ac:dyDescent="0.2">
      <c r="A8759" s="420">
        <v>46014</v>
      </c>
      <c r="B8759" t="s">
        <v>2517</v>
      </c>
      <c r="C8759" t="s">
        <v>7897</v>
      </c>
      <c r="D8759" t="s">
        <v>6293</v>
      </c>
      <c r="E8759" t="s">
        <v>818</v>
      </c>
      <c r="F8759">
        <v>0.22</v>
      </c>
      <c r="H8759">
        <v>33.96</v>
      </c>
    </row>
    <row r="8760" spans="1:10" ht="15" customHeight="1" x14ac:dyDescent="0.2">
      <c r="A8760" s="420">
        <v>46020</v>
      </c>
      <c r="B8760" t="s">
        <v>2517</v>
      </c>
      <c r="C8760" t="s">
        <v>7897</v>
      </c>
      <c r="D8760" t="s">
        <v>3536</v>
      </c>
      <c r="E8760" t="s">
        <v>820</v>
      </c>
      <c r="F8760">
        <v>2</v>
      </c>
      <c r="H8760">
        <v>35.96</v>
      </c>
    </row>
    <row r="8761" spans="1:10" ht="15" customHeight="1" x14ac:dyDescent="0.2">
      <c r="A8761" t="s">
        <v>7897</v>
      </c>
      <c r="E8761" t="s">
        <v>349</v>
      </c>
      <c r="F8761">
        <v>35.96</v>
      </c>
      <c r="H8761">
        <v>35.96</v>
      </c>
    </row>
    <row r="8763" spans="1:10" ht="15" customHeight="1" x14ac:dyDescent="0.2">
      <c r="A8763" t="s">
        <v>7899</v>
      </c>
      <c r="B8763" t="s">
        <v>7900</v>
      </c>
      <c r="F8763" t="s">
        <v>2430</v>
      </c>
      <c r="G8763" t="s">
        <v>2431</v>
      </c>
      <c r="H8763" t="s">
        <v>2432</v>
      </c>
      <c r="I8763" t="s">
        <v>2433</v>
      </c>
      <c r="J8763" t="s">
        <v>2434</v>
      </c>
    </row>
    <row r="8764" spans="1:10" ht="15" customHeight="1" x14ac:dyDescent="0.2">
      <c r="A8764" s="420">
        <v>45839</v>
      </c>
      <c r="B8764" t="s">
        <v>2517</v>
      </c>
      <c r="C8764" t="s">
        <v>7899</v>
      </c>
      <c r="D8764" t="s">
        <v>7901</v>
      </c>
      <c r="E8764" t="s">
        <v>855</v>
      </c>
      <c r="F8764">
        <v>3000</v>
      </c>
      <c r="H8764">
        <v>3000</v>
      </c>
    </row>
    <row r="8765" spans="1:10" ht="15" customHeight="1" x14ac:dyDescent="0.2">
      <c r="A8765" t="s">
        <v>7899</v>
      </c>
      <c r="E8765" t="s">
        <v>349</v>
      </c>
      <c r="F8765">
        <v>3000</v>
      </c>
      <c r="H8765">
        <v>3000</v>
      </c>
    </row>
    <row r="8767" spans="1:10" ht="15" customHeight="1" x14ac:dyDescent="0.2">
      <c r="A8767" t="s">
        <v>814</v>
      </c>
      <c r="B8767" t="s">
        <v>815</v>
      </c>
      <c r="F8767" t="s">
        <v>2430</v>
      </c>
      <c r="G8767" t="s">
        <v>2431</v>
      </c>
      <c r="H8767" t="s">
        <v>2432</v>
      </c>
      <c r="I8767" t="s">
        <v>2433</v>
      </c>
      <c r="J8767" t="s">
        <v>2434</v>
      </c>
    </row>
    <row r="8768" spans="1:10" ht="15" customHeight="1" x14ac:dyDescent="0.2">
      <c r="A8768" s="420">
        <v>45667</v>
      </c>
      <c r="B8768" t="s">
        <v>2333</v>
      </c>
      <c r="C8768" t="s">
        <v>814</v>
      </c>
      <c r="D8768" t="s">
        <v>7515</v>
      </c>
      <c r="E8768" t="s">
        <v>816</v>
      </c>
      <c r="F8768">
        <v>30</v>
      </c>
      <c r="H8768">
        <v>30</v>
      </c>
    </row>
    <row r="8769" spans="1:10" ht="15" customHeight="1" x14ac:dyDescent="0.2">
      <c r="A8769" s="420">
        <v>45667</v>
      </c>
      <c r="B8769" t="s">
        <v>2333</v>
      </c>
      <c r="C8769" t="s">
        <v>814</v>
      </c>
      <c r="D8769" t="s">
        <v>7516</v>
      </c>
      <c r="E8769" t="s">
        <v>816</v>
      </c>
      <c r="F8769">
        <v>30</v>
      </c>
      <c r="H8769">
        <v>60</v>
      </c>
    </row>
    <row r="8770" spans="1:10" ht="15" customHeight="1" x14ac:dyDescent="0.2">
      <c r="A8770" s="420">
        <v>45839</v>
      </c>
      <c r="B8770" t="s">
        <v>2517</v>
      </c>
      <c r="C8770" t="s">
        <v>814</v>
      </c>
      <c r="D8770" t="s">
        <v>7902</v>
      </c>
      <c r="E8770" t="s">
        <v>854</v>
      </c>
      <c r="F8770">
        <v>90</v>
      </c>
      <c r="H8770">
        <v>150</v>
      </c>
    </row>
    <row r="8771" spans="1:10" ht="15" customHeight="1" x14ac:dyDescent="0.2">
      <c r="A8771" s="420">
        <v>45861</v>
      </c>
      <c r="B8771" t="s">
        <v>2532</v>
      </c>
      <c r="C8771" t="s">
        <v>814</v>
      </c>
      <c r="D8771" t="s">
        <v>2789</v>
      </c>
      <c r="E8771" t="s">
        <v>858</v>
      </c>
      <c r="F8771">
        <v>30</v>
      </c>
      <c r="H8771">
        <v>180</v>
      </c>
    </row>
    <row r="8772" spans="1:10" ht="15" customHeight="1" x14ac:dyDescent="0.2">
      <c r="A8772" s="420">
        <v>45888</v>
      </c>
      <c r="B8772" t="s">
        <v>2532</v>
      </c>
      <c r="C8772" t="s">
        <v>814</v>
      </c>
      <c r="D8772" t="s">
        <v>2790</v>
      </c>
      <c r="E8772" t="s">
        <v>862</v>
      </c>
      <c r="F8772">
        <v>30</v>
      </c>
      <c r="H8772">
        <v>210</v>
      </c>
    </row>
    <row r="8773" spans="1:10" ht="15" customHeight="1" x14ac:dyDescent="0.2">
      <c r="A8773" s="420">
        <v>45932</v>
      </c>
      <c r="B8773" t="s">
        <v>2532</v>
      </c>
      <c r="C8773" t="s">
        <v>814</v>
      </c>
      <c r="D8773" t="s">
        <v>2791</v>
      </c>
      <c r="E8773" t="s">
        <v>863</v>
      </c>
      <c r="F8773">
        <v>64</v>
      </c>
      <c r="H8773">
        <v>274</v>
      </c>
    </row>
    <row r="8774" spans="1:10" ht="15" customHeight="1" x14ac:dyDescent="0.2">
      <c r="A8774" s="420">
        <v>45938</v>
      </c>
      <c r="B8774" t="s">
        <v>2333</v>
      </c>
      <c r="C8774" t="s">
        <v>814</v>
      </c>
      <c r="D8774" t="s">
        <v>7725</v>
      </c>
      <c r="E8774" t="s">
        <v>865</v>
      </c>
      <c r="F8774">
        <v>45</v>
      </c>
      <c r="H8774">
        <v>319</v>
      </c>
    </row>
    <row r="8775" spans="1:10" ht="15" customHeight="1" x14ac:dyDescent="0.2">
      <c r="A8775" s="420">
        <v>45993</v>
      </c>
      <c r="B8775" t="s">
        <v>2532</v>
      </c>
      <c r="C8775" t="s">
        <v>814</v>
      </c>
      <c r="D8775" t="s">
        <v>2796</v>
      </c>
      <c r="E8775" t="s">
        <v>868</v>
      </c>
      <c r="F8775">
        <v>30</v>
      </c>
      <c r="H8775">
        <v>349</v>
      </c>
    </row>
    <row r="8776" spans="1:10" ht="15" customHeight="1" x14ac:dyDescent="0.2">
      <c r="A8776" t="s">
        <v>814</v>
      </c>
      <c r="E8776" t="s">
        <v>349</v>
      </c>
      <c r="F8776">
        <v>349</v>
      </c>
      <c r="H8776">
        <v>349</v>
      </c>
    </row>
    <row r="8778" spans="1:10" ht="15" customHeight="1" x14ac:dyDescent="0.2">
      <c r="A8778" t="s">
        <v>870</v>
      </c>
      <c r="B8778" t="s">
        <v>871</v>
      </c>
      <c r="F8778" t="s">
        <v>2430</v>
      </c>
      <c r="G8778" t="s">
        <v>2431</v>
      </c>
      <c r="H8778" t="s">
        <v>2432</v>
      </c>
      <c r="I8778" t="s">
        <v>2433</v>
      </c>
      <c r="J8778" t="s">
        <v>2434</v>
      </c>
    </row>
    <row r="8779" spans="1:10" ht="15" customHeight="1" x14ac:dyDescent="0.2">
      <c r="A8779" s="420">
        <v>45658</v>
      </c>
      <c r="B8779" t="s">
        <v>2517</v>
      </c>
      <c r="C8779" t="s">
        <v>870</v>
      </c>
      <c r="D8779" t="s">
        <v>2518</v>
      </c>
      <c r="E8779" t="s">
        <v>872</v>
      </c>
      <c r="G8779">
        <v>39.5</v>
      </c>
      <c r="I8779">
        <v>39.5</v>
      </c>
    </row>
    <row r="8780" spans="1:10" ht="15" customHeight="1" x14ac:dyDescent="0.2">
      <c r="A8780" s="420">
        <v>45658</v>
      </c>
      <c r="B8780" t="s">
        <v>2517</v>
      </c>
      <c r="C8780" t="s">
        <v>870</v>
      </c>
      <c r="D8780" t="s">
        <v>2518</v>
      </c>
      <c r="E8780" t="s">
        <v>873</v>
      </c>
      <c r="G8780">
        <v>14.47</v>
      </c>
      <c r="I8780">
        <v>53.97</v>
      </c>
    </row>
    <row r="8781" spans="1:10" ht="15" customHeight="1" x14ac:dyDescent="0.2">
      <c r="A8781" s="420">
        <v>45662</v>
      </c>
      <c r="B8781" t="s">
        <v>2457</v>
      </c>
      <c r="C8781" t="s">
        <v>870</v>
      </c>
      <c r="D8781" t="s">
        <v>2458</v>
      </c>
      <c r="E8781" t="s">
        <v>7903</v>
      </c>
      <c r="F8781">
        <v>17.25</v>
      </c>
      <c r="I8781">
        <v>36.72</v>
      </c>
    </row>
    <row r="8782" spans="1:10" ht="15" customHeight="1" x14ac:dyDescent="0.2">
      <c r="A8782" s="420">
        <v>45662</v>
      </c>
      <c r="B8782" t="s">
        <v>2457</v>
      </c>
      <c r="C8782" t="s">
        <v>870</v>
      </c>
      <c r="D8782" t="s">
        <v>2474</v>
      </c>
      <c r="E8782" t="s">
        <v>7904</v>
      </c>
      <c r="F8782">
        <v>47.1</v>
      </c>
      <c r="H8782">
        <v>10.38</v>
      </c>
    </row>
    <row r="8783" spans="1:10" ht="15" customHeight="1" x14ac:dyDescent="0.2">
      <c r="A8783" s="420">
        <v>45693</v>
      </c>
      <c r="B8783" t="s">
        <v>2457</v>
      </c>
      <c r="C8783" t="s">
        <v>870</v>
      </c>
      <c r="D8783" t="s">
        <v>2458</v>
      </c>
      <c r="E8783" t="s">
        <v>7905</v>
      </c>
      <c r="F8783">
        <v>16.96</v>
      </c>
      <c r="H8783">
        <v>27.34</v>
      </c>
    </row>
    <row r="8784" spans="1:10" ht="15" customHeight="1" x14ac:dyDescent="0.2">
      <c r="A8784" s="420">
        <v>45693</v>
      </c>
      <c r="B8784" t="s">
        <v>2457</v>
      </c>
      <c r="C8784" t="s">
        <v>870</v>
      </c>
      <c r="D8784" t="s">
        <v>2474</v>
      </c>
      <c r="E8784" t="s">
        <v>7906</v>
      </c>
      <c r="F8784">
        <v>46.31</v>
      </c>
      <c r="H8784">
        <v>73.650000000000006</v>
      </c>
    </row>
    <row r="8785" spans="1:8" ht="15" customHeight="1" x14ac:dyDescent="0.2">
      <c r="A8785" s="420">
        <v>45721</v>
      </c>
      <c r="B8785" t="s">
        <v>2457</v>
      </c>
      <c r="C8785" t="s">
        <v>870</v>
      </c>
      <c r="D8785" t="s">
        <v>2458</v>
      </c>
      <c r="E8785" t="s">
        <v>7907</v>
      </c>
      <c r="F8785">
        <v>16.66</v>
      </c>
      <c r="H8785">
        <v>90.31</v>
      </c>
    </row>
    <row r="8786" spans="1:8" ht="15" customHeight="1" x14ac:dyDescent="0.2">
      <c r="A8786" s="420">
        <v>45721</v>
      </c>
      <c r="B8786" t="s">
        <v>2457</v>
      </c>
      <c r="C8786" t="s">
        <v>870</v>
      </c>
      <c r="D8786" t="s">
        <v>2474</v>
      </c>
      <c r="E8786" t="s">
        <v>7908</v>
      </c>
      <c r="F8786">
        <v>45.51</v>
      </c>
      <c r="H8786">
        <v>135.82</v>
      </c>
    </row>
    <row r="8787" spans="1:8" ht="15" customHeight="1" x14ac:dyDescent="0.2">
      <c r="A8787" s="420">
        <v>45752</v>
      </c>
      <c r="B8787" t="s">
        <v>2457</v>
      </c>
      <c r="C8787" t="s">
        <v>870</v>
      </c>
      <c r="D8787" t="s">
        <v>2458</v>
      </c>
      <c r="E8787" t="s">
        <v>7909</v>
      </c>
      <c r="F8787">
        <v>16.37</v>
      </c>
      <c r="H8787">
        <v>152.19</v>
      </c>
    </row>
    <row r="8788" spans="1:8" ht="15" customHeight="1" x14ac:dyDescent="0.2">
      <c r="A8788" s="420">
        <v>45752</v>
      </c>
      <c r="B8788" t="s">
        <v>2457</v>
      </c>
      <c r="C8788" t="s">
        <v>870</v>
      </c>
      <c r="D8788" t="s">
        <v>2474</v>
      </c>
      <c r="E8788" t="s">
        <v>7910</v>
      </c>
      <c r="F8788">
        <v>44.71</v>
      </c>
      <c r="H8788">
        <v>196.9</v>
      </c>
    </row>
    <row r="8789" spans="1:8" ht="15" customHeight="1" x14ac:dyDescent="0.2">
      <c r="A8789" s="420">
        <v>45782</v>
      </c>
      <c r="B8789" t="s">
        <v>2457</v>
      </c>
      <c r="C8789" t="s">
        <v>870</v>
      </c>
      <c r="D8789" t="s">
        <v>2458</v>
      </c>
      <c r="E8789" t="s">
        <v>7911</v>
      </c>
      <c r="F8789">
        <v>16.079999999999998</v>
      </c>
      <c r="H8789">
        <v>212.98</v>
      </c>
    </row>
    <row r="8790" spans="1:8" ht="15" customHeight="1" x14ac:dyDescent="0.2">
      <c r="A8790" s="420">
        <v>45782</v>
      </c>
      <c r="B8790" t="s">
        <v>2457</v>
      </c>
      <c r="C8790" t="s">
        <v>870</v>
      </c>
      <c r="D8790" t="s">
        <v>2474</v>
      </c>
      <c r="E8790" t="s">
        <v>7912</v>
      </c>
      <c r="F8790">
        <v>43.91</v>
      </c>
      <c r="H8790">
        <v>256.89</v>
      </c>
    </row>
    <row r="8791" spans="1:8" ht="15" customHeight="1" x14ac:dyDescent="0.2">
      <c r="A8791" s="420">
        <v>45813</v>
      </c>
      <c r="B8791" t="s">
        <v>2457</v>
      </c>
      <c r="C8791" t="s">
        <v>870</v>
      </c>
      <c r="D8791" t="s">
        <v>2458</v>
      </c>
      <c r="E8791" t="s">
        <v>7913</v>
      </c>
      <c r="F8791">
        <v>15.78</v>
      </c>
      <c r="H8791">
        <v>272.67</v>
      </c>
    </row>
    <row r="8792" spans="1:8" ht="15" customHeight="1" x14ac:dyDescent="0.2">
      <c r="A8792" s="420">
        <v>45813</v>
      </c>
      <c r="B8792" t="s">
        <v>2457</v>
      </c>
      <c r="C8792" t="s">
        <v>870</v>
      </c>
      <c r="D8792" t="s">
        <v>2474</v>
      </c>
      <c r="E8792" t="s">
        <v>7914</v>
      </c>
      <c r="F8792">
        <v>43.11</v>
      </c>
      <c r="H8792">
        <v>315.77999999999997</v>
      </c>
    </row>
    <row r="8793" spans="1:8" ht="15" customHeight="1" x14ac:dyDescent="0.2">
      <c r="A8793" s="420">
        <v>45843</v>
      </c>
      <c r="B8793" t="s">
        <v>2457</v>
      </c>
      <c r="C8793" t="s">
        <v>870</v>
      </c>
      <c r="D8793" t="s">
        <v>2458</v>
      </c>
      <c r="E8793" t="s">
        <v>7915</v>
      </c>
      <c r="F8793">
        <v>15.49</v>
      </c>
      <c r="H8793">
        <v>331.27</v>
      </c>
    </row>
    <row r="8794" spans="1:8" ht="15" customHeight="1" x14ac:dyDescent="0.2">
      <c r="A8794" s="420">
        <v>45843</v>
      </c>
      <c r="B8794" t="s">
        <v>2457</v>
      </c>
      <c r="C8794" t="s">
        <v>870</v>
      </c>
      <c r="D8794" t="s">
        <v>2474</v>
      </c>
      <c r="E8794" t="s">
        <v>7916</v>
      </c>
      <c r="F8794">
        <v>42.31</v>
      </c>
      <c r="H8794">
        <v>373.58</v>
      </c>
    </row>
    <row r="8795" spans="1:8" ht="15" customHeight="1" x14ac:dyDescent="0.2">
      <c r="A8795" s="420">
        <v>45874</v>
      </c>
      <c r="B8795" t="s">
        <v>2457</v>
      </c>
      <c r="C8795" t="s">
        <v>870</v>
      </c>
      <c r="D8795" t="s">
        <v>2458</v>
      </c>
      <c r="E8795" t="s">
        <v>7917</v>
      </c>
      <c r="F8795">
        <v>15.2</v>
      </c>
      <c r="H8795">
        <v>388.78</v>
      </c>
    </row>
    <row r="8796" spans="1:8" ht="15" customHeight="1" x14ac:dyDescent="0.2">
      <c r="A8796" s="420">
        <v>45874</v>
      </c>
      <c r="B8796" t="s">
        <v>2457</v>
      </c>
      <c r="C8796" t="s">
        <v>870</v>
      </c>
      <c r="D8796" t="s">
        <v>2474</v>
      </c>
      <c r="E8796" t="s">
        <v>7918</v>
      </c>
      <c r="F8796">
        <v>41.51</v>
      </c>
      <c r="H8796">
        <v>430.29</v>
      </c>
    </row>
    <row r="8797" spans="1:8" ht="15" customHeight="1" x14ac:dyDescent="0.2">
      <c r="A8797" s="420">
        <v>45905</v>
      </c>
      <c r="B8797" t="s">
        <v>2457</v>
      </c>
      <c r="C8797" t="s">
        <v>870</v>
      </c>
      <c r="D8797" t="s">
        <v>2458</v>
      </c>
      <c r="E8797" t="s">
        <v>7919</v>
      </c>
      <c r="F8797">
        <v>14.9</v>
      </c>
      <c r="H8797">
        <v>445.19</v>
      </c>
    </row>
    <row r="8798" spans="1:8" ht="15" customHeight="1" x14ac:dyDescent="0.2">
      <c r="A8798" s="420">
        <v>45905</v>
      </c>
      <c r="B8798" t="s">
        <v>2457</v>
      </c>
      <c r="C8798" t="s">
        <v>870</v>
      </c>
      <c r="D8798" t="s">
        <v>2474</v>
      </c>
      <c r="E8798" t="s">
        <v>7920</v>
      </c>
      <c r="F8798">
        <v>40.71</v>
      </c>
      <c r="H8798">
        <v>485.9</v>
      </c>
    </row>
    <row r="8799" spans="1:8" ht="15" customHeight="1" x14ac:dyDescent="0.2">
      <c r="A8799" s="420">
        <v>45935</v>
      </c>
      <c r="B8799" t="s">
        <v>2457</v>
      </c>
      <c r="C8799" t="s">
        <v>870</v>
      </c>
      <c r="D8799" t="s">
        <v>2458</v>
      </c>
      <c r="E8799" t="s">
        <v>7921</v>
      </c>
      <c r="F8799">
        <v>14.61</v>
      </c>
      <c r="H8799">
        <v>500.51</v>
      </c>
    </row>
    <row r="8800" spans="1:8" ht="15" customHeight="1" x14ac:dyDescent="0.2">
      <c r="A8800" s="420">
        <v>45935</v>
      </c>
      <c r="B8800" t="s">
        <v>2457</v>
      </c>
      <c r="C8800" t="s">
        <v>870</v>
      </c>
      <c r="D8800" t="s">
        <v>2474</v>
      </c>
      <c r="E8800" t="s">
        <v>7922</v>
      </c>
      <c r="F8800">
        <v>39.9</v>
      </c>
      <c r="H8800">
        <v>540.41</v>
      </c>
    </row>
    <row r="8801" spans="1:10" ht="15" customHeight="1" x14ac:dyDescent="0.2">
      <c r="A8801" s="420">
        <v>45966</v>
      </c>
      <c r="B8801" t="s">
        <v>2457</v>
      </c>
      <c r="C8801" t="s">
        <v>870</v>
      </c>
      <c r="D8801" t="s">
        <v>2458</v>
      </c>
      <c r="E8801" t="s">
        <v>7923</v>
      </c>
      <c r="F8801">
        <v>14.31</v>
      </c>
      <c r="H8801">
        <v>554.72</v>
      </c>
    </row>
    <row r="8802" spans="1:10" ht="15" customHeight="1" x14ac:dyDescent="0.2">
      <c r="A8802" s="420">
        <v>45966</v>
      </c>
      <c r="B8802" t="s">
        <v>2457</v>
      </c>
      <c r="C8802" t="s">
        <v>870</v>
      </c>
      <c r="D8802" t="s">
        <v>2474</v>
      </c>
      <c r="E8802" t="s">
        <v>7924</v>
      </c>
      <c r="F8802">
        <v>39.1</v>
      </c>
      <c r="H8802">
        <v>593.82000000000005</v>
      </c>
    </row>
    <row r="8803" spans="1:10" ht="15" customHeight="1" x14ac:dyDescent="0.2">
      <c r="A8803" s="420">
        <v>45966</v>
      </c>
      <c r="B8803" t="s">
        <v>2457</v>
      </c>
      <c r="C8803" t="s">
        <v>870</v>
      </c>
      <c r="D8803" t="s">
        <v>2501</v>
      </c>
      <c r="E8803" t="s">
        <v>924</v>
      </c>
      <c r="F8803">
        <v>37.03</v>
      </c>
      <c r="H8803">
        <v>630.85</v>
      </c>
    </row>
    <row r="8804" spans="1:10" ht="15" customHeight="1" x14ac:dyDescent="0.2">
      <c r="A8804" s="420">
        <v>45977</v>
      </c>
      <c r="B8804" t="s">
        <v>2457</v>
      </c>
      <c r="C8804" t="s">
        <v>870</v>
      </c>
      <c r="D8804" t="s">
        <v>2495</v>
      </c>
      <c r="E8804" t="s">
        <v>7925</v>
      </c>
      <c r="F8804">
        <v>16.82</v>
      </c>
      <c r="H8804">
        <v>647.66999999999996</v>
      </c>
    </row>
    <row r="8805" spans="1:10" ht="15" customHeight="1" x14ac:dyDescent="0.2">
      <c r="A8805" s="420">
        <v>45977</v>
      </c>
      <c r="B8805" t="s">
        <v>2457</v>
      </c>
      <c r="C8805" t="s">
        <v>870</v>
      </c>
      <c r="D8805" t="s">
        <v>2489</v>
      </c>
      <c r="E8805" t="s">
        <v>7926</v>
      </c>
      <c r="F8805">
        <v>27.83</v>
      </c>
      <c r="H8805">
        <v>675.5</v>
      </c>
    </row>
    <row r="8806" spans="1:10" ht="15" customHeight="1" x14ac:dyDescent="0.2">
      <c r="A8806" s="420">
        <v>45996</v>
      </c>
      <c r="B8806" t="s">
        <v>2457</v>
      </c>
      <c r="C8806" t="s">
        <v>870</v>
      </c>
      <c r="D8806" t="s">
        <v>2458</v>
      </c>
      <c r="E8806" t="s">
        <v>7927</v>
      </c>
      <c r="F8806">
        <v>14.01</v>
      </c>
      <c r="H8806">
        <v>689.51</v>
      </c>
    </row>
    <row r="8807" spans="1:10" ht="15" customHeight="1" x14ac:dyDescent="0.2">
      <c r="A8807" s="420">
        <v>45996</v>
      </c>
      <c r="B8807" t="s">
        <v>2457</v>
      </c>
      <c r="C8807" t="s">
        <v>870</v>
      </c>
      <c r="D8807" t="s">
        <v>2474</v>
      </c>
      <c r="E8807" t="s">
        <v>7928</v>
      </c>
      <c r="F8807">
        <v>38.29</v>
      </c>
      <c r="H8807">
        <v>727.8</v>
      </c>
    </row>
    <row r="8808" spans="1:10" ht="15" customHeight="1" x14ac:dyDescent="0.2">
      <c r="A8808" s="420">
        <v>45996</v>
      </c>
      <c r="B8808" t="s">
        <v>2457</v>
      </c>
      <c r="C8808" t="s">
        <v>870</v>
      </c>
      <c r="D8808" t="s">
        <v>2501</v>
      </c>
      <c r="E8808" t="s">
        <v>930</v>
      </c>
      <c r="F8808">
        <v>55.22</v>
      </c>
      <c r="H8808">
        <v>783.02</v>
      </c>
    </row>
    <row r="8809" spans="1:10" ht="15" customHeight="1" x14ac:dyDescent="0.2">
      <c r="A8809" s="420">
        <v>46007</v>
      </c>
      <c r="B8809" t="s">
        <v>2457</v>
      </c>
      <c r="C8809" t="s">
        <v>870</v>
      </c>
      <c r="D8809" t="s">
        <v>2495</v>
      </c>
      <c r="E8809" t="s">
        <v>7929</v>
      </c>
      <c r="F8809">
        <v>16.489999999999998</v>
      </c>
      <c r="H8809">
        <v>799.51</v>
      </c>
    </row>
    <row r="8810" spans="1:10" ht="15" customHeight="1" x14ac:dyDescent="0.2">
      <c r="A8810" s="420">
        <v>46007</v>
      </c>
      <c r="B8810" t="s">
        <v>2457</v>
      </c>
      <c r="C8810" t="s">
        <v>870</v>
      </c>
      <c r="D8810" t="s">
        <v>2489</v>
      </c>
      <c r="E8810" t="s">
        <v>7930</v>
      </c>
      <c r="F8810">
        <v>27.3</v>
      </c>
      <c r="H8810">
        <v>826.81</v>
      </c>
    </row>
    <row r="8811" spans="1:10" ht="15" customHeight="1" x14ac:dyDescent="0.2">
      <c r="A8811" s="420">
        <v>46022</v>
      </c>
      <c r="B8811" t="s">
        <v>2507</v>
      </c>
      <c r="C8811" t="s">
        <v>870</v>
      </c>
      <c r="D8811" t="s">
        <v>2508</v>
      </c>
      <c r="E8811" t="s">
        <v>933</v>
      </c>
      <c r="F8811">
        <v>12.95</v>
      </c>
      <c r="H8811">
        <v>839.76</v>
      </c>
      <c r="J8811" t="s">
        <v>2509</v>
      </c>
    </row>
    <row r="8812" spans="1:10" ht="15" customHeight="1" x14ac:dyDescent="0.2">
      <c r="A8812" s="420">
        <v>46022</v>
      </c>
      <c r="B8812" t="s">
        <v>2507</v>
      </c>
      <c r="C8812" t="s">
        <v>870</v>
      </c>
      <c r="D8812" t="s">
        <v>2510</v>
      </c>
      <c r="E8812" t="s">
        <v>934</v>
      </c>
      <c r="F8812">
        <v>7.82</v>
      </c>
      <c r="H8812">
        <v>847.58</v>
      </c>
      <c r="J8812" t="s">
        <v>2511</v>
      </c>
    </row>
    <row r="8813" spans="1:10" ht="15" customHeight="1" x14ac:dyDescent="0.2">
      <c r="A8813" s="420">
        <v>46022</v>
      </c>
      <c r="B8813" t="s">
        <v>2507</v>
      </c>
      <c r="C8813" t="s">
        <v>870</v>
      </c>
      <c r="D8813" t="s">
        <v>2512</v>
      </c>
      <c r="E8813" t="s">
        <v>935</v>
      </c>
      <c r="F8813">
        <v>45.39</v>
      </c>
      <c r="H8813">
        <v>892.97</v>
      </c>
      <c r="J8813" t="s">
        <v>2513</v>
      </c>
    </row>
    <row r="8814" spans="1:10" ht="15" customHeight="1" x14ac:dyDescent="0.2">
      <c r="A8814" t="s">
        <v>870</v>
      </c>
      <c r="E8814" t="s">
        <v>349</v>
      </c>
      <c r="F8814">
        <v>946.94</v>
      </c>
      <c r="G8814">
        <v>53.97</v>
      </c>
      <c r="H8814">
        <v>892.97</v>
      </c>
    </row>
    <row r="8816" spans="1:10" ht="15" customHeight="1" x14ac:dyDescent="0.2">
      <c r="A8816" t="s">
        <v>881</v>
      </c>
      <c r="B8816" t="s">
        <v>882</v>
      </c>
      <c r="F8816" t="s">
        <v>2430</v>
      </c>
      <c r="G8816" t="s">
        <v>2431</v>
      </c>
      <c r="H8816" t="s">
        <v>2432</v>
      </c>
      <c r="I8816" t="s">
        <v>2433</v>
      </c>
      <c r="J8816" t="s">
        <v>2434</v>
      </c>
    </row>
    <row r="8817" spans="1:10" ht="15" customHeight="1" x14ac:dyDescent="0.2">
      <c r="A8817" s="420">
        <v>45716</v>
      </c>
      <c r="B8817" t="s">
        <v>2532</v>
      </c>
      <c r="C8817" t="s">
        <v>881</v>
      </c>
      <c r="D8817" t="s">
        <v>4701</v>
      </c>
      <c r="E8817" t="s">
        <v>883</v>
      </c>
      <c r="F8817">
        <v>0.13</v>
      </c>
      <c r="H8817">
        <v>0.13</v>
      </c>
    </row>
    <row r="8818" spans="1:10" ht="15" customHeight="1" x14ac:dyDescent="0.2">
      <c r="A8818" s="420">
        <v>45777</v>
      </c>
      <c r="B8818" t="s">
        <v>2532</v>
      </c>
      <c r="C8818" t="s">
        <v>881</v>
      </c>
      <c r="D8818" t="s">
        <v>4708</v>
      </c>
      <c r="E8818" t="s">
        <v>890</v>
      </c>
      <c r="F8818">
        <v>0.04</v>
      </c>
      <c r="H8818">
        <v>0.17</v>
      </c>
    </row>
    <row r="8819" spans="1:10" ht="15" customHeight="1" x14ac:dyDescent="0.2">
      <c r="A8819" s="420">
        <v>45838</v>
      </c>
      <c r="B8819" t="s">
        <v>2517</v>
      </c>
      <c r="C8819" t="s">
        <v>881</v>
      </c>
      <c r="D8819" t="s">
        <v>4798</v>
      </c>
      <c r="E8819" t="s">
        <v>843</v>
      </c>
      <c r="F8819">
        <v>0.03</v>
      </c>
      <c r="H8819">
        <v>0.2</v>
      </c>
    </row>
    <row r="8820" spans="1:10" ht="15" customHeight="1" x14ac:dyDescent="0.2">
      <c r="A8820" s="420">
        <v>45867</v>
      </c>
      <c r="B8820" t="s">
        <v>2517</v>
      </c>
      <c r="C8820" t="s">
        <v>881</v>
      </c>
      <c r="D8820" t="s">
        <v>4801</v>
      </c>
      <c r="E8820" t="s">
        <v>843</v>
      </c>
      <c r="F8820">
        <v>0.03</v>
      </c>
      <c r="H8820">
        <v>0.23</v>
      </c>
    </row>
    <row r="8821" spans="1:10" ht="15" customHeight="1" x14ac:dyDescent="0.2">
      <c r="A8821" s="420">
        <v>45869</v>
      </c>
      <c r="B8821" t="s">
        <v>2532</v>
      </c>
      <c r="C8821" t="s">
        <v>881</v>
      </c>
      <c r="D8821" t="s">
        <v>4715</v>
      </c>
      <c r="E8821" t="s">
        <v>900</v>
      </c>
      <c r="F8821">
        <v>0.13</v>
      </c>
      <c r="H8821">
        <v>0.36</v>
      </c>
    </row>
    <row r="8822" spans="1:10" ht="15" customHeight="1" x14ac:dyDescent="0.2">
      <c r="A8822" s="420">
        <v>45898</v>
      </c>
      <c r="B8822" t="s">
        <v>2517</v>
      </c>
      <c r="C8822" t="s">
        <v>881</v>
      </c>
      <c r="D8822" t="s">
        <v>4804</v>
      </c>
      <c r="E8822" t="s">
        <v>843</v>
      </c>
      <c r="F8822">
        <v>0.03</v>
      </c>
      <c r="H8822">
        <v>0.39</v>
      </c>
    </row>
    <row r="8823" spans="1:10" ht="15" customHeight="1" x14ac:dyDescent="0.2">
      <c r="A8823" s="420">
        <v>45900</v>
      </c>
      <c r="B8823" t="s">
        <v>2532</v>
      </c>
      <c r="C8823" t="s">
        <v>881</v>
      </c>
      <c r="D8823" t="s">
        <v>4717</v>
      </c>
      <c r="E8823" t="s">
        <v>905</v>
      </c>
      <c r="F8823">
        <v>0.06</v>
      </c>
      <c r="H8823">
        <v>0.45</v>
      </c>
    </row>
    <row r="8824" spans="1:10" ht="15" customHeight="1" x14ac:dyDescent="0.2">
      <c r="A8824" s="420">
        <v>45929</v>
      </c>
      <c r="B8824" t="s">
        <v>2517</v>
      </c>
      <c r="C8824" t="s">
        <v>881</v>
      </c>
      <c r="D8824" t="s">
        <v>4807</v>
      </c>
      <c r="E8824" t="s">
        <v>843</v>
      </c>
      <c r="F8824">
        <v>0.03</v>
      </c>
      <c r="H8824">
        <v>0.48</v>
      </c>
    </row>
    <row r="8825" spans="1:10" ht="15" customHeight="1" x14ac:dyDescent="0.2">
      <c r="A8825" s="420">
        <v>45930</v>
      </c>
      <c r="B8825" t="s">
        <v>2532</v>
      </c>
      <c r="C8825" t="s">
        <v>881</v>
      </c>
      <c r="D8825" t="s">
        <v>4720</v>
      </c>
      <c r="E8825" t="s">
        <v>910</v>
      </c>
      <c r="F8825">
        <v>0.06</v>
      </c>
      <c r="H8825">
        <v>0.54</v>
      </c>
    </row>
    <row r="8826" spans="1:10" ht="15" customHeight="1" x14ac:dyDescent="0.2">
      <c r="A8826" s="420">
        <v>45959</v>
      </c>
      <c r="B8826" t="s">
        <v>2532</v>
      </c>
      <c r="C8826" t="s">
        <v>881</v>
      </c>
      <c r="D8826" t="s">
        <v>4809</v>
      </c>
      <c r="E8826" t="s">
        <v>921</v>
      </c>
      <c r="F8826">
        <v>0.02</v>
      </c>
      <c r="H8826">
        <v>0.56000000000000005</v>
      </c>
    </row>
    <row r="8827" spans="1:10" ht="15" customHeight="1" x14ac:dyDescent="0.2">
      <c r="A8827" s="420">
        <v>45961</v>
      </c>
      <c r="B8827" t="s">
        <v>2517</v>
      </c>
      <c r="C8827" t="s">
        <v>881</v>
      </c>
      <c r="D8827" t="s">
        <v>4723</v>
      </c>
      <c r="E8827" t="s">
        <v>830</v>
      </c>
      <c r="F8827">
        <v>7.0000000000000007E-2</v>
      </c>
      <c r="H8827">
        <v>0.63</v>
      </c>
    </row>
    <row r="8828" spans="1:10" ht="15" customHeight="1" x14ac:dyDescent="0.2">
      <c r="A8828" s="420">
        <v>45972</v>
      </c>
      <c r="B8828" t="s">
        <v>2517</v>
      </c>
      <c r="C8828" t="s">
        <v>881</v>
      </c>
      <c r="D8828" t="s">
        <v>3719</v>
      </c>
      <c r="E8828" t="s">
        <v>925</v>
      </c>
      <c r="F8828">
        <v>0.56999999999999995</v>
      </c>
      <c r="H8828">
        <v>1.2</v>
      </c>
    </row>
    <row r="8829" spans="1:10" ht="15" customHeight="1" x14ac:dyDescent="0.2">
      <c r="A8829" s="420">
        <v>45992</v>
      </c>
      <c r="B8829" t="s">
        <v>2517</v>
      </c>
      <c r="C8829" t="s">
        <v>881</v>
      </c>
      <c r="D8829" t="s">
        <v>4726</v>
      </c>
      <c r="E8829" t="s">
        <v>830</v>
      </c>
      <c r="F8829">
        <v>7.0000000000000007E-2</v>
      </c>
      <c r="H8829">
        <v>1.27</v>
      </c>
    </row>
    <row r="8830" spans="1:10" ht="15" customHeight="1" x14ac:dyDescent="0.2">
      <c r="A8830" t="s">
        <v>881</v>
      </c>
      <c r="E8830" t="s">
        <v>349</v>
      </c>
      <c r="F8830">
        <v>1.27</v>
      </c>
      <c r="H8830">
        <v>1.27</v>
      </c>
    </row>
    <row r="8832" spans="1:10" ht="15" customHeight="1" x14ac:dyDescent="0.2">
      <c r="A8832" t="s">
        <v>823</v>
      </c>
      <c r="B8832" t="s">
        <v>824</v>
      </c>
      <c r="F8832" t="s">
        <v>2430</v>
      </c>
      <c r="G8832" t="s">
        <v>2431</v>
      </c>
      <c r="H8832" t="s">
        <v>2432</v>
      </c>
      <c r="I8832" t="s">
        <v>2433</v>
      </c>
      <c r="J8832" t="s">
        <v>2434</v>
      </c>
    </row>
    <row r="8833" spans="1:10" ht="15" customHeight="1" x14ac:dyDescent="0.2">
      <c r="A8833" s="420">
        <v>45699</v>
      </c>
      <c r="B8833" t="s">
        <v>2532</v>
      </c>
      <c r="C8833" t="s">
        <v>823</v>
      </c>
      <c r="D8833" t="s">
        <v>2785</v>
      </c>
      <c r="E8833" t="s">
        <v>825</v>
      </c>
      <c r="F8833">
        <v>90</v>
      </c>
      <c r="H8833">
        <v>90</v>
      </c>
    </row>
    <row r="8834" spans="1:10" ht="15" customHeight="1" x14ac:dyDescent="0.2">
      <c r="A8834" s="420">
        <v>45839</v>
      </c>
      <c r="B8834" t="s">
        <v>2517</v>
      </c>
      <c r="C8834" t="s">
        <v>823</v>
      </c>
      <c r="D8834" t="s">
        <v>7902</v>
      </c>
      <c r="E8834" t="s">
        <v>854</v>
      </c>
      <c r="G8834">
        <v>90</v>
      </c>
    </row>
    <row r="8835" spans="1:10" ht="15" customHeight="1" x14ac:dyDescent="0.2">
      <c r="A8835" t="s">
        <v>823</v>
      </c>
      <c r="E8835" t="s">
        <v>349</v>
      </c>
      <c r="F8835">
        <v>90</v>
      </c>
      <c r="G8835">
        <v>90</v>
      </c>
    </row>
    <row r="8837" spans="1:10" ht="15" customHeight="1" x14ac:dyDescent="0.2">
      <c r="A8837" t="s">
        <v>838</v>
      </c>
      <c r="B8837" t="s">
        <v>839</v>
      </c>
      <c r="F8837" t="s">
        <v>2430</v>
      </c>
      <c r="G8837" t="s">
        <v>2431</v>
      </c>
      <c r="H8837" t="s">
        <v>2432</v>
      </c>
      <c r="I8837" t="s">
        <v>2433</v>
      </c>
      <c r="J8837" t="s">
        <v>2434</v>
      </c>
    </row>
    <row r="8838" spans="1:10" ht="15" customHeight="1" x14ac:dyDescent="0.2">
      <c r="A8838" s="420">
        <v>45797</v>
      </c>
      <c r="B8838" t="s">
        <v>2333</v>
      </c>
      <c r="C8838" t="s">
        <v>838</v>
      </c>
      <c r="D8838" t="s">
        <v>7611</v>
      </c>
      <c r="E8838" t="s">
        <v>840</v>
      </c>
      <c r="F8838">
        <v>3000</v>
      </c>
      <c r="H8838">
        <v>3000</v>
      </c>
    </row>
    <row r="8839" spans="1:10" ht="15" customHeight="1" x14ac:dyDescent="0.2">
      <c r="A8839" s="420">
        <v>45839</v>
      </c>
      <c r="B8839" t="s">
        <v>2517</v>
      </c>
      <c r="C8839" t="s">
        <v>838</v>
      </c>
      <c r="D8839" t="s">
        <v>7901</v>
      </c>
      <c r="E8839" t="s">
        <v>855</v>
      </c>
      <c r="G8839">
        <v>3000</v>
      </c>
    </row>
    <row r="8840" spans="1:10" ht="15" customHeight="1" x14ac:dyDescent="0.2">
      <c r="A8840" t="s">
        <v>838</v>
      </c>
      <c r="E8840" t="s">
        <v>349</v>
      </c>
      <c r="F8840">
        <v>3000</v>
      </c>
      <c r="G8840">
        <v>3000</v>
      </c>
    </row>
    <row r="8842" spans="1:10" ht="15" customHeight="1" x14ac:dyDescent="0.2">
      <c r="A8842" t="s">
        <v>583</v>
      </c>
      <c r="B8842" t="s">
        <v>584</v>
      </c>
      <c r="F8842" t="s">
        <v>2430</v>
      </c>
      <c r="G8842" t="s">
        <v>2431</v>
      </c>
      <c r="H8842" t="s">
        <v>2432</v>
      </c>
      <c r="I8842" t="s">
        <v>2433</v>
      </c>
      <c r="J8842" t="s">
        <v>2434</v>
      </c>
    </row>
    <row r="8843" spans="1:10" ht="15" customHeight="1" x14ac:dyDescent="0.2">
      <c r="A8843" s="420">
        <v>45838</v>
      </c>
      <c r="B8843" t="s">
        <v>2535</v>
      </c>
      <c r="C8843" t="s">
        <v>583</v>
      </c>
      <c r="D8843" t="s">
        <v>2536</v>
      </c>
      <c r="E8843" t="s">
        <v>585</v>
      </c>
      <c r="F8843">
        <v>1570.44</v>
      </c>
      <c r="H8843">
        <v>1570.44</v>
      </c>
      <c r="J8843" t="s">
        <v>2511</v>
      </c>
    </row>
    <row r="8844" spans="1:10" ht="15" customHeight="1" x14ac:dyDescent="0.2">
      <c r="A8844" s="420">
        <v>45838</v>
      </c>
      <c r="B8844" t="s">
        <v>2535</v>
      </c>
      <c r="C8844" t="s">
        <v>583</v>
      </c>
      <c r="D8844" t="s">
        <v>2536</v>
      </c>
      <c r="E8844" t="s">
        <v>586</v>
      </c>
      <c r="F8844">
        <v>1070.75</v>
      </c>
      <c r="H8844">
        <v>2641.19</v>
      </c>
      <c r="J8844" t="s">
        <v>2509</v>
      </c>
    </row>
    <row r="8845" spans="1:10" ht="15" customHeight="1" x14ac:dyDescent="0.2">
      <c r="A8845" s="420">
        <v>45839</v>
      </c>
      <c r="B8845" t="s">
        <v>2535</v>
      </c>
      <c r="C8845" t="s">
        <v>583</v>
      </c>
      <c r="D8845" t="s">
        <v>2536</v>
      </c>
      <c r="E8845" t="s">
        <v>608</v>
      </c>
      <c r="G8845">
        <v>1570.44</v>
      </c>
      <c r="H8845">
        <v>1070.75</v>
      </c>
      <c r="J8845" t="s">
        <v>2511</v>
      </c>
    </row>
    <row r="8846" spans="1:10" ht="15" customHeight="1" x14ac:dyDescent="0.2">
      <c r="A8846" s="420">
        <v>45839</v>
      </c>
      <c r="B8846" t="s">
        <v>2535</v>
      </c>
      <c r="C8846" t="s">
        <v>583</v>
      </c>
      <c r="D8846" t="s">
        <v>2536</v>
      </c>
      <c r="E8846" t="s">
        <v>609</v>
      </c>
      <c r="G8846">
        <v>1070.75</v>
      </c>
      <c r="J8846" t="s">
        <v>2509</v>
      </c>
    </row>
    <row r="8847" spans="1:10" ht="15" customHeight="1" x14ac:dyDescent="0.2">
      <c r="A8847" s="420">
        <v>46022</v>
      </c>
      <c r="B8847" t="s">
        <v>2541</v>
      </c>
      <c r="C8847" t="s">
        <v>583</v>
      </c>
      <c r="D8847" t="s">
        <v>2542</v>
      </c>
      <c r="E8847" t="s">
        <v>627</v>
      </c>
      <c r="F8847">
        <v>3140.87</v>
      </c>
      <c r="H8847">
        <v>3140.87</v>
      </c>
    </row>
    <row r="8848" spans="1:10" ht="15" customHeight="1" x14ac:dyDescent="0.2">
      <c r="A8848" s="420">
        <v>46022</v>
      </c>
      <c r="B8848" t="s">
        <v>2541</v>
      </c>
      <c r="C8848" t="s">
        <v>583</v>
      </c>
      <c r="D8848" t="s">
        <v>2542</v>
      </c>
      <c r="E8848" t="s">
        <v>628</v>
      </c>
      <c r="F8848">
        <v>2141.5</v>
      </c>
      <c r="H8848">
        <v>5282.37</v>
      </c>
    </row>
    <row r="8849" spans="1:10" ht="15" customHeight="1" x14ac:dyDescent="0.2">
      <c r="A8849" t="s">
        <v>583</v>
      </c>
      <c r="E8849" t="s">
        <v>349</v>
      </c>
      <c r="F8849">
        <v>7923.56</v>
      </c>
      <c r="G8849">
        <v>2641.19</v>
      </c>
      <c r="H8849">
        <v>5282.37</v>
      </c>
    </row>
    <row r="8851" spans="1:10" ht="15" customHeight="1" x14ac:dyDescent="0.2">
      <c r="A8851" t="s">
        <v>587</v>
      </c>
      <c r="B8851" t="s">
        <v>588</v>
      </c>
      <c r="F8851" t="s">
        <v>2430</v>
      </c>
      <c r="G8851" t="s">
        <v>2431</v>
      </c>
      <c r="H8851" t="s">
        <v>2432</v>
      </c>
      <c r="I8851" t="s">
        <v>2433</v>
      </c>
      <c r="J8851" t="s">
        <v>2434</v>
      </c>
    </row>
    <row r="8852" spans="1:10" ht="15" customHeight="1" x14ac:dyDescent="0.2">
      <c r="A8852" s="420">
        <v>45838</v>
      </c>
      <c r="B8852" t="s">
        <v>2535</v>
      </c>
      <c r="C8852" t="s">
        <v>587</v>
      </c>
      <c r="D8852" t="s">
        <v>2536</v>
      </c>
      <c r="E8852" t="s">
        <v>589</v>
      </c>
      <c r="F8852">
        <v>316.39</v>
      </c>
      <c r="H8852">
        <v>316.39</v>
      </c>
      <c r="J8852" t="s">
        <v>2601</v>
      </c>
    </row>
    <row r="8853" spans="1:10" ht="15" customHeight="1" x14ac:dyDescent="0.2">
      <c r="A8853" s="420">
        <v>45838</v>
      </c>
      <c r="B8853" t="s">
        <v>2535</v>
      </c>
      <c r="C8853" t="s">
        <v>587</v>
      </c>
      <c r="D8853" t="s">
        <v>2536</v>
      </c>
      <c r="E8853" t="s">
        <v>590</v>
      </c>
      <c r="F8853">
        <v>663.6</v>
      </c>
      <c r="H8853">
        <v>979.99</v>
      </c>
      <c r="J8853" t="s">
        <v>2602</v>
      </c>
    </row>
    <row r="8854" spans="1:10" ht="15" customHeight="1" x14ac:dyDescent="0.2">
      <c r="A8854" s="420">
        <v>45838</v>
      </c>
      <c r="B8854" t="s">
        <v>2535</v>
      </c>
      <c r="C8854" t="s">
        <v>587</v>
      </c>
      <c r="D8854" t="s">
        <v>2536</v>
      </c>
      <c r="E8854" t="s">
        <v>591</v>
      </c>
      <c r="F8854">
        <v>20.79</v>
      </c>
      <c r="H8854">
        <v>1000.78</v>
      </c>
      <c r="J8854" t="s">
        <v>2603</v>
      </c>
    </row>
    <row r="8855" spans="1:10" ht="15" customHeight="1" x14ac:dyDescent="0.2">
      <c r="A8855" s="420">
        <v>45838</v>
      </c>
      <c r="B8855" t="s">
        <v>2535</v>
      </c>
      <c r="C8855" t="s">
        <v>587</v>
      </c>
      <c r="D8855" t="s">
        <v>2536</v>
      </c>
      <c r="E8855" t="s">
        <v>592</v>
      </c>
      <c r="F8855">
        <v>191.17</v>
      </c>
      <c r="H8855">
        <v>1191.95</v>
      </c>
      <c r="J8855" t="s">
        <v>2513</v>
      </c>
    </row>
    <row r="8856" spans="1:10" ht="15" customHeight="1" x14ac:dyDescent="0.2">
      <c r="A8856" s="420">
        <v>45838</v>
      </c>
      <c r="B8856" t="s">
        <v>2535</v>
      </c>
      <c r="C8856" t="s">
        <v>587</v>
      </c>
      <c r="D8856" t="s">
        <v>2536</v>
      </c>
      <c r="E8856" t="s">
        <v>593</v>
      </c>
      <c r="F8856">
        <v>104.86</v>
      </c>
      <c r="H8856">
        <v>1296.81</v>
      </c>
      <c r="J8856" t="s">
        <v>2511</v>
      </c>
    </row>
    <row r="8857" spans="1:10" ht="15" customHeight="1" x14ac:dyDescent="0.2">
      <c r="A8857" s="420">
        <v>45838</v>
      </c>
      <c r="B8857" t="s">
        <v>2535</v>
      </c>
      <c r="C8857" t="s">
        <v>587</v>
      </c>
      <c r="D8857" t="s">
        <v>2536</v>
      </c>
      <c r="E8857" t="s">
        <v>594</v>
      </c>
      <c r="F8857">
        <v>118.72</v>
      </c>
      <c r="H8857">
        <v>1415.53</v>
      </c>
      <c r="J8857" t="s">
        <v>2604</v>
      </c>
    </row>
    <row r="8858" spans="1:10" ht="15" customHeight="1" x14ac:dyDescent="0.2">
      <c r="A8858" s="420">
        <v>45838</v>
      </c>
      <c r="B8858" t="s">
        <v>2535</v>
      </c>
      <c r="C8858" t="s">
        <v>587</v>
      </c>
      <c r="D8858" t="s">
        <v>2536</v>
      </c>
      <c r="E8858" t="s">
        <v>595</v>
      </c>
      <c r="F8858">
        <v>10.83</v>
      </c>
      <c r="H8858">
        <v>1426.36</v>
      </c>
      <c r="J8858" t="s">
        <v>2605</v>
      </c>
    </row>
    <row r="8859" spans="1:10" ht="15" customHeight="1" x14ac:dyDescent="0.2">
      <c r="A8859" s="420">
        <v>45838</v>
      </c>
      <c r="B8859" t="s">
        <v>2535</v>
      </c>
      <c r="C8859" t="s">
        <v>587</v>
      </c>
      <c r="D8859" t="s">
        <v>2536</v>
      </c>
      <c r="E8859" t="s">
        <v>596</v>
      </c>
      <c r="F8859">
        <v>24.87</v>
      </c>
      <c r="H8859">
        <v>1451.23</v>
      </c>
      <c r="J8859" t="s">
        <v>2710</v>
      </c>
    </row>
    <row r="8860" spans="1:10" ht="15" customHeight="1" x14ac:dyDescent="0.2">
      <c r="A8860" s="420">
        <v>45838</v>
      </c>
      <c r="B8860" t="s">
        <v>2535</v>
      </c>
      <c r="C8860" t="s">
        <v>587</v>
      </c>
      <c r="D8860" t="s">
        <v>2536</v>
      </c>
      <c r="E8860" t="s">
        <v>597</v>
      </c>
      <c r="F8860">
        <v>27.73</v>
      </c>
      <c r="H8860">
        <v>1478.96</v>
      </c>
      <c r="J8860" t="s">
        <v>2585</v>
      </c>
    </row>
    <row r="8861" spans="1:10" ht="15" customHeight="1" x14ac:dyDescent="0.2">
      <c r="A8861" s="420">
        <v>45838</v>
      </c>
      <c r="B8861" t="s">
        <v>2535</v>
      </c>
      <c r="C8861" t="s">
        <v>587</v>
      </c>
      <c r="D8861" t="s">
        <v>2536</v>
      </c>
      <c r="E8861" t="s">
        <v>598</v>
      </c>
      <c r="F8861">
        <v>13.65</v>
      </c>
      <c r="H8861">
        <v>1492.61</v>
      </c>
      <c r="J8861" t="s">
        <v>2715</v>
      </c>
    </row>
    <row r="8862" spans="1:10" ht="15" customHeight="1" x14ac:dyDescent="0.2">
      <c r="A8862" s="420">
        <v>45838</v>
      </c>
      <c r="B8862" t="s">
        <v>2535</v>
      </c>
      <c r="C8862" t="s">
        <v>587</v>
      </c>
      <c r="D8862" t="s">
        <v>2536</v>
      </c>
      <c r="E8862" t="s">
        <v>599</v>
      </c>
      <c r="F8862">
        <v>14.58</v>
      </c>
      <c r="H8862">
        <v>1507.19</v>
      </c>
      <c r="J8862" t="s">
        <v>2586</v>
      </c>
    </row>
    <row r="8863" spans="1:10" ht="15" customHeight="1" x14ac:dyDescent="0.2">
      <c r="A8863" s="420">
        <v>45838</v>
      </c>
      <c r="B8863" t="s">
        <v>2535</v>
      </c>
      <c r="C8863" t="s">
        <v>587</v>
      </c>
      <c r="D8863" t="s">
        <v>2536</v>
      </c>
      <c r="E8863" t="s">
        <v>600</v>
      </c>
      <c r="F8863">
        <v>30.57</v>
      </c>
      <c r="H8863">
        <v>1537.76</v>
      </c>
      <c r="J8863" t="s">
        <v>2587</v>
      </c>
    </row>
    <row r="8864" spans="1:10" ht="15" customHeight="1" x14ac:dyDescent="0.2">
      <c r="A8864" s="420">
        <v>45838</v>
      </c>
      <c r="B8864" t="s">
        <v>2535</v>
      </c>
      <c r="C8864" t="s">
        <v>587</v>
      </c>
      <c r="D8864" t="s">
        <v>2536</v>
      </c>
      <c r="E8864" t="s">
        <v>597</v>
      </c>
      <c r="F8864">
        <v>23.99</v>
      </c>
      <c r="H8864">
        <v>1561.75</v>
      </c>
      <c r="J8864" t="s">
        <v>2509</v>
      </c>
    </row>
    <row r="8865" spans="1:10" ht="15" customHeight="1" x14ac:dyDescent="0.2">
      <c r="A8865" s="420">
        <v>45838</v>
      </c>
      <c r="B8865" t="s">
        <v>2535</v>
      </c>
      <c r="C8865" t="s">
        <v>587</v>
      </c>
      <c r="D8865" t="s">
        <v>2536</v>
      </c>
      <c r="E8865" t="s">
        <v>601</v>
      </c>
      <c r="F8865">
        <v>33.18</v>
      </c>
      <c r="H8865">
        <v>1594.93</v>
      </c>
      <c r="J8865" t="s">
        <v>2599</v>
      </c>
    </row>
    <row r="8866" spans="1:10" ht="15" customHeight="1" x14ac:dyDescent="0.2">
      <c r="A8866" s="420">
        <v>45838</v>
      </c>
      <c r="B8866" t="s">
        <v>2535</v>
      </c>
      <c r="C8866" t="s">
        <v>587</v>
      </c>
      <c r="D8866" t="s">
        <v>2536</v>
      </c>
      <c r="E8866" t="s">
        <v>601</v>
      </c>
      <c r="F8866">
        <v>33.44</v>
      </c>
      <c r="H8866">
        <v>1628.37</v>
      </c>
      <c r="J8866" t="s">
        <v>2600</v>
      </c>
    </row>
    <row r="8867" spans="1:10" ht="15" customHeight="1" x14ac:dyDescent="0.2">
      <c r="A8867" s="420">
        <v>45838</v>
      </c>
      <c r="B8867" t="s">
        <v>2535</v>
      </c>
      <c r="C8867" t="s">
        <v>587</v>
      </c>
      <c r="D8867" t="s">
        <v>2536</v>
      </c>
      <c r="E8867" t="s">
        <v>602</v>
      </c>
      <c r="F8867">
        <v>219.97</v>
      </c>
      <c r="H8867">
        <v>1848.34</v>
      </c>
      <c r="J8867" t="s">
        <v>2719</v>
      </c>
    </row>
    <row r="8868" spans="1:10" ht="15" customHeight="1" x14ac:dyDescent="0.2">
      <c r="A8868" s="420">
        <v>45838</v>
      </c>
      <c r="B8868" t="s">
        <v>2535</v>
      </c>
      <c r="C8868" t="s">
        <v>587</v>
      </c>
      <c r="D8868" t="s">
        <v>2536</v>
      </c>
      <c r="E8868" t="s">
        <v>603</v>
      </c>
      <c r="F8868">
        <v>14.47</v>
      </c>
      <c r="H8868">
        <v>1862.81</v>
      </c>
      <c r="J8868" t="s">
        <v>2727</v>
      </c>
    </row>
    <row r="8869" spans="1:10" ht="15" customHeight="1" x14ac:dyDescent="0.2">
      <c r="A8869" s="420">
        <v>45839</v>
      </c>
      <c r="B8869" t="s">
        <v>2535</v>
      </c>
      <c r="C8869" t="s">
        <v>587</v>
      </c>
      <c r="D8869" t="s">
        <v>2536</v>
      </c>
      <c r="E8869" t="s">
        <v>610</v>
      </c>
      <c r="G8869">
        <v>104.86</v>
      </c>
      <c r="H8869">
        <v>1757.95</v>
      </c>
      <c r="J8869" t="s">
        <v>2511</v>
      </c>
    </row>
    <row r="8870" spans="1:10" ht="15" customHeight="1" x14ac:dyDescent="0.2">
      <c r="A8870" s="420">
        <v>45839</v>
      </c>
      <c r="B8870" t="s">
        <v>2535</v>
      </c>
      <c r="C8870" t="s">
        <v>587</v>
      </c>
      <c r="D8870" t="s">
        <v>2536</v>
      </c>
      <c r="E8870" t="s">
        <v>611</v>
      </c>
      <c r="G8870">
        <v>23.99</v>
      </c>
      <c r="H8870">
        <v>1733.96</v>
      </c>
      <c r="J8870" t="s">
        <v>2509</v>
      </c>
    </row>
    <row r="8871" spans="1:10" ht="15" customHeight="1" x14ac:dyDescent="0.2">
      <c r="A8871" s="420">
        <v>45839</v>
      </c>
      <c r="B8871" t="s">
        <v>2535</v>
      </c>
      <c r="C8871" t="s">
        <v>587</v>
      </c>
      <c r="D8871" t="s">
        <v>2536</v>
      </c>
      <c r="E8871" t="s">
        <v>612</v>
      </c>
      <c r="G8871">
        <v>191.17</v>
      </c>
      <c r="H8871">
        <v>1542.79</v>
      </c>
      <c r="J8871" t="s">
        <v>2513</v>
      </c>
    </row>
    <row r="8872" spans="1:10" ht="15" customHeight="1" x14ac:dyDescent="0.2">
      <c r="A8872" s="420">
        <v>45839</v>
      </c>
      <c r="B8872" t="s">
        <v>2535</v>
      </c>
      <c r="C8872" t="s">
        <v>587</v>
      </c>
      <c r="D8872" t="s">
        <v>2536</v>
      </c>
      <c r="E8872" t="s">
        <v>611</v>
      </c>
      <c r="G8872">
        <v>27.73</v>
      </c>
      <c r="H8872">
        <v>1515.06</v>
      </c>
      <c r="J8872" t="s">
        <v>2585</v>
      </c>
    </row>
    <row r="8873" spans="1:10" ht="15" customHeight="1" x14ac:dyDescent="0.2">
      <c r="A8873" s="420">
        <v>45839</v>
      </c>
      <c r="B8873" t="s">
        <v>2535</v>
      </c>
      <c r="C8873" t="s">
        <v>587</v>
      </c>
      <c r="D8873" t="s">
        <v>2536</v>
      </c>
      <c r="E8873" t="s">
        <v>613</v>
      </c>
      <c r="G8873">
        <v>14.58</v>
      </c>
      <c r="H8873">
        <v>1500.48</v>
      </c>
      <c r="J8873" t="s">
        <v>2586</v>
      </c>
    </row>
    <row r="8874" spans="1:10" ht="15" customHeight="1" x14ac:dyDescent="0.2">
      <c r="A8874" s="420">
        <v>45839</v>
      </c>
      <c r="B8874" t="s">
        <v>2535</v>
      </c>
      <c r="C8874" t="s">
        <v>587</v>
      </c>
      <c r="D8874" t="s">
        <v>2536</v>
      </c>
      <c r="E8874" t="s">
        <v>614</v>
      </c>
      <c r="G8874">
        <v>30.57</v>
      </c>
      <c r="H8874">
        <v>1469.91</v>
      </c>
      <c r="J8874" t="s">
        <v>2587</v>
      </c>
    </row>
    <row r="8875" spans="1:10" ht="15" customHeight="1" x14ac:dyDescent="0.2">
      <c r="A8875" s="420">
        <v>45839</v>
      </c>
      <c r="B8875" t="s">
        <v>2535</v>
      </c>
      <c r="C8875" t="s">
        <v>587</v>
      </c>
      <c r="D8875" t="s">
        <v>2536</v>
      </c>
      <c r="E8875" t="s">
        <v>615</v>
      </c>
      <c r="G8875">
        <v>20.79</v>
      </c>
      <c r="H8875">
        <v>1449.12</v>
      </c>
      <c r="J8875" t="s">
        <v>2603</v>
      </c>
    </row>
    <row r="8876" spans="1:10" ht="15" customHeight="1" x14ac:dyDescent="0.2">
      <c r="A8876" s="420">
        <v>45839</v>
      </c>
      <c r="B8876" t="s">
        <v>2535</v>
      </c>
      <c r="C8876" t="s">
        <v>587</v>
      </c>
      <c r="D8876" t="s">
        <v>2536</v>
      </c>
      <c r="E8876" t="s">
        <v>616</v>
      </c>
      <c r="G8876">
        <v>118.72</v>
      </c>
      <c r="H8876">
        <v>1330.4</v>
      </c>
      <c r="J8876" t="s">
        <v>2604</v>
      </c>
    </row>
    <row r="8877" spans="1:10" ht="15" customHeight="1" x14ac:dyDescent="0.2">
      <c r="A8877" s="420">
        <v>45839</v>
      </c>
      <c r="B8877" t="s">
        <v>2535</v>
      </c>
      <c r="C8877" t="s">
        <v>587</v>
      </c>
      <c r="D8877" t="s">
        <v>2536</v>
      </c>
      <c r="E8877" t="s">
        <v>617</v>
      </c>
      <c r="G8877">
        <v>33.18</v>
      </c>
      <c r="H8877">
        <v>1297.22</v>
      </c>
      <c r="J8877" t="s">
        <v>2599</v>
      </c>
    </row>
    <row r="8878" spans="1:10" ht="15" customHeight="1" x14ac:dyDescent="0.2">
      <c r="A8878" s="420">
        <v>45839</v>
      </c>
      <c r="B8878" t="s">
        <v>2535</v>
      </c>
      <c r="C8878" t="s">
        <v>587</v>
      </c>
      <c r="D8878" t="s">
        <v>2536</v>
      </c>
      <c r="E8878" t="s">
        <v>617</v>
      </c>
      <c r="G8878">
        <v>33.44</v>
      </c>
      <c r="H8878">
        <v>1263.78</v>
      </c>
      <c r="J8878" t="s">
        <v>2600</v>
      </c>
    </row>
    <row r="8879" spans="1:10" ht="15" customHeight="1" x14ac:dyDescent="0.2">
      <c r="A8879" s="420">
        <v>45839</v>
      </c>
      <c r="B8879" t="s">
        <v>2535</v>
      </c>
      <c r="C8879" t="s">
        <v>587</v>
      </c>
      <c r="D8879" t="s">
        <v>2536</v>
      </c>
      <c r="E8879" t="s">
        <v>618</v>
      </c>
      <c r="G8879">
        <v>316.39</v>
      </c>
      <c r="H8879">
        <v>947.39</v>
      </c>
      <c r="J8879" t="s">
        <v>2601</v>
      </c>
    </row>
    <row r="8880" spans="1:10" ht="15" customHeight="1" x14ac:dyDescent="0.2">
      <c r="A8880" s="420">
        <v>45839</v>
      </c>
      <c r="B8880" t="s">
        <v>2535</v>
      </c>
      <c r="C8880" t="s">
        <v>587</v>
      </c>
      <c r="D8880" t="s">
        <v>2536</v>
      </c>
      <c r="E8880" t="s">
        <v>619</v>
      </c>
      <c r="G8880">
        <v>663.6</v>
      </c>
      <c r="H8880">
        <v>283.79000000000002</v>
      </c>
      <c r="J8880" t="s">
        <v>2602</v>
      </c>
    </row>
    <row r="8881" spans="1:10" ht="15" customHeight="1" x14ac:dyDescent="0.2">
      <c r="A8881" s="420">
        <v>45839</v>
      </c>
      <c r="B8881" t="s">
        <v>2535</v>
      </c>
      <c r="C8881" t="s">
        <v>587</v>
      </c>
      <c r="D8881" t="s">
        <v>2536</v>
      </c>
      <c r="E8881" t="s">
        <v>620</v>
      </c>
      <c r="G8881">
        <v>10.83</v>
      </c>
      <c r="H8881">
        <v>272.95999999999998</v>
      </c>
      <c r="J8881" t="s">
        <v>2605</v>
      </c>
    </row>
    <row r="8882" spans="1:10" ht="15" customHeight="1" x14ac:dyDescent="0.2">
      <c r="A8882" s="420">
        <v>45839</v>
      </c>
      <c r="B8882" t="s">
        <v>2535</v>
      </c>
      <c r="C8882" t="s">
        <v>587</v>
      </c>
      <c r="D8882" t="s">
        <v>2536</v>
      </c>
      <c r="E8882" t="s">
        <v>621</v>
      </c>
      <c r="G8882">
        <v>24.87</v>
      </c>
      <c r="H8882">
        <v>248.09</v>
      </c>
      <c r="J8882" t="s">
        <v>2710</v>
      </c>
    </row>
    <row r="8883" spans="1:10" ht="15" customHeight="1" x14ac:dyDescent="0.2">
      <c r="A8883" s="420">
        <v>45839</v>
      </c>
      <c r="B8883" t="s">
        <v>2535</v>
      </c>
      <c r="C8883" t="s">
        <v>587</v>
      </c>
      <c r="D8883" t="s">
        <v>2536</v>
      </c>
      <c r="E8883" t="s">
        <v>622</v>
      </c>
      <c r="G8883">
        <v>13.65</v>
      </c>
      <c r="H8883">
        <v>234.44</v>
      </c>
      <c r="J8883" t="s">
        <v>2715</v>
      </c>
    </row>
    <row r="8884" spans="1:10" ht="15" customHeight="1" x14ac:dyDescent="0.2">
      <c r="A8884" s="420">
        <v>45839</v>
      </c>
      <c r="B8884" t="s">
        <v>2535</v>
      </c>
      <c r="C8884" t="s">
        <v>587</v>
      </c>
      <c r="D8884" t="s">
        <v>2536</v>
      </c>
      <c r="E8884" t="s">
        <v>623</v>
      </c>
      <c r="G8884">
        <v>219.97</v>
      </c>
      <c r="H8884">
        <v>14.47</v>
      </c>
      <c r="J8884" t="s">
        <v>2719</v>
      </c>
    </row>
    <row r="8885" spans="1:10" ht="15" customHeight="1" x14ac:dyDescent="0.2">
      <c r="A8885" s="420">
        <v>45839</v>
      </c>
      <c r="B8885" t="s">
        <v>2535</v>
      </c>
      <c r="C8885" t="s">
        <v>587</v>
      </c>
      <c r="D8885" t="s">
        <v>2536</v>
      </c>
      <c r="E8885" t="s">
        <v>624</v>
      </c>
      <c r="G8885">
        <v>14.47</v>
      </c>
      <c r="J8885" t="s">
        <v>2727</v>
      </c>
    </row>
    <row r="8886" spans="1:10" ht="15" customHeight="1" x14ac:dyDescent="0.2">
      <c r="A8886" s="420">
        <v>46022</v>
      </c>
      <c r="B8886" t="s">
        <v>2541</v>
      </c>
      <c r="C8886" t="s">
        <v>587</v>
      </c>
      <c r="D8886" t="s">
        <v>2542</v>
      </c>
      <c r="E8886" t="s">
        <v>629</v>
      </c>
      <c r="F8886">
        <v>448.22</v>
      </c>
      <c r="H8886">
        <v>448.22</v>
      </c>
    </row>
    <row r="8887" spans="1:10" ht="15" customHeight="1" x14ac:dyDescent="0.2">
      <c r="A8887" s="420">
        <v>46022</v>
      </c>
      <c r="B8887" t="s">
        <v>2541</v>
      </c>
      <c r="C8887" t="s">
        <v>587</v>
      </c>
      <c r="D8887" t="s">
        <v>2542</v>
      </c>
      <c r="E8887" t="s">
        <v>630</v>
      </c>
      <c r="F8887">
        <v>1327.2</v>
      </c>
      <c r="H8887">
        <v>1775.42</v>
      </c>
    </row>
    <row r="8888" spans="1:10" ht="15" customHeight="1" x14ac:dyDescent="0.2">
      <c r="A8888" s="420">
        <v>46022</v>
      </c>
      <c r="B8888" t="s">
        <v>2541</v>
      </c>
      <c r="C8888" t="s">
        <v>587</v>
      </c>
      <c r="D8888" t="s">
        <v>2542</v>
      </c>
      <c r="E8888" t="s">
        <v>631</v>
      </c>
      <c r="F8888">
        <v>20.8</v>
      </c>
      <c r="H8888">
        <v>1796.22</v>
      </c>
    </row>
    <row r="8889" spans="1:10" ht="15" customHeight="1" x14ac:dyDescent="0.2">
      <c r="A8889" s="420">
        <v>46022</v>
      </c>
      <c r="B8889" t="s">
        <v>2541</v>
      </c>
      <c r="C8889" t="s">
        <v>587</v>
      </c>
      <c r="D8889" t="s">
        <v>2542</v>
      </c>
      <c r="E8889" t="s">
        <v>632</v>
      </c>
      <c r="F8889">
        <v>382.34</v>
      </c>
      <c r="H8889">
        <v>2178.56</v>
      </c>
    </row>
    <row r="8890" spans="1:10" ht="15" customHeight="1" x14ac:dyDescent="0.2">
      <c r="A8890" s="420">
        <v>46022</v>
      </c>
      <c r="B8890" t="s">
        <v>2541</v>
      </c>
      <c r="C8890" t="s">
        <v>587</v>
      </c>
      <c r="D8890" t="s">
        <v>2542</v>
      </c>
      <c r="E8890" t="s">
        <v>633</v>
      </c>
      <c r="F8890">
        <v>209.72</v>
      </c>
      <c r="H8890">
        <v>2388.2800000000002</v>
      </c>
    </row>
    <row r="8891" spans="1:10" ht="15" customHeight="1" x14ac:dyDescent="0.2">
      <c r="A8891" s="420">
        <v>46022</v>
      </c>
      <c r="B8891" t="s">
        <v>2541</v>
      </c>
      <c r="C8891" t="s">
        <v>587</v>
      </c>
      <c r="D8891" t="s">
        <v>2542</v>
      </c>
      <c r="E8891" t="s">
        <v>634</v>
      </c>
      <c r="F8891">
        <v>237.44</v>
      </c>
      <c r="H8891">
        <v>2625.72</v>
      </c>
    </row>
    <row r="8892" spans="1:10" ht="15" customHeight="1" x14ac:dyDescent="0.2">
      <c r="A8892" s="420">
        <v>46022</v>
      </c>
      <c r="B8892" t="s">
        <v>2541</v>
      </c>
      <c r="C8892" t="s">
        <v>587</v>
      </c>
      <c r="D8892" t="s">
        <v>2542</v>
      </c>
      <c r="E8892" t="s">
        <v>635</v>
      </c>
      <c r="F8892">
        <v>21.65</v>
      </c>
      <c r="H8892">
        <v>2647.37</v>
      </c>
    </row>
    <row r="8893" spans="1:10" ht="15" customHeight="1" x14ac:dyDescent="0.2">
      <c r="A8893" s="420">
        <v>46022</v>
      </c>
      <c r="B8893" t="s">
        <v>2541</v>
      </c>
      <c r="C8893" t="s">
        <v>587</v>
      </c>
      <c r="D8893" t="s">
        <v>2542</v>
      </c>
      <c r="E8893" t="s">
        <v>636</v>
      </c>
      <c r="F8893">
        <v>49.74</v>
      </c>
      <c r="H8893">
        <v>2697.11</v>
      </c>
    </row>
    <row r="8894" spans="1:10" ht="15" customHeight="1" x14ac:dyDescent="0.2">
      <c r="A8894" s="420">
        <v>46022</v>
      </c>
      <c r="B8894" t="s">
        <v>2541</v>
      </c>
      <c r="C8894" t="s">
        <v>587</v>
      </c>
      <c r="D8894" t="s">
        <v>2542</v>
      </c>
      <c r="E8894" t="s">
        <v>637</v>
      </c>
      <c r="F8894">
        <v>55.45</v>
      </c>
      <c r="H8894">
        <v>2752.56</v>
      </c>
    </row>
    <row r="8895" spans="1:10" ht="15" customHeight="1" x14ac:dyDescent="0.2">
      <c r="A8895" s="420">
        <v>46022</v>
      </c>
      <c r="B8895" t="s">
        <v>2541</v>
      </c>
      <c r="C8895" t="s">
        <v>587</v>
      </c>
      <c r="D8895" t="s">
        <v>2542</v>
      </c>
      <c r="E8895" t="s">
        <v>638</v>
      </c>
      <c r="F8895">
        <v>13.65</v>
      </c>
      <c r="H8895">
        <v>2766.21</v>
      </c>
    </row>
    <row r="8896" spans="1:10" ht="15" customHeight="1" x14ac:dyDescent="0.2">
      <c r="A8896" s="420">
        <v>46022</v>
      </c>
      <c r="B8896" t="s">
        <v>2541</v>
      </c>
      <c r="C8896" t="s">
        <v>587</v>
      </c>
      <c r="D8896" t="s">
        <v>2542</v>
      </c>
      <c r="E8896" t="s">
        <v>639</v>
      </c>
      <c r="F8896">
        <v>29.15</v>
      </c>
      <c r="H8896">
        <v>2795.36</v>
      </c>
    </row>
    <row r="8897" spans="1:10" ht="15" customHeight="1" x14ac:dyDescent="0.2">
      <c r="A8897" s="420">
        <v>46022</v>
      </c>
      <c r="B8897" t="s">
        <v>2541</v>
      </c>
      <c r="C8897" t="s">
        <v>587</v>
      </c>
      <c r="D8897" t="s">
        <v>2542</v>
      </c>
      <c r="E8897" t="s">
        <v>640</v>
      </c>
      <c r="F8897">
        <v>61.13</v>
      </c>
      <c r="H8897">
        <v>2856.49</v>
      </c>
    </row>
    <row r="8898" spans="1:10" ht="15" customHeight="1" x14ac:dyDescent="0.2">
      <c r="A8898" s="420">
        <v>46022</v>
      </c>
      <c r="B8898" t="s">
        <v>2541</v>
      </c>
      <c r="C8898" t="s">
        <v>587</v>
      </c>
      <c r="D8898" t="s">
        <v>2542</v>
      </c>
      <c r="E8898" t="s">
        <v>637</v>
      </c>
      <c r="F8898">
        <v>47.98</v>
      </c>
      <c r="H8898">
        <v>2904.47</v>
      </c>
    </row>
    <row r="8899" spans="1:10" ht="15" customHeight="1" x14ac:dyDescent="0.2">
      <c r="A8899" s="420">
        <v>46022</v>
      </c>
      <c r="B8899" t="s">
        <v>2541</v>
      </c>
      <c r="C8899" t="s">
        <v>587</v>
      </c>
      <c r="D8899" t="s">
        <v>2542</v>
      </c>
      <c r="E8899" t="s">
        <v>641</v>
      </c>
      <c r="F8899">
        <v>66.37</v>
      </c>
      <c r="H8899">
        <v>2970.84</v>
      </c>
    </row>
    <row r="8900" spans="1:10" ht="15" customHeight="1" x14ac:dyDescent="0.2">
      <c r="A8900" s="420">
        <v>46022</v>
      </c>
      <c r="B8900" t="s">
        <v>2541</v>
      </c>
      <c r="C8900" t="s">
        <v>587</v>
      </c>
      <c r="D8900" t="s">
        <v>2542</v>
      </c>
      <c r="E8900" t="s">
        <v>641</v>
      </c>
      <c r="F8900">
        <v>66.87</v>
      </c>
      <c r="H8900">
        <v>3037.71</v>
      </c>
    </row>
    <row r="8901" spans="1:10" ht="15" customHeight="1" x14ac:dyDescent="0.2">
      <c r="A8901" s="420">
        <v>46022</v>
      </c>
      <c r="B8901" t="s">
        <v>2541</v>
      </c>
      <c r="C8901" t="s">
        <v>587</v>
      </c>
      <c r="D8901" t="s">
        <v>2542</v>
      </c>
      <c r="E8901" t="s">
        <v>642</v>
      </c>
      <c r="F8901">
        <v>462.89</v>
      </c>
      <c r="H8901">
        <v>3500.6</v>
      </c>
    </row>
    <row r="8902" spans="1:10" ht="15" customHeight="1" x14ac:dyDescent="0.2">
      <c r="A8902" s="420">
        <v>46022</v>
      </c>
      <c r="B8902" t="s">
        <v>2541</v>
      </c>
      <c r="C8902" t="s">
        <v>587</v>
      </c>
      <c r="D8902" t="s">
        <v>2542</v>
      </c>
      <c r="E8902" t="s">
        <v>643</v>
      </c>
      <c r="F8902">
        <v>64.56</v>
      </c>
      <c r="H8902">
        <v>3565.16</v>
      </c>
    </row>
    <row r="8903" spans="1:10" ht="15" customHeight="1" x14ac:dyDescent="0.2">
      <c r="A8903" s="420">
        <v>46022</v>
      </c>
      <c r="B8903" t="s">
        <v>2541</v>
      </c>
      <c r="C8903" t="s">
        <v>587</v>
      </c>
      <c r="D8903" t="s">
        <v>2542</v>
      </c>
      <c r="E8903" t="s">
        <v>644</v>
      </c>
      <c r="F8903">
        <v>133.57</v>
      </c>
      <c r="H8903">
        <v>3698.73</v>
      </c>
    </row>
    <row r="8904" spans="1:10" ht="15" customHeight="1" x14ac:dyDescent="0.2">
      <c r="A8904" t="s">
        <v>587</v>
      </c>
      <c r="E8904" t="s">
        <v>349</v>
      </c>
      <c r="F8904">
        <v>5561.54</v>
      </c>
      <c r="G8904">
        <v>1862.81</v>
      </c>
      <c r="H8904">
        <v>3698.73</v>
      </c>
    </row>
    <row r="8906" spans="1:10" ht="15" customHeight="1" x14ac:dyDescent="0.2">
      <c r="A8906" t="s">
        <v>604</v>
      </c>
      <c r="B8906" t="s">
        <v>605</v>
      </c>
      <c r="F8906" t="s">
        <v>2430</v>
      </c>
      <c r="G8906" t="s">
        <v>2431</v>
      </c>
      <c r="H8906" t="s">
        <v>2432</v>
      </c>
      <c r="I8906" t="s">
        <v>2433</v>
      </c>
      <c r="J8906" t="s">
        <v>2434</v>
      </c>
    </row>
    <row r="8907" spans="1:10" ht="15" customHeight="1" x14ac:dyDescent="0.2">
      <c r="A8907" s="420">
        <v>45838</v>
      </c>
      <c r="B8907" t="s">
        <v>2535</v>
      </c>
      <c r="C8907" t="s">
        <v>604</v>
      </c>
      <c r="D8907" t="s">
        <v>2536</v>
      </c>
      <c r="E8907" t="s">
        <v>606</v>
      </c>
      <c r="F8907">
        <v>559.79999999999995</v>
      </c>
      <c r="H8907">
        <v>559.79999999999995</v>
      </c>
      <c r="J8907" t="s">
        <v>2511</v>
      </c>
    </row>
    <row r="8908" spans="1:10" ht="15" customHeight="1" x14ac:dyDescent="0.2">
      <c r="A8908" s="420">
        <v>45838</v>
      </c>
      <c r="B8908" t="s">
        <v>2535</v>
      </c>
      <c r="C8908" t="s">
        <v>604</v>
      </c>
      <c r="D8908" t="s">
        <v>2536</v>
      </c>
      <c r="E8908" t="s">
        <v>607</v>
      </c>
      <c r="F8908">
        <v>188.58</v>
      </c>
      <c r="H8908">
        <v>748.38</v>
      </c>
      <c r="J8908" t="s">
        <v>2509</v>
      </c>
    </row>
    <row r="8909" spans="1:10" ht="15" customHeight="1" x14ac:dyDescent="0.2">
      <c r="A8909" s="420">
        <v>45839</v>
      </c>
      <c r="B8909" t="s">
        <v>2535</v>
      </c>
      <c r="C8909" t="s">
        <v>604</v>
      </c>
      <c r="D8909" t="s">
        <v>2536</v>
      </c>
      <c r="E8909" t="s">
        <v>625</v>
      </c>
      <c r="G8909">
        <v>559.79999999999995</v>
      </c>
      <c r="H8909">
        <v>188.58</v>
      </c>
      <c r="J8909" t="s">
        <v>2511</v>
      </c>
    </row>
    <row r="8910" spans="1:10" ht="15" customHeight="1" x14ac:dyDescent="0.2">
      <c r="A8910" s="420">
        <v>45839</v>
      </c>
      <c r="B8910" t="s">
        <v>2535</v>
      </c>
      <c r="C8910" t="s">
        <v>604</v>
      </c>
      <c r="D8910" t="s">
        <v>2536</v>
      </c>
      <c r="E8910" t="s">
        <v>626</v>
      </c>
      <c r="G8910">
        <v>188.58</v>
      </c>
      <c r="J8910" t="s">
        <v>2509</v>
      </c>
    </row>
    <row r="8911" spans="1:10" ht="15" customHeight="1" x14ac:dyDescent="0.2">
      <c r="A8911" s="420">
        <v>46022</v>
      </c>
      <c r="B8911" t="s">
        <v>2541</v>
      </c>
      <c r="C8911" t="s">
        <v>604</v>
      </c>
      <c r="D8911" t="s">
        <v>2542</v>
      </c>
      <c r="E8911" t="s">
        <v>645</v>
      </c>
      <c r="F8911">
        <v>279.63</v>
      </c>
      <c r="H8911">
        <v>279.63</v>
      </c>
    </row>
    <row r="8912" spans="1:10" ht="15" customHeight="1" x14ac:dyDescent="0.2">
      <c r="A8912" s="420">
        <v>46022</v>
      </c>
      <c r="B8912" t="s">
        <v>2541</v>
      </c>
      <c r="C8912" t="s">
        <v>604</v>
      </c>
      <c r="D8912" t="s">
        <v>2542</v>
      </c>
      <c r="E8912" t="s">
        <v>646</v>
      </c>
      <c r="F8912">
        <v>94.29</v>
      </c>
      <c r="H8912">
        <v>373.92</v>
      </c>
    </row>
    <row r="8913" spans="1:10" ht="15" customHeight="1" x14ac:dyDescent="0.2">
      <c r="A8913" t="s">
        <v>604</v>
      </c>
      <c r="E8913" t="s">
        <v>349</v>
      </c>
      <c r="F8913">
        <v>1122.3</v>
      </c>
      <c r="G8913">
        <v>748.38</v>
      </c>
      <c r="H8913">
        <v>373.92</v>
      </c>
    </row>
    <row r="8915" spans="1:10" ht="15" customHeight="1" x14ac:dyDescent="0.2">
      <c r="A8915" t="s">
        <v>1191</v>
      </c>
      <c r="B8915" t="s">
        <v>1192</v>
      </c>
      <c r="F8915" t="s">
        <v>2430</v>
      </c>
      <c r="G8915" t="s">
        <v>2431</v>
      </c>
      <c r="H8915" t="s">
        <v>2432</v>
      </c>
      <c r="I8915" t="s">
        <v>2433</v>
      </c>
      <c r="J8915" t="s">
        <v>2434</v>
      </c>
    </row>
    <row r="8916" spans="1:10" ht="15" customHeight="1" x14ac:dyDescent="0.2">
      <c r="A8916" s="420">
        <v>46022</v>
      </c>
      <c r="B8916" t="s">
        <v>2439</v>
      </c>
      <c r="C8916" t="s">
        <v>1191</v>
      </c>
      <c r="D8916" t="s">
        <v>6302</v>
      </c>
      <c r="E8916" t="s">
        <v>1193</v>
      </c>
      <c r="F8916">
        <v>9509</v>
      </c>
      <c r="H8916">
        <v>9509</v>
      </c>
    </row>
    <row r="8917" spans="1:10" ht="15" customHeight="1" x14ac:dyDescent="0.2">
      <c r="A8917" t="s">
        <v>1191</v>
      </c>
      <c r="E8917" t="s">
        <v>349</v>
      </c>
      <c r="F8917">
        <v>9509</v>
      </c>
      <c r="H8917">
        <v>9509</v>
      </c>
    </row>
    <row r="8919" spans="1:10" ht="15" customHeight="1" x14ac:dyDescent="0.2">
      <c r="A8919" t="s">
        <v>847</v>
      </c>
      <c r="B8919" t="s">
        <v>848</v>
      </c>
      <c r="F8919" t="s">
        <v>2430</v>
      </c>
      <c r="G8919" t="s">
        <v>2431</v>
      </c>
      <c r="H8919" t="s">
        <v>2432</v>
      </c>
      <c r="I8919" t="s">
        <v>2433</v>
      </c>
      <c r="J8919" t="s">
        <v>2434</v>
      </c>
    </row>
    <row r="8920" spans="1:10" ht="15" customHeight="1" x14ac:dyDescent="0.2">
      <c r="A8920" s="420">
        <v>45838</v>
      </c>
      <c r="B8920" t="s">
        <v>2535</v>
      </c>
      <c r="C8920" t="s">
        <v>847</v>
      </c>
      <c r="D8920" t="s">
        <v>6300</v>
      </c>
      <c r="E8920" t="s">
        <v>849</v>
      </c>
      <c r="G8920">
        <v>1200</v>
      </c>
      <c r="I8920">
        <v>1200</v>
      </c>
      <c r="J8920" t="s">
        <v>2511</v>
      </c>
    </row>
    <row r="8921" spans="1:10" ht="15" customHeight="1" x14ac:dyDescent="0.2">
      <c r="A8921" s="420">
        <v>45839</v>
      </c>
      <c r="B8921" t="s">
        <v>2517</v>
      </c>
      <c r="C8921" t="s">
        <v>847</v>
      </c>
      <c r="D8921" t="s">
        <v>6300</v>
      </c>
      <c r="E8921" t="s">
        <v>856</v>
      </c>
      <c r="F8921">
        <v>1200</v>
      </c>
      <c r="J8921" t="s">
        <v>2511</v>
      </c>
    </row>
    <row r="8922" spans="1:10" ht="15" customHeight="1" x14ac:dyDescent="0.2">
      <c r="A8922" s="420">
        <v>46022</v>
      </c>
      <c r="B8922" t="s">
        <v>2517</v>
      </c>
      <c r="C8922" t="s">
        <v>847</v>
      </c>
      <c r="D8922" t="s">
        <v>6301</v>
      </c>
      <c r="E8922" t="s">
        <v>869</v>
      </c>
      <c r="G8922">
        <v>1800</v>
      </c>
      <c r="I8922">
        <v>1800</v>
      </c>
    </row>
    <row r="8923" spans="1:10" ht="15" customHeight="1" x14ac:dyDescent="0.2">
      <c r="A8923" t="s">
        <v>847</v>
      </c>
      <c r="E8923" t="s">
        <v>349</v>
      </c>
      <c r="F8923">
        <v>1200</v>
      </c>
      <c r="G8923">
        <v>3000</v>
      </c>
      <c r="I8923">
        <v>1800</v>
      </c>
    </row>
    <row r="8925" spans="1:10" ht="15" customHeight="1" x14ac:dyDescent="0.2">
      <c r="A8925" t="s">
        <v>7931</v>
      </c>
      <c r="B8925" t="s">
        <v>7932</v>
      </c>
      <c r="F8925" t="s">
        <v>2430</v>
      </c>
      <c r="G8925" t="s">
        <v>2431</v>
      </c>
      <c r="H8925" t="s">
        <v>2432</v>
      </c>
      <c r="I8925" t="s">
        <v>2433</v>
      </c>
      <c r="J8925" t="s">
        <v>2434</v>
      </c>
    </row>
    <row r="8926" spans="1:10" ht="15" customHeight="1" x14ac:dyDescent="0.2">
      <c r="A8926" s="420">
        <v>45658</v>
      </c>
      <c r="B8926" t="s">
        <v>2507</v>
      </c>
      <c r="C8926" t="s">
        <v>7931</v>
      </c>
      <c r="D8926" t="s">
        <v>6035</v>
      </c>
      <c r="E8926" t="s">
        <v>6036</v>
      </c>
      <c r="F8926">
        <v>4000</v>
      </c>
      <c r="H8926">
        <v>4000</v>
      </c>
      <c r="J8926" t="s">
        <v>2509</v>
      </c>
    </row>
    <row r="8927" spans="1:10" ht="15" customHeight="1" x14ac:dyDescent="0.2">
      <c r="A8927" s="420">
        <v>45658</v>
      </c>
      <c r="B8927" t="s">
        <v>2507</v>
      </c>
      <c r="C8927" t="s">
        <v>7931</v>
      </c>
      <c r="D8927" t="s">
        <v>6037</v>
      </c>
      <c r="E8927" t="s">
        <v>6038</v>
      </c>
      <c r="F8927">
        <v>1036977</v>
      </c>
      <c r="H8927">
        <v>1040977</v>
      </c>
      <c r="J8927" t="s">
        <v>2513</v>
      </c>
    </row>
    <row r="8928" spans="1:10" ht="15" customHeight="1" x14ac:dyDescent="0.2">
      <c r="A8928" s="420">
        <v>45658</v>
      </c>
      <c r="B8928" t="s">
        <v>2507</v>
      </c>
      <c r="C8928" t="s">
        <v>7931</v>
      </c>
      <c r="D8928" t="s">
        <v>6035</v>
      </c>
      <c r="E8928" t="s">
        <v>6036</v>
      </c>
      <c r="G8928">
        <v>14250</v>
      </c>
      <c r="H8928">
        <v>1026727</v>
      </c>
      <c r="J8928" t="s">
        <v>2585</v>
      </c>
    </row>
    <row r="8929" spans="1:8" ht="15" customHeight="1" x14ac:dyDescent="0.2">
      <c r="A8929" s="420">
        <v>45665</v>
      </c>
      <c r="B8929" t="s">
        <v>5586</v>
      </c>
      <c r="C8929" t="s">
        <v>7931</v>
      </c>
      <c r="D8929" t="s">
        <v>5923</v>
      </c>
      <c r="E8929" t="s">
        <v>5924</v>
      </c>
      <c r="G8929">
        <v>120024.98</v>
      </c>
      <c r="H8929">
        <v>906702.02</v>
      </c>
    </row>
    <row r="8930" spans="1:8" ht="15" customHeight="1" x14ac:dyDescent="0.2">
      <c r="A8930" s="420">
        <v>45671</v>
      </c>
      <c r="B8930" t="s">
        <v>5586</v>
      </c>
      <c r="C8930" t="s">
        <v>7931</v>
      </c>
      <c r="D8930" t="s">
        <v>5995</v>
      </c>
      <c r="E8930" t="s">
        <v>5996</v>
      </c>
      <c r="G8930">
        <v>127823.33</v>
      </c>
      <c r="H8930">
        <v>778878.69</v>
      </c>
    </row>
    <row r="8931" spans="1:8" ht="15" customHeight="1" x14ac:dyDescent="0.2">
      <c r="A8931" s="420">
        <v>45672</v>
      </c>
      <c r="B8931" t="s">
        <v>5544</v>
      </c>
      <c r="C8931" t="s">
        <v>7931</v>
      </c>
      <c r="D8931" t="s">
        <v>5969</v>
      </c>
      <c r="E8931" t="s">
        <v>5970</v>
      </c>
      <c r="F8931">
        <v>5000</v>
      </c>
      <c r="H8931">
        <v>783878.69</v>
      </c>
    </row>
    <row r="8932" spans="1:8" ht="15" customHeight="1" x14ac:dyDescent="0.2">
      <c r="A8932" s="420">
        <v>45677</v>
      </c>
      <c r="B8932" t="s">
        <v>5586</v>
      </c>
      <c r="C8932" t="s">
        <v>7931</v>
      </c>
      <c r="D8932" t="s">
        <v>5587</v>
      </c>
      <c r="E8932" t="s">
        <v>5588</v>
      </c>
      <c r="G8932">
        <v>127839.17</v>
      </c>
      <c r="H8932">
        <v>656039.52</v>
      </c>
    </row>
    <row r="8933" spans="1:8" ht="15" customHeight="1" x14ac:dyDescent="0.2">
      <c r="A8933" s="420">
        <v>45684</v>
      </c>
      <c r="B8933" t="s">
        <v>5544</v>
      </c>
      <c r="C8933" t="s">
        <v>7931</v>
      </c>
      <c r="D8933" t="s">
        <v>5545</v>
      </c>
      <c r="E8933" t="s">
        <v>5546</v>
      </c>
      <c r="F8933">
        <v>5000</v>
      </c>
      <c r="H8933">
        <v>661039.52</v>
      </c>
    </row>
    <row r="8934" spans="1:8" ht="15" customHeight="1" x14ac:dyDescent="0.2">
      <c r="A8934" s="420">
        <v>45716</v>
      </c>
      <c r="B8934" t="s">
        <v>5544</v>
      </c>
      <c r="C8934" t="s">
        <v>7931</v>
      </c>
      <c r="D8934" t="s">
        <v>5694</v>
      </c>
      <c r="E8934" t="s">
        <v>5695</v>
      </c>
      <c r="F8934">
        <v>5000</v>
      </c>
      <c r="H8934">
        <v>666039.52</v>
      </c>
    </row>
    <row r="8935" spans="1:8" ht="15" customHeight="1" x14ac:dyDescent="0.2">
      <c r="A8935" s="420">
        <v>45716</v>
      </c>
      <c r="B8935" t="s">
        <v>5544</v>
      </c>
      <c r="C8935" t="s">
        <v>7931</v>
      </c>
      <c r="D8935" t="s">
        <v>5815</v>
      </c>
      <c r="E8935" t="s">
        <v>5816</v>
      </c>
      <c r="F8935">
        <v>6250</v>
      </c>
      <c r="H8935">
        <v>672289.52</v>
      </c>
    </row>
    <row r="8936" spans="1:8" ht="15" customHeight="1" x14ac:dyDescent="0.2">
      <c r="A8936" s="420">
        <v>45719</v>
      </c>
      <c r="B8936" t="s">
        <v>5544</v>
      </c>
      <c r="C8936" t="s">
        <v>7931</v>
      </c>
      <c r="D8936" t="s">
        <v>5776</v>
      </c>
      <c r="E8936" t="s">
        <v>5777</v>
      </c>
      <c r="G8936">
        <v>120376.66</v>
      </c>
      <c r="H8936">
        <v>551912.86</v>
      </c>
    </row>
    <row r="8937" spans="1:8" ht="15" customHeight="1" x14ac:dyDescent="0.2">
      <c r="A8937" s="420">
        <v>45748</v>
      </c>
      <c r="B8937" t="s">
        <v>5544</v>
      </c>
      <c r="C8937" t="s">
        <v>7931</v>
      </c>
      <c r="D8937" t="s">
        <v>5801</v>
      </c>
      <c r="E8937" t="s">
        <v>5802</v>
      </c>
      <c r="G8937">
        <v>122252.5</v>
      </c>
      <c r="H8937">
        <v>429660.36</v>
      </c>
    </row>
    <row r="8938" spans="1:8" ht="15" customHeight="1" x14ac:dyDescent="0.2">
      <c r="A8938" s="420">
        <v>45777</v>
      </c>
      <c r="B8938" t="s">
        <v>5544</v>
      </c>
      <c r="C8938" t="s">
        <v>7931</v>
      </c>
      <c r="D8938" t="s">
        <v>5555</v>
      </c>
      <c r="E8938" t="s">
        <v>5556</v>
      </c>
      <c r="G8938">
        <v>119002.81</v>
      </c>
      <c r="H8938">
        <v>310657.55</v>
      </c>
    </row>
    <row r="8939" spans="1:8" ht="15" customHeight="1" x14ac:dyDescent="0.2">
      <c r="A8939" s="420">
        <v>45779</v>
      </c>
      <c r="B8939" t="s">
        <v>2532</v>
      </c>
      <c r="C8939" t="s">
        <v>7931</v>
      </c>
      <c r="D8939" t="s">
        <v>5714</v>
      </c>
      <c r="E8939" t="s">
        <v>5715</v>
      </c>
      <c r="F8939">
        <v>5000</v>
      </c>
      <c r="H8939">
        <v>315657.55</v>
      </c>
    </row>
    <row r="8940" spans="1:8" ht="15" customHeight="1" x14ac:dyDescent="0.2">
      <c r="A8940" s="420">
        <v>45779</v>
      </c>
      <c r="B8940" t="s">
        <v>2532</v>
      </c>
      <c r="C8940" t="s">
        <v>7931</v>
      </c>
      <c r="D8940" t="s">
        <v>5673</v>
      </c>
      <c r="E8940" t="s">
        <v>5674</v>
      </c>
      <c r="F8940">
        <v>5000</v>
      </c>
      <c r="H8940">
        <v>320657.55</v>
      </c>
    </row>
    <row r="8941" spans="1:8" ht="15" customHeight="1" x14ac:dyDescent="0.2">
      <c r="A8941" s="420">
        <v>45779</v>
      </c>
      <c r="B8941" t="s">
        <v>5586</v>
      </c>
      <c r="C8941" t="s">
        <v>7931</v>
      </c>
      <c r="D8941" t="s">
        <v>5892</v>
      </c>
      <c r="E8941" t="s">
        <v>5893</v>
      </c>
      <c r="F8941">
        <v>5000</v>
      </c>
      <c r="H8941">
        <v>325657.55</v>
      </c>
    </row>
    <row r="8942" spans="1:8" ht="15" customHeight="1" x14ac:dyDescent="0.2">
      <c r="A8942" s="420">
        <v>45811</v>
      </c>
      <c r="B8942" t="s">
        <v>5586</v>
      </c>
      <c r="C8942" t="s">
        <v>7931</v>
      </c>
      <c r="D8942" t="s">
        <v>6029</v>
      </c>
      <c r="E8942" t="s">
        <v>6030</v>
      </c>
      <c r="G8942">
        <v>133711.66</v>
      </c>
      <c r="H8942">
        <v>191945.89</v>
      </c>
    </row>
    <row r="8943" spans="1:8" ht="15" customHeight="1" x14ac:dyDescent="0.2">
      <c r="A8943" s="420">
        <v>45818</v>
      </c>
      <c r="B8943" t="s">
        <v>5586</v>
      </c>
      <c r="C8943" t="s">
        <v>7931</v>
      </c>
      <c r="D8943" t="s">
        <v>5956</v>
      </c>
      <c r="E8943" t="s">
        <v>5957</v>
      </c>
      <c r="F8943">
        <v>5000</v>
      </c>
      <c r="H8943">
        <v>196945.89</v>
      </c>
    </row>
    <row r="8944" spans="1:8" ht="15" customHeight="1" x14ac:dyDescent="0.2">
      <c r="A8944" s="420">
        <v>45828</v>
      </c>
      <c r="B8944" t="s">
        <v>5586</v>
      </c>
      <c r="C8944" t="s">
        <v>7931</v>
      </c>
      <c r="D8944" t="s">
        <v>5835</v>
      </c>
      <c r="E8944" t="s">
        <v>5836</v>
      </c>
      <c r="F8944">
        <v>5000</v>
      </c>
      <c r="H8944">
        <v>201945.89</v>
      </c>
    </row>
    <row r="8945" spans="1:10" ht="15" customHeight="1" x14ac:dyDescent="0.2">
      <c r="A8945" s="420">
        <v>45838</v>
      </c>
      <c r="B8945" t="s">
        <v>2535</v>
      </c>
      <c r="C8945" t="s">
        <v>7931</v>
      </c>
      <c r="D8945" t="s">
        <v>6042</v>
      </c>
      <c r="E8945" t="s">
        <v>6043</v>
      </c>
      <c r="G8945">
        <v>1323991</v>
      </c>
      <c r="I8945">
        <v>1122045.1100000001</v>
      </c>
      <c r="J8945" t="s">
        <v>2587</v>
      </c>
    </row>
    <row r="8946" spans="1:10" ht="15" customHeight="1" x14ac:dyDescent="0.2">
      <c r="A8946" s="420">
        <v>45838</v>
      </c>
      <c r="B8946" t="s">
        <v>2535</v>
      </c>
      <c r="C8946" t="s">
        <v>7931</v>
      </c>
      <c r="D8946" t="s">
        <v>6046</v>
      </c>
      <c r="E8946" t="s">
        <v>6047</v>
      </c>
      <c r="G8946">
        <v>12000</v>
      </c>
      <c r="I8946">
        <v>1134045.1100000001</v>
      </c>
      <c r="J8946" t="s">
        <v>2604</v>
      </c>
    </row>
    <row r="8947" spans="1:10" ht="15" customHeight="1" x14ac:dyDescent="0.2">
      <c r="A8947" s="420">
        <v>45838</v>
      </c>
      <c r="B8947" t="s">
        <v>2535</v>
      </c>
      <c r="C8947" t="s">
        <v>7931</v>
      </c>
      <c r="D8947" t="s">
        <v>6046</v>
      </c>
      <c r="E8947" t="s">
        <v>6047</v>
      </c>
      <c r="F8947">
        <v>17000</v>
      </c>
      <c r="I8947">
        <v>1117045.1100000001</v>
      </c>
      <c r="J8947" t="s">
        <v>2603</v>
      </c>
    </row>
    <row r="8948" spans="1:10" ht="15" customHeight="1" x14ac:dyDescent="0.2">
      <c r="A8948" s="420">
        <v>45839</v>
      </c>
      <c r="B8948" t="s">
        <v>5544</v>
      </c>
      <c r="C8948" t="s">
        <v>7931</v>
      </c>
      <c r="D8948" t="s">
        <v>5704</v>
      </c>
      <c r="E8948" t="s">
        <v>5705</v>
      </c>
      <c r="G8948">
        <v>127027.5</v>
      </c>
      <c r="I8948">
        <v>1244072.6100000001</v>
      </c>
    </row>
    <row r="8949" spans="1:10" ht="15" customHeight="1" x14ac:dyDescent="0.2">
      <c r="A8949" s="420">
        <v>45839</v>
      </c>
      <c r="B8949" t="s">
        <v>5544</v>
      </c>
      <c r="C8949" t="s">
        <v>7931</v>
      </c>
      <c r="D8949" t="s">
        <v>5944</v>
      </c>
      <c r="E8949" t="s">
        <v>5945</v>
      </c>
      <c r="G8949">
        <v>122885.23</v>
      </c>
      <c r="I8949">
        <v>1366957.84</v>
      </c>
    </row>
    <row r="8950" spans="1:10" ht="15" customHeight="1" x14ac:dyDescent="0.2">
      <c r="A8950" s="420">
        <v>45839</v>
      </c>
      <c r="B8950" t="s">
        <v>2535</v>
      </c>
      <c r="C8950" t="s">
        <v>7931</v>
      </c>
      <c r="D8950" t="s">
        <v>6042</v>
      </c>
      <c r="E8950" t="s">
        <v>6052</v>
      </c>
      <c r="F8950">
        <v>1323991</v>
      </c>
      <c r="I8950">
        <v>42966.84</v>
      </c>
      <c r="J8950" t="s">
        <v>2587</v>
      </c>
    </row>
    <row r="8951" spans="1:10" ht="15" customHeight="1" x14ac:dyDescent="0.2">
      <c r="A8951" s="420">
        <v>45839</v>
      </c>
      <c r="B8951" t="s">
        <v>2535</v>
      </c>
      <c r="C8951" t="s">
        <v>7931</v>
      </c>
      <c r="D8951" t="s">
        <v>6046</v>
      </c>
      <c r="E8951" t="s">
        <v>6054</v>
      </c>
      <c r="G8951">
        <v>17000</v>
      </c>
      <c r="I8951">
        <v>59966.84</v>
      </c>
      <c r="J8951" t="s">
        <v>2603</v>
      </c>
    </row>
    <row r="8952" spans="1:10" ht="15" customHeight="1" x14ac:dyDescent="0.2">
      <c r="A8952" s="420">
        <v>45839</v>
      </c>
      <c r="B8952" t="s">
        <v>2535</v>
      </c>
      <c r="C8952" t="s">
        <v>7931</v>
      </c>
      <c r="D8952" t="s">
        <v>6046</v>
      </c>
      <c r="E8952" t="s">
        <v>6054</v>
      </c>
      <c r="F8952">
        <v>12000</v>
      </c>
      <c r="I8952">
        <v>47966.84</v>
      </c>
      <c r="J8952" t="s">
        <v>2604</v>
      </c>
    </row>
    <row r="8953" spans="1:10" ht="15" customHeight="1" x14ac:dyDescent="0.2">
      <c r="A8953" s="420">
        <v>45842</v>
      </c>
      <c r="B8953" t="s">
        <v>5544</v>
      </c>
      <c r="C8953" t="s">
        <v>7931</v>
      </c>
      <c r="D8953" t="s">
        <v>5658</v>
      </c>
      <c r="E8953" t="s">
        <v>5659</v>
      </c>
      <c r="F8953">
        <v>5000</v>
      </c>
      <c r="I8953">
        <v>42966.84</v>
      </c>
    </row>
    <row r="8954" spans="1:10" ht="15" customHeight="1" x14ac:dyDescent="0.2">
      <c r="A8954" s="420">
        <v>45880</v>
      </c>
      <c r="B8954" t="s">
        <v>5586</v>
      </c>
      <c r="C8954" t="s">
        <v>7931</v>
      </c>
      <c r="D8954" t="s">
        <v>5825</v>
      </c>
      <c r="E8954" t="s">
        <v>5826</v>
      </c>
      <c r="G8954">
        <v>145855</v>
      </c>
      <c r="I8954">
        <v>188821.84</v>
      </c>
    </row>
    <row r="8955" spans="1:10" ht="15" customHeight="1" x14ac:dyDescent="0.2">
      <c r="A8955" s="420">
        <v>45880</v>
      </c>
      <c r="B8955" t="s">
        <v>5586</v>
      </c>
      <c r="C8955" t="s">
        <v>7931</v>
      </c>
      <c r="D8955" t="s">
        <v>5981</v>
      </c>
      <c r="E8955" t="s">
        <v>5982</v>
      </c>
      <c r="G8955">
        <v>144132.32</v>
      </c>
      <c r="I8955">
        <v>332954.15999999997</v>
      </c>
    </row>
    <row r="8956" spans="1:10" ht="15" customHeight="1" x14ac:dyDescent="0.2">
      <c r="A8956" s="420">
        <v>45897</v>
      </c>
      <c r="B8956" t="s">
        <v>5544</v>
      </c>
      <c r="C8956" t="s">
        <v>7931</v>
      </c>
      <c r="D8956" t="s">
        <v>5565</v>
      </c>
      <c r="E8956" t="s">
        <v>5566</v>
      </c>
      <c r="F8956">
        <v>5000</v>
      </c>
      <c r="I8956">
        <v>327954.15999999997</v>
      </c>
    </row>
    <row r="8957" spans="1:10" ht="15" customHeight="1" x14ac:dyDescent="0.2">
      <c r="A8957" s="420">
        <v>45897</v>
      </c>
      <c r="B8957" t="s">
        <v>5544</v>
      </c>
      <c r="C8957" t="s">
        <v>7931</v>
      </c>
      <c r="D8957" t="s">
        <v>5881</v>
      </c>
      <c r="E8957" t="s">
        <v>5882</v>
      </c>
      <c r="F8957">
        <v>5000</v>
      </c>
      <c r="I8957">
        <v>322954.15999999997</v>
      </c>
    </row>
    <row r="8958" spans="1:10" ht="15" customHeight="1" x14ac:dyDescent="0.2">
      <c r="A8958" s="420">
        <v>45912</v>
      </c>
      <c r="B8958" t="s">
        <v>5586</v>
      </c>
      <c r="C8958" t="s">
        <v>7931</v>
      </c>
      <c r="D8958" t="s">
        <v>5682</v>
      </c>
      <c r="E8958" t="s">
        <v>5683</v>
      </c>
      <c r="G8958">
        <v>128010.1</v>
      </c>
      <c r="I8958">
        <v>450964.26</v>
      </c>
    </row>
    <row r="8959" spans="1:10" ht="15" customHeight="1" x14ac:dyDescent="0.2">
      <c r="A8959" s="420">
        <v>45938</v>
      </c>
      <c r="B8959" t="s">
        <v>5544</v>
      </c>
      <c r="C8959" t="s">
        <v>7931</v>
      </c>
      <c r="D8959" t="s">
        <v>5864</v>
      </c>
      <c r="E8959" t="s">
        <v>5865</v>
      </c>
      <c r="F8959">
        <v>5000</v>
      </c>
      <c r="I8959">
        <v>445964.26</v>
      </c>
    </row>
    <row r="8960" spans="1:10" ht="15" customHeight="1" x14ac:dyDescent="0.2">
      <c r="A8960" s="420">
        <v>45953</v>
      </c>
      <c r="B8960" t="s">
        <v>5544</v>
      </c>
      <c r="C8960" t="s">
        <v>7931</v>
      </c>
      <c r="D8960" t="s">
        <v>5742</v>
      </c>
      <c r="E8960" t="s">
        <v>5743</v>
      </c>
      <c r="F8960">
        <v>5000</v>
      </c>
      <c r="I8960">
        <v>440964.26</v>
      </c>
    </row>
    <row r="8961" spans="1:10" ht="15" customHeight="1" x14ac:dyDescent="0.2">
      <c r="A8961" s="420">
        <v>45954</v>
      </c>
      <c r="B8961" t="s">
        <v>5544</v>
      </c>
      <c r="C8961" t="s">
        <v>7931</v>
      </c>
      <c r="D8961" t="s">
        <v>5760</v>
      </c>
      <c r="E8961" t="s">
        <v>5761</v>
      </c>
      <c r="F8961">
        <v>6125</v>
      </c>
      <c r="I8961">
        <v>434839.26</v>
      </c>
    </row>
    <row r="8962" spans="1:10" ht="15" customHeight="1" x14ac:dyDescent="0.2">
      <c r="A8962" s="420">
        <v>45959</v>
      </c>
      <c r="B8962" t="s">
        <v>5544</v>
      </c>
      <c r="C8962" t="s">
        <v>7931</v>
      </c>
      <c r="D8962" t="s">
        <v>5619</v>
      </c>
      <c r="E8962" t="s">
        <v>5620</v>
      </c>
      <c r="F8962">
        <v>5000</v>
      </c>
      <c r="I8962">
        <v>429839.26</v>
      </c>
    </row>
    <row r="8963" spans="1:10" ht="15" customHeight="1" x14ac:dyDescent="0.2">
      <c r="A8963" s="420">
        <v>45964</v>
      </c>
      <c r="B8963" t="s">
        <v>5544</v>
      </c>
      <c r="C8963" t="s">
        <v>7931</v>
      </c>
      <c r="D8963" t="s">
        <v>5728</v>
      </c>
      <c r="E8963" t="s">
        <v>5729</v>
      </c>
      <c r="G8963">
        <v>106907.77</v>
      </c>
      <c r="I8963">
        <v>536747.03</v>
      </c>
    </row>
    <row r="8964" spans="1:10" ht="15" customHeight="1" x14ac:dyDescent="0.2">
      <c r="A8964" s="420">
        <v>45964</v>
      </c>
      <c r="B8964" t="s">
        <v>5544</v>
      </c>
      <c r="C8964" t="s">
        <v>7931</v>
      </c>
      <c r="D8964" t="s">
        <v>5901</v>
      </c>
      <c r="E8964" t="s">
        <v>5902</v>
      </c>
      <c r="G8964">
        <v>110054.46</v>
      </c>
      <c r="I8964">
        <v>646801.49</v>
      </c>
    </row>
    <row r="8965" spans="1:10" ht="15" customHeight="1" x14ac:dyDescent="0.2">
      <c r="A8965" s="420">
        <v>45978</v>
      </c>
      <c r="B8965" t="s">
        <v>5544</v>
      </c>
      <c r="C8965" t="s">
        <v>7931</v>
      </c>
      <c r="D8965" t="s">
        <v>5856</v>
      </c>
      <c r="E8965" t="s">
        <v>5857</v>
      </c>
      <c r="F8965">
        <v>5000</v>
      </c>
      <c r="I8965">
        <v>641801.49</v>
      </c>
    </row>
    <row r="8966" spans="1:10" ht="15" customHeight="1" x14ac:dyDescent="0.2">
      <c r="A8966" s="420">
        <v>45978</v>
      </c>
      <c r="B8966" t="s">
        <v>5544</v>
      </c>
      <c r="C8966" t="s">
        <v>7931</v>
      </c>
      <c r="D8966" t="s">
        <v>5598</v>
      </c>
      <c r="E8966" t="s">
        <v>5599</v>
      </c>
      <c r="F8966">
        <v>5000</v>
      </c>
      <c r="I8966">
        <v>636801.49</v>
      </c>
    </row>
    <row r="8967" spans="1:10" ht="15" customHeight="1" x14ac:dyDescent="0.2">
      <c r="A8967" s="420">
        <v>45989</v>
      </c>
      <c r="B8967" t="s">
        <v>5544</v>
      </c>
      <c r="C8967" t="s">
        <v>7931</v>
      </c>
      <c r="D8967" t="s">
        <v>5912</v>
      </c>
      <c r="E8967" t="s">
        <v>5913</v>
      </c>
      <c r="F8967">
        <v>5000</v>
      </c>
      <c r="I8967">
        <v>631801.49</v>
      </c>
    </row>
    <row r="8968" spans="1:10" ht="15" customHeight="1" x14ac:dyDescent="0.2">
      <c r="A8968" s="420">
        <v>45993</v>
      </c>
      <c r="B8968" t="s">
        <v>5586</v>
      </c>
      <c r="C8968" t="s">
        <v>7931</v>
      </c>
      <c r="D8968" t="s">
        <v>5845</v>
      </c>
      <c r="E8968" t="s">
        <v>5846</v>
      </c>
      <c r="G8968">
        <v>120339.04</v>
      </c>
      <c r="I8968">
        <v>752140.53</v>
      </c>
    </row>
    <row r="8969" spans="1:10" ht="15" customHeight="1" x14ac:dyDescent="0.2">
      <c r="A8969" s="420">
        <v>45996</v>
      </c>
      <c r="B8969" t="s">
        <v>5544</v>
      </c>
      <c r="C8969" t="s">
        <v>7931</v>
      </c>
      <c r="D8969" t="s">
        <v>6014</v>
      </c>
      <c r="E8969" t="s">
        <v>7933</v>
      </c>
      <c r="F8969">
        <v>5000</v>
      </c>
      <c r="I8969">
        <v>747140.53</v>
      </c>
    </row>
    <row r="8970" spans="1:10" ht="15" customHeight="1" x14ac:dyDescent="0.2">
      <c r="A8970" s="420">
        <v>46015</v>
      </c>
      <c r="B8970" t="s">
        <v>5544</v>
      </c>
      <c r="C8970" t="s">
        <v>7931</v>
      </c>
      <c r="D8970" t="s">
        <v>5609</v>
      </c>
      <c r="E8970" t="s">
        <v>7934</v>
      </c>
      <c r="F8970">
        <v>5000</v>
      </c>
      <c r="I8970">
        <v>742140.53</v>
      </c>
    </row>
    <row r="8971" spans="1:10" ht="15" customHeight="1" x14ac:dyDescent="0.2">
      <c r="A8971" s="420">
        <v>46022</v>
      </c>
      <c r="B8971" t="s">
        <v>2507</v>
      </c>
      <c r="C8971" t="s">
        <v>7931</v>
      </c>
      <c r="D8971" t="s">
        <v>6057</v>
      </c>
      <c r="E8971" t="s">
        <v>6057</v>
      </c>
      <c r="G8971">
        <v>1852916</v>
      </c>
      <c r="I8971">
        <v>2595056.5299999998</v>
      </c>
      <c r="J8971" t="s">
        <v>2511</v>
      </c>
    </row>
    <row r="8972" spans="1:10" ht="15" customHeight="1" x14ac:dyDescent="0.2">
      <c r="A8972" s="420">
        <v>46022</v>
      </c>
      <c r="B8972" t="s">
        <v>2507</v>
      </c>
      <c r="C8972" t="s">
        <v>7931</v>
      </c>
      <c r="D8972" t="s">
        <v>6058</v>
      </c>
      <c r="E8972" t="s">
        <v>6058</v>
      </c>
      <c r="G8972">
        <v>16225</v>
      </c>
      <c r="I8972">
        <v>2611281.5299999998</v>
      </c>
      <c r="J8972" t="s">
        <v>2513</v>
      </c>
    </row>
    <row r="8973" spans="1:10" ht="15" customHeight="1" x14ac:dyDescent="0.2">
      <c r="A8973" s="420">
        <v>46022</v>
      </c>
      <c r="B8973" t="s">
        <v>2507</v>
      </c>
      <c r="C8973" t="s">
        <v>7931</v>
      </c>
      <c r="D8973" t="s">
        <v>6066</v>
      </c>
      <c r="E8973" t="s">
        <v>6066</v>
      </c>
      <c r="F8973">
        <v>18250</v>
      </c>
      <c r="I8973">
        <v>2593031.5299999998</v>
      </c>
      <c r="J8973" t="s">
        <v>2509</v>
      </c>
    </row>
    <row r="8974" spans="1:10" ht="15" customHeight="1" x14ac:dyDescent="0.2">
      <c r="A8974" t="s">
        <v>7931</v>
      </c>
      <c r="E8974" t="s">
        <v>349</v>
      </c>
      <c r="F8974">
        <v>2519593</v>
      </c>
      <c r="G8974">
        <v>5112624.53</v>
      </c>
      <c r="I8974">
        <v>2593031.5299999998</v>
      </c>
    </row>
    <row r="8976" spans="1:10" ht="15" customHeight="1" x14ac:dyDescent="0.2">
      <c r="A8976" t="s">
        <v>7935</v>
      </c>
      <c r="B8976" t="s">
        <v>7936</v>
      </c>
      <c r="F8976" t="s">
        <v>2430</v>
      </c>
      <c r="G8976" t="s">
        <v>2431</v>
      </c>
      <c r="H8976" t="s">
        <v>2432</v>
      </c>
      <c r="I8976" t="s">
        <v>2433</v>
      </c>
      <c r="J8976" t="s">
        <v>2434</v>
      </c>
    </row>
    <row r="8977" spans="1:10" ht="15" customHeight="1" x14ac:dyDescent="0.2">
      <c r="A8977" s="420">
        <v>45838</v>
      </c>
      <c r="B8977" t="s">
        <v>2535</v>
      </c>
      <c r="C8977" t="s">
        <v>7935</v>
      </c>
      <c r="D8977" t="s">
        <v>6048</v>
      </c>
      <c r="E8977" t="s">
        <v>6049</v>
      </c>
      <c r="G8977">
        <v>666.67</v>
      </c>
      <c r="I8977">
        <v>666.67</v>
      </c>
      <c r="J8977" t="s">
        <v>2511</v>
      </c>
    </row>
    <row r="8978" spans="1:10" ht="15" customHeight="1" x14ac:dyDescent="0.2">
      <c r="A8978" s="420">
        <v>45839</v>
      </c>
      <c r="B8978" t="s">
        <v>2535</v>
      </c>
      <c r="C8978" t="s">
        <v>7935</v>
      </c>
      <c r="D8978" t="s">
        <v>6048</v>
      </c>
      <c r="E8978" t="s">
        <v>6055</v>
      </c>
      <c r="F8978">
        <v>666.67</v>
      </c>
      <c r="J8978" t="s">
        <v>2511</v>
      </c>
    </row>
    <row r="8979" spans="1:10" ht="15" customHeight="1" x14ac:dyDescent="0.2">
      <c r="A8979" t="s">
        <v>7935</v>
      </c>
      <c r="E8979" t="s">
        <v>349</v>
      </c>
      <c r="F8979">
        <v>666.67</v>
      </c>
      <c r="G8979">
        <v>666.67</v>
      </c>
    </row>
    <row r="8981" spans="1:10" ht="15" customHeight="1" x14ac:dyDescent="0.2">
      <c r="A8981" t="s">
        <v>7937</v>
      </c>
      <c r="B8981" t="s">
        <v>7938</v>
      </c>
      <c r="F8981" t="s">
        <v>2430</v>
      </c>
      <c r="G8981" t="s">
        <v>2431</v>
      </c>
      <c r="H8981" t="s">
        <v>2432</v>
      </c>
      <c r="I8981" t="s">
        <v>2433</v>
      </c>
      <c r="J8981" t="s">
        <v>2434</v>
      </c>
    </row>
    <row r="8982" spans="1:10" ht="15" customHeight="1" x14ac:dyDescent="0.2">
      <c r="A8982" s="420">
        <v>45658</v>
      </c>
      <c r="B8982" t="s">
        <v>2507</v>
      </c>
      <c r="C8982" t="s">
        <v>7937</v>
      </c>
      <c r="D8982" t="s">
        <v>6033</v>
      </c>
      <c r="E8982" t="s">
        <v>6034</v>
      </c>
      <c r="F8982">
        <v>1094</v>
      </c>
      <c r="H8982">
        <v>1094</v>
      </c>
      <c r="J8982" t="s">
        <v>2511</v>
      </c>
    </row>
    <row r="8983" spans="1:10" ht="15" customHeight="1" x14ac:dyDescent="0.2">
      <c r="A8983" s="420">
        <v>45665</v>
      </c>
      <c r="B8983" t="s">
        <v>5544</v>
      </c>
      <c r="C8983" t="s">
        <v>7937</v>
      </c>
      <c r="D8983" t="s">
        <v>7011</v>
      </c>
      <c r="E8983" t="s">
        <v>7012</v>
      </c>
      <c r="G8983">
        <v>284.79000000000002</v>
      </c>
      <c r="H8983">
        <v>809.21</v>
      </c>
    </row>
    <row r="8984" spans="1:10" ht="15" customHeight="1" x14ac:dyDescent="0.2">
      <c r="A8984" s="420">
        <v>45671</v>
      </c>
      <c r="B8984" t="s">
        <v>5544</v>
      </c>
      <c r="C8984" t="s">
        <v>7937</v>
      </c>
      <c r="D8984" t="s">
        <v>7013</v>
      </c>
      <c r="E8984" t="s">
        <v>7014</v>
      </c>
      <c r="F8984">
        <v>60.71</v>
      </c>
      <c r="H8984">
        <v>869.92</v>
      </c>
    </row>
    <row r="8985" spans="1:10" ht="15" customHeight="1" x14ac:dyDescent="0.2">
      <c r="A8985" s="420">
        <v>45677</v>
      </c>
      <c r="B8985" t="s">
        <v>5544</v>
      </c>
      <c r="C8985" t="s">
        <v>7937</v>
      </c>
      <c r="D8985" t="s">
        <v>7015</v>
      </c>
      <c r="E8985" t="s">
        <v>7016</v>
      </c>
      <c r="G8985">
        <v>869.74</v>
      </c>
      <c r="H8985">
        <v>0.18</v>
      </c>
    </row>
    <row r="8986" spans="1:10" ht="15" customHeight="1" x14ac:dyDescent="0.2">
      <c r="A8986" s="420">
        <v>45719</v>
      </c>
      <c r="B8986" t="s">
        <v>5544</v>
      </c>
      <c r="C8986" t="s">
        <v>7937</v>
      </c>
      <c r="D8986" t="s">
        <v>7017</v>
      </c>
      <c r="E8986" t="s">
        <v>7018</v>
      </c>
      <c r="G8986">
        <v>245.29</v>
      </c>
      <c r="I8986">
        <v>245.11</v>
      </c>
    </row>
    <row r="8987" spans="1:10" ht="15" customHeight="1" x14ac:dyDescent="0.2">
      <c r="A8987" s="420">
        <v>45748</v>
      </c>
      <c r="B8987" t="s">
        <v>5544</v>
      </c>
      <c r="C8987" t="s">
        <v>7937</v>
      </c>
      <c r="D8987" t="s">
        <v>7019</v>
      </c>
      <c r="E8987" t="s">
        <v>7020</v>
      </c>
      <c r="G8987">
        <v>389.79</v>
      </c>
      <c r="I8987">
        <v>634.9</v>
      </c>
    </row>
    <row r="8988" spans="1:10" ht="15" customHeight="1" x14ac:dyDescent="0.2">
      <c r="A8988" s="420">
        <v>45777</v>
      </c>
      <c r="B8988" t="s">
        <v>5544</v>
      </c>
      <c r="C8988" t="s">
        <v>7937</v>
      </c>
      <c r="D8988" t="s">
        <v>7021</v>
      </c>
      <c r="E8988" t="s">
        <v>7022</v>
      </c>
      <c r="F8988">
        <v>56.46</v>
      </c>
      <c r="I8988">
        <v>578.44000000000005</v>
      </c>
    </row>
    <row r="8989" spans="1:10" ht="15" customHeight="1" x14ac:dyDescent="0.2">
      <c r="A8989" s="420">
        <v>45811</v>
      </c>
      <c r="B8989" t="s">
        <v>5544</v>
      </c>
      <c r="C8989" t="s">
        <v>7937</v>
      </c>
      <c r="D8989" t="s">
        <v>7023</v>
      </c>
      <c r="E8989" t="s">
        <v>7024</v>
      </c>
      <c r="F8989">
        <v>62.04</v>
      </c>
      <c r="I8989">
        <v>516.4</v>
      </c>
    </row>
    <row r="8990" spans="1:10" ht="15" customHeight="1" x14ac:dyDescent="0.2">
      <c r="A8990" s="420">
        <v>45838</v>
      </c>
      <c r="B8990" t="s">
        <v>2535</v>
      </c>
      <c r="C8990" t="s">
        <v>7937</v>
      </c>
      <c r="D8990" t="s">
        <v>6044</v>
      </c>
      <c r="E8990" t="s">
        <v>6045</v>
      </c>
      <c r="G8990">
        <v>525</v>
      </c>
      <c r="I8990">
        <v>1041.4000000000001</v>
      </c>
      <c r="J8990" t="s">
        <v>2509</v>
      </c>
    </row>
    <row r="8991" spans="1:10" ht="15" customHeight="1" x14ac:dyDescent="0.2">
      <c r="A8991" s="420">
        <v>45839</v>
      </c>
      <c r="B8991" t="s">
        <v>5544</v>
      </c>
      <c r="C8991" t="s">
        <v>7937</v>
      </c>
      <c r="D8991" t="s">
        <v>7025</v>
      </c>
      <c r="E8991" t="s">
        <v>7026</v>
      </c>
      <c r="F8991">
        <v>58.96</v>
      </c>
      <c r="I8991">
        <v>982.44</v>
      </c>
    </row>
    <row r="8992" spans="1:10" ht="15" customHeight="1" x14ac:dyDescent="0.2">
      <c r="A8992" s="420">
        <v>45839</v>
      </c>
      <c r="B8992" t="s">
        <v>5544</v>
      </c>
      <c r="C8992" t="s">
        <v>7937</v>
      </c>
      <c r="D8992" t="s">
        <v>7027</v>
      </c>
      <c r="E8992" t="s">
        <v>7028</v>
      </c>
      <c r="F8992">
        <v>71.2</v>
      </c>
      <c r="I8992">
        <v>911.24</v>
      </c>
    </row>
    <row r="8993" spans="1:10" ht="15" customHeight="1" x14ac:dyDescent="0.2">
      <c r="A8993" s="420">
        <v>45839</v>
      </c>
      <c r="B8993" t="s">
        <v>2535</v>
      </c>
      <c r="C8993" t="s">
        <v>7937</v>
      </c>
      <c r="D8993" t="s">
        <v>6044</v>
      </c>
      <c r="E8993" t="s">
        <v>6053</v>
      </c>
      <c r="F8993">
        <v>525</v>
      </c>
      <c r="I8993">
        <v>386.24</v>
      </c>
      <c r="J8993" t="s">
        <v>2509</v>
      </c>
    </row>
    <row r="8994" spans="1:10" ht="15" customHeight="1" x14ac:dyDescent="0.2">
      <c r="A8994" s="420">
        <v>45880</v>
      </c>
      <c r="B8994" t="s">
        <v>5586</v>
      </c>
      <c r="C8994" t="s">
        <v>7937</v>
      </c>
      <c r="D8994" t="s">
        <v>7029</v>
      </c>
      <c r="E8994" t="s">
        <v>7030</v>
      </c>
      <c r="F8994">
        <v>67.88</v>
      </c>
      <c r="I8994">
        <v>318.36</v>
      </c>
    </row>
    <row r="8995" spans="1:10" ht="15" customHeight="1" x14ac:dyDescent="0.2">
      <c r="A8995" s="420">
        <v>45880</v>
      </c>
      <c r="B8995" t="s">
        <v>5586</v>
      </c>
      <c r="C8995" t="s">
        <v>7937</v>
      </c>
      <c r="D8995" t="s">
        <v>7031</v>
      </c>
      <c r="E8995" t="s">
        <v>7032</v>
      </c>
      <c r="F8995">
        <v>533.19000000000005</v>
      </c>
      <c r="H8995">
        <v>214.83</v>
      </c>
    </row>
    <row r="8996" spans="1:10" ht="15" customHeight="1" x14ac:dyDescent="0.2">
      <c r="A8996" s="420">
        <v>45912</v>
      </c>
      <c r="B8996" t="s">
        <v>5586</v>
      </c>
      <c r="C8996" t="s">
        <v>7937</v>
      </c>
      <c r="D8996" t="s">
        <v>7033</v>
      </c>
      <c r="E8996" t="s">
        <v>7034</v>
      </c>
      <c r="G8996">
        <v>263.88</v>
      </c>
      <c r="I8996">
        <v>49.05</v>
      </c>
    </row>
    <row r="8997" spans="1:10" ht="15" customHeight="1" x14ac:dyDescent="0.2">
      <c r="A8997" s="420">
        <v>45964</v>
      </c>
      <c r="B8997" t="s">
        <v>5544</v>
      </c>
      <c r="C8997" t="s">
        <v>7937</v>
      </c>
      <c r="D8997" t="s">
        <v>7035</v>
      </c>
      <c r="E8997" t="s">
        <v>7036</v>
      </c>
      <c r="G8997">
        <v>443.96</v>
      </c>
      <c r="I8997">
        <v>493.01</v>
      </c>
    </row>
    <row r="8998" spans="1:10" ht="15" customHeight="1" x14ac:dyDescent="0.2">
      <c r="A8998" s="420">
        <v>45964</v>
      </c>
      <c r="B8998" t="s">
        <v>5544</v>
      </c>
      <c r="C8998" t="s">
        <v>7937</v>
      </c>
      <c r="D8998" t="s">
        <v>7037</v>
      </c>
      <c r="E8998" t="s">
        <v>7038</v>
      </c>
      <c r="G8998">
        <v>308.17</v>
      </c>
      <c r="I8998">
        <v>801.18</v>
      </c>
    </row>
    <row r="8999" spans="1:10" ht="15" customHeight="1" x14ac:dyDescent="0.2">
      <c r="A8999" s="420">
        <v>45993</v>
      </c>
      <c r="B8999" t="s">
        <v>5586</v>
      </c>
      <c r="C8999" t="s">
        <v>7937</v>
      </c>
      <c r="D8999" t="s">
        <v>7039</v>
      </c>
      <c r="E8999" t="s">
        <v>7040</v>
      </c>
      <c r="G8999">
        <v>355.54</v>
      </c>
      <c r="I8999">
        <v>1156.72</v>
      </c>
    </row>
    <row r="9000" spans="1:10" ht="15" customHeight="1" x14ac:dyDescent="0.2">
      <c r="A9000" s="420">
        <v>46022</v>
      </c>
      <c r="B9000" t="s">
        <v>2507</v>
      </c>
      <c r="C9000" t="s">
        <v>7937</v>
      </c>
      <c r="D9000" t="s">
        <v>6059</v>
      </c>
      <c r="E9000" t="s">
        <v>6059</v>
      </c>
      <c r="G9000">
        <v>4013</v>
      </c>
      <c r="I9000">
        <v>5169.72</v>
      </c>
      <c r="J9000" t="s">
        <v>2511</v>
      </c>
    </row>
    <row r="9001" spans="1:10" ht="15" customHeight="1" x14ac:dyDescent="0.2">
      <c r="A9001" t="s">
        <v>7937</v>
      </c>
      <c r="E9001" t="s">
        <v>349</v>
      </c>
      <c r="F9001">
        <v>2529.44</v>
      </c>
      <c r="G9001">
        <v>7699.16</v>
      </c>
      <c r="I9001">
        <v>5169.72</v>
      </c>
    </row>
    <row r="9003" spans="1:10" ht="15" customHeight="1" x14ac:dyDescent="0.2">
      <c r="A9003" t="s">
        <v>7939</v>
      </c>
      <c r="B9003" t="s">
        <v>7940</v>
      </c>
      <c r="F9003" t="s">
        <v>2430</v>
      </c>
      <c r="G9003" t="s">
        <v>2431</v>
      </c>
      <c r="H9003" t="s">
        <v>2432</v>
      </c>
      <c r="I9003" t="s">
        <v>2433</v>
      </c>
      <c r="J9003" t="s">
        <v>2434</v>
      </c>
    </row>
    <row r="9004" spans="1:10" ht="15" customHeight="1" x14ac:dyDescent="0.2">
      <c r="A9004" s="420">
        <v>45688</v>
      </c>
      <c r="B9004" t="s">
        <v>5586</v>
      </c>
      <c r="C9004" t="s">
        <v>7939</v>
      </c>
      <c r="D9004" t="s">
        <v>5625</v>
      </c>
      <c r="E9004" t="s">
        <v>5626</v>
      </c>
      <c r="G9004">
        <v>660.38</v>
      </c>
      <c r="I9004">
        <v>660.38</v>
      </c>
    </row>
    <row r="9005" spans="1:10" ht="15" customHeight="1" x14ac:dyDescent="0.2">
      <c r="A9005" s="420">
        <v>45716</v>
      </c>
      <c r="B9005" t="s">
        <v>5544</v>
      </c>
      <c r="C9005" t="s">
        <v>7939</v>
      </c>
      <c r="D9005" t="s">
        <v>3404</v>
      </c>
      <c r="E9005" t="s">
        <v>5627</v>
      </c>
      <c r="G9005">
        <v>660.38</v>
      </c>
      <c r="I9005">
        <v>1320.76</v>
      </c>
    </row>
    <row r="9006" spans="1:10" ht="15" customHeight="1" x14ac:dyDescent="0.2">
      <c r="A9006" s="420">
        <v>45747</v>
      </c>
      <c r="B9006" t="s">
        <v>5544</v>
      </c>
      <c r="C9006" t="s">
        <v>7939</v>
      </c>
      <c r="D9006" t="s">
        <v>3406</v>
      </c>
      <c r="E9006" t="s">
        <v>5628</v>
      </c>
      <c r="G9006">
        <v>660.38</v>
      </c>
      <c r="I9006">
        <v>1981.14</v>
      </c>
    </row>
    <row r="9007" spans="1:10" ht="15" customHeight="1" x14ac:dyDescent="0.2">
      <c r="A9007" s="420">
        <v>45777</v>
      </c>
      <c r="B9007" t="s">
        <v>5544</v>
      </c>
      <c r="C9007" t="s">
        <v>7939</v>
      </c>
      <c r="D9007" t="s">
        <v>3408</v>
      </c>
      <c r="E9007" t="s">
        <v>5629</v>
      </c>
      <c r="G9007">
        <v>660.38</v>
      </c>
      <c r="I9007">
        <v>2641.52</v>
      </c>
    </row>
    <row r="9008" spans="1:10" ht="15" customHeight="1" x14ac:dyDescent="0.2">
      <c r="A9008" s="420">
        <v>45808</v>
      </c>
      <c r="B9008" t="s">
        <v>5544</v>
      </c>
      <c r="C9008" t="s">
        <v>7939</v>
      </c>
      <c r="D9008" t="s">
        <v>3410</v>
      </c>
      <c r="E9008" t="s">
        <v>5630</v>
      </c>
      <c r="G9008">
        <v>1115.5899999999999</v>
      </c>
      <c r="I9008">
        <v>3757.11</v>
      </c>
    </row>
    <row r="9009" spans="1:10" ht="15" customHeight="1" x14ac:dyDescent="0.2">
      <c r="A9009" s="420">
        <v>45838</v>
      </c>
      <c r="B9009" t="s">
        <v>5544</v>
      </c>
      <c r="C9009" t="s">
        <v>7939</v>
      </c>
      <c r="D9009" t="s">
        <v>3412</v>
      </c>
      <c r="E9009" t="s">
        <v>5631</v>
      </c>
      <c r="G9009">
        <v>1115.5899999999999</v>
      </c>
      <c r="I9009">
        <v>4872.7</v>
      </c>
    </row>
    <row r="9010" spans="1:10" ht="15" customHeight="1" x14ac:dyDescent="0.2">
      <c r="A9010" s="420">
        <v>45838</v>
      </c>
      <c r="B9010" t="s">
        <v>2535</v>
      </c>
      <c r="C9010" t="s">
        <v>7939</v>
      </c>
      <c r="D9010" t="s">
        <v>6050</v>
      </c>
      <c r="E9010" t="s">
        <v>6051</v>
      </c>
      <c r="G9010">
        <v>3568.47</v>
      </c>
      <c r="I9010">
        <v>8441.17</v>
      </c>
      <c r="J9010" t="s">
        <v>2511</v>
      </c>
    </row>
    <row r="9011" spans="1:10" ht="15" customHeight="1" x14ac:dyDescent="0.2">
      <c r="A9011" s="420">
        <v>45839</v>
      </c>
      <c r="B9011" t="s">
        <v>2535</v>
      </c>
      <c r="C9011" t="s">
        <v>7939</v>
      </c>
      <c r="D9011" t="s">
        <v>6050</v>
      </c>
      <c r="E9011" t="s">
        <v>6056</v>
      </c>
      <c r="F9011">
        <v>3568.47</v>
      </c>
      <c r="I9011">
        <v>4872.7</v>
      </c>
      <c r="J9011" t="s">
        <v>2511</v>
      </c>
    </row>
    <row r="9012" spans="1:10" ht="15" customHeight="1" x14ac:dyDescent="0.2">
      <c r="A9012" s="420">
        <v>45839</v>
      </c>
      <c r="B9012" t="s">
        <v>5544</v>
      </c>
      <c r="C9012" t="s">
        <v>7939</v>
      </c>
      <c r="D9012" t="s">
        <v>5632</v>
      </c>
      <c r="E9012" t="s">
        <v>5633</v>
      </c>
      <c r="F9012">
        <v>1115.5899999999999</v>
      </c>
      <c r="I9012">
        <v>3757.11</v>
      </c>
    </row>
    <row r="9013" spans="1:10" ht="15" customHeight="1" x14ac:dyDescent="0.2">
      <c r="A9013" s="420">
        <v>45839</v>
      </c>
      <c r="B9013" t="s">
        <v>5544</v>
      </c>
      <c r="C9013" t="s">
        <v>7939</v>
      </c>
      <c r="D9013" t="s">
        <v>5634</v>
      </c>
      <c r="E9013" t="s">
        <v>5635</v>
      </c>
      <c r="G9013">
        <v>1115.5899999999999</v>
      </c>
      <c r="I9013">
        <v>4872.7</v>
      </c>
    </row>
    <row r="9014" spans="1:10" ht="15" customHeight="1" x14ac:dyDescent="0.2">
      <c r="A9014" s="420">
        <v>45869</v>
      </c>
      <c r="B9014" t="s">
        <v>5544</v>
      </c>
      <c r="C9014" t="s">
        <v>7939</v>
      </c>
      <c r="D9014" t="s">
        <v>3414</v>
      </c>
      <c r="E9014" t="s">
        <v>5636</v>
      </c>
      <c r="G9014">
        <v>1115.5899999999999</v>
      </c>
      <c r="I9014">
        <v>5988.29</v>
      </c>
    </row>
    <row r="9015" spans="1:10" ht="15" customHeight="1" x14ac:dyDescent="0.2">
      <c r="A9015" s="420">
        <v>45900</v>
      </c>
      <c r="B9015" t="s">
        <v>5544</v>
      </c>
      <c r="C9015" t="s">
        <v>7939</v>
      </c>
      <c r="D9015" t="s">
        <v>3416</v>
      </c>
      <c r="E9015" t="s">
        <v>5637</v>
      </c>
      <c r="G9015">
        <v>1115.5899999999999</v>
      </c>
      <c r="I9015">
        <v>7103.88</v>
      </c>
    </row>
    <row r="9016" spans="1:10" ht="15" customHeight="1" x14ac:dyDescent="0.2">
      <c r="A9016" s="420">
        <v>45930</v>
      </c>
      <c r="B9016" t="s">
        <v>5544</v>
      </c>
      <c r="C9016" t="s">
        <v>7939</v>
      </c>
      <c r="D9016" t="s">
        <v>5638</v>
      </c>
      <c r="E9016" t="s">
        <v>5639</v>
      </c>
      <c r="G9016">
        <v>1115.5899999999999</v>
      </c>
      <c r="I9016">
        <v>8219.4699999999993</v>
      </c>
    </row>
    <row r="9017" spans="1:10" ht="15" customHeight="1" x14ac:dyDescent="0.2">
      <c r="A9017" s="420">
        <v>45961</v>
      </c>
      <c r="B9017" t="s">
        <v>5544</v>
      </c>
      <c r="C9017" t="s">
        <v>7939</v>
      </c>
      <c r="D9017" t="s">
        <v>5641</v>
      </c>
      <c r="E9017" t="s">
        <v>5642</v>
      </c>
      <c r="G9017">
        <v>1115.5899999999999</v>
      </c>
      <c r="I9017">
        <v>9335.06</v>
      </c>
    </row>
    <row r="9018" spans="1:10" ht="15" customHeight="1" x14ac:dyDescent="0.2">
      <c r="A9018" s="420">
        <v>45991</v>
      </c>
      <c r="B9018" t="s">
        <v>5544</v>
      </c>
      <c r="C9018" t="s">
        <v>7939</v>
      </c>
      <c r="D9018" t="s">
        <v>3422</v>
      </c>
      <c r="E9018" t="s">
        <v>5643</v>
      </c>
      <c r="G9018">
        <v>1115.5899999999999</v>
      </c>
      <c r="I9018">
        <v>10450.65</v>
      </c>
    </row>
    <row r="9019" spans="1:10" ht="15" customHeight="1" x14ac:dyDescent="0.2">
      <c r="A9019" s="420">
        <v>46022</v>
      </c>
      <c r="B9019" t="s">
        <v>5544</v>
      </c>
      <c r="C9019" t="s">
        <v>7939</v>
      </c>
      <c r="D9019" t="s">
        <v>3424</v>
      </c>
      <c r="E9019" t="s">
        <v>5644</v>
      </c>
      <c r="G9019">
        <v>1115.5899999999999</v>
      </c>
      <c r="I9019">
        <v>11566.24</v>
      </c>
    </row>
    <row r="9020" spans="1:10" ht="15" customHeight="1" x14ac:dyDescent="0.2">
      <c r="A9020" t="s">
        <v>7939</v>
      </c>
      <c r="E9020" t="s">
        <v>349</v>
      </c>
      <c r="F9020">
        <v>4684.0600000000004</v>
      </c>
      <c r="G9020">
        <v>16250.3</v>
      </c>
      <c r="I9020">
        <v>11566.24</v>
      </c>
    </row>
    <row r="9022" spans="1:10" ht="15" customHeight="1" x14ac:dyDescent="0.2">
      <c r="A9022" t="s">
        <v>7941</v>
      </c>
      <c r="B9022" t="s">
        <v>7942</v>
      </c>
      <c r="F9022" t="s">
        <v>2430</v>
      </c>
      <c r="G9022" t="s">
        <v>2431</v>
      </c>
      <c r="H9022" t="s">
        <v>2432</v>
      </c>
      <c r="I9022" t="s">
        <v>2433</v>
      </c>
      <c r="J9022" t="s">
        <v>2434</v>
      </c>
    </row>
    <row r="9023" spans="1:10" ht="15" customHeight="1" x14ac:dyDescent="0.2">
      <c r="A9023" s="420">
        <v>46022</v>
      </c>
      <c r="B9023" t="s">
        <v>2507</v>
      </c>
      <c r="C9023" t="s">
        <v>7941</v>
      </c>
      <c r="D9023" t="s">
        <v>6060</v>
      </c>
      <c r="E9023" t="s">
        <v>6060</v>
      </c>
      <c r="G9023">
        <v>6697.17</v>
      </c>
      <c r="I9023">
        <v>6697.17</v>
      </c>
      <c r="J9023" t="s">
        <v>2511</v>
      </c>
    </row>
    <row r="9024" spans="1:10" ht="15" customHeight="1" x14ac:dyDescent="0.2">
      <c r="A9024" t="s">
        <v>7941</v>
      </c>
      <c r="E9024" t="s">
        <v>349</v>
      </c>
      <c r="G9024">
        <v>6697.17</v>
      </c>
      <c r="I9024">
        <v>6697.17</v>
      </c>
    </row>
    <row r="9026" spans="1:10" ht="15" customHeight="1" x14ac:dyDescent="0.2">
      <c r="A9026" t="s">
        <v>7943</v>
      </c>
      <c r="B9026" t="s">
        <v>7944</v>
      </c>
      <c r="F9026" t="s">
        <v>2430</v>
      </c>
      <c r="G9026" t="s">
        <v>2431</v>
      </c>
      <c r="H9026" t="s">
        <v>2432</v>
      </c>
      <c r="I9026" t="s">
        <v>2433</v>
      </c>
      <c r="J9026" t="s">
        <v>2434</v>
      </c>
    </row>
    <row r="9027" spans="1:10" ht="15" customHeight="1" x14ac:dyDescent="0.2">
      <c r="A9027" s="420">
        <v>45671</v>
      </c>
      <c r="B9027" t="s">
        <v>2517</v>
      </c>
      <c r="C9027" t="s">
        <v>7943</v>
      </c>
      <c r="D9027" t="s">
        <v>5927</v>
      </c>
      <c r="E9027" t="s">
        <v>5928</v>
      </c>
      <c r="G9027">
        <v>0.02</v>
      </c>
      <c r="I9027">
        <v>0.02</v>
      </c>
    </row>
    <row r="9028" spans="1:10" ht="15" customHeight="1" x14ac:dyDescent="0.2">
      <c r="A9028" s="420">
        <v>45673</v>
      </c>
      <c r="B9028" t="s">
        <v>2517</v>
      </c>
      <c r="C9028" t="s">
        <v>7943</v>
      </c>
      <c r="D9028" t="s">
        <v>6166</v>
      </c>
      <c r="E9028" t="s">
        <v>827</v>
      </c>
      <c r="G9028">
        <v>0.76</v>
      </c>
      <c r="I9028">
        <v>0.78</v>
      </c>
    </row>
    <row r="9029" spans="1:10" ht="15" customHeight="1" x14ac:dyDescent="0.2">
      <c r="A9029" s="420">
        <v>45688</v>
      </c>
      <c r="B9029" t="s">
        <v>2517</v>
      </c>
      <c r="C9029" t="s">
        <v>7943</v>
      </c>
      <c r="D9029" t="s">
        <v>4700</v>
      </c>
      <c r="E9029" t="s">
        <v>830</v>
      </c>
      <c r="G9029">
        <v>0.05</v>
      </c>
      <c r="I9029">
        <v>0.83</v>
      </c>
    </row>
    <row r="9030" spans="1:10" ht="15" customHeight="1" x14ac:dyDescent="0.2">
      <c r="A9030" s="420">
        <v>45688</v>
      </c>
      <c r="B9030" t="s">
        <v>2517</v>
      </c>
      <c r="C9030" t="s">
        <v>7943</v>
      </c>
      <c r="D9030" t="s">
        <v>6400</v>
      </c>
      <c r="E9030" t="s">
        <v>6401</v>
      </c>
      <c r="G9030">
        <v>0.5</v>
      </c>
      <c r="I9030">
        <v>1.33</v>
      </c>
    </row>
    <row r="9031" spans="1:10" ht="15" customHeight="1" x14ac:dyDescent="0.2">
      <c r="A9031" s="420">
        <v>45706</v>
      </c>
      <c r="B9031" t="s">
        <v>2517</v>
      </c>
      <c r="C9031" t="s">
        <v>7943</v>
      </c>
      <c r="D9031" t="s">
        <v>6170</v>
      </c>
      <c r="E9031" t="s">
        <v>827</v>
      </c>
      <c r="G9031">
        <v>0.47</v>
      </c>
      <c r="I9031">
        <v>1.8</v>
      </c>
    </row>
    <row r="9032" spans="1:10" ht="15" customHeight="1" x14ac:dyDescent="0.2">
      <c r="A9032" s="420">
        <v>45716</v>
      </c>
      <c r="B9032" t="s">
        <v>2517</v>
      </c>
      <c r="C9032" t="s">
        <v>7943</v>
      </c>
      <c r="D9032" t="s">
        <v>6309</v>
      </c>
      <c r="E9032" t="s">
        <v>6362</v>
      </c>
      <c r="G9032">
        <v>0.63</v>
      </c>
      <c r="I9032">
        <v>2.4300000000000002</v>
      </c>
    </row>
    <row r="9033" spans="1:10" ht="15" customHeight="1" x14ac:dyDescent="0.2">
      <c r="A9033" s="420">
        <v>45719</v>
      </c>
      <c r="B9033" t="s">
        <v>2517</v>
      </c>
      <c r="C9033" t="s">
        <v>7943</v>
      </c>
      <c r="D9033" t="s">
        <v>4703</v>
      </c>
      <c r="E9033" t="s">
        <v>830</v>
      </c>
      <c r="G9033">
        <v>0.04</v>
      </c>
      <c r="I9033">
        <v>2.4700000000000002</v>
      </c>
    </row>
    <row r="9034" spans="1:10" ht="15" customHeight="1" x14ac:dyDescent="0.2">
      <c r="A9034" s="420">
        <v>45741</v>
      </c>
      <c r="B9034" t="s">
        <v>2517</v>
      </c>
      <c r="C9034" t="s">
        <v>7943</v>
      </c>
      <c r="D9034" t="s">
        <v>6270</v>
      </c>
      <c r="E9034" t="s">
        <v>818</v>
      </c>
      <c r="G9034">
        <v>0.15</v>
      </c>
      <c r="I9034">
        <v>2.62</v>
      </c>
    </row>
    <row r="9035" spans="1:10" ht="15" customHeight="1" x14ac:dyDescent="0.2">
      <c r="A9035" s="420">
        <v>45748</v>
      </c>
      <c r="B9035" t="s">
        <v>2517</v>
      </c>
      <c r="C9035" t="s">
        <v>7943</v>
      </c>
      <c r="D9035" t="s">
        <v>5803</v>
      </c>
      <c r="E9035" t="s">
        <v>5804</v>
      </c>
      <c r="G9035">
        <v>0.01</v>
      </c>
      <c r="I9035">
        <v>2.63</v>
      </c>
    </row>
    <row r="9036" spans="1:10" ht="15" customHeight="1" x14ac:dyDescent="0.2">
      <c r="A9036" s="420">
        <v>45763</v>
      </c>
      <c r="B9036" t="s">
        <v>2517</v>
      </c>
      <c r="C9036" t="s">
        <v>7943</v>
      </c>
      <c r="D9036" t="s">
        <v>6177</v>
      </c>
      <c r="E9036" t="s">
        <v>827</v>
      </c>
      <c r="G9036">
        <v>1.23</v>
      </c>
      <c r="I9036">
        <v>3.86</v>
      </c>
    </row>
    <row r="9037" spans="1:10" ht="15" customHeight="1" x14ac:dyDescent="0.2">
      <c r="A9037" s="420">
        <v>45777</v>
      </c>
      <c r="B9037" t="s">
        <v>2517</v>
      </c>
      <c r="C9037" t="s">
        <v>7943</v>
      </c>
      <c r="D9037" t="s">
        <v>5557</v>
      </c>
      <c r="E9037" t="s">
        <v>5558</v>
      </c>
      <c r="G9037">
        <v>0.02</v>
      </c>
      <c r="I9037">
        <v>3.88</v>
      </c>
    </row>
    <row r="9038" spans="1:10" ht="15" customHeight="1" x14ac:dyDescent="0.2">
      <c r="A9038" s="420">
        <v>45832</v>
      </c>
      <c r="B9038" t="s">
        <v>2517</v>
      </c>
      <c r="C9038" t="s">
        <v>7943</v>
      </c>
      <c r="D9038" t="s">
        <v>6279</v>
      </c>
      <c r="E9038" t="s">
        <v>818</v>
      </c>
      <c r="G9038">
        <v>0.47</v>
      </c>
      <c r="I9038">
        <v>4.3499999999999996</v>
      </c>
    </row>
    <row r="9039" spans="1:10" ht="15" customHeight="1" x14ac:dyDescent="0.2">
      <c r="A9039" s="420">
        <v>45839</v>
      </c>
      <c r="B9039" t="s">
        <v>2517</v>
      </c>
      <c r="C9039" t="s">
        <v>7943</v>
      </c>
      <c r="D9039" t="s">
        <v>7945</v>
      </c>
      <c r="E9039" t="s">
        <v>854</v>
      </c>
      <c r="F9039">
        <v>4.3499999999999996</v>
      </c>
    </row>
    <row r="9040" spans="1:10" ht="15" customHeight="1" x14ac:dyDescent="0.2">
      <c r="A9040" t="s">
        <v>7943</v>
      </c>
      <c r="E9040" t="s">
        <v>349</v>
      </c>
      <c r="F9040">
        <v>4.3499999999999996</v>
      </c>
      <c r="G9040">
        <v>4.3499999999999996</v>
      </c>
    </row>
    <row r="9042" spans="1:10" ht="15" customHeight="1" x14ac:dyDescent="0.2">
      <c r="A9042" t="s">
        <v>7943</v>
      </c>
      <c r="B9042" t="s">
        <v>7946</v>
      </c>
      <c r="F9042" t="s">
        <v>2430</v>
      </c>
      <c r="G9042" t="s">
        <v>2431</v>
      </c>
      <c r="H9042" t="s">
        <v>2432</v>
      </c>
      <c r="I9042" t="s">
        <v>2433</v>
      </c>
      <c r="J9042" t="s">
        <v>2434</v>
      </c>
    </row>
    <row r="9043" spans="1:10" ht="15" customHeight="1" x14ac:dyDescent="0.2">
      <c r="A9043" s="420">
        <v>45899</v>
      </c>
      <c r="B9043" t="s">
        <v>2517</v>
      </c>
      <c r="C9043" t="s">
        <v>7943</v>
      </c>
      <c r="D9043" t="s">
        <v>3712</v>
      </c>
      <c r="E9043" t="s">
        <v>925</v>
      </c>
      <c r="G9043">
        <v>2.86</v>
      </c>
      <c r="I9043">
        <v>2.86</v>
      </c>
    </row>
    <row r="9044" spans="1:10" ht="15" customHeight="1" x14ac:dyDescent="0.2">
      <c r="A9044" s="420">
        <v>45996</v>
      </c>
      <c r="B9044" t="s">
        <v>2517</v>
      </c>
      <c r="C9044" t="s">
        <v>7943</v>
      </c>
      <c r="D9044" t="s">
        <v>2664</v>
      </c>
      <c r="E9044" t="s">
        <v>7947</v>
      </c>
      <c r="G9044">
        <v>7.0000000000000007E-2</v>
      </c>
      <c r="I9044">
        <v>2.93</v>
      </c>
    </row>
    <row r="9045" spans="1:10" ht="15" customHeight="1" x14ac:dyDescent="0.2">
      <c r="A9045" s="420">
        <v>46022</v>
      </c>
      <c r="B9045" t="s">
        <v>2439</v>
      </c>
      <c r="C9045" t="s">
        <v>7943</v>
      </c>
      <c r="D9045" t="s">
        <v>4576</v>
      </c>
      <c r="E9045" t="s">
        <v>6154</v>
      </c>
      <c r="G9045">
        <v>275.76</v>
      </c>
      <c r="I9045">
        <v>278.69</v>
      </c>
    </row>
    <row r="9046" spans="1:10" ht="15" customHeight="1" x14ac:dyDescent="0.2">
      <c r="A9046" t="s">
        <v>7943</v>
      </c>
      <c r="E9046" t="s">
        <v>349</v>
      </c>
      <c r="G9046">
        <v>278.69</v>
      </c>
      <c r="I9046">
        <v>278.69</v>
      </c>
    </row>
    <row r="9048" spans="1:10" ht="15" customHeight="1" x14ac:dyDescent="0.2">
      <c r="A9048" t="s">
        <v>7948</v>
      </c>
      <c r="B9048" t="s">
        <v>7944</v>
      </c>
      <c r="F9048" t="s">
        <v>2430</v>
      </c>
      <c r="G9048" t="s">
        <v>2431</v>
      </c>
      <c r="H9048" t="s">
        <v>2432</v>
      </c>
      <c r="I9048" t="s">
        <v>2433</v>
      </c>
      <c r="J9048" t="s">
        <v>2434</v>
      </c>
    </row>
    <row r="9049" spans="1:10" ht="15" customHeight="1" x14ac:dyDescent="0.2">
      <c r="A9049" s="420">
        <v>45839</v>
      </c>
      <c r="B9049" t="s">
        <v>2517</v>
      </c>
      <c r="C9049" t="s">
        <v>7948</v>
      </c>
      <c r="D9049" t="s">
        <v>7945</v>
      </c>
      <c r="E9049" t="s">
        <v>854</v>
      </c>
      <c r="G9049">
        <v>4.3499999999999996</v>
      </c>
      <c r="I9049">
        <v>4.3499999999999996</v>
      </c>
    </row>
    <row r="9050" spans="1:10" ht="15" customHeight="1" x14ac:dyDescent="0.2">
      <c r="A9050" s="420">
        <v>45862</v>
      </c>
      <c r="B9050" t="s">
        <v>2517</v>
      </c>
      <c r="C9050" t="s">
        <v>7948</v>
      </c>
      <c r="D9050" t="s">
        <v>6375</v>
      </c>
      <c r="E9050" t="s">
        <v>6376</v>
      </c>
      <c r="G9050">
        <v>1</v>
      </c>
      <c r="I9050">
        <v>5.35</v>
      </c>
    </row>
    <row r="9051" spans="1:10" ht="15" customHeight="1" x14ac:dyDescent="0.2">
      <c r="A9051" s="420">
        <v>45869</v>
      </c>
      <c r="B9051" t="s">
        <v>2517</v>
      </c>
      <c r="C9051" t="s">
        <v>7948</v>
      </c>
      <c r="D9051" t="s">
        <v>4716</v>
      </c>
      <c r="E9051" t="s">
        <v>830</v>
      </c>
      <c r="G9051">
        <v>0.05</v>
      </c>
      <c r="I9051">
        <v>5.4</v>
      </c>
    </row>
    <row r="9052" spans="1:10" ht="15" customHeight="1" x14ac:dyDescent="0.2">
      <c r="A9052" s="420">
        <v>45880</v>
      </c>
      <c r="B9052" t="s">
        <v>2517</v>
      </c>
      <c r="C9052" t="s">
        <v>7948</v>
      </c>
      <c r="D9052" t="s">
        <v>5983</v>
      </c>
      <c r="E9052" t="s">
        <v>5984</v>
      </c>
      <c r="G9052">
        <v>0.01</v>
      </c>
      <c r="I9052">
        <v>5.41</v>
      </c>
    </row>
    <row r="9053" spans="1:10" ht="15" customHeight="1" x14ac:dyDescent="0.2">
      <c r="A9053" s="420">
        <v>45900</v>
      </c>
      <c r="B9053" t="s">
        <v>2517</v>
      </c>
      <c r="C9053" t="s">
        <v>7948</v>
      </c>
      <c r="D9053" t="s">
        <v>3317</v>
      </c>
      <c r="E9053" t="s">
        <v>3318</v>
      </c>
      <c r="G9053">
        <v>0.01</v>
      </c>
      <c r="I9053">
        <v>5.42</v>
      </c>
    </row>
    <row r="9054" spans="1:10" ht="15" customHeight="1" x14ac:dyDescent="0.2">
      <c r="A9054" s="420">
        <v>45952</v>
      </c>
      <c r="B9054" t="s">
        <v>2517</v>
      </c>
      <c r="C9054" t="s">
        <v>7948</v>
      </c>
      <c r="D9054" t="s">
        <v>6288</v>
      </c>
      <c r="E9054" t="s">
        <v>818</v>
      </c>
      <c r="G9054">
        <v>0.42</v>
      </c>
      <c r="I9054">
        <v>5.84</v>
      </c>
    </row>
    <row r="9055" spans="1:10" ht="15" customHeight="1" x14ac:dyDescent="0.2">
      <c r="A9055" s="420">
        <v>45991</v>
      </c>
      <c r="B9055" t="s">
        <v>2517</v>
      </c>
      <c r="C9055" t="s">
        <v>7948</v>
      </c>
      <c r="D9055" t="s">
        <v>6327</v>
      </c>
      <c r="E9055" t="s">
        <v>6390</v>
      </c>
      <c r="G9055">
        <v>0.49</v>
      </c>
      <c r="I9055">
        <v>6.33</v>
      </c>
    </row>
    <row r="9056" spans="1:10" ht="15" customHeight="1" x14ac:dyDescent="0.2">
      <c r="A9056" s="420">
        <v>46022</v>
      </c>
      <c r="B9056" t="s">
        <v>2517</v>
      </c>
      <c r="C9056" t="s">
        <v>7948</v>
      </c>
      <c r="D9056" t="s">
        <v>6329</v>
      </c>
      <c r="E9056" t="s">
        <v>7949</v>
      </c>
      <c r="G9056">
        <v>0.14000000000000001</v>
      </c>
      <c r="I9056">
        <v>6.47</v>
      </c>
    </row>
    <row r="9057" spans="1:10" ht="15" customHeight="1" x14ac:dyDescent="0.2">
      <c r="A9057" t="s">
        <v>7948</v>
      </c>
      <c r="E9057" t="s">
        <v>349</v>
      </c>
      <c r="G9057">
        <v>6.47</v>
      </c>
      <c r="I9057">
        <v>6.47</v>
      </c>
    </row>
    <row r="9059" spans="1:10" ht="15" customHeight="1" x14ac:dyDescent="0.2">
      <c r="A9059" t="s">
        <v>7950</v>
      </c>
      <c r="B9059" t="s">
        <v>7951</v>
      </c>
      <c r="F9059" t="s">
        <v>2430</v>
      </c>
      <c r="G9059" t="s">
        <v>2431</v>
      </c>
      <c r="H9059" t="s">
        <v>2432</v>
      </c>
      <c r="I9059" t="s">
        <v>2433</v>
      </c>
      <c r="J9059" t="s">
        <v>2434</v>
      </c>
    </row>
    <row r="9060" spans="1:10" ht="15" customHeight="1" x14ac:dyDescent="0.2">
      <c r="A9060" s="420">
        <v>45917</v>
      </c>
      <c r="B9060" t="s">
        <v>2333</v>
      </c>
      <c r="C9060" t="s">
        <v>7950</v>
      </c>
      <c r="D9060" t="s">
        <v>7704</v>
      </c>
      <c r="E9060" t="s">
        <v>7705</v>
      </c>
      <c r="G9060">
        <v>416.66</v>
      </c>
      <c r="I9060">
        <v>416.66</v>
      </c>
    </row>
    <row r="9061" spans="1:10" ht="15" customHeight="1" x14ac:dyDescent="0.2">
      <c r="A9061" s="420">
        <v>45966</v>
      </c>
      <c r="B9061" t="s">
        <v>2333</v>
      </c>
      <c r="C9061" t="s">
        <v>7950</v>
      </c>
      <c r="D9061" t="s">
        <v>7750</v>
      </c>
      <c r="E9061" t="s">
        <v>7751</v>
      </c>
      <c r="G9061">
        <v>416.66</v>
      </c>
      <c r="I9061">
        <v>833.32</v>
      </c>
    </row>
    <row r="9062" spans="1:10" ht="15" customHeight="1" x14ac:dyDescent="0.2">
      <c r="A9062" s="420">
        <v>45995</v>
      </c>
      <c r="B9062" t="s">
        <v>2333</v>
      </c>
      <c r="C9062" t="s">
        <v>7950</v>
      </c>
      <c r="D9062" t="s">
        <v>7769</v>
      </c>
      <c r="E9062" t="s">
        <v>7770</v>
      </c>
      <c r="G9062">
        <v>416.66</v>
      </c>
      <c r="I9062">
        <v>1249.98</v>
      </c>
    </row>
    <row r="9063" spans="1:10" ht="15" customHeight="1" x14ac:dyDescent="0.2">
      <c r="A9063" s="420">
        <v>46022</v>
      </c>
      <c r="B9063" t="s">
        <v>2507</v>
      </c>
      <c r="C9063" t="s">
        <v>7950</v>
      </c>
      <c r="D9063" t="s">
        <v>7103</v>
      </c>
      <c r="E9063" t="s">
        <v>7104</v>
      </c>
      <c r="G9063">
        <v>416.66</v>
      </c>
      <c r="I9063">
        <v>1666.64</v>
      </c>
    </row>
    <row r="9064" spans="1:10" ht="15" customHeight="1" x14ac:dyDescent="0.2">
      <c r="A9064" t="s">
        <v>7950</v>
      </c>
      <c r="E9064" t="s">
        <v>349</v>
      </c>
      <c r="G9064">
        <v>1666.64</v>
      </c>
      <c r="I9064">
        <v>1666.64</v>
      </c>
    </row>
    <row r="9066" spans="1:10" ht="15" customHeight="1" x14ac:dyDescent="0.2">
      <c r="A9066" t="s">
        <v>7952</v>
      </c>
      <c r="B9066" t="s">
        <v>7953</v>
      </c>
      <c r="F9066" t="s">
        <v>2430</v>
      </c>
      <c r="G9066" t="s">
        <v>2431</v>
      </c>
      <c r="H9066" t="s">
        <v>2432</v>
      </c>
      <c r="I9066" t="s">
        <v>2433</v>
      </c>
      <c r="J9066" t="s">
        <v>2434</v>
      </c>
    </row>
    <row r="9067" spans="1:10" ht="15" customHeight="1" x14ac:dyDescent="0.2">
      <c r="A9067" s="420">
        <v>45839</v>
      </c>
      <c r="B9067" t="s">
        <v>2517</v>
      </c>
      <c r="C9067" t="s">
        <v>7952</v>
      </c>
      <c r="D9067" t="s">
        <v>7159</v>
      </c>
      <c r="E9067" t="s">
        <v>7160</v>
      </c>
      <c r="G9067">
        <v>1000</v>
      </c>
      <c r="I9067">
        <v>1000</v>
      </c>
    </row>
    <row r="9068" spans="1:10" ht="15" customHeight="1" x14ac:dyDescent="0.2">
      <c r="A9068" s="420">
        <v>45839</v>
      </c>
      <c r="B9068" t="s">
        <v>2439</v>
      </c>
      <c r="C9068" t="s">
        <v>7952</v>
      </c>
      <c r="D9068" t="s">
        <v>5649</v>
      </c>
      <c r="E9068" t="s">
        <v>5650</v>
      </c>
      <c r="G9068">
        <v>1000</v>
      </c>
      <c r="I9068">
        <v>2000</v>
      </c>
    </row>
    <row r="9069" spans="1:10" ht="15" customHeight="1" x14ac:dyDescent="0.2">
      <c r="A9069" s="420">
        <v>45839</v>
      </c>
      <c r="B9069" t="s">
        <v>2439</v>
      </c>
      <c r="C9069" t="s">
        <v>7952</v>
      </c>
      <c r="D9069" t="s">
        <v>5649</v>
      </c>
      <c r="E9069" t="s">
        <v>5787</v>
      </c>
      <c r="G9069">
        <v>800</v>
      </c>
      <c r="I9069">
        <v>2800</v>
      </c>
    </row>
    <row r="9070" spans="1:10" ht="15" customHeight="1" x14ac:dyDescent="0.2">
      <c r="A9070" t="s">
        <v>7952</v>
      </c>
      <c r="E9070" t="s">
        <v>349</v>
      </c>
      <c r="G9070">
        <v>2800</v>
      </c>
      <c r="I9070">
        <v>2800</v>
      </c>
    </row>
    <row r="9072" spans="1:10" ht="15" customHeight="1" x14ac:dyDescent="0.2">
      <c r="A9072" t="s">
        <v>7954</v>
      </c>
      <c r="B9072" t="s">
        <v>7955</v>
      </c>
      <c r="F9072" t="s">
        <v>2430</v>
      </c>
      <c r="G9072" t="s">
        <v>2431</v>
      </c>
      <c r="H9072" t="s">
        <v>2432</v>
      </c>
      <c r="I9072" t="s">
        <v>2433</v>
      </c>
      <c r="J9072" t="s">
        <v>2434</v>
      </c>
    </row>
    <row r="9073" spans="1:9" ht="15" customHeight="1" x14ac:dyDescent="0.2">
      <c r="A9073" s="420">
        <v>45747</v>
      </c>
      <c r="B9073" t="s">
        <v>2532</v>
      </c>
      <c r="C9073" t="s">
        <v>7954</v>
      </c>
      <c r="D9073" t="s">
        <v>4705</v>
      </c>
      <c r="E9073" t="s">
        <v>1338</v>
      </c>
      <c r="G9073">
        <v>0.65</v>
      </c>
      <c r="I9073">
        <v>0.65</v>
      </c>
    </row>
    <row r="9074" spans="1:9" ht="15" customHeight="1" x14ac:dyDescent="0.2">
      <c r="A9074" t="s">
        <v>7954</v>
      </c>
      <c r="E9074" t="s">
        <v>349</v>
      </c>
      <c r="G9074">
        <v>0.65</v>
      </c>
      <c r="I9074">
        <v>0.65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683"/>
  <sheetViews>
    <sheetView zoomScaleNormal="100" workbookViewId="0"/>
  </sheetViews>
  <sheetFormatPr baseColWidth="10" defaultColWidth="8.6640625" defaultRowHeight="15" x14ac:dyDescent="0.2"/>
  <sheetData>
    <row r="1" spans="1:10" ht="15" customHeight="1" x14ac:dyDescent="0.2">
      <c r="A1" t="s">
        <v>2426</v>
      </c>
    </row>
    <row r="2" spans="1:10" ht="15" customHeight="1" x14ac:dyDescent="0.2">
      <c r="A2" t="s">
        <v>7956</v>
      </c>
    </row>
    <row r="4" spans="1:10" ht="15" customHeight="1" x14ac:dyDescent="0.2">
      <c r="A4" t="s">
        <v>2428</v>
      </c>
      <c r="B4" t="s">
        <v>2429</v>
      </c>
      <c r="F4" t="s">
        <v>2430</v>
      </c>
      <c r="G4" t="s">
        <v>2431</v>
      </c>
      <c r="H4" t="s">
        <v>2432</v>
      </c>
      <c r="I4" t="s">
        <v>2433</v>
      </c>
      <c r="J4" t="s">
        <v>2434</v>
      </c>
    </row>
    <row r="5" spans="1:10" ht="15" customHeight="1" x14ac:dyDescent="0.2">
      <c r="A5" s="420">
        <v>46023</v>
      </c>
      <c r="B5" t="s">
        <v>2435</v>
      </c>
      <c r="C5" t="s">
        <v>2428</v>
      </c>
      <c r="D5" t="s">
        <v>7957</v>
      </c>
      <c r="E5" t="s">
        <v>7958</v>
      </c>
      <c r="G5">
        <v>25000</v>
      </c>
      <c r="I5">
        <v>25000</v>
      </c>
    </row>
    <row r="6" spans="1:10" ht="15" customHeight="1" x14ac:dyDescent="0.2">
      <c r="A6" t="s">
        <v>2428</v>
      </c>
      <c r="E6" t="s">
        <v>349</v>
      </c>
      <c r="G6">
        <v>25000</v>
      </c>
      <c r="I6">
        <v>25000</v>
      </c>
    </row>
    <row r="8" spans="1:10" ht="15" customHeight="1" x14ac:dyDescent="0.2">
      <c r="A8" t="s">
        <v>2438</v>
      </c>
      <c r="B8" t="s">
        <v>2289</v>
      </c>
      <c r="F8" t="s">
        <v>2430</v>
      </c>
      <c r="G8" t="s">
        <v>2431</v>
      </c>
      <c r="H8" t="s">
        <v>2432</v>
      </c>
      <c r="I8" t="s">
        <v>2433</v>
      </c>
      <c r="J8" t="s">
        <v>2434</v>
      </c>
    </row>
    <row r="9" spans="1:10" ht="15" customHeight="1" x14ac:dyDescent="0.2">
      <c r="A9" s="420">
        <v>46023</v>
      </c>
      <c r="B9" t="s">
        <v>2435</v>
      </c>
      <c r="C9" t="s">
        <v>2438</v>
      </c>
      <c r="D9" t="s">
        <v>7957</v>
      </c>
      <c r="E9" t="s">
        <v>7958</v>
      </c>
      <c r="G9">
        <v>2500</v>
      </c>
      <c r="I9">
        <v>2500</v>
      </c>
    </row>
    <row r="10" spans="1:10" ht="15" customHeight="1" x14ac:dyDescent="0.2">
      <c r="A10" t="s">
        <v>2438</v>
      </c>
      <c r="E10" t="s">
        <v>349</v>
      </c>
      <c r="G10">
        <v>2500</v>
      </c>
      <c r="I10">
        <v>2500</v>
      </c>
    </row>
    <row r="12" spans="1:10" ht="15" customHeight="1" x14ac:dyDescent="0.2">
      <c r="A12" t="s">
        <v>2442</v>
      </c>
      <c r="B12" t="s">
        <v>2443</v>
      </c>
      <c r="F12" t="s">
        <v>2430</v>
      </c>
      <c r="G12" t="s">
        <v>2431</v>
      </c>
      <c r="H12" t="s">
        <v>2432</v>
      </c>
      <c r="I12" t="s">
        <v>2433</v>
      </c>
      <c r="J12" t="s">
        <v>2434</v>
      </c>
    </row>
    <row r="13" spans="1:10" ht="15" customHeight="1" x14ac:dyDescent="0.2">
      <c r="A13" s="420">
        <v>46023</v>
      </c>
      <c r="B13" t="s">
        <v>2435</v>
      </c>
      <c r="C13" t="s">
        <v>2442</v>
      </c>
      <c r="D13" t="s">
        <v>7957</v>
      </c>
      <c r="E13" t="s">
        <v>7958</v>
      </c>
      <c r="G13">
        <v>835.33</v>
      </c>
      <c r="I13">
        <v>835.33</v>
      </c>
    </row>
    <row r="14" spans="1:10" ht="15" customHeight="1" x14ac:dyDescent="0.2">
      <c r="A14" t="s">
        <v>2442</v>
      </c>
      <c r="E14" t="s">
        <v>349</v>
      </c>
      <c r="G14">
        <v>835.33</v>
      </c>
      <c r="I14">
        <v>835.33</v>
      </c>
    </row>
    <row r="16" spans="1:10" ht="15" customHeight="1" x14ac:dyDescent="0.2">
      <c r="A16" t="s">
        <v>2451</v>
      </c>
      <c r="B16" t="s">
        <v>2452</v>
      </c>
      <c r="F16" t="s">
        <v>2430</v>
      </c>
      <c r="G16" t="s">
        <v>2431</v>
      </c>
      <c r="H16" t="s">
        <v>2432</v>
      </c>
      <c r="I16" t="s">
        <v>2433</v>
      </c>
      <c r="J16" t="s">
        <v>2434</v>
      </c>
    </row>
    <row r="17" spans="1:10" ht="15" customHeight="1" x14ac:dyDescent="0.2">
      <c r="A17" s="420">
        <v>46023</v>
      </c>
      <c r="B17" t="s">
        <v>2435</v>
      </c>
      <c r="C17" t="s">
        <v>2451</v>
      </c>
      <c r="D17" t="s">
        <v>7957</v>
      </c>
      <c r="E17" t="s">
        <v>7958</v>
      </c>
      <c r="F17">
        <v>224252.34</v>
      </c>
      <c r="H17">
        <v>224252.34</v>
      </c>
    </row>
    <row r="18" spans="1:10" ht="15" customHeight="1" x14ac:dyDescent="0.2">
      <c r="A18" t="s">
        <v>2451</v>
      </c>
      <c r="E18" t="s">
        <v>349</v>
      </c>
      <c r="F18">
        <v>224252.34</v>
      </c>
      <c r="H18">
        <v>224252.34</v>
      </c>
    </row>
    <row r="20" spans="1:10" ht="15" customHeight="1" x14ac:dyDescent="0.2">
      <c r="A20" t="s">
        <v>2454</v>
      </c>
      <c r="B20" t="s">
        <v>2455</v>
      </c>
      <c r="F20" t="s">
        <v>2430</v>
      </c>
      <c r="G20" t="s">
        <v>2431</v>
      </c>
      <c r="H20" t="s">
        <v>2432</v>
      </c>
      <c r="I20" t="s">
        <v>2433</v>
      </c>
      <c r="J20" t="s">
        <v>2434</v>
      </c>
    </row>
    <row r="21" spans="1:10" ht="15" customHeight="1" x14ac:dyDescent="0.2">
      <c r="A21" s="420">
        <v>46023</v>
      </c>
      <c r="B21" t="s">
        <v>2435</v>
      </c>
      <c r="C21" t="s">
        <v>2454</v>
      </c>
      <c r="D21" t="s">
        <v>7957</v>
      </c>
      <c r="E21" t="s">
        <v>7958</v>
      </c>
      <c r="G21">
        <v>10974.98</v>
      </c>
      <c r="I21">
        <v>10974.98</v>
      </c>
    </row>
    <row r="22" spans="1:10" ht="15" customHeight="1" x14ac:dyDescent="0.2">
      <c r="A22" s="420">
        <v>46027</v>
      </c>
      <c r="B22" t="s">
        <v>2457</v>
      </c>
      <c r="C22" t="s">
        <v>2454</v>
      </c>
      <c r="D22" t="s">
        <v>2458</v>
      </c>
      <c r="E22" t="s">
        <v>7959</v>
      </c>
      <c r="F22">
        <v>237.24</v>
      </c>
      <c r="I22">
        <v>10737.74</v>
      </c>
    </row>
    <row r="23" spans="1:10" ht="15" customHeight="1" x14ac:dyDescent="0.2">
      <c r="A23" s="420">
        <v>46058</v>
      </c>
      <c r="B23" t="s">
        <v>2457</v>
      </c>
      <c r="C23" t="s">
        <v>2454</v>
      </c>
      <c r="D23" t="s">
        <v>2458</v>
      </c>
      <c r="E23" t="s">
        <v>7960</v>
      </c>
      <c r="F23">
        <v>237.54</v>
      </c>
      <c r="I23">
        <v>10500.2</v>
      </c>
    </row>
    <row r="24" spans="1:10" ht="15" customHeight="1" x14ac:dyDescent="0.2">
      <c r="A24" s="420">
        <v>46086</v>
      </c>
      <c r="B24" t="s">
        <v>2457</v>
      </c>
      <c r="C24" t="s">
        <v>2454</v>
      </c>
      <c r="D24" t="s">
        <v>2458</v>
      </c>
      <c r="E24" t="s">
        <v>7961</v>
      </c>
      <c r="F24">
        <v>237.83</v>
      </c>
      <c r="I24">
        <v>10262.370000000001</v>
      </c>
    </row>
    <row r="25" spans="1:10" ht="15" customHeight="1" x14ac:dyDescent="0.2">
      <c r="A25" t="s">
        <v>2454</v>
      </c>
      <c r="E25" t="s">
        <v>349</v>
      </c>
      <c r="F25">
        <v>712.61</v>
      </c>
      <c r="G25">
        <v>10974.98</v>
      </c>
      <c r="I25">
        <v>10262.370000000001</v>
      </c>
    </row>
    <row r="27" spans="1:10" ht="15" customHeight="1" x14ac:dyDescent="0.2">
      <c r="A27" t="s">
        <v>2471</v>
      </c>
      <c r="B27" t="s">
        <v>2472</v>
      </c>
      <c r="F27" t="s">
        <v>2430</v>
      </c>
      <c r="G27" t="s">
        <v>2431</v>
      </c>
      <c r="H27" t="s">
        <v>2432</v>
      </c>
      <c r="I27" t="s">
        <v>2433</v>
      </c>
      <c r="J27" t="s">
        <v>2434</v>
      </c>
    </row>
    <row r="28" spans="1:10" ht="15" customHeight="1" x14ac:dyDescent="0.2">
      <c r="A28" s="420">
        <v>46023</v>
      </c>
      <c r="B28" t="s">
        <v>2435</v>
      </c>
      <c r="C28" t="s">
        <v>2471</v>
      </c>
      <c r="D28" t="s">
        <v>7957</v>
      </c>
      <c r="E28" t="s">
        <v>7958</v>
      </c>
      <c r="G28">
        <v>28112.12</v>
      </c>
      <c r="I28">
        <v>28112.12</v>
      </c>
    </row>
    <row r="29" spans="1:10" ht="15" customHeight="1" x14ac:dyDescent="0.2">
      <c r="A29" s="420">
        <v>46027</v>
      </c>
      <c r="B29" t="s">
        <v>2457</v>
      </c>
      <c r="C29" t="s">
        <v>2471</v>
      </c>
      <c r="D29" t="s">
        <v>2474</v>
      </c>
      <c r="E29" t="s">
        <v>7962</v>
      </c>
      <c r="F29">
        <v>606.58000000000004</v>
      </c>
      <c r="I29">
        <v>27505.54</v>
      </c>
    </row>
    <row r="30" spans="1:10" ht="15" customHeight="1" x14ac:dyDescent="0.2">
      <c r="A30" s="420">
        <v>46058</v>
      </c>
      <c r="B30" t="s">
        <v>2457</v>
      </c>
      <c r="C30" t="s">
        <v>2471</v>
      </c>
      <c r="D30" t="s">
        <v>2474</v>
      </c>
      <c r="E30" t="s">
        <v>7963</v>
      </c>
      <c r="F30">
        <v>607.39</v>
      </c>
      <c r="I30">
        <v>26898.15</v>
      </c>
    </row>
    <row r="31" spans="1:10" ht="15" customHeight="1" x14ac:dyDescent="0.2">
      <c r="A31" s="420">
        <v>46086</v>
      </c>
      <c r="B31" t="s">
        <v>2457</v>
      </c>
      <c r="C31" t="s">
        <v>2471</v>
      </c>
      <c r="D31" t="s">
        <v>2474</v>
      </c>
      <c r="E31" t="s">
        <v>7964</v>
      </c>
      <c r="F31">
        <v>608.20000000000005</v>
      </c>
      <c r="I31">
        <v>26289.95</v>
      </c>
    </row>
    <row r="32" spans="1:10" ht="15" customHeight="1" x14ac:dyDescent="0.2">
      <c r="A32" t="s">
        <v>2471</v>
      </c>
      <c r="E32" t="s">
        <v>349</v>
      </c>
      <c r="F32">
        <v>1822.17</v>
      </c>
      <c r="G32">
        <v>28112.12</v>
      </c>
      <c r="I32">
        <v>26289.95</v>
      </c>
    </row>
    <row r="34" spans="1:10" ht="15" customHeight="1" x14ac:dyDescent="0.2">
      <c r="A34" t="s">
        <v>2487</v>
      </c>
      <c r="B34" t="s">
        <v>2488</v>
      </c>
      <c r="F34" t="s">
        <v>2430</v>
      </c>
      <c r="G34" t="s">
        <v>2431</v>
      </c>
      <c r="H34" t="s">
        <v>2432</v>
      </c>
      <c r="I34" t="s">
        <v>2433</v>
      </c>
      <c r="J34" t="s">
        <v>2434</v>
      </c>
    </row>
    <row r="35" spans="1:10" ht="15" customHeight="1" x14ac:dyDescent="0.2">
      <c r="A35" s="420">
        <v>46023</v>
      </c>
      <c r="B35" t="s">
        <v>2435</v>
      </c>
      <c r="C35" t="s">
        <v>2487</v>
      </c>
      <c r="D35" t="s">
        <v>7957</v>
      </c>
      <c r="E35" t="s">
        <v>7958</v>
      </c>
      <c r="G35">
        <v>9617.77</v>
      </c>
      <c r="I35">
        <v>9617.77</v>
      </c>
    </row>
    <row r="36" spans="1:10" ht="15" customHeight="1" x14ac:dyDescent="0.2">
      <c r="A36" s="420">
        <v>46038</v>
      </c>
      <c r="B36" t="s">
        <v>2457</v>
      </c>
      <c r="C36" t="s">
        <v>2487</v>
      </c>
      <c r="D36" t="s">
        <v>2489</v>
      </c>
      <c r="E36" t="s">
        <v>7965</v>
      </c>
      <c r="F36">
        <v>192.17</v>
      </c>
      <c r="I36">
        <v>9425.6</v>
      </c>
    </row>
    <row r="37" spans="1:10" ht="15" customHeight="1" x14ac:dyDescent="0.2">
      <c r="A37" s="420">
        <v>46069</v>
      </c>
      <c r="B37" t="s">
        <v>2457</v>
      </c>
      <c r="C37" t="s">
        <v>2487</v>
      </c>
      <c r="D37" t="s">
        <v>2489</v>
      </c>
      <c r="E37" t="s">
        <v>7966</v>
      </c>
      <c r="F37">
        <v>192.89</v>
      </c>
      <c r="I37">
        <v>9232.7099999999991</v>
      </c>
    </row>
    <row r="38" spans="1:10" ht="15" customHeight="1" x14ac:dyDescent="0.2">
      <c r="A38" s="420">
        <v>46097</v>
      </c>
      <c r="B38" t="s">
        <v>2457</v>
      </c>
      <c r="C38" t="s">
        <v>2487</v>
      </c>
      <c r="D38" t="s">
        <v>2489</v>
      </c>
      <c r="E38" t="s">
        <v>7967</v>
      </c>
      <c r="F38">
        <v>193.6</v>
      </c>
      <c r="I38">
        <v>9039.11</v>
      </c>
    </row>
    <row r="39" spans="1:10" ht="15" customHeight="1" x14ac:dyDescent="0.2">
      <c r="A39" t="s">
        <v>2487</v>
      </c>
      <c r="E39" t="s">
        <v>349</v>
      </c>
      <c r="F39">
        <v>578.66</v>
      </c>
      <c r="G39">
        <v>9617.77</v>
      </c>
      <c r="I39">
        <v>9039.11</v>
      </c>
    </row>
    <row r="41" spans="1:10" ht="15" customHeight="1" x14ac:dyDescent="0.2">
      <c r="A41" t="s">
        <v>2493</v>
      </c>
      <c r="B41" t="s">
        <v>2494</v>
      </c>
      <c r="F41" t="s">
        <v>2430</v>
      </c>
      <c r="G41" t="s">
        <v>2431</v>
      </c>
      <c r="H41" t="s">
        <v>2432</v>
      </c>
      <c r="I41" t="s">
        <v>2433</v>
      </c>
      <c r="J41" t="s">
        <v>2434</v>
      </c>
    </row>
    <row r="42" spans="1:10" ht="15" customHeight="1" x14ac:dyDescent="0.2">
      <c r="A42" s="420">
        <v>46023</v>
      </c>
      <c r="B42" t="s">
        <v>2435</v>
      </c>
      <c r="C42" t="s">
        <v>2493</v>
      </c>
      <c r="D42" t="s">
        <v>7957</v>
      </c>
      <c r="E42" t="s">
        <v>7958</v>
      </c>
      <c r="G42">
        <v>10206.94</v>
      </c>
      <c r="I42">
        <v>10206.94</v>
      </c>
    </row>
    <row r="43" spans="1:10" ht="15" customHeight="1" x14ac:dyDescent="0.2">
      <c r="A43" s="420">
        <v>46038</v>
      </c>
      <c r="B43" t="s">
        <v>2457</v>
      </c>
      <c r="C43" t="s">
        <v>2493</v>
      </c>
      <c r="D43" t="s">
        <v>2495</v>
      </c>
      <c r="E43" t="s">
        <v>7968</v>
      </c>
      <c r="F43">
        <v>209.65</v>
      </c>
      <c r="I43">
        <v>9997.2900000000009</v>
      </c>
    </row>
    <row r="44" spans="1:10" ht="15" customHeight="1" x14ac:dyDescent="0.2">
      <c r="A44" s="420">
        <v>46069</v>
      </c>
      <c r="B44" t="s">
        <v>2457</v>
      </c>
      <c r="C44" t="s">
        <v>2493</v>
      </c>
      <c r="D44" t="s">
        <v>2495</v>
      </c>
      <c r="E44" t="s">
        <v>7969</v>
      </c>
      <c r="F44">
        <v>210.17</v>
      </c>
      <c r="I44">
        <v>9787.1200000000008</v>
      </c>
    </row>
    <row r="45" spans="1:10" ht="15" customHeight="1" x14ac:dyDescent="0.2">
      <c r="A45" s="420">
        <v>46097</v>
      </c>
      <c r="B45" t="s">
        <v>2457</v>
      </c>
      <c r="C45" t="s">
        <v>2493</v>
      </c>
      <c r="D45" t="s">
        <v>2495</v>
      </c>
      <c r="E45" t="s">
        <v>7970</v>
      </c>
      <c r="F45">
        <v>210.7</v>
      </c>
      <c r="I45">
        <v>9576.42</v>
      </c>
    </row>
    <row r="46" spans="1:10" ht="15" customHeight="1" x14ac:dyDescent="0.2">
      <c r="A46" t="s">
        <v>2493</v>
      </c>
      <c r="E46" t="s">
        <v>349</v>
      </c>
      <c r="F46">
        <v>630.52</v>
      </c>
      <c r="G46">
        <v>10206.94</v>
      </c>
      <c r="I46">
        <v>9576.42</v>
      </c>
    </row>
    <row r="48" spans="1:10" ht="15" customHeight="1" x14ac:dyDescent="0.2">
      <c r="A48" t="s">
        <v>2499</v>
      </c>
      <c r="B48" t="s">
        <v>2500</v>
      </c>
      <c r="F48" t="s">
        <v>2430</v>
      </c>
      <c r="G48" t="s">
        <v>2431</v>
      </c>
      <c r="H48" t="s">
        <v>2432</v>
      </c>
      <c r="I48" t="s">
        <v>2433</v>
      </c>
      <c r="J48" t="s">
        <v>2434</v>
      </c>
    </row>
    <row r="49" spans="1:10" ht="15" customHeight="1" x14ac:dyDescent="0.2">
      <c r="A49" s="420">
        <v>46023</v>
      </c>
      <c r="B49" t="s">
        <v>2435</v>
      </c>
      <c r="C49" t="s">
        <v>2499</v>
      </c>
      <c r="D49" t="s">
        <v>7957</v>
      </c>
      <c r="E49" t="s">
        <v>7958</v>
      </c>
      <c r="G49">
        <v>19387.169999999998</v>
      </c>
      <c r="I49">
        <v>19387.169999999998</v>
      </c>
    </row>
    <row r="50" spans="1:10" ht="15" customHeight="1" x14ac:dyDescent="0.2">
      <c r="A50" s="420">
        <v>46027</v>
      </c>
      <c r="B50" t="s">
        <v>2457</v>
      </c>
      <c r="C50" t="s">
        <v>2499</v>
      </c>
      <c r="D50" t="s">
        <v>2501</v>
      </c>
      <c r="E50" t="s">
        <v>7971</v>
      </c>
      <c r="F50">
        <v>395.56</v>
      </c>
      <c r="I50">
        <v>18991.61</v>
      </c>
    </row>
    <row r="51" spans="1:10" ht="15" customHeight="1" x14ac:dyDescent="0.2">
      <c r="A51" s="420">
        <v>46058</v>
      </c>
      <c r="B51" t="s">
        <v>2457</v>
      </c>
      <c r="C51" t="s">
        <v>2499</v>
      </c>
      <c r="D51" t="s">
        <v>2501</v>
      </c>
      <c r="E51" t="s">
        <v>7972</v>
      </c>
      <c r="F51">
        <v>396.66</v>
      </c>
      <c r="I51">
        <v>18594.95</v>
      </c>
    </row>
    <row r="52" spans="1:10" ht="15" customHeight="1" x14ac:dyDescent="0.2">
      <c r="A52" s="420">
        <v>46086</v>
      </c>
      <c r="B52" t="s">
        <v>2457</v>
      </c>
      <c r="C52" t="s">
        <v>2499</v>
      </c>
      <c r="D52" t="s">
        <v>2501</v>
      </c>
      <c r="E52" t="s">
        <v>7973</v>
      </c>
      <c r="F52">
        <v>397.77</v>
      </c>
      <c r="I52">
        <v>18197.18</v>
      </c>
    </row>
    <row r="53" spans="1:10" ht="15" customHeight="1" x14ac:dyDescent="0.2">
      <c r="A53" t="s">
        <v>2499</v>
      </c>
      <c r="E53" t="s">
        <v>349</v>
      </c>
      <c r="F53">
        <v>1189.99</v>
      </c>
      <c r="G53">
        <v>19387.169999999998</v>
      </c>
      <c r="I53">
        <v>18197.18</v>
      </c>
    </row>
    <row r="55" spans="1:10" ht="15" customHeight="1" x14ac:dyDescent="0.2">
      <c r="A55" t="s">
        <v>2519</v>
      </c>
      <c r="B55" t="s">
        <v>2520</v>
      </c>
      <c r="F55" t="s">
        <v>2430</v>
      </c>
      <c r="G55" t="s">
        <v>2431</v>
      </c>
      <c r="H55" t="s">
        <v>2432</v>
      </c>
      <c r="I55" t="s">
        <v>2433</v>
      </c>
      <c r="J55" t="s">
        <v>2434</v>
      </c>
    </row>
    <row r="56" spans="1:10" ht="15" customHeight="1" x14ac:dyDescent="0.2">
      <c r="A56" s="420">
        <v>46023</v>
      </c>
      <c r="B56" t="s">
        <v>2435</v>
      </c>
      <c r="C56" t="s">
        <v>2519</v>
      </c>
      <c r="D56" t="s">
        <v>7957</v>
      </c>
      <c r="E56" t="s">
        <v>2521</v>
      </c>
      <c r="F56">
        <v>37000</v>
      </c>
      <c r="H56">
        <v>37000</v>
      </c>
    </row>
    <row r="57" spans="1:10" ht="15" customHeight="1" x14ac:dyDescent="0.2">
      <c r="A57" t="s">
        <v>2519</v>
      </c>
      <c r="E57" t="s">
        <v>349</v>
      </c>
      <c r="F57">
        <v>37000</v>
      </c>
      <c r="H57">
        <v>37000</v>
      </c>
    </row>
    <row r="59" spans="1:10" ht="15" customHeight="1" x14ac:dyDescent="0.2">
      <c r="A59" t="s">
        <v>2522</v>
      </c>
      <c r="B59" t="s">
        <v>2523</v>
      </c>
      <c r="F59" t="s">
        <v>2430</v>
      </c>
      <c r="G59" t="s">
        <v>2431</v>
      </c>
      <c r="H59" t="s">
        <v>2432</v>
      </c>
      <c r="I59" t="s">
        <v>2433</v>
      </c>
      <c r="J59" t="s">
        <v>2434</v>
      </c>
    </row>
    <row r="60" spans="1:10" ht="15" customHeight="1" x14ac:dyDescent="0.2">
      <c r="A60" s="420">
        <v>46023</v>
      </c>
      <c r="B60" t="s">
        <v>2435</v>
      </c>
      <c r="C60" t="s">
        <v>2522</v>
      </c>
      <c r="D60" t="s">
        <v>7957</v>
      </c>
      <c r="E60" t="s">
        <v>2524</v>
      </c>
      <c r="F60">
        <v>8539.51</v>
      </c>
      <c r="H60">
        <v>8539.51</v>
      </c>
    </row>
    <row r="61" spans="1:10" ht="15" customHeight="1" x14ac:dyDescent="0.2">
      <c r="A61" t="s">
        <v>2522</v>
      </c>
      <c r="E61" t="s">
        <v>349</v>
      </c>
      <c r="F61">
        <v>8539.51</v>
      </c>
      <c r="H61">
        <v>8539.51</v>
      </c>
    </row>
    <row r="63" spans="1:10" ht="15" customHeight="1" x14ac:dyDescent="0.2">
      <c r="A63" t="s">
        <v>2525</v>
      </c>
      <c r="B63" t="s">
        <v>2526</v>
      </c>
      <c r="F63" t="s">
        <v>2430</v>
      </c>
      <c r="G63" t="s">
        <v>2431</v>
      </c>
      <c r="H63" t="s">
        <v>2432</v>
      </c>
      <c r="I63" t="s">
        <v>2433</v>
      </c>
      <c r="J63" t="s">
        <v>2434</v>
      </c>
    </row>
    <row r="64" spans="1:10" ht="15" customHeight="1" x14ac:dyDescent="0.2">
      <c r="A64" s="420">
        <v>46023</v>
      </c>
      <c r="B64" t="s">
        <v>2435</v>
      </c>
      <c r="C64" t="s">
        <v>2525</v>
      </c>
      <c r="D64" t="s">
        <v>7957</v>
      </c>
      <c r="E64" t="s">
        <v>2528</v>
      </c>
      <c r="F64">
        <v>3744.56</v>
      </c>
      <c r="H64">
        <v>3744.56</v>
      </c>
    </row>
    <row r="65" spans="1:10" ht="15" customHeight="1" x14ac:dyDescent="0.2">
      <c r="A65" s="420">
        <v>46023</v>
      </c>
      <c r="B65" t="s">
        <v>2435</v>
      </c>
      <c r="C65" t="s">
        <v>2525</v>
      </c>
      <c r="D65" t="s">
        <v>7957</v>
      </c>
      <c r="E65" t="s">
        <v>2527</v>
      </c>
      <c r="F65">
        <v>629.15</v>
      </c>
      <c r="H65">
        <v>4373.71</v>
      </c>
    </row>
    <row r="66" spans="1:10" ht="15" customHeight="1" x14ac:dyDescent="0.2">
      <c r="A66" s="420">
        <v>46023</v>
      </c>
      <c r="B66" t="s">
        <v>2435</v>
      </c>
      <c r="C66" t="s">
        <v>2525</v>
      </c>
      <c r="D66" t="s">
        <v>7957</v>
      </c>
      <c r="E66" t="s">
        <v>2534</v>
      </c>
      <c r="F66">
        <v>1457.5</v>
      </c>
      <c r="H66">
        <v>5831.21</v>
      </c>
    </row>
    <row r="67" spans="1:10" ht="15" customHeight="1" x14ac:dyDescent="0.2">
      <c r="A67" s="420">
        <v>46023</v>
      </c>
      <c r="B67" t="s">
        <v>2435</v>
      </c>
      <c r="C67" t="s">
        <v>2525</v>
      </c>
      <c r="D67" t="s">
        <v>7957</v>
      </c>
      <c r="E67" t="s">
        <v>2543</v>
      </c>
      <c r="G67">
        <v>1249.17</v>
      </c>
      <c r="H67">
        <v>4582.04</v>
      </c>
    </row>
    <row r="68" spans="1:10" ht="15" customHeight="1" x14ac:dyDescent="0.2">
      <c r="A68" s="420">
        <v>46023</v>
      </c>
      <c r="B68" t="s">
        <v>2435</v>
      </c>
      <c r="C68" t="s">
        <v>2525</v>
      </c>
      <c r="D68" t="s">
        <v>7957</v>
      </c>
      <c r="E68" t="s">
        <v>2540</v>
      </c>
      <c r="F68">
        <v>1568</v>
      </c>
      <c r="H68">
        <v>6150.04</v>
      </c>
    </row>
    <row r="69" spans="1:10" ht="15" customHeight="1" x14ac:dyDescent="0.2">
      <c r="A69" s="420">
        <v>46023</v>
      </c>
      <c r="B69" t="s">
        <v>2435</v>
      </c>
      <c r="C69" t="s">
        <v>2525</v>
      </c>
      <c r="D69" t="s">
        <v>7957</v>
      </c>
      <c r="E69" t="s">
        <v>2531</v>
      </c>
      <c r="G69">
        <v>494.84</v>
      </c>
      <c r="H69">
        <v>5655.2</v>
      </c>
    </row>
    <row r="70" spans="1:10" ht="15" customHeight="1" x14ac:dyDescent="0.2">
      <c r="A70" s="420">
        <v>46023</v>
      </c>
      <c r="B70" t="s">
        <v>2435</v>
      </c>
      <c r="C70" t="s">
        <v>2525</v>
      </c>
      <c r="D70" t="s">
        <v>7957</v>
      </c>
      <c r="E70" t="s">
        <v>2530</v>
      </c>
      <c r="G70">
        <v>554.04999999999995</v>
      </c>
      <c r="H70">
        <v>5101.1499999999996</v>
      </c>
    </row>
    <row r="71" spans="1:10" ht="15" customHeight="1" x14ac:dyDescent="0.2">
      <c r="A71" s="420">
        <v>46023</v>
      </c>
      <c r="B71" t="s">
        <v>2435</v>
      </c>
      <c r="C71" t="s">
        <v>2525</v>
      </c>
      <c r="D71" t="s">
        <v>7957</v>
      </c>
      <c r="E71" t="s">
        <v>2529</v>
      </c>
      <c r="G71">
        <v>297.33</v>
      </c>
      <c r="H71">
        <v>4803.82</v>
      </c>
    </row>
    <row r="72" spans="1:10" ht="15" customHeight="1" x14ac:dyDescent="0.2">
      <c r="A72" t="s">
        <v>2525</v>
      </c>
      <c r="E72" t="s">
        <v>349</v>
      </c>
      <c r="F72">
        <v>7399.21</v>
      </c>
      <c r="G72">
        <v>2595.39</v>
      </c>
      <c r="H72">
        <v>4803.82</v>
      </c>
    </row>
    <row r="74" spans="1:10" ht="15" customHeight="1" x14ac:dyDescent="0.2">
      <c r="A74" t="s">
        <v>2544</v>
      </c>
      <c r="B74" t="s">
        <v>2545</v>
      </c>
      <c r="F74" t="s">
        <v>2430</v>
      </c>
      <c r="G74" t="s">
        <v>2431</v>
      </c>
      <c r="H74" t="s">
        <v>2432</v>
      </c>
      <c r="I74" t="s">
        <v>2433</v>
      </c>
      <c r="J74" t="s">
        <v>2434</v>
      </c>
    </row>
    <row r="75" spans="1:10" ht="15" customHeight="1" x14ac:dyDescent="0.2">
      <c r="A75" s="420">
        <v>46023</v>
      </c>
      <c r="B75" t="s">
        <v>2435</v>
      </c>
      <c r="C75" t="s">
        <v>2544</v>
      </c>
      <c r="D75" t="s">
        <v>7957</v>
      </c>
      <c r="E75" t="s">
        <v>2552</v>
      </c>
      <c r="G75">
        <v>190.64</v>
      </c>
      <c r="I75">
        <v>190.64</v>
      </c>
    </row>
    <row r="76" spans="1:10" ht="15" customHeight="1" x14ac:dyDescent="0.2">
      <c r="A76" s="420">
        <v>46023</v>
      </c>
      <c r="B76" t="s">
        <v>2435</v>
      </c>
      <c r="C76" t="s">
        <v>2544</v>
      </c>
      <c r="D76" t="s">
        <v>7957</v>
      </c>
      <c r="E76" t="s">
        <v>2549</v>
      </c>
      <c r="F76">
        <v>500.9</v>
      </c>
      <c r="H76">
        <v>310.26</v>
      </c>
    </row>
    <row r="77" spans="1:10" ht="15" customHeight="1" x14ac:dyDescent="0.2">
      <c r="A77" s="420">
        <v>46023</v>
      </c>
      <c r="B77" t="s">
        <v>2435</v>
      </c>
      <c r="C77" t="s">
        <v>2544</v>
      </c>
      <c r="D77" t="s">
        <v>7957</v>
      </c>
      <c r="E77" t="s">
        <v>2546</v>
      </c>
      <c r="F77">
        <v>3371.44</v>
      </c>
      <c r="H77">
        <v>3681.7</v>
      </c>
    </row>
    <row r="78" spans="1:10" ht="15" customHeight="1" x14ac:dyDescent="0.2">
      <c r="A78" t="s">
        <v>2544</v>
      </c>
      <c r="E78" t="s">
        <v>349</v>
      </c>
      <c r="F78">
        <v>3872.34</v>
      </c>
      <c r="G78">
        <v>190.64</v>
      </c>
      <c r="H78">
        <v>3681.7</v>
      </c>
    </row>
    <row r="80" spans="1:10" ht="15" customHeight="1" x14ac:dyDescent="0.2">
      <c r="A80" t="s">
        <v>2553</v>
      </c>
      <c r="B80" t="s">
        <v>2554</v>
      </c>
      <c r="F80" t="s">
        <v>2430</v>
      </c>
      <c r="G80" t="s">
        <v>2431</v>
      </c>
      <c r="H80" t="s">
        <v>2432</v>
      </c>
      <c r="I80" t="s">
        <v>2433</v>
      </c>
      <c r="J80" t="s">
        <v>2434</v>
      </c>
    </row>
    <row r="81" spans="1:10" ht="15" customHeight="1" x14ac:dyDescent="0.2">
      <c r="A81" s="420">
        <v>46023</v>
      </c>
      <c r="B81" t="s">
        <v>2435</v>
      </c>
      <c r="C81" t="s">
        <v>2553</v>
      </c>
      <c r="D81" t="s">
        <v>7957</v>
      </c>
      <c r="E81" t="s">
        <v>2557</v>
      </c>
      <c r="F81">
        <v>70</v>
      </c>
      <c r="H81">
        <v>70</v>
      </c>
    </row>
    <row r="82" spans="1:10" ht="15" customHeight="1" x14ac:dyDescent="0.2">
      <c r="A82" t="s">
        <v>2553</v>
      </c>
      <c r="E82" t="s">
        <v>349</v>
      </c>
      <c r="F82">
        <v>70</v>
      </c>
      <c r="H82">
        <v>70</v>
      </c>
    </row>
    <row r="84" spans="1:10" ht="15" customHeight="1" x14ac:dyDescent="0.2">
      <c r="A84" t="s">
        <v>2558</v>
      </c>
      <c r="B84" t="s">
        <v>2559</v>
      </c>
      <c r="F84" t="s">
        <v>2430</v>
      </c>
      <c r="G84" t="s">
        <v>2431</v>
      </c>
      <c r="H84" t="s">
        <v>2432</v>
      </c>
      <c r="I84" t="s">
        <v>2433</v>
      </c>
      <c r="J84" t="s">
        <v>2434</v>
      </c>
    </row>
    <row r="85" spans="1:10" ht="15" customHeight="1" x14ac:dyDescent="0.2">
      <c r="A85" s="420">
        <v>46023</v>
      </c>
      <c r="B85" t="s">
        <v>2435</v>
      </c>
      <c r="C85" t="s">
        <v>2558</v>
      </c>
      <c r="D85" t="s">
        <v>7957</v>
      </c>
      <c r="E85" t="s">
        <v>2562</v>
      </c>
      <c r="F85">
        <v>7565</v>
      </c>
      <c r="H85">
        <v>7565</v>
      </c>
    </row>
    <row r="86" spans="1:10" ht="15" customHeight="1" x14ac:dyDescent="0.2">
      <c r="A86" s="420">
        <v>46023</v>
      </c>
      <c r="B86" t="s">
        <v>2435</v>
      </c>
      <c r="C86" t="s">
        <v>2558</v>
      </c>
      <c r="D86" t="s">
        <v>7957</v>
      </c>
      <c r="E86" t="s">
        <v>2560</v>
      </c>
      <c r="F86">
        <v>2700</v>
      </c>
      <c r="H86">
        <v>10265</v>
      </c>
    </row>
    <row r="87" spans="1:10" ht="15" customHeight="1" x14ac:dyDescent="0.2">
      <c r="A87" t="s">
        <v>2558</v>
      </c>
      <c r="E87" t="s">
        <v>349</v>
      </c>
      <c r="F87">
        <v>10265</v>
      </c>
      <c r="H87">
        <v>10265</v>
      </c>
    </row>
    <row r="89" spans="1:10" ht="15" customHeight="1" x14ac:dyDescent="0.2">
      <c r="A89" t="s">
        <v>2563</v>
      </c>
      <c r="B89" t="s">
        <v>2564</v>
      </c>
      <c r="F89" t="s">
        <v>2430</v>
      </c>
      <c r="G89" t="s">
        <v>2431</v>
      </c>
      <c r="H89" t="s">
        <v>2432</v>
      </c>
      <c r="I89" t="s">
        <v>2433</v>
      </c>
      <c r="J89" t="s">
        <v>2434</v>
      </c>
    </row>
    <row r="90" spans="1:10" ht="15" customHeight="1" x14ac:dyDescent="0.2">
      <c r="A90" s="420">
        <v>46023</v>
      </c>
      <c r="B90" t="s">
        <v>2435</v>
      </c>
      <c r="C90" t="s">
        <v>2563</v>
      </c>
      <c r="D90" t="s">
        <v>7957</v>
      </c>
      <c r="E90" t="s">
        <v>628</v>
      </c>
      <c r="G90">
        <v>2141.5</v>
      </c>
      <c r="I90">
        <v>2141.5</v>
      </c>
    </row>
    <row r="91" spans="1:10" ht="15" customHeight="1" x14ac:dyDescent="0.2">
      <c r="A91" s="420">
        <v>46023</v>
      </c>
      <c r="B91" t="s">
        <v>2435</v>
      </c>
      <c r="C91" t="s">
        <v>2563</v>
      </c>
      <c r="D91" t="s">
        <v>7957</v>
      </c>
      <c r="E91" t="s">
        <v>627</v>
      </c>
      <c r="G91">
        <v>3140.87</v>
      </c>
      <c r="I91">
        <v>5282.37</v>
      </c>
    </row>
    <row r="92" spans="1:10" ht="15" customHeight="1" x14ac:dyDescent="0.2">
      <c r="A92" s="420">
        <v>46023</v>
      </c>
      <c r="B92" t="s">
        <v>2435</v>
      </c>
      <c r="C92" t="s">
        <v>2563</v>
      </c>
      <c r="D92" t="s">
        <v>7957</v>
      </c>
      <c r="E92" t="s">
        <v>2567</v>
      </c>
      <c r="G92">
        <v>3140.87</v>
      </c>
      <c r="I92">
        <v>8423.24</v>
      </c>
    </row>
    <row r="93" spans="1:10" ht="15" customHeight="1" x14ac:dyDescent="0.2">
      <c r="A93" s="420">
        <v>46023</v>
      </c>
      <c r="B93" t="s">
        <v>2435</v>
      </c>
      <c r="C93" t="s">
        <v>2563</v>
      </c>
      <c r="D93" t="s">
        <v>7957</v>
      </c>
      <c r="E93" t="s">
        <v>2566</v>
      </c>
      <c r="G93">
        <v>2141.5</v>
      </c>
      <c r="I93">
        <v>10564.74</v>
      </c>
    </row>
    <row r="94" spans="1:10" ht="15" customHeight="1" x14ac:dyDescent="0.2">
      <c r="A94" s="420">
        <v>46023</v>
      </c>
      <c r="B94" t="s">
        <v>2435</v>
      </c>
      <c r="C94" t="s">
        <v>2563</v>
      </c>
      <c r="D94" t="s">
        <v>7957</v>
      </c>
      <c r="E94" t="s">
        <v>2565</v>
      </c>
      <c r="G94">
        <v>7095.88</v>
      </c>
      <c r="I94">
        <v>17660.62</v>
      </c>
    </row>
    <row r="95" spans="1:10" ht="15" customHeight="1" x14ac:dyDescent="0.2">
      <c r="A95" t="s">
        <v>2563</v>
      </c>
      <c r="E95" t="s">
        <v>349</v>
      </c>
      <c r="G95">
        <v>17660.62</v>
      </c>
      <c r="I95">
        <v>17660.62</v>
      </c>
    </row>
    <row r="97" spans="1:10" ht="15" customHeight="1" x14ac:dyDescent="0.2">
      <c r="A97" t="s">
        <v>2568</v>
      </c>
      <c r="B97" t="s">
        <v>2569</v>
      </c>
      <c r="F97" t="s">
        <v>2430</v>
      </c>
      <c r="G97" t="s">
        <v>2431</v>
      </c>
      <c r="H97" t="s">
        <v>2432</v>
      </c>
      <c r="I97" t="s">
        <v>2433</v>
      </c>
      <c r="J97" t="s">
        <v>2434</v>
      </c>
    </row>
    <row r="98" spans="1:10" ht="15" customHeight="1" x14ac:dyDescent="0.2">
      <c r="A98" s="420">
        <v>46023</v>
      </c>
      <c r="B98" t="s">
        <v>2435</v>
      </c>
      <c r="C98" t="s">
        <v>2568</v>
      </c>
      <c r="D98" t="s">
        <v>7957</v>
      </c>
      <c r="E98" t="s">
        <v>630</v>
      </c>
      <c r="G98">
        <v>1327.2</v>
      </c>
      <c r="I98">
        <v>1327.2</v>
      </c>
    </row>
    <row r="99" spans="1:10" ht="15" customHeight="1" x14ac:dyDescent="0.2">
      <c r="A99" s="420">
        <v>46023</v>
      </c>
      <c r="B99" t="s">
        <v>2435</v>
      </c>
      <c r="C99" t="s">
        <v>2568</v>
      </c>
      <c r="D99" t="s">
        <v>7957</v>
      </c>
      <c r="E99" t="s">
        <v>629</v>
      </c>
      <c r="G99">
        <v>448.22</v>
      </c>
      <c r="I99">
        <v>1775.42</v>
      </c>
    </row>
    <row r="100" spans="1:10" ht="15" customHeight="1" x14ac:dyDescent="0.2">
      <c r="A100" s="420">
        <v>46023</v>
      </c>
      <c r="B100" t="s">
        <v>2435</v>
      </c>
      <c r="C100" t="s">
        <v>2568</v>
      </c>
      <c r="D100" t="s">
        <v>7957</v>
      </c>
      <c r="E100" t="s">
        <v>2572</v>
      </c>
      <c r="G100">
        <v>632.79</v>
      </c>
      <c r="I100">
        <v>2408.21</v>
      </c>
    </row>
    <row r="101" spans="1:10" ht="15" customHeight="1" x14ac:dyDescent="0.2">
      <c r="A101" s="420">
        <v>46023</v>
      </c>
      <c r="B101" t="s">
        <v>2435</v>
      </c>
      <c r="C101" t="s">
        <v>2568</v>
      </c>
      <c r="D101" t="s">
        <v>7957</v>
      </c>
      <c r="E101" t="s">
        <v>2571</v>
      </c>
      <c r="G101">
        <v>1327.2</v>
      </c>
      <c r="I101">
        <v>3735.41</v>
      </c>
    </row>
    <row r="102" spans="1:10" ht="15" customHeight="1" x14ac:dyDescent="0.2">
      <c r="A102" s="420">
        <v>46023</v>
      </c>
      <c r="B102" t="s">
        <v>2435</v>
      </c>
      <c r="C102" t="s">
        <v>2568</v>
      </c>
      <c r="D102" t="s">
        <v>7957</v>
      </c>
      <c r="E102" t="s">
        <v>2570</v>
      </c>
      <c r="G102">
        <v>2488.87</v>
      </c>
      <c r="I102">
        <v>6224.28</v>
      </c>
    </row>
    <row r="103" spans="1:10" ht="15" customHeight="1" x14ac:dyDescent="0.2">
      <c r="A103" t="s">
        <v>2568</v>
      </c>
      <c r="E103" t="s">
        <v>349</v>
      </c>
      <c r="G103">
        <v>6224.28</v>
      </c>
      <c r="I103">
        <v>6224.28</v>
      </c>
    </row>
    <row r="105" spans="1:10" ht="15" customHeight="1" x14ac:dyDescent="0.2">
      <c r="A105" t="s">
        <v>2573</v>
      </c>
      <c r="B105" t="s">
        <v>2574</v>
      </c>
      <c r="F105" t="s">
        <v>2430</v>
      </c>
      <c r="G105" t="s">
        <v>2431</v>
      </c>
      <c r="H105" t="s">
        <v>2432</v>
      </c>
      <c r="I105" t="s">
        <v>2433</v>
      </c>
      <c r="J105" t="s">
        <v>2434</v>
      </c>
    </row>
    <row r="106" spans="1:10" ht="15" customHeight="1" x14ac:dyDescent="0.2">
      <c r="A106" s="420">
        <v>46023</v>
      </c>
      <c r="B106" t="s">
        <v>2435</v>
      </c>
      <c r="C106" t="s">
        <v>2573</v>
      </c>
      <c r="D106" t="s">
        <v>7957</v>
      </c>
      <c r="E106" t="s">
        <v>2584</v>
      </c>
      <c r="G106">
        <v>415.99</v>
      </c>
      <c r="I106">
        <v>415.99</v>
      </c>
    </row>
    <row r="107" spans="1:10" ht="15" customHeight="1" x14ac:dyDescent="0.2">
      <c r="A107" s="420">
        <v>46023</v>
      </c>
      <c r="B107" t="s">
        <v>2435</v>
      </c>
      <c r="C107" t="s">
        <v>2573</v>
      </c>
      <c r="D107" t="s">
        <v>7957</v>
      </c>
      <c r="E107" t="s">
        <v>2583</v>
      </c>
      <c r="G107">
        <v>164.89</v>
      </c>
      <c r="I107">
        <v>580.88</v>
      </c>
    </row>
    <row r="108" spans="1:10" ht="15" customHeight="1" x14ac:dyDescent="0.2">
      <c r="A108" s="420">
        <v>46023</v>
      </c>
      <c r="B108" t="s">
        <v>2435</v>
      </c>
      <c r="C108" t="s">
        <v>2573</v>
      </c>
      <c r="D108" t="s">
        <v>7957</v>
      </c>
      <c r="E108" t="s">
        <v>2531</v>
      </c>
      <c r="F108">
        <v>494.84</v>
      </c>
      <c r="I108">
        <v>86.04</v>
      </c>
    </row>
    <row r="109" spans="1:10" ht="15" customHeight="1" x14ac:dyDescent="0.2">
      <c r="A109" s="420">
        <v>46023</v>
      </c>
      <c r="B109" t="s">
        <v>2435</v>
      </c>
      <c r="C109" t="s">
        <v>2573</v>
      </c>
      <c r="D109" t="s">
        <v>7957</v>
      </c>
      <c r="E109" t="s">
        <v>2582</v>
      </c>
      <c r="G109">
        <v>138.79</v>
      </c>
      <c r="I109">
        <v>224.83</v>
      </c>
    </row>
    <row r="110" spans="1:10" ht="15" customHeight="1" x14ac:dyDescent="0.2">
      <c r="A110" s="420">
        <v>46023</v>
      </c>
      <c r="B110" t="s">
        <v>2435</v>
      </c>
      <c r="C110" t="s">
        <v>2573</v>
      </c>
      <c r="D110" t="s">
        <v>7957</v>
      </c>
      <c r="E110" t="s">
        <v>2581</v>
      </c>
      <c r="G110">
        <v>184.66</v>
      </c>
      <c r="I110">
        <v>409.49</v>
      </c>
    </row>
    <row r="111" spans="1:10" ht="15" customHeight="1" x14ac:dyDescent="0.2">
      <c r="A111" s="420">
        <v>46023</v>
      </c>
      <c r="B111" t="s">
        <v>2435</v>
      </c>
      <c r="C111" t="s">
        <v>2573</v>
      </c>
      <c r="D111" t="s">
        <v>7957</v>
      </c>
      <c r="E111" t="s">
        <v>2530</v>
      </c>
      <c r="F111">
        <v>554.04999999999995</v>
      </c>
      <c r="H111">
        <v>144.56</v>
      </c>
    </row>
    <row r="112" spans="1:10" ht="15" customHeight="1" x14ac:dyDescent="0.2">
      <c r="A112" s="420">
        <v>46023</v>
      </c>
      <c r="B112" t="s">
        <v>2435</v>
      </c>
      <c r="C112" t="s">
        <v>2573</v>
      </c>
      <c r="D112" t="s">
        <v>7957</v>
      </c>
      <c r="E112" t="s">
        <v>2580</v>
      </c>
      <c r="G112">
        <v>187.74</v>
      </c>
      <c r="I112">
        <v>43.18</v>
      </c>
    </row>
    <row r="113" spans="1:10" ht="15" customHeight="1" x14ac:dyDescent="0.2">
      <c r="A113" s="420">
        <v>46023</v>
      </c>
      <c r="B113" t="s">
        <v>2435</v>
      </c>
      <c r="C113" t="s">
        <v>2573</v>
      </c>
      <c r="D113" t="s">
        <v>7957</v>
      </c>
      <c r="E113" t="s">
        <v>2579</v>
      </c>
      <c r="G113">
        <v>382.34</v>
      </c>
      <c r="I113">
        <v>425.52</v>
      </c>
    </row>
    <row r="114" spans="1:10" ht="15" customHeight="1" x14ac:dyDescent="0.2">
      <c r="A114" s="420">
        <v>46023</v>
      </c>
      <c r="B114" t="s">
        <v>2435</v>
      </c>
      <c r="C114" t="s">
        <v>2573</v>
      </c>
      <c r="D114" t="s">
        <v>7957</v>
      </c>
      <c r="E114" t="s">
        <v>2578</v>
      </c>
      <c r="G114">
        <v>98.97</v>
      </c>
      <c r="I114">
        <v>524.49</v>
      </c>
    </row>
    <row r="115" spans="1:10" ht="15" customHeight="1" x14ac:dyDescent="0.2">
      <c r="A115" s="420">
        <v>46023</v>
      </c>
      <c r="B115" t="s">
        <v>2435</v>
      </c>
      <c r="C115" t="s">
        <v>2573</v>
      </c>
      <c r="D115" t="s">
        <v>7957</v>
      </c>
      <c r="E115" t="s">
        <v>2529</v>
      </c>
      <c r="F115">
        <v>297.33</v>
      </c>
      <c r="I115">
        <v>227.16</v>
      </c>
    </row>
    <row r="116" spans="1:10" ht="15" customHeight="1" x14ac:dyDescent="0.2">
      <c r="A116" s="420">
        <v>46023</v>
      </c>
      <c r="B116" t="s">
        <v>2435</v>
      </c>
      <c r="C116" t="s">
        <v>2573</v>
      </c>
      <c r="D116" t="s">
        <v>7957</v>
      </c>
      <c r="E116" t="s">
        <v>2577</v>
      </c>
      <c r="G116">
        <v>76.709999999999994</v>
      </c>
      <c r="I116">
        <v>303.87</v>
      </c>
    </row>
    <row r="117" spans="1:10" ht="15" customHeight="1" x14ac:dyDescent="0.2">
      <c r="A117" s="420">
        <v>46023</v>
      </c>
      <c r="B117" t="s">
        <v>2435</v>
      </c>
      <c r="C117" t="s">
        <v>2573</v>
      </c>
      <c r="D117" t="s">
        <v>7957</v>
      </c>
      <c r="E117" t="s">
        <v>2576</v>
      </c>
      <c r="G117">
        <v>125.83</v>
      </c>
      <c r="I117">
        <v>429.7</v>
      </c>
    </row>
    <row r="118" spans="1:10" ht="15" customHeight="1" x14ac:dyDescent="0.2">
      <c r="A118" s="420">
        <v>46023</v>
      </c>
      <c r="B118" t="s">
        <v>2435</v>
      </c>
      <c r="C118" t="s">
        <v>2573</v>
      </c>
      <c r="D118" t="s">
        <v>7957</v>
      </c>
      <c r="E118" t="s">
        <v>2575</v>
      </c>
      <c r="G118">
        <v>1291.68</v>
      </c>
      <c r="I118">
        <v>1721.38</v>
      </c>
    </row>
    <row r="119" spans="1:10" ht="15" customHeight="1" x14ac:dyDescent="0.2">
      <c r="A119" s="420">
        <v>46023</v>
      </c>
      <c r="B119" t="s">
        <v>2435</v>
      </c>
      <c r="C119" t="s">
        <v>2573</v>
      </c>
      <c r="D119" t="s">
        <v>7957</v>
      </c>
      <c r="E119" t="s">
        <v>644</v>
      </c>
      <c r="G119">
        <v>133.57</v>
      </c>
      <c r="I119">
        <v>1854.95</v>
      </c>
    </row>
    <row r="120" spans="1:10" ht="15" customHeight="1" x14ac:dyDescent="0.2">
      <c r="A120" s="420">
        <v>46023</v>
      </c>
      <c r="B120" t="s">
        <v>2435</v>
      </c>
      <c r="C120" t="s">
        <v>2573</v>
      </c>
      <c r="D120" t="s">
        <v>7957</v>
      </c>
      <c r="E120" t="s">
        <v>642</v>
      </c>
      <c r="G120">
        <v>462.89</v>
      </c>
      <c r="I120">
        <v>2317.84</v>
      </c>
    </row>
    <row r="121" spans="1:10" ht="15" customHeight="1" x14ac:dyDescent="0.2">
      <c r="A121" s="420">
        <v>46023</v>
      </c>
      <c r="B121" t="s">
        <v>2435</v>
      </c>
      <c r="C121" t="s">
        <v>2573</v>
      </c>
      <c r="D121" t="s">
        <v>7957</v>
      </c>
      <c r="E121" t="s">
        <v>633</v>
      </c>
      <c r="G121">
        <v>209.72</v>
      </c>
      <c r="I121">
        <v>2527.56</v>
      </c>
    </row>
    <row r="122" spans="1:10" ht="15" customHeight="1" x14ac:dyDescent="0.2">
      <c r="A122" s="420">
        <v>46023</v>
      </c>
      <c r="B122" t="s">
        <v>2435</v>
      </c>
      <c r="C122" t="s">
        <v>2573</v>
      </c>
      <c r="D122" t="s">
        <v>7957</v>
      </c>
      <c r="E122" t="s">
        <v>632</v>
      </c>
      <c r="G122">
        <v>382.34</v>
      </c>
      <c r="I122">
        <v>2909.9</v>
      </c>
    </row>
    <row r="123" spans="1:10" ht="15" customHeight="1" x14ac:dyDescent="0.2">
      <c r="A123" s="420">
        <v>46023</v>
      </c>
      <c r="B123" t="s">
        <v>2435</v>
      </c>
      <c r="C123" t="s">
        <v>2573</v>
      </c>
      <c r="D123" t="s">
        <v>7957</v>
      </c>
      <c r="E123" t="s">
        <v>645</v>
      </c>
      <c r="G123">
        <v>279.63</v>
      </c>
      <c r="I123">
        <v>3189.53</v>
      </c>
    </row>
    <row r="124" spans="1:10" ht="15" customHeight="1" x14ac:dyDescent="0.2">
      <c r="A124" s="420">
        <v>46023</v>
      </c>
      <c r="B124" t="s">
        <v>2435</v>
      </c>
      <c r="C124" t="s">
        <v>2573</v>
      </c>
      <c r="D124" t="s">
        <v>7957</v>
      </c>
      <c r="E124" t="s">
        <v>2543</v>
      </c>
      <c r="F124">
        <v>1249.17</v>
      </c>
      <c r="I124">
        <v>1940.36</v>
      </c>
    </row>
    <row r="125" spans="1:10" ht="15" customHeight="1" x14ac:dyDescent="0.2">
      <c r="A125" s="420">
        <v>46023</v>
      </c>
      <c r="B125" t="s">
        <v>2435</v>
      </c>
      <c r="C125" t="s">
        <v>2573</v>
      </c>
      <c r="D125" t="s">
        <v>7957</v>
      </c>
      <c r="E125" t="s">
        <v>631</v>
      </c>
      <c r="G125">
        <v>20.8</v>
      </c>
      <c r="I125">
        <v>1961.16</v>
      </c>
    </row>
    <row r="126" spans="1:10" ht="15" customHeight="1" x14ac:dyDescent="0.2">
      <c r="A126" t="s">
        <v>2573</v>
      </c>
      <c r="E126" t="s">
        <v>349</v>
      </c>
      <c r="F126">
        <v>2595.39</v>
      </c>
      <c r="G126">
        <v>4556.55</v>
      </c>
      <c r="I126">
        <v>1961.16</v>
      </c>
    </row>
    <row r="128" spans="1:10" ht="15" customHeight="1" x14ac:dyDescent="0.2">
      <c r="A128" t="s">
        <v>2588</v>
      </c>
      <c r="B128" t="s">
        <v>2589</v>
      </c>
      <c r="F128" t="s">
        <v>2430</v>
      </c>
      <c r="G128" t="s">
        <v>2431</v>
      </c>
      <c r="H128" t="s">
        <v>2432</v>
      </c>
      <c r="I128" t="s">
        <v>2433</v>
      </c>
      <c r="J128" t="s">
        <v>2434</v>
      </c>
    </row>
    <row r="129" spans="1:9" ht="15" customHeight="1" x14ac:dyDescent="0.2">
      <c r="A129" s="420">
        <v>46023</v>
      </c>
      <c r="B129" t="s">
        <v>2435</v>
      </c>
      <c r="C129" t="s">
        <v>2588</v>
      </c>
      <c r="D129" t="s">
        <v>7957</v>
      </c>
      <c r="E129" t="s">
        <v>638</v>
      </c>
      <c r="G129">
        <v>13.65</v>
      </c>
      <c r="I129">
        <v>13.65</v>
      </c>
    </row>
    <row r="130" spans="1:9" ht="15" customHeight="1" x14ac:dyDescent="0.2">
      <c r="A130" s="420">
        <v>46023</v>
      </c>
      <c r="B130" t="s">
        <v>2435</v>
      </c>
      <c r="C130" t="s">
        <v>2588</v>
      </c>
      <c r="D130" t="s">
        <v>7957</v>
      </c>
      <c r="E130" t="s">
        <v>637</v>
      </c>
      <c r="G130">
        <v>55.45</v>
      </c>
      <c r="I130">
        <v>69.099999999999994</v>
      </c>
    </row>
    <row r="131" spans="1:9" ht="15" customHeight="1" x14ac:dyDescent="0.2">
      <c r="A131" s="420">
        <v>46023</v>
      </c>
      <c r="B131" t="s">
        <v>2435</v>
      </c>
      <c r="C131" t="s">
        <v>2588</v>
      </c>
      <c r="D131" t="s">
        <v>7957</v>
      </c>
      <c r="E131" t="s">
        <v>636</v>
      </c>
      <c r="G131">
        <v>49.74</v>
      </c>
      <c r="I131">
        <v>118.84</v>
      </c>
    </row>
    <row r="132" spans="1:9" ht="15" customHeight="1" x14ac:dyDescent="0.2">
      <c r="A132" s="420">
        <v>46023</v>
      </c>
      <c r="B132" t="s">
        <v>2435</v>
      </c>
      <c r="C132" t="s">
        <v>2588</v>
      </c>
      <c r="D132" t="s">
        <v>7957</v>
      </c>
      <c r="E132" t="s">
        <v>635</v>
      </c>
      <c r="G132">
        <v>21.65</v>
      </c>
      <c r="I132">
        <v>140.49</v>
      </c>
    </row>
    <row r="133" spans="1:9" ht="15" customHeight="1" x14ac:dyDescent="0.2">
      <c r="A133" s="420">
        <v>46023</v>
      </c>
      <c r="B133" t="s">
        <v>2435</v>
      </c>
      <c r="C133" t="s">
        <v>2588</v>
      </c>
      <c r="D133" t="s">
        <v>7957</v>
      </c>
      <c r="E133" t="s">
        <v>634</v>
      </c>
      <c r="G133">
        <v>237.44</v>
      </c>
      <c r="I133">
        <v>377.93</v>
      </c>
    </row>
    <row r="134" spans="1:9" ht="15" customHeight="1" x14ac:dyDescent="0.2">
      <c r="A134" s="420">
        <v>46023</v>
      </c>
      <c r="B134" t="s">
        <v>2435</v>
      </c>
      <c r="C134" t="s">
        <v>2588</v>
      </c>
      <c r="D134" t="s">
        <v>7957</v>
      </c>
      <c r="E134" t="s">
        <v>2595</v>
      </c>
      <c r="G134">
        <v>38.1</v>
      </c>
      <c r="I134">
        <v>416.03</v>
      </c>
    </row>
    <row r="135" spans="1:9" ht="15" customHeight="1" x14ac:dyDescent="0.2">
      <c r="A135" s="420">
        <v>46023</v>
      </c>
      <c r="B135" t="s">
        <v>2435</v>
      </c>
      <c r="C135" t="s">
        <v>2588</v>
      </c>
      <c r="D135" t="s">
        <v>7957</v>
      </c>
      <c r="E135" t="s">
        <v>2594</v>
      </c>
      <c r="G135">
        <v>29.15</v>
      </c>
      <c r="I135">
        <v>445.18</v>
      </c>
    </row>
    <row r="136" spans="1:9" ht="15" customHeight="1" x14ac:dyDescent="0.2">
      <c r="A136" s="420">
        <v>46023</v>
      </c>
      <c r="B136" t="s">
        <v>2435</v>
      </c>
      <c r="C136" t="s">
        <v>2588</v>
      </c>
      <c r="D136" t="s">
        <v>7957</v>
      </c>
      <c r="E136" t="s">
        <v>2593</v>
      </c>
      <c r="G136">
        <v>61.13</v>
      </c>
      <c r="I136">
        <v>506.31</v>
      </c>
    </row>
    <row r="137" spans="1:9" ht="15" customHeight="1" x14ac:dyDescent="0.2">
      <c r="A137" s="420">
        <v>46023</v>
      </c>
      <c r="B137" t="s">
        <v>2435</v>
      </c>
      <c r="C137" t="s">
        <v>2588</v>
      </c>
      <c r="D137" t="s">
        <v>7957</v>
      </c>
      <c r="E137" t="s">
        <v>2592</v>
      </c>
      <c r="G137">
        <v>47.98</v>
      </c>
      <c r="I137">
        <v>554.29</v>
      </c>
    </row>
    <row r="138" spans="1:9" ht="15" customHeight="1" x14ac:dyDescent="0.2">
      <c r="A138" s="420">
        <v>46023</v>
      </c>
      <c r="B138" t="s">
        <v>2435</v>
      </c>
      <c r="C138" t="s">
        <v>2588</v>
      </c>
      <c r="D138" t="s">
        <v>7957</v>
      </c>
      <c r="E138" t="s">
        <v>2591</v>
      </c>
      <c r="G138">
        <v>66.37</v>
      </c>
      <c r="I138">
        <v>620.66</v>
      </c>
    </row>
    <row r="139" spans="1:9" ht="15" customHeight="1" x14ac:dyDescent="0.2">
      <c r="A139" s="420">
        <v>46023</v>
      </c>
      <c r="B139" t="s">
        <v>2435</v>
      </c>
      <c r="C139" t="s">
        <v>2588</v>
      </c>
      <c r="D139" t="s">
        <v>7957</v>
      </c>
      <c r="E139" t="s">
        <v>2591</v>
      </c>
      <c r="G139">
        <v>66.87</v>
      </c>
      <c r="I139">
        <v>687.53</v>
      </c>
    </row>
    <row r="140" spans="1:9" ht="15" customHeight="1" x14ac:dyDescent="0.2">
      <c r="A140" s="420">
        <v>46023</v>
      </c>
      <c r="B140" t="s">
        <v>2435</v>
      </c>
      <c r="C140" t="s">
        <v>2588</v>
      </c>
      <c r="D140" t="s">
        <v>7957</v>
      </c>
      <c r="E140" t="s">
        <v>2590</v>
      </c>
      <c r="G140">
        <v>671.47</v>
      </c>
      <c r="I140">
        <v>1359</v>
      </c>
    </row>
    <row r="141" spans="1:9" ht="15" customHeight="1" x14ac:dyDescent="0.2">
      <c r="A141" s="420">
        <v>46023</v>
      </c>
      <c r="B141" t="s">
        <v>2435</v>
      </c>
      <c r="C141" t="s">
        <v>2588</v>
      </c>
      <c r="D141" t="s">
        <v>7957</v>
      </c>
      <c r="E141" t="s">
        <v>2598</v>
      </c>
      <c r="G141">
        <v>237.44</v>
      </c>
      <c r="I141">
        <v>1596.44</v>
      </c>
    </row>
    <row r="142" spans="1:9" ht="15" customHeight="1" x14ac:dyDescent="0.2">
      <c r="A142" s="420">
        <v>46023</v>
      </c>
      <c r="B142" t="s">
        <v>2435</v>
      </c>
      <c r="C142" t="s">
        <v>2588</v>
      </c>
      <c r="D142" t="s">
        <v>7957</v>
      </c>
      <c r="E142" t="s">
        <v>2597</v>
      </c>
      <c r="G142">
        <v>21.65</v>
      </c>
      <c r="I142">
        <v>1618.09</v>
      </c>
    </row>
    <row r="143" spans="1:9" ht="15" customHeight="1" x14ac:dyDescent="0.2">
      <c r="A143" s="420">
        <v>46023</v>
      </c>
      <c r="B143" t="s">
        <v>2435</v>
      </c>
      <c r="C143" t="s">
        <v>2588</v>
      </c>
      <c r="D143" t="s">
        <v>7957</v>
      </c>
      <c r="E143" t="s">
        <v>2596</v>
      </c>
      <c r="G143">
        <v>49.74</v>
      </c>
      <c r="I143">
        <v>1667.83</v>
      </c>
    </row>
    <row r="144" spans="1:9" ht="15" customHeight="1" x14ac:dyDescent="0.2">
      <c r="A144" s="420">
        <v>46023</v>
      </c>
      <c r="B144" t="s">
        <v>2435</v>
      </c>
      <c r="C144" t="s">
        <v>2588</v>
      </c>
      <c r="D144" t="s">
        <v>7957</v>
      </c>
      <c r="E144" t="s">
        <v>2592</v>
      </c>
      <c r="G144">
        <v>55.45</v>
      </c>
      <c r="I144">
        <v>1723.28</v>
      </c>
    </row>
    <row r="145" spans="1:10" ht="15" customHeight="1" x14ac:dyDescent="0.2">
      <c r="A145" s="420">
        <v>46023</v>
      </c>
      <c r="B145" t="s">
        <v>2435</v>
      </c>
      <c r="C145" t="s">
        <v>2588</v>
      </c>
      <c r="D145" t="s">
        <v>7957</v>
      </c>
      <c r="E145" t="s">
        <v>643</v>
      </c>
      <c r="G145">
        <v>64.56</v>
      </c>
      <c r="I145">
        <v>1787.84</v>
      </c>
    </row>
    <row r="146" spans="1:10" ht="15" customHeight="1" x14ac:dyDescent="0.2">
      <c r="A146" s="420">
        <v>46023</v>
      </c>
      <c r="B146" t="s">
        <v>2435</v>
      </c>
      <c r="C146" t="s">
        <v>2588</v>
      </c>
      <c r="D146" t="s">
        <v>7957</v>
      </c>
      <c r="E146" t="s">
        <v>641</v>
      </c>
      <c r="G146">
        <v>66.87</v>
      </c>
      <c r="I146">
        <v>1854.71</v>
      </c>
    </row>
    <row r="147" spans="1:10" ht="15" customHeight="1" x14ac:dyDescent="0.2">
      <c r="A147" s="420">
        <v>46023</v>
      </c>
      <c r="B147" t="s">
        <v>2435</v>
      </c>
      <c r="C147" t="s">
        <v>2588</v>
      </c>
      <c r="D147" t="s">
        <v>7957</v>
      </c>
      <c r="E147" t="s">
        <v>641</v>
      </c>
      <c r="G147">
        <v>66.37</v>
      </c>
      <c r="I147">
        <v>1921.08</v>
      </c>
    </row>
    <row r="148" spans="1:10" ht="15" customHeight="1" x14ac:dyDescent="0.2">
      <c r="A148" s="420">
        <v>46023</v>
      </c>
      <c r="B148" t="s">
        <v>2435</v>
      </c>
      <c r="C148" t="s">
        <v>2588</v>
      </c>
      <c r="D148" t="s">
        <v>7957</v>
      </c>
      <c r="E148" t="s">
        <v>637</v>
      </c>
      <c r="G148">
        <v>47.98</v>
      </c>
      <c r="I148">
        <v>1969.06</v>
      </c>
    </row>
    <row r="149" spans="1:10" ht="15" customHeight="1" x14ac:dyDescent="0.2">
      <c r="A149" s="420">
        <v>46023</v>
      </c>
      <c r="B149" t="s">
        <v>2435</v>
      </c>
      <c r="C149" t="s">
        <v>2588</v>
      </c>
      <c r="D149" t="s">
        <v>7957</v>
      </c>
      <c r="E149" t="s">
        <v>640</v>
      </c>
      <c r="G149">
        <v>61.13</v>
      </c>
      <c r="I149">
        <v>2030.19</v>
      </c>
    </row>
    <row r="150" spans="1:10" ht="15" customHeight="1" x14ac:dyDescent="0.2">
      <c r="A150" s="420">
        <v>46023</v>
      </c>
      <c r="B150" t="s">
        <v>2435</v>
      </c>
      <c r="C150" t="s">
        <v>2588</v>
      </c>
      <c r="D150" t="s">
        <v>7957</v>
      </c>
      <c r="E150" t="s">
        <v>639</v>
      </c>
      <c r="G150">
        <v>29.15</v>
      </c>
      <c r="I150">
        <v>2059.34</v>
      </c>
    </row>
    <row r="151" spans="1:10" ht="15" customHeight="1" x14ac:dyDescent="0.2">
      <c r="A151" s="420">
        <v>46023</v>
      </c>
      <c r="B151" t="s">
        <v>2435</v>
      </c>
      <c r="C151" t="s">
        <v>2588</v>
      </c>
      <c r="D151" t="s">
        <v>7957</v>
      </c>
      <c r="E151" t="s">
        <v>646</v>
      </c>
      <c r="G151">
        <v>94.29</v>
      </c>
      <c r="I151">
        <v>2153.63</v>
      </c>
    </row>
    <row r="152" spans="1:10" ht="15" customHeight="1" x14ac:dyDescent="0.2">
      <c r="A152" s="420">
        <v>46023</v>
      </c>
      <c r="B152" t="s">
        <v>2435</v>
      </c>
      <c r="C152" t="s">
        <v>2588</v>
      </c>
      <c r="D152" t="s">
        <v>7957</v>
      </c>
      <c r="E152" t="s">
        <v>2552</v>
      </c>
      <c r="F152">
        <v>190.64</v>
      </c>
      <c r="I152">
        <v>1962.99</v>
      </c>
    </row>
    <row r="153" spans="1:10" ht="15" customHeight="1" x14ac:dyDescent="0.2">
      <c r="A153" t="s">
        <v>2588</v>
      </c>
      <c r="E153" t="s">
        <v>349</v>
      </c>
      <c r="F153">
        <v>190.64</v>
      </c>
      <c r="G153">
        <v>2153.63</v>
      </c>
      <c r="I153">
        <v>1962.99</v>
      </c>
    </row>
    <row r="155" spans="1:10" ht="15" customHeight="1" x14ac:dyDescent="0.2">
      <c r="A155" t="s">
        <v>2666</v>
      </c>
      <c r="B155" t="s">
        <v>2667</v>
      </c>
      <c r="F155" t="s">
        <v>2430</v>
      </c>
      <c r="G155" t="s">
        <v>2431</v>
      </c>
      <c r="H155" t="s">
        <v>2432</v>
      </c>
      <c r="I155" t="s">
        <v>2433</v>
      </c>
      <c r="J155" t="s">
        <v>2434</v>
      </c>
    </row>
    <row r="156" spans="1:10" ht="15" customHeight="1" x14ac:dyDescent="0.2">
      <c r="A156" s="420">
        <v>46112</v>
      </c>
      <c r="B156" t="s">
        <v>2532</v>
      </c>
      <c r="C156" t="s">
        <v>2666</v>
      </c>
      <c r="D156" t="s">
        <v>7974</v>
      </c>
      <c r="E156" t="s">
        <v>2103</v>
      </c>
      <c r="G156">
        <v>710.4</v>
      </c>
      <c r="I156">
        <v>710.4</v>
      </c>
    </row>
    <row r="157" spans="1:10" ht="15" customHeight="1" x14ac:dyDescent="0.2">
      <c r="A157" s="420">
        <v>46112</v>
      </c>
      <c r="B157" t="s">
        <v>2532</v>
      </c>
      <c r="C157" t="s">
        <v>2666</v>
      </c>
      <c r="D157" t="s">
        <v>7975</v>
      </c>
      <c r="E157" t="s">
        <v>2104</v>
      </c>
      <c r="G157">
        <v>528.72</v>
      </c>
      <c r="I157">
        <v>1239.1199999999999</v>
      </c>
    </row>
    <row r="158" spans="1:10" ht="15" customHeight="1" x14ac:dyDescent="0.2">
      <c r="A158" t="s">
        <v>2666</v>
      </c>
      <c r="E158" t="s">
        <v>349</v>
      </c>
      <c r="G158">
        <v>1239.1199999999999</v>
      </c>
      <c r="I158">
        <v>1239.1199999999999</v>
      </c>
    </row>
    <row r="160" spans="1:10" ht="15" customHeight="1" x14ac:dyDescent="0.2">
      <c r="A160" t="s">
        <v>2798</v>
      </c>
      <c r="B160" t="s">
        <v>1381</v>
      </c>
      <c r="F160" t="s">
        <v>2430</v>
      </c>
      <c r="G160" t="s">
        <v>2431</v>
      </c>
      <c r="H160" t="s">
        <v>2432</v>
      </c>
      <c r="I160" t="s">
        <v>2433</v>
      </c>
      <c r="J160" t="s">
        <v>2434</v>
      </c>
    </row>
    <row r="161" spans="1:10" ht="15" customHeight="1" x14ac:dyDescent="0.2">
      <c r="A161" s="420">
        <v>46062</v>
      </c>
      <c r="B161" t="s">
        <v>2532</v>
      </c>
      <c r="C161" t="s">
        <v>2798</v>
      </c>
      <c r="D161" t="s">
        <v>7976</v>
      </c>
      <c r="E161" t="s">
        <v>2131</v>
      </c>
      <c r="G161">
        <v>0.99</v>
      </c>
      <c r="I161">
        <v>0.99</v>
      </c>
    </row>
    <row r="162" spans="1:10" ht="15" customHeight="1" x14ac:dyDescent="0.2">
      <c r="A162" t="s">
        <v>2798</v>
      </c>
      <c r="E162" t="s">
        <v>349</v>
      </c>
      <c r="G162">
        <v>0.99</v>
      </c>
      <c r="I162">
        <v>0.99</v>
      </c>
    </row>
    <row r="164" spans="1:10" ht="15" customHeight="1" x14ac:dyDescent="0.2">
      <c r="A164" t="s">
        <v>7977</v>
      </c>
      <c r="B164" t="s">
        <v>7978</v>
      </c>
      <c r="F164" t="s">
        <v>2430</v>
      </c>
      <c r="G164" t="s">
        <v>2431</v>
      </c>
      <c r="H164" t="s">
        <v>2432</v>
      </c>
      <c r="I164" t="s">
        <v>2433</v>
      </c>
      <c r="J164" t="s">
        <v>2434</v>
      </c>
    </row>
    <row r="165" spans="1:10" ht="15" customHeight="1" x14ac:dyDescent="0.2">
      <c r="A165" s="420">
        <v>46077</v>
      </c>
      <c r="B165" t="s">
        <v>2517</v>
      </c>
      <c r="C165" t="s">
        <v>7977</v>
      </c>
      <c r="D165" t="s">
        <v>7979</v>
      </c>
      <c r="E165" t="s">
        <v>7980</v>
      </c>
      <c r="G165">
        <v>16.260000000000002</v>
      </c>
      <c r="I165">
        <v>16.260000000000002</v>
      </c>
    </row>
    <row r="166" spans="1:10" ht="15" customHeight="1" x14ac:dyDescent="0.2">
      <c r="A166" s="420">
        <v>46107</v>
      </c>
      <c r="B166" t="s">
        <v>2532</v>
      </c>
      <c r="C166" t="s">
        <v>7977</v>
      </c>
      <c r="D166" t="s">
        <v>7981</v>
      </c>
      <c r="E166" t="s">
        <v>2247</v>
      </c>
      <c r="G166">
        <v>92.59</v>
      </c>
      <c r="I166">
        <v>108.85</v>
      </c>
    </row>
    <row r="167" spans="1:10" ht="15" customHeight="1" x14ac:dyDescent="0.2">
      <c r="A167" s="420">
        <v>46108</v>
      </c>
      <c r="B167" t="s">
        <v>2333</v>
      </c>
      <c r="C167" t="s">
        <v>7977</v>
      </c>
      <c r="D167" t="s">
        <v>7982</v>
      </c>
      <c r="E167" t="s">
        <v>7983</v>
      </c>
      <c r="F167">
        <v>90.72</v>
      </c>
      <c r="I167">
        <v>18.13</v>
      </c>
    </row>
    <row r="168" spans="1:10" ht="15" customHeight="1" x14ac:dyDescent="0.2">
      <c r="A168" t="s">
        <v>7977</v>
      </c>
      <c r="E168" t="s">
        <v>349</v>
      </c>
      <c r="F168">
        <v>90.72</v>
      </c>
      <c r="G168">
        <v>108.85</v>
      </c>
      <c r="I168">
        <v>18.13</v>
      </c>
    </row>
    <row r="170" spans="1:10" ht="15" customHeight="1" x14ac:dyDescent="0.2">
      <c r="A170" t="s">
        <v>3157</v>
      </c>
      <c r="B170" t="s">
        <v>1377</v>
      </c>
      <c r="F170" t="s">
        <v>2430</v>
      </c>
      <c r="G170" t="s">
        <v>2431</v>
      </c>
      <c r="H170" t="s">
        <v>2432</v>
      </c>
      <c r="I170" t="s">
        <v>2433</v>
      </c>
      <c r="J170" t="s">
        <v>2434</v>
      </c>
    </row>
    <row r="171" spans="1:10" ht="15" customHeight="1" x14ac:dyDescent="0.2">
      <c r="A171" s="420">
        <v>46112</v>
      </c>
      <c r="B171" t="s">
        <v>2532</v>
      </c>
      <c r="C171" t="s">
        <v>3157</v>
      </c>
      <c r="D171" t="s">
        <v>7984</v>
      </c>
      <c r="E171" t="s">
        <v>2147</v>
      </c>
      <c r="G171">
        <v>60</v>
      </c>
      <c r="I171">
        <v>60</v>
      </c>
    </row>
    <row r="172" spans="1:10" ht="15" customHeight="1" x14ac:dyDescent="0.2">
      <c r="A172" t="s">
        <v>3157</v>
      </c>
      <c r="E172" t="s">
        <v>349</v>
      </c>
      <c r="G172">
        <v>60</v>
      </c>
      <c r="I172">
        <v>60</v>
      </c>
    </row>
    <row r="174" spans="1:10" ht="15" customHeight="1" x14ac:dyDescent="0.2">
      <c r="A174" t="s">
        <v>7985</v>
      </c>
      <c r="B174" t="s">
        <v>7986</v>
      </c>
      <c r="F174" t="s">
        <v>2430</v>
      </c>
      <c r="G174" t="s">
        <v>2431</v>
      </c>
      <c r="H174" t="s">
        <v>2432</v>
      </c>
      <c r="I174" t="s">
        <v>2433</v>
      </c>
      <c r="J174" t="s">
        <v>2434</v>
      </c>
    </row>
    <row r="175" spans="1:10" ht="15" customHeight="1" x14ac:dyDescent="0.2">
      <c r="A175" s="420">
        <v>46077</v>
      </c>
      <c r="B175" t="s">
        <v>2532</v>
      </c>
      <c r="C175" t="s">
        <v>7985</v>
      </c>
      <c r="D175" t="s">
        <v>7987</v>
      </c>
      <c r="E175" t="s">
        <v>2054</v>
      </c>
      <c r="G175">
        <v>1280.02</v>
      </c>
      <c r="I175">
        <v>1280.02</v>
      </c>
    </row>
    <row r="176" spans="1:10" ht="15" customHeight="1" x14ac:dyDescent="0.2">
      <c r="A176" t="s">
        <v>7985</v>
      </c>
      <c r="E176" t="s">
        <v>349</v>
      </c>
      <c r="G176">
        <v>1280.02</v>
      </c>
      <c r="I176">
        <v>1280.02</v>
      </c>
    </row>
    <row r="178" spans="1:10" ht="15" customHeight="1" x14ac:dyDescent="0.2">
      <c r="A178" t="s">
        <v>3193</v>
      </c>
      <c r="B178" t="s">
        <v>737</v>
      </c>
      <c r="F178" t="s">
        <v>2430</v>
      </c>
      <c r="G178" t="s">
        <v>2431</v>
      </c>
      <c r="H178" t="s">
        <v>2432</v>
      </c>
      <c r="I178" t="s">
        <v>2433</v>
      </c>
      <c r="J178" t="s">
        <v>2434</v>
      </c>
    </row>
    <row r="179" spans="1:10" ht="15" customHeight="1" x14ac:dyDescent="0.2">
      <c r="A179" s="420">
        <v>46023</v>
      </c>
      <c r="B179" t="s">
        <v>2435</v>
      </c>
      <c r="C179" t="s">
        <v>3193</v>
      </c>
      <c r="D179" t="s">
        <v>7957</v>
      </c>
      <c r="E179" t="s">
        <v>3354</v>
      </c>
      <c r="G179">
        <v>10013.450000000001</v>
      </c>
      <c r="I179">
        <v>10013.450000000001</v>
      </c>
    </row>
    <row r="180" spans="1:10" ht="15" customHeight="1" x14ac:dyDescent="0.2">
      <c r="A180" s="420">
        <v>46023</v>
      </c>
      <c r="B180" t="s">
        <v>2435</v>
      </c>
      <c r="C180" t="s">
        <v>3193</v>
      </c>
      <c r="D180" t="s">
        <v>7957</v>
      </c>
      <c r="E180" t="s">
        <v>3327</v>
      </c>
      <c r="G180">
        <v>10045.200000000001</v>
      </c>
      <c r="I180">
        <v>20058.650000000001</v>
      </c>
    </row>
    <row r="181" spans="1:10" ht="15" customHeight="1" x14ac:dyDescent="0.2">
      <c r="A181" s="420">
        <v>46023</v>
      </c>
      <c r="B181" t="s">
        <v>2435</v>
      </c>
      <c r="C181" t="s">
        <v>3193</v>
      </c>
      <c r="D181" t="s">
        <v>7957</v>
      </c>
      <c r="E181" t="s">
        <v>3338</v>
      </c>
      <c r="G181">
        <v>8432.2999999999993</v>
      </c>
      <c r="I181">
        <v>28490.95</v>
      </c>
    </row>
    <row r="182" spans="1:10" ht="15" customHeight="1" x14ac:dyDescent="0.2">
      <c r="A182" s="420">
        <v>46023</v>
      </c>
      <c r="B182" t="s">
        <v>2435</v>
      </c>
      <c r="C182" t="s">
        <v>3193</v>
      </c>
      <c r="D182" t="s">
        <v>7957</v>
      </c>
      <c r="E182" t="s">
        <v>3300</v>
      </c>
      <c r="G182">
        <v>9124.4500000000007</v>
      </c>
      <c r="I182">
        <v>37615.4</v>
      </c>
    </row>
    <row r="183" spans="1:10" ht="15" customHeight="1" x14ac:dyDescent="0.2">
      <c r="A183" s="420">
        <v>46023</v>
      </c>
      <c r="B183" t="s">
        <v>2435</v>
      </c>
      <c r="C183" t="s">
        <v>3193</v>
      </c>
      <c r="D183" t="s">
        <v>7957</v>
      </c>
      <c r="E183" t="s">
        <v>3294</v>
      </c>
      <c r="G183">
        <v>10426.200000000001</v>
      </c>
      <c r="I183">
        <v>48041.599999999999</v>
      </c>
    </row>
    <row r="184" spans="1:10" ht="15" customHeight="1" x14ac:dyDescent="0.2">
      <c r="A184" s="420">
        <v>46023</v>
      </c>
      <c r="B184" t="s">
        <v>2435</v>
      </c>
      <c r="C184" t="s">
        <v>3193</v>
      </c>
      <c r="D184" t="s">
        <v>7957</v>
      </c>
      <c r="E184" t="s">
        <v>3356</v>
      </c>
      <c r="G184">
        <v>11047.8</v>
      </c>
      <c r="I184">
        <v>59089.4</v>
      </c>
    </row>
    <row r="185" spans="1:10" ht="15" customHeight="1" x14ac:dyDescent="0.2">
      <c r="A185" s="420">
        <v>46023</v>
      </c>
      <c r="B185" t="s">
        <v>2435</v>
      </c>
      <c r="C185" t="s">
        <v>3193</v>
      </c>
      <c r="D185" t="s">
        <v>7957</v>
      </c>
      <c r="E185" t="s">
        <v>3352</v>
      </c>
      <c r="G185">
        <v>9924.5499999999993</v>
      </c>
      <c r="I185">
        <v>69013.95</v>
      </c>
    </row>
    <row r="186" spans="1:10" ht="15" customHeight="1" x14ac:dyDescent="0.2">
      <c r="A186" s="420">
        <v>46023</v>
      </c>
      <c r="B186" t="s">
        <v>2435</v>
      </c>
      <c r="C186" t="s">
        <v>3193</v>
      </c>
      <c r="D186" t="s">
        <v>7957</v>
      </c>
      <c r="E186" t="s">
        <v>3346</v>
      </c>
      <c r="G186">
        <v>11505.7</v>
      </c>
      <c r="I186">
        <v>80519.649999999994</v>
      </c>
    </row>
    <row r="187" spans="1:10" ht="15" customHeight="1" x14ac:dyDescent="0.2">
      <c r="A187" s="420">
        <v>46034</v>
      </c>
      <c r="B187" t="s">
        <v>2547</v>
      </c>
      <c r="C187" t="s">
        <v>3193</v>
      </c>
      <c r="D187" t="s">
        <v>7988</v>
      </c>
      <c r="E187" t="s">
        <v>7989</v>
      </c>
      <c r="G187">
        <v>8161.74</v>
      </c>
      <c r="I187">
        <v>88681.39</v>
      </c>
    </row>
    <row r="188" spans="1:10" ht="15" customHeight="1" x14ac:dyDescent="0.2">
      <c r="A188" s="420">
        <v>46035</v>
      </c>
      <c r="B188" t="s">
        <v>2547</v>
      </c>
      <c r="C188" t="s">
        <v>3193</v>
      </c>
      <c r="D188" t="s">
        <v>7990</v>
      </c>
      <c r="E188" t="s">
        <v>7991</v>
      </c>
      <c r="G188">
        <v>8679.25</v>
      </c>
      <c r="I188">
        <v>97360.639999999999</v>
      </c>
    </row>
    <row r="189" spans="1:10" ht="15" customHeight="1" x14ac:dyDescent="0.2">
      <c r="A189" t="s">
        <v>3193</v>
      </c>
      <c r="E189" t="s">
        <v>349</v>
      </c>
      <c r="G189">
        <v>97360.639999999999</v>
      </c>
      <c r="I189">
        <v>97360.639999999999</v>
      </c>
    </row>
    <row r="191" spans="1:10" ht="15" customHeight="1" x14ac:dyDescent="0.2">
      <c r="A191" t="s">
        <v>3389</v>
      </c>
      <c r="B191" t="s">
        <v>3390</v>
      </c>
      <c r="F191" t="s">
        <v>2430</v>
      </c>
      <c r="G191" t="s">
        <v>2431</v>
      </c>
      <c r="H191" t="s">
        <v>2432</v>
      </c>
      <c r="I191" t="s">
        <v>2433</v>
      </c>
      <c r="J191" t="s">
        <v>2434</v>
      </c>
    </row>
    <row r="192" spans="1:10" ht="15" customHeight="1" x14ac:dyDescent="0.2">
      <c r="A192" s="420">
        <v>46023</v>
      </c>
      <c r="B192" t="s">
        <v>2435</v>
      </c>
      <c r="C192" t="s">
        <v>3389</v>
      </c>
      <c r="D192" t="s">
        <v>7957</v>
      </c>
      <c r="E192" t="s">
        <v>7958</v>
      </c>
      <c r="G192">
        <v>180.64</v>
      </c>
      <c r="I192">
        <v>180.64</v>
      </c>
    </row>
    <row r="193" spans="1:10" ht="15" customHeight="1" x14ac:dyDescent="0.2">
      <c r="A193" s="420">
        <v>46024</v>
      </c>
      <c r="B193" t="s">
        <v>2333</v>
      </c>
      <c r="C193" t="s">
        <v>3389</v>
      </c>
      <c r="D193" t="s">
        <v>7992</v>
      </c>
      <c r="E193" t="s">
        <v>7993</v>
      </c>
      <c r="F193">
        <v>22.58</v>
      </c>
      <c r="I193">
        <v>158.06</v>
      </c>
    </row>
    <row r="194" spans="1:10" ht="15" customHeight="1" x14ac:dyDescent="0.2">
      <c r="A194" s="420">
        <v>46055</v>
      </c>
      <c r="B194" t="s">
        <v>2333</v>
      </c>
      <c r="C194" t="s">
        <v>3389</v>
      </c>
      <c r="D194" t="s">
        <v>7994</v>
      </c>
      <c r="E194" t="s">
        <v>7995</v>
      </c>
      <c r="F194">
        <v>22.58</v>
      </c>
      <c r="I194">
        <v>135.47999999999999</v>
      </c>
    </row>
    <row r="195" spans="1:10" ht="15" customHeight="1" x14ac:dyDescent="0.2">
      <c r="A195" s="420">
        <v>46083</v>
      </c>
      <c r="B195" t="s">
        <v>2333</v>
      </c>
      <c r="C195" t="s">
        <v>3389</v>
      </c>
      <c r="D195" t="s">
        <v>7996</v>
      </c>
      <c r="E195" t="s">
        <v>7997</v>
      </c>
      <c r="F195">
        <v>22.58</v>
      </c>
      <c r="I195">
        <v>112.9</v>
      </c>
    </row>
    <row r="196" spans="1:10" ht="15" customHeight="1" x14ac:dyDescent="0.2">
      <c r="A196" t="s">
        <v>3389</v>
      </c>
      <c r="E196" t="s">
        <v>349</v>
      </c>
      <c r="F196">
        <v>67.739999999999995</v>
      </c>
      <c r="G196">
        <v>180.64</v>
      </c>
      <c r="I196">
        <v>112.9</v>
      </c>
    </row>
    <row r="198" spans="1:10" ht="15" customHeight="1" x14ac:dyDescent="0.2">
      <c r="A198" t="s">
        <v>4166</v>
      </c>
      <c r="B198" t="s">
        <v>1111</v>
      </c>
      <c r="F198" t="s">
        <v>2430</v>
      </c>
      <c r="G198" t="s">
        <v>2431</v>
      </c>
      <c r="H198" t="s">
        <v>2432</v>
      </c>
      <c r="I198" t="s">
        <v>2433</v>
      </c>
      <c r="J198" t="s">
        <v>2434</v>
      </c>
    </row>
    <row r="199" spans="1:10" ht="15" customHeight="1" x14ac:dyDescent="0.2">
      <c r="A199" s="420">
        <v>46023</v>
      </c>
      <c r="B199" t="s">
        <v>2435</v>
      </c>
      <c r="C199" t="s">
        <v>4166</v>
      </c>
      <c r="D199" t="s">
        <v>7957</v>
      </c>
      <c r="E199" t="s">
        <v>2007</v>
      </c>
      <c r="G199">
        <v>226.56</v>
      </c>
      <c r="I199">
        <v>226.56</v>
      </c>
    </row>
    <row r="200" spans="1:10" ht="15" customHeight="1" x14ac:dyDescent="0.2">
      <c r="A200" s="420">
        <v>46111</v>
      </c>
      <c r="B200" t="s">
        <v>2333</v>
      </c>
      <c r="C200" t="s">
        <v>4166</v>
      </c>
      <c r="D200" t="s">
        <v>7998</v>
      </c>
      <c r="E200" t="s">
        <v>7999</v>
      </c>
      <c r="F200">
        <v>4183.6000000000004</v>
      </c>
      <c r="H200">
        <v>3957.04</v>
      </c>
    </row>
    <row r="201" spans="1:10" ht="15" customHeight="1" x14ac:dyDescent="0.2">
      <c r="A201" t="s">
        <v>4166</v>
      </c>
      <c r="E201" t="s">
        <v>349</v>
      </c>
      <c r="F201">
        <v>4183.6000000000004</v>
      </c>
      <c r="G201">
        <v>226.56</v>
      </c>
      <c r="H201">
        <v>3957.04</v>
      </c>
    </row>
    <row r="203" spans="1:10" ht="15" customHeight="1" x14ac:dyDescent="0.2">
      <c r="A203" t="s">
        <v>4531</v>
      </c>
      <c r="B203" t="s">
        <v>4532</v>
      </c>
      <c r="F203" t="s">
        <v>2430</v>
      </c>
      <c r="G203" t="s">
        <v>2431</v>
      </c>
      <c r="H203" t="s">
        <v>2432</v>
      </c>
      <c r="I203" t="s">
        <v>2433</v>
      </c>
      <c r="J203" t="s">
        <v>2434</v>
      </c>
    </row>
    <row r="204" spans="1:10" ht="15" customHeight="1" x14ac:dyDescent="0.2">
      <c r="A204" s="420">
        <v>46083</v>
      </c>
      <c r="B204" t="s">
        <v>2439</v>
      </c>
      <c r="C204" t="s">
        <v>4531</v>
      </c>
      <c r="D204" t="s">
        <v>8000</v>
      </c>
      <c r="E204" t="s">
        <v>8001</v>
      </c>
      <c r="F204">
        <v>7828.15</v>
      </c>
      <c r="H204">
        <v>7828.15</v>
      </c>
    </row>
    <row r="205" spans="1:10" ht="15" customHeight="1" x14ac:dyDescent="0.2">
      <c r="A205" s="420">
        <v>46083</v>
      </c>
      <c r="B205" t="s">
        <v>2439</v>
      </c>
      <c r="C205" t="s">
        <v>4531</v>
      </c>
      <c r="D205" t="s">
        <v>8002</v>
      </c>
      <c r="E205" t="s">
        <v>8003</v>
      </c>
      <c r="F205">
        <v>78867.86</v>
      </c>
      <c r="H205">
        <v>86696.01</v>
      </c>
    </row>
    <row r="206" spans="1:10" ht="15" customHeight="1" x14ac:dyDescent="0.2">
      <c r="A206" t="s">
        <v>4531</v>
      </c>
      <c r="E206" t="s">
        <v>349</v>
      </c>
      <c r="F206">
        <v>86696.01</v>
      </c>
      <c r="H206">
        <v>86696.01</v>
      </c>
    </row>
    <row r="208" spans="1:10" ht="15" customHeight="1" x14ac:dyDescent="0.2">
      <c r="A208" t="s">
        <v>4539</v>
      </c>
      <c r="B208" t="s">
        <v>4540</v>
      </c>
      <c r="F208" t="s">
        <v>2430</v>
      </c>
      <c r="G208" t="s">
        <v>2431</v>
      </c>
      <c r="H208" t="s">
        <v>2432</v>
      </c>
      <c r="I208" t="s">
        <v>2433</v>
      </c>
      <c r="J208" t="s">
        <v>2434</v>
      </c>
    </row>
    <row r="209" spans="1:10" ht="15" customHeight="1" x14ac:dyDescent="0.2">
      <c r="A209" s="420">
        <v>46023</v>
      </c>
      <c r="B209" t="s">
        <v>2435</v>
      </c>
      <c r="C209" t="s">
        <v>4539</v>
      </c>
      <c r="D209" t="s">
        <v>7957</v>
      </c>
      <c r="E209" t="s">
        <v>4542</v>
      </c>
      <c r="G209">
        <v>3545.72</v>
      </c>
      <c r="I209">
        <v>3545.72</v>
      </c>
    </row>
    <row r="210" spans="1:10" ht="15" customHeight="1" x14ac:dyDescent="0.2">
      <c r="A210" s="420">
        <v>46042</v>
      </c>
      <c r="B210" t="s">
        <v>2532</v>
      </c>
      <c r="C210" t="s">
        <v>4539</v>
      </c>
      <c r="D210" t="s">
        <v>8004</v>
      </c>
      <c r="E210" t="s">
        <v>8005</v>
      </c>
      <c r="G210">
        <v>7828.15</v>
      </c>
      <c r="I210">
        <v>11373.87</v>
      </c>
    </row>
    <row r="211" spans="1:10" ht="15" customHeight="1" x14ac:dyDescent="0.2">
      <c r="A211" s="420">
        <v>46042</v>
      </c>
      <c r="B211" t="s">
        <v>2532</v>
      </c>
      <c r="C211" t="s">
        <v>4539</v>
      </c>
      <c r="D211" t="s">
        <v>8006</v>
      </c>
      <c r="E211" t="s">
        <v>8007</v>
      </c>
      <c r="G211">
        <v>71597.62</v>
      </c>
      <c r="I211">
        <v>82971.490000000005</v>
      </c>
    </row>
    <row r="212" spans="1:10" ht="15" customHeight="1" x14ac:dyDescent="0.2">
      <c r="A212" t="s">
        <v>4539</v>
      </c>
      <c r="E212" t="s">
        <v>349</v>
      </c>
      <c r="G212">
        <v>82971.490000000005</v>
      </c>
      <c r="I212">
        <v>82971.490000000005</v>
      </c>
    </row>
    <row r="214" spans="1:10" ht="15" customHeight="1" x14ac:dyDescent="0.2">
      <c r="A214" t="s">
        <v>4570</v>
      </c>
      <c r="B214" t="s">
        <v>4571</v>
      </c>
      <c r="F214" t="s">
        <v>2430</v>
      </c>
      <c r="G214" t="s">
        <v>2431</v>
      </c>
      <c r="H214" t="s">
        <v>2432</v>
      </c>
      <c r="I214" t="s">
        <v>2433</v>
      </c>
      <c r="J214" t="s">
        <v>2434</v>
      </c>
    </row>
    <row r="215" spans="1:10" ht="15" customHeight="1" x14ac:dyDescent="0.2">
      <c r="A215" s="420">
        <v>46023</v>
      </c>
      <c r="B215" t="s">
        <v>2435</v>
      </c>
      <c r="C215" t="s">
        <v>4570</v>
      </c>
      <c r="D215" t="s">
        <v>7957</v>
      </c>
      <c r="E215" t="s">
        <v>4575</v>
      </c>
      <c r="G215">
        <v>3367.96</v>
      </c>
      <c r="I215">
        <v>3367.96</v>
      </c>
    </row>
    <row r="216" spans="1:10" ht="15" customHeight="1" x14ac:dyDescent="0.2">
      <c r="A216" t="s">
        <v>4570</v>
      </c>
      <c r="E216" t="s">
        <v>349</v>
      </c>
      <c r="G216">
        <v>3367.96</v>
      </c>
      <c r="I216">
        <v>3367.96</v>
      </c>
    </row>
    <row r="218" spans="1:10" ht="15" customHeight="1" x14ac:dyDescent="0.2">
      <c r="A218" t="s">
        <v>4578</v>
      </c>
      <c r="B218" t="s">
        <v>4579</v>
      </c>
      <c r="F218" t="s">
        <v>2430</v>
      </c>
      <c r="G218" t="s">
        <v>2431</v>
      </c>
      <c r="H218" t="s">
        <v>2432</v>
      </c>
      <c r="I218" t="s">
        <v>2433</v>
      </c>
      <c r="J218" t="s">
        <v>2434</v>
      </c>
    </row>
    <row r="219" spans="1:10" ht="15" customHeight="1" x14ac:dyDescent="0.2">
      <c r="A219" s="420">
        <v>46023</v>
      </c>
      <c r="B219" t="s">
        <v>2435</v>
      </c>
      <c r="C219" t="s">
        <v>4578</v>
      </c>
      <c r="D219" t="s">
        <v>7957</v>
      </c>
      <c r="E219" t="s">
        <v>4583</v>
      </c>
      <c r="G219">
        <v>4562.63</v>
      </c>
      <c r="I219">
        <v>4562.63</v>
      </c>
    </row>
    <row r="220" spans="1:10" ht="15" customHeight="1" x14ac:dyDescent="0.2">
      <c r="A220" t="s">
        <v>4578</v>
      </c>
      <c r="E220" t="s">
        <v>349</v>
      </c>
      <c r="G220">
        <v>4562.63</v>
      </c>
      <c r="I220">
        <v>4562.63</v>
      </c>
    </row>
    <row r="222" spans="1:10" ht="15" customHeight="1" x14ac:dyDescent="0.2">
      <c r="A222" t="s">
        <v>4586</v>
      </c>
      <c r="B222" t="s">
        <v>4587</v>
      </c>
      <c r="F222" t="s">
        <v>2430</v>
      </c>
      <c r="G222" t="s">
        <v>2431</v>
      </c>
      <c r="H222" t="s">
        <v>2432</v>
      </c>
      <c r="I222" t="s">
        <v>2433</v>
      </c>
      <c r="J222" t="s">
        <v>2434</v>
      </c>
    </row>
    <row r="223" spans="1:10" ht="15" customHeight="1" x14ac:dyDescent="0.2">
      <c r="A223" s="420">
        <v>46023</v>
      </c>
      <c r="B223" t="s">
        <v>2435</v>
      </c>
      <c r="C223" t="s">
        <v>4586</v>
      </c>
      <c r="D223" t="s">
        <v>7957</v>
      </c>
      <c r="E223" t="s">
        <v>4589</v>
      </c>
      <c r="G223">
        <v>3952.85</v>
      </c>
      <c r="I223">
        <v>3952.85</v>
      </c>
    </row>
    <row r="224" spans="1:10" ht="15" customHeight="1" x14ac:dyDescent="0.2">
      <c r="A224" t="s">
        <v>4586</v>
      </c>
      <c r="E224" t="s">
        <v>349</v>
      </c>
      <c r="G224">
        <v>3952.85</v>
      </c>
      <c r="I224">
        <v>3952.85</v>
      </c>
    </row>
    <row r="226" spans="1:10" ht="15" customHeight="1" x14ac:dyDescent="0.2">
      <c r="A226" t="s">
        <v>4594</v>
      </c>
      <c r="B226" t="s">
        <v>4595</v>
      </c>
      <c r="F226" t="s">
        <v>2430</v>
      </c>
      <c r="G226" t="s">
        <v>2431</v>
      </c>
      <c r="H226" t="s">
        <v>2432</v>
      </c>
      <c r="I226" t="s">
        <v>2433</v>
      </c>
      <c r="J226" t="s">
        <v>2434</v>
      </c>
    </row>
    <row r="227" spans="1:10" ht="15" customHeight="1" x14ac:dyDescent="0.2">
      <c r="A227" s="420">
        <v>46023</v>
      </c>
      <c r="B227" t="s">
        <v>2435</v>
      </c>
      <c r="C227" t="s">
        <v>4594</v>
      </c>
      <c r="D227" t="s">
        <v>7957</v>
      </c>
      <c r="E227" t="s">
        <v>4597</v>
      </c>
      <c r="G227">
        <v>3986.7</v>
      </c>
      <c r="I227">
        <v>3986.7</v>
      </c>
    </row>
    <row r="228" spans="1:10" ht="15" customHeight="1" x14ac:dyDescent="0.2">
      <c r="A228" t="s">
        <v>4594</v>
      </c>
      <c r="E228" t="s">
        <v>349</v>
      </c>
      <c r="G228">
        <v>3986.7</v>
      </c>
      <c r="I228">
        <v>3986.7</v>
      </c>
    </row>
    <row r="230" spans="1:10" ht="15" customHeight="1" x14ac:dyDescent="0.2">
      <c r="A230" t="s">
        <v>4602</v>
      </c>
      <c r="B230" t="s">
        <v>4603</v>
      </c>
      <c r="F230" t="s">
        <v>2430</v>
      </c>
      <c r="G230" t="s">
        <v>2431</v>
      </c>
      <c r="H230" t="s">
        <v>2432</v>
      </c>
      <c r="I230" t="s">
        <v>2433</v>
      </c>
      <c r="J230" t="s">
        <v>2434</v>
      </c>
    </row>
    <row r="231" spans="1:10" ht="15" customHeight="1" x14ac:dyDescent="0.2">
      <c r="A231" s="420">
        <v>46023</v>
      </c>
      <c r="B231" t="s">
        <v>2435</v>
      </c>
      <c r="C231" t="s">
        <v>4602</v>
      </c>
      <c r="D231" t="s">
        <v>7957</v>
      </c>
      <c r="E231" t="s">
        <v>4607</v>
      </c>
      <c r="G231">
        <v>3996.53</v>
      </c>
      <c r="I231">
        <v>3996.53</v>
      </c>
    </row>
    <row r="232" spans="1:10" ht="15" customHeight="1" x14ac:dyDescent="0.2">
      <c r="A232" t="s">
        <v>4602</v>
      </c>
      <c r="E232" t="s">
        <v>349</v>
      </c>
      <c r="G232">
        <v>3996.53</v>
      </c>
      <c r="I232">
        <v>3996.53</v>
      </c>
    </row>
    <row r="234" spans="1:10" ht="15" customHeight="1" x14ac:dyDescent="0.2">
      <c r="A234" t="s">
        <v>4610</v>
      </c>
      <c r="B234" t="s">
        <v>4611</v>
      </c>
      <c r="F234" t="s">
        <v>2430</v>
      </c>
      <c r="G234" t="s">
        <v>2431</v>
      </c>
      <c r="H234" t="s">
        <v>2432</v>
      </c>
      <c r="I234" t="s">
        <v>2433</v>
      </c>
      <c r="J234" t="s">
        <v>2434</v>
      </c>
    </row>
    <row r="235" spans="1:10" ht="15" customHeight="1" x14ac:dyDescent="0.2">
      <c r="A235" s="420">
        <v>46023</v>
      </c>
      <c r="B235" t="s">
        <v>2435</v>
      </c>
      <c r="C235" t="s">
        <v>4610</v>
      </c>
      <c r="D235" t="s">
        <v>7957</v>
      </c>
      <c r="E235" t="s">
        <v>7958</v>
      </c>
      <c r="G235">
        <v>15847.2</v>
      </c>
      <c r="I235">
        <v>15847.2</v>
      </c>
    </row>
    <row r="236" spans="1:10" ht="15" customHeight="1" x14ac:dyDescent="0.2">
      <c r="A236" s="420">
        <v>46028</v>
      </c>
      <c r="B236" t="s">
        <v>2439</v>
      </c>
      <c r="C236" t="s">
        <v>4610</v>
      </c>
      <c r="D236" t="s">
        <v>8008</v>
      </c>
      <c r="E236" t="s">
        <v>8009</v>
      </c>
      <c r="F236">
        <v>11445.2</v>
      </c>
      <c r="I236">
        <v>4402</v>
      </c>
    </row>
    <row r="237" spans="1:10" ht="15" customHeight="1" x14ac:dyDescent="0.2">
      <c r="A237" s="420">
        <v>46034</v>
      </c>
      <c r="B237" t="s">
        <v>2439</v>
      </c>
      <c r="C237" t="s">
        <v>4610</v>
      </c>
      <c r="D237" t="s">
        <v>8010</v>
      </c>
      <c r="E237" t="s">
        <v>8011</v>
      </c>
      <c r="F237">
        <v>6762.8</v>
      </c>
      <c r="H237">
        <v>2360.8000000000002</v>
      </c>
    </row>
    <row r="238" spans="1:10" ht="15" customHeight="1" x14ac:dyDescent="0.2">
      <c r="A238" t="s">
        <v>4610</v>
      </c>
      <c r="E238" t="s">
        <v>349</v>
      </c>
      <c r="F238">
        <v>18208</v>
      </c>
      <c r="G238">
        <v>15847.2</v>
      </c>
      <c r="H238">
        <v>2360.8000000000002</v>
      </c>
    </row>
    <row r="240" spans="1:10" ht="15" customHeight="1" x14ac:dyDescent="0.2">
      <c r="A240" t="s">
        <v>8012</v>
      </c>
      <c r="B240" t="s">
        <v>8013</v>
      </c>
      <c r="F240" t="s">
        <v>2430</v>
      </c>
      <c r="G240" t="s">
        <v>2431</v>
      </c>
      <c r="H240" t="s">
        <v>2432</v>
      </c>
      <c r="I240" t="s">
        <v>2433</v>
      </c>
      <c r="J240" t="s">
        <v>2434</v>
      </c>
    </row>
    <row r="241" spans="1:10" ht="15" customHeight="1" x14ac:dyDescent="0.2">
      <c r="A241" s="420">
        <v>46053</v>
      </c>
      <c r="B241" t="s">
        <v>2532</v>
      </c>
      <c r="C241" t="s">
        <v>8012</v>
      </c>
      <c r="D241" t="s">
        <v>8014</v>
      </c>
      <c r="E241" t="s">
        <v>8015</v>
      </c>
      <c r="G241">
        <v>3492.35</v>
      </c>
      <c r="I241">
        <v>3492.35</v>
      </c>
    </row>
    <row r="242" spans="1:10" ht="15" customHeight="1" x14ac:dyDescent="0.2">
      <c r="A242" t="s">
        <v>8012</v>
      </c>
      <c r="E242" t="s">
        <v>349</v>
      </c>
      <c r="G242">
        <v>3492.35</v>
      </c>
      <c r="I242">
        <v>3492.35</v>
      </c>
    </row>
    <row r="244" spans="1:10" ht="15" customHeight="1" x14ac:dyDescent="0.2">
      <c r="A244" t="s">
        <v>8016</v>
      </c>
      <c r="B244" t="s">
        <v>8017</v>
      </c>
      <c r="F244" t="s">
        <v>2430</v>
      </c>
      <c r="G244" t="s">
        <v>2431</v>
      </c>
      <c r="H244" t="s">
        <v>2432</v>
      </c>
      <c r="I244" t="s">
        <v>2433</v>
      </c>
      <c r="J244" t="s">
        <v>2434</v>
      </c>
    </row>
    <row r="245" spans="1:10" ht="15" customHeight="1" x14ac:dyDescent="0.2">
      <c r="A245" s="420">
        <v>46055</v>
      </c>
      <c r="B245" t="s">
        <v>2532</v>
      </c>
      <c r="C245" t="s">
        <v>8016</v>
      </c>
      <c r="D245" t="s">
        <v>8018</v>
      </c>
      <c r="E245" t="s">
        <v>8019</v>
      </c>
      <c r="G245">
        <v>3560</v>
      </c>
      <c r="I245">
        <v>3560</v>
      </c>
    </row>
    <row r="246" spans="1:10" ht="15" customHeight="1" x14ac:dyDescent="0.2">
      <c r="A246" t="s">
        <v>8016</v>
      </c>
      <c r="E246" t="s">
        <v>349</v>
      </c>
      <c r="G246">
        <v>3560</v>
      </c>
      <c r="I246">
        <v>3560</v>
      </c>
    </row>
    <row r="248" spans="1:10" ht="15" customHeight="1" x14ac:dyDescent="0.2">
      <c r="A248" t="s">
        <v>8020</v>
      </c>
      <c r="B248" t="s">
        <v>8021</v>
      </c>
      <c r="F248" t="s">
        <v>2430</v>
      </c>
      <c r="G248" t="s">
        <v>2431</v>
      </c>
      <c r="H248" t="s">
        <v>2432</v>
      </c>
      <c r="I248" t="s">
        <v>2433</v>
      </c>
      <c r="J248" t="s">
        <v>2434</v>
      </c>
    </row>
    <row r="249" spans="1:10" ht="15" customHeight="1" x14ac:dyDescent="0.2">
      <c r="A249" s="420">
        <v>46055</v>
      </c>
      <c r="B249" t="s">
        <v>2532</v>
      </c>
      <c r="C249" t="s">
        <v>8020</v>
      </c>
      <c r="D249" t="s">
        <v>8022</v>
      </c>
      <c r="E249" t="s">
        <v>8023</v>
      </c>
      <c r="G249">
        <v>2988.62</v>
      </c>
      <c r="I249">
        <v>2988.62</v>
      </c>
    </row>
    <row r="250" spans="1:10" ht="15" customHeight="1" x14ac:dyDescent="0.2">
      <c r="A250" s="420">
        <v>46055</v>
      </c>
      <c r="B250" t="s">
        <v>2532</v>
      </c>
      <c r="C250" t="s">
        <v>8020</v>
      </c>
      <c r="D250" t="s">
        <v>8024</v>
      </c>
      <c r="E250" t="s">
        <v>8025</v>
      </c>
      <c r="G250">
        <v>7770.42</v>
      </c>
      <c r="I250">
        <v>10759.04</v>
      </c>
    </row>
    <row r="251" spans="1:10" ht="15" customHeight="1" x14ac:dyDescent="0.2">
      <c r="A251" s="420">
        <v>46106</v>
      </c>
      <c r="B251" t="s">
        <v>2439</v>
      </c>
      <c r="C251" t="s">
        <v>8020</v>
      </c>
      <c r="D251" t="s">
        <v>8026</v>
      </c>
      <c r="E251" t="s">
        <v>4530</v>
      </c>
      <c r="F251">
        <v>7770.42</v>
      </c>
      <c r="I251">
        <v>2988.62</v>
      </c>
    </row>
    <row r="252" spans="1:10" ht="15" customHeight="1" x14ac:dyDescent="0.2">
      <c r="A252" s="420">
        <v>46111</v>
      </c>
      <c r="B252" t="s">
        <v>2439</v>
      </c>
      <c r="C252" t="s">
        <v>8020</v>
      </c>
      <c r="D252" t="s">
        <v>8008</v>
      </c>
      <c r="E252" t="s">
        <v>8027</v>
      </c>
      <c r="G252">
        <v>4784.08</v>
      </c>
      <c r="I252">
        <v>7772.7</v>
      </c>
    </row>
    <row r="253" spans="1:10" ht="15" customHeight="1" x14ac:dyDescent="0.2">
      <c r="A253" t="s">
        <v>8020</v>
      </c>
      <c r="E253" t="s">
        <v>349</v>
      </c>
      <c r="F253">
        <v>7770.42</v>
      </c>
      <c r="G253">
        <v>15543.12</v>
      </c>
      <c r="I253">
        <v>7772.7</v>
      </c>
    </row>
    <row r="255" spans="1:10" ht="15" customHeight="1" x14ac:dyDescent="0.2">
      <c r="A255" t="s">
        <v>4835</v>
      </c>
      <c r="B255" t="s">
        <v>4836</v>
      </c>
      <c r="F255" t="s">
        <v>2430</v>
      </c>
      <c r="G255" t="s">
        <v>2431</v>
      </c>
      <c r="H255" t="s">
        <v>2432</v>
      </c>
      <c r="I255" t="s">
        <v>2433</v>
      </c>
      <c r="J255" t="s">
        <v>2434</v>
      </c>
    </row>
    <row r="256" spans="1:10" ht="15" customHeight="1" x14ac:dyDescent="0.2">
      <c r="A256" s="420">
        <v>46109</v>
      </c>
      <c r="B256" t="s">
        <v>2333</v>
      </c>
      <c r="C256" t="s">
        <v>4835</v>
      </c>
      <c r="D256" t="s">
        <v>8028</v>
      </c>
      <c r="E256" t="s">
        <v>8029</v>
      </c>
      <c r="F256">
        <v>1000</v>
      </c>
      <c r="H256">
        <v>1000</v>
      </c>
    </row>
    <row r="257" spans="1:10" ht="15" customHeight="1" x14ac:dyDescent="0.2">
      <c r="A257" t="s">
        <v>4835</v>
      </c>
      <c r="E257" t="s">
        <v>349</v>
      </c>
      <c r="F257">
        <v>1000</v>
      </c>
      <c r="H257">
        <v>1000</v>
      </c>
    </row>
    <row r="259" spans="1:10" ht="15" customHeight="1" x14ac:dyDescent="0.2">
      <c r="A259" t="s">
        <v>5021</v>
      </c>
      <c r="B259" t="s">
        <v>5022</v>
      </c>
      <c r="F259" t="s">
        <v>2430</v>
      </c>
      <c r="G259" t="s">
        <v>2431</v>
      </c>
      <c r="H259" t="s">
        <v>2432</v>
      </c>
      <c r="I259" t="s">
        <v>2433</v>
      </c>
      <c r="J259" t="s">
        <v>2434</v>
      </c>
    </row>
    <row r="260" spans="1:10" ht="15" customHeight="1" x14ac:dyDescent="0.2">
      <c r="A260" s="420">
        <v>46091</v>
      </c>
      <c r="B260" t="s">
        <v>2333</v>
      </c>
      <c r="C260" t="s">
        <v>5021</v>
      </c>
      <c r="D260" t="s">
        <v>8030</v>
      </c>
      <c r="E260" t="s">
        <v>8031</v>
      </c>
      <c r="F260">
        <v>187.2</v>
      </c>
      <c r="H260">
        <v>187.2</v>
      </c>
    </row>
    <row r="261" spans="1:10" ht="15" customHeight="1" x14ac:dyDescent="0.2">
      <c r="A261" t="s">
        <v>5021</v>
      </c>
      <c r="E261" t="s">
        <v>349</v>
      </c>
      <c r="F261">
        <v>187.2</v>
      </c>
      <c r="H261">
        <v>187.2</v>
      </c>
    </row>
    <row r="263" spans="1:10" ht="15" customHeight="1" x14ac:dyDescent="0.2">
      <c r="A263" t="s">
        <v>5167</v>
      </c>
      <c r="B263" t="s">
        <v>5168</v>
      </c>
      <c r="F263" t="s">
        <v>2430</v>
      </c>
      <c r="G263" t="s">
        <v>2431</v>
      </c>
      <c r="H263" t="s">
        <v>2432</v>
      </c>
      <c r="I263" t="s">
        <v>2433</v>
      </c>
      <c r="J263" t="s">
        <v>2434</v>
      </c>
    </row>
    <row r="264" spans="1:10" ht="15" customHeight="1" x14ac:dyDescent="0.2">
      <c r="A264" s="420">
        <v>46023</v>
      </c>
      <c r="B264" t="s">
        <v>2435</v>
      </c>
      <c r="C264" t="s">
        <v>5167</v>
      </c>
      <c r="D264" t="s">
        <v>7957</v>
      </c>
      <c r="E264" t="s">
        <v>7958</v>
      </c>
      <c r="G264">
        <v>75.599999999999994</v>
      </c>
      <c r="I264">
        <v>75.599999999999994</v>
      </c>
    </row>
    <row r="265" spans="1:10" ht="15" customHeight="1" x14ac:dyDescent="0.2">
      <c r="A265" s="420">
        <v>46027</v>
      </c>
      <c r="B265" t="s">
        <v>2333</v>
      </c>
      <c r="C265" t="s">
        <v>5167</v>
      </c>
      <c r="D265" t="s">
        <v>8032</v>
      </c>
      <c r="E265" t="s">
        <v>5173</v>
      </c>
      <c r="F265">
        <v>8.4</v>
      </c>
      <c r="I265">
        <v>67.2</v>
      </c>
    </row>
    <row r="266" spans="1:10" ht="15" customHeight="1" x14ac:dyDescent="0.2">
      <c r="A266" s="420">
        <v>46058</v>
      </c>
      <c r="B266" t="s">
        <v>2333</v>
      </c>
      <c r="C266" t="s">
        <v>5167</v>
      </c>
      <c r="D266" t="s">
        <v>8033</v>
      </c>
      <c r="E266" t="s">
        <v>5173</v>
      </c>
      <c r="F266">
        <v>8.4</v>
      </c>
      <c r="I266">
        <v>58.8</v>
      </c>
    </row>
    <row r="267" spans="1:10" ht="15" customHeight="1" x14ac:dyDescent="0.2">
      <c r="A267" s="420">
        <v>46086</v>
      </c>
      <c r="B267" t="s">
        <v>2333</v>
      </c>
      <c r="C267" t="s">
        <v>5167</v>
      </c>
      <c r="D267" t="s">
        <v>8034</v>
      </c>
      <c r="E267" t="s">
        <v>5173</v>
      </c>
      <c r="F267">
        <v>8.4</v>
      </c>
      <c r="I267">
        <v>50.4</v>
      </c>
    </row>
    <row r="268" spans="1:10" ht="15" customHeight="1" x14ac:dyDescent="0.2">
      <c r="A268" t="s">
        <v>5167</v>
      </c>
      <c r="E268" t="s">
        <v>349</v>
      </c>
      <c r="F268">
        <v>25.2</v>
      </c>
      <c r="G268">
        <v>75.599999999999994</v>
      </c>
      <c r="I268">
        <v>50.4</v>
      </c>
    </row>
    <row r="270" spans="1:10" ht="15" customHeight="1" x14ac:dyDescent="0.2">
      <c r="A270" t="s">
        <v>5271</v>
      </c>
      <c r="B270" t="s">
        <v>5272</v>
      </c>
      <c r="F270" t="s">
        <v>2430</v>
      </c>
      <c r="G270" t="s">
        <v>2431</v>
      </c>
      <c r="H270" t="s">
        <v>2432</v>
      </c>
      <c r="I270" t="s">
        <v>2433</v>
      </c>
      <c r="J270" t="s">
        <v>2434</v>
      </c>
    </row>
    <row r="271" spans="1:10" ht="15" customHeight="1" x14ac:dyDescent="0.2">
      <c r="A271" s="420">
        <v>46090</v>
      </c>
      <c r="B271" t="s">
        <v>2333</v>
      </c>
      <c r="C271" t="s">
        <v>5271</v>
      </c>
      <c r="D271" t="s">
        <v>8035</v>
      </c>
      <c r="E271" t="s">
        <v>8036</v>
      </c>
      <c r="F271">
        <v>70.67</v>
      </c>
      <c r="H271">
        <v>70.67</v>
      </c>
    </row>
    <row r="272" spans="1:10" ht="15" customHeight="1" x14ac:dyDescent="0.2">
      <c r="A272" t="s">
        <v>5271</v>
      </c>
      <c r="E272" t="s">
        <v>349</v>
      </c>
      <c r="F272">
        <v>70.67</v>
      </c>
      <c r="H272">
        <v>70.67</v>
      </c>
    </row>
    <row r="274" spans="1:10" ht="15" customHeight="1" x14ac:dyDescent="0.2">
      <c r="A274" t="s">
        <v>5312</v>
      </c>
      <c r="B274" t="s">
        <v>5313</v>
      </c>
      <c r="F274" t="s">
        <v>2430</v>
      </c>
      <c r="G274" t="s">
        <v>2431</v>
      </c>
      <c r="H274" t="s">
        <v>2432</v>
      </c>
      <c r="I274" t="s">
        <v>2433</v>
      </c>
      <c r="J274" t="s">
        <v>2434</v>
      </c>
    </row>
    <row r="275" spans="1:10" ht="15" customHeight="1" x14ac:dyDescent="0.2">
      <c r="A275" s="420">
        <v>46073</v>
      </c>
      <c r="B275" t="s">
        <v>2532</v>
      </c>
      <c r="C275" t="s">
        <v>5312</v>
      </c>
      <c r="D275" t="s">
        <v>8037</v>
      </c>
      <c r="E275" t="s">
        <v>2024</v>
      </c>
      <c r="G275">
        <v>70.67</v>
      </c>
      <c r="I275">
        <v>70.67</v>
      </c>
    </row>
    <row r="276" spans="1:10" ht="15" customHeight="1" x14ac:dyDescent="0.2">
      <c r="A276" t="s">
        <v>5312</v>
      </c>
      <c r="E276" t="s">
        <v>349</v>
      </c>
      <c r="G276">
        <v>70.67</v>
      </c>
      <c r="I276">
        <v>70.67</v>
      </c>
    </row>
    <row r="278" spans="1:10" ht="15" customHeight="1" x14ac:dyDescent="0.2">
      <c r="A278" t="s">
        <v>5322</v>
      </c>
      <c r="B278" t="s">
        <v>2235</v>
      </c>
      <c r="F278" t="s">
        <v>2430</v>
      </c>
      <c r="G278" t="s">
        <v>2431</v>
      </c>
      <c r="H278" t="s">
        <v>2432</v>
      </c>
      <c r="I278" t="s">
        <v>2433</v>
      </c>
      <c r="J278" t="s">
        <v>2434</v>
      </c>
    </row>
    <row r="279" spans="1:10" ht="15" customHeight="1" x14ac:dyDescent="0.2">
      <c r="A279" s="420">
        <v>46078</v>
      </c>
      <c r="B279" t="s">
        <v>2532</v>
      </c>
      <c r="C279" t="s">
        <v>5322</v>
      </c>
      <c r="D279" t="s">
        <v>8038</v>
      </c>
      <c r="E279" t="s">
        <v>2235</v>
      </c>
      <c r="G279">
        <v>46.11</v>
      </c>
      <c r="I279">
        <v>46.11</v>
      </c>
    </row>
    <row r="280" spans="1:10" ht="15" customHeight="1" x14ac:dyDescent="0.2">
      <c r="A280" s="420">
        <v>46079</v>
      </c>
      <c r="B280" t="s">
        <v>2333</v>
      </c>
      <c r="C280" t="s">
        <v>5322</v>
      </c>
      <c r="D280" t="s">
        <v>8039</v>
      </c>
      <c r="E280" t="s">
        <v>8040</v>
      </c>
      <c r="F280">
        <v>4.13</v>
      </c>
      <c r="I280">
        <v>41.98</v>
      </c>
    </row>
    <row r="281" spans="1:10" ht="15" customHeight="1" x14ac:dyDescent="0.2">
      <c r="A281" t="s">
        <v>5322</v>
      </c>
      <c r="E281" t="s">
        <v>349</v>
      </c>
      <c r="F281">
        <v>4.13</v>
      </c>
      <c r="G281">
        <v>46.11</v>
      </c>
      <c r="I281">
        <v>41.98</v>
      </c>
    </row>
    <row r="283" spans="1:10" ht="15" customHeight="1" x14ac:dyDescent="0.2">
      <c r="A283" t="s">
        <v>5489</v>
      </c>
      <c r="B283" t="s">
        <v>5490</v>
      </c>
      <c r="F283" t="s">
        <v>2430</v>
      </c>
      <c r="G283" t="s">
        <v>2431</v>
      </c>
      <c r="H283" t="s">
        <v>2432</v>
      </c>
      <c r="I283" t="s">
        <v>2433</v>
      </c>
      <c r="J283" t="s">
        <v>2434</v>
      </c>
    </row>
    <row r="284" spans="1:10" ht="15" customHeight="1" x14ac:dyDescent="0.2">
      <c r="A284" s="420">
        <v>46023</v>
      </c>
      <c r="B284" t="s">
        <v>2435</v>
      </c>
      <c r="C284" t="s">
        <v>5489</v>
      </c>
      <c r="D284" t="s">
        <v>7957</v>
      </c>
      <c r="E284" t="s">
        <v>1154</v>
      </c>
      <c r="G284">
        <v>2152.8000000000002</v>
      </c>
      <c r="I284">
        <v>2152.8000000000002</v>
      </c>
    </row>
    <row r="285" spans="1:10" ht="15" customHeight="1" x14ac:dyDescent="0.2">
      <c r="A285" s="420">
        <v>46023</v>
      </c>
      <c r="B285" t="s">
        <v>2435</v>
      </c>
      <c r="C285" t="s">
        <v>5489</v>
      </c>
      <c r="D285" t="s">
        <v>7957</v>
      </c>
      <c r="E285" t="s">
        <v>1617</v>
      </c>
      <c r="G285">
        <v>1473.48</v>
      </c>
      <c r="I285">
        <v>3626.28</v>
      </c>
    </row>
    <row r="286" spans="1:10" ht="15" customHeight="1" x14ac:dyDescent="0.2">
      <c r="A286" s="420">
        <v>46023</v>
      </c>
      <c r="B286" t="s">
        <v>2435</v>
      </c>
      <c r="C286" t="s">
        <v>5489</v>
      </c>
      <c r="D286" t="s">
        <v>7957</v>
      </c>
      <c r="E286" t="s">
        <v>1156</v>
      </c>
      <c r="G286">
        <v>684</v>
      </c>
      <c r="I286">
        <v>4310.28</v>
      </c>
    </row>
    <row r="287" spans="1:10" ht="15" customHeight="1" x14ac:dyDescent="0.2">
      <c r="A287" t="s">
        <v>5489</v>
      </c>
      <c r="E287" t="s">
        <v>349</v>
      </c>
      <c r="G287">
        <v>4310.28</v>
      </c>
      <c r="I287">
        <v>4310.28</v>
      </c>
    </row>
    <row r="289" spans="1:10" ht="15" customHeight="1" x14ac:dyDescent="0.2">
      <c r="A289" t="s">
        <v>5559</v>
      </c>
      <c r="B289" t="s">
        <v>5560</v>
      </c>
      <c r="F289" t="s">
        <v>2430</v>
      </c>
      <c r="G289" t="s">
        <v>2431</v>
      </c>
      <c r="H289" t="s">
        <v>2432</v>
      </c>
      <c r="I289" t="s">
        <v>2433</v>
      </c>
      <c r="J289" t="s">
        <v>2434</v>
      </c>
    </row>
    <row r="290" spans="1:10" ht="15" customHeight="1" x14ac:dyDescent="0.2">
      <c r="A290" s="420">
        <v>46079</v>
      </c>
      <c r="B290" t="s">
        <v>2439</v>
      </c>
      <c r="C290" t="s">
        <v>5559</v>
      </c>
      <c r="D290" t="s">
        <v>8041</v>
      </c>
      <c r="E290" t="s">
        <v>8042</v>
      </c>
      <c r="G290">
        <v>59955.61</v>
      </c>
      <c r="I290">
        <v>59955.61</v>
      </c>
    </row>
    <row r="291" spans="1:10" ht="15" customHeight="1" x14ac:dyDescent="0.2">
      <c r="A291" s="420">
        <v>46083</v>
      </c>
      <c r="B291" t="s">
        <v>5544</v>
      </c>
      <c r="C291" t="s">
        <v>5559</v>
      </c>
      <c r="D291" t="s">
        <v>8043</v>
      </c>
      <c r="E291" t="s">
        <v>8044</v>
      </c>
      <c r="F291">
        <v>171301.74</v>
      </c>
      <c r="H291">
        <v>111346.13</v>
      </c>
    </row>
    <row r="292" spans="1:10" ht="15" customHeight="1" x14ac:dyDescent="0.2">
      <c r="A292" s="420">
        <v>46087</v>
      </c>
      <c r="B292" t="s">
        <v>2439</v>
      </c>
      <c r="C292" t="s">
        <v>5559</v>
      </c>
      <c r="D292" t="s">
        <v>8045</v>
      </c>
      <c r="E292" t="s">
        <v>8046</v>
      </c>
      <c r="G292">
        <v>8565.09</v>
      </c>
      <c r="H292">
        <v>102781.04</v>
      </c>
    </row>
    <row r="293" spans="1:10" ht="15" customHeight="1" x14ac:dyDescent="0.2">
      <c r="A293" t="s">
        <v>5559</v>
      </c>
      <c r="E293" t="s">
        <v>349</v>
      </c>
      <c r="F293">
        <v>171301.74</v>
      </c>
      <c r="G293">
        <v>68520.7</v>
      </c>
      <c r="H293">
        <v>102781.04</v>
      </c>
    </row>
    <row r="295" spans="1:10" ht="15" customHeight="1" x14ac:dyDescent="0.2">
      <c r="A295" t="s">
        <v>5589</v>
      </c>
      <c r="B295" t="s">
        <v>5590</v>
      </c>
      <c r="F295" t="s">
        <v>2430</v>
      </c>
      <c r="G295" t="s">
        <v>2431</v>
      </c>
      <c r="H295" t="s">
        <v>2432</v>
      </c>
      <c r="I295" t="s">
        <v>2433</v>
      </c>
      <c r="J295" t="s">
        <v>2434</v>
      </c>
    </row>
    <row r="296" spans="1:10" ht="15" customHeight="1" x14ac:dyDescent="0.2">
      <c r="A296" s="420">
        <v>46029</v>
      </c>
      <c r="B296" t="s">
        <v>2439</v>
      </c>
      <c r="C296" t="s">
        <v>5589</v>
      </c>
      <c r="D296" t="s">
        <v>8047</v>
      </c>
      <c r="E296" t="s">
        <v>8048</v>
      </c>
      <c r="G296">
        <v>25523.78</v>
      </c>
      <c r="I296">
        <v>25523.78</v>
      </c>
    </row>
    <row r="297" spans="1:10" ht="15" customHeight="1" x14ac:dyDescent="0.2">
      <c r="A297" s="420">
        <v>46112</v>
      </c>
      <c r="B297" t="s">
        <v>2439</v>
      </c>
      <c r="C297" t="s">
        <v>5589</v>
      </c>
      <c r="D297" t="s">
        <v>8049</v>
      </c>
      <c r="E297" t="s">
        <v>8050</v>
      </c>
      <c r="G297">
        <v>33445.39</v>
      </c>
      <c r="I297">
        <v>58969.17</v>
      </c>
    </row>
    <row r="298" spans="1:10" ht="15" customHeight="1" x14ac:dyDescent="0.2">
      <c r="A298" t="s">
        <v>5589</v>
      </c>
      <c r="E298" t="s">
        <v>349</v>
      </c>
      <c r="G298">
        <v>58969.17</v>
      </c>
      <c r="I298">
        <v>58969.17</v>
      </c>
    </row>
    <row r="300" spans="1:10" ht="15" customHeight="1" x14ac:dyDescent="0.2">
      <c r="A300" t="s">
        <v>5600</v>
      </c>
      <c r="B300" t="s">
        <v>5601</v>
      </c>
      <c r="F300" t="s">
        <v>2430</v>
      </c>
      <c r="G300" t="s">
        <v>2431</v>
      </c>
      <c r="H300" t="s">
        <v>2432</v>
      </c>
      <c r="I300" t="s">
        <v>2433</v>
      </c>
      <c r="J300" t="s">
        <v>2434</v>
      </c>
    </row>
    <row r="301" spans="1:10" ht="15" customHeight="1" x14ac:dyDescent="0.2">
      <c r="A301" s="420">
        <v>46043</v>
      </c>
      <c r="B301" t="s">
        <v>2439</v>
      </c>
      <c r="C301" t="s">
        <v>5600</v>
      </c>
      <c r="D301" t="s">
        <v>8051</v>
      </c>
      <c r="E301" t="s">
        <v>8052</v>
      </c>
      <c r="G301">
        <v>25481.82</v>
      </c>
      <c r="I301">
        <v>25481.82</v>
      </c>
    </row>
    <row r="302" spans="1:10" ht="15" customHeight="1" x14ac:dyDescent="0.2">
      <c r="A302" s="420">
        <v>46098</v>
      </c>
      <c r="B302" t="s">
        <v>2439</v>
      </c>
      <c r="C302" t="s">
        <v>5600</v>
      </c>
      <c r="D302" t="s">
        <v>8053</v>
      </c>
      <c r="E302" t="s">
        <v>8054</v>
      </c>
      <c r="G302">
        <v>33923.54</v>
      </c>
      <c r="I302">
        <v>59405.36</v>
      </c>
    </row>
    <row r="303" spans="1:10" ht="15" customHeight="1" x14ac:dyDescent="0.2">
      <c r="A303" t="s">
        <v>5600</v>
      </c>
      <c r="E303" t="s">
        <v>349</v>
      </c>
      <c r="G303">
        <v>59405.36</v>
      </c>
      <c r="I303">
        <v>59405.36</v>
      </c>
    </row>
    <row r="305" spans="1:10" ht="15" customHeight="1" x14ac:dyDescent="0.2">
      <c r="A305" t="s">
        <v>5611</v>
      </c>
      <c r="B305" t="s">
        <v>5612</v>
      </c>
      <c r="F305" t="s">
        <v>2430</v>
      </c>
      <c r="G305" t="s">
        <v>2431</v>
      </c>
      <c r="H305" t="s">
        <v>2432</v>
      </c>
      <c r="I305" t="s">
        <v>2433</v>
      </c>
      <c r="J305" t="s">
        <v>2434</v>
      </c>
    </row>
    <row r="306" spans="1:10" ht="15" customHeight="1" x14ac:dyDescent="0.2">
      <c r="A306" s="420">
        <v>46074</v>
      </c>
      <c r="B306" t="s">
        <v>2439</v>
      </c>
      <c r="C306" t="s">
        <v>5611</v>
      </c>
      <c r="D306" t="s">
        <v>8055</v>
      </c>
      <c r="E306" t="s">
        <v>8056</v>
      </c>
      <c r="G306">
        <v>31827.67</v>
      </c>
      <c r="I306">
        <v>31827.67</v>
      </c>
    </row>
    <row r="307" spans="1:10" ht="15" customHeight="1" x14ac:dyDescent="0.2">
      <c r="A307" s="420">
        <v>46083</v>
      </c>
      <c r="B307" t="s">
        <v>5544</v>
      </c>
      <c r="C307" t="s">
        <v>5611</v>
      </c>
      <c r="D307" t="s">
        <v>8057</v>
      </c>
      <c r="E307" t="s">
        <v>8058</v>
      </c>
      <c r="F307">
        <v>159138.35999999999</v>
      </c>
      <c r="H307">
        <v>127310.69</v>
      </c>
    </row>
    <row r="308" spans="1:10" ht="15" customHeight="1" x14ac:dyDescent="0.2">
      <c r="A308" s="420">
        <v>46107</v>
      </c>
      <c r="B308" t="s">
        <v>2439</v>
      </c>
      <c r="C308" t="s">
        <v>5611</v>
      </c>
      <c r="D308" t="s">
        <v>8059</v>
      </c>
      <c r="E308" t="s">
        <v>8060</v>
      </c>
      <c r="G308">
        <v>55698.43</v>
      </c>
      <c r="H308">
        <v>71612.259999999995</v>
      </c>
    </row>
    <row r="309" spans="1:10" ht="15" customHeight="1" x14ac:dyDescent="0.2">
      <c r="A309" t="s">
        <v>5611</v>
      </c>
      <c r="E309" t="s">
        <v>349</v>
      </c>
      <c r="F309">
        <v>159138.35999999999</v>
      </c>
      <c r="G309">
        <v>87526.1</v>
      </c>
      <c r="H309">
        <v>71612.259999999995</v>
      </c>
    </row>
    <row r="311" spans="1:10" ht="15" customHeight="1" x14ac:dyDescent="0.2">
      <c r="A311" t="s">
        <v>5624</v>
      </c>
      <c r="B311" t="s">
        <v>1017</v>
      </c>
      <c r="F311" t="s">
        <v>2430</v>
      </c>
      <c r="G311" t="s">
        <v>2431</v>
      </c>
      <c r="H311" t="s">
        <v>2432</v>
      </c>
      <c r="I311" t="s">
        <v>2433</v>
      </c>
      <c r="J311" t="s">
        <v>2434</v>
      </c>
    </row>
    <row r="312" spans="1:10" ht="15" customHeight="1" x14ac:dyDescent="0.2">
      <c r="A312" s="420">
        <v>46023</v>
      </c>
      <c r="B312" t="s">
        <v>2435</v>
      </c>
      <c r="C312" t="s">
        <v>5624</v>
      </c>
      <c r="D312" t="s">
        <v>7957</v>
      </c>
      <c r="E312" t="s">
        <v>5642</v>
      </c>
      <c r="F312">
        <v>1338.71</v>
      </c>
      <c r="H312">
        <v>1338.71</v>
      </c>
    </row>
    <row r="313" spans="1:10" ht="15" customHeight="1" x14ac:dyDescent="0.2">
      <c r="A313" s="420">
        <v>46023</v>
      </c>
      <c r="B313" t="s">
        <v>2435</v>
      </c>
      <c r="C313" t="s">
        <v>5624</v>
      </c>
      <c r="D313" t="s">
        <v>7957</v>
      </c>
      <c r="E313" t="s">
        <v>5644</v>
      </c>
      <c r="F313">
        <v>1338.71</v>
      </c>
      <c r="H313">
        <v>2677.42</v>
      </c>
    </row>
    <row r="314" spans="1:10" ht="15" customHeight="1" x14ac:dyDescent="0.2">
      <c r="A314" s="420">
        <v>46023</v>
      </c>
      <c r="B314" t="s">
        <v>2435</v>
      </c>
      <c r="C314" t="s">
        <v>5624</v>
      </c>
      <c r="D314" t="s">
        <v>7957</v>
      </c>
      <c r="E314" t="s">
        <v>5643</v>
      </c>
      <c r="F314">
        <v>1338.71</v>
      </c>
      <c r="H314">
        <v>4016.13</v>
      </c>
    </row>
    <row r="315" spans="1:10" ht="15" customHeight="1" x14ac:dyDescent="0.2">
      <c r="A315" s="420">
        <v>46053</v>
      </c>
      <c r="B315" t="s">
        <v>5544</v>
      </c>
      <c r="C315" t="s">
        <v>5624</v>
      </c>
      <c r="D315" t="s">
        <v>8061</v>
      </c>
      <c r="E315" t="s">
        <v>8062</v>
      </c>
      <c r="F315">
        <v>1338.71</v>
      </c>
      <c r="H315">
        <v>5354.84</v>
      </c>
    </row>
    <row r="316" spans="1:10" ht="15" customHeight="1" x14ac:dyDescent="0.2">
      <c r="A316" s="420">
        <v>46081</v>
      </c>
      <c r="B316" t="s">
        <v>5544</v>
      </c>
      <c r="C316" t="s">
        <v>5624</v>
      </c>
      <c r="D316" t="s">
        <v>8063</v>
      </c>
      <c r="E316" t="s">
        <v>8064</v>
      </c>
      <c r="F316">
        <v>1338.71</v>
      </c>
      <c r="H316">
        <v>6693.55</v>
      </c>
    </row>
    <row r="317" spans="1:10" ht="15" customHeight="1" x14ac:dyDescent="0.2">
      <c r="A317" s="420">
        <v>46112</v>
      </c>
      <c r="B317" t="s">
        <v>5544</v>
      </c>
      <c r="C317" t="s">
        <v>5624</v>
      </c>
      <c r="D317" t="s">
        <v>8065</v>
      </c>
      <c r="E317" t="s">
        <v>8066</v>
      </c>
      <c r="F317">
        <v>1338.71</v>
      </c>
      <c r="H317">
        <v>8032.26</v>
      </c>
    </row>
    <row r="318" spans="1:10" ht="15" customHeight="1" x14ac:dyDescent="0.2">
      <c r="A318" t="s">
        <v>5624</v>
      </c>
      <c r="E318" t="s">
        <v>349</v>
      </c>
      <c r="F318">
        <v>8032.26</v>
      </c>
      <c r="H318">
        <v>8032.26</v>
      </c>
    </row>
    <row r="320" spans="1:10" ht="15" customHeight="1" x14ac:dyDescent="0.2">
      <c r="A320" t="s">
        <v>5651</v>
      </c>
      <c r="B320" t="s">
        <v>5652</v>
      </c>
      <c r="F320" t="s">
        <v>2430</v>
      </c>
      <c r="G320" t="s">
        <v>2431</v>
      </c>
      <c r="H320" t="s">
        <v>2432</v>
      </c>
      <c r="I320" t="s">
        <v>2433</v>
      </c>
      <c r="J320" t="s">
        <v>2434</v>
      </c>
    </row>
    <row r="321" spans="1:10" ht="15" customHeight="1" x14ac:dyDescent="0.2">
      <c r="A321" s="420">
        <v>46023</v>
      </c>
      <c r="B321" t="s">
        <v>2435</v>
      </c>
      <c r="C321" t="s">
        <v>5651</v>
      </c>
      <c r="D321" t="s">
        <v>7957</v>
      </c>
      <c r="E321" t="s">
        <v>5664</v>
      </c>
      <c r="F321">
        <v>82526.69</v>
      </c>
      <c r="H321">
        <v>82526.69</v>
      </c>
    </row>
    <row r="322" spans="1:10" ht="15" customHeight="1" x14ac:dyDescent="0.2">
      <c r="A322" t="s">
        <v>5651</v>
      </c>
      <c r="E322" t="s">
        <v>349</v>
      </c>
      <c r="F322">
        <v>82526.69</v>
      </c>
      <c r="H322">
        <v>82526.69</v>
      </c>
    </row>
    <row r="324" spans="1:10" ht="15" customHeight="1" x14ac:dyDescent="0.2">
      <c r="A324" t="s">
        <v>5730</v>
      </c>
      <c r="B324" t="s">
        <v>5731</v>
      </c>
      <c r="F324" t="s">
        <v>2430</v>
      </c>
      <c r="G324" t="s">
        <v>2431</v>
      </c>
      <c r="H324" t="s">
        <v>2432</v>
      </c>
      <c r="I324" t="s">
        <v>2433</v>
      </c>
      <c r="J324" t="s">
        <v>2434</v>
      </c>
    </row>
    <row r="325" spans="1:10" ht="15" customHeight="1" x14ac:dyDescent="0.2">
      <c r="A325" s="420">
        <v>46050</v>
      </c>
      <c r="B325" t="s">
        <v>2439</v>
      </c>
      <c r="C325" t="s">
        <v>5730</v>
      </c>
      <c r="D325" t="s">
        <v>8067</v>
      </c>
      <c r="E325" t="s">
        <v>8068</v>
      </c>
      <c r="G325">
        <v>52410.559999999998</v>
      </c>
      <c r="I325">
        <v>52410.559999999998</v>
      </c>
    </row>
    <row r="326" spans="1:10" ht="15" customHeight="1" x14ac:dyDescent="0.2">
      <c r="A326" s="420">
        <v>46056</v>
      </c>
      <c r="B326" t="s">
        <v>5544</v>
      </c>
      <c r="C326" t="s">
        <v>5730</v>
      </c>
      <c r="D326" t="s">
        <v>8069</v>
      </c>
      <c r="E326" t="s">
        <v>8070</v>
      </c>
      <c r="F326">
        <v>149744.47</v>
      </c>
      <c r="H326">
        <v>97333.91</v>
      </c>
    </row>
    <row r="327" spans="1:10" ht="15" customHeight="1" x14ac:dyDescent="0.2">
      <c r="A327" s="420">
        <v>46069</v>
      </c>
      <c r="B327" t="s">
        <v>2439</v>
      </c>
      <c r="C327" t="s">
        <v>5730</v>
      </c>
      <c r="D327" t="s">
        <v>8071</v>
      </c>
      <c r="E327" t="s">
        <v>8072</v>
      </c>
      <c r="G327">
        <v>7487.22</v>
      </c>
      <c r="H327">
        <v>89846.69</v>
      </c>
    </row>
    <row r="328" spans="1:10" ht="15" customHeight="1" x14ac:dyDescent="0.2">
      <c r="A328" t="s">
        <v>5730</v>
      </c>
      <c r="E328" t="s">
        <v>349</v>
      </c>
      <c r="F328">
        <v>149744.47</v>
      </c>
      <c r="G328">
        <v>59897.78</v>
      </c>
      <c r="H328">
        <v>89846.69</v>
      </c>
    </row>
    <row r="330" spans="1:10" ht="15" customHeight="1" x14ac:dyDescent="0.2">
      <c r="A330" t="s">
        <v>5749</v>
      </c>
      <c r="B330" t="s">
        <v>5750</v>
      </c>
      <c r="F330" t="s">
        <v>2430</v>
      </c>
      <c r="G330" t="s">
        <v>2431</v>
      </c>
      <c r="H330" t="s">
        <v>2432</v>
      </c>
      <c r="I330" t="s">
        <v>2433</v>
      </c>
      <c r="J330" t="s">
        <v>2434</v>
      </c>
    </row>
    <row r="331" spans="1:10" ht="15" customHeight="1" x14ac:dyDescent="0.2">
      <c r="A331" s="420">
        <v>46044</v>
      </c>
      <c r="B331" t="s">
        <v>2333</v>
      </c>
      <c r="C331" t="s">
        <v>5749</v>
      </c>
      <c r="D331" t="s">
        <v>8073</v>
      </c>
      <c r="E331" t="s">
        <v>8074</v>
      </c>
      <c r="G331">
        <v>34893.040000000001</v>
      </c>
      <c r="I331">
        <v>34893.040000000001</v>
      </c>
    </row>
    <row r="332" spans="1:10" ht="15" customHeight="1" x14ac:dyDescent="0.2">
      <c r="A332" s="420">
        <v>46094</v>
      </c>
      <c r="B332" t="s">
        <v>2439</v>
      </c>
      <c r="C332" t="s">
        <v>5749</v>
      </c>
      <c r="D332" t="s">
        <v>8075</v>
      </c>
      <c r="E332" t="s">
        <v>8076</v>
      </c>
      <c r="G332">
        <v>0.01</v>
      </c>
      <c r="I332">
        <v>34893.050000000003</v>
      </c>
    </row>
    <row r="333" spans="1:10" ht="15" customHeight="1" x14ac:dyDescent="0.2">
      <c r="A333" s="420">
        <v>46094</v>
      </c>
      <c r="B333" t="s">
        <v>2439</v>
      </c>
      <c r="C333" t="s">
        <v>5749</v>
      </c>
      <c r="D333" t="s">
        <v>8077</v>
      </c>
      <c r="E333" t="s">
        <v>8078</v>
      </c>
      <c r="G333">
        <v>61062.82</v>
      </c>
      <c r="I333">
        <v>95955.87</v>
      </c>
    </row>
    <row r="334" spans="1:10" ht="15" customHeight="1" x14ac:dyDescent="0.2">
      <c r="A334" t="s">
        <v>5749</v>
      </c>
      <c r="E334" t="s">
        <v>349</v>
      </c>
      <c r="G334">
        <v>95955.87</v>
      </c>
      <c r="I334">
        <v>95955.87</v>
      </c>
    </row>
    <row r="336" spans="1:10" ht="15" customHeight="1" x14ac:dyDescent="0.2">
      <c r="A336" t="s">
        <v>8079</v>
      </c>
      <c r="B336" t="s">
        <v>8080</v>
      </c>
      <c r="F336" t="s">
        <v>2430</v>
      </c>
      <c r="G336" t="s">
        <v>2431</v>
      </c>
      <c r="H336" t="s">
        <v>2432</v>
      </c>
      <c r="I336" t="s">
        <v>2433</v>
      </c>
      <c r="J336" t="s">
        <v>2434</v>
      </c>
    </row>
    <row r="337" spans="1:10" ht="15" customHeight="1" x14ac:dyDescent="0.2">
      <c r="A337" s="420">
        <v>46084</v>
      </c>
      <c r="B337" t="s">
        <v>2333</v>
      </c>
      <c r="C337" t="s">
        <v>8079</v>
      </c>
      <c r="D337" t="s">
        <v>8081</v>
      </c>
      <c r="E337" t="s">
        <v>8082</v>
      </c>
      <c r="G337">
        <v>18831.75</v>
      </c>
      <c r="I337">
        <v>18831.75</v>
      </c>
    </row>
    <row r="338" spans="1:10" ht="15" customHeight="1" x14ac:dyDescent="0.2">
      <c r="A338" s="420">
        <v>46091</v>
      </c>
      <c r="B338" t="s">
        <v>2439</v>
      </c>
      <c r="C338" t="s">
        <v>8079</v>
      </c>
      <c r="D338" t="s">
        <v>8083</v>
      </c>
      <c r="E338" t="s">
        <v>8084</v>
      </c>
      <c r="G338">
        <v>10066.15</v>
      </c>
      <c r="I338">
        <v>28897.9</v>
      </c>
    </row>
    <row r="339" spans="1:10" ht="15" customHeight="1" x14ac:dyDescent="0.2">
      <c r="A339" s="420">
        <v>46106</v>
      </c>
      <c r="B339" t="s">
        <v>2439</v>
      </c>
      <c r="C339" t="s">
        <v>8079</v>
      </c>
      <c r="D339" t="s">
        <v>8083</v>
      </c>
      <c r="E339" t="s">
        <v>8084</v>
      </c>
      <c r="G339">
        <v>2488.35</v>
      </c>
      <c r="I339">
        <v>31386.25</v>
      </c>
    </row>
    <row r="340" spans="1:10" ht="15" customHeight="1" x14ac:dyDescent="0.2">
      <c r="A340" s="420">
        <v>46111</v>
      </c>
      <c r="B340" t="s">
        <v>2333</v>
      </c>
      <c r="C340" t="s">
        <v>8079</v>
      </c>
      <c r="D340" t="s">
        <v>8085</v>
      </c>
      <c r="E340" t="s">
        <v>8086</v>
      </c>
      <c r="G340">
        <v>4784.08</v>
      </c>
      <c r="I340">
        <v>36170.33</v>
      </c>
    </row>
    <row r="341" spans="1:10" ht="15" customHeight="1" x14ac:dyDescent="0.2">
      <c r="A341" s="420">
        <v>46111</v>
      </c>
      <c r="B341" t="s">
        <v>2439</v>
      </c>
      <c r="C341" t="s">
        <v>8079</v>
      </c>
      <c r="D341" t="s">
        <v>8083</v>
      </c>
      <c r="E341" t="s">
        <v>8087</v>
      </c>
      <c r="G341">
        <v>19365.580000000002</v>
      </c>
      <c r="I341">
        <v>55535.91</v>
      </c>
    </row>
    <row r="342" spans="1:10" ht="15" customHeight="1" x14ac:dyDescent="0.2">
      <c r="A342" s="420">
        <v>46111</v>
      </c>
      <c r="B342" t="s">
        <v>2439</v>
      </c>
      <c r="C342" t="s">
        <v>8079</v>
      </c>
      <c r="D342" t="s">
        <v>8008</v>
      </c>
      <c r="E342" t="s">
        <v>8027</v>
      </c>
      <c r="F342">
        <v>4784.08</v>
      </c>
      <c r="I342">
        <v>50751.83</v>
      </c>
    </row>
    <row r="343" spans="1:10" ht="15" customHeight="1" x14ac:dyDescent="0.2">
      <c r="A343" t="s">
        <v>8079</v>
      </c>
      <c r="E343" t="s">
        <v>349</v>
      </c>
      <c r="F343">
        <v>4784.08</v>
      </c>
      <c r="G343">
        <v>55535.91</v>
      </c>
      <c r="I343">
        <v>50751.83</v>
      </c>
    </row>
    <row r="345" spans="1:10" ht="15" customHeight="1" x14ac:dyDescent="0.2">
      <c r="A345" t="s">
        <v>8088</v>
      </c>
      <c r="B345" t="s">
        <v>8089</v>
      </c>
      <c r="F345" t="s">
        <v>2430</v>
      </c>
      <c r="G345" t="s">
        <v>2431</v>
      </c>
      <c r="H345" t="s">
        <v>2432</v>
      </c>
      <c r="I345" t="s">
        <v>2433</v>
      </c>
      <c r="J345" t="s">
        <v>2434</v>
      </c>
    </row>
    <row r="346" spans="1:10" ht="15" customHeight="1" x14ac:dyDescent="0.2">
      <c r="A346" s="420">
        <v>46025</v>
      </c>
      <c r="B346" t="s">
        <v>2333</v>
      </c>
      <c r="C346" t="s">
        <v>8088</v>
      </c>
      <c r="D346" t="s">
        <v>8090</v>
      </c>
      <c r="E346" t="s">
        <v>8091</v>
      </c>
      <c r="G346">
        <v>11602.45</v>
      </c>
      <c r="I346">
        <v>11602.45</v>
      </c>
    </row>
    <row r="347" spans="1:10" ht="15" customHeight="1" x14ac:dyDescent="0.2">
      <c r="A347" s="420">
        <v>46025</v>
      </c>
      <c r="B347" t="s">
        <v>2439</v>
      </c>
      <c r="C347" t="s">
        <v>8088</v>
      </c>
      <c r="D347" t="s">
        <v>8092</v>
      </c>
      <c r="E347" t="s">
        <v>8093</v>
      </c>
      <c r="G347">
        <v>18208</v>
      </c>
      <c r="I347">
        <v>29810.45</v>
      </c>
    </row>
    <row r="348" spans="1:10" ht="15" customHeight="1" x14ac:dyDescent="0.2">
      <c r="A348" s="420">
        <v>46026</v>
      </c>
      <c r="B348" t="s">
        <v>2333</v>
      </c>
      <c r="C348" t="s">
        <v>8088</v>
      </c>
      <c r="D348" t="s">
        <v>8094</v>
      </c>
      <c r="E348" t="s">
        <v>8095</v>
      </c>
      <c r="G348">
        <v>27312</v>
      </c>
      <c r="I348">
        <v>57122.45</v>
      </c>
    </row>
    <row r="349" spans="1:10" ht="15" customHeight="1" x14ac:dyDescent="0.2">
      <c r="A349" s="420">
        <v>46035</v>
      </c>
      <c r="B349" t="s">
        <v>2333</v>
      </c>
      <c r="C349" t="s">
        <v>8088</v>
      </c>
      <c r="D349" t="s">
        <v>8096</v>
      </c>
      <c r="E349" t="s">
        <v>8097</v>
      </c>
      <c r="G349">
        <v>30051.55</v>
      </c>
      <c r="I349">
        <v>87174</v>
      </c>
    </row>
    <row r="350" spans="1:10" ht="15" customHeight="1" x14ac:dyDescent="0.2">
      <c r="A350" s="420">
        <v>46092</v>
      </c>
      <c r="B350" t="s">
        <v>2439</v>
      </c>
      <c r="C350" t="s">
        <v>8088</v>
      </c>
      <c r="D350" t="s">
        <v>8098</v>
      </c>
      <c r="E350" t="s">
        <v>8099</v>
      </c>
      <c r="G350">
        <v>28194.14</v>
      </c>
      <c r="I350">
        <v>115368.14</v>
      </c>
    </row>
    <row r="351" spans="1:10" ht="15" customHeight="1" x14ac:dyDescent="0.2">
      <c r="A351" t="s">
        <v>8088</v>
      </c>
      <c r="E351" t="s">
        <v>349</v>
      </c>
      <c r="G351">
        <v>115368.14</v>
      </c>
      <c r="I351">
        <v>115368.14</v>
      </c>
    </row>
    <row r="353" spans="1:10" ht="15" customHeight="1" x14ac:dyDescent="0.2">
      <c r="A353" t="s">
        <v>5847</v>
      </c>
      <c r="B353" t="s">
        <v>5848</v>
      </c>
      <c r="F353" t="s">
        <v>2430</v>
      </c>
      <c r="G353" t="s">
        <v>2431</v>
      </c>
      <c r="H353" t="s">
        <v>2432</v>
      </c>
      <c r="I353" t="s">
        <v>2433</v>
      </c>
      <c r="J353" t="s">
        <v>2434</v>
      </c>
    </row>
    <row r="354" spans="1:10" ht="15" customHeight="1" x14ac:dyDescent="0.2">
      <c r="A354" s="420">
        <v>46043</v>
      </c>
      <c r="B354" t="s">
        <v>2439</v>
      </c>
      <c r="C354" t="s">
        <v>5847</v>
      </c>
      <c r="D354" t="s">
        <v>8100</v>
      </c>
      <c r="E354" t="s">
        <v>8101</v>
      </c>
      <c r="G354">
        <v>21789.46</v>
      </c>
      <c r="I354">
        <v>21789.46</v>
      </c>
    </row>
    <row r="355" spans="1:10" ht="15" customHeight="1" x14ac:dyDescent="0.2">
      <c r="A355" s="420">
        <v>46050</v>
      </c>
      <c r="B355" t="s">
        <v>2439</v>
      </c>
      <c r="C355" t="s">
        <v>5847</v>
      </c>
      <c r="D355" t="s">
        <v>8102</v>
      </c>
      <c r="E355" t="s">
        <v>8103</v>
      </c>
      <c r="G355">
        <v>28484.48</v>
      </c>
      <c r="I355">
        <v>50273.94</v>
      </c>
    </row>
    <row r="356" spans="1:10" ht="15" customHeight="1" x14ac:dyDescent="0.2">
      <c r="A356" t="s">
        <v>5847</v>
      </c>
      <c r="E356" t="s">
        <v>349</v>
      </c>
      <c r="G356">
        <v>50273.94</v>
      </c>
      <c r="I356">
        <v>50273.94</v>
      </c>
    </row>
    <row r="358" spans="1:10" ht="15" customHeight="1" x14ac:dyDescent="0.2">
      <c r="A358" t="s">
        <v>5858</v>
      </c>
      <c r="B358" t="s">
        <v>5859</v>
      </c>
      <c r="F358" t="s">
        <v>2430</v>
      </c>
      <c r="G358" t="s">
        <v>2431</v>
      </c>
      <c r="H358" t="s">
        <v>2432</v>
      </c>
      <c r="I358" t="s">
        <v>2433</v>
      </c>
      <c r="J358" t="s">
        <v>2434</v>
      </c>
    </row>
    <row r="359" spans="1:10" ht="15" customHeight="1" x14ac:dyDescent="0.2">
      <c r="A359" s="420">
        <v>46029</v>
      </c>
      <c r="B359" t="s">
        <v>2439</v>
      </c>
      <c r="C359" t="s">
        <v>5858</v>
      </c>
      <c r="D359" t="s">
        <v>8104</v>
      </c>
      <c r="E359" t="s">
        <v>8105</v>
      </c>
      <c r="G359">
        <v>35278.959999999999</v>
      </c>
      <c r="I359">
        <v>35278.959999999999</v>
      </c>
    </row>
    <row r="360" spans="1:10" ht="15" customHeight="1" x14ac:dyDescent="0.2">
      <c r="A360" s="420">
        <v>46072</v>
      </c>
      <c r="B360" t="s">
        <v>2439</v>
      </c>
      <c r="C360" t="s">
        <v>5858</v>
      </c>
      <c r="D360" t="s">
        <v>8106</v>
      </c>
      <c r="E360" t="s">
        <v>8107</v>
      </c>
      <c r="G360">
        <v>61738.18</v>
      </c>
      <c r="I360">
        <v>97017.14</v>
      </c>
    </row>
    <row r="361" spans="1:10" ht="15" customHeight="1" x14ac:dyDescent="0.2">
      <c r="A361" s="420">
        <v>46083</v>
      </c>
      <c r="B361" t="s">
        <v>5544</v>
      </c>
      <c r="C361" t="s">
        <v>5858</v>
      </c>
      <c r="D361" t="s">
        <v>8108</v>
      </c>
      <c r="E361" t="s">
        <v>8109</v>
      </c>
      <c r="F361">
        <v>176394.8</v>
      </c>
      <c r="H361">
        <v>79377.66</v>
      </c>
    </row>
    <row r="362" spans="1:10" ht="15" customHeight="1" x14ac:dyDescent="0.2">
      <c r="A362" s="420">
        <v>46087</v>
      </c>
      <c r="B362" t="s">
        <v>2439</v>
      </c>
      <c r="C362" t="s">
        <v>5858</v>
      </c>
      <c r="D362" t="s">
        <v>8110</v>
      </c>
      <c r="E362" t="s">
        <v>8111</v>
      </c>
      <c r="G362">
        <v>8819.74</v>
      </c>
      <c r="H362">
        <v>70557.919999999998</v>
      </c>
    </row>
    <row r="363" spans="1:10" ht="15" customHeight="1" x14ac:dyDescent="0.2">
      <c r="A363" t="s">
        <v>5858</v>
      </c>
      <c r="E363" t="s">
        <v>349</v>
      </c>
      <c r="F363">
        <v>176394.8</v>
      </c>
      <c r="G363">
        <v>105836.88</v>
      </c>
      <c r="H363">
        <v>70557.919999999998</v>
      </c>
    </row>
    <row r="365" spans="1:10" ht="15" customHeight="1" x14ac:dyDescent="0.2">
      <c r="A365" t="s">
        <v>5873</v>
      </c>
      <c r="B365" t="s">
        <v>5874</v>
      </c>
      <c r="F365" t="s">
        <v>2430</v>
      </c>
      <c r="G365" t="s">
        <v>2431</v>
      </c>
      <c r="H365" t="s">
        <v>2432</v>
      </c>
      <c r="I365" t="s">
        <v>2433</v>
      </c>
      <c r="J365" t="s">
        <v>2434</v>
      </c>
    </row>
    <row r="366" spans="1:10" ht="15" customHeight="1" x14ac:dyDescent="0.2">
      <c r="A366" s="420">
        <v>46042</v>
      </c>
      <c r="B366" t="s">
        <v>2439</v>
      </c>
      <c r="C366" t="s">
        <v>5873</v>
      </c>
      <c r="D366" t="s">
        <v>8112</v>
      </c>
      <c r="E366" t="s">
        <v>8113</v>
      </c>
      <c r="G366">
        <v>34475.800000000003</v>
      </c>
      <c r="I366">
        <v>34475.800000000003</v>
      </c>
    </row>
    <row r="367" spans="1:10" ht="15" customHeight="1" x14ac:dyDescent="0.2">
      <c r="A367" s="420">
        <v>46093</v>
      </c>
      <c r="B367" t="s">
        <v>2439</v>
      </c>
      <c r="C367" t="s">
        <v>5873</v>
      </c>
      <c r="D367" t="s">
        <v>8114</v>
      </c>
      <c r="E367" t="s">
        <v>8115</v>
      </c>
      <c r="G367">
        <v>60332.65</v>
      </c>
      <c r="I367">
        <v>94808.45</v>
      </c>
    </row>
    <row r="368" spans="1:10" ht="15" customHeight="1" x14ac:dyDescent="0.2">
      <c r="A368" s="420">
        <v>46097</v>
      </c>
      <c r="B368" t="s">
        <v>2439</v>
      </c>
      <c r="C368" t="s">
        <v>5873</v>
      </c>
      <c r="D368" t="s">
        <v>8116</v>
      </c>
      <c r="E368" t="s">
        <v>8117</v>
      </c>
      <c r="G368">
        <v>8618.9500000000007</v>
      </c>
      <c r="I368">
        <v>103427.4</v>
      </c>
    </row>
    <row r="369" spans="1:10" ht="15" customHeight="1" x14ac:dyDescent="0.2">
      <c r="A369" t="s">
        <v>5873</v>
      </c>
      <c r="E369" t="s">
        <v>349</v>
      </c>
      <c r="G369">
        <v>103427.4</v>
      </c>
      <c r="I369">
        <v>103427.4</v>
      </c>
    </row>
    <row r="371" spans="1:10" ht="15" customHeight="1" x14ac:dyDescent="0.2">
      <c r="A371" t="s">
        <v>5903</v>
      </c>
      <c r="B371" t="s">
        <v>5904</v>
      </c>
      <c r="F371" t="s">
        <v>2430</v>
      </c>
      <c r="G371" t="s">
        <v>2431</v>
      </c>
      <c r="H371" t="s">
        <v>2432</v>
      </c>
      <c r="I371" t="s">
        <v>2433</v>
      </c>
      <c r="J371" t="s">
        <v>2434</v>
      </c>
    </row>
    <row r="372" spans="1:10" ht="15" customHeight="1" x14ac:dyDescent="0.2">
      <c r="A372" s="420">
        <v>46030</v>
      </c>
      <c r="B372" t="s">
        <v>2439</v>
      </c>
      <c r="C372" t="s">
        <v>5903</v>
      </c>
      <c r="D372" t="s">
        <v>8118</v>
      </c>
      <c r="E372" t="s">
        <v>8119</v>
      </c>
      <c r="G372">
        <v>29075.48</v>
      </c>
      <c r="I372">
        <v>29075.48</v>
      </c>
    </row>
    <row r="373" spans="1:10" ht="15" customHeight="1" x14ac:dyDescent="0.2">
      <c r="A373" s="420">
        <v>46077</v>
      </c>
      <c r="B373" t="s">
        <v>2439</v>
      </c>
      <c r="C373" t="s">
        <v>5903</v>
      </c>
      <c r="D373" t="s">
        <v>8120</v>
      </c>
      <c r="E373" t="s">
        <v>8121</v>
      </c>
      <c r="G373">
        <v>38100.86</v>
      </c>
      <c r="I373">
        <v>67176.34</v>
      </c>
    </row>
    <row r="374" spans="1:10" ht="15" customHeight="1" x14ac:dyDescent="0.2">
      <c r="A374" t="s">
        <v>5903</v>
      </c>
      <c r="E374" t="s">
        <v>349</v>
      </c>
      <c r="G374">
        <v>67176.34</v>
      </c>
      <c r="I374">
        <v>67176.34</v>
      </c>
    </row>
    <row r="376" spans="1:10" ht="15" customHeight="1" x14ac:dyDescent="0.2">
      <c r="A376" t="s">
        <v>5948</v>
      </c>
      <c r="B376" t="s">
        <v>5949</v>
      </c>
      <c r="F376" t="s">
        <v>2430</v>
      </c>
      <c r="G376" t="s">
        <v>2431</v>
      </c>
      <c r="H376" t="s">
        <v>2432</v>
      </c>
      <c r="I376" t="s">
        <v>2433</v>
      </c>
      <c r="J376" t="s">
        <v>2434</v>
      </c>
    </row>
    <row r="377" spans="1:10" ht="15" customHeight="1" x14ac:dyDescent="0.2">
      <c r="A377" s="420">
        <v>46027</v>
      </c>
      <c r="B377" t="s">
        <v>5544</v>
      </c>
      <c r="C377" t="s">
        <v>5948</v>
      </c>
      <c r="D377" t="s">
        <v>8122</v>
      </c>
      <c r="E377" t="s">
        <v>8123</v>
      </c>
      <c r="F377">
        <v>165909.75</v>
      </c>
      <c r="H377">
        <v>165909.75</v>
      </c>
    </row>
    <row r="378" spans="1:10" ht="15" customHeight="1" x14ac:dyDescent="0.2">
      <c r="A378" t="s">
        <v>5948</v>
      </c>
      <c r="E378" t="s">
        <v>349</v>
      </c>
      <c r="F378">
        <v>165909.75</v>
      </c>
      <c r="H378">
        <v>165909.75</v>
      </c>
    </row>
    <row r="380" spans="1:10" ht="15" customHeight="1" x14ac:dyDescent="0.2">
      <c r="A380" t="s">
        <v>6006</v>
      </c>
      <c r="B380" t="s">
        <v>6007</v>
      </c>
      <c r="F380" t="s">
        <v>2430</v>
      </c>
      <c r="G380" t="s">
        <v>2431</v>
      </c>
      <c r="H380" t="s">
        <v>2432</v>
      </c>
      <c r="I380" t="s">
        <v>2433</v>
      </c>
      <c r="J380" t="s">
        <v>2434</v>
      </c>
    </row>
    <row r="381" spans="1:10" ht="15" customHeight="1" x14ac:dyDescent="0.2">
      <c r="A381" s="420">
        <v>46086</v>
      </c>
      <c r="B381" t="s">
        <v>2439</v>
      </c>
      <c r="C381" t="s">
        <v>6006</v>
      </c>
      <c r="D381" t="s">
        <v>8124</v>
      </c>
      <c r="E381" t="s">
        <v>8125</v>
      </c>
      <c r="G381">
        <v>25313.34</v>
      </c>
      <c r="I381">
        <v>25313.34</v>
      </c>
    </row>
    <row r="382" spans="1:10" ht="15" customHeight="1" x14ac:dyDescent="0.2">
      <c r="A382" t="s">
        <v>6006</v>
      </c>
      <c r="E382" t="s">
        <v>349</v>
      </c>
      <c r="G382">
        <v>25313.34</v>
      </c>
      <c r="I382">
        <v>25313.34</v>
      </c>
    </row>
    <row r="384" spans="1:10" ht="15" customHeight="1" x14ac:dyDescent="0.2">
      <c r="A384" t="s">
        <v>8126</v>
      </c>
      <c r="B384" t="s">
        <v>8127</v>
      </c>
      <c r="F384" t="s">
        <v>2430</v>
      </c>
      <c r="G384" t="s">
        <v>2431</v>
      </c>
      <c r="H384" t="s">
        <v>2432</v>
      </c>
      <c r="I384" t="s">
        <v>2433</v>
      </c>
      <c r="J384" t="s">
        <v>2434</v>
      </c>
    </row>
    <row r="385" spans="1:10" ht="15" customHeight="1" x14ac:dyDescent="0.2">
      <c r="A385" s="420">
        <v>46070</v>
      </c>
      <c r="B385" t="s">
        <v>2333</v>
      </c>
      <c r="C385" t="s">
        <v>8126</v>
      </c>
      <c r="D385" t="s">
        <v>8128</v>
      </c>
      <c r="E385" t="s">
        <v>8129</v>
      </c>
      <c r="G385">
        <v>21854.1</v>
      </c>
      <c r="I385">
        <v>21854.1</v>
      </c>
    </row>
    <row r="386" spans="1:10" ht="15" customHeight="1" x14ac:dyDescent="0.2">
      <c r="A386" s="420">
        <v>46070</v>
      </c>
      <c r="B386" t="s">
        <v>2439</v>
      </c>
      <c r="C386" t="s">
        <v>8126</v>
      </c>
      <c r="D386" t="s">
        <v>8130</v>
      </c>
      <c r="E386" t="s">
        <v>8131</v>
      </c>
      <c r="G386">
        <v>14569.4</v>
      </c>
      <c r="I386">
        <v>36423.5</v>
      </c>
    </row>
    <row r="387" spans="1:10" ht="15" customHeight="1" x14ac:dyDescent="0.2">
      <c r="A387" t="s">
        <v>8126</v>
      </c>
      <c r="E387" t="s">
        <v>349</v>
      </c>
      <c r="G387">
        <v>36423.5</v>
      </c>
      <c r="I387">
        <v>36423.5</v>
      </c>
    </row>
    <row r="389" spans="1:10" ht="15" customHeight="1" x14ac:dyDescent="0.2">
      <c r="A389" t="s">
        <v>8132</v>
      </c>
      <c r="B389" t="s">
        <v>8133</v>
      </c>
      <c r="F389" t="s">
        <v>2430</v>
      </c>
      <c r="G389" t="s">
        <v>2431</v>
      </c>
      <c r="H389" t="s">
        <v>2432</v>
      </c>
      <c r="I389" t="s">
        <v>2433</v>
      </c>
      <c r="J389" t="s">
        <v>2434</v>
      </c>
    </row>
    <row r="390" spans="1:10" ht="15" customHeight="1" x14ac:dyDescent="0.2">
      <c r="A390" s="420">
        <v>46058</v>
      </c>
      <c r="B390" t="s">
        <v>2333</v>
      </c>
      <c r="C390" t="s">
        <v>8132</v>
      </c>
      <c r="D390" t="s">
        <v>8134</v>
      </c>
      <c r="E390" t="s">
        <v>8135</v>
      </c>
      <c r="G390">
        <v>1360</v>
      </c>
      <c r="I390">
        <v>1360</v>
      </c>
    </row>
    <row r="391" spans="1:10" ht="15" customHeight="1" x14ac:dyDescent="0.2">
      <c r="A391" s="420">
        <v>46058</v>
      </c>
      <c r="B391" t="s">
        <v>2333</v>
      </c>
      <c r="C391" t="s">
        <v>8132</v>
      </c>
      <c r="D391" t="s">
        <v>8134</v>
      </c>
      <c r="E391" t="s">
        <v>8136</v>
      </c>
      <c r="G391">
        <v>14240</v>
      </c>
      <c r="I391">
        <v>15600</v>
      </c>
    </row>
    <row r="392" spans="1:10" ht="15" customHeight="1" x14ac:dyDescent="0.2">
      <c r="A392" s="420">
        <v>46066</v>
      </c>
      <c r="B392" t="s">
        <v>2439</v>
      </c>
      <c r="C392" t="s">
        <v>8132</v>
      </c>
      <c r="D392" t="s">
        <v>8137</v>
      </c>
      <c r="E392" t="s">
        <v>8138</v>
      </c>
      <c r="G392">
        <v>20000</v>
      </c>
      <c r="I392">
        <v>35600</v>
      </c>
    </row>
    <row r="393" spans="1:10" ht="15" customHeight="1" x14ac:dyDescent="0.2">
      <c r="A393" t="s">
        <v>8132</v>
      </c>
      <c r="E393" t="s">
        <v>349</v>
      </c>
      <c r="G393">
        <v>35600</v>
      </c>
      <c r="I393">
        <v>35600</v>
      </c>
    </row>
    <row r="395" spans="1:10" ht="15" customHeight="1" x14ac:dyDescent="0.2">
      <c r="A395" t="s">
        <v>6061</v>
      </c>
      <c r="B395" t="s">
        <v>6062</v>
      </c>
      <c r="F395" t="s">
        <v>2430</v>
      </c>
      <c r="G395" t="s">
        <v>2431</v>
      </c>
      <c r="H395" t="s">
        <v>2432</v>
      </c>
      <c r="I395" t="s">
        <v>2433</v>
      </c>
      <c r="J395" t="s">
        <v>2434</v>
      </c>
    </row>
    <row r="396" spans="1:10" ht="15" customHeight="1" x14ac:dyDescent="0.2">
      <c r="A396" s="420">
        <v>46023</v>
      </c>
      <c r="B396" t="s">
        <v>2435</v>
      </c>
      <c r="C396" t="s">
        <v>6061</v>
      </c>
      <c r="D396" t="s">
        <v>7957</v>
      </c>
      <c r="E396" t="s">
        <v>5909</v>
      </c>
      <c r="G396">
        <v>47126.25</v>
      </c>
      <c r="I396">
        <v>47126.25</v>
      </c>
    </row>
    <row r="397" spans="1:10" ht="15" customHeight="1" x14ac:dyDescent="0.2">
      <c r="A397" s="420">
        <v>46023</v>
      </c>
      <c r="B397" t="s">
        <v>2435</v>
      </c>
      <c r="C397" t="s">
        <v>6061</v>
      </c>
      <c r="D397" t="s">
        <v>7957</v>
      </c>
      <c r="E397" t="s">
        <v>5885</v>
      </c>
      <c r="G397">
        <v>68951.600000000006</v>
      </c>
      <c r="I397">
        <v>116077.85</v>
      </c>
    </row>
    <row r="398" spans="1:10" ht="15" customHeight="1" x14ac:dyDescent="0.2">
      <c r="A398" s="420">
        <v>46023</v>
      </c>
      <c r="B398" t="s">
        <v>2435</v>
      </c>
      <c r="C398" t="s">
        <v>6061</v>
      </c>
      <c r="D398" t="s">
        <v>7957</v>
      </c>
      <c r="E398" t="s">
        <v>5872</v>
      </c>
      <c r="G398">
        <v>70557.919999999998</v>
      </c>
      <c r="I398">
        <v>186635.77</v>
      </c>
    </row>
    <row r="399" spans="1:10" ht="15" customHeight="1" x14ac:dyDescent="0.2">
      <c r="A399" s="420">
        <v>46023</v>
      </c>
      <c r="B399" t="s">
        <v>2435</v>
      </c>
      <c r="C399" t="s">
        <v>6061</v>
      </c>
      <c r="D399" t="s">
        <v>7957</v>
      </c>
      <c r="E399" t="s">
        <v>5853</v>
      </c>
      <c r="G399">
        <v>35179.5</v>
      </c>
      <c r="I399">
        <v>221815.27</v>
      </c>
    </row>
    <row r="400" spans="1:10" ht="15" customHeight="1" x14ac:dyDescent="0.2">
      <c r="A400" s="420">
        <v>46023</v>
      </c>
      <c r="B400" t="s">
        <v>2435</v>
      </c>
      <c r="C400" t="s">
        <v>6061</v>
      </c>
      <c r="D400" t="s">
        <v>7957</v>
      </c>
      <c r="E400" t="s">
        <v>5755</v>
      </c>
      <c r="G400">
        <v>69416</v>
      </c>
      <c r="I400">
        <v>291231.27</v>
      </c>
    </row>
    <row r="401" spans="1:10" ht="15" customHeight="1" x14ac:dyDescent="0.2">
      <c r="A401" s="420">
        <v>46023</v>
      </c>
      <c r="B401" t="s">
        <v>2435</v>
      </c>
      <c r="C401" t="s">
        <v>6061</v>
      </c>
      <c r="D401" t="s">
        <v>7957</v>
      </c>
      <c r="E401" t="s">
        <v>5748</v>
      </c>
      <c r="G401">
        <v>89846.68</v>
      </c>
      <c r="I401">
        <v>381077.95</v>
      </c>
    </row>
    <row r="402" spans="1:10" ht="15" customHeight="1" x14ac:dyDescent="0.2">
      <c r="A402" s="420">
        <v>46023</v>
      </c>
      <c r="B402" t="s">
        <v>2435</v>
      </c>
      <c r="C402" t="s">
        <v>6061</v>
      </c>
      <c r="D402" t="s">
        <v>7957</v>
      </c>
      <c r="E402" t="s">
        <v>5664</v>
      </c>
      <c r="G402">
        <v>82526.69</v>
      </c>
      <c r="I402">
        <v>463604.64</v>
      </c>
    </row>
    <row r="403" spans="1:10" ht="15" customHeight="1" x14ac:dyDescent="0.2">
      <c r="A403" s="420">
        <v>46023</v>
      </c>
      <c r="B403" t="s">
        <v>2435</v>
      </c>
      <c r="C403" t="s">
        <v>6061</v>
      </c>
      <c r="D403" t="s">
        <v>7957</v>
      </c>
      <c r="E403" t="s">
        <v>5623</v>
      </c>
      <c r="G403">
        <v>63655.34</v>
      </c>
      <c r="I403">
        <v>527259.98</v>
      </c>
    </row>
    <row r="404" spans="1:10" ht="15" customHeight="1" x14ac:dyDescent="0.2">
      <c r="A404" s="420">
        <v>46023</v>
      </c>
      <c r="B404" t="s">
        <v>2435</v>
      </c>
      <c r="C404" t="s">
        <v>6061</v>
      </c>
      <c r="D404" t="s">
        <v>7957</v>
      </c>
      <c r="E404" t="s">
        <v>5606</v>
      </c>
      <c r="G404">
        <v>41465.25</v>
      </c>
      <c r="I404">
        <v>568725.23</v>
      </c>
    </row>
    <row r="405" spans="1:10" ht="15" customHeight="1" x14ac:dyDescent="0.2">
      <c r="A405" s="420">
        <v>46023</v>
      </c>
      <c r="B405" t="s">
        <v>2435</v>
      </c>
      <c r="C405" t="s">
        <v>6061</v>
      </c>
      <c r="D405" t="s">
        <v>7957</v>
      </c>
      <c r="E405" t="s">
        <v>5595</v>
      </c>
      <c r="G405">
        <v>41367</v>
      </c>
      <c r="I405">
        <v>610092.23</v>
      </c>
    </row>
    <row r="406" spans="1:10" ht="15" customHeight="1" x14ac:dyDescent="0.2">
      <c r="A406" s="420">
        <v>46023</v>
      </c>
      <c r="B406" t="s">
        <v>2435</v>
      </c>
      <c r="C406" t="s">
        <v>6061</v>
      </c>
      <c r="D406" t="s">
        <v>7957</v>
      </c>
      <c r="E406" t="s">
        <v>5572</v>
      </c>
      <c r="G406">
        <v>102781.05</v>
      </c>
      <c r="I406">
        <v>712873.28</v>
      </c>
    </row>
    <row r="407" spans="1:10" ht="15" customHeight="1" x14ac:dyDescent="0.2">
      <c r="A407" s="420">
        <v>46023</v>
      </c>
      <c r="B407" t="s">
        <v>2435</v>
      </c>
      <c r="C407" t="s">
        <v>6061</v>
      </c>
      <c r="D407" t="s">
        <v>7957</v>
      </c>
      <c r="E407" t="s">
        <v>6011</v>
      </c>
      <c r="G407">
        <v>41028.5</v>
      </c>
      <c r="I407">
        <v>753901.78</v>
      </c>
    </row>
    <row r="408" spans="1:10" ht="15" customHeight="1" x14ac:dyDescent="0.2">
      <c r="A408" s="420">
        <v>46023</v>
      </c>
      <c r="B408" t="s">
        <v>2435</v>
      </c>
      <c r="C408" t="s">
        <v>6061</v>
      </c>
      <c r="D408" t="s">
        <v>7957</v>
      </c>
      <c r="E408" t="s">
        <v>5964</v>
      </c>
      <c r="G408">
        <v>157614.26</v>
      </c>
      <c r="I408">
        <v>911516.04</v>
      </c>
    </row>
    <row r="409" spans="1:10" ht="15" customHeight="1" x14ac:dyDescent="0.2">
      <c r="A409" t="s">
        <v>6061</v>
      </c>
      <c r="E409" t="s">
        <v>349</v>
      </c>
      <c r="G409">
        <v>911516.04</v>
      </c>
      <c r="I409">
        <v>911516.04</v>
      </c>
    </row>
    <row r="411" spans="1:10" ht="15" customHeight="1" x14ac:dyDescent="0.2">
      <c r="A411" t="s">
        <v>6067</v>
      </c>
      <c r="B411" t="s">
        <v>6068</v>
      </c>
      <c r="F411" t="s">
        <v>2430</v>
      </c>
      <c r="G411" t="s">
        <v>2431</v>
      </c>
      <c r="H411" t="s">
        <v>2432</v>
      </c>
      <c r="I411" t="s">
        <v>2433</v>
      </c>
      <c r="J411" t="s">
        <v>2434</v>
      </c>
    </row>
    <row r="412" spans="1:10" ht="15" customHeight="1" x14ac:dyDescent="0.2">
      <c r="A412" s="420">
        <v>46112</v>
      </c>
      <c r="B412" t="s">
        <v>6077</v>
      </c>
      <c r="C412" t="s">
        <v>6067</v>
      </c>
      <c r="E412" t="s">
        <v>2099</v>
      </c>
      <c r="G412">
        <v>5115.93</v>
      </c>
      <c r="I412">
        <v>5115.93</v>
      </c>
    </row>
    <row r="413" spans="1:10" ht="15" customHeight="1" x14ac:dyDescent="0.2">
      <c r="A413" t="s">
        <v>6067</v>
      </c>
      <c r="E413" t="s">
        <v>349</v>
      </c>
      <c r="G413">
        <v>5115.93</v>
      </c>
      <c r="I413">
        <v>5115.93</v>
      </c>
    </row>
    <row r="415" spans="1:10" ht="15" customHeight="1" x14ac:dyDescent="0.2">
      <c r="A415" t="s">
        <v>6155</v>
      </c>
      <c r="B415" t="s">
        <v>6156</v>
      </c>
      <c r="F415" t="s">
        <v>2430</v>
      </c>
      <c r="G415" t="s">
        <v>2431</v>
      </c>
      <c r="H415" t="s">
        <v>2432</v>
      </c>
      <c r="I415" t="s">
        <v>2433</v>
      </c>
      <c r="J415" t="s">
        <v>2434</v>
      </c>
    </row>
    <row r="416" spans="1:10" ht="15" customHeight="1" x14ac:dyDescent="0.2">
      <c r="A416" s="420">
        <v>46023</v>
      </c>
      <c r="B416" t="s">
        <v>2435</v>
      </c>
      <c r="C416" t="s">
        <v>6155</v>
      </c>
      <c r="D416" t="s">
        <v>7957</v>
      </c>
      <c r="E416" t="s">
        <v>1052</v>
      </c>
      <c r="G416">
        <v>3075.16</v>
      </c>
      <c r="I416">
        <v>3075.16</v>
      </c>
    </row>
    <row r="417" spans="1:10" ht="15" customHeight="1" x14ac:dyDescent="0.2">
      <c r="A417" s="420">
        <v>46023</v>
      </c>
      <c r="B417" t="s">
        <v>2435</v>
      </c>
      <c r="C417" t="s">
        <v>6155</v>
      </c>
      <c r="D417" t="s">
        <v>7957</v>
      </c>
      <c r="E417" t="s">
        <v>938</v>
      </c>
      <c r="F417">
        <v>3360.07</v>
      </c>
      <c r="H417">
        <v>284.91000000000003</v>
      </c>
    </row>
    <row r="418" spans="1:10" ht="15" customHeight="1" x14ac:dyDescent="0.2">
      <c r="A418" s="420">
        <v>46023</v>
      </c>
      <c r="B418" t="s">
        <v>2435</v>
      </c>
      <c r="C418" t="s">
        <v>6155</v>
      </c>
      <c r="D418" t="s">
        <v>7957</v>
      </c>
      <c r="E418" t="s">
        <v>6157</v>
      </c>
      <c r="G418">
        <v>3360.07</v>
      </c>
      <c r="I418">
        <v>3075.16</v>
      </c>
    </row>
    <row r="419" spans="1:10" ht="15" customHeight="1" x14ac:dyDescent="0.2">
      <c r="A419" t="s">
        <v>6155</v>
      </c>
      <c r="E419" t="s">
        <v>349</v>
      </c>
      <c r="F419">
        <v>3360.07</v>
      </c>
      <c r="G419">
        <v>6435.23</v>
      </c>
      <c r="I419">
        <v>3075.16</v>
      </c>
    </row>
    <row r="421" spans="1:10" ht="15" customHeight="1" x14ac:dyDescent="0.2">
      <c r="A421" t="s">
        <v>6161</v>
      </c>
      <c r="B421" t="s">
        <v>6162</v>
      </c>
      <c r="F421" t="s">
        <v>2430</v>
      </c>
      <c r="G421" t="s">
        <v>2431</v>
      </c>
      <c r="H421" t="s">
        <v>2432</v>
      </c>
      <c r="I421" t="s">
        <v>2433</v>
      </c>
      <c r="J421" t="s">
        <v>2434</v>
      </c>
    </row>
    <row r="422" spans="1:10" ht="15" customHeight="1" x14ac:dyDescent="0.2">
      <c r="A422" s="420">
        <v>46053</v>
      </c>
      <c r="B422" t="s">
        <v>6077</v>
      </c>
      <c r="C422" t="s">
        <v>6161</v>
      </c>
      <c r="E422" t="s">
        <v>8139</v>
      </c>
      <c r="G422">
        <v>3500.46</v>
      </c>
      <c r="I422">
        <v>3500.46</v>
      </c>
    </row>
    <row r="423" spans="1:10" ht="15" customHeight="1" x14ac:dyDescent="0.2">
      <c r="A423" s="420">
        <v>46053</v>
      </c>
      <c r="B423" t="s">
        <v>6077</v>
      </c>
      <c r="C423" t="s">
        <v>6161</v>
      </c>
      <c r="E423" t="s">
        <v>8140</v>
      </c>
      <c r="G423">
        <v>7.24</v>
      </c>
      <c r="I423">
        <v>3507.7</v>
      </c>
    </row>
    <row r="424" spans="1:10" ht="15" customHeight="1" x14ac:dyDescent="0.2">
      <c r="A424" s="420">
        <v>46070</v>
      </c>
      <c r="B424" t="s">
        <v>2333</v>
      </c>
      <c r="C424" t="s">
        <v>6161</v>
      </c>
      <c r="D424" t="s">
        <v>8141</v>
      </c>
      <c r="E424" t="s">
        <v>8142</v>
      </c>
      <c r="F424">
        <v>3452</v>
      </c>
      <c r="I424">
        <v>55.7</v>
      </c>
    </row>
    <row r="425" spans="1:10" ht="15" customHeight="1" x14ac:dyDescent="0.2">
      <c r="A425" s="420">
        <v>46081</v>
      </c>
      <c r="B425" t="s">
        <v>6077</v>
      </c>
      <c r="C425" t="s">
        <v>6161</v>
      </c>
      <c r="E425" t="s">
        <v>8143</v>
      </c>
      <c r="G425">
        <v>4292.34</v>
      </c>
      <c r="I425">
        <v>4348.04</v>
      </c>
    </row>
    <row r="426" spans="1:10" ht="15" customHeight="1" x14ac:dyDescent="0.2">
      <c r="A426" s="420">
        <v>46081</v>
      </c>
      <c r="B426" t="s">
        <v>6077</v>
      </c>
      <c r="C426" t="s">
        <v>6161</v>
      </c>
      <c r="E426" t="s">
        <v>8144</v>
      </c>
      <c r="G426">
        <v>7.67</v>
      </c>
      <c r="I426">
        <v>4355.71</v>
      </c>
    </row>
    <row r="427" spans="1:10" ht="15" customHeight="1" x14ac:dyDescent="0.2">
      <c r="A427" s="420">
        <v>46098</v>
      </c>
      <c r="B427" t="s">
        <v>2333</v>
      </c>
      <c r="C427" t="s">
        <v>6161</v>
      </c>
      <c r="D427" t="s">
        <v>8145</v>
      </c>
      <c r="E427" t="s">
        <v>8146</v>
      </c>
      <c r="F427">
        <v>4242</v>
      </c>
      <c r="I427">
        <v>113.71</v>
      </c>
    </row>
    <row r="428" spans="1:10" ht="15" customHeight="1" x14ac:dyDescent="0.2">
      <c r="A428" s="420">
        <v>46112</v>
      </c>
      <c r="B428" t="s">
        <v>6077</v>
      </c>
      <c r="C428" t="s">
        <v>6161</v>
      </c>
      <c r="E428" t="s">
        <v>8147</v>
      </c>
      <c r="G428">
        <v>2605.34</v>
      </c>
      <c r="I428">
        <v>2719.05</v>
      </c>
    </row>
    <row r="429" spans="1:10" ht="15" customHeight="1" x14ac:dyDescent="0.2">
      <c r="A429" s="420">
        <v>46112</v>
      </c>
      <c r="B429" t="s">
        <v>6077</v>
      </c>
      <c r="C429" t="s">
        <v>6161</v>
      </c>
      <c r="E429" t="s">
        <v>8148</v>
      </c>
      <c r="G429">
        <v>4.8099999999999996</v>
      </c>
      <c r="I429">
        <v>2723.86</v>
      </c>
    </row>
    <row r="430" spans="1:10" ht="15" customHeight="1" x14ac:dyDescent="0.2">
      <c r="A430" t="s">
        <v>6161</v>
      </c>
      <c r="E430" t="s">
        <v>349</v>
      </c>
      <c r="F430">
        <v>7694</v>
      </c>
      <c r="G430">
        <v>10417.86</v>
      </c>
      <c r="I430">
        <v>2723.86</v>
      </c>
    </row>
    <row r="432" spans="1:10" ht="15" customHeight="1" x14ac:dyDescent="0.2">
      <c r="A432" t="s">
        <v>6206</v>
      </c>
      <c r="B432" t="s">
        <v>6207</v>
      </c>
      <c r="F432" t="s">
        <v>2430</v>
      </c>
      <c r="G432" t="s">
        <v>2431</v>
      </c>
      <c r="H432" t="s">
        <v>2432</v>
      </c>
      <c r="I432" t="s">
        <v>2433</v>
      </c>
      <c r="J432" t="s">
        <v>2434</v>
      </c>
    </row>
    <row r="433" spans="1:10" ht="15" customHeight="1" x14ac:dyDescent="0.2">
      <c r="A433" s="420">
        <v>46053</v>
      </c>
      <c r="B433" t="s">
        <v>6077</v>
      </c>
      <c r="C433" t="s">
        <v>6206</v>
      </c>
      <c r="E433" t="s">
        <v>8149</v>
      </c>
      <c r="G433">
        <v>78.680000000000007</v>
      </c>
      <c r="I433">
        <v>78.680000000000007</v>
      </c>
    </row>
    <row r="434" spans="1:10" ht="15" customHeight="1" x14ac:dyDescent="0.2">
      <c r="A434" s="420">
        <v>46053</v>
      </c>
      <c r="B434" t="s">
        <v>6077</v>
      </c>
      <c r="C434" t="s">
        <v>6206</v>
      </c>
      <c r="E434" t="s">
        <v>8150</v>
      </c>
      <c r="G434">
        <v>118</v>
      </c>
      <c r="I434">
        <v>196.68</v>
      </c>
    </row>
    <row r="435" spans="1:10" ht="15" customHeight="1" x14ac:dyDescent="0.2">
      <c r="A435" s="420">
        <v>46081</v>
      </c>
      <c r="B435" t="s">
        <v>6077</v>
      </c>
      <c r="C435" t="s">
        <v>6206</v>
      </c>
      <c r="E435" t="s">
        <v>8151</v>
      </c>
      <c r="G435">
        <v>76.92</v>
      </c>
      <c r="I435">
        <v>273.60000000000002</v>
      </c>
    </row>
    <row r="436" spans="1:10" ht="15" customHeight="1" x14ac:dyDescent="0.2">
      <c r="A436" s="420">
        <v>46112</v>
      </c>
      <c r="B436" t="s">
        <v>6077</v>
      </c>
      <c r="C436" t="s">
        <v>6206</v>
      </c>
      <c r="E436" t="s">
        <v>8152</v>
      </c>
      <c r="G436">
        <v>45.78</v>
      </c>
      <c r="I436">
        <v>319.38</v>
      </c>
    </row>
    <row r="437" spans="1:10" ht="15" customHeight="1" x14ac:dyDescent="0.2">
      <c r="A437" s="420">
        <v>46112</v>
      </c>
      <c r="B437" t="s">
        <v>6077</v>
      </c>
      <c r="C437" t="s">
        <v>6206</v>
      </c>
      <c r="E437" t="s">
        <v>8153</v>
      </c>
      <c r="G437">
        <v>118</v>
      </c>
      <c r="I437">
        <v>437.38</v>
      </c>
    </row>
    <row r="438" spans="1:10" ht="15" customHeight="1" x14ac:dyDescent="0.2">
      <c r="A438" t="s">
        <v>6206</v>
      </c>
      <c r="E438" t="s">
        <v>349</v>
      </c>
      <c r="G438">
        <v>437.38</v>
      </c>
      <c r="I438">
        <v>437.38</v>
      </c>
    </row>
    <row r="440" spans="1:10" ht="15" customHeight="1" x14ac:dyDescent="0.2">
      <c r="A440" t="s">
        <v>6228</v>
      </c>
      <c r="B440" t="s">
        <v>6229</v>
      </c>
      <c r="F440" t="s">
        <v>2430</v>
      </c>
      <c r="G440" t="s">
        <v>2431</v>
      </c>
      <c r="H440" t="s">
        <v>2432</v>
      </c>
      <c r="I440" t="s">
        <v>2433</v>
      </c>
      <c r="J440" t="s">
        <v>2434</v>
      </c>
    </row>
    <row r="441" spans="1:10" ht="15" customHeight="1" x14ac:dyDescent="0.2">
      <c r="A441" s="420">
        <v>46053</v>
      </c>
      <c r="B441" t="s">
        <v>6077</v>
      </c>
      <c r="C441" t="s">
        <v>6228</v>
      </c>
      <c r="E441" t="s">
        <v>2093</v>
      </c>
      <c r="G441">
        <v>1.6</v>
      </c>
      <c r="I441">
        <v>1.6</v>
      </c>
    </row>
    <row r="442" spans="1:10" ht="15" customHeight="1" x14ac:dyDescent="0.2">
      <c r="A442" s="420">
        <v>46081</v>
      </c>
      <c r="B442" t="s">
        <v>6077</v>
      </c>
      <c r="C442" t="s">
        <v>6228</v>
      </c>
      <c r="E442" t="s">
        <v>2096</v>
      </c>
      <c r="G442">
        <v>1.7</v>
      </c>
      <c r="I442">
        <v>3.3</v>
      </c>
    </row>
    <row r="443" spans="1:10" ht="15" customHeight="1" x14ac:dyDescent="0.2">
      <c r="A443" s="420">
        <v>46112</v>
      </c>
      <c r="B443" t="s">
        <v>6077</v>
      </c>
      <c r="C443" t="s">
        <v>6228</v>
      </c>
      <c r="E443" t="s">
        <v>2099</v>
      </c>
      <c r="G443">
        <v>1.07</v>
      </c>
      <c r="I443">
        <v>4.37</v>
      </c>
    </row>
    <row r="444" spans="1:10" ht="15" customHeight="1" x14ac:dyDescent="0.2">
      <c r="A444" t="s">
        <v>6228</v>
      </c>
      <c r="E444" t="s">
        <v>349</v>
      </c>
      <c r="G444">
        <v>4.37</v>
      </c>
      <c r="I444">
        <v>4.37</v>
      </c>
    </row>
    <row r="446" spans="1:10" ht="15" customHeight="1" x14ac:dyDescent="0.2">
      <c r="A446" t="s">
        <v>6232</v>
      </c>
      <c r="B446" t="s">
        <v>6233</v>
      </c>
      <c r="F446" t="s">
        <v>2430</v>
      </c>
      <c r="G446" t="s">
        <v>2431</v>
      </c>
      <c r="H446" t="s">
        <v>2432</v>
      </c>
      <c r="I446" t="s">
        <v>2433</v>
      </c>
      <c r="J446" t="s">
        <v>2434</v>
      </c>
    </row>
    <row r="447" spans="1:10" ht="15" customHeight="1" x14ac:dyDescent="0.2">
      <c r="A447" s="420">
        <v>46112</v>
      </c>
      <c r="B447" t="s">
        <v>6077</v>
      </c>
      <c r="C447" t="s">
        <v>6232</v>
      </c>
      <c r="E447" t="s">
        <v>2099</v>
      </c>
      <c r="G447">
        <v>316.13</v>
      </c>
      <c r="I447">
        <v>316.13</v>
      </c>
    </row>
    <row r="448" spans="1:10" ht="15" customHeight="1" x14ac:dyDescent="0.2">
      <c r="A448" t="s">
        <v>6232</v>
      </c>
      <c r="E448" t="s">
        <v>349</v>
      </c>
      <c r="G448">
        <v>316.13</v>
      </c>
      <c r="I448">
        <v>316.13</v>
      </c>
    </row>
    <row r="450" spans="1:10" ht="15" customHeight="1" x14ac:dyDescent="0.2">
      <c r="A450" t="s">
        <v>6260</v>
      </c>
      <c r="B450" t="s">
        <v>6156</v>
      </c>
      <c r="F450" t="s">
        <v>2430</v>
      </c>
      <c r="G450" t="s">
        <v>2431</v>
      </c>
      <c r="H450" t="s">
        <v>2432</v>
      </c>
      <c r="I450" t="s">
        <v>2433</v>
      </c>
      <c r="J450" t="s">
        <v>2434</v>
      </c>
    </row>
    <row r="451" spans="1:10" ht="15" customHeight="1" x14ac:dyDescent="0.2">
      <c r="A451" s="420">
        <v>46023</v>
      </c>
      <c r="B451" t="s">
        <v>2435</v>
      </c>
      <c r="C451" t="s">
        <v>6260</v>
      </c>
      <c r="D451" t="s">
        <v>7957</v>
      </c>
      <c r="E451" t="s">
        <v>1052</v>
      </c>
      <c r="G451">
        <v>737.87</v>
      </c>
      <c r="I451">
        <v>737.87</v>
      </c>
    </row>
    <row r="452" spans="1:10" ht="15" customHeight="1" x14ac:dyDescent="0.2">
      <c r="A452" s="420">
        <v>46023</v>
      </c>
      <c r="B452" t="s">
        <v>2435</v>
      </c>
      <c r="C452" t="s">
        <v>6260</v>
      </c>
      <c r="D452" t="s">
        <v>7957</v>
      </c>
      <c r="E452" t="s">
        <v>938</v>
      </c>
      <c r="F452">
        <v>861.08</v>
      </c>
      <c r="H452">
        <v>123.21</v>
      </c>
    </row>
    <row r="453" spans="1:10" ht="15" customHeight="1" x14ac:dyDescent="0.2">
      <c r="A453" s="420">
        <v>46023</v>
      </c>
      <c r="B453" t="s">
        <v>2435</v>
      </c>
      <c r="C453" t="s">
        <v>6260</v>
      </c>
      <c r="D453" t="s">
        <v>7957</v>
      </c>
      <c r="E453" t="s">
        <v>6157</v>
      </c>
      <c r="G453">
        <v>861.08</v>
      </c>
      <c r="I453">
        <v>737.87</v>
      </c>
    </row>
    <row r="454" spans="1:10" ht="15" customHeight="1" x14ac:dyDescent="0.2">
      <c r="A454" t="s">
        <v>6260</v>
      </c>
      <c r="E454" t="s">
        <v>349</v>
      </c>
      <c r="F454">
        <v>861.08</v>
      </c>
      <c r="G454">
        <v>1598.95</v>
      </c>
      <c r="I454">
        <v>737.87</v>
      </c>
    </row>
    <row r="456" spans="1:10" ht="15" customHeight="1" x14ac:dyDescent="0.2">
      <c r="A456" t="s">
        <v>8154</v>
      </c>
      <c r="B456" t="s">
        <v>8155</v>
      </c>
      <c r="F456" t="s">
        <v>2430</v>
      </c>
      <c r="G456" t="s">
        <v>2431</v>
      </c>
      <c r="H456" t="s">
        <v>2432</v>
      </c>
      <c r="I456" t="s">
        <v>2433</v>
      </c>
      <c r="J456" t="s">
        <v>2434</v>
      </c>
    </row>
    <row r="457" spans="1:10" ht="15" customHeight="1" x14ac:dyDescent="0.2">
      <c r="A457" s="420">
        <v>46053</v>
      </c>
      <c r="B457" t="s">
        <v>6077</v>
      </c>
      <c r="C457" t="s">
        <v>8154</v>
      </c>
      <c r="E457" t="s">
        <v>2093</v>
      </c>
      <c r="G457">
        <v>4.0199999999999996</v>
      </c>
      <c r="I457">
        <v>4.0199999999999996</v>
      </c>
    </row>
    <row r="458" spans="1:10" ht="15" customHeight="1" x14ac:dyDescent="0.2">
      <c r="A458" s="420">
        <v>46081</v>
      </c>
      <c r="B458" t="s">
        <v>6077</v>
      </c>
      <c r="C458" t="s">
        <v>8154</v>
      </c>
      <c r="E458" t="s">
        <v>2096</v>
      </c>
      <c r="G458">
        <v>4.26</v>
      </c>
      <c r="I458">
        <v>8.2799999999999994</v>
      </c>
    </row>
    <row r="459" spans="1:10" ht="15" customHeight="1" x14ac:dyDescent="0.2">
      <c r="A459" s="420">
        <v>46112</v>
      </c>
      <c r="B459" t="s">
        <v>6077</v>
      </c>
      <c r="C459" t="s">
        <v>8154</v>
      </c>
      <c r="E459" t="s">
        <v>2099</v>
      </c>
      <c r="G459">
        <v>2.67</v>
      </c>
      <c r="I459">
        <v>10.95</v>
      </c>
    </row>
    <row r="460" spans="1:10" ht="15" customHeight="1" x14ac:dyDescent="0.2">
      <c r="A460" t="s">
        <v>8154</v>
      </c>
      <c r="E460" t="s">
        <v>349</v>
      </c>
      <c r="G460">
        <v>10.95</v>
      </c>
      <c r="I460">
        <v>10.95</v>
      </c>
    </row>
    <row r="462" spans="1:10" ht="15" customHeight="1" x14ac:dyDescent="0.2">
      <c r="A462" t="s">
        <v>6294</v>
      </c>
      <c r="B462" t="s">
        <v>6295</v>
      </c>
      <c r="F462" t="s">
        <v>2430</v>
      </c>
      <c r="G462" t="s">
        <v>2431</v>
      </c>
      <c r="H462" t="s">
        <v>2432</v>
      </c>
      <c r="I462" t="s">
        <v>2433</v>
      </c>
      <c r="J462" t="s">
        <v>2434</v>
      </c>
    </row>
    <row r="463" spans="1:10" ht="15" customHeight="1" x14ac:dyDescent="0.2">
      <c r="A463" s="420">
        <v>46023</v>
      </c>
      <c r="B463" t="s">
        <v>2435</v>
      </c>
      <c r="C463" t="s">
        <v>6294</v>
      </c>
      <c r="D463" t="s">
        <v>7957</v>
      </c>
      <c r="E463" t="s">
        <v>1193</v>
      </c>
      <c r="G463">
        <v>9509</v>
      </c>
      <c r="I463">
        <v>9509</v>
      </c>
    </row>
    <row r="464" spans="1:10" ht="15" customHeight="1" x14ac:dyDescent="0.2">
      <c r="A464" s="420">
        <v>46023</v>
      </c>
      <c r="B464" t="s">
        <v>2435</v>
      </c>
      <c r="C464" t="s">
        <v>6294</v>
      </c>
      <c r="D464" t="s">
        <v>7957</v>
      </c>
      <c r="E464" t="s">
        <v>869</v>
      </c>
      <c r="F464">
        <v>1800</v>
      </c>
      <c r="I464">
        <v>7709</v>
      </c>
    </row>
    <row r="465" spans="1:10" ht="15" customHeight="1" x14ac:dyDescent="0.2">
      <c r="A465" t="s">
        <v>6294</v>
      </c>
      <c r="E465" t="s">
        <v>349</v>
      </c>
      <c r="F465">
        <v>1800</v>
      </c>
      <c r="G465">
        <v>9509</v>
      </c>
      <c r="I465">
        <v>7709</v>
      </c>
    </row>
    <row r="467" spans="1:10" ht="15" customHeight="1" x14ac:dyDescent="0.2">
      <c r="A467" t="s">
        <v>6303</v>
      </c>
      <c r="B467" t="s">
        <v>6304</v>
      </c>
      <c r="F467" t="s">
        <v>2430</v>
      </c>
      <c r="G467" t="s">
        <v>2431</v>
      </c>
      <c r="H467" t="s">
        <v>2432</v>
      </c>
      <c r="I467" t="s">
        <v>2433</v>
      </c>
      <c r="J467" t="s">
        <v>2434</v>
      </c>
    </row>
    <row r="468" spans="1:10" ht="15" customHeight="1" x14ac:dyDescent="0.2">
      <c r="A468" s="420">
        <v>46096</v>
      </c>
      <c r="B468" t="s">
        <v>2532</v>
      </c>
      <c r="C468" t="s">
        <v>6303</v>
      </c>
      <c r="D468" t="s">
        <v>8156</v>
      </c>
      <c r="E468" t="s">
        <v>2243</v>
      </c>
      <c r="G468">
        <v>52.36</v>
      </c>
      <c r="I468">
        <v>52.36</v>
      </c>
    </row>
    <row r="469" spans="1:10" ht="15" customHeight="1" x14ac:dyDescent="0.2">
      <c r="A469" s="420">
        <v>46112</v>
      </c>
      <c r="B469" t="s">
        <v>2439</v>
      </c>
      <c r="C469" t="s">
        <v>6303</v>
      </c>
      <c r="D469" t="s">
        <v>8157</v>
      </c>
      <c r="E469" t="s">
        <v>8158</v>
      </c>
      <c r="F469">
        <v>52</v>
      </c>
      <c r="I469">
        <v>0.36</v>
      </c>
    </row>
    <row r="470" spans="1:10" ht="15" customHeight="1" x14ac:dyDescent="0.2">
      <c r="A470" t="s">
        <v>6303</v>
      </c>
      <c r="E470" t="s">
        <v>349</v>
      </c>
      <c r="F470">
        <v>52</v>
      </c>
      <c r="G470">
        <v>52.36</v>
      </c>
      <c r="I470">
        <v>0.36</v>
      </c>
    </row>
    <row r="472" spans="1:10" ht="15" customHeight="1" x14ac:dyDescent="0.2">
      <c r="A472" t="s">
        <v>6336</v>
      </c>
      <c r="B472" t="s">
        <v>6337</v>
      </c>
      <c r="F472" t="s">
        <v>2430</v>
      </c>
      <c r="G472" t="s">
        <v>2431</v>
      </c>
      <c r="H472" t="s">
        <v>2432</v>
      </c>
      <c r="I472" t="s">
        <v>2433</v>
      </c>
      <c r="J472" t="s">
        <v>2434</v>
      </c>
    </row>
    <row r="473" spans="1:10" ht="15" customHeight="1" x14ac:dyDescent="0.2">
      <c r="A473" s="420">
        <v>46023</v>
      </c>
      <c r="B473" t="s">
        <v>2435</v>
      </c>
      <c r="C473" t="s">
        <v>6336</v>
      </c>
      <c r="D473" t="s">
        <v>7957</v>
      </c>
      <c r="E473" t="s">
        <v>6346</v>
      </c>
      <c r="G473">
        <v>4</v>
      </c>
      <c r="I473">
        <v>4</v>
      </c>
    </row>
    <row r="474" spans="1:10" ht="15" customHeight="1" x14ac:dyDescent="0.2">
      <c r="A474" s="420">
        <v>46023</v>
      </c>
      <c r="B474" t="s">
        <v>2435</v>
      </c>
      <c r="C474" t="s">
        <v>6336</v>
      </c>
      <c r="D474" t="s">
        <v>7957</v>
      </c>
      <c r="E474" t="s">
        <v>6345</v>
      </c>
      <c r="G474">
        <v>3.36</v>
      </c>
      <c r="I474">
        <v>7.36</v>
      </c>
    </row>
    <row r="475" spans="1:10" ht="15" customHeight="1" x14ac:dyDescent="0.2">
      <c r="A475" s="420">
        <v>46023</v>
      </c>
      <c r="B475" t="s">
        <v>2435</v>
      </c>
      <c r="C475" t="s">
        <v>6336</v>
      </c>
      <c r="D475" t="s">
        <v>7957</v>
      </c>
      <c r="E475" t="s">
        <v>6344</v>
      </c>
      <c r="G475">
        <v>2.4</v>
      </c>
      <c r="I475">
        <v>9.76</v>
      </c>
    </row>
    <row r="476" spans="1:10" ht="15" customHeight="1" x14ac:dyDescent="0.2">
      <c r="A476" s="420">
        <v>46023</v>
      </c>
      <c r="B476" t="s">
        <v>2435</v>
      </c>
      <c r="C476" t="s">
        <v>6336</v>
      </c>
      <c r="D476" t="s">
        <v>7957</v>
      </c>
      <c r="E476" t="s">
        <v>6343</v>
      </c>
      <c r="G476">
        <v>3.36</v>
      </c>
      <c r="I476">
        <v>13.12</v>
      </c>
    </row>
    <row r="477" spans="1:10" ht="15" customHeight="1" x14ac:dyDescent="0.2">
      <c r="A477" s="420">
        <v>46023</v>
      </c>
      <c r="B477" t="s">
        <v>2435</v>
      </c>
      <c r="C477" t="s">
        <v>6336</v>
      </c>
      <c r="D477" t="s">
        <v>7957</v>
      </c>
      <c r="E477" t="s">
        <v>1429</v>
      </c>
      <c r="G477">
        <v>2.4</v>
      </c>
      <c r="I477">
        <v>15.52</v>
      </c>
    </row>
    <row r="478" spans="1:10" ht="15" customHeight="1" x14ac:dyDescent="0.2">
      <c r="A478" s="420">
        <v>46023</v>
      </c>
      <c r="B478" t="s">
        <v>2435</v>
      </c>
      <c r="C478" t="s">
        <v>6336</v>
      </c>
      <c r="D478" t="s">
        <v>7957</v>
      </c>
      <c r="E478" t="s">
        <v>6342</v>
      </c>
      <c r="G478">
        <v>10.71</v>
      </c>
      <c r="I478">
        <v>26.23</v>
      </c>
    </row>
    <row r="479" spans="1:10" ht="15" customHeight="1" x14ac:dyDescent="0.2">
      <c r="A479" s="420">
        <v>46023</v>
      </c>
      <c r="B479" t="s">
        <v>2435</v>
      </c>
      <c r="C479" t="s">
        <v>6336</v>
      </c>
      <c r="D479" t="s">
        <v>7957</v>
      </c>
      <c r="E479" t="s">
        <v>6341</v>
      </c>
      <c r="G479">
        <v>14.39</v>
      </c>
      <c r="I479">
        <v>40.619999999999997</v>
      </c>
    </row>
    <row r="480" spans="1:10" ht="15" customHeight="1" x14ac:dyDescent="0.2">
      <c r="A480" s="420">
        <v>46023</v>
      </c>
      <c r="B480" t="s">
        <v>2435</v>
      </c>
      <c r="C480" t="s">
        <v>6336</v>
      </c>
      <c r="D480" t="s">
        <v>7957</v>
      </c>
      <c r="E480" t="s">
        <v>6341</v>
      </c>
      <c r="G480">
        <v>2.8</v>
      </c>
      <c r="I480">
        <v>43.42</v>
      </c>
    </row>
    <row r="481" spans="1:9" ht="15" customHeight="1" x14ac:dyDescent="0.2">
      <c r="A481" s="420">
        <v>46023</v>
      </c>
      <c r="B481" t="s">
        <v>2435</v>
      </c>
      <c r="C481" t="s">
        <v>6336</v>
      </c>
      <c r="D481" t="s">
        <v>7957</v>
      </c>
      <c r="E481" t="s">
        <v>6340</v>
      </c>
      <c r="G481">
        <v>4</v>
      </c>
      <c r="I481">
        <v>47.42</v>
      </c>
    </row>
    <row r="482" spans="1:9" ht="15" customHeight="1" x14ac:dyDescent="0.2">
      <c r="A482" s="420">
        <v>46023</v>
      </c>
      <c r="B482" t="s">
        <v>2435</v>
      </c>
      <c r="C482" t="s">
        <v>6336</v>
      </c>
      <c r="D482" t="s">
        <v>7957</v>
      </c>
      <c r="E482" t="s">
        <v>6339</v>
      </c>
      <c r="G482">
        <v>3.36</v>
      </c>
      <c r="I482">
        <v>50.78</v>
      </c>
    </row>
    <row r="483" spans="1:9" ht="15" customHeight="1" x14ac:dyDescent="0.2">
      <c r="A483" s="420">
        <v>46023</v>
      </c>
      <c r="B483" t="s">
        <v>2435</v>
      </c>
      <c r="C483" t="s">
        <v>6336</v>
      </c>
      <c r="D483" t="s">
        <v>7957</v>
      </c>
      <c r="E483" t="s">
        <v>6338</v>
      </c>
      <c r="G483">
        <v>3.36</v>
      </c>
      <c r="I483">
        <v>54.14</v>
      </c>
    </row>
    <row r="484" spans="1:9" ht="15" customHeight="1" x14ac:dyDescent="0.2">
      <c r="A484" s="420">
        <v>46023</v>
      </c>
      <c r="B484" t="s">
        <v>2435</v>
      </c>
      <c r="C484" t="s">
        <v>6336</v>
      </c>
      <c r="D484" t="s">
        <v>7957</v>
      </c>
      <c r="E484" t="s">
        <v>1298</v>
      </c>
      <c r="G484">
        <v>2.4</v>
      </c>
      <c r="I484">
        <v>56.54</v>
      </c>
    </row>
    <row r="485" spans="1:9" ht="15" customHeight="1" x14ac:dyDescent="0.2">
      <c r="A485" s="420">
        <v>46023</v>
      </c>
      <c r="B485" t="s">
        <v>2435</v>
      </c>
      <c r="C485" t="s">
        <v>6336</v>
      </c>
      <c r="D485" t="s">
        <v>7957</v>
      </c>
      <c r="E485" t="s">
        <v>1417</v>
      </c>
      <c r="G485">
        <v>2.4</v>
      </c>
      <c r="I485">
        <v>58.94</v>
      </c>
    </row>
    <row r="486" spans="1:9" ht="15" customHeight="1" x14ac:dyDescent="0.2">
      <c r="A486" s="420">
        <v>46023</v>
      </c>
      <c r="B486" t="s">
        <v>2435</v>
      </c>
      <c r="C486" t="s">
        <v>6336</v>
      </c>
      <c r="D486" t="s">
        <v>7957</v>
      </c>
      <c r="E486" t="s">
        <v>1397</v>
      </c>
      <c r="G486">
        <v>2.4</v>
      </c>
      <c r="I486">
        <v>61.34</v>
      </c>
    </row>
    <row r="487" spans="1:9" ht="15" customHeight="1" x14ac:dyDescent="0.2">
      <c r="A487" s="420">
        <v>46023</v>
      </c>
      <c r="B487" t="s">
        <v>2435</v>
      </c>
      <c r="C487" t="s">
        <v>6336</v>
      </c>
      <c r="D487" t="s">
        <v>7957</v>
      </c>
      <c r="E487" t="s">
        <v>1406</v>
      </c>
      <c r="G487">
        <v>2.4</v>
      </c>
      <c r="I487">
        <v>63.74</v>
      </c>
    </row>
    <row r="488" spans="1:9" ht="15" customHeight="1" x14ac:dyDescent="0.2">
      <c r="A488" s="420">
        <v>46023</v>
      </c>
      <c r="B488" t="s">
        <v>2435</v>
      </c>
      <c r="C488" t="s">
        <v>6336</v>
      </c>
      <c r="D488" t="s">
        <v>7957</v>
      </c>
      <c r="E488" t="s">
        <v>1391</v>
      </c>
      <c r="G488">
        <v>2.4</v>
      </c>
      <c r="I488">
        <v>66.14</v>
      </c>
    </row>
    <row r="489" spans="1:9" ht="15" customHeight="1" x14ac:dyDescent="0.2">
      <c r="A489" s="420">
        <v>46023</v>
      </c>
      <c r="B489" t="s">
        <v>2435</v>
      </c>
      <c r="C489" t="s">
        <v>6336</v>
      </c>
      <c r="D489" t="s">
        <v>7957</v>
      </c>
      <c r="E489" t="s">
        <v>1382</v>
      </c>
      <c r="G489">
        <v>2.4</v>
      </c>
      <c r="I489">
        <v>68.540000000000006</v>
      </c>
    </row>
    <row r="490" spans="1:9" ht="15" customHeight="1" x14ac:dyDescent="0.2">
      <c r="A490" s="420">
        <v>46023</v>
      </c>
      <c r="B490" t="s">
        <v>2435</v>
      </c>
      <c r="C490" t="s">
        <v>6336</v>
      </c>
      <c r="D490" t="s">
        <v>7957</v>
      </c>
      <c r="E490" t="s">
        <v>1355</v>
      </c>
      <c r="G490">
        <v>2.4</v>
      </c>
      <c r="I490">
        <v>70.94</v>
      </c>
    </row>
    <row r="491" spans="1:9" ht="15" customHeight="1" x14ac:dyDescent="0.2">
      <c r="A491" s="420">
        <v>46023</v>
      </c>
      <c r="B491" t="s">
        <v>2435</v>
      </c>
      <c r="C491" t="s">
        <v>6336</v>
      </c>
      <c r="D491" t="s">
        <v>7957</v>
      </c>
      <c r="E491" t="s">
        <v>1369</v>
      </c>
      <c r="G491">
        <v>2.4</v>
      </c>
      <c r="I491">
        <v>73.34</v>
      </c>
    </row>
    <row r="492" spans="1:9" ht="15" customHeight="1" x14ac:dyDescent="0.2">
      <c r="A492" s="420">
        <v>46023</v>
      </c>
      <c r="B492" t="s">
        <v>2435</v>
      </c>
      <c r="C492" t="s">
        <v>6336</v>
      </c>
      <c r="D492" t="s">
        <v>7957</v>
      </c>
      <c r="E492" t="s">
        <v>1345</v>
      </c>
      <c r="G492">
        <v>2.4</v>
      </c>
      <c r="I492">
        <v>75.739999999999995</v>
      </c>
    </row>
    <row r="493" spans="1:9" ht="15" customHeight="1" x14ac:dyDescent="0.2">
      <c r="A493" s="420">
        <v>46023</v>
      </c>
      <c r="B493" t="s">
        <v>2435</v>
      </c>
      <c r="C493" t="s">
        <v>6336</v>
      </c>
      <c r="D493" t="s">
        <v>7957</v>
      </c>
      <c r="E493" t="s">
        <v>1313</v>
      </c>
      <c r="G493">
        <v>2.4</v>
      </c>
      <c r="I493">
        <v>78.14</v>
      </c>
    </row>
    <row r="494" spans="1:9" ht="15" customHeight="1" x14ac:dyDescent="0.2">
      <c r="A494" s="420">
        <v>46023</v>
      </c>
      <c r="B494" t="s">
        <v>2435</v>
      </c>
      <c r="C494" t="s">
        <v>6336</v>
      </c>
      <c r="D494" t="s">
        <v>7957</v>
      </c>
      <c r="E494" t="s">
        <v>1330</v>
      </c>
      <c r="G494">
        <v>2.4</v>
      </c>
      <c r="I494">
        <v>80.540000000000006</v>
      </c>
    </row>
    <row r="495" spans="1:9" ht="15" customHeight="1" x14ac:dyDescent="0.2">
      <c r="A495" s="420">
        <v>46023</v>
      </c>
      <c r="B495" t="s">
        <v>2435</v>
      </c>
      <c r="C495" t="s">
        <v>6336</v>
      </c>
      <c r="D495" t="s">
        <v>7957</v>
      </c>
      <c r="E495" t="s">
        <v>6349</v>
      </c>
      <c r="F495">
        <v>101.46</v>
      </c>
      <c r="H495">
        <v>20.92</v>
      </c>
    </row>
    <row r="496" spans="1:9" ht="15" customHeight="1" x14ac:dyDescent="0.2">
      <c r="A496" s="420">
        <v>46023</v>
      </c>
      <c r="B496" t="s">
        <v>2435</v>
      </c>
      <c r="C496" t="s">
        <v>6336</v>
      </c>
      <c r="D496" t="s">
        <v>7957</v>
      </c>
      <c r="E496" t="s">
        <v>6348</v>
      </c>
      <c r="F496">
        <v>15.84</v>
      </c>
      <c r="H496">
        <v>36.76</v>
      </c>
    </row>
    <row r="497" spans="1:10" ht="15" customHeight="1" x14ac:dyDescent="0.2">
      <c r="A497" s="420">
        <v>46023</v>
      </c>
      <c r="B497" t="s">
        <v>2435</v>
      </c>
      <c r="C497" t="s">
        <v>6336</v>
      </c>
      <c r="D497" t="s">
        <v>7957</v>
      </c>
      <c r="E497" t="s">
        <v>6347</v>
      </c>
      <c r="G497">
        <v>3.36</v>
      </c>
      <c r="H497">
        <v>33.4</v>
      </c>
    </row>
    <row r="498" spans="1:10" ht="15" customHeight="1" x14ac:dyDescent="0.2">
      <c r="A498" s="420">
        <v>46032</v>
      </c>
      <c r="B498" t="s">
        <v>2532</v>
      </c>
      <c r="C498" t="s">
        <v>6336</v>
      </c>
      <c r="D498" t="s">
        <v>8159</v>
      </c>
      <c r="E498" t="s">
        <v>2126</v>
      </c>
      <c r="G498">
        <v>2.4</v>
      </c>
      <c r="H498">
        <v>31</v>
      </c>
    </row>
    <row r="499" spans="1:10" ht="15" customHeight="1" x14ac:dyDescent="0.2">
      <c r="A499" t="s">
        <v>6336</v>
      </c>
      <c r="E499" t="s">
        <v>349</v>
      </c>
      <c r="F499">
        <v>117.3</v>
      </c>
      <c r="G499">
        <v>86.3</v>
      </c>
      <c r="H499">
        <v>31</v>
      </c>
    </row>
    <row r="501" spans="1:10" ht="15" customHeight="1" x14ac:dyDescent="0.2">
      <c r="A501" t="s">
        <v>6350</v>
      </c>
      <c r="B501" t="s">
        <v>6351</v>
      </c>
      <c r="F501" t="s">
        <v>2430</v>
      </c>
      <c r="G501" t="s">
        <v>2431</v>
      </c>
      <c r="H501" t="s">
        <v>2432</v>
      </c>
      <c r="I501" t="s">
        <v>2433</v>
      </c>
      <c r="J501" t="s">
        <v>2434</v>
      </c>
    </row>
    <row r="502" spans="1:10" ht="15" customHeight="1" x14ac:dyDescent="0.2">
      <c r="A502" s="420">
        <v>46081</v>
      </c>
      <c r="B502" t="s">
        <v>2517</v>
      </c>
      <c r="C502" t="s">
        <v>6350</v>
      </c>
      <c r="D502" t="s">
        <v>8160</v>
      </c>
      <c r="E502" t="s">
        <v>8161</v>
      </c>
      <c r="G502">
        <v>39680</v>
      </c>
      <c r="I502">
        <v>39680</v>
      </c>
    </row>
    <row r="503" spans="1:10" ht="15" customHeight="1" x14ac:dyDescent="0.2">
      <c r="A503" s="420">
        <v>46107</v>
      </c>
      <c r="B503" t="s">
        <v>2333</v>
      </c>
      <c r="C503" t="s">
        <v>6350</v>
      </c>
      <c r="D503" t="s">
        <v>8162</v>
      </c>
      <c r="E503" t="s">
        <v>8163</v>
      </c>
      <c r="F503">
        <v>39680</v>
      </c>
    </row>
    <row r="504" spans="1:10" ht="15" customHeight="1" x14ac:dyDescent="0.2">
      <c r="A504" s="420">
        <v>46112</v>
      </c>
      <c r="B504" t="s">
        <v>2439</v>
      </c>
      <c r="C504" t="s">
        <v>6350</v>
      </c>
      <c r="D504" t="s">
        <v>8157</v>
      </c>
      <c r="E504" t="s">
        <v>8158</v>
      </c>
      <c r="G504">
        <v>58984</v>
      </c>
      <c r="I504">
        <v>58984</v>
      </c>
    </row>
    <row r="505" spans="1:10" ht="15" customHeight="1" x14ac:dyDescent="0.2">
      <c r="A505" t="s">
        <v>6350</v>
      </c>
      <c r="E505" t="s">
        <v>349</v>
      </c>
      <c r="F505">
        <v>39680</v>
      </c>
      <c r="G505">
        <v>98664</v>
      </c>
      <c r="I505">
        <v>58984</v>
      </c>
    </row>
    <row r="507" spans="1:10" ht="15" customHeight="1" x14ac:dyDescent="0.2">
      <c r="A507" t="s">
        <v>6402</v>
      </c>
      <c r="B507" t="s">
        <v>6403</v>
      </c>
      <c r="F507" t="s">
        <v>2430</v>
      </c>
      <c r="G507" t="s">
        <v>2431</v>
      </c>
      <c r="H507" t="s">
        <v>2432</v>
      </c>
      <c r="I507" t="s">
        <v>2433</v>
      </c>
      <c r="J507" t="s">
        <v>2434</v>
      </c>
    </row>
    <row r="508" spans="1:10" ht="15" customHeight="1" x14ac:dyDescent="0.2">
      <c r="A508" s="420">
        <v>46053</v>
      </c>
      <c r="B508" t="s">
        <v>2532</v>
      </c>
      <c r="C508" t="s">
        <v>6402</v>
      </c>
      <c r="D508" t="s">
        <v>8164</v>
      </c>
      <c r="E508" t="s">
        <v>2100</v>
      </c>
      <c r="F508">
        <v>118.4</v>
      </c>
      <c r="H508">
        <v>118.4</v>
      </c>
    </row>
    <row r="509" spans="1:10" ht="15" customHeight="1" x14ac:dyDescent="0.2">
      <c r="A509" s="420">
        <v>46053</v>
      </c>
      <c r="B509" t="s">
        <v>2532</v>
      </c>
      <c r="C509" t="s">
        <v>6402</v>
      </c>
      <c r="D509" t="s">
        <v>8165</v>
      </c>
      <c r="E509" t="s">
        <v>2161</v>
      </c>
      <c r="F509">
        <v>415</v>
      </c>
      <c r="H509">
        <v>533.4</v>
      </c>
    </row>
    <row r="510" spans="1:10" ht="15" customHeight="1" x14ac:dyDescent="0.2">
      <c r="A510" s="420">
        <v>46053</v>
      </c>
      <c r="B510" t="s">
        <v>2532</v>
      </c>
      <c r="C510" t="s">
        <v>6402</v>
      </c>
      <c r="D510" t="s">
        <v>8166</v>
      </c>
      <c r="E510" t="s">
        <v>2162</v>
      </c>
      <c r="F510">
        <v>48</v>
      </c>
      <c r="H510">
        <v>581.4</v>
      </c>
    </row>
    <row r="511" spans="1:10" ht="15" customHeight="1" x14ac:dyDescent="0.2">
      <c r="A511" s="420">
        <v>46055</v>
      </c>
      <c r="B511" t="s">
        <v>2532</v>
      </c>
      <c r="C511" t="s">
        <v>6402</v>
      </c>
      <c r="D511" t="s">
        <v>8022</v>
      </c>
      <c r="E511" t="s">
        <v>8167</v>
      </c>
      <c r="F511">
        <v>498.1</v>
      </c>
      <c r="H511">
        <v>1079.5</v>
      </c>
    </row>
    <row r="512" spans="1:10" ht="15" customHeight="1" x14ac:dyDescent="0.2">
      <c r="A512" s="420">
        <v>46055</v>
      </c>
      <c r="B512" t="s">
        <v>2532</v>
      </c>
      <c r="C512" t="s">
        <v>6402</v>
      </c>
      <c r="D512" t="s">
        <v>8024</v>
      </c>
      <c r="E512" t="s">
        <v>8168</v>
      </c>
      <c r="F512">
        <v>1295.07</v>
      </c>
      <c r="H512">
        <v>2374.5700000000002</v>
      </c>
    </row>
    <row r="513" spans="1:8" ht="15" customHeight="1" x14ac:dyDescent="0.2">
      <c r="A513" s="420">
        <v>46081</v>
      </c>
      <c r="B513" t="s">
        <v>2532</v>
      </c>
      <c r="C513" t="s">
        <v>6402</v>
      </c>
      <c r="D513" t="s">
        <v>8169</v>
      </c>
      <c r="E513" t="s">
        <v>2101</v>
      </c>
      <c r="F513">
        <v>118.4</v>
      </c>
      <c r="H513">
        <v>2492.9699999999998</v>
      </c>
    </row>
    <row r="514" spans="1:8" ht="15" customHeight="1" x14ac:dyDescent="0.2">
      <c r="A514" s="420">
        <v>46081</v>
      </c>
      <c r="B514" t="s">
        <v>2532</v>
      </c>
      <c r="C514" t="s">
        <v>6402</v>
      </c>
      <c r="D514" t="s">
        <v>8170</v>
      </c>
      <c r="E514" t="s">
        <v>2102</v>
      </c>
      <c r="F514">
        <v>161.19999999999999</v>
      </c>
      <c r="H514">
        <v>2654.17</v>
      </c>
    </row>
    <row r="515" spans="1:8" ht="15" customHeight="1" x14ac:dyDescent="0.2">
      <c r="A515" s="420">
        <v>46081</v>
      </c>
      <c r="B515" t="s">
        <v>2532</v>
      </c>
      <c r="C515" t="s">
        <v>6402</v>
      </c>
      <c r="D515" t="s">
        <v>8171</v>
      </c>
      <c r="E515" t="s">
        <v>2095</v>
      </c>
      <c r="F515">
        <v>1180</v>
      </c>
      <c r="H515">
        <v>3834.17</v>
      </c>
    </row>
    <row r="516" spans="1:8" ht="15" customHeight="1" x14ac:dyDescent="0.2">
      <c r="A516" s="420">
        <v>46081</v>
      </c>
      <c r="B516" t="s">
        <v>2532</v>
      </c>
      <c r="C516" t="s">
        <v>6402</v>
      </c>
      <c r="D516" t="s">
        <v>8172</v>
      </c>
      <c r="E516" t="s">
        <v>2178</v>
      </c>
      <c r="F516">
        <v>48</v>
      </c>
      <c r="H516">
        <v>3882.17</v>
      </c>
    </row>
    <row r="517" spans="1:8" ht="15" customHeight="1" x14ac:dyDescent="0.2">
      <c r="A517" s="420">
        <v>46081</v>
      </c>
      <c r="B517" t="s">
        <v>2517</v>
      </c>
      <c r="C517" t="s">
        <v>6402</v>
      </c>
      <c r="D517" t="s">
        <v>8160</v>
      </c>
      <c r="E517" t="s">
        <v>8173</v>
      </c>
      <c r="F517">
        <v>9727.69</v>
      </c>
      <c r="H517">
        <v>13609.86</v>
      </c>
    </row>
    <row r="518" spans="1:8" ht="15" customHeight="1" x14ac:dyDescent="0.2">
      <c r="A518" s="420">
        <v>46081</v>
      </c>
      <c r="B518" t="s">
        <v>2517</v>
      </c>
      <c r="C518" t="s">
        <v>6402</v>
      </c>
      <c r="D518" t="s">
        <v>8160</v>
      </c>
      <c r="E518" t="s">
        <v>8174</v>
      </c>
      <c r="G518">
        <v>32.57</v>
      </c>
      <c r="H518">
        <v>13577.29</v>
      </c>
    </row>
    <row r="519" spans="1:8" ht="15" customHeight="1" x14ac:dyDescent="0.2">
      <c r="A519" s="420">
        <v>46082</v>
      </c>
      <c r="B519" t="s">
        <v>2532</v>
      </c>
      <c r="C519" t="s">
        <v>6402</v>
      </c>
      <c r="D519" t="s">
        <v>8175</v>
      </c>
      <c r="E519" t="s">
        <v>2237</v>
      </c>
      <c r="F519">
        <v>28.62</v>
      </c>
      <c r="H519">
        <v>13605.91</v>
      </c>
    </row>
    <row r="520" spans="1:8" ht="15" customHeight="1" x14ac:dyDescent="0.2">
      <c r="A520" s="420">
        <v>46082</v>
      </c>
      <c r="B520" t="s">
        <v>2532</v>
      </c>
      <c r="C520" t="s">
        <v>6402</v>
      </c>
      <c r="D520" t="s">
        <v>8176</v>
      </c>
      <c r="E520" t="s">
        <v>2118</v>
      </c>
      <c r="F520">
        <v>11.76</v>
      </c>
      <c r="H520">
        <v>13617.67</v>
      </c>
    </row>
    <row r="521" spans="1:8" ht="15" customHeight="1" x14ac:dyDescent="0.2">
      <c r="A521" s="420">
        <v>46082</v>
      </c>
      <c r="B521" t="s">
        <v>2532</v>
      </c>
      <c r="C521" t="s">
        <v>6402</v>
      </c>
      <c r="D521" t="s">
        <v>8177</v>
      </c>
      <c r="E521" t="s">
        <v>2110</v>
      </c>
      <c r="F521">
        <v>262</v>
      </c>
      <c r="H521">
        <v>13879.67</v>
      </c>
    </row>
    <row r="522" spans="1:8" ht="15" customHeight="1" x14ac:dyDescent="0.2">
      <c r="A522" s="420">
        <v>46082</v>
      </c>
      <c r="B522" t="s">
        <v>2532</v>
      </c>
      <c r="C522" t="s">
        <v>6402</v>
      </c>
      <c r="D522" t="s">
        <v>8178</v>
      </c>
      <c r="E522" t="s">
        <v>2056</v>
      </c>
      <c r="F522">
        <v>71.37</v>
      </c>
      <c r="H522">
        <v>13951.04</v>
      </c>
    </row>
    <row r="523" spans="1:8" ht="15" customHeight="1" x14ac:dyDescent="0.2">
      <c r="A523" s="420">
        <v>46082</v>
      </c>
      <c r="B523" t="s">
        <v>2532</v>
      </c>
      <c r="C523" t="s">
        <v>6402</v>
      </c>
      <c r="D523" t="s">
        <v>8178</v>
      </c>
      <c r="E523" t="s">
        <v>2056</v>
      </c>
      <c r="F523">
        <v>4.0999999999999996</v>
      </c>
      <c r="H523">
        <v>13955.14</v>
      </c>
    </row>
    <row r="524" spans="1:8" ht="15" customHeight="1" x14ac:dyDescent="0.2">
      <c r="A524" s="420">
        <v>46083</v>
      </c>
      <c r="B524" t="s">
        <v>2532</v>
      </c>
      <c r="C524" t="s">
        <v>6402</v>
      </c>
      <c r="D524" t="s">
        <v>8179</v>
      </c>
      <c r="E524" t="s">
        <v>2180</v>
      </c>
      <c r="F524">
        <v>4</v>
      </c>
      <c r="H524">
        <v>13959.14</v>
      </c>
    </row>
    <row r="525" spans="1:8" ht="15" customHeight="1" x14ac:dyDescent="0.2">
      <c r="A525" s="420">
        <v>46083</v>
      </c>
      <c r="B525" t="s">
        <v>2532</v>
      </c>
      <c r="C525" t="s">
        <v>6402</v>
      </c>
      <c r="D525" t="s">
        <v>8180</v>
      </c>
      <c r="E525" t="s">
        <v>2238</v>
      </c>
      <c r="F525">
        <v>15.24</v>
      </c>
      <c r="H525">
        <v>13974.38</v>
      </c>
    </row>
    <row r="526" spans="1:8" ht="15" customHeight="1" x14ac:dyDescent="0.2">
      <c r="A526" s="420">
        <v>46083</v>
      </c>
      <c r="B526" t="s">
        <v>2532</v>
      </c>
      <c r="C526" t="s">
        <v>6402</v>
      </c>
      <c r="D526" t="s">
        <v>8181</v>
      </c>
      <c r="E526" t="s">
        <v>2239</v>
      </c>
      <c r="F526">
        <v>7.91</v>
      </c>
      <c r="H526">
        <v>13982.29</v>
      </c>
    </row>
    <row r="527" spans="1:8" ht="15" customHeight="1" x14ac:dyDescent="0.2">
      <c r="A527" s="420">
        <v>46087</v>
      </c>
      <c r="B527" t="s">
        <v>2532</v>
      </c>
      <c r="C527" t="s">
        <v>6402</v>
      </c>
      <c r="D527" t="s">
        <v>8182</v>
      </c>
      <c r="E527" t="s">
        <v>2181</v>
      </c>
      <c r="F527">
        <v>531.95000000000005</v>
      </c>
      <c r="H527">
        <v>14514.24</v>
      </c>
    </row>
    <row r="528" spans="1:8" ht="15" customHeight="1" x14ac:dyDescent="0.2">
      <c r="A528" s="420">
        <v>46091</v>
      </c>
      <c r="B528" t="s">
        <v>3866</v>
      </c>
      <c r="C528" t="s">
        <v>6402</v>
      </c>
      <c r="D528" t="s">
        <v>8183</v>
      </c>
      <c r="E528" t="s">
        <v>2205</v>
      </c>
      <c r="F528">
        <v>1.1000000000000001</v>
      </c>
      <c r="H528">
        <v>14515.34</v>
      </c>
    </row>
    <row r="529" spans="1:8" ht="15" customHeight="1" x14ac:dyDescent="0.2">
      <c r="A529" s="420">
        <v>46092</v>
      </c>
      <c r="B529" t="s">
        <v>2532</v>
      </c>
      <c r="C529" t="s">
        <v>6402</v>
      </c>
      <c r="D529" t="s">
        <v>8184</v>
      </c>
      <c r="E529" t="s">
        <v>2241</v>
      </c>
      <c r="F529">
        <v>8.8000000000000007</v>
      </c>
      <c r="H529">
        <v>14524.14</v>
      </c>
    </row>
    <row r="530" spans="1:8" ht="15" customHeight="1" x14ac:dyDescent="0.2">
      <c r="A530" s="420">
        <v>46094</v>
      </c>
      <c r="B530" t="s">
        <v>2532</v>
      </c>
      <c r="C530" t="s">
        <v>6402</v>
      </c>
      <c r="D530" t="s">
        <v>8185</v>
      </c>
      <c r="E530" t="s">
        <v>2206</v>
      </c>
      <c r="F530">
        <v>0.83</v>
      </c>
      <c r="H530">
        <v>14524.97</v>
      </c>
    </row>
    <row r="531" spans="1:8" ht="15" customHeight="1" x14ac:dyDescent="0.2">
      <c r="A531" s="420">
        <v>46096</v>
      </c>
      <c r="B531" t="s">
        <v>2532</v>
      </c>
      <c r="C531" t="s">
        <v>6402</v>
      </c>
      <c r="D531" t="s">
        <v>8156</v>
      </c>
      <c r="E531" t="s">
        <v>2243</v>
      </c>
      <c r="F531">
        <v>52.36</v>
      </c>
      <c r="H531">
        <v>14577.33</v>
      </c>
    </row>
    <row r="532" spans="1:8" ht="15" customHeight="1" x14ac:dyDescent="0.2">
      <c r="A532" s="420">
        <v>46097</v>
      </c>
      <c r="B532" t="s">
        <v>2532</v>
      </c>
      <c r="C532" t="s">
        <v>6402</v>
      </c>
      <c r="D532" t="s">
        <v>8186</v>
      </c>
      <c r="E532" t="s">
        <v>2026</v>
      </c>
      <c r="F532">
        <v>57</v>
      </c>
      <c r="H532">
        <v>14634.33</v>
      </c>
    </row>
    <row r="533" spans="1:8" ht="15" customHeight="1" x14ac:dyDescent="0.2">
      <c r="A533" s="420">
        <v>46101</v>
      </c>
      <c r="B533" t="s">
        <v>2532</v>
      </c>
      <c r="C533" t="s">
        <v>6402</v>
      </c>
      <c r="D533" t="s">
        <v>8187</v>
      </c>
      <c r="E533" t="s">
        <v>2028</v>
      </c>
      <c r="F533">
        <v>10.43</v>
      </c>
      <c r="H533">
        <v>14644.76</v>
      </c>
    </row>
    <row r="534" spans="1:8" ht="15" customHeight="1" x14ac:dyDescent="0.2">
      <c r="A534" s="420">
        <v>46101</v>
      </c>
      <c r="B534" t="s">
        <v>2532</v>
      </c>
      <c r="C534" t="s">
        <v>6402</v>
      </c>
      <c r="D534" t="s">
        <v>8188</v>
      </c>
      <c r="E534" t="s">
        <v>2244</v>
      </c>
      <c r="F534">
        <v>10.18</v>
      </c>
      <c r="H534">
        <v>14654.94</v>
      </c>
    </row>
    <row r="535" spans="1:8" ht="15" customHeight="1" x14ac:dyDescent="0.2">
      <c r="A535" s="420">
        <v>46106</v>
      </c>
      <c r="B535" t="s">
        <v>2532</v>
      </c>
      <c r="C535" t="s">
        <v>6402</v>
      </c>
      <c r="D535" t="s">
        <v>8189</v>
      </c>
      <c r="E535" t="s">
        <v>2030</v>
      </c>
      <c r="F535">
        <v>78.319999999999993</v>
      </c>
      <c r="H535">
        <v>14733.26</v>
      </c>
    </row>
    <row r="536" spans="1:8" ht="15" customHeight="1" x14ac:dyDescent="0.2">
      <c r="A536" s="420">
        <v>46106</v>
      </c>
      <c r="B536" t="s">
        <v>2532</v>
      </c>
      <c r="C536" t="s">
        <v>6402</v>
      </c>
      <c r="D536" t="s">
        <v>8190</v>
      </c>
      <c r="E536" t="s">
        <v>2245</v>
      </c>
      <c r="F536">
        <v>4.99</v>
      </c>
      <c r="H536">
        <v>14738.25</v>
      </c>
    </row>
    <row r="537" spans="1:8" ht="15" customHeight="1" x14ac:dyDescent="0.2">
      <c r="A537" s="420">
        <v>46107</v>
      </c>
      <c r="B537" t="s">
        <v>2532</v>
      </c>
      <c r="C537" t="s">
        <v>6402</v>
      </c>
      <c r="D537" t="s">
        <v>8191</v>
      </c>
      <c r="E537" t="s">
        <v>2248</v>
      </c>
      <c r="F537">
        <v>2.97</v>
      </c>
      <c r="H537">
        <v>14741.22</v>
      </c>
    </row>
    <row r="538" spans="1:8" ht="15" customHeight="1" x14ac:dyDescent="0.2">
      <c r="A538" s="420">
        <v>46109</v>
      </c>
      <c r="B538" t="s">
        <v>2532</v>
      </c>
      <c r="C538" t="s">
        <v>6402</v>
      </c>
      <c r="D538" t="s">
        <v>8192</v>
      </c>
      <c r="E538" t="s">
        <v>2250</v>
      </c>
      <c r="F538">
        <v>3.45</v>
      </c>
      <c r="H538">
        <v>14744.67</v>
      </c>
    </row>
    <row r="539" spans="1:8" ht="15" customHeight="1" x14ac:dyDescent="0.2">
      <c r="A539" s="420">
        <v>46111</v>
      </c>
      <c r="B539" t="s">
        <v>2532</v>
      </c>
      <c r="C539" t="s">
        <v>6402</v>
      </c>
      <c r="D539" t="s">
        <v>8193</v>
      </c>
      <c r="E539" t="s">
        <v>2185</v>
      </c>
      <c r="F539">
        <v>240</v>
      </c>
      <c r="H539">
        <v>14984.67</v>
      </c>
    </row>
    <row r="540" spans="1:8" ht="15" customHeight="1" x14ac:dyDescent="0.2">
      <c r="A540" s="420">
        <v>46112</v>
      </c>
      <c r="B540" t="s">
        <v>2532</v>
      </c>
      <c r="C540" t="s">
        <v>6402</v>
      </c>
      <c r="D540" t="s">
        <v>7974</v>
      </c>
      <c r="E540" t="s">
        <v>2103</v>
      </c>
      <c r="F540">
        <v>118.4</v>
      </c>
      <c r="H540">
        <v>15103.07</v>
      </c>
    </row>
    <row r="541" spans="1:8" ht="15" customHeight="1" x14ac:dyDescent="0.2">
      <c r="A541" s="420">
        <v>46112</v>
      </c>
      <c r="B541" t="s">
        <v>2532</v>
      </c>
      <c r="C541" t="s">
        <v>6402</v>
      </c>
      <c r="D541" t="s">
        <v>7975</v>
      </c>
      <c r="E541" t="s">
        <v>2104</v>
      </c>
      <c r="F541">
        <v>88.12</v>
      </c>
      <c r="H541">
        <v>15191.19</v>
      </c>
    </row>
    <row r="542" spans="1:8" ht="15" customHeight="1" x14ac:dyDescent="0.2">
      <c r="A542" s="420">
        <v>46112</v>
      </c>
      <c r="B542" t="s">
        <v>2532</v>
      </c>
      <c r="C542" t="s">
        <v>6402</v>
      </c>
      <c r="D542" t="s">
        <v>8194</v>
      </c>
      <c r="E542" t="s">
        <v>2098</v>
      </c>
      <c r="F542">
        <v>1180</v>
      </c>
      <c r="H542">
        <v>16371.19</v>
      </c>
    </row>
    <row r="543" spans="1:8" ht="15" customHeight="1" x14ac:dyDescent="0.2">
      <c r="A543" s="420">
        <v>46112</v>
      </c>
      <c r="B543" t="s">
        <v>2439</v>
      </c>
      <c r="C543" t="s">
        <v>6402</v>
      </c>
      <c r="D543" t="s">
        <v>8157</v>
      </c>
      <c r="E543" t="s">
        <v>8158</v>
      </c>
      <c r="G543">
        <v>8675</v>
      </c>
      <c r="H543">
        <v>7696.19</v>
      </c>
    </row>
    <row r="544" spans="1:8" ht="15" customHeight="1" x14ac:dyDescent="0.2">
      <c r="A544" t="s">
        <v>6402</v>
      </c>
      <c r="E544" t="s">
        <v>349</v>
      </c>
      <c r="F544">
        <v>16403.759999999998</v>
      </c>
      <c r="G544">
        <v>8707.57</v>
      </c>
      <c r="H544">
        <v>7696.19</v>
      </c>
    </row>
    <row r="546" spans="1:10" ht="15" customHeight="1" x14ac:dyDescent="0.2">
      <c r="A546" t="s">
        <v>7002</v>
      </c>
      <c r="B546" t="s">
        <v>7003</v>
      </c>
      <c r="F546" t="s">
        <v>2430</v>
      </c>
      <c r="G546" t="s">
        <v>2431</v>
      </c>
      <c r="H546" t="s">
        <v>2432</v>
      </c>
      <c r="I546" t="s">
        <v>2433</v>
      </c>
      <c r="J546" t="s">
        <v>2434</v>
      </c>
    </row>
    <row r="547" spans="1:10" ht="15" customHeight="1" x14ac:dyDescent="0.2">
      <c r="A547" s="420">
        <v>46023</v>
      </c>
      <c r="B547" t="s">
        <v>2435</v>
      </c>
      <c r="C547" t="s">
        <v>7002</v>
      </c>
      <c r="D547" t="s">
        <v>7957</v>
      </c>
      <c r="E547" t="s">
        <v>1406</v>
      </c>
      <c r="F547">
        <v>2.4</v>
      </c>
      <c r="H547">
        <v>2.4</v>
      </c>
    </row>
    <row r="548" spans="1:10" ht="15" customHeight="1" x14ac:dyDescent="0.2">
      <c r="A548" s="420">
        <v>46023</v>
      </c>
      <c r="B548" t="s">
        <v>2435</v>
      </c>
      <c r="C548" t="s">
        <v>7002</v>
      </c>
      <c r="D548" t="s">
        <v>7957</v>
      </c>
      <c r="E548" t="s">
        <v>1391</v>
      </c>
      <c r="F548">
        <v>2.4</v>
      </c>
      <c r="H548">
        <v>4.8</v>
      </c>
    </row>
    <row r="549" spans="1:10" ht="15" customHeight="1" x14ac:dyDescent="0.2">
      <c r="A549" s="420">
        <v>46023</v>
      </c>
      <c r="B549" t="s">
        <v>2435</v>
      </c>
      <c r="C549" t="s">
        <v>7002</v>
      </c>
      <c r="D549" t="s">
        <v>7957</v>
      </c>
      <c r="E549" t="s">
        <v>1382</v>
      </c>
      <c r="F549">
        <v>2.4</v>
      </c>
      <c r="H549">
        <v>7.2</v>
      </c>
    </row>
    <row r="550" spans="1:10" ht="15" customHeight="1" x14ac:dyDescent="0.2">
      <c r="A550" s="420">
        <v>46023</v>
      </c>
      <c r="B550" t="s">
        <v>2435</v>
      </c>
      <c r="C550" t="s">
        <v>7002</v>
      </c>
      <c r="D550" t="s">
        <v>7957</v>
      </c>
      <c r="E550" t="s">
        <v>6340</v>
      </c>
      <c r="F550">
        <v>4</v>
      </c>
      <c r="H550">
        <v>11.2</v>
      </c>
    </row>
    <row r="551" spans="1:10" ht="15" customHeight="1" x14ac:dyDescent="0.2">
      <c r="A551" s="420">
        <v>46023</v>
      </c>
      <c r="B551" t="s">
        <v>2435</v>
      </c>
      <c r="C551" t="s">
        <v>7002</v>
      </c>
      <c r="D551" t="s">
        <v>7957</v>
      </c>
      <c r="E551" t="s">
        <v>7005</v>
      </c>
      <c r="G551">
        <v>10.71</v>
      </c>
      <c r="H551">
        <v>0.49</v>
      </c>
    </row>
    <row r="552" spans="1:10" ht="15" customHeight="1" x14ac:dyDescent="0.2">
      <c r="A552" s="420">
        <v>46023</v>
      </c>
      <c r="B552" t="s">
        <v>2435</v>
      </c>
      <c r="C552" t="s">
        <v>7002</v>
      </c>
      <c r="D552" t="s">
        <v>7957</v>
      </c>
      <c r="E552" t="s">
        <v>6339</v>
      </c>
      <c r="F552">
        <v>3.36</v>
      </c>
      <c r="H552">
        <v>3.85</v>
      </c>
    </row>
    <row r="553" spans="1:10" ht="15" customHeight="1" x14ac:dyDescent="0.2">
      <c r="A553" s="420">
        <v>46023</v>
      </c>
      <c r="B553" t="s">
        <v>2435</v>
      </c>
      <c r="C553" t="s">
        <v>7002</v>
      </c>
      <c r="D553" t="s">
        <v>7957</v>
      </c>
      <c r="E553" t="s">
        <v>7004</v>
      </c>
      <c r="F553">
        <v>10.71</v>
      </c>
      <c r="H553">
        <v>14.56</v>
      </c>
    </row>
    <row r="554" spans="1:10" ht="15" customHeight="1" x14ac:dyDescent="0.2">
      <c r="A554" s="420">
        <v>46023</v>
      </c>
      <c r="B554" t="s">
        <v>2435</v>
      </c>
      <c r="C554" t="s">
        <v>7002</v>
      </c>
      <c r="D554" t="s">
        <v>7957</v>
      </c>
      <c r="E554" t="s">
        <v>6338</v>
      </c>
      <c r="F554">
        <v>3.36</v>
      </c>
      <c r="H554">
        <v>17.920000000000002</v>
      </c>
    </row>
    <row r="555" spans="1:10" ht="15" customHeight="1" x14ac:dyDescent="0.2">
      <c r="A555" s="420">
        <v>46023</v>
      </c>
      <c r="B555" t="s">
        <v>2435</v>
      </c>
      <c r="C555" t="s">
        <v>7002</v>
      </c>
      <c r="D555" t="s">
        <v>7957</v>
      </c>
      <c r="E555" t="s">
        <v>1298</v>
      </c>
      <c r="F555">
        <v>2.4</v>
      </c>
      <c r="H555">
        <v>20.32</v>
      </c>
    </row>
    <row r="556" spans="1:10" ht="15" customHeight="1" x14ac:dyDescent="0.2">
      <c r="A556" s="420">
        <v>46023</v>
      </c>
      <c r="B556" t="s">
        <v>2435</v>
      </c>
      <c r="C556" t="s">
        <v>7002</v>
      </c>
      <c r="D556" t="s">
        <v>7957</v>
      </c>
      <c r="E556" t="s">
        <v>1355</v>
      </c>
      <c r="F556">
        <v>2.4</v>
      </c>
      <c r="H556">
        <v>22.72</v>
      </c>
    </row>
    <row r="557" spans="1:10" ht="15" customHeight="1" x14ac:dyDescent="0.2">
      <c r="A557" s="420">
        <v>46023</v>
      </c>
      <c r="B557" t="s">
        <v>2435</v>
      </c>
      <c r="C557" t="s">
        <v>7002</v>
      </c>
      <c r="D557" t="s">
        <v>7957</v>
      </c>
      <c r="E557" t="s">
        <v>1369</v>
      </c>
      <c r="F557">
        <v>2.4</v>
      </c>
      <c r="H557">
        <v>25.12</v>
      </c>
    </row>
    <row r="558" spans="1:10" ht="15" customHeight="1" x14ac:dyDescent="0.2">
      <c r="A558" s="420">
        <v>46023</v>
      </c>
      <c r="B558" t="s">
        <v>2435</v>
      </c>
      <c r="C558" t="s">
        <v>7002</v>
      </c>
      <c r="D558" t="s">
        <v>7957</v>
      </c>
      <c r="E558" t="s">
        <v>1345</v>
      </c>
      <c r="F558">
        <v>2.4</v>
      </c>
      <c r="H558">
        <v>27.52</v>
      </c>
    </row>
    <row r="559" spans="1:10" ht="15" customHeight="1" x14ac:dyDescent="0.2">
      <c r="A559" s="420">
        <v>46023</v>
      </c>
      <c r="B559" t="s">
        <v>2435</v>
      </c>
      <c r="C559" t="s">
        <v>7002</v>
      </c>
      <c r="D559" t="s">
        <v>7957</v>
      </c>
      <c r="E559" t="s">
        <v>1313</v>
      </c>
      <c r="F559">
        <v>2.4</v>
      </c>
      <c r="H559">
        <v>29.92</v>
      </c>
    </row>
    <row r="560" spans="1:10" ht="15" customHeight="1" x14ac:dyDescent="0.2">
      <c r="A560" s="420">
        <v>46023</v>
      </c>
      <c r="B560" t="s">
        <v>2435</v>
      </c>
      <c r="C560" t="s">
        <v>7002</v>
      </c>
      <c r="D560" t="s">
        <v>7957</v>
      </c>
      <c r="E560" t="s">
        <v>1330</v>
      </c>
      <c r="F560">
        <v>2.4</v>
      </c>
      <c r="H560">
        <v>32.32</v>
      </c>
    </row>
    <row r="561" spans="1:9" ht="15" customHeight="1" x14ac:dyDescent="0.2">
      <c r="A561" s="420">
        <v>46023</v>
      </c>
      <c r="B561" t="s">
        <v>2435</v>
      </c>
      <c r="C561" t="s">
        <v>7002</v>
      </c>
      <c r="D561" t="s">
        <v>7957</v>
      </c>
      <c r="E561" t="s">
        <v>7007</v>
      </c>
      <c r="G561">
        <v>101.46</v>
      </c>
      <c r="I561">
        <v>69.14</v>
      </c>
    </row>
    <row r="562" spans="1:9" ht="15" customHeight="1" x14ac:dyDescent="0.2">
      <c r="A562" s="420">
        <v>46023</v>
      </c>
      <c r="B562" t="s">
        <v>2435</v>
      </c>
      <c r="C562" t="s">
        <v>7002</v>
      </c>
      <c r="D562" t="s">
        <v>7957</v>
      </c>
      <c r="E562" t="s">
        <v>7006</v>
      </c>
      <c r="G562">
        <v>15.84</v>
      </c>
      <c r="I562">
        <v>84.98</v>
      </c>
    </row>
    <row r="563" spans="1:9" ht="15" customHeight="1" x14ac:dyDescent="0.2">
      <c r="A563" s="420">
        <v>46023</v>
      </c>
      <c r="B563" t="s">
        <v>2435</v>
      </c>
      <c r="C563" t="s">
        <v>7002</v>
      </c>
      <c r="D563" t="s">
        <v>7957</v>
      </c>
      <c r="E563" t="s">
        <v>6347</v>
      </c>
      <c r="F563">
        <v>3.36</v>
      </c>
      <c r="I563">
        <v>81.62</v>
      </c>
    </row>
    <row r="564" spans="1:9" ht="15" customHeight="1" x14ac:dyDescent="0.2">
      <c r="A564" s="420">
        <v>46023</v>
      </c>
      <c r="B564" t="s">
        <v>2435</v>
      </c>
      <c r="C564" t="s">
        <v>7002</v>
      </c>
      <c r="D564" t="s">
        <v>7957</v>
      </c>
      <c r="E564" t="s">
        <v>6346</v>
      </c>
      <c r="F564">
        <v>4</v>
      </c>
      <c r="I564">
        <v>77.62</v>
      </c>
    </row>
    <row r="565" spans="1:9" ht="15" customHeight="1" x14ac:dyDescent="0.2">
      <c r="A565" s="420">
        <v>46023</v>
      </c>
      <c r="B565" t="s">
        <v>2435</v>
      </c>
      <c r="C565" t="s">
        <v>7002</v>
      </c>
      <c r="D565" t="s">
        <v>7957</v>
      </c>
      <c r="E565" t="s">
        <v>6345</v>
      </c>
      <c r="F565">
        <v>3.36</v>
      </c>
      <c r="I565">
        <v>74.260000000000005</v>
      </c>
    </row>
    <row r="566" spans="1:9" ht="15" customHeight="1" x14ac:dyDescent="0.2">
      <c r="A566" s="420">
        <v>46023</v>
      </c>
      <c r="B566" t="s">
        <v>2435</v>
      </c>
      <c r="C566" t="s">
        <v>7002</v>
      </c>
      <c r="D566" t="s">
        <v>7957</v>
      </c>
      <c r="E566" t="s">
        <v>6344</v>
      </c>
      <c r="F566">
        <v>2.4</v>
      </c>
      <c r="I566">
        <v>71.86</v>
      </c>
    </row>
    <row r="567" spans="1:9" ht="15" customHeight="1" x14ac:dyDescent="0.2">
      <c r="A567" s="420">
        <v>46023</v>
      </c>
      <c r="B567" t="s">
        <v>2435</v>
      </c>
      <c r="C567" t="s">
        <v>7002</v>
      </c>
      <c r="D567" t="s">
        <v>7957</v>
      </c>
      <c r="E567" t="s">
        <v>6343</v>
      </c>
      <c r="F567">
        <v>3.36</v>
      </c>
      <c r="I567">
        <v>68.5</v>
      </c>
    </row>
    <row r="568" spans="1:9" ht="15" customHeight="1" x14ac:dyDescent="0.2">
      <c r="A568" s="420">
        <v>46023</v>
      </c>
      <c r="B568" t="s">
        <v>2435</v>
      </c>
      <c r="C568" t="s">
        <v>7002</v>
      </c>
      <c r="D568" t="s">
        <v>7957</v>
      </c>
      <c r="E568" t="s">
        <v>6342</v>
      </c>
      <c r="F568">
        <v>10.71</v>
      </c>
      <c r="I568">
        <v>57.79</v>
      </c>
    </row>
    <row r="569" spans="1:9" ht="15" customHeight="1" x14ac:dyDescent="0.2">
      <c r="A569" s="420">
        <v>46023</v>
      </c>
      <c r="B569" t="s">
        <v>2435</v>
      </c>
      <c r="C569" t="s">
        <v>7002</v>
      </c>
      <c r="D569" t="s">
        <v>7957</v>
      </c>
      <c r="E569" t="s">
        <v>6341</v>
      </c>
      <c r="F569">
        <v>14.39</v>
      </c>
      <c r="I569">
        <v>43.4</v>
      </c>
    </row>
    <row r="570" spans="1:9" ht="15" customHeight="1" x14ac:dyDescent="0.2">
      <c r="A570" s="420">
        <v>46023</v>
      </c>
      <c r="B570" t="s">
        <v>2435</v>
      </c>
      <c r="C570" t="s">
        <v>7002</v>
      </c>
      <c r="D570" t="s">
        <v>7957</v>
      </c>
      <c r="E570" t="s">
        <v>6341</v>
      </c>
      <c r="F570">
        <v>2.8</v>
      </c>
      <c r="I570">
        <v>40.6</v>
      </c>
    </row>
    <row r="571" spans="1:9" ht="15" customHeight="1" x14ac:dyDescent="0.2">
      <c r="A571" s="420">
        <v>46023</v>
      </c>
      <c r="B571" t="s">
        <v>2435</v>
      </c>
      <c r="C571" t="s">
        <v>7002</v>
      </c>
      <c r="D571" t="s">
        <v>7957</v>
      </c>
      <c r="E571" t="s">
        <v>1429</v>
      </c>
      <c r="F571">
        <v>2.4</v>
      </c>
      <c r="I571">
        <v>38.200000000000003</v>
      </c>
    </row>
    <row r="572" spans="1:9" ht="15" customHeight="1" x14ac:dyDescent="0.2">
      <c r="A572" s="420">
        <v>46023</v>
      </c>
      <c r="B572" t="s">
        <v>2435</v>
      </c>
      <c r="C572" t="s">
        <v>7002</v>
      </c>
      <c r="D572" t="s">
        <v>7957</v>
      </c>
      <c r="E572" t="s">
        <v>1417</v>
      </c>
      <c r="F572">
        <v>2.4</v>
      </c>
      <c r="I572">
        <v>35.799999999999997</v>
      </c>
    </row>
    <row r="573" spans="1:9" ht="15" customHeight="1" x14ac:dyDescent="0.2">
      <c r="A573" s="420">
        <v>46023</v>
      </c>
      <c r="B573" t="s">
        <v>2435</v>
      </c>
      <c r="C573" t="s">
        <v>7002</v>
      </c>
      <c r="D573" t="s">
        <v>7957</v>
      </c>
      <c r="E573" t="s">
        <v>1397</v>
      </c>
      <c r="F573">
        <v>2.4</v>
      </c>
      <c r="I573">
        <v>33.4</v>
      </c>
    </row>
    <row r="574" spans="1:9" ht="15" customHeight="1" x14ac:dyDescent="0.2">
      <c r="A574" s="420">
        <v>46032</v>
      </c>
      <c r="B574" t="s">
        <v>2532</v>
      </c>
      <c r="C574" t="s">
        <v>7002</v>
      </c>
      <c r="D574" t="s">
        <v>8159</v>
      </c>
      <c r="E574" t="s">
        <v>2126</v>
      </c>
      <c r="F574">
        <v>2.4</v>
      </c>
      <c r="I574">
        <v>31</v>
      </c>
    </row>
    <row r="575" spans="1:9" ht="15" customHeight="1" x14ac:dyDescent="0.2">
      <c r="A575" s="420">
        <v>46112</v>
      </c>
      <c r="B575" t="s">
        <v>2439</v>
      </c>
      <c r="C575" t="s">
        <v>7002</v>
      </c>
      <c r="D575" t="s">
        <v>8157</v>
      </c>
      <c r="E575" t="s">
        <v>8158</v>
      </c>
      <c r="G575">
        <v>52</v>
      </c>
      <c r="I575">
        <v>83</v>
      </c>
    </row>
    <row r="576" spans="1:9" ht="15" customHeight="1" x14ac:dyDescent="0.2">
      <c r="A576" t="s">
        <v>7002</v>
      </c>
      <c r="E576" t="s">
        <v>349</v>
      </c>
      <c r="F576">
        <v>97.01</v>
      </c>
      <c r="G576">
        <v>180.01</v>
      </c>
      <c r="I576">
        <v>83</v>
      </c>
    </row>
    <row r="578" spans="1:10" ht="15" customHeight="1" x14ac:dyDescent="0.2">
      <c r="A578" t="s">
        <v>7008</v>
      </c>
      <c r="B578" t="s">
        <v>7009</v>
      </c>
      <c r="F578" t="s">
        <v>2430</v>
      </c>
      <c r="G578" t="s">
        <v>2431</v>
      </c>
      <c r="H578" t="s">
        <v>2432</v>
      </c>
      <c r="I578" t="s">
        <v>2433</v>
      </c>
      <c r="J578" t="s">
        <v>2434</v>
      </c>
    </row>
    <row r="579" spans="1:10" ht="15" customHeight="1" x14ac:dyDescent="0.2">
      <c r="A579" s="420">
        <v>46023</v>
      </c>
      <c r="B579" t="s">
        <v>2435</v>
      </c>
      <c r="C579" t="s">
        <v>7008</v>
      </c>
      <c r="D579" t="s">
        <v>7957</v>
      </c>
      <c r="E579" t="s">
        <v>7958</v>
      </c>
      <c r="F579">
        <v>161688.82999999999</v>
      </c>
      <c r="H579">
        <v>161688.82999999999</v>
      </c>
    </row>
    <row r="580" spans="1:10" ht="15" customHeight="1" x14ac:dyDescent="0.2">
      <c r="A580" s="420">
        <v>46027</v>
      </c>
      <c r="B580" t="s">
        <v>5544</v>
      </c>
      <c r="C580" t="s">
        <v>7008</v>
      </c>
      <c r="D580" t="s">
        <v>8195</v>
      </c>
      <c r="E580" t="s">
        <v>8196</v>
      </c>
      <c r="G580">
        <v>90.49</v>
      </c>
      <c r="H580">
        <v>161598.34</v>
      </c>
    </row>
    <row r="581" spans="1:10" ht="15" customHeight="1" x14ac:dyDescent="0.2">
      <c r="A581" s="420">
        <v>46027</v>
      </c>
      <c r="B581" t="s">
        <v>5544</v>
      </c>
      <c r="C581" t="s">
        <v>7008</v>
      </c>
      <c r="D581" t="s">
        <v>8122</v>
      </c>
      <c r="E581" t="s">
        <v>8123</v>
      </c>
      <c r="G581">
        <v>27651.63</v>
      </c>
      <c r="H581">
        <v>133946.71</v>
      </c>
    </row>
    <row r="582" spans="1:10" ht="15" customHeight="1" x14ac:dyDescent="0.2">
      <c r="A582" s="420">
        <v>46053</v>
      </c>
      <c r="B582" t="s">
        <v>5544</v>
      </c>
      <c r="C582" t="s">
        <v>7008</v>
      </c>
      <c r="D582" t="s">
        <v>8061</v>
      </c>
      <c r="E582" t="s">
        <v>8062</v>
      </c>
      <c r="G582">
        <v>223.12</v>
      </c>
      <c r="H582">
        <v>133723.59</v>
      </c>
    </row>
    <row r="583" spans="1:10" ht="15" customHeight="1" x14ac:dyDescent="0.2">
      <c r="A583" s="420">
        <v>46053</v>
      </c>
      <c r="B583" t="s">
        <v>2517</v>
      </c>
      <c r="C583" t="s">
        <v>7008</v>
      </c>
      <c r="D583" t="s">
        <v>8197</v>
      </c>
      <c r="E583" t="s">
        <v>8198</v>
      </c>
      <c r="F583">
        <v>64682.77</v>
      </c>
      <c r="H583">
        <v>198406.36</v>
      </c>
    </row>
    <row r="584" spans="1:10" ht="15" customHeight="1" x14ac:dyDescent="0.2">
      <c r="A584" s="420">
        <v>46053</v>
      </c>
      <c r="B584" t="s">
        <v>2517</v>
      </c>
      <c r="C584" t="s">
        <v>7008</v>
      </c>
      <c r="D584" t="s">
        <v>8197</v>
      </c>
      <c r="E584" t="s">
        <v>8198</v>
      </c>
      <c r="G584">
        <v>11000</v>
      </c>
      <c r="H584">
        <v>187406.36</v>
      </c>
    </row>
    <row r="585" spans="1:10" ht="15" customHeight="1" x14ac:dyDescent="0.2">
      <c r="A585" s="420">
        <v>46056</v>
      </c>
      <c r="B585" t="s">
        <v>5544</v>
      </c>
      <c r="C585" t="s">
        <v>7008</v>
      </c>
      <c r="D585" t="s">
        <v>8199</v>
      </c>
      <c r="E585" t="s">
        <v>8200</v>
      </c>
      <c r="G585">
        <v>63.78</v>
      </c>
      <c r="H585">
        <v>187342.58</v>
      </c>
    </row>
    <row r="586" spans="1:10" ht="15" customHeight="1" x14ac:dyDescent="0.2">
      <c r="A586" s="420">
        <v>46056</v>
      </c>
      <c r="B586" t="s">
        <v>5544</v>
      </c>
      <c r="C586" t="s">
        <v>7008</v>
      </c>
      <c r="D586" t="s">
        <v>8069</v>
      </c>
      <c r="E586" t="s">
        <v>8070</v>
      </c>
      <c r="G586">
        <v>24957.41</v>
      </c>
      <c r="H586">
        <v>162385.17000000001</v>
      </c>
    </row>
    <row r="587" spans="1:10" ht="15" customHeight="1" x14ac:dyDescent="0.2">
      <c r="A587" s="420">
        <v>46056</v>
      </c>
      <c r="B587" t="s">
        <v>5544</v>
      </c>
      <c r="C587" t="s">
        <v>7008</v>
      </c>
      <c r="D587" t="s">
        <v>8201</v>
      </c>
      <c r="E587" t="s">
        <v>8202</v>
      </c>
      <c r="G587">
        <v>82.23</v>
      </c>
      <c r="H587">
        <v>162302.94</v>
      </c>
    </row>
    <row r="588" spans="1:10" ht="15" customHeight="1" x14ac:dyDescent="0.2">
      <c r="A588" s="420">
        <v>46056</v>
      </c>
      <c r="B588" t="s">
        <v>5544</v>
      </c>
      <c r="C588" t="s">
        <v>7008</v>
      </c>
      <c r="D588" t="s">
        <v>8203</v>
      </c>
      <c r="E588" t="s">
        <v>8204</v>
      </c>
      <c r="G588">
        <v>22924.080000000002</v>
      </c>
      <c r="H588">
        <v>139378.85999999999</v>
      </c>
    </row>
    <row r="589" spans="1:10" ht="15" customHeight="1" x14ac:dyDescent="0.2">
      <c r="A589" s="420">
        <v>46081</v>
      </c>
      <c r="B589" t="s">
        <v>5544</v>
      </c>
      <c r="C589" t="s">
        <v>7008</v>
      </c>
      <c r="D589" t="s">
        <v>8063</v>
      </c>
      <c r="E589" t="s">
        <v>8064</v>
      </c>
      <c r="G589">
        <v>223.12</v>
      </c>
      <c r="H589">
        <v>139155.74</v>
      </c>
    </row>
    <row r="590" spans="1:10" ht="15" customHeight="1" x14ac:dyDescent="0.2">
      <c r="A590" s="420">
        <v>46081</v>
      </c>
      <c r="B590" t="s">
        <v>2517</v>
      </c>
      <c r="C590" t="s">
        <v>7008</v>
      </c>
      <c r="D590" t="s">
        <v>8160</v>
      </c>
      <c r="E590" t="s">
        <v>8161</v>
      </c>
      <c r="F590">
        <v>47896</v>
      </c>
      <c r="H590">
        <v>187051.74</v>
      </c>
    </row>
    <row r="591" spans="1:10" ht="15" customHeight="1" x14ac:dyDescent="0.2">
      <c r="A591" s="420">
        <v>46083</v>
      </c>
      <c r="B591" t="s">
        <v>5544</v>
      </c>
      <c r="C591" t="s">
        <v>7008</v>
      </c>
      <c r="D591" t="s">
        <v>8205</v>
      </c>
      <c r="E591" t="s">
        <v>8206</v>
      </c>
      <c r="G591">
        <v>84.78</v>
      </c>
      <c r="H591">
        <v>186966.96</v>
      </c>
    </row>
    <row r="592" spans="1:10" ht="15" customHeight="1" x14ac:dyDescent="0.2">
      <c r="A592" s="420">
        <v>46083</v>
      </c>
      <c r="B592" t="s">
        <v>5544</v>
      </c>
      <c r="C592" t="s">
        <v>7008</v>
      </c>
      <c r="D592" t="s">
        <v>8043</v>
      </c>
      <c r="E592" t="s">
        <v>8044</v>
      </c>
      <c r="G592">
        <v>28550.29</v>
      </c>
      <c r="H592">
        <v>158416.67000000001</v>
      </c>
    </row>
    <row r="593" spans="1:10" ht="15" customHeight="1" x14ac:dyDescent="0.2">
      <c r="A593" s="420">
        <v>46083</v>
      </c>
      <c r="B593" t="s">
        <v>5544</v>
      </c>
      <c r="C593" t="s">
        <v>7008</v>
      </c>
      <c r="D593" t="s">
        <v>8207</v>
      </c>
      <c r="E593" t="s">
        <v>8208</v>
      </c>
      <c r="G593">
        <v>111.85</v>
      </c>
      <c r="H593">
        <v>158304.82</v>
      </c>
    </row>
    <row r="594" spans="1:10" ht="15" customHeight="1" x14ac:dyDescent="0.2">
      <c r="A594" s="420">
        <v>46083</v>
      </c>
      <c r="B594" t="s">
        <v>5544</v>
      </c>
      <c r="C594" t="s">
        <v>7008</v>
      </c>
      <c r="D594" t="s">
        <v>8108</v>
      </c>
      <c r="E594" t="s">
        <v>8109</v>
      </c>
      <c r="G594">
        <v>29399.14</v>
      </c>
      <c r="H594">
        <v>128905.68</v>
      </c>
    </row>
    <row r="595" spans="1:10" ht="15" customHeight="1" x14ac:dyDescent="0.2">
      <c r="A595" s="420">
        <v>46083</v>
      </c>
      <c r="B595" t="s">
        <v>5544</v>
      </c>
      <c r="C595" t="s">
        <v>7008</v>
      </c>
      <c r="D595" t="s">
        <v>8057</v>
      </c>
      <c r="E595" t="s">
        <v>8058</v>
      </c>
      <c r="G595">
        <v>26523.06</v>
      </c>
      <c r="H595">
        <v>102382.62</v>
      </c>
    </row>
    <row r="596" spans="1:10" ht="15" customHeight="1" x14ac:dyDescent="0.2">
      <c r="A596" s="420">
        <v>46112</v>
      </c>
      <c r="B596" t="s">
        <v>5544</v>
      </c>
      <c r="C596" t="s">
        <v>7008</v>
      </c>
      <c r="D596" t="s">
        <v>8065</v>
      </c>
      <c r="E596" t="s">
        <v>8066</v>
      </c>
      <c r="G596">
        <v>223.12</v>
      </c>
      <c r="H596">
        <v>102159.5</v>
      </c>
    </row>
    <row r="597" spans="1:10" ht="15" customHeight="1" x14ac:dyDescent="0.2">
      <c r="A597" s="420">
        <v>46112</v>
      </c>
      <c r="B597" t="s">
        <v>2439</v>
      </c>
      <c r="C597" t="s">
        <v>7008</v>
      </c>
      <c r="D597" t="s">
        <v>8157</v>
      </c>
      <c r="E597" t="s">
        <v>8158</v>
      </c>
      <c r="F597">
        <v>67659</v>
      </c>
      <c r="H597">
        <v>169818.5</v>
      </c>
    </row>
    <row r="598" spans="1:10" ht="15" customHeight="1" x14ac:dyDescent="0.2">
      <c r="A598" t="s">
        <v>7008</v>
      </c>
      <c r="E598" t="s">
        <v>349</v>
      </c>
      <c r="F598">
        <v>341926.6</v>
      </c>
      <c r="G598">
        <v>172108.1</v>
      </c>
      <c r="H598">
        <v>169818.5</v>
      </c>
    </row>
    <row r="600" spans="1:10" ht="15" customHeight="1" x14ac:dyDescent="0.2">
      <c r="A600" t="s">
        <v>7047</v>
      </c>
      <c r="B600" t="s">
        <v>7048</v>
      </c>
      <c r="F600" t="s">
        <v>2430</v>
      </c>
      <c r="G600" t="s">
        <v>2431</v>
      </c>
      <c r="H600" t="s">
        <v>2432</v>
      </c>
      <c r="I600" t="s">
        <v>2433</v>
      </c>
      <c r="J600" t="s">
        <v>2434</v>
      </c>
    </row>
    <row r="601" spans="1:10" ht="15" customHeight="1" x14ac:dyDescent="0.2">
      <c r="A601" s="420">
        <v>46023</v>
      </c>
      <c r="B601" t="s">
        <v>2435</v>
      </c>
      <c r="C601" t="s">
        <v>7047</v>
      </c>
      <c r="D601" t="s">
        <v>7957</v>
      </c>
      <c r="E601" t="s">
        <v>6994</v>
      </c>
      <c r="F601">
        <v>622.62</v>
      </c>
      <c r="H601">
        <v>622.62</v>
      </c>
    </row>
    <row r="602" spans="1:10" ht="15" customHeight="1" x14ac:dyDescent="0.2">
      <c r="A602" s="420">
        <v>46023</v>
      </c>
      <c r="B602" t="s">
        <v>2435</v>
      </c>
      <c r="C602" t="s">
        <v>7047</v>
      </c>
      <c r="D602" t="s">
        <v>7957</v>
      </c>
      <c r="E602" t="s">
        <v>6994</v>
      </c>
      <c r="F602">
        <v>328.33</v>
      </c>
      <c r="H602">
        <v>950.95</v>
      </c>
    </row>
    <row r="603" spans="1:10" ht="15" customHeight="1" x14ac:dyDescent="0.2">
      <c r="A603" t="s">
        <v>7047</v>
      </c>
      <c r="E603" t="s">
        <v>349</v>
      </c>
      <c r="F603">
        <v>950.95</v>
      </c>
      <c r="H603">
        <v>950.95</v>
      </c>
    </row>
    <row r="605" spans="1:10" ht="15" customHeight="1" x14ac:dyDescent="0.2">
      <c r="A605" t="s">
        <v>7049</v>
      </c>
      <c r="B605" t="s">
        <v>7050</v>
      </c>
      <c r="F605" t="s">
        <v>2430</v>
      </c>
      <c r="G605" t="s">
        <v>2431</v>
      </c>
      <c r="H605" t="s">
        <v>2432</v>
      </c>
      <c r="I605" t="s">
        <v>2433</v>
      </c>
      <c r="J605" t="s">
        <v>2434</v>
      </c>
    </row>
    <row r="606" spans="1:10" ht="15" customHeight="1" x14ac:dyDescent="0.2">
      <c r="A606" s="420">
        <v>46023</v>
      </c>
      <c r="B606" t="s">
        <v>2435</v>
      </c>
      <c r="C606" t="s">
        <v>7049</v>
      </c>
      <c r="D606" t="s">
        <v>7957</v>
      </c>
      <c r="E606" t="s">
        <v>1154</v>
      </c>
      <c r="F606">
        <v>358.8</v>
      </c>
      <c r="H606">
        <v>358.8</v>
      </c>
    </row>
    <row r="607" spans="1:10" ht="15" customHeight="1" x14ac:dyDescent="0.2">
      <c r="A607" s="420">
        <v>46023</v>
      </c>
      <c r="B607" t="s">
        <v>2435</v>
      </c>
      <c r="C607" t="s">
        <v>7049</v>
      </c>
      <c r="D607" t="s">
        <v>7957</v>
      </c>
      <c r="E607" t="s">
        <v>1617</v>
      </c>
      <c r="F607">
        <v>245.58</v>
      </c>
      <c r="H607">
        <v>604.38</v>
      </c>
    </row>
    <row r="608" spans="1:10" ht="15" customHeight="1" x14ac:dyDescent="0.2">
      <c r="A608" s="420">
        <v>46023</v>
      </c>
      <c r="B608" t="s">
        <v>2435</v>
      </c>
      <c r="C608" t="s">
        <v>7049</v>
      </c>
      <c r="D608" t="s">
        <v>7957</v>
      </c>
      <c r="E608" t="s">
        <v>1156</v>
      </c>
      <c r="F608">
        <v>114</v>
      </c>
      <c r="H608">
        <v>718.38</v>
      </c>
    </row>
    <row r="609" spans="1:10" ht="15" customHeight="1" x14ac:dyDescent="0.2">
      <c r="A609" t="s">
        <v>7049</v>
      </c>
      <c r="E609" t="s">
        <v>349</v>
      </c>
      <c r="F609">
        <v>718.38</v>
      </c>
      <c r="H609">
        <v>718.38</v>
      </c>
    </row>
    <row r="611" spans="1:10" ht="15" customHeight="1" x14ac:dyDescent="0.2">
      <c r="A611" t="s">
        <v>7093</v>
      </c>
      <c r="B611" t="s">
        <v>7094</v>
      </c>
      <c r="F611" t="s">
        <v>2430</v>
      </c>
      <c r="G611" t="s">
        <v>2431</v>
      </c>
      <c r="H611" t="s">
        <v>2432</v>
      </c>
      <c r="I611" t="s">
        <v>2433</v>
      </c>
      <c r="J611" t="s">
        <v>2434</v>
      </c>
    </row>
    <row r="612" spans="1:10" ht="15" customHeight="1" x14ac:dyDescent="0.2">
      <c r="A612" s="420">
        <v>46023</v>
      </c>
      <c r="B612" t="s">
        <v>2435</v>
      </c>
      <c r="C612" t="s">
        <v>7093</v>
      </c>
      <c r="D612" t="s">
        <v>7957</v>
      </c>
      <c r="E612" t="s">
        <v>7958</v>
      </c>
      <c r="G612">
        <v>334.54</v>
      </c>
      <c r="I612">
        <v>334.54</v>
      </c>
    </row>
    <row r="613" spans="1:10" ht="15" customHeight="1" x14ac:dyDescent="0.2">
      <c r="A613" t="s">
        <v>7093</v>
      </c>
      <c r="E613" t="s">
        <v>349</v>
      </c>
      <c r="G613">
        <v>334.54</v>
      </c>
      <c r="I613">
        <v>334.54</v>
      </c>
    </row>
    <row r="615" spans="1:10" ht="15" customHeight="1" x14ac:dyDescent="0.2">
      <c r="A615" t="s">
        <v>7101</v>
      </c>
      <c r="B615" t="s">
        <v>7102</v>
      </c>
      <c r="F615" t="s">
        <v>2430</v>
      </c>
      <c r="G615" t="s">
        <v>2431</v>
      </c>
      <c r="H615" t="s">
        <v>2432</v>
      </c>
      <c r="I615" t="s">
        <v>2433</v>
      </c>
      <c r="J615" t="s">
        <v>2434</v>
      </c>
    </row>
    <row r="616" spans="1:10" ht="15" customHeight="1" x14ac:dyDescent="0.2">
      <c r="A616" s="420">
        <v>46023</v>
      </c>
      <c r="B616" t="s">
        <v>2435</v>
      </c>
      <c r="C616" t="s">
        <v>7101</v>
      </c>
      <c r="D616" t="s">
        <v>7957</v>
      </c>
      <c r="E616" t="s">
        <v>7958</v>
      </c>
      <c r="F616">
        <v>416.66</v>
      </c>
      <c r="H616">
        <v>416.66</v>
      </c>
    </row>
    <row r="617" spans="1:10" ht="15" customHeight="1" x14ac:dyDescent="0.2">
      <c r="A617" t="s">
        <v>7101</v>
      </c>
      <c r="E617" t="s">
        <v>349</v>
      </c>
      <c r="F617">
        <v>416.66</v>
      </c>
      <c r="H617">
        <v>416.66</v>
      </c>
    </row>
    <row r="619" spans="1:10" ht="15" customHeight="1" x14ac:dyDescent="0.2">
      <c r="A619" t="s">
        <v>7105</v>
      </c>
      <c r="B619" t="s">
        <v>7106</v>
      </c>
      <c r="F619" t="s">
        <v>2430</v>
      </c>
      <c r="G619" t="s">
        <v>2431</v>
      </c>
      <c r="H619" t="s">
        <v>2432</v>
      </c>
      <c r="I619" t="s">
        <v>2433</v>
      </c>
      <c r="J619" t="s">
        <v>2434</v>
      </c>
    </row>
    <row r="620" spans="1:10" ht="15" customHeight="1" x14ac:dyDescent="0.2">
      <c r="A620" s="420">
        <v>46023</v>
      </c>
      <c r="B620" t="s">
        <v>2435</v>
      </c>
      <c r="C620" t="s">
        <v>7105</v>
      </c>
      <c r="D620" t="s">
        <v>7957</v>
      </c>
      <c r="E620" t="s">
        <v>7958</v>
      </c>
      <c r="F620">
        <v>21729.74</v>
      </c>
      <c r="H620">
        <v>21729.74</v>
      </c>
    </row>
    <row r="621" spans="1:10" ht="15" customHeight="1" x14ac:dyDescent="0.2">
      <c r="A621" t="s">
        <v>7105</v>
      </c>
      <c r="E621" t="s">
        <v>349</v>
      </c>
      <c r="F621">
        <v>21729.74</v>
      </c>
      <c r="H621">
        <v>21729.74</v>
      </c>
    </row>
    <row r="623" spans="1:10" ht="15" customHeight="1" x14ac:dyDescent="0.2">
      <c r="A623" t="s">
        <v>7119</v>
      </c>
      <c r="B623" t="s">
        <v>7120</v>
      </c>
      <c r="F623" t="s">
        <v>2430</v>
      </c>
      <c r="G623" t="s">
        <v>2431</v>
      </c>
      <c r="H623" t="s">
        <v>2432</v>
      </c>
      <c r="I623" t="s">
        <v>2433</v>
      </c>
      <c r="J623" t="s">
        <v>2434</v>
      </c>
    </row>
    <row r="624" spans="1:10" ht="15" customHeight="1" x14ac:dyDescent="0.2">
      <c r="A624" s="420">
        <v>46030</v>
      </c>
      <c r="B624" t="s">
        <v>2532</v>
      </c>
      <c r="C624" t="s">
        <v>7119</v>
      </c>
      <c r="D624" t="s">
        <v>8209</v>
      </c>
      <c r="E624" t="s">
        <v>8210</v>
      </c>
      <c r="F624">
        <v>807</v>
      </c>
      <c r="H624">
        <v>807</v>
      </c>
    </row>
    <row r="625" spans="1:10" ht="15" customHeight="1" x14ac:dyDescent="0.2">
      <c r="A625" s="420">
        <v>46038</v>
      </c>
      <c r="B625" t="s">
        <v>2333</v>
      </c>
      <c r="C625" t="s">
        <v>7119</v>
      </c>
      <c r="D625" t="s">
        <v>8211</v>
      </c>
      <c r="E625" t="s">
        <v>8212</v>
      </c>
      <c r="F625">
        <v>42</v>
      </c>
      <c r="H625">
        <v>849</v>
      </c>
    </row>
    <row r="626" spans="1:10" ht="15" customHeight="1" x14ac:dyDescent="0.2">
      <c r="A626" s="420">
        <v>46042</v>
      </c>
      <c r="B626" t="s">
        <v>2532</v>
      </c>
      <c r="C626" t="s">
        <v>7119</v>
      </c>
      <c r="D626" t="s">
        <v>8213</v>
      </c>
      <c r="E626" t="s">
        <v>8210</v>
      </c>
      <c r="F626">
        <v>340.99</v>
      </c>
      <c r="H626">
        <v>1189.99</v>
      </c>
    </row>
    <row r="627" spans="1:10" ht="15" customHeight="1" x14ac:dyDescent="0.2">
      <c r="A627" s="420">
        <v>46058</v>
      </c>
      <c r="B627" t="s">
        <v>2333</v>
      </c>
      <c r="C627" t="s">
        <v>7119</v>
      </c>
      <c r="D627" t="s">
        <v>8214</v>
      </c>
      <c r="E627" t="s">
        <v>8215</v>
      </c>
      <c r="F627">
        <v>1456</v>
      </c>
      <c r="H627">
        <v>2645.99</v>
      </c>
    </row>
    <row r="628" spans="1:10" ht="15" customHeight="1" x14ac:dyDescent="0.2">
      <c r="A628" s="420">
        <v>46069</v>
      </c>
      <c r="B628" t="s">
        <v>2333</v>
      </c>
      <c r="C628" t="s">
        <v>7119</v>
      </c>
      <c r="D628" t="s">
        <v>8216</v>
      </c>
      <c r="E628" t="s">
        <v>8217</v>
      </c>
      <c r="G628">
        <v>0.81</v>
      </c>
      <c r="H628">
        <v>2645.18</v>
      </c>
    </row>
    <row r="629" spans="1:10" ht="15" customHeight="1" x14ac:dyDescent="0.2">
      <c r="A629" t="s">
        <v>7119</v>
      </c>
      <c r="E629" t="s">
        <v>349</v>
      </c>
      <c r="F629">
        <v>2645.99</v>
      </c>
      <c r="G629">
        <v>0.81</v>
      </c>
      <c r="H629">
        <v>2645.18</v>
      </c>
    </row>
    <row r="631" spans="1:10" ht="15" customHeight="1" x14ac:dyDescent="0.2">
      <c r="A631" t="s">
        <v>7176</v>
      </c>
      <c r="B631" t="s">
        <v>7177</v>
      </c>
      <c r="F631" t="s">
        <v>2430</v>
      </c>
      <c r="G631" t="s">
        <v>2431</v>
      </c>
      <c r="H631" t="s">
        <v>2432</v>
      </c>
      <c r="I631" t="s">
        <v>2433</v>
      </c>
      <c r="J631" t="s">
        <v>2434</v>
      </c>
    </row>
    <row r="632" spans="1:10" ht="15" customHeight="1" x14ac:dyDescent="0.2">
      <c r="A632" s="420">
        <v>46023</v>
      </c>
      <c r="B632" t="s">
        <v>2435</v>
      </c>
      <c r="C632" t="s">
        <v>7176</v>
      </c>
      <c r="D632" t="s">
        <v>7957</v>
      </c>
      <c r="E632" t="s">
        <v>7958</v>
      </c>
      <c r="G632">
        <v>13500</v>
      </c>
      <c r="I632">
        <v>13500</v>
      </c>
    </row>
    <row r="633" spans="1:10" ht="15" customHeight="1" x14ac:dyDescent="0.2">
      <c r="A633" s="420">
        <v>46027</v>
      </c>
      <c r="B633" t="s">
        <v>2333</v>
      </c>
      <c r="C633" t="s">
        <v>7176</v>
      </c>
      <c r="D633" t="s">
        <v>8218</v>
      </c>
      <c r="E633" t="s">
        <v>7171</v>
      </c>
      <c r="F633">
        <v>500</v>
      </c>
      <c r="I633">
        <v>13000</v>
      </c>
    </row>
    <row r="634" spans="1:10" ht="15" customHeight="1" x14ac:dyDescent="0.2">
      <c r="A634" s="420">
        <v>46058</v>
      </c>
      <c r="B634" t="s">
        <v>2333</v>
      </c>
      <c r="C634" t="s">
        <v>7176</v>
      </c>
      <c r="D634" t="s">
        <v>8219</v>
      </c>
      <c r="E634" t="s">
        <v>7171</v>
      </c>
      <c r="F634">
        <v>500</v>
      </c>
      <c r="I634">
        <v>12500</v>
      </c>
    </row>
    <row r="635" spans="1:10" ht="15" customHeight="1" x14ac:dyDescent="0.2">
      <c r="A635" s="420">
        <v>46086</v>
      </c>
      <c r="B635" t="s">
        <v>2333</v>
      </c>
      <c r="C635" t="s">
        <v>7176</v>
      </c>
      <c r="D635" t="s">
        <v>8220</v>
      </c>
      <c r="E635" t="s">
        <v>7171</v>
      </c>
      <c r="F635">
        <v>500</v>
      </c>
      <c r="I635">
        <v>12000</v>
      </c>
    </row>
    <row r="636" spans="1:10" ht="15" customHeight="1" x14ac:dyDescent="0.2">
      <c r="A636" t="s">
        <v>7176</v>
      </c>
      <c r="E636" t="s">
        <v>349</v>
      </c>
      <c r="F636">
        <v>1500</v>
      </c>
      <c r="G636">
        <v>13500</v>
      </c>
      <c r="I636">
        <v>12000</v>
      </c>
    </row>
    <row r="638" spans="1:10" ht="15" customHeight="1" x14ac:dyDescent="0.2">
      <c r="A638" t="s">
        <v>7195</v>
      </c>
      <c r="B638" t="s">
        <v>7196</v>
      </c>
      <c r="F638" t="s">
        <v>2430</v>
      </c>
      <c r="G638" t="s">
        <v>2431</v>
      </c>
      <c r="H638" t="s">
        <v>2432</v>
      </c>
      <c r="I638" t="s">
        <v>2433</v>
      </c>
      <c r="J638" t="s">
        <v>2434</v>
      </c>
    </row>
    <row r="639" spans="1:10" ht="15" customHeight="1" x14ac:dyDescent="0.2">
      <c r="A639" s="420">
        <v>46097</v>
      </c>
      <c r="B639" t="s">
        <v>2333</v>
      </c>
      <c r="C639" t="s">
        <v>7195</v>
      </c>
      <c r="D639" t="s">
        <v>8221</v>
      </c>
      <c r="E639" t="s">
        <v>8222</v>
      </c>
      <c r="G639">
        <v>42889.5</v>
      </c>
      <c r="I639">
        <v>42889.5</v>
      </c>
    </row>
    <row r="640" spans="1:10" ht="15" customHeight="1" x14ac:dyDescent="0.2">
      <c r="A640" t="s">
        <v>7195</v>
      </c>
      <c r="E640" t="s">
        <v>349</v>
      </c>
      <c r="G640">
        <v>42889.5</v>
      </c>
      <c r="I640">
        <v>42889.5</v>
      </c>
    </row>
    <row r="642" spans="1:10" ht="15" customHeight="1" x14ac:dyDescent="0.2">
      <c r="A642" t="s">
        <v>7247</v>
      </c>
      <c r="B642" t="s">
        <v>7248</v>
      </c>
      <c r="F642" t="s">
        <v>2430</v>
      </c>
      <c r="G642" t="s">
        <v>2431</v>
      </c>
      <c r="H642" t="s">
        <v>2432</v>
      </c>
      <c r="I642" t="s">
        <v>2433</v>
      </c>
      <c r="J642" t="s">
        <v>2434</v>
      </c>
    </row>
    <row r="643" spans="1:10" ht="15" customHeight="1" x14ac:dyDescent="0.2">
      <c r="A643" s="420">
        <v>46104</v>
      </c>
      <c r="B643" t="s">
        <v>2333</v>
      </c>
      <c r="C643" t="s">
        <v>7247</v>
      </c>
      <c r="D643" t="s">
        <v>8223</v>
      </c>
      <c r="E643" t="s">
        <v>8224</v>
      </c>
      <c r="G643">
        <v>28608.94</v>
      </c>
      <c r="I643">
        <v>28608.94</v>
      </c>
    </row>
    <row r="644" spans="1:10" ht="15" customHeight="1" x14ac:dyDescent="0.2">
      <c r="A644" t="s">
        <v>7247</v>
      </c>
      <c r="E644" t="s">
        <v>349</v>
      </c>
      <c r="G644">
        <v>28608.94</v>
      </c>
      <c r="I644">
        <v>28608.94</v>
      </c>
    </row>
    <row r="646" spans="1:10" ht="15" customHeight="1" x14ac:dyDescent="0.2">
      <c r="A646" t="s">
        <v>7259</v>
      </c>
      <c r="B646" t="s">
        <v>7260</v>
      </c>
      <c r="F646" t="s">
        <v>2430</v>
      </c>
      <c r="G646" t="s">
        <v>2431</v>
      </c>
      <c r="H646" t="s">
        <v>2432</v>
      </c>
      <c r="I646" t="s">
        <v>2433</v>
      </c>
      <c r="J646" t="s">
        <v>2434</v>
      </c>
    </row>
    <row r="647" spans="1:10" ht="15" customHeight="1" x14ac:dyDescent="0.2">
      <c r="A647" s="420">
        <v>46023</v>
      </c>
      <c r="B647" t="s">
        <v>2435</v>
      </c>
      <c r="C647" t="s">
        <v>7259</v>
      </c>
      <c r="D647" t="s">
        <v>7957</v>
      </c>
      <c r="E647" t="s">
        <v>7958</v>
      </c>
      <c r="F647">
        <v>25038.46</v>
      </c>
      <c r="H647">
        <v>25038.46</v>
      </c>
    </row>
    <row r="648" spans="1:10" ht="15" customHeight="1" x14ac:dyDescent="0.2">
      <c r="A648" s="420">
        <v>46027</v>
      </c>
      <c r="B648" t="s">
        <v>2439</v>
      </c>
      <c r="C648" t="s">
        <v>7259</v>
      </c>
      <c r="D648" t="s">
        <v>8225</v>
      </c>
      <c r="E648" t="s">
        <v>8226</v>
      </c>
      <c r="G648">
        <v>10045.200000000001</v>
      </c>
      <c r="H648">
        <v>14993.26</v>
      </c>
    </row>
    <row r="649" spans="1:10" ht="15" customHeight="1" x14ac:dyDescent="0.2">
      <c r="A649" t="s">
        <v>7259</v>
      </c>
      <c r="E649" t="s">
        <v>349</v>
      </c>
      <c r="F649">
        <v>25038.46</v>
      </c>
      <c r="G649">
        <v>10045.200000000001</v>
      </c>
      <c r="H649">
        <v>14993.26</v>
      </c>
    </row>
    <row r="651" spans="1:10" ht="15" customHeight="1" x14ac:dyDescent="0.2">
      <c r="A651" t="s">
        <v>7263</v>
      </c>
      <c r="B651" t="s">
        <v>7264</v>
      </c>
      <c r="F651" t="s">
        <v>2430</v>
      </c>
      <c r="G651" t="s">
        <v>2431</v>
      </c>
      <c r="H651" t="s">
        <v>2432</v>
      </c>
      <c r="I651" t="s">
        <v>2433</v>
      </c>
      <c r="J651" t="s">
        <v>2434</v>
      </c>
    </row>
    <row r="652" spans="1:10" ht="15" customHeight="1" x14ac:dyDescent="0.2">
      <c r="A652" s="420">
        <v>46023</v>
      </c>
      <c r="B652" t="s">
        <v>2435</v>
      </c>
      <c r="C652" t="s">
        <v>7263</v>
      </c>
      <c r="D652" t="s">
        <v>7957</v>
      </c>
      <c r="E652" t="s">
        <v>7958</v>
      </c>
      <c r="F652">
        <v>60342.3</v>
      </c>
      <c r="H652">
        <v>60342.3</v>
      </c>
    </row>
    <row r="653" spans="1:10" ht="15" customHeight="1" x14ac:dyDescent="0.2">
      <c r="A653" s="420">
        <v>46070</v>
      </c>
      <c r="B653" t="s">
        <v>2439</v>
      </c>
      <c r="C653" t="s">
        <v>7263</v>
      </c>
      <c r="D653" t="s">
        <v>8227</v>
      </c>
      <c r="E653" t="s">
        <v>8228</v>
      </c>
      <c r="G653">
        <v>89194.3</v>
      </c>
      <c r="I653">
        <v>28852</v>
      </c>
    </row>
    <row r="654" spans="1:10" ht="15" customHeight="1" x14ac:dyDescent="0.2">
      <c r="A654" s="420">
        <v>46070</v>
      </c>
      <c r="B654" t="s">
        <v>2439</v>
      </c>
      <c r="C654" t="s">
        <v>7263</v>
      </c>
      <c r="D654" t="s">
        <v>8229</v>
      </c>
      <c r="E654" t="s">
        <v>8230</v>
      </c>
      <c r="G654">
        <v>7828.15</v>
      </c>
      <c r="I654">
        <v>36680.15</v>
      </c>
    </row>
    <row r="655" spans="1:10" ht="15" customHeight="1" x14ac:dyDescent="0.2">
      <c r="A655" s="420">
        <v>46070</v>
      </c>
      <c r="B655" t="s">
        <v>2439</v>
      </c>
      <c r="C655" t="s">
        <v>7263</v>
      </c>
      <c r="D655" t="s">
        <v>8231</v>
      </c>
      <c r="E655" t="s">
        <v>8232</v>
      </c>
      <c r="G655">
        <v>2046.94</v>
      </c>
      <c r="I655">
        <v>38727.089999999997</v>
      </c>
    </row>
    <row r="656" spans="1:10" ht="15" customHeight="1" x14ac:dyDescent="0.2">
      <c r="A656" s="420">
        <v>46079</v>
      </c>
      <c r="B656" t="s">
        <v>2439</v>
      </c>
      <c r="C656" t="s">
        <v>7263</v>
      </c>
      <c r="D656" t="s">
        <v>8041</v>
      </c>
      <c r="E656" t="s">
        <v>8042</v>
      </c>
      <c r="F656">
        <v>59955.61</v>
      </c>
      <c r="H656">
        <v>21228.52</v>
      </c>
    </row>
    <row r="657" spans="1:10" ht="15" customHeight="1" x14ac:dyDescent="0.2">
      <c r="A657" s="420">
        <v>46083</v>
      </c>
      <c r="B657" t="s">
        <v>2439</v>
      </c>
      <c r="C657" t="s">
        <v>7263</v>
      </c>
      <c r="D657" t="s">
        <v>8233</v>
      </c>
      <c r="E657" t="s">
        <v>8234</v>
      </c>
      <c r="G657">
        <v>10400.799999999999</v>
      </c>
      <c r="H657">
        <v>10827.72</v>
      </c>
    </row>
    <row r="658" spans="1:10" ht="15" customHeight="1" x14ac:dyDescent="0.2">
      <c r="A658" s="420">
        <v>46087</v>
      </c>
      <c r="B658" t="s">
        <v>2439</v>
      </c>
      <c r="C658" t="s">
        <v>7263</v>
      </c>
      <c r="D658" t="s">
        <v>8045</v>
      </c>
      <c r="E658" t="s">
        <v>8046</v>
      </c>
      <c r="F658">
        <v>8565.09</v>
      </c>
      <c r="H658">
        <v>19392.810000000001</v>
      </c>
    </row>
    <row r="659" spans="1:10" ht="15" customHeight="1" x14ac:dyDescent="0.2">
      <c r="A659" t="s">
        <v>7263</v>
      </c>
      <c r="E659" t="s">
        <v>349</v>
      </c>
      <c r="F659">
        <v>128863</v>
      </c>
      <c r="G659">
        <v>109470.19</v>
      </c>
      <c r="H659">
        <v>19392.810000000001</v>
      </c>
    </row>
    <row r="661" spans="1:10" ht="15" customHeight="1" x14ac:dyDescent="0.2">
      <c r="A661" t="s">
        <v>7267</v>
      </c>
      <c r="B661" t="s">
        <v>7268</v>
      </c>
      <c r="F661" t="s">
        <v>2430</v>
      </c>
      <c r="G661" t="s">
        <v>2431</v>
      </c>
      <c r="H661" t="s">
        <v>2432</v>
      </c>
      <c r="I661" t="s">
        <v>2433</v>
      </c>
      <c r="J661" t="s">
        <v>2434</v>
      </c>
    </row>
    <row r="662" spans="1:10" ht="15" customHeight="1" x14ac:dyDescent="0.2">
      <c r="A662" s="420">
        <v>46023</v>
      </c>
      <c r="B662" t="s">
        <v>2435</v>
      </c>
      <c r="C662" t="s">
        <v>7267</v>
      </c>
      <c r="D662" t="s">
        <v>7957</v>
      </c>
      <c r="E662" t="s">
        <v>7958</v>
      </c>
      <c r="F662">
        <v>26408.11</v>
      </c>
      <c r="H662">
        <v>26408.11</v>
      </c>
    </row>
    <row r="663" spans="1:10" ht="15" customHeight="1" x14ac:dyDescent="0.2">
      <c r="A663" s="420">
        <v>46042</v>
      </c>
      <c r="B663" t="s">
        <v>2439</v>
      </c>
      <c r="C663" t="s">
        <v>7267</v>
      </c>
      <c r="D663" t="s">
        <v>8112</v>
      </c>
      <c r="E663" t="s">
        <v>8113</v>
      </c>
      <c r="F663">
        <v>34475.800000000003</v>
      </c>
      <c r="H663">
        <v>60883.91</v>
      </c>
    </row>
    <row r="664" spans="1:10" ht="15" customHeight="1" x14ac:dyDescent="0.2">
      <c r="A664" s="420">
        <v>46083</v>
      </c>
      <c r="B664" t="s">
        <v>2439</v>
      </c>
      <c r="C664" t="s">
        <v>7267</v>
      </c>
      <c r="D664" t="s">
        <v>8235</v>
      </c>
      <c r="E664" t="s">
        <v>8236</v>
      </c>
      <c r="G664">
        <v>4104.3500000000004</v>
      </c>
      <c r="H664">
        <v>56779.56</v>
      </c>
    </row>
    <row r="665" spans="1:10" ht="15" customHeight="1" x14ac:dyDescent="0.2">
      <c r="A665" s="420">
        <v>46083</v>
      </c>
      <c r="B665" t="s">
        <v>2439</v>
      </c>
      <c r="C665" t="s">
        <v>7267</v>
      </c>
      <c r="D665" t="s">
        <v>8000</v>
      </c>
      <c r="E665" t="s">
        <v>8001</v>
      </c>
      <c r="G665">
        <v>7828.15</v>
      </c>
      <c r="H665">
        <v>48951.41</v>
      </c>
    </row>
    <row r="666" spans="1:10" ht="15" customHeight="1" x14ac:dyDescent="0.2">
      <c r="A666" s="420">
        <v>46083</v>
      </c>
      <c r="B666" t="s">
        <v>2439</v>
      </c>
      <c r="C666" t="s">
        <v>7267</v>
      </c>
      <c r="D666" t="s">
        <v>8002</v>
      </c>
      <c r="E666" t="s">
        <v>8003</v>
      </c>
      <c r="G666">
        <v>78867.86</v>
      </c>
      <c r="I666">
        <v>29916.45</v>
      </c>
    </row>
    <row r="667" spans="1:10" ht="15" customHeight="1" x14ac:dyDescent="0.2">
      <c r="A667" s="420">
        <v>46093</v>
      </c>
      <c r="B667" t="s">
        <v>2439</v>
      </c>
      <c r="C667" t="s">
        <v>7267</v>
      </c>
      <c r="D667" t="s">
        <v>8114</v>
      </c>
      <c r="E667" t="s">
        <v>8115</v>
      </c>
      <c r="F667">
        <v>60332.65</v>
      </c>
      <c r="H667">
        <v>30416.2</v>
      </c>
    </row>
    <row r="668" spans="1:10" ht="15" customHeight="1" x14ac:dyDescent="0.2">
      <c r="A668" s="420">
        <v>46097</v>
      </c>
      <c r="B668" t="s">
        <v>2439</v>
      </c>
      <c r="C668" t="s">
        <v>7267</v>
      </c>
      <c r="D668" t="s">
        <v>8116</v>
      </c>
      <c r="E668" t="s">
        <v>8117</v>
      </c>
      <c r="F668">
        <v>8618.9500000000007</v>
      </c>
      <c r="H668">
        <v>39035.15</v>
      </c>
    </row>
    <row r="669" spans="1:10" ht="15" customHeight="1" x14ac:dyDescent="0.2">
      <c r="A669" t="s">
        <v>7267</v>
      </c>
      <c r="E669" t="s">
        <v>349</v>
      </c>
      <c r="F669">
        <v>129835.51</v>
      </c>
      <c r="G669">
        <v>90800.36</v>
      </c>
      <c r="H669">
        <v>39035.15</v>
      </c>
    </row>
    <row r="671" spans="1:10" ht="15" customHeight="1" x14ac:dyDescent="0.2">
      <c r="A671" t="s">
        <v>7270</v>
      </c>
      <c r="B671" t="s">
        <v>7271</v>
      </c>
      <c r="F671" t="s">
        <v>2430</v>
      </c>
      <c r="G671" t="s">
        <v>2431</v>
      </c>
      <c r="H671" t="s">
        <v>2432</v>
      </c>
      <c r="I671" t="s">
        <v>2433</v>
      </c>
      <c r="J671" t="s">
        <v>2434</v>
      </c>
    </row>
    <row r="672" spans="1:10" ht="15" customHeight="1" x14ac:dyDescent="0.2">
      <c r="A672" s="420">
        <v>46023</v>
      </c>
      <c r="B672" t="s">
        <v>2435</v>
      </c>
      <c r="C672" t="s">
        <v>7270</v>
      </c>
      <c r="D672" t="s">
        <v>7957</v>
      </c>
      <c r="E672" t="s">
        <v>5747</v>
      </c>
      <c r="F672">
        <v>29948.89</v>
      </c>
      <c r="H672">
        <v>29948.89</v>
      </c>
    </row>
    <row r="673" spans="1:10" ht="15" customHeight="1" x14ac:dyDescent="0.2">
      <c r="A673" s="420">
        <v>46023</v>
      </c>
      <c r="B673" t="s">
        <v>2435</v>
      </c>
      <c r="C673" t="s">
        <v>7270</v>
      </c>
      <c r="D673" t="s">
        <v>7957</v>
      </c>
      <c r="E673" t="s">
        <v>4263</v>
      </c>
      <c r="G673">
        <v>240</v>
      </c>
      <c r="H673">
        <v>29708.89</v>
      </c>
    </row>
    <row r="674" spans="1:10" ht="15" customHeight="1" x14ac:dyDescent="0.2">
      <c r="A674" s="420">
        <v>46023</v>
      </c>
      <c r="B674" t="s">
        <v>2435</v>
      </c>
      <c r="C674" t="s">
        <v>7270</v>
      </c>
      <c r="D674" t="s">
        <v>7957</v>
      </c>
      <c r="E674" t="s">
        <v>5745</v>
      </c>
      <c r="F674">
        <v>22940.54</v>
      </c>
      <c r="H674">
        <v>52649.43</v>
      </c>
    </row>
    <row r="675" spans="1:10" ht="15" customHeight="1" x14ac:dyDescent="0.2">
      <c r="A675" s="420">
        <v>46050</v>
      </c>
      <c r="B675" t="s">
        <v>2439</v>
      </c>
      <c r="C675" t="s">
        <v>7270</v>
      </c>
      <c r="D675" t="s">
        <v>8067</v>
      </c>
      <c r="E675" t="s">
        <v>8068</v>
      </c>
      <c r="F675">
        <v>52410.559999999998</v>
      </c>
      <c r="H675">
        <v>105059.99</v>
      </c>
    </row>
    <row r="676" spans="1:10" ht="15" customHeight="1" x14ac:dyDescent="0.2">
      <c r="A676" s="420">
        <v>46069</v>
      </c>
      <c r="B676" t="s">
        <v>2439</v>
      </c>
      <c r="C676" t="s">
        <v>7270</v>
      </c>
      <c r="D676" t="s">
        <v>8071</v>
      </c>
      <c r="E676" t="s">
        <v>8072</v>
      </c>
      <c r="F676">
        <v>7487.22</v>
      </c>
      <c r="H676">
        <v>112547.21</v>
      </c>
    </row>
    <row r="677" spans="1:10" ht="15" customHeight="1" x14ac:dyDescent="0.2">
      <c r="A677" t="s">
        <v>7270</v>
      </c>
      <c r="E677" t="s">
        <v>349</v>
      </c>
      <c r="F677">
        <v>112787.21</v>
      </c>
      <c r="G677">
        <v>240</v>
      </c>
      <c r="H677">
        <v>112547.21</v>
      </c>
    </row>
    <row r="679" spans="1:10" ht="15" customHeight="1" x14ac:dyDescent="0.2">
      <c r="A679" t="s">
        <v>8237</v>
      </c>
      <c r="B679" t="s">
        <v>8238</v>
      </c>
      <c r="F679" t="s">
        <v>2430</v>
      </c>
      <c r="G679" t="s">
        <v>2431</v>
      </c>
      <c r="H679" t="s">
        <v>2432</v>
      </c>
      <c r="I679" t="s">
        <v>2433</v>
      </c>
      <c r="J679" t="s">
        <v>2434</v>
      </c>
    </row>
    <row r="680" spans="1:10" ht="15" customHeight="1" x14ac:dyDescent="0.2">
      <c r="A680" s="420">
        <v>46034</v>
      </c>
      <c r="B680" t="s">
        <v>2547</v>
      </c>
      <c r="C680" t="s">
        <v>8237</v>
      </c>
      <c r="D680" t="s">
        <v>7988</v>
      </c>
      <c r="E680" t="s">
        <v>7989</v>
      </c>
      <c r="F680">
        <v>8161.74</v>
      </c>
      <c r="H680">
        <v>8161.74</v>
      </c>
    </row>
    <row r="681" spans="1:10" ht="15" customHeight="1" x14ac:dyDescent="0.2">
      <c r="A681" s="420">
        <v>46091</v>
      </c>
      <c r="B681" t="s">
        <v>2439</v>
      </c>
      <c r="C681" t="s">
        <v>8237</v>
      </c>
      <c r="D681" t="s">
        <v>8083</v>
      </c>
      <c r="E681" t="s">
        <v>8084</v>
      </c>
      <c r="F681">
        <v>10066.15</v>
      </c>
      <c r="H681">
        <v>18227.89</v>
      </c>
    </row>
    <row r="682" spans="1:10" ht="15" customHeight="1" x14ac:dyDescent="0.2">
      <c r="A682" s="420">
        <v>46106</v>
      </c>
      <c r="B682" t="s">
        <v>2439</v>
      </c>
      <c r="C682" t="s">
        <v>8237</v>
      </c>
      <c r="D682" t="s">
        <v>8083</v>
      </c>
      <c r="E682" t="s">
        <v>8084</v>
      </c>
      <c r="F682">
        <v>2488.35</v>
      </c>
      <c r="H682">
        <v>20716.240000000002</v>
      </c>
    </row>
    <row r="683" spans="1:10" ht="15" customHeight="1" x14ac:dyDescent="0.2">
      <c r="A683" s="420">
        <v>46106</v>
      </c>
      <c r="B683" t="s">
        <v>2439</v>
      </c>
      <c r="C683" t="s">
        <v>8237</v>
      </c>
      <c r="D683" t="s">
        <v>8026</v>
      </c>
      <c r="E683" t="s">
        <v>4530</v>
      </c>
      <c r="G683">
        <v>7770.42</v>
      </c>
      <c r="H683">
        <v>12945.82</v>
      </c>
    </row>
    <row r="684" spans="1:10" ht="15" customHeight="1" x14ac:dyDescent="0.2">
      <c r="A684" s="420">
        <v>46111</v>
      </c>
      <c r="B684" t="s">
        <v>2439</v>
      </c>
      <c r="C684" t="s">
        <v>8237</v>
      </c>
      <c r="D684" t="s">
        <v>8083</v>
      </c>
      <c r="E684" t="s">
        <v>8087</v>
      </c>
      <c r="F684">
        <v>19365.580000000002</v>
      </c>
      <c r="H684">
        <v>32311.4</v>
      </c>
    </row>
    <row r="685" spans="1:10" ht="15" customHeight="1" x14ac:dyDescent="0.2">
      <c r="A685" t="s">
        <v>8237</v>
      </c>
      <c r="E685" t="s">
        <v>349</v>
      </c>
      <c r="F685">
        <v>40081.82</v>
      </c>
      <c r="G685">
        <v>7770.42</v>
      </c>
      <c r="H685">
        <v>32311.4</v>
      </c>
    </row>
    <row r="687" spans="1:10" ht="15" customHeight="1" x14ac:dyDescent="0.2">
      <c r="A687" t="s">
        <v>7280</v>
      </c>
      <c r="B687" t="s">
        <v>7281</v>
      </c>
      <c r="F687" t="s">
        <v>2430</v>
      </c>
      <c r="G687" t="s">
        <v>2431</v>
      </c>
      <c r="H687" t="s">
        <v>2432</v>
      </c>
      <c r="I687" t="s">
        <v>2433</v>
      </c>
      <c r="J687" t="s">
        <v>2434</v>
      </c>
    </row>
    <row r="688" spans="1:10" ht="15" customHeight="1" x14ac:dyDescent="0.2">
      <c r="A688" s="420">
        <v>46034</v>
      </c>
      <c r="B688" t="s">
        <v>2439</v>
      </c>
      <c r="C688" t="s">
        <v>7280</v>
      </c>
      <c r="D688" t="s">
        <v>8239</v>
      </c>
      <c r="E688" t="s">
        <v>8240</v>
      </c>
      <c r="F688">
        <v>26401.08</v>
      </c>
      <c r="H688">
        <v>26401.08</v>
      </c>
    </row>
    <row r="689" spans="1:10" ht="15" customHeight="1" x14ac:dyDescent="0.2">
      <c r="A689" s="420">
        <v>46065</v>
      </c>
      <c r="B689" t="s">
        <v>2439</v>
      </c>
      <c r="C689" t="s">
        <v>7280</v>
      </c>
      <c r="D689" t="s">
        <v>8241</v>
      </c>
      <c r="E689" t="s">
        <v>8242</v>
      </c>
      <c r="F689">
        <v>34893.040000000001</v>
      </c>
      <c r="H689">
        <v>61294.12</v>
      </c>
    </row>
    <row r="690" spans="1:10" ht="15" customHeight="1" x14ac:dyDescent="0.2">
      <c r="A690" s="420">
        <v>46087</v>
      </c>
      <c r="B690" t="s">
        <v>2439</v>
      </c>
      <c r="C690" t="s">
        <v>7280</v>
      </c>
      <c r="D690" t="s">
        <v>8008</v>
      </c>
      <c r="E690" t="s">
        <v>8243</v>
      </c>
      <c r="G690">
        <v>98793.9</v>
      </c>
      <c r="I690">
        <v>37499.78</v>
      </c>
    </row>
    <row r="691" spans="1:10" ht="15" customHeight="1" x14ac:dyDescent="0.2">
      <c r="A691" s="420">
        <v>46087</v>
      </c>
      <c r="B691" t="s">
        <v>2439</v>
      </c>
      <c r="C691" t="s">
        <v>7280</v>
      </c>
      <c r="D691" t="s">
        <v>8008</v>
      </c>
      <c r="E691" t="s">
        <v>8244</v>
      </c>
      <c r="G691">
        <v>7828.15</v>
      </c>
      <c r="I691">
        <v>45327.93</v>
      </c>
    </row>
    <row r="692" spans="1:10" ht="15" customHeight="1" x14ac:dyDescent="0.2">
      <c r="A692" s="420">
        <v>46087</v>
      </c>
      <c r="B692" t="s">
        <v>2439</v>
      </c>
      <c r="C692" t="s">
        <v>7280</v>
      </c>
      <c r="D692" t="s">
        <v>8008</v>
      </c>
      <c r="E692" t="s">
        <v>8245</v>
      </c>
      <c r="G692">
        <v>4188.5</v>
      </c>
      <c r="I692">
        <v>49516.43</v>
      </c>
    </row>
    <row r="693" spans="1:10" ht="15" customHeight="1" x14ac:dyDescent="0.2">
      <c r="A693" s="420">
        <v>46087</v>
      </c>
      <c r="B693" t="s">
        <v>2439</v>
      </c>
      <c r="C693" t="s">
        <v>7280</v>
      </c>
      <c r="D693" t="s">
        <v>8008</v>
      </c>
      <c r="E693" t="s">
        <v>8246</v>
      </c>
      <c r="G693">
        <v>10699.25</v>
      </c>
      <c r="I693">
        <v>60215.68</v>
      </c>
    </row>
    <row r="694" spans="1:10" ht="15" customHeight="1" x14ac:dyDescent="0.2">
      <c r="A694" s="420">
        <v>46094</v>
      </c>
      <c r="B694" t="s">
        <v>2439</v>
      </c>
      <c r="C694" t="s">
        <v>7280</v>
      </c>
      <c r="D694" t="s">
        <v>8075</v>
      </c>
      <c r="E694" t="s">
        <v>8076</v>
      </c>
      <c r="F694">
        <v>0.01</v>
      </c>
      <c r="I694">
        <v>60215.67</v>
      </c>
    </row>
    <row r="695" spans="1:10" ht="15" customHeight="1" x14ac:dyDescent="0.2">
      <c r="A695" s="420">
        <v>46094</v>
      </c>
      <c r="B695" t="s">
        <v>2439</v>
      </c>
      <c r="C695" t="s">
        <v>7280</v>
      </c>
      <c r="D695" t="s">
        <v>8077</v>
      </c>
      <c r="E695" t="s">
        <v>8078</v>
      </c>
      <c r="F695">
        <v>61062.82</v>
      </c>
      <c r="H695">
        <v>847.15</v>
      </c>
    </row>
    <row r="696" spans="1:10" ht="15" customHeight="1" x14ac:dyDescent="0.2">
      <c r="A696" t="s">
        <v>7280</v>
      </c>
      <c r="E696" t="s">
        <v>349</v>
      </c>
      <c r="F696">
        <v>122356.95</v>
      </c>
      <c r="G696">
        <v>121509.8</v>
      </c>
      <c r="H696">
        <v>847.15</v>
      </c>
    </row>
    <row r="698" spans="1:10" ht="15" customHeight="1" x14ac:dyDescent="0.2">
      <c r="A698" t="s">
        <v>7284</v>
      </c>
      <c r="B698" t="s">
        <v>7285</v>
      </c>
      <c r="F698" t="s">
        <v>2430</v>
      </c>
      <c r="G698" t="s">
        <v>2431</v>
      </c>
      <c r="H698" t="s">
        <v>2432</v>
      </c>
      <c r="I698" t="s">
        <v>2433</v>
      </c>
      <c r="J698" t="s">
        <v>2434</v>
      </c>
    </row>
    <row r="699" spans="1:10" ht="15" customHeight="1" x14ac:dyDescent="0.2">
      <c r="A699" s="420">
        <v>46043</v>
      </c>
      <c r="B699" t="s">
        <v>2439</v>
      </c>
      <c r="C699" t="s">
        <v>7284</v>
      </c>
      <c r="D699" t="s">
        <v>8100</v>
      </c>
      <c r="E699" t="s">
        <v>8101</v>
      </c>
      <c r="F699">
        <v>21789.46</v>
      </c>
      <c r="H699">
        <v>21789.46</v>
      </c>
    </row>
    <row r="700" spans="1:10" ht="15" customHeight="1" x14ac:dyDescent="0.2">
      <c r="A700" s="420">
        <v>46050</v>
      </c>
      <c r="B700" t="s">
        <v>2439</v>
      </c>
      <c r="C700" t="s">
        <v>7284</v>
      </c>
      <c r="D700" t="s">
        <v>8102</v>
      </c>
      <c r="E700" t="s">
        <v>8103</v>
      </c>
      <c r="F700">
        <v>28484.48</v>
      </c>
      <c r="H700">
        <v>50273.94</v>
      </c>
    </row>
    <row r="701" spans="1:10" ht="15" customHeight="1" x14ac:dyDescent="0.2">
      <c r="A701" t="s">
        <v>7284</v>
      </c>
      <c r="E701" t="s">
        <v>349</v>
      </c>
      <c r="F701">
        <v>50273.94</v>
      </c>
      <c r="H701">
        <v>50273.94</v>
      </c>
    </row>
    <row r="703" spans="1:10" ht="15" customHeight="1" x14ac:dyDescent="0.2">
      <c r="A703" t="s">
        <v>7286</v>
      </c>
      <c r="B703" t="s">
        <v>7287</v>
      </c>
      <c r="F703" t="s">
        <v>2430</v>
      </c>
      <c r="G703" t="s">
        <v>2431</v>
      </c>
      <c r="H703" t="s">
        <v>2432</v>
      </c>
      <c r="I703" t="s">
        <v>2433</v>
      </c>
      <c r="J703" t="s">
        <v>2434</v>
      </c>
    </row>
    <row r="704" spans="1:10" ht="15" customHeight="1" x14ac:dyDescent="0.2">
      <c r="A704" s="420">
        <v>46023</v>
      </c>
      <c r="B704" t="s">
        <v>2435</v>
      </c>
      <c r="C704" t="s">
        <v>7286</v>
      </c>
      <c r="D704" t="s">
        <v>7957</v>
      </c>
      <c r="E704" t="s">
        <v>5871</v>
      </c>
      <c r="F704">
        <v>27400.92</v>
      </c>
      <c r="H704">
        <v>27400.92</v>
      </c>
    </row>
    <row r="705" spans="1:10" ht="15" customHeight="1" x14ac:dyDescent="0.2">
      <c r="A705" s="420">
        <v>46029</v>
      </c>
      <c r="B705" t="s">
        <v>2439</v>
      </c>
      <c r="C705" t="s">
        <v>7286</v>
      </c>
      <c r="D705" t="s">
        <v>8104</v>
      </c>
      <c r="E705" t="s">
        <v>8105</v>
      </c>
      <c r="F705">
        <v>35278.959999999999</v>
      </c>
      <c r="H705">
        <v>62679.88</v>
      </c>
    </row>
    <row r="706" spans="1:10" ht="15" customHeight="1" x14ac:dyDescent="0.2">
      <c r="A706" s="420">
        <v>46062</v>
      </c>
      <c r="B706" t="s">
        <v>2439</v>
      </c>
      <c r="C706" t="s">
        <v>7286</v>
      </c>
      <c r="D706" t="s">
        <v>8247</v>
      </c>
      <c r="E706" t="s">
        <v>8248</v>
      </c>
      <c r="G706">
        <v>87352.8</v>
      </c>
      <c r="I706">
        <v>24672.92</v>
      </c>
    </row>
    <row r="707" spans="1:10" ht="15" customHeight="1" x14ac:dyDescent="0.2">
      <c r="A707" s="420">
        <v>46062</v>
      </c>
      <c r="B707" t="s">
        <v>2439</v>
      </c>
      <c r="C707" t="s">
        <v>7286</v>
      </c>
      <c r="D707" t="s">
        <v>8249</v>
      </c>
      <c r="E707" t="s">
        <v>8250</v>
      </c>
      <c r="G707">
        <v>7828.15</v>
      </c>
      <c r="I707">
        <v>32501.07</v>
      </c>
    </row>
    <row r="708" spans="1:10" ht="15" customHeight="1" x14ac:dyDescent="0.2">
      <c r="A708" s="420">
        <v>46062</v>
      </c>
      <c r="B708" t="s">
        <v>2439</v>
      </c>
      <c r="C708" t="s">
        <v>7286</v>
      </c>
      <c r="D708" t="s">
        <v>8251</v>
      </c>
      <c r="E708" t="s">
        <v>8252</v>
      </c>
      <c r="G708">
        <v>4165.7</v>
      </c>
      <c r="I708">
        <v>36666.769999999997</v>
      </c>
    </row>
    <row r="709" spans="1:10" ht="15" customHeight="1" x14ac:dyDescent="0.2">
      <c r="A709" s="420">
        <v>46072</v>
      </c>
      <c r="B709" t="s">
        <v>2439</v>
      </c>
      <c r="C709" t="s">
        <v>7286</v>
      </c>
      <c r="D709" t="s">
        <v>8106</v>
      </c>
      <c r="E709" t="s">
        <v>8107</v>
      </c>
      <c r="F709">
        <v>61738.18</v>
      </c>
      <c r="H709">
        <v>25071.41</v>
      </c>
    </row>
    <row r="710" spans="1:10" ht="15" customHeight="1" x14ac:dyDescent="0.2">
      <c r="A710" s="420">
        <v>46083</v>
      </c>
      <c r="B710" t="s">
        <v>2439</v>
      </c>
      <c r="C710" t="s">
        <v>7286</v>
      </c>
      <c r="D710" t="s">
        <v>8253</v>
      </c>
      <c r="E710" t="s">
        <v>8254</v>
      </c>
      <c r="G710">
        <v>10394.450000000001</v>
      </c>
      <c r="H710">
        <v>14676.96</v>
      </c>
    </row>
    <row r="711" spans="1:10" ht="15" customHeight="1" x14ac:dyDescent="0.2">
      <c r="A711" s="420">
        <v>46087</v>
      </c>
      <c r="B711" t="s">
        <v>2439</v>
      </c>
      <c r="C711" t="s">
        <v>7286</v>
      </c>
      <c r="D711" t="s">
        <v>8110</v>
      </c>
      <c r="E711" t="s">
        <v>8111</v>
      </c>
      <c r="F711">
        <v>8819.74</v>
      </c>
      <c r="H711">
        <v>23496.7</v>
      </c>
    </row>
    <row r="712" spans="1:10" ht="15" customHeight="1" x14ac:dyDescent="0.2">
      <c r="A712" t="s">
        <v>7286</v>
      </c>
      <c r="E712" t="s">
        <v>349</v>
      </c>
      <c r="F712">
        <v>133237.79999999999</v>
      </c>
      <c r="G712">
        <v>109741.1</v>
      </c>
      <c r="H712">
        <v>23496.7</v>
      </c>
    </row>
    <row r="714" spans="1:10" ht="15" customHeight="1" x14ac:dyDescent="0.2">
      <c r="A714" t="s">
        <v>7290</v>
      </c>
      <c r="B714" t="s">
        <v>7291</v>
      </c>
      <c r="F714" t="s">
        <v>2430</v>
      </c>
      <c r="G714" t="s">
        <v>2431</v>
      </c>
      <c r="H714" t="s">
        <v>2432</v>
      </c>
      <c r="I714" t="s">
        <v>2433</v>
      </c>
      <c r="J714" t="s">
        <v>2434</v>
      </c>
    </row>
    <row r="715" spans="1:10" ht="15" customHeight="1" x14ac:dyDescent="0.2">
      <c r="A715" s="420">
        <v>46030</v>
      </c>
      <c r="B715" t="s">
        <v>2439</v>
      </c>
      <c r="C715" t="s">
        <v>7290</v>
      </c>
      <c r="D715" t="s">
        <v>8118</v>
      </c>
      <c r="E715" t="s">
        <v>8119</v>
      </c>
      <c r="F715">
        <v>29075.48</v>
      </c>
      <c r="H715">
        <v>29075.48</v>
      </c>
    </row>
    <row r="716" spans="1:10" ht="15" customHeight="1" x14ac:dyDescent="0.2">
      <c r="A716" s="420">
        <v>46077</v>
      </c>
      <c r="B716" t="s">
        <v>2439</v>
      </c>
      <c r="C716" t="s">
        <v>7290</v>
      </c>
      <c r="D716" t="s">
        <v>8120</v>
      </c>
      <c r="E716" t="s">
        <v>8121</v>
      </c>
      <c r="F716">
        <v>38100.86</v>
      </c>
      <c r="H716">
        <v>67176.34</v>
      </c>
    </row>
    <row r="717" spans="1:10" ht="15" customHeight="1" x14ac:dyDescent="0.2">
      <c r="A717" t="s">
        <v>7290</v>
      </c>
      <c r="E717" t="s">
        <v>349</v>
      </c>
      <c r="F717">
        <v>67176.34</v>
      </c>
      <c r="H717">
        <v>67176.34</v>
      </c>
    </row>
    <row r="719" spans="1:10" ht="15" customHeight="1" x14ac:dyDescent="0.2">
      <c r="A719" t="s">
        <v>7298</v>
      </c>
      <c r="B719" t="s">
        <v>7299</v>
      </c>
      <c r="F719" t="s">
        <v>2430</v>
      </c>
      <c r="G719" t="s">
        <v>2431</v>
      </c>
      <c r="H719" t="s">
        <v>2432</v>
      </c>
      <c r="I719" t="s">
        <v>2433</v>
      </c>
      <c r="J719" t="s">
        <v>2434</v>
      </c>
    </row>
    <row r="720" spans="1:10" ht="15" customHeight="1" x14ac:dyDescent="0.2">
      <c r="A720" s="420">
        <v>46029</v>
      </c>
      <c r="B720" t="s">
        <v>2439</v>
      </c>
      <c r="C720" t="s">
        <v>7298</v>
      </c>
      <c r="D720" t="s">
        <v>8047</v>
      </c>
      <c r="E720" t="s">
        <v>8048</v>
      </c>
      <c r="F720">
        <v>25523.78</v>
      </c>
      <c r="H720">
        <v>25523.78</v>
      </c>
    </row>
    <row r="721" spans="1:10" ht="15" customHeight="1" x14ac:dyDescent="0.2">
      <c r="A721" s="420">
        <v>46112</v>
      </c>
      <c r="B721" t="s">
        <v>2439</v>
      </c>
      <c r="C721" t="s">
        <v>7298</v>
      </c>
      <c r="D721" t="s">
        <v>8049</v>
      </c>
      <c r="E721" t="s">
        <v>8050</v>
      </c>
      <c r="F721">
        <v>33445.39</v>
      </c>
      <c r="H721">
        <v>58969.17</v>
      </c>
    </row>
    <row r="722" spans="1:10" ht="15" customHeight="1" x14ac:dyDescent="0.2">
      <c r="A722" t="s">
        <v>7298</v>
      </c>
      <c r="E722" t="s">
        <v>349</v>
      </c>
      <c r="F722">
        <v>58969.17</v>
      </c>
      <c r="H722">
        <v>58969.17</v>
      </c>
    </row>
    <row r="724" spans="1:10" ht="15" customHeight="1" x14ac:dyDescent="0.2">
      <c r="A724" t="s">
        <v>7300</v>
      </c>
      <c r="B724" t="s">
        <v>7301</v>
      </c>
      <c r="F724" t="s">
        <v>2430</v>
      </c>
      <c r="G724" t="s">
        <v>2431</v>
      </c>
      <c r="H724" t="s">
        <v>2432</v>
      </c>
      <c r="I724" t="s">
        <v>2433</v>
      </c>
      <c r="J724" t="s">
        <v>2434</v>
      </c>
    </row>
    <row r="725" spans="1:10" ht="15" customHeight="1" x14ac:dyDescent="0.2">
      <c r="A725" s="420">
        <v>46043</v>
      </c>
      <c r="B725" t="s">
        <v>2439</v>
      </c>
      <c r="C725" t="s">
        <v>7300</v>
      </c>
      <c r="D725" t="s">
        <v>8051</v>
      </c>
      <c r="E725" t="s">
        <v>8052</v>
      </c>
      <c r="F725">
        <v>25481.82</v>
      </c>
      <c r="H725">
        <v>25481.82</v>
      </c>
    </row>
    <row r="726" spans="1:10" ht="15" customHeight="1" x14ac:dyDescent="0.2">
      <c r="A726" s="420">
        <v>46098</v>
      </c>
      <c r="B726" t="s">
        <v>2439</v>
      </c>
      <c r="C726" t="s">
        <v>7300</v>
      </c>
      <c r="D726" t="s">
        <v>8053</v>
      </c>
      <c r="E726" t="s">
        <v>8054</v>
      </c>
      <c r="F726">
        <v>33923.54</v>
      </c>
      <c r="H726">
        <v>59405.36</v>
      </c>
    </row>
    <row r="727" spans="1:10" ht="15" customHeight="1" x14ac:dyDescent="0.2">
      <c r="A727" t="s">
        <v>7300</v>
      </c>
      <c r="E727" t="s">
        <v>349</v>
      </c>
      <c r="F727">
        <v>59405.36</v>
      </c>
      <c r="H727">
        <v>59405.36</v>
      </c>
    </row>
    <row r="729" spans="1:10" ht="15" customHeight="1" x14ac:dyDescent="0.2">
      <c r="A729" t="s">
        <v>8255</v>
      </c>
      <c r="B729" t="s">
        <v>8256</v>
      </c>
      <c r="F729" t="s">
        <v>2430</v>
      </c>
      <c r="G729" t="s">
        <v>2431</v>
      </c>
      <c r="H729" t="s">
        <v>2432</v>
      </c>
      <c r="I729" t="s">
        <v>2433</v>
      </c>
      <c r="J729" t="s">
        <v>2434</v>
      </c>
    </row>
    <row r="730" spans="1:10" ht="15" customHeight="1" x14ac:dyDescent="0.2">
      <c r="A730" s="420">
        <v>46025</v>
      </c>
      <c r="B730" t="s">
        <v>2439</v>
      </c>
      <c r="C730" t="s">
        <v>8255</v>
      </c>
      <c r="D730" t="s">
        <v>8092</v>
      </c>
      <c r="E730" t="s">
        <v>8093</v>
      </c>
      <c r="F730">
        <v>18208</v>
      </c>
      <c r="H730">
        <v>18208</v>
      </c>
    </row>
    <row r="731" spans="1:10" ht="15" customHeight="1" x14ac:dyDescent="0.2">
      <c r="A731" s="420">
        <v>46028</v>
      </c>
      <c r="B731" t="s">
        <v>2439</v>
      </c>
      <c r="C731" t="s">
        <v>8255</v>
      </c>
      <c r="D731" t="s">
        <v>8008</v>
      </c>
      <c r="E731" t="s">
        <v>8009</v>
      </c>
      <c r="G731">
        <v>11445.2</v>
      </c>
      <c r="H731">
        <v>6762.8</v>
      </c>
    </row>
    <row r="732" spans="1:10" ht="15" customHeight="1" x14ac:dyDescent="0.2">
      <c r="A732" s="420">
        <v>46034</v>
      </c>
      <c r="B732" t="s">
        <v>2439</v>
      </c>
      <c r="C732" t="s">
        <v>8255</v>
      </c>
      <c r="D732" t="s">
        <v>8010</v>
      </c>
      <c r="E732" t="s">
        <v>8011</v>
      </c>
      <c r="G732">
        <v>6762.8</v>
      </c>
    </row>
    <row r="733" spans="1:10" ht="15" customHeight="1" x14ac:dyDescent="0.2">
      <c r="A733" s="420">
        <v>46092</v>
      </c>
      <c r="B733" t="s">
        <v>2439</v>
      </c>
      <c r="C733" t="s">
        <v>8255</v>
      </c>
      <c r="D733" t="s">
        <v>8098</v>
      </c>
      <c r="E733" t="s">
        <v>8099</v>
      </c>
      <c r="F733">
        <v>28194.14</v>
      </c>
      <c r="H733">
        <v>28194.14</v>
      </c>
    </row>
    <row r="734" spans="1:10" ht="15" customHeight="1" x14ac:dyDescent="0.2">
      <c r="A734" t="s">
        <v>8255</v>
      </c>
      <c r="E734" t="s">
        <v>349</v>
      </c>
      <c r="F734">
        <v>46402.14</v>
      </c>
      <c r="G734">
        <v>18208</v>
      </c>
      <c r="H734">
        <v>28194.14</v>
      </c>
    </row>
    <row r="736" spans="1:10" ht="15" customHeight="1" x14ac:dyDescent="0.2">
      <c r="A736" t="s">
        <v>8257</v>
      </c>
      <c r="B736" t="s">
        <v>8258</v>
      </c>
      <c r="F736" t="s">
        <v>2430</v>
      </c>
      <c r="G736" t="s">
        <v>2431</v>
      </c>
      <c r="H736" t="s">
        <v>2432</v>
      </c>
      <c r="I736" t="s">
        <v>2433</v>
      </c>
      <c r="J736" t="s">
        <v>2434</v>
      </c>
    </row>
    <row r="737" spans="1:10" ht="15" customHeight="1" x14ac:dyDescent="0.2">
      <c r="A737" s="420">
        <v>46062</v>
      </c>
      <c r="B737" t="s">
        <v>2439</v>
      </c>
      <c r="C737" t="s">
        <v>8257</v>
      </c>
      <c r="D737" t="s">
        <v>8259</v>
      </c>
      <c r="E737" t="s">
        <v>8260</v>
      </c>
      <c r="G737">
        <v>9256</v>
      </c>
      <c r="I737">
        <v>9256</v>
      </c>
    </row>
    <row r="738" spans="1:10" ht="15" customHeight="1" x14ac:dyDescent="0.2">
      <c r="A738" s="420">
        <v>46066</v>
      </c>
      <c r="B738" t="s">
        <v>2439</v>
      </c>
      <c r="C738" t="s">
        <v>8257</v>
      </c>
      <c r="D738" t="s">
        <v>8137</v>
      </c>
      <c r="E738" t="s">
        <v>8138</v>
      </c>
      <c r="F738">
        <v>20000</v>
      </c>
      <c r="H738">
        <v>10744</v>
      </c>
    </row>
    <row r="739" spans="1:10" ht="15" customHeight="1" x14ac:dyDescent="0.2">
      <c r="A739" t="s">
        <v>8257</v>
      </c>
      <c r="E739" t="s">
        <v>349</v>
      </c>
      <c r="F739">
        <v>20000</v>
      </c>
      <c r="G739">
        <v>9256</v>
      </c>
      <c r="H739">
        <v>10744</v>
      </c>
    </row>
    <row r="741" spans="1:10" ht="15" customHeight="1" x14ac:dyDescent="0.2">
      <c r="A741" t="s">
        <v>7308</v>
      </c>
      <c r="B741" t="s">
        <v>7309</v>
      </c>
      <c r="F741" t="s">
        <v>2430</v>
      </c>
      <c r="G741" t="s">
        <v>2431</v>
      </c>
      <c r="H741" t="s">
        <v>2432</v>
      </c>
      <c r="I741" t="s">
        <v>2433</v>
      </c>
      <c r="J741" t="s">
        <v>2434</v>
      </c>
    </row>
    <row r="742" spans="1:10" ht="15" customHeight="1" x14ac:dyDescent="0.2">
      <c r="A742" s="420">
        <v>46058</v>
      </c>
      <c r="B742" t="s">
        <v>2333</v>
      </c>
      <c r="C742" t="s">
        <v>7308</v>
      </c>
      <c r="D742" t="s">
        <v>8134</v>
      </c>
      <c r="E742" t="s">
        <v>8261</v>
      </c>
      <c r="G742">
        <v>8600.5</v>
      </c>
      <c r="I742">
        <v>8600.5</v>
      </c>
    </row>
    <row r="743" spans="1:10" ht="15" customHeight="1" x14ac:dyDescent="0.2">
      <c r="A743" s="420">
        <v>46070</v>
      </c>
      <c r="B743" t="s">
        <v>2333</v>
      </c>
      <c r="C743" t="s">
        <v>7308</v>
      </c>
      <c r="D743" t="s">
        <v>8128</v>
      </c>
      <c r="E743" t="s">
        <v>8129</v>
      </c>
      <c r="G743">
        <v>8562.1</v>
      </c>
      <c r="I743">
        <v>17162.599999999999</v>
      </c>
    </row>
    <row r="744" spans="1:10" ht="15" customHeight="1" x14ac:dyDescent="0.2">
      <c r="A744" t="s">
        <v>7308</v>
      </c>
      <c r="E744" t="s">
        <v>349</v>
      </c>
      <c r="G744">
        <v>17162.599999999999</v>
      </c>
      <c r="I744">
        <v>17162.599999999999</v>
      </c>
    </row>
    <row r="746" spans="1:10" ht="15" customHeight="1" x14ac:dyDescent="0.2">
      <c r="A746" t="s">
        <v>7376</v>
      </c>
      <c r="B746" t="s">
        <v>7334</v>
      </c>
      <c r="F746" t="s">
        <v>2430</v>
      </c>
      <c r="G746" t="s">
        <v>2431</v>
      </c>
      <c r="H746" t="s">
        <v>2432</v>
      </c>
      <c r="I746" t="s">
        <v>2433</v>
      </c>
      <c r="J746" t="s">
        <v>2434</v>
      </c>
    </row>
    <row r="747" spans="1:10" ht="15" customHeight="1" x14ac:dyDescent="0.2">
      <c r="A747" s="420">
        <v>46023</v>
      </c>
      <c r="B747" t="s">
        <v>2435</v>
      </c>
      <c r="C747" t="s">
        <v>7376</v>
      </c>
      <c r="D747" t="s">
        <v>7957</v>
      </c>
      <c r="E747" t="s">
        <v>7403</v>
      </c>
      <c r="G747">
        <v>1700</v>
      </c>
      <c r="I747">
        <v>1700</v>
      </c>
    </row>
    <row r="748" spans="1:10" ht="15" customHeight="1" x14ac:dyDescent="0.2">
      <c r="A748" s="420">
        <v>46023</v>
      </c>
      <c r="B748" t="s">
        <v>2435</v>
      </c>
      <c r="C748" t="s">
        <v>7376</v>
      </c>
      <c r="D748" t="s">
        <v>7957</v>
      </c>
      <c r="E748" t="s">
        <v>7395</v>
      </c>
      <c r="G748">
        <v>3295</v>
      </c>
      <c r="I748">
        <v>4995</v>
      </c>
    </row>
    <row r="749" spans="1:10" ht="15" customHeight="1" x14ac:dyDescent="0.2">
      <c r="A749" s="420">
        <v>46023</v>
      </c>
      <c r="B749" t="s">
        <v>2435</v>
      </c>
      <c r="C749" t="s">
        <v>7376</v>
      </c>
      <c r="D749" t="s">
        <v>7957</v>
      </c>
      <c r="E749" t="s">
        <v>7391</v>
      </c>
      <c r="G749">
        <v>3905</v>
      </c>
      <c r="I749">
        <v>8900</v>
      </c>
    </row>
    <row r="750" spans="1:10" ht="15" customHeight="1" x14ac:dyDescent="0.2">
      <c r="A750" s="420">
        <v>46023</v>
      </c>
      <c r="B750" t="s">
        <v>2435</v>
      </c>
      <c r="C750" t="s">
        <v>7376</v>
      </c>
      <c r="D750" t="s">
        <v>7957</v>
      </c>
      <c r="E750" t="s">
        <v>7389</v>
      </c>
      <c r="F750">
        <v>2355</v>
      </c>
      <c r="I750">
        <v>6545</v>
      </c>
    </row>
    <row r="751" spans="1:10" ht="15" customHeight="1" x14ac:dyDescent="0.2">
      <c r="A751" s="420">
        <v>46023</v>
      </c>
      <c r="B751" t="s">
        <v>2435</v>
      </c>
      <c r="C751" t="s">
        <v>7376</v>
      </c>
      <c r="D751" t="s">
        <v>7957</v>
      </c>
      <c r="E751" t="s">
        <v>7387</v>
      </c>
      <c r="G751">
        <v>2495</v>
      </c>
      <c r="I751">
        <v>9040</v>
      </c>
    </row>
    <row r="752" spans="1:10" ht="15" customHeight="1" x14ac:dyDescent="0.2">
      <c r="A752" s="420">
        <v>46023</v>
      </c>
      <c r="B752" t="s">
        <v>2435</v>
      </c>
      <c r="C752" t="s">
        <v>7376</v>
      </c>
      <c r="D752" t="s">
        <v>7957</v>
      </c>
      <c r="E752" t="s">
        <v>7385</v>
      </c>
      <c r="G752">
        <v>2150</v>
      </c>
      <c r="I752">
        <v>11190</v>
      </c>
    </row>
    <row r="753" spans="1:10" ht="15" customHeight="1" x14ac:dyDescent="0.2">
      <c r="A753" s="420">
        <v>46023</v>
      </c>
      <c r="B753" t="s">
        <v>2435</v>
      </c>
      <c r="C753" t="s">
        <v>7376</v>
      </c>
      <c r="D753" t="s">
        <v>7957</v>
      </c>
      <c r="E753" t="s">
        <v>7366</v>
      </c>
      <c r="G753">
        <v>1850</v>
      </c>
      <c r="I753">
        <v>13040</v>
      </c>
    </row>
    <row r="754" spans="1:10" ht="15" customHeight="1" x14ac:dyDescent="0.2">
      <c r="A754" s="420">
        <v>46023</v>
      </c>
      <c r="B754" t="s">
        <v>2435</v>
      </c>
      <c r="C754" t="s">
        <v>7376</v>
      </c>
      <c r="D754" t="s">
        <v>7957</v>
      </c>
      <c r="E754" t="s">
        <v>7379</v>
      </c>
      <c r="F754">
        <v>1305</v>
      </c>
      <c r="I754">
        <v>11735</v>
      </c>
    </row>
    <row r="755" spans="1:10" ht="15" customHeight="1" x14ac:dyDescent="0.2">
      <c r="A755" s="420">
        <v>46023</v>
      </c>
      <c r="B755" t="s">
        <v>2435</v>
      </c>
      <c r="C755" t="s">
        <v>7376</v>
      </c>
      <c r="D755" t="s">
        <v>7957</v>
      </c>
      <c r="E755" t="s">
        <v>7378</v>
      </c>
      <c r="F755">
        <v>1252</v>
      </c>
      <c r="I755">
        <v>10483</v>
      </c>
    </row>
    <row r="756" spans="1:10" ht="15" customHeight="1" x14ac:dyDescent="0.2">
      <c r="A756" s="420">
        <v>46023</v>
      </c>
      <c r="B756" t="s">
        <v>2435</v>
      </c>
      <c r="C756" t="s">
        <v>7376</v>
      </c>
      <c r="D756" t="s">
        <v>7957</v>
      </c>
      <c r="E756" t="s">
        <v>7377</v>
      </c>
      <c r="F756">
        <v>1252</v>
      </c>
      <c r="I756">
        <v>9231</v>
      </c>
    </row>
    <row r="757" spans="1:10" ht="15" customHeight="1" x14ac:dyDescent="0.2">
      <c r="A757" s="420">
        <v>46023</v>
      </c>
      <c r="B757" t="s">
        <v>2435</v>
      </c>
      <c r="C757" t="s">
        <v>7376</v>
      </c>
      <c r="D757" t="s">
        <v>7957</v>
      </c>
      <c r="E757" t="s">
        <v>7383</v>
      </c>
      <c r="F757">
        <v>800</v>
      </c>
      <c r="I757">
        <v>8431</v>
      </c>
      <c r="J757" t="s">
        <v>2587</v>
      </c>
    </row>
    <row r="758" spans="1:10" ht="15" customHeight="1" x14ac:dyDescent="0.2">
      <c r="A758" s="420">
        <v>46023</v>
      </c>
      <c r="B758" t="s">
        <v>2435</v>
      </c>
      <c r="C758" t="s">
        <v>7376</v>
      </c>
      <c r="D758" t="s">
        <v>7957</v>
      </c>
      <c r="E758" t="s">
        <v>7381</v>
      </c>
      <c r="G758">
        <v>810</v>
      </c>
      <c r="I758">
        <v>9241</v>
      </c>
      <c r="J758" t="s">
        <v>2587</v>
      </c>
    </row>
    <row r="759" spans="1:10" ht="15" customHeight="1" x14ac:dyDescent="0.2">
      <c r="A759" s="420">
        <v>46029</v>
      </c>
      <c r="B759" t="s">
        <v>2333</v>
      </c>
      <c r="C759" t="s">
        <v>7376</v>
      </c>
      <c r="D759" t="s">
        <v>8262</v>
      </c>
      <c r="E759" t="s">
        <v>8263</v>
      </c>
      <c r="G759">
        <v>167</v>
      </c>
      <c r="I759">
        <v>9408</v>
      </c>
    </row>
    <row r="760" spans="1:10" ht="15" customHeight="1" x14ac:dyDescent="0.2">
      <c r="A760" s="420">
        <v>46058</v>
      </c>
      <c r="B760" t="s">
        <v>2333</v>
      </c>
      <c r="C760" t="s">
        <v>7376</v>
      </c>
      <c r="D760" t="s">
        <v>8264</v>
      </c>
      <c r="E760" t="s">
        <v>8265</v>
      </c>
      <c r="G760">
        <v>167</v>
      </c>
      <c r="I760">
        <v>9575</v>
      </c>
    </row>
    <row r="761" spans="1:10" ht="15" customHeight="1" x14ac:dyDescent="0.2">
      <c r="A761" s="420">
        <v>46086</v>
      </c>
      <c r="B761" t="s">
        <v>2333</v>
      </c>
      <c r="C761" t="s">
        <v>7376</v>
      </c>
      <c r="D761" t="s">
        <v>8266</v>
      </c>
      <c r="E761" t="s">
        <v>8267</v>
      </c>
      <c r="G761">
        <v>167</v>
      </c>
      <c r="I761">
        <v>9742</v>
      </c>
    </row>
    <row r="762" spans="1:10" ht="15" customHeight="1" x14ac:dyDescent="0.2">
      <c r="A762" s="420">
        <v>46091</v>
      </c>
      <c r="B762" t="s">
        <v>2333</v>
      </c>
      <c r="C762" t="s">
        <v>7376</v>
      </c>
      <c r="D762" t="s">
        <v>8268</v>
      </c>
      <c r="E762" t="s">
        <v>8269</v>
      </c>
      <c r="F762">
        <v>1312.95</v>
      </c>
      <c r="I762">
        <v>8429.0499999999993</v>
      </c>
    </row>
    <row r="763" spans="1:10" ht="15" customHeight="1" x14ac:dyDescent="0.2">
      <c r="A763" s="420">
        <v>46092</v>
      </c>
      <c r="B763" t="s">
        <v>2333</v>
      </c>
      <c r="C763" t="s">
        <v>7376</v>
      </c>
      <c r="D763" t="s">
        <v>8270</v>
      </c>
      <c r="E763" t="s">
        <v>8271</v>
      </c>
      <c r="G763">
        <v>6500</v>
      </c>
      <c r="I763">
        <v>14929.05</v>
      </c>
    </row>
    <row r="764" spans="1:10" ht="15" customHeight="1" x14ac:dyDescent="0.2">
      <c r="A764" s="420">
        <v>46098</v>
      </c>
      <c r="B764" t="s">
        <v>2333</v>
      </c>
      <c r="C764" t="s">
        <v>7376</v>
      </c>
      <c r="D764" t="s">
        <v>8272</v>
      </c>
      <c r="E764" t="s">
        <v>8273</v>
      </c>
      <c r="G764">
        <v>3100</v>
      </c>
      <c r="I764">
        <v>18029.05</v>
      </c>
    </row>
    <row r="765" spans="1:10" ht="15" customHeight="1" x14ac:dyDescent="0.2">
      <c r="A765" s="420">
        <v>46101</v>
      </c>
      <c r="B765" t="s">
        <v>2333</v>
      </c>
      <c r="C765" t="s">
        <v>7376</v>
      </c>
      <c r="D765" t="s">
        <v>8274</v>
      </c>
      <c r="E765" t="s">
        <v>8275</v>
      </c>
      <c r="F765">
        <v>3100</v>
      </c>
      <c r="I765">
        <v>14929.05</v>
      </c>
    </row>
    <row r="766" spans="1:10" ht="15" customHeight="1" x14ac:dyDescent="0.2">
      <c r="A766" t="s">
        <v>7376</v>
      </c>
      <c r="E766" t="s">
        <v>349</v>
      </c>
      <c r="F766">
        <v>11376.95</v>
      </c>
      <c r="G766">
        <v>26306</v>
      </c>
      <c r="I766">
        <v>14929.05</v>
      </c>
    </row>
    <row r="768" spans="1:10" ht="15" customHeight="1" x14ac:dyDescent="0.2">
      <c r="A768" t="s">
        <v>7416</v>
      </c>
      <c r="B768" t="s">
        <v>3210</v>
      </c>
      <c r="F768" t="s">
        <v>2430</v>
      </c>
      <c r="G768" t="s">
        <v>2431</v>
      </c>
      <c r="H768" t="s">
        <v>2432</v>
      </c>
      <c r="I768" t="s">
        <v>2433</v>
      </c>
      <c r="J768" t="s">
        <v>2434</v>
      </c>
    </row>
    <row r="769" spans="1:10" ht="15" customHeight="1" x14ac:dyDescent="0.2">
      <c r="A769" s="420">
        <v>46023</v>
      </c>
      <c r="B769" t="s">
        <v>2435</v>
      </c>
      <c r="C769" t="s">
        <v>7416</v>
      </c>
      <c r="D769" t="s">
        <v>7957</v>
      </c>
      <c r="E769" t="s">
        <v>3294</v>
      </c>
      <c r="F769">
        <v>10426.200000000001</v>
      </c>
      <c r="H769">
        <v>10426.200000000001</v>
      </c>
    </row>
    <row r="770" spans="1:10" ht="15" customHeight="1" x14ac:dyDescent="0.2">
      <c r="A770" s="420">
        <v>46023</v>
      </c>
      <c r="B770" t="s">
        <v>2435</v>
      </c>
      <c r="C770" t="s">
        <v>7416</v>
      </c>
      <c r="D770" t="s">
        <v>7957</v>
      </c>
      <c r="E770" t="s">
        <v>3356</v>
      </c>
      <c r="F770">
        <v>11047.8</v>
      </c>
      <c r="H770">
        <v>21474</v>
      </c>
    </row>
    <row r="771" spans="1:10" ht="15" customHeight="1" x14ac:dyDescent="0.2">
      <c r="A771" s="420">
        <v>46023</v>
      </c>
      <c r="B771" t="s">
        <v>2435</v>
      </c>
      <c r="C771" t="s">
        <v>7416</v>
      </c>
      <c r="D771" t="s">
        <v>7957</v>
      </c>
      <c r="E771" t="s">
        <v>3352</v>
      </c>
      <c r="F771">
        <v>9924.5499999999993</v>
      </c>
      <c r="H771">
        <v>31398.55</v>
      </c>
    </row>
    <row r="772" spans="1:10" ht="15" customHeight="1" x14ac:dyDescent="0.2">
      <c r="A772" s="420">
        <v>46023</v>
      </c>
      <c r="B772" t="s">
        <v>2435</v>
      </c>
      <c r="C772" t="s">
        <v>7416</v>
      </c>
      <c r="D772" t="s">
        <v>7957</v>
      </c>
      <c r="E772" t="s">
        <v>3346</v>
      </c>
      <c r="F772">
        <v>11505.7</v>
      </c>
      <c r="H772">
        <v>42904.25</v>
      </c>
    </row>
    <row r="773" spans="1:10" ht="15" customHeight="1" x14ac:dyDescent="0.2">
      <c r="A773" s="420">
        <v>46023</v>
      </c>
      <c r="B773" t="s">
        <v>2435</v>
      </c>
      <c r="C773" t="s">
        <v>7416</v>
      </c>
      <c r="D773" t="s">
        <v>7957</v>
      </c>
      <c r="E773" t="s">
        <v>3354</v>
      </c>
      <c r="F773">
        <v>10013.450000000001</v>
      </c>
      <c r="H773">
        <v>52917.7</v>
      </c>
    </row>
    <row r="774" spans="1:10" ht="15" customHeight="1" x14ac:dyDescent="0.2">
      <c r="A774" s="420">
        <v>46023</v>
      </c>
      <c r="B774" t="s">
        <v>2435</v>
      </c>
      <c r="C774" t="s">
        <v>7416</v>
      </c>
      <c r="D774" t="s">
        <v>7957</v>
      </c>
      <c r="E774" t="s">
        <v>3327</v>
      </c>
      <c r="F774">
        <v>10045.200000000001</v>
      </c>
      <c r="H774">
        <v>62962.9</v>
      </c>
    </row>
    <row r="775" spans="1:10" ht="15" customHeight="1" x14ac:dyDescent="0.2">
      <c r="A775" s="420">
        <v>46023</v>
      </c>
      <c r="B775" t="s">
        <v>2435</v>
      </c>
      <c r="C775" t="s">
        <v>7416</v>
      </c>
      <c r="D775" t="s">
        <v>7957</v>
      </c>
      <c r="E775" t="s">
        <v>3338</v>
      </c>
      <c r="F775">
        <v>8432.2999999999993</v>
      </c>
      <c r="H775">
        <v>71395.199999999997</v>
      </c>
    </row>
    <row r="776" spans="1:10" ht="15" customHeight="1" x14ac:dyDescent="0.2">
      <c r="A776" s="420">
        <v>46023</v>
      </c>
      <c r="B776" t="s">
        <v>2435</v>
      </c>
      <c r="C776" t="s">
        <v>7416</v>
      </c>
      <c r="D776" t="s">
        <v>7957</v>
      </c>
      <c r="E776" t="s">
        <v>3307</v>
      </c>
      <c r="F776">
        <v>10699.25</v>
      </c>
      <c r="H776">
        <v>82094.45</v>
      </c>
    </row>
    <row r="777" spans="1:10" ht="15" customHeight="1" x14ac:dyDescent="0.2">
      <c r="A777" s="420">
        <v>46023</v>
      </c>
      <c r="B777" t="s">
        <v>2435</v>
      </c>
      <c r="C777" t="s">
        <v>7416</v>
      </c>
      <c r="D777" t="s">
        <v>7957</v>
      </c>
      <c r="E777" t="s">
        <v>3323</v>
      </c>
      <c r="F777">
        <v>9448.2999999999993</v>
      </c>
      <c r="H777">
        <v>91542.75</v>
      </c>
    </row>
    <row r="778" spans="1:10" ht="15" customHeight="1" x14ac:dyDescent="0.2">
      <c r="A778" s="420">
        <v>46035</v>
      </c>
      <c r="B778" t="s">
        <v>2547</v>
      </c>
      <c r="C778" t="s">
        <v>7416</v>
      </c>
      <c r="D778" t="s">
        <v>7990</v>
      </c>
      <c r="E778" t="s">
        <v>7991</v>
      </c>
      <c r="F778">
        <v>8679.25</v>
      </c>
      <c r="H778">
        <v>100222</v>
      </c>
    </row>
    <row r="779" spans="1:10" ht="15" customHeight="1" x14ac:dyDescent="0.2">
      <c r="A779" t="s">
        <v>7416</v>
      </c>
      <c r="E779" t="s">
        <v>349</v>
      </c>
      <c r="F779">
        <v>100222</v>
      </c>
      <c r="H779">
        <v>100222</v>
      </c>
    </row>
    <row r="781" spans="1:10" ht="15" customHeight="1" x14ac:dyDescent="0.2">
      <c r="A781" t="s">
        <v>7421</v>
      </c>
      <c r="B781" t="s">
        <v>7309</v>
      </c>
      <c r="F781" t="s">
        <v>2430</v>
      </c>
      <c r="G781" t="s">
        <v>2431</v>
      </c>
      <c r="H781" t="s">
        <v>2432</v>
      </c>
      <c r="I781" t="s">
        <v>2433</v>
      </c>
      <c r="J781" t="s">
        <v>2434</v>
      </c>
    </row>
    <row r="782" spans="1:10" ht="15" customHeight="1" x14ac:dyDescent="0.2">
      <c r="A782" s="420">
        <v>46023</v>
      </c>
      <c r="B782" t="s">
        <v>2435</v>
      </c>
      <c r="C782" t="s">
        <v>7421</v>
      </c>
      <c r="D782" t="s">
        <v>7957</v>
      </c>
      <c r="E782" t="s">
        <v>7428</v>
      </c>
      <c r="G782">
        <v>10619.65</v>
      </c>
      <c r="I782">
        <v>10619.65</v>
      </c>
    </row>
    <row r="783" spans="1:10" ht="15" customHeight="1" x14ac:dyDescent="0.2">
      <c r="A783" s="420">
        <v>46023</v>
      </c>
      <c r="B783" t="s">
        <v>2435</v>
      </c>
      <c r="C783" t="s">
        <v>7421</v>
      </c>
      <c r="D783" t="s">
        <v>7957</v>
      </c>
      <c r="E783" t="s">
        <v>7426</v>
      </c>
      <c r="G783">
        <v>9032.0499999999993</v>
      </c>
      <c r="I783">
        <v>19651.7</v>
      </c>
    </row>
    <row r="784" spans="1:10" ht="15" customHeight="1" x14ac:dyDescent="0.2">
      <c r="A784" s="420">
        <v>46023</v>
      </c>
      <c r="B784" t="s">
        <v>2435</v>
      </c>
      <c r="C784" t="s">
        <v>7421</v>
      </c>
      <c r="D784" t="s">
        <v>7957</v>
      </c>
      <c r="E784" t="s">
        <v>5614</v>
      </c>
      <c r="G784">
        <v>10058.950000000001</v>
      </c>
      <c r="I784">
        <v>29710.65</v>
      </c>
    </row>
    <row r="785" spans="1:10" ht="15" customHeight="1" x14ac:dyDescent="0.2">
      <c r="A785" s="420">
        <v>46023</v>
      </c>
      <c r="B785" t="s">
        <v>2435</v>
      </c>
      <c r="C785" t="s">
        <v>7421</v>
      </c>
      <c r="D785" t="s">
        <v>7957</v>
      </c>
      <c r="E785" t="s">
        <v>5752</v>
      </c>
      <c r="G785">
        <v>10606.5</v>
      </c>
      <c r="I785">
        <v>40317.15</v>
      </c>
    </row>
    <row r="786" spans="1:10" ht="15" customHeight="1" x14ac:dyDescent="0.2">
      <c r="A786" s="420">
        <v>46023</v>
      </c>
      <c r="B786" t="s">
        <v>2435</v>
      </c>
      <c r="C786" t="s">
        <v>7421</v>
      </c>
      <c r="D786" t="s">
        <v>7957</v>
      </c>
      <c r="E786" t="s">
        <v>5861</v>
      </c>
      <c r="G786">
        <v>11065.56</v>
      </c>
      <c r="I786">
        <v>51382.71</v>
      </c>
    </row>
    <row r="787" spans="1:10" ht="15" customHeight="1" x14ac:dyDescent="0.2">
      <c r="A787" s="420">
        <v>46023</v>
      </c>
      <c r="B787" t="s">
        <v>2435</v>
      </c>
      <c r="C787" t="s">
        <v>7421</v>
      </c>
      <c r="D787" t="s">
        <v>7957</v>
      </c>
      <c r="E787" t="s">
        <v>5562</v>
      </c>
      <c r="G787">
        <v>10909.45</v>
      </c>
      <c r="I787">
        <v>62292.160000000003</v>
      </c>
    </row>
    <row r="788" spans="1:10" ht="15" customHeight="1" x14ac:dyDescent="0.2">
      <c r="A788" s="420">
        <v>46023</v>
      </c>
      <c r="B788" t="s">
        <v>2435</v>
      </c>
      <c r="C788" t="s">
        <v>7421</v>
      </c>
      <c r="D788" t="s">
        <v>7957</v>
      </c>
      <c r="E788" t="s">
        <v>7424</v>
      </c>
      <c r="G788">
        <v>10934.65</v>
      </c>
      <c r="I788">
        <v>73226.81</v>
      </c>
    </row>
    <row r="789" spans="1:10" ht="15" customHeight="1" x14ac:dyDescent="0.2">
      <c r="A789" s="420">
        <v>46023</v>
      </c>
      <c r="B789" t="s">
        <v>2435</v>
      </c>
      <c r="C789" t="s">
        <v>7421</v>
      </c>
      <c r="D789" t="s">
        <v>7957</v>
      </c>
      <c r="E789" t="s">
        <v>7433</v>
      </c>
      <c r="G789">
        <v>10594.45</v>
      </c>
      <c r="I789">
        <v>83821.259999999995</v>
      </c>
    </row>
    <row r="790" spans="1:10" ht="15" customHeight="1" x14ac:dyDescent="0.2">
      <c r="A790" s="420">
        <v>46023</v>
      </c>
      <c r="B790" t="s">
        <v>2435</v>
      </c>
      <c r="C790" t="s">
        <v>7421</v>
      </c>
      <c r="D790" t="s">
        <v>7957</v>
      </c>
      <c r="E790" t="s">
        <v>7431</v>
      </c>
      <c r="G790">
        <v>10525.15</v>
      </c>
      <c r="I790">
        <v>94346.41</v>
      </c>
    </row>
    <row r="791" spans="1:10" ht="15" customHeight="1" x14ac:dyDescent="0.2">
      <c r="A791" s="420">
        <v>46023</v>
      </c>
      <c r="B791" t="s">
        <v>2435</v>
      </c>
      <c r="C791" t="s">
        <v>7421</v>
      </c>
      <c r="D791" t="s">
        <v>7957</v>
      </c>
      <c r="E791" t="s">
        <v>7430</v>
      </c>
      <c r="G791">
        <v>12068.65</v>
      </c>
      <c r="I791">
        <v>106415.06</v>
      </c>
    </row>
    <row r="792" spans="1:10" ht="15" customHeight="1" x14ac:dyDescent="0.2">
      <c r="A792" s="420">
        <v>46083</v>
      </c>
      <c r="B792" t="s">
        <v>5544</v>
      </c>
      <c r="C792" t="s">
        <v>7421</v>
      </c>
      <c r="D792" t="s">
        <v>8205</v>
      </c>
      <c r="E792" t="s">
        <v>8206</v>
      </c>
      <c r="F792">
        <v>10909.46</v>
      </c>
      <c r="I792">
        <v>95505.600000000006</v>
      </c>
    </row>
    <row r="793" spans="1:10" ht="15" customHeight="1" x14ac:dyDescent="0.2">
      <c r="A793" s="420">
        <v>46083</v>
      </c>
      <c r="B793" t="s">
        <v>5544</v>
      </c>
      <c r="C793" t="s">
        <v>7421</v>
      </c>
      <c r="D793" t="s">
        <v>8207</v>
      </c>
      <c r="E793" t="s">
        <v>8208</v>
      </c>
      <c r="F793">
        <v>11065.56</v>
      </c>
      <c r="I793">
        <v>84440.04</v>
      </c>
    </row>
    <row r="794" spans="1:10" ht="15" customHeight="1" x14ac:dyDescent="0.2">
      <c r="A794" s="420">
        <v>46084</v>
      </c>
      <c r="B794" t="s">
        <v>2333</v>
      </c>
      <c r="C794" t="s">
        <v>7421</v>
      </c>
      <c r="D794" t="s">
        <v>8276</v>
      </c>
      <c r="E794" t="s">
        <v>8277</v>
      </c>
      <c r="G794">
        <v>8099.34</v>
      </c>
      <c r="I794">
        <v>92539.38</v>
      </c>
    </row>
    <row r="795" spans="1:10" ht="15" customHeight="1" x14ac:dyDescent="0.2">
      <c r="A795" s="420">
        <v>46086</v>
      </c>
      <c r="B795" t="s">
        <v>2439</v>
      </c>
      <c r="C795" t="s">
        <v>7421</v>
      </c>
      <c r="D795" t="s">
        <v>8124</v>
      </c>
      <c r="E795" t="s">
        <v>8125</v>
      </c>
      <c r="F795">
        <v>25313.34</v>
      </c>
      <c r="I795">
        <v>67226.039999999994</v>
      </c>
    </row>
    <row r="796" spans="1:10" ht="15" customHeight="1" x14ac:dyDescent="0.2">
      <c r="A796" t="s">
        <v>7421</v>
      </c>
      <c r="E796" t="s">
        <v>349</v>
      </c>
      <c r="F796">
        <v>47288.36</v>
      </c>
      <c r="G796">
        <v>114514.4</v>
      </c>
      <c r="I796">
        <v>67226.039999999994</v>
      </c>
    </row>
    <row r="798" spans="1:10" ht="15" customHeight="1" x14ac:dyDescent="0.2">
      <c r="A798" t="s">
        <v>7434</v>
      </c>
      <c r="B798" t="s">
        <v>7435</v>
      </c>
      <c r="F798" t="s">
        <v>2430</v>
      </c>
      <c r="G798" t="s">
        <v>2431</v>
      </c>
      <c r="H798" t="s">
        <v>2432</v>
      </c>
      <c r="I798" t="s">
        <v>2433</v>
      </c>
      <c r="J798" t="s">
        <v>2434</v>
      </c>
    </row>
    <row r="799" spans="1:10" ht="15" customHeight="1" x14ac:dyDescent="0.2">
      <c r="A799" s="420">
        <v>46023</v>
      </c>
      <c r="B799" t="s">
        <v>2435</v>
      </c>
      <c r="C799" t="s">
        <v>7434</v>
      </c>
      <c r="D799" t="s">
        <v>7957</v>
      </c>
      <c r="E799" t="s">
        <v>1058</v>
      </c>
      <c r="F799">
        <v>7.27</v>
      </c>
      <c r="H799">
        <v>7.27</v>
      </c>
    </row>
    <row r="800" spans="1:10" ht="15" customHeight="1" x14ac:dyDescent="0.2">
      <c r="A800" t="s">
        <v>7434</v>
      </c>
      <c r="E800" t="s">
        <v>349</v>
      </c>
      <c r="F800">
        <v>7.27</v>
      </c>
      <c r="H800">
        <v>7.27</v>
      </c>
    </row>
    <row r="802" spans="1:10" ht="15" customHeight="1" x14ac:dyDescent="0.2">
      <c r="A802" t="s">
        <v>7434</v>
      </c>
      <c r="B802" t="s">
        <v>7439</v>
      </c>
      <c r="F802" t="s">
        <v>2430</v>
      </c>
      <c r="G802" t="s">
        <v>2431</v>
      </c>
      <c r="H802" t="s">
        <v>2432</v>
      </c>
      <c r="I802" t="s">
        <v>2433</v>
      </c>
      <c r="J802" t="s">
        <v>2434</v>
      </c>
    </row>
    <row r="803" spans="1:10" ht="15" customHeight="1" x14ac:dyDescent="0.2">
      <c r="A803" s="420">
        <v>46023</v>
      </c>
      <c r="B803" t="s">
        <v>2435</v>
      </c>
      <c r="C803" t="s">
        <v>7434</v>
      </c>
      <c r="D803" t="s">
        <v>7957</v>
      </c>
      <c r="E803" t="s">
        <v>7958</v>
      </c>
      <c r="G803">
        <v>7.27</v>
      </c>
      <c r="I803">
        <v>7.27</v>
      </c>
    </row>
    <row r="804" spans="1:10" ht="15" customHeight="1" x14ac:dyDescent="0.2">
      <c r="A804" t="s">
        <v>7434</v>
      </c>
      <c r="E804" t="s">
        <v>349</v>
      </c>
      <c r="G804">
        <v>7.27</v>
      </c>
      <c r="I804">
        <v>7.27</v>
      </c>
    </row>
    <row r="806" spans="1:10" ht="15" customHeight="1" x14ac:dyDescent="0.2">
      <c r="A806" t="s">
        <v>8278</v>
      </c>
      <c r="B806" t="s">
        <v>8279</v>
      </c>
      <c r="F806" t="s">
        <v>2430</v>
      </c>
      <c r="G806" t="s">
        <v>2431</v>
      </c>
      <c r="H806" t="s">
        <v>2432</v>
      </c>
      <c r="I806" t="s">
        <v>2433</v>
      </c>
      <c r="J806" t="s">
        <v>2434</v>
      </c>
    </row>
    <row r="807" spans="1:10" ht="15" customHeight="1" x14ac:dyDescent="0.2">
      <c r="A807" s="420">
        <v>46024</v>
      </c>
      <c r="B807" t="s">
        <v>2333</v>
      </c>
      <c r="C807" t="s">
        <v>8278</v>
      </c>
      <c r="D807" t="s">
        <v>8280</v>
      </c>
      <c r="E807" t="s">
        <v>4698</v>
      </c>
      <c r="F807">
        <v>17.03</v>
      </c>
      <c r="H807">
        <v>17.03</v>
      </c>
    </row>
    <row r="808" spans="1:10" ht="15" customHeight="1" x14ac:dyDescent="0.2">
      <c r="A808" s="420">
        <v>46027</v>
      </c>
      <c r="B808" t="s">
        <v>2333</v>
      </c>
      <c r="C808" t="s">
        <v>8278</v>
      </c>
      <c r="D808" t="s">
        <v>8281</v>
      </c>
      <c r="E808" t="s">
        <v>8282</v>
      </c>
      <c r="F808">
        <v>21.24</v>
      </c>
      <c r="H808">
        <v>38.270000000000003</v>
      </c>
    </row>
    <row r="809" spans="1:10" ht="15" customHeight="1" x14ac:dyDescent="0.2">
      <c r="A809" s="420">
        <v>46027</v>
      </c>
      <c r="B809" t="s">
        <v>2333</v>
      </c>
      <c r="C809" t="s">
        <v>8278</v>
      </c>
      <c r="D809" t="s">
        <v>8283</v>
      </c>
      <c r="E809" t="s">
        <v>8284</v>
      </c>
      <c r="F809">
        <v>642.23</v>
      </c>
      <c r="H809">
        <v>680.5</v>
      </c>
    </row>
    <row r="810" spans="1:10" ht="15" customHeight="1" x14ac:dyDescent="0.2">
      <c r="A810" s="420">
        <v>46030</v>
      </c>
      <c r="B810" t="s">
        <v>2333</v>
      </c>
      <c r="C810" t="s">
        <v>8278</v>
      </c>
      <c r="D810" t="s">
        <v>8285</v>
      </c>
      <c r="E810" t="s">
        <v>2761</v>
      </c>
      <c r="F810">
        <v>114.63</v>
      </c>
      <c r="H810">
        <v>795.13</v>
      </c>
    </row>
    <row r="811" spans="1:10" ht="15" customHeight="1" x14ac:dyDescent="0.2">
      <c r="A811" s="420">
        <v>46030</v>
      </c>
      <c r="B811" t="s">
        <v>2333</v>
      </c>
      <c r="C811" t="s">
        <v>8278</v>
      </c>
      <c r="D811" t="s">
        <v>8286</v>
      </c>
      <c r="E811" t="s">
        <v>8287</v>
      </c>
      <c r="F811">
        <v>331.62</v>
      </c>
      <c r="H811">
        <v>1126.75</v>
      </c>
    </row>
    <row r="812" spans="1:10" ht="15" customHeight="1" x14ac:dyDescent="0.2">
      <c r="A812" s="420">
        <v>46031</v>
      </c>
      <c r="B812" t="s">
        <v>2333</v>
      </c>
      <c r="C812" t="s">
        <v>8278</v>
      </c>
      <c r="D812" t="s">
        <v>8288</v>
      </c>
      <c r="E812" t="s">
        <v>8289</v>
      </c>
      <c r="F812">
        <v>187.2</v>
      </c>
      <c r="H812">
        <v>1313.95</v>
      </c>
    </row>
    <row r="813" spans="1:10" ht="15" customHeight="1" x14ac:dyDescent="0.2">
      <c r="A813" s="420">
        <v>46034</v>
      </c>
      <c r="B813" t="s">
        <v>2333</v>
      </c>
      <c r="C813" t="s">
        <v>8278</v>
      </c>
      <c r="D813" t="s">
        <v>8290</v>
      </c>
      <c r="E813" t="s">
        <v>8291</v>
      </c>
      <c r="F813">
        <v>366.42</v>
      </c>
      <c r="H813">
        <v>1680.37</v>
      </c>
    </row>
    <row r="814" spans="1:10" ht="15" customHeight="1" x14ac:dyDescent="0.2">
      <c r="A814" s="420">
        <v>46034</v>
      </c>
      <c r="B814" t="s">
        <v>2333</v>
      </c>
      <c r="C814" t="s">
        <v>8278</v>
      </c>
      <c r="D814" t="s">
        <v>8292</v>
      </c>
      <c r="E814" t="s">
        <v>8293</v>
      </c>
      <c r="F814">
        <v>182.98</v>
      </c>
      <c r="H814">
        <v>1863.35</v>
      </c>
    </row>
    <row r="815" spans="1:10" ht="15" customHeight="1" x14ac:dyDescent="0.2">
      <c r="A815" s="420">
        <v>46037</v>
      </c>
      <c r="B815" t="s">
        <v>2333</v>
      </c>
      <c r="C815" t="s">
        <v>8278</v>
      </c>
      <c r="D815" t="s">
        <v>8294</v>
      </c>
      <c r="E815" t="s">
        <v>8295</v>
      </c>
      <c r="F815">
        <v>90.74</v>
      </c>
      <c r="H815">
        <v>1954.09</v>
      </c>
    </row>
    <row r="816" spans="1:10" ht="15" customHeight="1" x14ac:dyDescent="0.2">
      <c r="A816" s="420">
        <v>46038</v>
      </c>
      <c r="B816" t="s">
        <v>2333</v>
      </c>
      <c r="C816" t="s">
        <v>8278</v>
      </c>
      <c r="D816" t="s">
        <v>8296</v>
      </c>
      <c r="E816" t="s">
        <v>8297</v>
      </c>
      <c r="F816">
        <v>10.69</v>
      </c>
      <c r="H816">
        <v>1964.78</v>
      </c>
    </row>
    <row r="817" spans="1:9" ht="15" customHeight="1" x14ac:dyDescent="0.2">
      <c r="A817" s="420">
        <v>46041</v>
      </c>
      <c r="B817" t="s">
        <v>2333</v>
      </c>
      <c r="C817" t="s">
        <v>8278</v>
      </c>
      <c r="D817" t="s">
        <v>8298</v>
      </c>
      <c r="E817" t="s">
        <v>8299</v>
      </c>
      <c r="F817">
        <v>420</v>
      </c>
      <c r="H817">
        <v>2384.7800000000002</v>
      </c>
    </row>
    <row r="818" spans="1:9" ht="15" customHeight="1" x14ac:dyDescent="0.2">
      <c r="A818" s="420">
        <v>46045</v>
      </c>
      <c r="B818" t="s">
        <v>2333</v>
      </c>
      <c r="C818" t="s">
        <v>8278</v>
      </c>
      <c r="D818" t="s">
        <v>8300</v>
      </c>
      <c r="E818" t="s">
        <v>8301</v>
      </c>
      <c r="F818">
        <v>6000</v>
      </c>
      <c r="H818">
        <v>8384.7800000000007</v>
      </c>
    </row>
    <row r="819" spans="1:9" ht="15" customHeight="1" x14ac:dyDescent="0.2">
      <c r="A819" s="420">
        <v>46051</v>
      </c>
      <c r="B819" t="s">
        <v>2333</v>
      </c>
      <c r="C819" t="s">
        <v>8278</v>
      </c>
      <c r="D819" t="s">
        <v>8302</v>
      </c>
      <c r="E819" t="s">
        <v>8303</v>
      </c>
      <c r="F819">
        <v>990</v>
      </c>
      <c r="H819">
        <v>9374.7800000000007</v>
      </c>
    </row>
    <row r="820" spans="1:9" ht="15" customHeight="1" x14ac:dyDescent="0.2">
      <c r="A820" s="420">
        <v>46051</v>
      </c>
      <c r="B820" t="s">
        <v>2333</v>
      </c>
      <c r="C820" t="s">
        <v>8278</v>
      </c>
      <c r="D820" t="s">
        <v>8304</v>
      </c>
      <c r="E820" t="s">
        <v>8305</v>
      </c>
      <c r="F820">
        <v>34.950000000000003</v>
      </c>
      <c r="H820">
        <v>9409.73</v>
      </c>
    </row>
    <row r="821" spans="1:9" ht="15" customHeight="1" x14ac:dyDescent="0.2">
      <c r="A821" s="420">
        <v>46056</v>
      </c>
      <c r="B821" t="s">
        <v>2333</v>
      </c>
      <c r="C821" t="s">
        <v>8278</v>
      </c>
      <c r="D821" t="s">
        <v>8306</v>
      </c>
      <c r="E821" t="s">
        <v>8307</v>
      </c>
      <c r="F821">
        <v>1770</v>
      </c>
      <c r="H821">
        <v>11179.73</v>
      </c>
    </row>
    <row r="822" spans="1:9" ht="15" customHeight="1" x14ac:dyDescent="0.2">
      <c r="A822" s="420">
        <v>46057</v>
      </c>
      <c r="B822" t="s">
        <v>2333</v>
      </c>
      <c r="C822" t="s">
        <v>8278</v>
      </c>
      <c r="D822" t="s">
        <v>8308</v>
      </c>
      <c r="E822" t="s">
        <v>8309</v>
      </c>
      <c r="F822">
        <v>6800</v>
      </c>
      <c r="H822">
        <v>17979.73</v>
      </c>
    </row>
    <row r="823" spans="1:9" ht="15" customHeight="1" x14ac:dyDescent="0.2">
      <c r="A823" s="420">
        <v>46057</v>
      </c>
      <c r="B823" t="s">
        <v>2333</v>
      </c>
      <c r="C823" t="s">
        <v>8278</v>
      </c>
      <c r="D823" t="s">
        <v>8310</v>
      </c>
      <c r="E823" t="s">
        <v>8311</v>
      </c>
      <c r="F823">
        <v>248.35</v>
      </c>
      <c r="H823">
        <v>18228.080000000002</v>
      </c>
    </row>
    <row r="824" spans="1:9" ht="15" customHeight="1" x14ac:dyDescent="0.2">
      <c r="A824" s="420">
        <v>46063</v>
      </c>
      <c r="B824" t="s">
        <v>2333</v>
      </c>
      <c r="C824" t="s">
        <v>8278</v>
      </c>
      <c r="D824" t="s">
        <v>8312</v>
      </c>
      <c r="E824" t="s">
        <v>8313</v>
      </c>
      <c r="F824">
        <v>187.2</v>
      </c>
      <c r="H824">
        <v>18415.28</v>
      </c>
    </row>
    <row r="825" spans="1:9" ht="15" customHeight="1" x14ac:dyDescent="0.2">
      <c r="A825" s="420">
        <v>46064</v>
      </c>
      <c r="B825" t="s">
        <v>2333</v>
      </c>
      <c r="C825" t="s">
        <v>8278</v>
      </c>
      <c r="D825" t="s">
        <v>8314</v>
      </c>
      <c r="E825" t="s">
        <v>8315</v>
      </c>
      <c r="F825">
        <v>14.99</v>
      </c>
      <c r="H825">
        <v>18430.27</v>
      </c>
    </row>
    <row r="826" spans="1:9" ht="15" customHeight="1" x14ac:dyDescent="0.2">
      <c r="A826" s="420">
        <v>46065</v>
      </c>
      <c r="B826" t="s">
        <v>2333</v>
      </c>
      <c r="C826" t="s">
        <v>8278</v>
      </c>
      <c r="D826" t="s">
        <v>8316</v>
      </c>
      <c r="E826" t="s">
        <v>8317</v>
      </c>
      <c r="G826">
        <v>1000</v>
      </c>
      <c r="H826">
        <v>17430.27</v>
      </c>
    </row>
    <row r="827" spans="1:9" ht="15" customHeight="1" x14ac:dyDescent="0.2">
      <c r="A827" s="420">
        <v>46069</v>
      </c>
      <c r="B827" t="s">
        <v>2333</v>
      </c>
      <c r="C827" t="s">
        <v>8278</v>
      </c>
      <c r="D827" t="s">
        <v>8318</v>
      </c>
      <c r="E827" t="s">
        <v>8319</v>
      </c>
      <c r="F827">
        <v>21.24</v>
      </c>
      <c r="H827">
        <v>17451.509999999998</v>
      </c>
    </row>
    <row r="828" spans="1:9" ht="15" customHeight="1" x14ac:dyDescent="0.2">
      <c r="A828" s="420">
        <v>46070</v>
      </c>
      <c r="B828" t="s">
        <v>2333</v>
      </c>
      <c r="C828" t="s">
        <v>8278</v>
      </c>
      <c r="D828" t="s">
        <v>8320</v>
      </c>
      <c r="E828" t="s">
        <v>8321</v>
      </c>
      <c r="F828">
        <v>58.08</v>
      </c>
      <c r="H828">
        <v>17509.59</v>
      </c>
    </row>
    <row r="829" spans="1:9" ht="15" customHeight="1" x14ac:dyDescent="0.2">
      <c r="A829" s="420">
        <v>46070</v>
      </c>
      <c r="B829" t="s">
        <v>2333</v>
      </c>
      <c r="C829" t="s">
        <v>8278</v>
      </c>
      <c r="D829" t="s">
        <v>8322</v>
      </c>
      <c r="E829" t="s">
        <v>8323</v>
      </c>
      <c r="F829">
        <v>19</v>
      </c>
      <c r="H829">
        <v>17528.59</v>
      </c>
    </row>
    <row r="830" spans="1:9" ht="15" customHeight="1" x14ac:dyDescent="0.2">
      <c r="A830" s="420">
        <v>46072</v>
      </c>
      <c r="B830" t="s">
        <v>2333</v>
      </c>
      <c r="C830" t="s">
        <v>8278</v>
      </c>
      <c r="D830" t="s">
        <v>8324</v>
      </c>
      <c r="E830" t="s">
        <v>8325</v>
      </c>
      <c r="F830">
        <v>720</v>
      </c>
      <c r="H830">
        <v>18248.59</v>
      </c>
    </row>
    <row r="831" spans="1:9" ht="15" customHeight="1" x14ac:dyDescent="0.2">
      <c r="A831" s="420">
        <v>46076</v>
      </c>
      <c r="B831" t="s">
        <v>2333</v>
      </c>
      <c r="C831" t="s">
        <v>8278</v>
      </c>
      <c r="D831" t="s">
        <v>8326</v>
      </c>
      <c r="E831" t="s">
        <v>8327</v>
      </c>
      <c r="G831">
        <v>19871.28</v>
      </c>
      <c r="I831">
        <v>1622.69</v>
      </c>
    </row>
    <row r="832" spans="1:9" ht="15" customHeight="1" x14ac:dyDescent="0.2">
      <c r="A832" s="420">
        <v>46076</v>
      </c>
      <c r="B832" t="s">
        <v>2333</v>
      </c>
      <c r="C832" t="s">
        <v>8278</v>
      </c>
      <c r="D832" t="s">
        <v>8328</v>
      </c>
      <c r="E832" t="s">
        <v>8329</v>
      </c>
      <c r="F832">
        <v>68.900000000000006</v>
      </c>
      <c r="I832">
        <v>1553.79</v>
      </c>
    </row>
    <row r="833" spans="1:8" ht="15" customHeight="1" x14ac:dyDescent="0.2">
      <c r="A833" s="420">
        <v>46076</v>
      </c>
      <c r="B833" t="s">
        <v>2333</v>
      </c>
      <c r="C833" t="s">
        <v>8278</v>
      </c>
      <c r="D833" t="s">
        <v>8330</v>
      </c>
      <c r="E833" t="s">
        <v>8331</v>
      </c>
      <c r="F833">
        <v>6000</v>
      </c>
      <c r="H833">
        <v>4446.21</v>
      </c>
    </row>
    <row r="834" spans="1:8" ht="15" customHeight="1" x14ac:dyDescent="0.2">
      <c r="A834" s="420">
        <v>46077</v>
      </c>
      <c r="B834" t="s">
        <v>2333</v>
      </c>
      <c r="C834" t="s">
        <v>8278</v>
      </c>
      <c r="D834" t="s">
        <v>8332</v>
      </c>
      <c r="E834" t="s">
        <v>8305</v>
      </c>
      <c r="F834">
        <v>34.950000000000003</v>
      </c>
      <c r="H834">
        <v>4481.16</v>
      </c>
    </row>
    <row r="835" spans="1:8" ht="15" customHeight="1" x14ac:dyDescent="0.2">
      <c r="A835" s="420">
        <v>46077</v>
      </c>
      <c r="B835" t="s">
        <v>2333</v>
      </c>
      <c r="C835" t="s">
        <v>8278</v>
      </c>
      <c r="D835" t="s">
        <v>8333</v>
      </c>
      <c r="E835" t="s">
        <v>8334</v>
      </c>
      <c r="F835">
        <v>120</v>
      </c>
      <c r="H835">
        <v>4601.16</v>
      </c>
    </row>
    <row r="836" spans="1:8" ht="15" customHeight="1" x14ac:dyDescent="0.2">
      <c r="A836" s="420">
        <v>46079</v>
      </c>
      <c r="B836" t="s">
        <v>3866</v>
      </c>
      <c r="C836" t="s">
        <v>8278</v>
      </c>
      <c r="D836" t="s">
        <v>8335</v>
      </c>
      <c r="E836" t="s">
        <v>8336</v>
      </c>
      <c r="F836">
        <v>98.76</v>
      </c>
      <c r="H836">
        <v>4699.92</v>
      </c>
    </row>
    <row r="837" spans="1:8" ht="15" customHeight="1" x14ac:dyDescent="0.2">
      <c r="A837" s="420">
        <v>46079</v>
      </c>
      <c r="B837" t="s">
        <v>2333</v>
      </c>
      <c r="C837" t="s">
        <v>8278</v>
      </c>
      <c r="D837" t="s">
        <v>8337</v>
      </c>
      <c r="E837" t="s">
        <v>8338</v>
      </c>
      <c r="F837">
        <v>145.9</v>
      </c>
      <c r="H837">
        <v>4845.82</v>
      </c>
    </row>
    <row r="838" spans="1:8" ht="15" customHeight="1" x14ac:dyDescent="0.2">
      <c r="A838" s="420">
        <v>46080</v>
      </c>
      <c r="B838" t="s">
        <v>2333</v>
      </c>
      <c r="C838" t="s">
        <v>8278</v>
      </c>
      <c r="D838" t="s">
        <v>8339</v>
      </c>
      <c r="E838" t="s">
        <v>8340</v>
      </c>
      <c r="F838">
        <v>5146.5600000000004</v>
      </c>
      <c r="H838">
        <v>9992.3799999999992</v>
      </c>
    </row>
    <row r="839" spans="1:8" ht="15" customHeight="1" x14ac:dyDescent="0.2">
      <c r="A839" s="420">
        <v>46080</v>
      </c>
      <c r="B839" t="s">
        <v>2333</v>
      </c>
      <c r="C839" t="s">
        <v>8278</v>
      </c>
      <c r="D839" t="s">
        <v>8341</v>
      </c>
      <c r="E839" t="s">
        <v>8342</v>
      </c>
      <c r="F839">
        <v>414</v>
      </c>
      <c r="H839">
        <v>10406.379999999999</v>
      </c>
    </row>
    <row r="840" spans="1:8" ht="15" customHeight="1" x14ac:dyDescent="0.2">
      <c r="A840" s="420">
        <v>46082</v>
      </c>
      <c r="B840" t="s">
        <v>3866</v>
      </c>
      <c r="C840" t="s">
        <v>8278</v>
      </c>
      <c r="D840" t="s">
        <v>8343</v>
      </c>
      <c r="E840" t="s">
        <v>8344</v>
      </c>
      <c r="F840">
        <v>1348.85</v>
      </c>
      <c r="H840">
        <v>11755.23</v>
      </c>
    </row>
    <row r="841" spans="1:8" ht="15" customHeight="1" x14ac:dyDescent="0.2">
      <c r="A841" s="420">
        <v>46083</v>
      </c>
      <c r="B841" t="s">
        <v>3866</v>
      </c>
      <c r="C841" t="s">
        <v>8278</v>
      </c>
      <c r="D841" t="s">
        <v>8345</v>
      </c>
      <c r="E841" t="s">
        <v>8346</v>
      </c>
      <c r="F841">
        <v>462.38</v>
      </c>
      <c r="H841">
        <v>12217.61</v>
      </c>
    </row>
    <row r="842" spans="1:8" ht="15" customHeight="1" x14ac:dyDescent="0.2">
      <c r="A842" s="420">
        <v>46084</v>
      </c>
      <c r="B842" t="s">
        <v>2333</v>
      </c>
      <c r="C842" t="s">
        <v>8278</v>
      </c>
      <c r="D842" t="s">
        <v>8347</v>
      </c>
      <c r="E842" t="s">
        <v>8348</v>
      </c>
      <c r="F842">
        <v>21.24</v>
      </c>
      <c r="H842">
        <v>12238.85</v>
      </c>
    </row>
    <row r="843" spans="1:8" ht="15" customHeight="1" x14ac:dyDescent="0.2">
      <c r="A843" s="420">
        <v>46084</v>
      </c>
      <c r="B843" t="s">
        <v>2333</v>
      </c>
      <c r="C843" t="s">
        <v>8278</v>
      </c>
      <c r="D843" t="s">
        <v>8349</v>
      </c>
      <c r="E843" t="s">
        <v>8350</v>
      </c>
      <c r="G843">
        <v>1000</v>
      </c>
      <c r="H843">
        <v>11238.85</v>
      </c>
    </row>
    <row r="844" spans="1:8" ht="15" customHeight="1" x14ac:dyDescent="0.2">
      <c r="A844" s="420">
        <v>46085</v>
      </c>
      <c r="B844" t="s">
        <v>2333</v>
      </c>
      <c r="C844" t="s">
        <v>8278</v>
      </c>
      <c r="D844" t="s">
        <v>8351</v>
      </c>
      <c r="E844" t="s">
        <v>8352</v>
      </c>
      <c r="F844">
        <v>21.6</v>
      </c>
      <c r="H844">
        <v>11260.45</v>
      </c>
    </row>
    <row r="845" spans="1:8" ht="15" customHeight="1" x14ac:dyDescent="0.2">
      <c r="A845" s="420">
        <v>46086</v>
      </c>
      <c r="B845" t="s">
        <v>3866</v>
      </c>
      <c r="C845" t="s">
        <v>8278</v>
      </c>
      <c r="D845" t="s">
        <v>8353</v>
      </c>
      <c r="E845" t="s">
        <v>8354</v>
      </c>
      <c r="F845">
        <v>1328.25</v>
      </c>
      <c r="H845">
        <v>12588.7</v>
      </c>
    </row>
    <row r="846" spans="1:8" ht="15" customHeight="1" x14ac:dyDescent="0.2">
      <c r="A846" s="420">
        <v>46090</v>
      </c>
      <c r="B846" t="s">
        <v>2333</v>
      </c>
      <c r="C846" t="s">
        <v>8278</v>
      </c>
      <c r="D846" t="s">
        <v>8355</v>
      </c>
      <c r="E846" t="s">
        <v>8356</v>
      </c>
      <c r="G846">
        <v>1312.95</v>
      </c>
      <c r="H846">
        <v>11275.75</v>
      </c>
    </row>
    <row r="847" spans="1:8" ht="15" customHeight="1" x14ac:dyDescent="0.2">
      <c r="A847" s="420">
        <v>46091</v>
      </c>
      <c r="B847" t="s">
        <v>2333</v>
      </c>
      <c r="C847" t="s">
        <v>8278</v>
      </c>
      <c r="D847" t="s">
        <v>8357</v>
      </c>
      <c r="E847" t="s">
        <v>8358</v>
      </c>
      <c r="F847">
        <v>6.94</v>
      </c>
      <c r="H847">
        <v>11282.69</v>
      </c>
    </row>
    <row r="848" spans="1:8" ht="15" customHeight="1" x14ac:dyDescent="0.2">
      <c r="A848" s="420">
        <v>46092</v>
      </c>
      <c r="B848" t="s">
        <v>3866</v>
      </c>
      <c r="C848" t="s">
        <v>8278</v>
      </c>
      <c r="D848" t="s">
        <v>8359</v>
      </c>
      <c r="E848" t="s">
        <v>8360</v>
      </c>
      <c r="F848">
        <v>30</v>
      </c>
      <c r="H848">
        <v>11312.69</v>
      </c>
    </row>
    <row r="849" spans="1:10" ht="15" customHeight="1" x14ac:dyDescent="0.2">
      <c r="A849" s="420">
        <v>46093</v>
      </c>
      <c r="B849" t="s">
        <v>2333</v>
      </c>
      <c r="C849" t="s">
        <v>8278</v>
      </c>
      <c r="D849" t="s">
        <v>8361</v>
      </c>
      <c r="E849" t="s">
        <v>8362</v>
      </c>
      <c r="F849">
        <v>6000</v>
      </c>
      <c r="H849">
        <v>17312.689999999999</v>
      </c>
    </row>
    <row r="850" spans="1:10" ht="15" customHeight="1" x14ac:dyDescent="0.2">
      <c r="A850" s="420">
        <v>46099</v>
      </c>
      <c r="B850" t="s">
        <v>2333</v>
      </c>
      <c r="C850" t="s">
        <v>8278</v>
      </c>
      <c r="D850" t="s">
        <v>8363</v>
      </c>
      <c r="E850" t="s">
        <v>8364</v>
      </c>
      <c r="G850">
        <v>683.16</v>
      </c>
      <c r="H850">
        <v>16629.53</v>
      </c>
    </row>
    <row r="851" spans="1:10" ht="15" customHeight="1" x14ac:dyDescent="0.2">
      <c r="A851" s="420">
        <v>46100</v>
      </c>
      <c r="B851" t="s">
        <v>2333</v>
      </c>
      <c r="C851" t="s">
        <v>8278</v>
      </c>
      <c r="D851" t="s">
        <v>8365</v>
      </c>
      <c r="E851" t="s">
        <v>8315</v>
      </c>
      <c r="F851">
        <v>20.99</v>
      </c>
      <c r="H851">
        <v>16650.52</v>
      </c>
    </row>
    <row r="852" spans="1:10" ht="15" customHeight="1" x14ac:dyDescent="0.2">
      <c r="A852" s="420">
        <v>46104</v>
      </c>
      <c r="B852" t="s">
        <v>2333</v>
      </c>
      <c r="C852" t="s">
        <v>8278</v>
      </c>
      <c r="D852" t="s">
        <v>8366</v>
      </c>
      <c r="E852" t="s">
        <v>8367</v>
      </c>
      <c r="F852">
        <v>3600</v>
      </c>
      <c r="H852">
        <v>20250.52</v>
      </c>
    </row>
    <row r="853" spans="1:10" ht="15" customHeight="1" x14ac:dyDescent="0.2">
      <c r="A853" s="420">
        <v>46105</v>
      </c>
      <c r="B853" t="s">
        <v>2333</v>
      </c>
      <c r="C853" t="s">
        <v>8278</v>
      </c>
      <c r="D853" t="s">
        <v>8368</v>
      </c>
      <c r="E853" t="s">
        <v>8305</v>
      </c>
      <c r="F853">
        <v>34.950000000000003</v>
      </c>
      <c r="H853">
        <v>20285.47</v>
      </c>
    </row>
    <row r="854" spans="1:10" ht="15" customHeight="1" x14ac:dyDescent="0.2">
      <c r="A854" s="420">
        <v>46106</v>
      </c>
      <c r="B854" t="s">
        <v>3866</v>
      </c>
      <c r="C854" t="s">
        <v>8278</v>
      </c>
      <c r="D854" t="s">
        <v>8369</v>
      </c>
      <c r="E854" t="s">
        <v>8336</v>
      </c>
      <c r="F854">
        <v>94.8</v>
      </c>
      <c r="H854">
        <v>20380.27</v>
      </c>
    </row>
    <row r="855" spans="1:10" ht="15" customHeight="1" x14ac:dyDescent="0.2">
      <c r="A855" s="420">
        <v>46106</v>
      </c>
      <c r="B855" t="s">
        <v>2333</v>
      </c>
      <c r="C855" t="s">
        <v>8278</v>
      </c>
      <c r="D855" t="s">
        <v>8370</v>
      </c>
      <c r="E855" t="s">
        <v>8371</v>
      </c>
      <c r="G855">
        <v>2715.95</v>
      </c>
      <c r="H855">
        <v>17664.32</v>
      </c>
    </row>
    <row r="856" spans="1:10" ht="15" customHeight="1" x14ac:dyDescent="0.2">
      <c r="A856" s="420">
        <v>46107</v>
      </c>
      <c r="B856" t="s">
        <v>2333</v>
      </c>
      <c r="C856" t="s">
        <v>8278</v>
      </c>
      <c r="D856" t="s">
        <v>8372</v>
      </c>
      <c r="E856" t="s">
        <v>8315</v>
      </c>
      <c r="F856">
        <v>119.8</v>
      </c>
      <c r="H856">
        <v>17784.12</v>
      </c>
    </row>
    <row r="857" spans="1:10" ht="15" customHeight="1" x14ac:dyDescent="0.2">
      <c r="A857" s="420">
        <v>46108</v>
      </c>
      <c r="B857" t="s">
        <v>3866</v>
      </c>
      <c r="C857" t="s">
        <v>8278</v>
      </c>
      <c r="D857" t="s">
        <v>8373</v>
      </c>
      <c r="E857" t="s">
        <v>8374</v>
      </c>
      <c r="F857">
        <v>418.8</v>
      </c>
      <c r="H857">
        <v>18202.919999999998</v>
      </c>
    </row>
    <row r="858" spans="1:10" ht="15" customHeight="1" x14ac:dyDescent="0.2">
      <c r="A858" s="420">
        <v>46108</v>
      </c>
      <c r="B858" t="s">
        <v>2333</v>
      </c>
      <c r="C858" t="s">
        <v>8278</v>
      </c>
      <c r="D858" t="s">
        <v>8375</v>
      </c>
      <c r="E858" t="s">
        <v>8376</v>
      </c>
      <c r="F858">
        <v>56.66</v>
      </c>
      <c r="H858">
        <v>18259.580000000002</v>
      </c>
    </row>
    <row r="859" spans="1:10" ht="15" customHeight="1" x14ac:dyDescent="0.2">
      <c r="A859" s="420">
        <v>46108</v>
      </c>
      <c r="B859" t="s">
        <v>2333</v>
      </c>
      <c r="C859" t="s">
        <v>8278</v>
      </c>
      <c r="D859" t="s">
        <v>8377</v>
      </c>
      <c r="E859" t="s">
        <v>8378</v>
      </c>
      <c r="G859">
        <v>1761.2</v>
      </c>
      <c r="H859">
        <v>16498.38</v>
      </c>
    </row>
    <row r="860" spans="1:10" ht="15" customHeight="1" x14ac:dyDescent="0.2">
      <c r="A860" s="420">
        <v>46112</v>
      </c>
      <c r="B860" t="s">
        <v>2333</v>
      </c>
      <c r="C860" t="s">
        <v>8278</v>
      </c>
      <c r="D860" t="s">
        <v>8379</v>
      </c>
      <c r="E860" t="s">
        <v>8380</v>
      </c>
      <c r="F860">
        <v>38.99</v>
      </c>
      <c r="H860">
        <v>16537.37</v>
      </c>
    </row>
    <row r="861" spans="1:10" ht="15" customHeight="1" x14ac:dyDescent="0.2">
      <c r="A861" t="s">
        <v>8278</v>
      </c>
      <c r="E861" t="s">
        <v>349</v>
      </c>
      <c r="F861">
        <v>44881.91</v>
      </c>
      <c r="G861">
        <v>28344.54</v>
      </c>
      <c r="H861">
        <v>16537.37</v>
      </c>
    </row>
    <row r="863" spans="1:10" ht="15" customHeight="1" x14ac:dyDescent="0.2">
      <c r="A863" t="s">
        <v>8381</v>
      </c>
      <c r="B863" t="s">
        <v>8382</v>
      </c>
      <c r="F863" t="s">
        <v>2430</v>
      </c>
      <c r="G863" t="s">
        <v>2431</v>
      </c>
      <c r="H863" t="s">
        <v>2432</v>
      </c>
      <c r="I863" t="s">
        <v>2433</v>
      </c>
      <c r="J863" t="s">
        <v>2434</v>
      </c>
    </row>
    <row r="864" spans="1:10" ht="15" customHeight="1" x14ac:dyDescent="0.2">
      <c r="A864" s="420">
        <v>46032</v>
      </c>
      <c r="B864" t="s">
        <v>2333</v>
      </c>
      <c r="C864" t="s">
        <v>8381</v>
      </c>
      <c r="D864" t="s">
        <v>8383</v>
      </c>
      <c r="E864" t="s">
        <v>8384</v>
      </c>
      <c r="G864">
        <v>1000</v>
      </c>
      <c r="I864">
        <v>1000</v>
      </c>
    </row>
    <row r="865" spans="1:10" ht="15" customHeight="1" x14ac:dyDescent="0.2">
      <c r="A865" s="420">
        <v>46050</v>
      </c>
      <c r="B865" t="s">
        <v>2333</v>
      </c>
      <c r="C865" t="s">
        <v>8381</v>
      </c>
      <c r="D865" t="s">
        <v>8385</v>
      </c>
      <c r="E865" t="s">
        <v>8386</v>
      </c>
      <c r="F865">
        <v>160.08000000000001</v>
      </c>
      <c r="I865">
        <v>839.92</v>
      </c>
    </row>
    <row r="866" spans="1:10" ht="15" customHeight="1" x14ac:dyDescent="0.2">
      <c r="A866" s="420">
        <v>46057</v>
      </c>
      <c r="B866" t="s">
        <v>2333</v>
      </c>
      <c r="C866" t="s">
        <v>8381</v>
      </c>
      <c r="D866" t="s">
        <v>8387</v>
      </c>
      <c r="E866" t="s">
        <v>8388</v>
      </c>
      <c r="F866">
        <v>53.36</v>
      </c>
      <c r="I866">
        <v>786.56</v>
      </c>
    </row>
    <row r="867" spans="1:10" ht="15" customHeight="1" x14ac:dyDescent="0.2">
      <c r="A867" s="420">
        <v>46057</v>
      </c>
      <c r="B867" t="s">
        <v>2333</v>
      </c>
      <c r="C867" t="s">
        <v>8381</v>
      </c>
      <c r="D867" t="s">
        <v>8389</v>
      </c>
      <c r="E867" t="s">
        <v>8390</v>
      </c>
      <c r="F867">
        <v>53.36</v>
      </c>
      <c r="I867">
        <v>733.2</v>
      </c>
    </row>
    <row r="868" spans="1:10" ht="15" customHeight="1" x14ac:dyDescent="0.2">
      <c r="A868" s="420">
        <v>46058</v>
      </c>
      <c r="B868" t="s">
        <v>2333</v>
      </c>
      <c r="C868" t="s">
        <v>8381</v>
      </c>
      <c r="D868" t="s">
        <v>8391</v>
      </c>
      <c r="E868" t="s">
        <v>8392</v>
      </c>
      <c r="F868">
        <v>53.36</v>
      </c>
      <c r="I868">
        <v>679.84</v>
      </c>
    </row>
    <row r="869" spans="1:10" ht="15" customHeight="1" x14ac:dyDescent="0.2">
      <c r="A869" s="420">
        <v>46059</v>
      </c>
      <c r="B869" t="s">
        <v>2333</v>
      </c>
      <c r="C869" t="s">
        <v>8381</v>
      </c>
      <c r="D869" t="s">
        <v>8393</v>
      </c>
      <c r="E869" t="s">
        <v>8394</v>
      </c>
      <c r="F869">
        <v>53.36</v>
      </c>
      <c r="I869">
        <v>626.48</v>
      </c>
    </row>
    <row r="870" spans="1:10" ht="15" customHeight="1" x14ac:dyDescent="0.2">
      <c r="A870" s="420">
        <v>46076</v>
      </c>
      <c r="B870" t="s">
        <v>2333</v>
      </c>
      <c r="C870" t="s">
        <v>8381</v>
      </c>
      <c r="D870" t="s">
        <v>8395</v>
      </c>
      <c r="E870" t="s">
        <v>8396</v>
      </c>
      <c r="F870">
        <v>53.36</v>
      </c>
      <c r="I870">
        <v>573.12</v>
      </c>
    </row>
    <row r="871" spans="1:10" ht="15" customHeight="1" x14ac:dyDescent="0.2">
      <c r="A871" t="s">
        <v>8381</v>
      </c>
      <c r="E871" t="s">
        <v>349</v>
      </c>
      <c r="F871">
        <v>426.88</v>
      </c>
      <c r="G871">
        <v>1000</v>
      </c>
      <c r="I871">
        <v>573.12</v>
      </c>
    </row>
    <row r="873" spans="1:10" ht="15" customHeight="1" x14ac:dyDescent="0.2">
      <c r="A873" t="s">
        <v>7440</v>
      </c>
      <c r="B873" t="s">
        <v>7441</v>
      </c>
      <c r="F873" t="s">
        <v>2430</v>
      </c>
      <c r="G873" t="s">
        <v>2431</v>
      </c>
      <c r="H873" t="s">
        <v>2432</v>
      </c>
      <c r="I873" t="s">
        <v>2433</v>
      </c>
      <c r="J873" t="s">
        <v>2434</v>
      </c>
    </row>
    <row r="874" spans="1:10" ht="15" customHeight="1" x14ac:dyDescent="0.2">
      <c r="A874" s="420">
        <v>46023</v>
      </c>
      <c r="B874" t="s">
        <v>2435</v>
      </c>
      <c r="C874" t="s">
        <v>7440</v>
      </c>
      <c r="D874" t="s">
        <v>7957</v>
      </c>
      <c r="E874" t="s">
        <v>1432</v>
      </c>
      <c r="F874">
        <v>519</v>
      </c>
      <c r="H874">
        <v>519</v>
      </c>
    </row>
    <row r="875" spans="1:10" ht="15" customHeight="1" x14ac:dyDescent="0.2">
      <c r="A875" s="420">
        <v>46023</v>
      </c>
      <c r="B875" t="s">
        <v>2435</v>
      </c>
      <c r="C875" t="s">
        <v>7440</v>
      </c>
      <c r="D875" t="s">
        <v>7957</v>
      </c>
      <c r="E875" t="s">
        <v>1431</v>
      </c>
      <c r="F875">
        <v>750</v>
      </c>
      <c r="H875">
        <v>1269</v>
      </c>
    </row>
    <row r="876" spans="1:10" ht="15" customHeight="1" x14ac:dyDescent="0.2">
      <c r="A876" s="420">
        <v>46023</v>
      </c>
      <c r="B876" t="s">
        <v>2435</v>
      </c>
      <c r="C876" t="s">
        <v>7440</v>
      </c>
      <c r="D876" t="s">
        <v>7957</v>
      </c>
      <c r="E876" t="s">
        <v>1521</v>
      </c>
      <c r="G876">
        <v>175.94</v>
      </c>
      <c r="H876">
        <v>1093.06</v>
      </c>
    </row>
    <row r="877" spans="1:10" ht="15" customHeight="1" x14ac:dyDescent="0.2">
      <c r="A877" s="420">
        <v>46023</v>
      </c>
      <c r="B877" t="s">
        <v>2435</v>
      </c>
      <c r="C877" t="s">
        <v>7440</v>
      </c>
      <c r="D877" t="s">
        <v>7957</v>
      </c>
      <c r="E877" t="s">
        <v>7475</v>
      </c>
      <c r="F877">
        <v>12429</v>
      </c>
      <c r="H877">
        <v>13522.06</v>
      </c>
    </row>
    <row r="878" spans="1:10" ht="15" customHeight="1" x14ac:dyDescent="0.2">
      <c r="A878" s="420">
        <v>46023</v>
      </c>
      <c r="B878" t="s">
        <v>2435</v>
      </c>
      <c r="C878" t="s">
        <v>7440</v>
      </c>
      <c r="D878" t="s">
        <v>7957</v>
      </c>
      <c r="E878" t="s">
        <v>7491</v>
      </c>
      <c r="F878">
        <v>32651</v>
      </c>
      <c r="H878">
        <v>46173.06</v>
      </c>
    </row>
    <row r="879" spans="1:10" ht="15" customHeight="1" x14ac:dyDescent="0.2">
      <c r="A879" s="420">
        <v>46023</v>
      </c>
      <c r="B879" t="s">
        <v>2435</v>
      </c>
      <c r="C879" t="s">
        <v>7440</v>
      </c>
      <c r="D879" t="s">
        <v>7957</v>
      </c>
      <c r="E879" t="s">
        <v>807</v>
      </c>
      <c r="F879">
        <v>180.65</v>
      </c>
      <c r="H879">
        <v>46353.71</v>
      </c>
    </row>
    <row r="880" spans="1:10" ht="15" customHeight="1" x14ac:dyDescent="0.2">
      <c r="A880" s="420">
        <v>46023</v>
      </c>
      <c r="B880" t="s">
        <v>2435</v>
      </c>
      <c r="C880" t="s">
        <v>7440</v>
      </c>
      <c r="D880" t="s">
        <v>7957</v>
      </c>
      <c r="E880" t="s">
        <v>1616</v>
      </c>
      <c r="F880">
        <v>349</v>
      </c>
      <c r="H880">
        <v>46702.71</v>
      </c>
    </row>
    <row r="881" spans="1:10" ht="15" customHeight="1" x14ac:dyDescent="0.2">
      <c r="A881" t="s">
        <v>7440</v>
      </c>
      <c r="E881" t="s">
        <v>349</v>
      </c>
      <c r="F881">
        <v>46878.65</v>
      </c>
      <c r="G881">
        <v>175.94</v>
      </c>
      <c r="H881">
        <v>46702.71</v>
      </c>
    </row>
    <row r="883" spans="1:10" ht="15" customHeight="1" x14ac:dyDescent="0.2">
      <c r="A883" t="s">
        <v>7493</v>
      </c>
      <c r="B883" t="s">
        <v>7494</v>
      </c>
      <c r="F883" t="s">
        <v>2430</v>
      </c>
      <c r="G883" t="s">
        <v>2431</v>
      </c>
      <c r="H883" t="s">
        <v>2432</v>
      </c>
      <c r="I883" t="s">
        <v>2433</v>
      </c>
      <c r="J883" t="s">
        <v>2434</v>
      </c>
    </row>
    <row r="884" spans="1:10" ht="15" customHeight="1" x14ac:dyDescent="0.2">
      <c r="A884" s="420">
        <v>46023</v>
      </c>
      <c r="B884" t="s">
        <v>2435</v>
      </c>
      <c r="C884" t="s">
        <v>7493</v>
      </c>
      <c r="D884" t="s">
        <v>7957</v>
      </c>
      <c r="E884" t="s">
        <v>7958</v>
      </c>
      <c r="F884">
        <v>79531.240000000005</v>
      </c>
      <c r="H884">
        <v>79531.240000000005</v>
      </c>
    </row>
    <row r="885" spans="1:10" ht="15" customHeight="1" x14ac:dyDescent="0.2">
      <c r="A885" s="420">
        <v>46024</v>
      </c>
      <c r="B885" t="s">
        <v>2333</v>
      </c>
      <c r="C885" t="s">
        <v>7493</v>
      </c>
      <c r="D885" t="s">
        <v>8397</v>
      </c>
      <c r="E885" t="s">
        <v>8398</v>
      </c>
      <c r="G885">
        <v>462.38</v>
      </c>
      <c r="H885">
        <v>79068.86</v>
      </c>
    </row>
    <row r="886" spans="1:10" ht="15" customHeight="1" x14ac:dyDescent="0.2">
      <c r="A886" s="420">
        <v>46024</v>
      </c>
      <c r="B886" t="s">
        <v>2333</v>
      </c>
      <c r="C886" t="s">
        <v>7493</v>
      </c>
      <c r="D886" t="s">
        <v>7992</v>
      </c>
      <c r="E886" t="s">
        <v>7993</v>
      </c>
      <c r="G886">
        <v>22.58</v>
      </c>
      <c r="H886">
        <v>79046.28</v>
      </c>
    </row>
    <row r="887" spans="1:10" ht="15" customHeight="1" x14ac:dyDescent="0.2">
      <c r="A887" s="420">
        <v>46024</v>
      </c>
      <c r="B887" t="s">
        <v>2333</v>
      </c>
      <c r="C887" t="s">
        <v>7493</v>
      </c>
      <c r="D887" t="s">
        <v>8399</v>
      </c>
      <c r="E887" t="s">
        <v>8400</v>
      </c>
      <c r="G887">
        <v>2220</v>
      </c>
      <c r="H887">
        <v>76826.28</v>
      </c>
    </row>
    <row r="888" spans="1:10" ht="15" customHeight="1" x14ac:dyDescent="0.2">
      <c r="A888" s="420">
        <v>46024</v>
      </c>
      <c r="B888" t="s">
        <v>2333</v>
      </c>
      <c r="C888" t="s">
        <v>7493</v>
      </c>
      <c r="D888" t="s">
        <v>8401</v>
      </c>
      <c r="E888" t="s">
        <v>8402</v>
      </c>
      <c r="F888">
        <v>416.66</v>
      </c>
      <c r="H888">
        <v>77242.94</v>
      </c>
    </row>
    <row r="889" spans="1:10" ht="15" customHeight="1" x14ac:dyDescent="0.2">
      <c r="A889" s="420">
        <v>46024</v>
      </c>
      <c r="B889" t="s">
        <v>2333</v>
      </c>
      <c r="C889" t="s">
        <v>7493</v>
      </c>
      <c r="D889" t="s">
        <v>8403</v>
      </c>
      <c r="E889" t="s">
        <v>3403</v>
      </c>
      <c r="G889">
        <v>7080</v>
      </c>
      <c r="H889">
        <v>70162.94</v>
      </c>
    </row>
    <row r="890" spans="1:10" ht="15" customHeight="1" x14ac:dyDescent="0.2">
      <c r="A890" s="420">
        <v>46024</v>
      </c>
      <c r="B890" t="s">
        <v>2333</v>
      </c>
      <c r="C890" t="s">
        <v>7493</v>
      </c>
      <c r="D890" t="s">
        <v>8280</v>
      </c>
      <c r="E890" t="s">
        <v>4698</v>
      </c>
      <c r="G890">
        <v>17.03</v>
      </c>
      <c r="H890">
        <v>70145.91</v>
      </c>
    </row>
    <row r="891" spans="1:10" ht="15" customHeight="1" x14ac:dyDescent="0.2">
      <c r="A891" s="420">
        <v>46024</v>
      </c>
      <c r="B891" t="s">
        <v>2333</v>
      </c>
      <c r="C891" t="s">
        <v>7493</v>
      </c>
      <c r="D891" t="s">
        <v>8404</v>
      </c>
      <c r="E891" t="s">
        <v>1635</v>
      </c>
      <c r="G891">
        <v>0.67</v>
      </c>
      <c r="H891">
        <v>70145.240000000005</v>
      </c>
    </row>
    <row r="892" spans="1:10" ht="15" customHeight="1" x14ac:dyDescent="0.2">
      <c r="A892" s="420">
        <v>46025</v>
      </c>
      <c r="B892" t="s">
        <v>2333</v>
      </c>
      <c r="C892" t="s">
        <v>7493</v>
      </c>
      <c r="D892" t="s">
        <v>8090</v>
      </c>
      <c r="E892" t="s">
        <v>8091</v>
      </c>
      <c r="F892">
        <v>11602.45</v>
      </c>
      <c r="H892">
        <v>81747.69</v>
      </c>
    </row>
    <row r="893" spans="1:10" ht="15" customHeight="1" x14ac:dyDescent="0.2">
      <c r="A893" s="420">
        <v>46026</v>
      </c>
      <c r="B893" t="s">
        <v>2333</v>
      </c>
      <c r="C893" t="s">
        <v>7493</v>
      </c>
      <c r="D893" t="s">
        <v>8094</v>
      </c>
      <c r="E893" t="s">
        <v>8095</v>
      </c>
      <c r="F893">
        <v>27312</v>
      </c>
      <c r="H893">
        <v>109059.69</v>
      </c>
    </row>
    <row r="894" spans="1:10" ht="15" customHeight="1" x14ac:dyDescent="0.2">
      <c r="A894" s="420">
        <v>46027</v>
      </c>
      <c r="B894" t="s">
        <v>2333</v>
      </c>
      <c r="C894" t="s">
        <v>7493</v>
      </c>
      <c r="D894" t="s">
        <v>8405</v>
      </c>
      <c r="E894" t="s">
        <v>8406</v>
      </c>
      <c r="G894">
        <v>1328.25</v>
      </c>
      <c r="H894">
        <v>107731.44</v>
      </c>
    </row>
    <row r="895" spans="1:10" ht="15" customHeight="1" x14ac:dyDescent="0.2">
      <c r="A895" s="420">
        <v>46027</v>
      </c>
      <c r="B895" t="s">
        <v>2333</v>
      </c>
      <c r="C895" t="s">
        <v>7493</v>
      </c>
      <c r="D895" t="s">
        <v>8407</v>
      </c>
      <c r="E895" t="s">
        <v>8408</v>
      </c>
      <c r="G895">
        <v>65.05</v>
      </c>
      <c r="H895">
        <v>107666.39</v>
      </c>
    </row>
    <row r="896" spans="1:10" ht="15" customHeight="1" x14ac:dyDescent="0.2">
      <c r="A896" s="420">
        <v>46027</v>
      </c>
      <c r="B896" t="s">
        <v>2333</v>
      </c>
      <c r="C896" t="s">
        <v>7493</v>
      </c>
      <c r="D896" t="s">
        <v>8218</v>
      </c>
      <c r="E896" t="s">
        <v>7171</v>
      </c>
      <c r="G896">
        <v>500</v>
      </c>
      <c r="H896">
        <v>107166.39</v>
      </c>
    </row>
    <row r="897" spans="1:8" ht="15" customHeight="1" x14ac:dyDescent="0.2">
      <c r="A897" s="420">
        <v>46027</v>
      </c>
      <c r="B897" t="s">
        <v>2333</v>
      </c>
      <c r="C897" t="s">
        <v>7493</v>
      </c>
      <c r="D897" t="s">
        <v>8409</v>
      </c>
      <c r="E897" t="s">
        <v>4078</v>
      </c>
      <c r="G897">
        <v>322</v>
      </c>
      <c r="H897">
        <v>106844.39</v>
      </c>
    </row>
    <row r="898" spans="1:8" ht="15" customHeight="1" x14ac:dyDescent="0.2">
      <c r="A898" s="420">
        <v>46027</v>
      </c>
      <c r="B898" t="s">
        <v>2333</v>
      </c>
      <c r="C898" t="s">
        <v>7493</v>
      </c>
      <c r="D898" t="s">
        <v>8410</v>
      </c>
      <c r="E898" t="s">
        <v>4058</v>
      </c>
      <c r="G898">
        <v>1526</v>
      </c>
      <c r="H898">
        <v>105318.39</v>
      </c>
    </row>
    <row r="899" spans="1:8" ht="15" customHeight="1" x14ac:dyDescent="0.2">
      <c r="A899" s="420">
        <v>46027</v>
      </c>
      <c r="B899" t="s">
        <v>2333</v>
      </c>
      <c r="C899" t="s">
        <v>7493</v>
      </c>
      <c r="D899" t="s">
        <v>8032</v>
      </c>
      <c r="E899" t="s">
        <v>5173</v>
      </c>
      <c r="G899">
        <v>8.4</v>
      </c>
      <c r="H899">
        <v>105309.99</v>
      </c>
    </row>
    <row r="900" spans="1:8" ht="15" customHeight="1" x14ac:dyDescent="0.2">
      <c r="A900" s="420">
        <v>46027</v>
      </c>
      <c r="B900" t="s">
        <v>2333</v>
      </c>
      <c r="C900" t="s">
        <v>7493</v>
      </c>
      <c r="D900" t="s">
        <v>8281</v>
      </c>
      <c r="E900" t="s">
        <v>8282</v>
      </c>
      <c r="G900">
        <v>21.24</v>
      </c>
      <c r="H900">
        <v>105288.75</v>
      </c>
    </row>
    <row r="901" spans="1:8" ht="15" customHeight="1" x14ac:dyDescent="0.2">
      <c r="A901" s="420">
        <v>46027</v>
      </c>
      <c r="B901" t="s">
        <v>2333</v>
      </c>
      <c r="C901" t="s">
        <v>7493</v>
      </c>
      <c r="D901" t="s">
        <v>8411</v>
      </c>
      <c r="E901" t="s">
        <v>8412</v>
      </c>
      <c r="G901">
        <v>804</v>
      </c>
      <c r="H901">
        <v>104484.75</v>
      </c>
    </row>
    <row r="902" spans="1:8" ht="15" customHeight="1" x14ac:dyDescent="0.2">
      <c r="A902" s="420">
        <v>46027</v>
      </c>
      <c r="B902" t="s">
        <v>2333</v>
      </c>
      <c r="C902" t="s">
        <v>7493</v>
      </c>
      <c r="D902" t="s">
        <v>8413</v>
      </c>
      <c r="E902" t="s">
        <v>8414</v>
      </c>
      <c r="G902">
        <v>1387.96</v>
      </c>
      <c r="H902">
        <v>103096.79</v>
      </c>
    </row>
    <row r="903" spans="1:8" ht="15" customHeight="1" x14ac:dyDescent="0.2">
      <c r="A903" s="420">
        <v>46027</v>
      </c>
      <c r="B903" t="s">
        <v>2333</v>
      </c>
      <c r="C903" t="s">
        <v>7493</v>
      </c>
      <c r="D903" t="s">
        <v>8415</v>
      </c>
      <c r="E903" t="s">
        <v>8416</v>
      </c>
      <c r="G903">
        <v>1544.15</v>
      </c>
      <c r="H903">
        <v>101552.64</v>
      </c>
    </row>
    <row r="904" spans="1:8" ht="15" customHeight="1" x14ac:dyDescent="0.2">
      <c r="A904" s="420">
        <v>46027</v>
      </c>
      <c r="B904" t="s">
        <v>2333</v>
      </c>
      <c r="C904" t="s">
        <v>7493</v>
      </c>
      <c r="D904" t="s">
        <v>8417</v>
      </c>
      <c r="E904" t="s">
        <v>8418</v>
      </c>
      <c r="G904">
        <v>2317.6</v>
      </c>
      <c r="H904">
        <v>99235.04</v>
      </c>
    </row>
    <row r="905" spans="1:8" ht="15" customHeight="1" x14ac:dyDescent="0.2">
      <c r="A905" s="420">
        <v>46027</v>
      </c>
      <c r="B905" t="s">
        <v>2333</v>
      </c>
      <c r="C905" t="s">
        <v>7493</v>
      </c>
      <c r="D905" t="s">
        <v>8419</v>
      </c>
      <c r="E905" t="s">
        <v>8420</v>
      </c>
      <c r="G905">
        <v>46</v>
      </c>
      <c r="H905">
        <v>99189.04</v>
      </c>
    </row>
    <row r="906" spans="1:8" ht="15" customHeight="1" x14ac:dyDescent="0.2">
      <c r="A906" s="420">
        <v>46027</v>
      </c>
      <c r="B906" t="s">
        <v>2333</v>
      </c>
      <c r="C906" t="s">
        <v>7493</v>
      </c>
      <c r="D906" t="s">
        <v>8283</v>
      </c>
      <c r="E906" t="s">
        <v>8284</v>
      </c>
      <c r="G906">
        <v>642.23</v>
      </c>
      <c r="H906">
        <v>98546.81</v>
      </c>
    </row>
    <row r="907" spans="1:8" ht="15" customHeight="1" x14ac:dyDescent="0.2">
      <c r="A907" s="420">
        <v>46027</v>
      </c>
      <c r="B907" t="s">
        <v>2333</v>
      </c>
      <c r="C907" t="s">
        <v>7493</v>
      </c>
      <c r="D907" t="s">
        <v>8421</v>
      </c>
      <c r="E907" t="s">
        <v>8422</v>
      </c>
      <c r="G907">
        <v>13.72</v>
      </c>
      <c r="H907">
        <v>98533.09</v>
      </c>
    </row>
    <row r="908" spans="1:8" ht="15" customHeight="1" x14ac:dyDescent="0.2">
      <c r="A908" s="420">
        <v>46027</v>
      </c>
      <c r="B908" t="s">
        <v>2333</v>
      </c>
      <c r="C908" t="s">
        <v>7493</v>
      </c>
      <c r="D908" t="s">
        <v>8423</v>
      </c>
      <c r="E908" t="s">
        <v>8424</v>
      </c>
      <c r="G908">
        <v>237.24</v>
      </c>
      <c r="H908">
        <v>98295.85</v>
      </c>
    </row>
    <row r="909" spans="1:8" ht="15" customHeight="1" x14ac:dyDescent="0.2">
      <c r="A909" s="420">
        <v>46027</v>
      </c>
      <c r="B909" t="s">
        <v>2333</v>
      </c>
      <c r="C909" t="s">
        <v>7493</v>
      </c>
      <c r="D909" t="s">
        <v>8425</v>
      </c>
      <c r="E909" t="s">
        <v>8426</v>
      </c>
      <c r="G909">
        <v>37.479999999999997</v>
      </c>
      <c r="H909">
        <v>98258.37</v>
      </c>
    </row>
    <row r="910" spans="1:8" ht="15" customHeight="1" x14ac:dyDescent="0.2">
      <c r="A910" s="420">
        <v>46027</v>
      </c>
      <c r="B910" t="s">
        <v>2333</v>
      </c>
      <c r="C910" t="s">
        <v>7493</v>
      </c>
      <c r="D910" t="s">
        <v>8427</v>
      </c>
      <c r="E910" t="s">
        <v>8428</v>
      </c>
      <c r="G910">
        <v>606.58000000000004</v>
      </c>
      <c r="H910">
        <v>97651.79</v>
      </c>
    </row>
    <row r="911" spans="1:8" ht="15" customHeight="1" x14ac:dyDescent="0.2">
      <c r="A911" s="420">
        <v>46027</v>
      </c>
      <c r="B911" t="s">
        <v>2333</v>
      </c>
      <c r="C911" t="s">
        <v>7493</v>
      </c>
      <c r="D911" t="s">
        <v>8429</v>
      </c>
      <c r="E911" t="s">
        <v>659</v>
      </c>
      <c r="G911">
        <v>14.13</v>
      </c>
      <c r="H911">
        <v>97637.66</v>
      </c>
    </row>
    <row r="912" spans="1:8" ht="15" customHeight="1" x14ac:dyDescent="0.2">
      <c r="A912" s="420">
        <v>46028</v>
      </c>
      <c r="B912" t="s">
        <v>2333</v>
      </c>
      <c r="C912" t="s">
        <v>7493</v>
      </c>
      <c r="D912" t="s">
        <v>8430</v>
      </c>
      <c r="E912" t="s">
        <v>8431</v>
      </c>
      <c r="G912">
        <v>393.82</v>
      </c>
      <c r="H912">
        <v>97243.839999999997</v>
      </c>
    </row>
    <row r="913" spans="1:8" ht="15" customHeight="1" x14ac:dyDescent="0.2">
      <c r="A913" s="420">
        <v>46028</v>
      </c>
      <c r="B913" t="s">
        <v>2333</v>
      </c>
      <c r="C913" t="s">
        <v>7493</v>
      </c>
      <c r="D913" t="s">
        <v>8432</v>
      </c>
      <c r="E913" t="s">
        <v>1622</v>
      </c>
      <c r="G913">
        <v>43.7</v>
      </c>
      <c r="H913">
        <v>97200.14</v>
      </c>
    </row>
    <row r="914" spans="1:8" ht="15" customHeight="1" x14ac:dyDescent="0.2">
      <c r="A914" s="420">
        <v>46029</v>
      </c>
      <c r="B914" t="s">
        <v>2333</v>
      </c>
      <c r="C914" t="s">
        <v>7493</v>
      </c>
      <c r="D914" t="s">
        <v>8433</v>
      </c>
      <c r="E914" t="s">
        <v>8434</v>
      </c>
      <c r="G914">
        <v>70.569999999999993</v>
      </c>
      <c r="H914">
        <v>97129.57</v>
      </c>
    </row>
    <row r="915" spans="1:8" ht="15" customHeight="1" x14ac:dyDescent="0.2">
      <c r="A915" s="420">
        <v>46029</v>
      </c>
      <c r="B915" t="s">
        <v>2333</v>
      </c>
      <c r="C915" t="s">
        <v>7493</v>
      </c>
      <c r="D915" t="s">
        <v>8262</v>
      </c>
      <c r="E915" t="s">
        <v>8263</v>
      </c>
      <c r="F915">
        <v>167</v>
      </c>
      <c r="H915">
        <v>97296.57</v>
      </c>
    </row>
    <row r="916" spans="1:8" ht="15" customHeight="1" x14ac:dyDescent="0.2">
      <c r="A916" s="420">
        <v>46029</v>
      </c>
      <c r="B916" t="s">
        <v>2333</v>
      </c>
      <c r="C916" t="s">
        <v>7493</v>
      </c>
      <c r="D916" t="s">
        <v>8435</v>
      </c>
      <c r="E916" t="s">
        <v>3442</v>
      </c>
      <c r="G916">
        <v>111.88</v>
      </c>
      <c r="H916">
        <v>97184.69</v>
      </c>
    </row>
    <row r="917" spans="1:8" ht="15" customHeight="1" x14ac:dyDescent="0.2">
      <c r="A917" s="420">
        <v>46029</v>
      </c>
      <c r="B917" t="s">
        <v>2333</v>
      </c>
      <c r="C917" t="s">
        <v>7493</v>
      </c>
      <c r="D917" t="s">
        <v>8436</v>
      </c>
      <c r="E917" t="s">
        <v>4898</v>
      </c>
      <c r="G917">
        <v>53</v>
      </c>
      <c r="H917">
        <v>97131.69</v>
      </c>
    </row>
    <row r="918" spans="1:8" ht="15" customHeight="1" x14ac:dyDescent="0.2">
      <c r="A918" s="420">
        <v>46030</v>
      </c>
      <c r="B918" t="s">
        <v>2333</v>
      </c>
      <c r="C918" t="s">
        <v>7493</v>
      </c>
      <c r="D918" t="s">
        <v>8437</v>
      </c>
      <c r="E918" t="s">
        <v>8438</v>
      </c>
      <c r="G918">
        <v>541</v>
      </c>
      <c r="H918">
        <v>96590.69</v>
      </c>
    </row>
    <row r="919" spans="1:8" ht="15" customHeight="1" x14ac:dyDescent="0.2">
      <c r="A919" s="420">
        <v>46030</v>
      </c>
      <c r="B919" t="s">
        <v>2333</v>
      </c>
      <c r="C919" t="s">
        <v>7493</v>
      </c>
      <c r="D919" t="s">
        <v>8285</v>
      </c>
      <c r="E919" t="s">
        <v>2761</v>
      </c>
      <c r="G919">
        <v>114.63</v>
      </c>
      <c r="H919">
        <v>96476.06</v>
      </c>
    </row>
    <row r="920" spans="1:8" ht="15" customHeight="1" x14ac:dyDescent="0.2">
      <c r="A920" s="420">
        <v>46030</v>
      </c>
      <c r="B920" t="s">
        <v>2333</v>
      </c>
      <c r="C920" t="s">
        <v>7493</v>
      </c>
      <c r="D920" t="s">
        <v>8286</v>
      </c>
      <c r="E920" t="s">
        <v>8287</v>
      </c>
      <c r="G920">
        <v>331.62</v>
      </c>
      <c r="H920">
        <v>96144.44</v>
      </c>
    </row>
    <row r="921" spans="1:8" ht="15" customHeight="1" x14ac:dyDescent="0.2">
      <c r="A921" s="420">
        <v>46030</v>
      </c>
      <c r="B921" t="s">
        <v>2333</v>
      </c>
      <c r="C921" t="s">
        <v>7493</v>
      </c>
      <c r="D921" t="s">
        <v>8439</v>
      </c>
      <c r="E921" t="s">
        <v>8440</v>
      </c>
      <c r="G921">
        <v>462.6</v>
      </c>
      <c r="H921">
        <v>95681.84</v>
      </c>
    </row>
    <row r="922" spans="1:8" ht="15" customHeight="1" x14ac:dyDescent="0.2">
      <c r="A922" s="420">
        <v>46030</v>
      </c>
      <c r="B922" t="s">
        <v>2333</v>
      </c>
      <c r="C922" t="s">
        <v>7493</v>
      </c>
      <c r="D922" t="s">
        <v>8441</v>
      </c>
      <c r="E922" t="s">
        <v>8442</v>
      </c>
      <c r="G922">
        <v>1800</v>
      </c>
      <c r="H922">
        <v>93881.84</v>
      </c>
    </row>
    <row r="923" spans="1:8" ht="15" customHeight="1" x14ac:dyDescent="0.2">
      <c r="A923" s="420">
        <v>46030</v>
      </c>
      <c r="B923" t="s">
        <v>2333</v>
      </c>
      <c r="C923" t="s">
        <v>7493</v>
      </c>
      <c r="D923" t="s">
        <v>8443</v>
      </c>
      <c r="E923" t="s">
        <v>2829</v>
      </c>
      <c r="G923">
        <v>0.99</v>
      </c>
      <c r="H923">
        <v>93880.85</v>
      </c>
    </row>
    <row r="924" spans="1:8" ht="15" customHeight="1" x14ac:dyDescent="0.2">
      <c r="A924" s="420">
        <v>46031</v>
      </c>
      <c r="B924" t="s">
        <v>2333</v>
      </c>
      <c r="C924" t="s">
        <v>7493</v>
      </c>
      <c r="D924" t="s">
        <v>8444</v>
      </c>
      <c r="E924" t="s">
        <v>8445</v>
      </c>
      <c r="G924">
        <v>1473.48</v>
      </c>
      <c r="H924">
        <v>92407.37</v>
      </c>
    </row>
    <row r="925" spans="1:8" ht="15" customHeight="1" x14ac:dyDescent="0.2">
      <c r="A925" s="420">
        <v>46031</v>
      </c>
      <c r="B925" t="s">
        <v>2333</v>
      </c>
      <c r="C925" t="s">
        <v>7493</v>
      </c>
      <c r="D925" t="s">
        <v>8288</v>
      </c>
      <c r="E925" t="s">
        <v>8289</v>
      </c>
      <c r="G925">
        <v>187.2</v>
      </c>
      <c r="H925">
        <v>92220.17</v>
      </c>
    </row>
    <row r="926" spans="1:8" ht="15" customHeight="1" x14ac:dyDescent="0.2">
      <c r="A926" s="420">
        <v>46031</v>
      </c>
      <c r="B926" t="s">
        <v>2333</v>
      </c>
      <c r="C926" t="s">
        <v>7493</v>
      </c>
      <c r="D926" t="s">
        <v>8446</v>
      </c>
      <c r="E926" t="s">
        <v>8412</v>
      </c>
      <c r="G926">
        <v>807</v>
      </c>
      <c r="H926">
        <v>91413.17</v>
      </c>
    </row>
    <row r="927" spans="1:8" ht="15" customHeight="1" x14ac:dyDescent="0.2">
      <c r="A927" s="420">
        <v>46032</v>
      </c>
      <c r="B927" t="s">
        <v>2333</v>
      </c>
      <c r="C927" t="s">
        <v>7493</v>
      </c>
      <c r="D927" t="s">
        <v>8383</v>
      </c>
      <c r="E927" t="s">
        <v>8384</v>
      </c>
      <c r="F927">
        <v>1000</v>
      </c>
      <c r="H927">
        <v>92413.17</v>
      </c>
    </row>
    <row r="928" spans="1:8" ht="15" customHeight="1" x14ac:dyDescent="0.2">
      <c r="A928" s="420">
        <v>46034</v>
      </c>
      <c r="B928" t="s">
        <v>2333</v>
      </c>
      <c r="C928" t="s">
        <v>7493</v>
      </c>
      <c r="D928" t="s">
        <v>8290</v>
      </c>
      <c r="E928" t="s">
        <v>8291</v>
      </c>
      <c r="G928">
        <v>366.42</v>
      </c>
      <c r="H928">
        <v>92046.75</v>
      </c>
    </row>
    <row r="929" spans="1:8" ht="15" customHeight="1" x14ac:dyDescent="0.2">
      <c r="A929" s="420">
        <v>46034</v>
      </c>
      <c r="B929" t="s">
        <v>2333</v>
      </c>
      <c r="C929" t="s">
        <v>7493</v>
      </c>
      <c r="D929" t="s">
        <v>8447</v>
      </c>
      <c r="E929" t="s">
        <v>8448</v>
      </c>
      <c r="G929">
        <v>109.22</v>
      </c>
      <c r="H929">
        <v>91937.53</v>
      </c>
    </row>
    <row r="930" spans="1:8" ht="15" customHeight="1" x14ac:dyDescent="0.2">
      <c r="A930" s="420">
        <v>46034</v>
      </c>
      <c r="B930" t="s">
        <v>2333</v>
      </c>
      <c r="C930" t="s">
        <v>7493</v>
      </c>
      <c r="D930" t="s">
        <v>8292</v>
      </c>
      <c r="E930" t="s">
        <v>8293</v>
      </c>
      <c r="G930">
        <v>182.98</v>
      </c>
      <c r="H930">
        <v>91754.55</v>
      </c>
    </row>
    <row r="931" spans="1:8" ht="15" customHeight="1" x14ac:dyDescent="0.2">
      <c r="A931" s="420">
        <v>46034</v>
      </c>
      <c r="B931" t="s">
        <v>2333</v>
      </c>
      <c r="C931" t="s">
        <v>7493</v>
      </c>
      <c r="D931" t="s">
        <v>8449</v>
      </c>
      <c r="E931" t="s">
        <v>8450</v>
      </c>
      <c r="G931">
        <v>26401.08</v>
      </c>
      <c r="H931">
        <v>65353.47</v>
      </c>
    </row>
    <row r="932" spans="1:8" ht="15" customHeight="1" x14ac:dyDescent="0.2">
      <c r="A932" s="420">
        <v>46034</v>
      </c>
      <c r="B932" t="s">
        <v>2333</v>
      </c>
      <c r="C932" t="s">
        <v>7493</v>
      </c>
      <c r="D932" t="s">
        <v>8451</v>
      </c>
      <c r="E932" t="s">
        <v>8452</v>
      </c>
      <c r="G932">
        <v>11.99</v>
      </c>
      <c r="H932">
        <v>65341.48</v>
      </c>
    </row>
    <row r="933" spans="1:8" ht="15" customHeight="1" x14ac:dyDescent="0.2">
      <c r="A933" s="420">
        <v>46035</v>
      </c>
      <c r="B933" t="s">
        <v>2333</v>
      </c>
      <c r="C933" t="s">
        <v>7493</v>
      </c>
      <c r="D933" t="s">
        <v>8453</v>
      </c>
      <c r="E933" t="s">
        <v>8454</v>
      </c>
      <c r="G933">
        <v>116.38</v>
      </c>
      <c r="H933">
        <v>65225.1</v>
      </c>
    </row>
    <row r="934" spans="1:8" ht="15" customHeight="1" x14ac:dyDescent="0.2">
      <c r="A934" s="420">
        <v>46035</v>
      </c>
      <c r="B934" t="s">
        <v>2333</v>
      </c>
      <c r="C934" t="s">
        <v>7493</v>
      </c>
      <c r="D934" t="s">
        <v>8455</v>
      </c>
      <c r="E934" t="s">
        <v>8456</v>
      </c>
      <c r="G934">
        <v>96.69</v>
      </c>
      <c r="H934">
        <v>65128.41</v>
      </c>
    </row>
    <row r="935" spans="1:8" ht="15" customHeight="1" x14ac:dyDescent="0.2">
      <c r="A935" s="420">
        <v>46035</v>
      </c>
      <c r="B935" t="s">
        <v>2333</v>
      </c>
      <c r="C935" t="s">
        <v>7493</v>
      </c>
      <c r="D935" t="s">
        <v>8457</v>
      </c>
      <c r="E935" t="s">
        <v>8458</v>
      </c>
      <c r="G935">
        <v>100.82</v>
      </c>
      <c r="H935">
        <v>65027.59</v>
      </c>
    </row>
    <row r="936" spans="1:8" ht="15" customHeight="1" x14ac:dyDescent="0.2">
      <c r="A936" s="420">
        <v>46035</v>
      </c>
      <c r="B936" t="s">
        <v>2333</v>
      </c>
      <c r="C936" t="s">
        <v>7493</v>
      </c>
      <c r="D936" t="s">
        <v>8459</v>
      </c>
      <c r="E936" t="s">
        <v>8460</v>
      </c>
      <c r="G936">
        <v>24</v>
      </c>
      <c r="H936">
        <v>65003.59</v>
      </c>
    </row>
    <row r="937" spans="1:8" ht="15" customHeight="1" x14ac:dyDescent="0.2">
      <c r="A937" s="420">
        <v>46035</v>
      </c>
      <c r="B937" t="s">
        <v>2333</v>
      </c>
      <c r="C937" t="s">
        <v>7493</v>
      </c>
      <c r="D937" t="s">
        <v>8096</v>
      </c>
      <c r="E937" t="s">
        <v>8097</v>
      </c>
      <c r="F937">
        <v>30051.55</v>
      </c>
      <c r="H937">
        <v>95055.14</v>
      </c>
    </row>
    <row r="938" spans="1:8" ht="15" customHeight="1" x14ac:dyDescent="0.2">
      <c r="A938" s="420">
        <v>46035</v>
      </c>
      <c r="B938" t="s">
        <v>2333</v>
      </c>
      <c r="C938" t="s">
        <v>7493</v>
      </c>
      <c r="D938" t="s">
        <v>8461</v>
      </c>
      <c r="E938" t="s">
        <v>8462</v>
      </c>
      <c r="G938">
        <v>180</v>
      </c>
      <c r="H938">
        <v>94875.14</v>
      </c>
    </row>
    <row r="939" spans="1:8" ht="15" customHeight="1" x14ac:dyDescent="0.2">
      <c r="A939" s="420">
        <v>46036</v>
      </c>
      <c r="B939" t="s">
        <v>2333</v>
      </c>
      <c r="C939" t="s">
        <v>7493</v>
      </c>
      <c r="D939" t="s">
        <v>8463</v>
      </c>
      <c r="E939" t="s">
        <v>8464</v>
      </c>
      <c r="G939">
        <v>288</v>
      </c>
      <c r="H939">
        <v>94587.14</v>
      </c>
    </row>
    <row r="940" spans="1:8" ht="15" customHeight="1" x14ac:dyDescent="0.2">
      <c r="A940" s="420">
        <v>46036</v>
      </c>
      <c r="B940" t="s">
        <v>2333</v>
      </c>
      <c r="C940" t="s">
        <v>7493</v>
      </c>
      <c r="D940" t="s">
        <v>8465</v>
      </c>
      <c r="E940" t="s">
        <v>8466</v>
      </c>
      <c r="F940">
        <v>1610</v>
      </c>
      <c r="H940">
        <v>96197.14</v>
      </c>
    </row>
    <row r="941" spans="1:8" ht="15" customHeight="1" x14ac:dyDescent="0.2">
      <c r="A941" s="420">
        <v>46036</v>
      </c>
      <c r="B941" t="s">
        <v>2333</v>
      </c>
      <c r="C941" t="s">
        <v>7493</v>
      </c>
      <c r="D941" t="s">
        <v>8467</v>
      </c>
      <c r="E941" t="s">
        <v>8468</v>
      </c>
      <c r="G941">
        <v>1610</v>
      </c>
      <c r="H941">
        <v>94587.14</v>
      </c>
    </row>
    <row r="942" spans="1:8" ht="15" customHeight="1" x14ac:dyDescent="0.2">
      <c r="A942" s="420">
        <v>46037</v>
      </c>
      <c r="B942" t="s">
        <v>2333</v>
      </c>
      <c r="C942" t="s">
        <v>7493</v>
      </c>
      <c r="D942" t="s">
        <v>8294</v>
      </c>
      <c r="E942" t="s">
        <v>8295</v>
      </c>
      <c r="G942">
        <v>90.74</v>
      </c>
      <c r="H942">
        <v>94496.4</v>
      </c>
    </row>
    <row r="943" spans="1:8" ht="15" customHeight="1" x14ac:dyDescent="0.2">
      <c r="A943" s="420">
        <v>46038</v>
      </c>
      <c r="B943" t="s">
        <v>2333</v>
      </c>
      <c r="C943" t="s">
        <v>7493</v>
      </c>
      <c r="D943" t="s">
        <v>8469</v>
      </c>
      <c r="E943" t="s">
        <v>8470</v>
      </c>
      <c r="G943">
        <v>2390</v>
      </c>
      <c r="H943">
        <v>92106.4</v>
      </c>
    </row>
    <row r="944" spans="1:8" ht="15" customHeight="1" x14ac:dyDescent="0.2">
      <c r="A944" s="420">
        <v>46038</v>
      </c>
      <c r="B944" t="s">
        <v>2333</v>
      </c>
      <c r="C944" t="s">
        <v>7493</v>
      </c>
      <c r="D944" t="s">
        <v>8471</v>
      </c>
      <c r="E944" t="s">
        <v>8472</v>
      </c>
      <c r="F944">
        <v>1290</v>
      </c>
      <c r="H944">
        <v>93396.4</v>
      </c>
    </row>
    <row r="945" spans="1:8" ht="15" customHeight="1" x14ac:dyDescent="0.2">
      <c r="A945" s="420">
        <v>46038</v>
      </c>
      <c r="B945" t="s">
        <v>2333</v>
      </c>
      <c r="C945" t="s">
        <v>7493</v>
      </c>
      <c r="D945" t="s">
        <v>8296</v>
      </c>
      <c r="E945" t="s">
        <v>8297</v>
      </c>
      <c r="G945">
        <v>10.69</v>
      </c>
      <c r="H945">
        <v>93385.71</v>
      </c>
    </row>
    <row r="946" spans="1:8" ht="15" customHeight="1" x14ac:dyDescent="0.2">
      <c r="A946" s="420">
        <v>46038</v>
      </c>
      <c r="B946" t="s">
        <v>2333</v>
      </c>
      <c r="C946" t="s">
        <v>7493</v>
      </c>
      <c r="D946" t="s">
        <v>8211</v>
      </c>
      <c r="E946" t="s">
        <v>8212</v>
      </c>
      <c r="G946">
        <v>42</v>
      </c>
      <c r="H946">
        <v>93343.71</v>
      </c>
    </row>
    <row r="947" spans="1:8" ht="15" customHeight="1" x14ac:dyDescent="0.2">
      <c r="A947" s="420">
        <v>46041</v>
      </c>
      <c r="B947" t="s">
        <v>2333</v>
      </c>
      <c r="C947" t="s">
        <v>7493</v>
      </c>
      <c r="D947" t="s">
        <v>8473</v>
      </c>
      <c r="E947" t="s">
        <v>8474</v>
      </c>
      <c r="G947">
        <v>262</v>
      </c>
      <c r="H947">
        <v>93081.71</v>
      </c>
    </row>
    <row r="948" spans="1:8" ht="15" customHeight="1" x14ac:dyDescent="0.2">
      <c r="A948" s="420">
        <v>46041</v>
      </c>
      <c r="B948" t="s">
        <v>2333</v>
      </c>
      <c r="C948" t="s">
        <v>7493</v>
      </c>
      <c r="D948" t="s">
        <v>8475</v>
      </c>
      <c r="E948" t="s">
        <v>8476</v>
      </c>
      <c r="G948">
        <v>1290</v>
      </c>
      <c r="H948">
        <v>91791.71</v>
      </c>
    </row>
    <row r="949" spans="1:8" ht="15" customHeight="1" x14ac:dyDescent="0.2">
      <c r="A949" s="420">
        <v>46041</v>
      </c>
      <c r="B949" t="s">
        <v>2333</v>
      </c>
      <c r="C949" t="s">
        <v>7493</v>
      </c>
      <c r="D949" t="s">
        <v>8298</v>
      </c>
      <c r="E949" t="s">
        <v>8299</v>
      </c>
      <c r="G949">
        <v>420</v>
      </c>
      <c r="H949">
        <v>91371.71</v>
      </c>
    </row>
    <row r="950" spans="1:8" ht="15" customHeight="1" x14ac:dyDescent="0.2">
      <c r="A950" s="420">
        <v>46042</v>
      </c>
      <c r="B950" t="s">
        <v>2333</v>
      </c>
      <c r="C950" t="s">
        <v>7493</v>
      </c>
      <c r="D950" t="s">
        <v>8477</v>
      </c>
      <c r="E950" t="s">
        <v>8478</v>
      </c>
      <c r="G950">
        <v>179.04</v>
      </c>
      <c r="H950">
        <v>91192.67</v>
      </c>
    </row>
    <row r="951" spans="1:8" ht="15" customHeight="1" x14ac:dyDescent="0.2">
      <c r="A951" s="420">
        <v>46042</v>
      </c>
      <c r="B951" t="s">
        <v>2333</v>
      </c>
      <c r="C951" t="s">
        <v>7493</v>
      </c>
      <c r="D951" t="s">
        <v>8479</v>
      </c>
      <c r="E951" t="s">
        <v>8480</v>
      </c>
      <c r="G951">
        <v>4.99</v>
      </c>
      <c r="H951">
        <v>91187.68</v>
      </c>
    </row>
    <row r="952" spans="1:8" ht="15" customHeight="1" x14ac:dyDescent="0.2">
      <c r="A952" s="420">
        <v>46043</v>
      </c>
      <c r="B952" t="s">
        <v>2333</v>
      </c>
      <c r="C952" t="s">
        <v>7493</v>
      </c>
      <c r="D952" t="s">
        <v>8481</v>
      </c>
      <c r="E952" t="s">
        <v>8482</v>
      </c>
      <c r="G952">
        <v>87</v>
      </c>
      <c r="H952">
        <v>91100.68</v>
      </c>
    </row>
    <row r="953" spans="1:8" ht="15" customHeight="1" x14ac:dyDescent="0.2">
      <c r="A953" s="420">
        <v>46044</v>
      </c>
      <c r="B953" t="s">
        <v>2333</v>
      </c>
      <c r="C953" t="s">
        <v>7493</v>
      </c>
      <c r="D953" t="s">
        <v>8483</v>
      </c>
      <c r="E953" t="s">
        <v>8484</v>
      </c>
      <c r="G953">
        <v>191.88</v>
      </c>
      <c r="H953">
        <v>90908.800000000003</v>
      </c>
    </row>
    <row r="954" spans="1:8" ht="15" customHeight="1" x14ac:dyDescent="0.2">
      <c r="A954" s="420">
        <v>46044</v>
      </c>
      <c r="B954" t="s">
        <v>2333</v>
      </c>
      <c r="C954" t="s">
        <v>7493</v>
      </c>
      <c r="D954" t="s">
        <v>8485</v>
      </c>
      <c r="E954" t="s">
        <v>8486</v>
      </c>
      <c r="G954">
        <v>1695.83</v>
      </c>
      <c r="H954">
        <v>89212.97</v>
      </c>
    </row>
    <row r="955" spans="1:8" ht="15" customHeight="1" x14ac:dyDescent="0.2">
      <c r="A955" s="420">
        <v>46044</v>
      </c>
      <c r="B955" t="s">
        <v>2333</v>
      </c>
      <c r="C955" t="s">
        <v>7493</v>
      </c>
      <c r="D955" t="s">
        <v>8487</v>
      </c>
      <c r="E955" t="s">
        <v>8488</v>
      </c>
      <c r="F955">
        <v>804</v>
      </c>
      <c r="H955">
        <v>90016.97</v>
      </c>
    </row>
    <row r="956" spans="1:8" ht="15" customHeight="1" x14ac:dyDescent="0.2">
      <c r="A956" s="420">
        <v>46044</v>
      </c>
      <c r="B956" t="s">
        <v>2333</v>
      </c>
      <c r="C956" t="s">
        <v>7493</v>
      </c>
      <c r="D956" t="s">
        <v>8489</v>
      </c>
      <c r="E956" t="s">
        <v>8490</v>
      </c>
      <c r="G956">
        <v>52</v>
      </c>
      <c r="H956">
        <v>89964.97</v>
      </c>
    </row>
    <row r="957" spans="1:8" ht="15" customHeight="1" x14ac:dyDescent="0.2">
      <c r="A957" s="420">
        <v>46044</v>
      </c>
      <c r="B957" t="s">
        <v>2333</v>
      </c>
      <c r="C957" t="s">
        <v>7493</v>
      </c>
      <c r="D957" t="s">
        <v>8073</v>
      </c>
      <c r="E957" t="s">
        <v>8074</v>
      </c>
      <c r="F957">
        <v>34893.040000000001</v>
      </c>
      <c r="H957">
        <v>124858.01</v>
      </c>
    </row>
    <row r="958" spans="1:8" ht="15" customHeight="1" x14ac:dyDescent="0.2">
      <c r="A958" s="420">
        <v>46045</v>
      </c>
      <c r="B958" t="s">
        <v>2333</v>
      </c>
      <c r="C958" t="s">
        <v>7493</v>
      </c>
      <c r="D958" t="s">
        <v>8491</v>
      </c>
      <c r="E958" t="s">
        <v>8492</v>
      </c>
      <c r="G958">
        <v>46.79</v>
      </c>
      <c r="H958">
        <v>124811.22</v>
      </c>
    </row>
    <row r="959" spans="1:8" ht="15" customHeight="1" x14ac:dyDescent="0.2">
      <c r="A959" s="420">
        <v>46045</v>
      </c>
      <c r="B959" t="s">
        <v>2333</v>
      </c>
      <c r="C959" t="s">
        <v>7493</v>
      </c>
      <c r="D959" t="s">
        <v>8300</v>
      </c>
      <c r="E959" t="s">
        <v>8301</v>
      </c>
      <c r="G959">
        <v>6000</v>
      </c>
      <c r="H959">
        <v>118811.22</v>
      </c>
    </row>
    <row r="960" spans="1:8" ht="15" customHeight="1" x14ac:dyDescent="0.2">
      <c r="A960" s="420">
        <v>46048</v>
      </c>
      <c r="B960" t="s">
        <v>2333</v>
      </c>
      <c r="C960" t="s">
        <v>7493</v>
      </c>
      <c r="D960" t="s">
        <v>8493</v>
      </c>
      <c r="E960" t="s">
        <v>8494</v>
      </c>
      <c r="G960">
        <v>94.8</v>
      </c>
      <c r="H960">
        <v>118716.42</v>
      </c>
    </row>
    <row r="961" spans="1:8" ht="15" customHeight="1" x14ac:dyDescent="0.2">
      <c r="A961" s="420">
        <v>46048</v>
      </c>
      <c r="B961" t="s">
        <v>2333</v>
      </c>
      <c r="C961" t="s">
        <v>7493</v>
      </c>
      <c r="D961" t="s">
        <v>8495</v>
      </c>
      <c r="E961" t="s">
        <v>8496</v>
      </c>
      <c r="G961">
        <v>491.94</v>
      </c>
      <c r="H961">
        <v>118224.48</v>
      </c>
    </row>
    <row r="962" spans="1:8" ht="15" customHeight="1" x14ac:dyDescent="0.2">
      <c r="A962" s="420">
        <v>46048</v>
      </c>
      <c r="B962" t="s">
        <v>2333</v>
      </c>
      <c r="C962" t="s">
        <v>7493</v>
      </c>
      <c r="D962" t="s">
        <v>8497</v>
      </c>
      <c r="E962" t="s">
        <v>8498</v>
      </c>
      <c r="G962">
        <v>217.06</v>
      </c>
      <c r="H962">
        <v>118007.42</v>
      </c>
    </row>
    <row r="963" spans="1:8" ht="15" customHeight="1" x14ac:dyDescent="0.2">
      <c r="A963" s="420">
        <v>46048</v>
      </c>
      <c r="B963" t="s">
        <v>2333</v>
      </c>
      <c r="C963" t="s">
        <v>7493</v>
      </c>
      <c r="D963" t="s">
        <v>8499</v>
      </c>
      <c r="E963" t="s">
        <v>8500</v>
      </c>
      <c r="F963">
        <v>13723.74</v>
      </c>
      <c r="H963">
        <v>131731.16</v>
      </c>
    </row>
    <row r="964" spans="1:8" ht="15" customHeight="1" x14ac:dyDescent="0.2">
      <c r="A964" s="420">
        <v>46049</v>
      </c>
      <c r="B964" t="s">
        <v>2333</v>
      </c>
      <c r="C964" t="s">
        <v>7493</v>
      </c>
      <c r="D964" t="s">
        <v>8501</v>
      </c>
      <c r="E964" t="s">
        <v>8502</v>
      </c>
      <c r="G964">
        <v>85.6</v>
      </c>
      <c r="H964">
        <v>131645.56</v>
      </c>
    </row>
    <row r="965" spans="1:8" ht="15" customHeight="1" x14ac:dyDescent="0.2">
      <c r="A965" s="420">
        <v>46049</v>
      </c>
      <c r="B965" t="s">
        <v>2333</v>
      </c>
      <c r="C965" t="s">
        <v>7493</v>
      </c>
      <c r="D965" t="s">
        <v>8503</v>
      </c>
      <c r="E965" t="s">
        <v>8504</v>
      </c>
      <c r="G965">
        <v>899.42</v>
      </c>
      <c r="H965">
        <v>130746.14</v>
      </c>
    </row>
    <row r="966" spans="1:8" ht="15" customHeight="1" x14ac:dyDescent="0.2">
      <c r="A966" s="420">
        <v>46049</v>
      </c>
      <c r="B966" t="s">
        <v>2333</v>
      </c>
      <c r="C966" t="s">
        <v>7493</v>
      </c>
      <c r="D966" t="s">
        <v>8505</v>
      </c>
      <c r="E966" t="s">
        <v>2192</v>
      </c>
      <c r="G966">
        <v>104.8</v>
      </c>
      <c r="H966">
        <v>130641.34</v>
      </c>
    </row>
    <row r="967" spans="1:8" ht="15" customHeight="1" x14ac:dyDescent="0.2">
      <c r="A967" s="420">
        <v>46050</v>
      </c>
      <c r="B967" t="s">
        <v>2333</v>
      </c>
      <c r="C967" t="s">
        <v>7493</v>
      </c>
      <c r="D967" t="s">
        <v>8506</v>
      </c>
      <c r="E967" t="s">
        <v>8507</v>
      </c>
      <c r="G967">
        <v>418.8</v>
      </c>
      <c r="H967">
        <v>130222.54</v>
      </c>
    </row>
    <row r="968" spans="1:8" ht="15" customHeight="1" x14ac:dyDescent="0.2">
      <c r="A968" s="420">
        <v>46050</v>
      </c>
      <c r="B968" t="s">
        <v>2333</v>
      </c>
      <c r="C968" t="s">
        <v>7493</v>
      </c>
      <c r="D968" t="s">
        <v>8508</v>
      </c>
      <c r="E968" t="s">
        <v>8509</v>
      </c>
      <c r="G968">
        <v>26692</v>
      </c>
      <c r="H968">
        <v>103530.54</v>
      </c>
    </row>
    <row r="969" spans="1:8" ht="15" customHeight="1" x14ac:dyDescent="0.2">
      <c r="A969" s="420">
        <v>46050</v>
      </c>
      <c r="B969" t="s">
        <v>2333</v>
      </c>
      <c r="C969" t="s">
        <v>7493</v>
      </c>
      <c r="D969" t="s">
        <v>8510</v>
      </c>
      <c r="E969" t="s">
        <v>8511</v>
      </c>
      <c r="G969">
        <v>118</v>
      </c>
      <c r="H969">
        <v>103412.54</v>
      </c>
    </row>
    <row r="970" spans="1:8" ht="15" customHeight="1" x14ac:dyDescent="0.2">
      <c r="A970" s="420">
        <v>46050</v>
      </c>
      <c r="B970" t="s">
        <v>2333</v>
      </c>
      <c r="C970" t="s">
        <v>7493</v>
      </c>
      <c r="D970" t="s">
        <v>8385</v>
      </c>
      <c r="E970" t="s">
        <v>8386</v>
      </c>
      <c r="G970">
        <v>160.08000000000001</v>
      </c>
      <c r="H970">
        <v>103252.46</v>
      </c>
    </row>
    <row r="971" spans="1:8" ht="15" customHeight="1" x14ac:dyDescent="0.2">
      <c r="A971" s="420">
        <v>46050</v>
      </c>
      <c r="B971" t="s">
        <v>2333</v>
      </c>
      <c r="C971" t="s">
        <v>7493</v>
      </c>
      <c r="D971" t="s">
        <v>8512</v>
      </c>
      <c r="E971" t="s">
        <v>8513</v>
      </c>
      <c r="G971">
        <v>2940</v>
      </c>
      <c r="H971">
        <v>100312.46</v>
      </c>
    </row>
    <row r="972" spans="1:8" ht="15" customHeight="1" x14ac:dyDescent="0.2">
      <c r="A972" s="420">
        <v>46051</v>
      </c>
      <c r="B972" t="s">
        <v>2333</v>
      </c>
      <c r="C972" t="s">
        <v>7493</v>
      </c>
      <c r="D972" t="s">
        <v>8302</v>
      </c>
      <c r="E972" t="s">
        <v>8303</v>
      </c>
      <c r="G972">
        <v>990</v>
      </c>
      <c r="H972">
        <v>99322.46</v>
      </c>
    </row>
    <row r="973" spans="1:8" ht="15" customHeight="1" x14ac:dyDescent="0.2">
      <c r="A973" s="420">
        <v>46051</v>
      </c>
      <c r="B973" t="s">
        <v>2333</v>
      </c>
      <c r="C973" t="s">
        <v>7493</v>
      </c>
      <c r="D973" t="s">
        <v>8514</v>
      </c>
      <c r="E973" t="s">
        <v>8515</v>
      </c>
      <c r="G973">
        <v>1000.4</v>
      </c>
      <c r="H973">
        <v>98322.06</v>
      </c>
    </row>
    <row r="974" spans="1:8" ht="15" customHeight="1" x14ac:dyDescent="0.2">
      <c r="A974" s="420">
        <v>46051</v>
      </c>
      <c r="B974" t="s">
        <v>2333</v>
      </c>
      <c r="C974" t="s">
        <v>7493</v>
      </c>
      <c r="D974" t="s">
        <v>8304</v>
      </c>
      <c r="E974" t="s">
        <v>8305</v>
      </c>
      <c r="G974">
        <v>34.950000000000003</v>
      </c>
      <c r="H974">
        <v>98287.11</v>
      </c>
    </row>
    <row r="975" spans="1:8" ht="15" customHeight="1" x14ac:dyDescent="0.2">
      <c r="A975" s="420">
        <v>46052</v>
      </c>
      <c r="B975" t="s">
        <v>2333</v>
      </c>
      <c r="C975" t="s">
        <v>7493</v>
      </c>
      <c r="D975" t="s">
        <v>8516</v>
      </c>
      <c r="E975" t="s">
        <v>8517</v>
      </c>
      <c r="G975">
        <v>288</v>
      </c>
      <c r="H975">
        <v>97999.11</v>
      </c>
    </row>
    <row r="976" spans="1:8" ht="15" customHeight="1" x14ac:dyDescent="0.2">
      <c r="A976" s="420">
        <v>46052</v>
      </c>
      <c r="B976" t="s">
        <v>2333</v>
      </c>
      <c r="C976" t="s">
        <v>7493</v>
      </c>
      <c r="D976" t="s">
        <v>8518</v>
      </c>
      <c r="E976" t="s">
        <v>8519</v>
      </c>
      <c r="F976">
        <v>72</v>
      </c>
      <c r="H976">
        <v>98071.11</v>
      </c>
    </row>
    <row r="977" spans="1:8" ht="15" customHeight="1" x14ac:dyDescent="0.2">
      <c r="A977" s="420">
        <v>46055</v>
      </c>
      <c r="B977" t="s">
        <v>2333</v>
      </c>
      <c r="C977" t="s">
        <v>7493</v>
      </c>
      <c r="D977" t="s">
        <v>8520</v>
      </c>
      <c r="E977" t="s">
        <v>8521</v>
      </c>
      <c r="G977">
        <v>462.38</v>
      </c>
      <c r="H977">
        <v>97608.73</v>
      </c>
    </row>
    <row r="978" spans="1:8" ht="15" customHeight="1" x14ac:dyDescent="0.2">
      <c r="A978" s="420">
        <v>46055</v>
      </c>
      <c r="B978" t="s">
        <v>2333</v>
      </c>
      <c r="C978" t="s">
        <v>7493</v>
      </c>
      <c r="D978" t="s">
        <v>8522</v>
      </c>
      <c r="E978" t="s">
        <v>8523</v>
      </c>
      <c r="G978">
        <v>710.4</v>
      </c>
      <c r="H978">
        <v>96898.33</v>
      </c>
    </row>
    <row r="979" spans="1:8" ht="15" customHeight="1" x14ac:dyDescent="0.2">
      <c r="A979" s="420">
        <v>46055</v>
      </c>
      <c r="B979" t="s">
        <v>2333</v>
      </c>
      <c r="C979" t="s">
        <v>7493</v>
      </c>
      <c r="D979" t="s">
        <v>7994</v>
      </c>
      <c r="E979" t="s">
        <v>7995</v>
      </c>
      <c r="G979">
        <v>22.58</v>
      </c>
      <c r="H979">
        <v>96875.75</v>
      </c>
    </row>
    <row r="980" spans="1:8" ht="15" customHeight="1" x14ac:dyDescent="0.2">
      <c r="A980" s="420">
        <v>46055</v>
      </c>
      <c r="B980" t="s">
        <v>2333</v>
      </c>
      <c r="C980" t="s">
        <v>7493</v>
      </c>
      <c r="D980" t="s">
        <v>8524</v>
      </c>
      <c r="E980" t="s">
        <v>3403</v>
      </c>
      <c r="G980">
        <v>7080</v>
      </c>
      <c r="H980">
        <v>89795.75</v>
      </c>
    </row>
    <row r="981" spans="1:8" ht="15" customHeight="1" x14ac:dyDescent="0.2">
      <c r="A981" s="420">
        <v>46055</v>
      </c>
      <c r="B981" t="s">
        <v>2333</v>
      </c>
      <c r="C981" t="s">
        <v>7493</v>
      </c>
      <c r="D981" t="s">
        <v>8525</v>
      </c>
      <c r="E981" t="s">
        <v>8526</v>
      </c>
      <c r="G981">
        <v>1572</v>
      </c>
      <c r="H981">
        <v>88223.75</v>
      </c>
    </row>
    <row r="982" spans="1:8" ht="15" customHeight="1" x14ac:dyDescent="0.2">
      <c r="A982" s="420">
        <v>46056</v>
      </c>
      <c r="B982" t="s">
        <v>2333</v>
      </c>
      <c r="C982" t="s">
        <v>7493</v>
      </c>
      <c r="D982" t="s">
        <v>8527</v>
      </c>
      <c r="E982" t="s">
        <v>8528</v>
      </c>
      <c r="G982">
        <v>2490</v>
      </c>
      <c r="H982">
        <v>85733.75</v>
      </c>
    </row>
    <row r="983" spans="1:8" ht="15" customHeight="1" x14ac:dyDescent="0.2">
      <c r="A983" s="420">
        <v>46056</v>
      </c>
      <c r="B983" t="s">
        <v>2333</v>
      </c>
      <c r="C983" t="s">
        <v>7493</v>
      </c>
      <c r="D983" t="s">
        <v>8529</v>
      </c>
      <c r="E983" t="s">
        <v>8530</v>
      </c>
      <c r="G983">
        <v>3.96</v>
      </c>
      <c r="H983">
        <v>85729.79</v>
      </c>
    </row>
    <row r="984" spans="1:8" ht="15" customHeight="1" x14ac:dyDescent="0.2">
      <c r="A984" s="420">
        <v>46056</v>
      </c>
      <c r="B984" t="s">
        <v>2333</v>
      </c>
      <c r="C984" t="s">
        <v>7493</v>
      </c>
      <c r="D984" t="s">
        <v>8306</v>
      </c>
      <c r="E984" t="s">
        <v>8307</v>
      </c>
      <c r="G984">
        <v>1770</v>
      </c>
      <c r="H984">
        <v>83959.79</v>
      </c>
    </row>
    <row r="985" spans="1:8" ht="15" customHeight="1" x14ac:dyDescent="0.2">
      <c r="A985" s="420">
        <v>46056</v>
      </c>
      <c r="B985" t="s">
        <v>2333</v>
      </c>
      <c r="C985" t="s">
        <v>7493</v>
      </c>
      <c r="D985" t="s">
        <v>8531</v>
      </c>
      <c r="E985" t="s">
        <v>670</v>
      </c>
      <c r="G985">
        <v>14.13</v>
      </c>
      <c r="H985">
        <v>83945.66</v>
      </c>
    </row>
    <row r="986" spans="1:8" ht="15" customHeight="1" x14ac:dyDescent="0.2">
      <c r="A986" s="420">
        <v>46057</v>
      </c>
      <c r="B986" t="s">
        <v>2333</v>
      </c>
      <c r="C986" t="s">
        <v>7493</v>
      </c>
      <c r="D986" t="s">
        <v>8532</v>
      </c>
      <c r="E986" t="s">
        <v>8533</v>
      </c>
      <c r="G986">
        <v>59.03</v>
      </c>
      <c r="H986">
        <v>83886.63</v>
      </c>
    </row>
    <row r="987" spans="1:8" ht="15" customHeight="1" x14ac:dyDescent="0.2">
      <c r="A987" s="420">
        <v>46057</v>
      </c>
      <c r="B987" t="s">
        <v>2333</v>
      </c>
      <c r="C987" t="s">
        <v>7493</v>
      </c>
      <c r="D987" t="s">
        <v>8308</v>
      </c>
      <c r="E987" t="s">
        <v>8309</v>
      </c>
      <c r="G987">
        <v>6800</v>
      </c>
      <c r="H987">
        <v>77086.63</v>
      </c>
    </row>
    <row r="988" spans="1:8" ht="15" customHeight="1" x14ac:dyDescent="0.2">
      <c r="A988" s="420">
        <v>46057</v>
      </c>
      <c r="B988" t="s">
        <v>2333</v>
      </c>
      <c r="C988" t="s">
        <v>7493</v>
      </c>
      <c r="D988" t="s">
        <v>8387</v>
      </c>
      <c r="E988" t="s">
        <v>8388</v>
      </c>
      <c r="G988">
        <v>53.36</v>
      </c>
      <c r="H988">
        <v>77033.27</v>
      </c>
    </row>
    <row r="989" spans="1:8" ht="15" customHeight="1" x14ac:dyDescent="0.2">
      <c r="A989" s="420">
        <v>46057</v>
      </c>
      <c r="B989" t="s">
        <v>2333</v>
      </c>
      <c r="C989" t="s">
        <v>7493</v>
      </c>
      <c r="D989" t="s">
        <v>8389</v>
      </c>
      <c r="E989" t="s">
        <v>8390</v>
      </c>
      <c r="G989">
        <v>53.36</v>
      </c>
      <c r="H989">
        <v>76979.91</v>
      </c>
    </row>
    <row r="990" spans="1:8" ht="15" customHeight="1" x14ac:dyDescent="0.2">
      <c r="A990" s="420">
        <v>46057</v>
      </c>
      <c r="B990" t="s">
        <v>2333</v>
      </c>
      <c r="C990" t="s">
        <v>7493</v>
      </c>
      <c r="D990" t="s">
        <v>8310</v>
      </c>
      <c r="E990" t="s">
        <v>8311</v>
      </c>
      <c r="G990">
        <v>248.35</v>
      </c>
      <c r="H990">
        <v>76731.56</v>
      </c>
    </row>
    <row r="991" spans="1:8" ht="15" customHeight="1" x14ac:dyDescent="0.2">
      <c r="A991" s="420">
        <v>46058</v>
      </c>
      <c r="B991" t="s">
        <v>2333</v>
      </c>
      <c r="C991" t="s">
        <v>7493</v>
      </c>
      <c r="D991" t="s">
        <v>8534</v>
      </c>
      <c r="E991" t="s">
        <v>8535</v>
      </c>
      <c r="G991">
        <v>13.42</v>
      </c>
      <c r="H991">
        <v>76718.14</v>
      </c>
    </row>
    <row r="992" spans="1:8" ht="15" customHeight="1" x14ac:dyDescent="0.2">
      <c r="A992" s="420">
        <v>46058</v>
      </c>
      <c r="B992" t="s">
        <v>2333</v>
      </c>
      <c r="C992" t="s">
        <v>7493</v>
      </c>
      <c r="D992" t="s">
        <v>8536</v>
      </c>
      <c r="E992" t="s">
        <v>8537</v>
      </c>
      <c r="G992">
        <v>237.54</v>
      </c>
      <c r="H992">
        <v>76480.600000000006</v>
      </c>
    </row>
    <row r="993" spans="1:8" ht="15" customHeight="1" x14ac:dyDescent="0.2">
      <c r="A993" s="420">
        <v>46058</v>
      </c>
      <c r="B993" t="s">
        <v>2333</v>
      </c>
      <c r="C993" t="s">
        <v>7493</v>
      </c>
      <c r="D993" t="s">
        <v>8538</v>
      </c>
      <c r="E993" t="s">
        <v>8539</v>
      </c>
      <c r="G993">
        <v>36.67</v>
      </c>
      <c r="H993">
        <v>76443.929999999993</v>
      </c>
    </row>
    <row r="994" spans="1:8" ht="15" customHeight="1" x14ac:dyDescent="0.2">
      <c r="A994" s="420">
        <v>46058</v>
      </c>
      <c r="B994" t="s">
        <v>2333</v>
      </c>
      <c r="C994" t="s">
        <v>7493</v>
      </c>
      <c r="D994" t="s">
        <v>8540</v>
      </c>
      <c r="E994" t="s">
        <v>8541</v>
      </c>
      <c r="G994">
        <v>607.39</v>
      </c>
      <c r="H994">
        <v>75836.539999999994</v>
      </c>
    </row>
    <row r="995" spans="1:8" ht="15" customHeight="1" x14ac:dyDescent="0.2">
      <c r="A995" s="420">
        <v>46058</v>
      </c>
      <c r="B995" t="s">
        <v>2333</v>
      </c>
      <c r="C995" t="s">
        <v>7493</v>
      </c>
      <c r="D995" t="s">
        <v>8542</v>
      </c>
      <c r="E995" t="s">
        <v>8543</v>
      </c>
      <c r="G995">
        <v>1328.25</v>
      </c>
      <c r="H995">
        <v>74508.289999999994</v>
      </c>
    </row>
    <row r="996" spans="1:8" ht="15" customHeight="1" x14ac:dyDescent="0.2">
      <c r="A996" s="420">
        <v>46058</v>
      </c>
      <c r="B996" t="s">
        <v>2333</v>
      </c>
      <c r="C996" t="s">
        <v>7493</v>
      </c>
      <c r="D996" t="s">
        <v>8544</v>
      </c>
      <c r="E996" t="s">
        <v>8545</v>
      </c>
      <c r="F996">
        <v>416.66</v>
      </c>
      <c r="H996">
        <v>74924.95</v>
      </c>
    </row>
    <row r="997" spans="1:8" ht="15" customHeight="1" x14ac:dyDescent="0.2">
      <c r="A997" s="420">
        <v>46058</v>
      </c>
      <c r="B997" t="s">
        <v>2333</v>
      </c>
      <c r="C997" t="s">
        <v>7493</v>
      </c>
      <c r="D997" t="s">
        <v>8264</v>
      </c>
      <c r="E997" t="s">
        <v>8265</v>
      </c>
      <c r="F997">
        <v>167</v>
      </c>
      <c r="H997">
        <v>75091.95</v>
      </c>
    </row>
    <row r="998" spans="1:8" ht="15" customHeight="1" x14ac:dyDescent="0.2">
      <c r="A998" s="420">
        <v>46058</v>
      </c>
      <c r="B998" t="s">
        <v>2333</v>
      </c>
      <c r="C998" t="s">
        <v>7493</v>
      </c>
      <c r="D998" t="s">
        <v>8219</v>
      </c>
      <c r="E998" t="s">
        <v>7171</v>
      </c>
      <c r="G998">
        <v>500</v>
      </c>
      <c r="H998">
        <v>74591.95</v>
      </c>
    </row>
    <row r="999" spans="1:8" ht="15" customHeight="1" x14ac:dyDescent="0.2">
      <c r="A999" s="420">
        <v>46058</v>
      </c>
      <c r="B999" t="s">
        <v>2333</v>
      </c>
      <c r="C999" t="s">
        <v>7493</v>
      </c>
      <c r="D999" t="s">
        <v>8546</v>
      </c>
      <c r="E999" t="s">
        <v>4078</v>
      </c>
      <c r="G999">
        <v>322</v>
      </c>
      <c r="H999">
        <v>74269.95</v>
      </c>
    </row>
    <row r="1000" spans="1:8" ht="15" customHeight="1" x14ac:dyDescent="0.2">
      <c r="A1000" s="420">
        <v>46058</v>
      </c>
      <c r="B1000" t="s">
        <v>2333</v>
      </c>
      <c r="C1000" t="s">
        <v>7493</v>
      </c>
      <c r="D1000" t="s">
        <v>8033</v>
      </c>
      <c r="E1000" t="s">
        <v>5173</v>
      </c>
      <c r="G1000">
        <v>8.4</v>
      </c>
      <c r="H1000">
        <v>74261.55</v>
      </c>
    </row>
    <row r="1001" spans="1:8" ht="15" customHeight="1" x14ac:dyDescent="0.2">
      <c r="A1001" s="420">
        <v>46058</v>
      </c>
      <c r="B1001" t="s">
        <v>2333</v>
      </c>
      <c r="C1001" t="s">
        <v>7493</v>
      </c>
      <c r="D1001" t="s">
        <v>8214</v>
      </c>
      <c r="E1001" t="s">
        <v>8215</v>
      </c>
      <c r="G1001">
        <v>1456</v>
      </c>
      <c r="H1001">
        <v>72805.55</v>
      </c>
    </row>
    <row r="1002" spans="1:8" ht="15" customHeight="1" x14ac:dyDescent="0.2">
      <c r="A1002" s="420">
        <v>46058</v>
      </c>
      <c r="B1002" t="s">
        <v>2333</v>
      </c>
      <c r="C1002" t="s">
        <v>7493</v>
      </c>
      <c r="D1002" t="s">
        <v>8391</v>
      </c>
      <c r="E1002" t="s">
        <v>8392</v>
      </c>
      <c r="G1002">
        <v>53.36</v>
      </c>
      <c r="H1002">
        <v>72752.19</v>
      </c>
    </row>
    <row r="1003" spans="1:8" ht="15" customHeight="1" x14ac:dyDescent="0.2">
      <c r="A1003" s="420">
        <v>46058</v>
      </c>
      <c r="B1003" t="s">
        <v>2333</v>
      </c>
      <c r="C1003" t="s">
        <v>7493</v>
      </c>
      <c r="D1003" t="s">
        <v>8134</v>
      </c>
      <c r="E1003" t="s">
        <v>8547</v>
      </c>
      <c r="F1003">
        <v>44200.5</v>
      </c>
      <c r="H1003">
        <v>116952.69</v>
      </c>
    </row>
    <row r="1004" spans="1:8" ht="15" customHeight="1" x14ac:dyDescent="0.2">
      <c r="A1004" s="420">
        <v>46058</v>
      </c>
      <c r="B1004" t="s">
        <v>2333</v>
      </c>
      <c r="C1004" t="s">
        <v>7493</v>
      </c>
      <c r="D1004" t="s">
        <v>8548</v>
      </c>
      <c r="E1004" t="s">
        <v>8549</v>
      </c>
      <c r="G1004">
        <v>1560.87</v>
      </c>
      <c r="H1004">
        <v>115391.82</v>
      </c>
    </row>
    <row r="1005" spans="1:8" ht="15" customHeight="1" x14ac:dyDescent="0.2">
      <c r="A1005" s="420">
        <v>46058</v>
      </c>
      <c r="B1005" t="s">
        <v>2333</v>
      </c>
      <c r="C1005" t="s">
        <v>7493</v>
      </c>
      <c r="D1005" t="s">
        <v>8550</v>
      </c>
      <c r="E1005" t="s">
        <v>8551</v>
      </c>
      <c r="G1005">
        <v>4372.3</v>
      </c>
      <c r="H1005">
        <v>111019.52</v>
      </c>
    </row>
    <row r="1006" spans="1:8" ht="15" customHeight="1" x14ac:dyDescent="0.2">
      <c r="A1006" s="420">
        <v>46058</v>
      </c>
      <c r="B1006" t="s">
        <v>2333</v>
      </c>
      <c r="C1006" t="s">
        <v>7493</v>
      </c>
      <c r="D1006" t="s">
        <v>8552</v>
      </c>
      <c r="E1006" t="s">
        <v>8553</v>
      </c>
      <c r="G1006">
        <v>1390.18</v>
      </c>
      <c r="H1006">
        <v>109629.34</v>
      </c>
    </row>
    <row r="1007" spans="1:8" ht="15" customHeight="1" x14ac:dyDescent="0.2">
      <c r="A1007" s="420">
        <v>46059</v>
      </c>
      <c r="B1007" t="s">
        <v>2333</v>
      </c>
      <c r="C1007" t="s">
        <v>7493</v>
      </c>
      <c r="D1007" t="s">
        <v>8393</v>
      </c>
      <c r="E1007" t="s">
        <v>8394</v>
      </c>
      <c r="G1007">
        <v>53.36</v>
      </c>
      <c r="H1007">
        <v>109575.98</v>
      </c>
    </row>
    <row r="1008" spans="1:8" ht="15" customHeight="1" x14ac:dyDescent="0.2">
      <c r="A1008" s="420">
        <v>46059</v>
      </c>
      <c r="B1008" t="s">
        <v>2333</v>
      </c>
      <c r="C1008" t="s">
        <v>7493</v>
      </c>
      <c r="D1008" t="s">
        <v>8554</v>
      </c>
      <c r="E1008" t="s">
        <v>2194</v>
      </c>
      <c r="G1008">
        <v>43.7</v>
      </c>
      <c r="H1008">
        <v>109532.28</v>
      </c>
    </row>
    <row r="1009" spans="1:8" ht="15" customHeight="1" x14ac:dyDescent="0.2">
      <c r="A1009" s="420">
        <v>46059</v>
      </c>
      <c r="B1009" t="s">
        <v>2333</v>
      </c>
      <c r="C1009" t="s">
        <v>7493</v>
      </c>
      <c r="D1009" t="s">
        <v>8555</v>
      </c>
      <c r="E1009" t="s">
        <v>8556</v>
      </c>
      <c r="G1009">
        <v>393.82</v>
      </c>
      <c r="H1009">
        <v>109138.46</v>
      </c>
    </row>
    <row r="1010" spans="1:8" ht="15" customHeight="1" x14ac:dyDescent="0.2">
      <c r="A1010" s="420">
        <v>46062</v>
      </c>
      <c r="B1010" t="s">
        <v>2333</v>
      </c>
      <c r="C1010" t="s">
        <v>7493</v>
      </c>
      <c r="D1010" t="s">
        <v>8557</v>
      </c>
      <c r="E1010" t="s">
        <v>8558</v>
      </c>
      <c r="G1010">
        <v>70.569999999999993</v>
      </c>
      <c r="H1010">
        <v>109067.89</v>
      </c>
    </row>
    <row r="1011" spans="1:8" ht="15" customHeight="1" x14ac:dyDescent="0.2">
      <c r="A1011" s="420">
        <v>46062</v>
      </c>
      <c r="B1011" t="s">
        <v>2333</v>
      </c>
      <c r="C1011" t="s">
        <v>7493</v>
      </c>
      <c r="D1011" t="s">
        <v>8559</v>
      </c>
      <c r="E1011" t="s">
        <v>8560</v>
      </c>
      <c r="G1011">
        <v>1973.94</v>
      </c>
      <c r="H1011">
        <v>107093.95</v>
      </c>
    </row>
    <row r="1012" spans="1:8" ht="15" customHeight="1" x14ac:dyDescent="0.2">
      <c r="A1012" s="420">
        <v>46062</v>
      </c>
      <c r="B1012" t="s">
        <v>2333</v>
      </c>
      <c r="C1012" t="s">
        <v>7493</v>
      </c>
      <c r="D1012" t="s">
        <v>8561</v>
      </c>
      <c r="E1012" t="s">
        <v>8562</v>
      </c>
      <c r="G1012">
        <v>1440</v>
      </c>
      <c r="H1012">
        <v>105653.95</v>
      </c>
    </row>
    <row r="1013" spans="1:8" ht="15" customHeight="1" x14ac:dyDescent="0.2">
      <c r="A1013" s="420">
        <v>46062</v>
      </c>
      <c r="B1013" t="s">
        <v>2333</v>
      </c>
      <c r="C1013" t="s">
        <v>7493</v>
      </c>
      <c r="D1013" t="s">
        <v>8563</v>
      </c>
      <c r="E1013" t="s">
        <v>8564</v>
      </c>
      <c r="G1013">
        <v>24</v>
      </c>
      <c r="H1013">
        <v>105629.95</v>
      </c>
    </row>
    <row r="1014" spans="1:8" ht="15" customHeight="1" x14ac:dyDescent="0.2">
      <c r="A1014" s="420">
        <v>46062</v>
      </c>
      <c r="B1014" t="s">
        <v>2333</v>
      </c>
      <c r="C1014" t="s">
        <v>7493</v>
      </c>
      <c r="D1014" t="s">
        <v>8565</v>
      </c>
      <c r="E1014" t="s">
        <v>8305</v>
      </c>
      <c r="G1014">
        <v>0.99</v>
      </c>
      <c r="H1014">
        <v>105628.96</v>
      </c>
    </row>
    <row r="1015" spans="1:8" ht="15" customHeight="1" x14ac:dyDescent="0.2">
      <c r="A1015" s="420">
        <v>46062</v>
      </c>
      <c r="B1015" t="s">
        <v>2333</v>
      </c>
      <c r="C1015" t="s">
        <v>7493</v>
      </c>
      <c r="D1015" t="s">
        <v>8566</v>
      </c>
      <c r="E1015" t="s">
        <v>8567</v>
      </c>
      <c r="G1015">
        <v>60</v>
      </c>
      <c r="H1015">
        <v>105568.96000000001</v>
      </c>
    </row>
    <row r="1016" spans="1:8" ht="15" customHeight="1" x14ac:dyDescent="0.2">
      <c r="A1016" s="420">
        <v>46062</v>
      </c>
      <c r="B1016" t="s">
        <v>2333</v>
      </c>
      <c r="C1016" t="s">
        <v>7493</v>
      </c>
      <c r="D1016" t="s">
        <v>8568</v>
      </c>
      <c r="E1016" t="s">
        <v>8569</v>
      </c>
      <c r="G1016">
        <v>18</v>
      </c>
      <c r="H1016">
        <v>105550.96</v>
      </c>
    </row>
    <row r="1017" spans="1:8" ht="15" customHeight="1" x14ac:dyDescent="0.2">
      <c r="A1017" s="420">
        <v>46063</v>
      </c>
      <c r="B1017" t="s">
        <v>2333</v>
      </c>
      <c r="C1017" t="s">
        <v>7493</v>
      </c>
      <c r="D1017" t="s">
        <v>8570</v>
      </c>
      <c r="E1017" t="s">
        <v>8571</v>
      </c>
      <c r="G1017">
        <v>174.39</v>
      </c>
      <c r="H1017">
        <v>105376.57</v>
      </c>
    </row>
    <row r="1018" spans="1:8" ht="15" customHeight="1" x14ac:dyDescent="0.2">
      <c r="A1018" s="420">
        <v>46063</v>
      </c>
      <c r="B1018" t="s">
        <v>2333</v>
      </c>
      <c r="C1018" t="s">
        <v>7493</v>
      </c>
      <c r="D1018" t="s">
        <v>8312</v>
      </c>
      <c r="E1018" t="s">
        <v>8313</v>
      </c>
      <c r="G1018">
        <v>187.2</v>
      </c>
      <c r="H1018">
        <v>105189.37</v>
      </c>
    </row>
    <row r="1019" spans="1:8" ht="15" customHeight="1" x14ac:dyDescent="0.2">
      <c r="A1019" s="420">
        <v>46064</v>
      </c>
      <c r="B1019" t="s">
        <v>2333</v>
      </c>
      <c r="C1019" t="s">
        <v>7493</v>
      </c>
      <c r="D1019" t="s">
        <v>8572</v>
      </c>
      <c r="E1019" t="s">
        <v>8573</v>
      </c>
      <c r="G1019">
        <v>90.34</v>
      </c>
      <c r="H1019">
        <v>105099.03</v>
      </c>
    </row>
    <row r="1020" spans="1:8" ht="15" customHeight="1" x14ac:dyDescent="0.2">
      <c r="A1020" s="420">
        <v>46064</v>
      </c>
      <c r="B1020" t="s">
        <v>2333</v>
      </c>
      <c r="C1020" t="s">
        <v>7493</v>
      </c>
      <c r="D1020" t="s">
        <v>8574</v>
      </c>
      <c r="E1020" t="s">
        <v>8575</v>
      </c>
      <c r="G1020">
        <v>116.38</v>
      </c>
      <c r="H1020">
        <v>104982.65</v>
      </c>
    </row>
    <row r="1021" spans="1:8" ht="15" customHeight="1" x14ac:dyDescent="0.2">
      <c r="A1021" s="420">
        <v>46064</v>
      </c>
      <c r="B1021" t="s">
        <v>2333</v>
      </c>
      <c r="C1021" t="s">
        <v>7493</v>
      </c>
      <c r="D1021" t="s">
        <v>8576</v>
      </c>
      <c r="E1021" t="s">
        <v>8577</v>
      </c>
      <c r="G1021">
        <v>100.82</v>
      </c>
      <c r="H1021">
        <v>104881.83</v>
      </c>
    </row>
    <row r="1022" spans="1:8" ht="15" customHeight="1" x14ac:dyDescent="0.2">
      <c r="A1022" s="420">
        <v>46064</v>
      </c>
      <c r="B1022" t="s">
        <v>2333</v>
      </c>
      <c r="C1022" t="s">
        <v>7493</v>
      </c>
      <c r="D1022" t="s">
        <v>8578</v>
      </c>
      <c r="E1022" t="s">
        <v>8579</v>
      </c>
      <c r="G1022">
        <v>100</v>
      </c>
      <c r="H1022">
        <v>104781.83</v>
      </c>
    </row>
    <row r="1023" spans="1:8" ht="15" customHeight="1" x14ac:dyDescent="0.2">
      <c r="A1023" s="420">
        <v>46064</v>
      </c>
      <c r="B1023" t="s">
        <v>2333</v>
      </c>
      <c r="C1023" t="s">
        <v>7493</v>
      </c>
      <c r="D1023" t="s">
        <v>8314</v>
      </c>
      <c r="E1023" t="s">
        <v>8315</v>
      </c>
      <c r="G1023">
        <v>14.99</v>
      </c>
      <c r="H1023">
        <v>104766.84</v>
      </c>
    </row>
    <row r="1024" spans="1:8" ht="15" customHeight="1" x14ac:dyDescent="0.2">
      <c r="A1024" s="420">
        <v>46064</v>
      </c>
      <c r="B1024" t="s">
        <v>2333</v>
      </c>
      <c r="C1024" t="s">
        <v>7493</v>
      </c>
      <c r="D1024" t="s">
        <v>8580</v>
      </c>
      <c r="E1024" t="s">
        <v>8581</v>
      </c>
      <c r="G1024">
        <v>53</v>
      </c>
      <c r="H1024">
        <v>104713.84</v>
      </c>
    </row>
    <row r="1025" spans="1:8" ht="15" customHeight="1" x14ac:dyDescent="0.2">
      <c r="A1025" s="420">
        <v>46065</v>
      </c>
      <c r="B1025" t="s">
        <v>2333</v>
      </c>
      <c r="C1025" t="s">
        <v>7493</v>
      </c>
      <c r="D1025" t="s">
        <v>8582</v>
      </c>
      <c r="E1025" t="s">
        <v>8583</v>
      </c>
      <c r="G1025">
        <v>81.599999999999994</v>
      </c>
      <c r="H1025">
        <v>104632.24</v>
      </c>
    </row>
    <row r="1026" spans="1:8" ht="15" customHeight="1" x14ac:dyDescent="0.2">
      <c r="A1026" s="420">
        <v>46065</v>
      </c>
      <c r="B1026" t="s">
        <v>2333</v>
      </c>
      <c r="C1026" t="s">
        <v>7493</v>
      </c>
      <c r="D1026" t="s">
        <v>8584</v>
      </c>
      <c r="E1026" t="s">
        <v>8585</v>
      </c>
      <c r="G1026">
        <v>20000</v>
      </c>
      <c r="H1026">
        <v>84632.24</v>
      </c>
    </row>
    <row r="1027" spans="1:8" ht="15" customHeight="1" x14ac:dyDescent="0.2">
      <c r="A1027" s="420">
        <v>46065</v>
      </c>
      <c r="B1027" t="s">
        <v>2333</v>
      </c>
      <c r="C1027" t="s">
        <v>7493</v>
      </c>
      <c r="D1027" t="s">
        <v>8586</v>
      </c>
      <c r="E1027" t="s">
        <v>8587</v>
      </c>
      <c r="G1027">
        <v>14893.04</v>
      </c>
      <c r="H1027">
        <v>69739.199999999997</v>
      </c>
    </row>
    <row r="1028" spans="1:8" ht="15" customHeight="1" x14ac:dyDescent="0.2">
      <c r="A1028" s="420">
        <v>46065</v>
      </c>
      <c r="B1028" t="s">
        <v>2333</v>
      </c>
      <c r="C1028" t="s">
        <v>7493</v>
      </c>
      <c r="D1028" t="s">
        <v>8316</v>
      </c>
      <c r="E1028" t="s">
        <v>8317</v>
      </c>
      <c r="F1028">
        <v>1000</v>
      </c>
      <c r="H1028">
        <v>70739.199999999997</v>
      </c>
    </row>
    <row r="1029" spans="1:8" ht="15" customHeight="1" x14ac:dyDescent="0.2">
      <c r="A1029" s="420">
        <v>46065</v>
      </c>
      <c r="B1029" t="s">
        <v>2333</v>
      </c>
      <c r="C1029" t="s">
        <v>7493</v>
      </c>
      <c r="D1029" t="s">
        <v>8588</v>
      </c>
      <c r="E1029" t="s">
        <v>8589</v>
      </c>
      <c r="G1029">
        <v>20000</v>
      </c>
      <c r="H1029">
        <v>50739.199999999997</v>
      </c>
    </row>
    <row r="1030" spans="1:8" ht="15" customHeight="1" x14ac:dyDescent="0.2">
      <c r="A1030" s="420">
        <v>46066</v>
      </c>
      <c r="B1030" t="s">
        <v>2333</v>
      </c>
      <c r="C1030" t="s">
        <v>7493</v>
      </c>
      <c r="D1030" t="s">
        <v>8590</v>
      </c>
      <c r="E1030" t="s">
        <v>8591</v>
      </c>
      <c r="G1030">
        <v>124.74</v>
      </c>
      <c r="H1030">
        <v>50614.46</v>
      </c>
    </row>
    <row r="1031" spans="1:8" ht="15" customHeight="1" x14ac:dyDescent="0.2">
      <c r="A1031" s="420">
        <v>46066</v>
      </c>
      <c r="B1031" t="s">
        <v>2333</v>
      </c>
      <c r="C1031" t="s">
        <v>7493</v>
      </c>
      <c r="D1031" t="s">
        <v>8592</v>
      </c>
      <c r="E1031" t="s">
        <v>8593</v>
      </c>
      <c r="G1031">
        <v>500</v>
      </c>
      <c r="H1031">
        <v>50114.46</v>
      </c>
    </row>
    <row r="1032" spans="1:8" ht="15" customHeight="1" x14ac:dyDescent="0.2">
      <c r="A1032" s="420">
        <v>46066</v>
      </c>
      <c r="B1032" t="s">
        <v>2333</v>
      </c>
      <c r="C1032" t="s">
        <v>7493</v>
      </c>
      <c r="D1032" t="s">
        <v>8594</v>
      </c>
      <c r="E1032" t="s">
        <v>8593</v>
      </c>
      <c r="G1032">
        <v>500</v>
      </c>
      <c r="H1032">
        <v>49614.46</v>
      </c>
    </row>
    <row r="1033" spans="1:8" ht="15" customHeight="1" x14ac:dyDescent="0.2">
      <c r="A1033" s="420">
        <v>46066</v>
      </c>
      <c r="B1033" t="s">
        <v>2333</v>
      </c>
      <c r="C1033" t="s">
        <v>7493</v>
      </c>
      <c r="D1033" t="s">
        <v>8595</v>
      </c>
      <c r="E1033" t="s">
        <v>8596</v>
      </c>
      <c r="G1033">
        <v>32.590000000000003</v>
      </c>
      <c r="H1033">
        <v>49581.87</v>
      </c>
    </row>
    <row r="1034" spans="1:8" ht="15" customHeight="1" x14ac:dyDescent="0.2">
      <c r="A1034" s="420">
        <v>46066</v>
      </c>
      <c r="B1034" t="s">
        <v>2333</v>
      </c>
      <c r="C1034" t="s">
        <v>7493</v>
      </c>
      <c r="D1034" t="s">
        <v>8597</v>
      </c>
      <c r="E1034" t="s">
        <v>8358</v>
      </c>
      <c r="G1034">
        <v>33.770000000000003</v>
      </c>
      <c r="H1034">
        <v>49548.1</v>
      </c>
    </row>
    <row r="1035" spans="1:8" ht="15" customHeight="1" x14ac:dyDescent="0.2">
      <c r="A1035" s="420">
        <v>46066</v>
      </c>
      <c r="B1035" t="s">
        <v>2333</v>
      </c>
      <c r="C1035" t="s">
        <v>7493</v>
      </c>
      <c r="D1035" t="s">
        <v>8598</v>
      </c>
      <c r="E1035" t="s">
        <v>2197</v>
      </c>
      <c r="G1035">
        <v>1.05</v>
      </c>
      <c r="H1035">
        <v>49547.05</v>
      </c>
    </row>
    <row r="1036" spans="1:8" ht="15" customHeight="1" x14ac:dyDescent="0.2">
      <c r="A1036" s="420">
        <v>46069</v>
      </c>
      <c r="B1036" t="s">
        <v>2333</v>
      </c>
      <c r="C1036" t="s">
        <v>7493</v>
      </c>
      <c r="D1036" t="s">
        <v>8599</v>
      </c>
      <c r="E1036" t="s">
        <v>8600</v>
      </c>
      <c r="G1036">
        <v>579</v>
      </c>
      <c r="H1036">
        <v>48968.05</v>
      </c>
    </row>
    <row r="1037" spans="1:8" ht="15" customHeight="1" x14ac:dyDescent="0.2">
      <c r="A1037" s="420">
        <v>46069</v>
      </c>
      <c r="B1037" t="s">
        <v>2333</v>
      </c>
      <c r="C1037" t="s">
        <v>7493</v>
      </c>
      <c r="D1037" t="s">
        <v>8216</v>
      </c>
      <c r="E1037" t="s">
        <v>8217</v>
      </c>
      <c r="F1037">
        <v>0.81</v>
      </c>
      <c r="H1037">
        <v>48968.86</v>
      </c>
    </row>
    <row r="1038" spans="1:8" ht="15" customHeight="1" x14ac:dyDescent="0.2">
      <c r="A1038" s="420">
        <v>46069</v>
      </c>
      <c r="B1038" t="s">
        <v>2333</v>
      </c>
      <c r="C1038" t="s">
        <v>7493</v>
      </c>
      <c r="D1038" t="s">
        <v>8601</v>
      </c>
      <c r="E1038" t="s">
        <v>8602</v>
      </c>
      <c r="G1038">
        <v>9</v>
      </c>
      <c r="H1038">
        <v>48959.86</v>
      </c>
    </row>
    <row r="1039" spans="1:8" ht="15" customHeight="1" x14ac:dyDescent="0.2">
      <c r="A1039" s="420">
        <v>46069</v>
      </c>
      <c r="B1039" t="s">
        <v>2333</v>
      </c>
      <c r="C1039" t="s">
        <v>7493</v>
      </c>
      <c r="D1039" t="s">
        <v>8603</v>
      </c>
      <c r="E1039" t="s">
        <v>8604</v>
      </c>
      <c r="G1039">
        <v>583.26</v>
      </c>
      <c r="H1039">
        <v>48376.6</v>
      </c>
    </row>
    <row r="1040" spans="1:8" ht="15" customHeight="1" x14ac:dyDescent="0.2">
      <c r="A1040" s="420">
        <v>46069</v>
      </c>
      <c r="B1040" t="s">
        <v>2333</v>
      </c>
      <c r="C1040" t="s">
        <v>7493</v>
      </c>
      <c r="D1040" t="s">
        <v>8318</v>
      </c>
      <c r="E1040" t="s">
        <v>8319</v>
      </c>
      <c r="G1040">
        <v>21.24</v>
      </c>
      <c r="H1040">
        <v>48355.360000000001</v>
      </c>
    </row>
    <row r="1041" spans="1:8" ht="15" customHeight="1" x14ac:dyDescent="0.2">
      <c r="A1041" s="420">
        <v>46070</v>
      </c>
      <c r="B1041" t="s">
        <v>2333</v>
      </c>
      <c r="C1041" t="s">
        <v>7493</v>
      </c>
      <c r="D1041" t="s">
        <v>8141</v>
      </c>
      <c r="E1041" t="s">
        <v>8142</v>
      </c>
      <c r="G1041">
        <v>3452</v>
      </c>
      <c r="H1041">
        <v>44903.360000000001</v>
      </c>
    </row>
    <row r="1042" spans="1:8" ht="15" customHeight="1" x14ac:dyDescent="0.2">
      <c r="A1042" s="420">
        <v>46070</v>
      </c>
      <c r="B1042" t="s">
        <v>2333</v>
      </c>
      <c r="C1042" t="s">
        <v>7493</v>
      </c>
      <c r="D1042" t="s">
        <v>8320</v>
      </c>
      <c r="E1042" t="s">
        <v>8321</v>
      </c>
      <c r="G1042">
        <v>58.08</v>
      </c>
      <c r="H1042">
        <v>44845.279999999999</v>
      </c>
    </row>
    <row r="1043" spans="1:8" ht="15" customHeight="1" x14ac:dyDescent="0.2">
      <c r="A1043" s="420">
        <v>46070</v>
      </c>
      <c r="B1043" t="s">
        <v>2333</v>
      </c>
      <c r="C1043" t="s">
        <v>7493</v>
      </c>
      <c r="D1043" t="s">
        <v>8322</v>
      </c>
      <c r="E1043" t="s">
        <v>8323</v>
      </c>
      <c r="G1043">
        <v>19</v>
      </c>
      <c r="H1043">
        <v>44826.28</v>
      </c>
    </row>
    <row r="1044" spans="1:8" ht="15" customHeight="1" x14ac:dyDescent="0.2">
      <c r="A1044" s="420">
        <v>46070</v>
      </c>
      <c r="B1044" t="s">
        <v>2333</v>
      </c>
      <c r="C1044" t="s">
        <v>7493</v>
      </c>
      <c r="D1044" t="s">
        <v>8128</v>
      </c>
      <c r="E1044" t="s">
        <v>8129</v>
      </c>
      <c r="F1044">
        <v>30416.2</v>
      </c>
      <c r="H1044">
        <v>75242.48</v>
      </c>
    </row>
    <row r="1045" spans="1:8" ht="15" customHeight="1" x14ac:dyDescent="0.2">
      <c r="A1045" s="420">
        <v>46070</v>
      </c>
      <c r="B1045" t="s">
        <v>2333</v>
      </c>
      <c r="C1045" t="s">
        <v>7493</v>
      </c>
      <c r="D1045" t="s">
        <v>8605</v>
      </c>
      <c r="E1045" t="s">
        <v>8358</v>
      </c>
      <c r="G1045">
        <v>2.52</v>
      </c>
      <c r="H1045">
        <v>75239.960000000006</v>
      </c>
    </row>
    <row r="1046" spans="1:8" ht="15" customHeight="1" x14ac:dyDescent="0.2">
      <c r="A1046" s="420">
        <v>46070</v>
      </c>
      <c r="B1046" t="s">
        <v>2333</v>
      </c>
      <c r="C1046" t="s">
        <v>7493</v>
      </c>
      <c r="D1046" t="s">
        <v>8606</v>
      </c>
      <c r="E1046" t="s">
        <v>2197</v>
      </c>
      <c r="G1046">
        <v>0.35</v>
      </c>
      <c r="H1046">
        <v>75239.61</v>
      </c>
    </row>
    <row r="1047" spans="1:8" ht="15" customHeight="1" x14ac:dyDescent="0.2">
      <c r="A1047" s="420">
        <v>46072</v>
      </c>
      <c r="B1047" t="s">
        <v>2333</v>
      </c>
      <c r="C1047" t="s">
        <v>7493</v>
      </c>
      <c r="D1047" t="s">
        <v>8607</v>
      </c>
      <c r="E1047" t="s">
        <v>8608</v>
      </c>
      <c r="G1047">
        <v>2.16</v>
      </c>
      <c r="H1047">
        <v>75237.45</v>
      </c>
    </row>
    <row r="1048" spans="1:8" ht="15" customHeight="1" x14ac:dyDescent="0.2">
      <c r="A1048" s="420">
        <v>46072</v>
      </c>
      <c r="B1048" t="s">
        <v>2333</v>
      </c>
      <c r="C1048" t="s">
        <v>7493</v>
      </c>
      <c r="D1048" t="s">
        <v>8324</v>
      </c>
      <c r="E1048" t="s">
        <v>8325</v>
      </c>
      <c r="G1048">
        <v>720</v>
      </c>
      <c r="H1048">
        <v>74517.45</v>
      </c>
    </row>
    <row r="1049" spans="1:8" ht="15" customHeight="1" x14ac:dyDescent="0.2">
      <c r="A1049" s="420">
        <v>46073</v>
      </c>
      <c r="B1049" t="s">
        <v>2333</v>
      </c>
      <c r="C1049" t="s">
        <v>7493</v>
      </c>
      <c r="D1049" t="s">
        <v>8609</v>
      </c>
      <c r="E1049" t="s">
        <v>8610</v>
      </c>
      <c r="G1049">
        <v>119.94</v>
      </c>
      <c r="H1049">
        <v>74397.509999999995</v>
      </c>
    </row>
    <row r="1050" spans="1:8" ht="15" customHeight="1" x14ac:dyDescent="0.2">
      <c r="A1050" s="420">
        <v>46073</v>
      </c>
      <c r="B1050" t="s">
        <v>2333</v>
      </c>
      <c r="C1050" t="s">
        <v>7493</v>
      </c>
      <c r="D1050" t="s">
        <v>8611</v>
      </c>
      <c r="E1050" t="s">
        <v>8612</v>
      </c>
      <c r="G1050">
        <v>79.3</v>
      </c>
      <c r="H1050">
        <v>74318.210000000006</v>
      </c>
    </row>
    <row r="1051" spans="1:8" ht="15" customHeight="1" x14ac:dyDescent="0.2">
      <c r="A1051" s="420">
        <v>46076</v>
      </c>
      <c r="B1051" t="s">
        <v>2333</v>
      </c>
      <c r="C1051" t="s">
        <v>7493</v>
      </c>
      <c r="D1051" t="s">
        <v>8326</v>
      </c>
      <c r="E1051" t="s">
        <v>8613</v>
      </c>
      <c r="F1051">
        <v>25360.57</v>
      </c>
      <c r="H1051">
        <v>99678.78</v>
      </c>
    </row>
    <row r="1052" spans="1:8" ht="15" customHeight="1" x14ac:dyDescent="0.2">
      <c r="A1052" s="420">
        <v>46076</v>
      </c>
      <c r="B1052" t="s">
        <v>2333</v>
      </c>
      <c r="C1052" t="s">
        <v>7493</v>
      </c>
      <c r="D1052" t="s">
        <v>8614</v>
      </c>
      <c r="E1052" t="s">
        <v>8615</v>
      </c>
      <c r="G1052">
        <v>43.6</v>
      </c>
      <c r="H1052">
        <v>99635.18</v>
      </c>
    </row>
    <row r="1053" spans="1:8" ht="15" customHeight="1" x14ac:dyDescent="0.2">
      <c r="A1053" s="420">
        <v>46076</v>
      </c>
      <c r="B1053" t="s">
        <v>2333</v>
      </c>
      <c r="C1053" t="s">
        <v>7493</v>
      </c>
      <c r="D1053" t="s">
        <v>8328</v>
      </c>
      <c r="E1053" t="s">
        <v>8329</v>
      </c>
      <c r="G1053">
        <v>68.900000000000006</v>
      </c>
      <c r="H1053">
        <v>99566.28</v>
      </c>
    </row>
    <row r="1054" spans="1:8" ht="15" customHeight="1" x14ac:dyDescent="0.2">
      <c r="A1054" s="420">
        <v>46076</v>
      </c>
      <c r="B1054" t="s">
        <v>2333</v>
      </c>
      <c r="C1054" t="s">
        <v>7493</v>
      </c>
      <c r="D1054" t="s">
        <v>8330</v>
      </c>
      <c r="E1054" t="s">
        <v>8331</v>
      </c>
      <c r="G1054">
        <v>6000</v>
      </c>
      <c r="H1054">
        <v>93566.28</v>
      </c>
    </row>
    <row r="1055" spans="1:8" ht="15" customHeight="1" x14ac:dyDescent="0.2">
      <c r="A1055" s="420">
        <v>46076</v>
      </c>
      <c r="B1055" t="s">
        <v>2333</v>
      </c>
      <c r="C1055" t="s">
        <v>7493</v>
      </c>
      <c r="D1055" t="s">
        <v>8395</v>
      </c>
      <c r="E1055" t="s">
        <v>8396</v>
      </c>
      <c r="G1055">
        <v>53.36</v>
      </c>
      <c r="H1055">
        <v>93512.92</v>
      </c>
    </row>
    <row r="1056" spans="1:8" ht="15" customHeight="1" x14ac:dyDescent="0.2">
      <c r="A1056" s="420">
        <v>46076</v>
      </c>
      <c r="B1056" t="s">
        <v>2333</v>
      </c>
      <c r="C1056" t="s">
        <v>7493</v>
      </c>
      <c r="D1056" t="s">
        <v>8616</v>
      </c>
      <c r="E1056" t="s">
        <v>8617</v>
      </c>
      <c r="G1056">
        <v>402</v>
      </c>
      <c r="H1056">
        <v>93110.92</v>
      </c>
    </row>
    <row r="1057" spans="1:8" ht="15" customHeight="1" x14ac:dyDescent="0.2">
      <c r="A1057" s="420">
        <v>46077</v>
      </c>
      <c r="B1057" t="s">
        <v>2333</v>
      </c>
      <c r="C1057" t="s">
        <v>7493</v>
      </c>
      <c r="D1057" t="s">
        <v>8332</v>
      </c>
      <c r="E1057" t="s">
        <v>8305</v>
      </c>
      <c r="G1057">
        <v>34.950000000000003</v>
      </c>
      <c r="H1057">
        <v>93075.97</v>
      </c>
    </row>
    <row r="1058" spans="1:8" ht="15" customHeight="1" x14ac:dyDescent="0.2">
      <c r="A1058" s="420">
        <v>46077</v>
      </c>
      <c r="B1058" t="s">
        <v>2333</v>
      </c>
      <c r="C1058" t="s">
        <v>7493</v>
      </c>
      <c r="D1058" t="s">
        <v>8618</v>
      </c>
      <c r="E1058" t="s">
        <v>8619</v>
      </c>
      <c r="G1058">
        <v>180</v>
      </c>
      <c r="H1058">
        <v>92895.97</v>
      </c>
    </row>
    <row r="1059" spans="1:8" ht="15" customHeight="1" x14ac:dyDescent="0.2">
      <c r="A1059" s="420">
        <v>46077</v>
      </c>
      <c r="B1059" t="s">
        <v>2333</v>
      </c>
      <c r="C1059" t="s">
        <v>7493</v>
      </c>
      <c r="D1059" t="s">
        <v>8333</v>
      </c>
      <c r="E1059" t="s">
        <v>8334</v>
      </c>
      <c r="G1059">
        <v>120</v>
      </c>
      <c r="H1059">
        <v>92775.97</v>
      </c>
    </row>
    <row r="1060" spans="1:8" ht="15" customHeight="1" x14ac:dyDescent="0.2">
      <c r="A1060" s="420">
        <v>46077</v>
      </c>
      <c r="B1060" t="s">
        <v>2333</v>
      </c>
      <c r="C1060" t="s">
        <v>7493</v>
      </c>
      <c r="D1060" t="s">
        <v>8620</v>
      </c>
      <c r="E1060" t="s">
        <v>7983</v>
      </c>
      <c r="G1060">
        <v>245.65</v>
      </c>
      <c r="H1060">
        <v>92530.32</v>
      </c>
    </row>
    <row r="1061" spans="1:8" ht="15" customHeight="1" x14ac:dyDescent="0.2">
      <c r="A1061" s="420">
        <v>46078</v>
      </c>
      <c r="B1061" t="s">
        <v>2333</v>
      </c>
      <c r="C1061" t="s">
        <v>7493</v>
      </c>
      <c r="D1061" t="s">
        <v>8621</v>
      </c>
      <c r="E1061" t="s">
        <v>8622</v>
      </c>
      <c r="G1061">
        <v>1046.55</v>
      </c>
      <c r="H1061">
        <v>91483.77</v>
      </c>
    </row>
    <row r="1062" spans="1:8" ht="15" customHeight="1" x14ac:dyDescent="0.2">
      <c r="A1062" s="420">
        <v>46078</v>
      </c>
      <c r="B1062" t="s">
        <v>2333</v>
      </c>
      <c r="C1062" t="s">
        <v>7493</v>
      </c>
      <c r="D1062" t="s">
        <v>8623</v>
      </c>
      <c r="E1062" t="s">
        <v>8624</v>
      </c>
      <c r="G1062">
        <v>48926</v>
      </c>
      <c r="H1062">
        <v>42557.77</v>
      </c>
    </row>
    <row r="1063" spans="1:8" ht="15" customHeight="1" x14ac:dyDescent="0.2">
      <c r="A1063" s="420">
        <v>46078</v>
      </c>
      <c r="B1063" t="s">
        <v>2333</v>
      </c>
      <c r="C1063" t="s">
        <v>7493</v>
      </c>
      <c r="D1063" t="s">
        <v>8625</v>
      </c>
      <c r="E1063" t="s">
        <v>8626</v>
      </c>
      <c r="G1063">
        <v>97</v>
      </c>
      <c r="H1063">
        <v>42460.77</v>
      </c>
    </row>
    <row r="1064" spans="1:8" ht="15" customHeight="1" x14ac:dyDescent="0.2">
      <c r="A1064" s="420">
        <v>46079</v>
      </c>
      <c r="B1064" t="s">
        <v>2333</v>
      </c>
      <c r="C1064" t="s">
        <v>7493</v>
      </c>
      <c r="D1064" t="s">
        <v>8337</v>
      </c>
      <c r="E1064" t="s">
        <v>8338</v>
      </c>
      <c r="G1064">
        <v>145.9</v>
      </c>
      <c r="H1064">
        <v>42314.87</v>
      </c>
    </row>
    <row r="1065" spans="1:8" ht="15" customHeight="1" x14ac:dyDescent="0.2">
      <c r="A1065" s="420">
        <v>46079</v>
      </c>
      <c r="B1065" t="s">
        <v>2333</v>
      </c>
      <c r="C1065" t="s">
        <v>7493</v>
      </c>
      <c r="D1065" t="s">
        <v>8039</v>
      </c>
      <c r="E1065" t="s">
        <v>8040</v>
      </c>
      <c r="G1065">
        <v>4.13</v>
      </c>
      <c r="H1065">
        <v>42310.74</v>
      </c>
    </row>
    <row r="1066" spans="1:8" ht="15" customHeight="1" x14ac:dyDescent="0.2">
      <c r="A1066" s="420">
        <v>46080</v>
      </c>
      <c r="B1066" t="s">
        <v>2333</v>
      </c>
      <c r="C1066" t="s">
        <v>7493</v>
      </c>
      <c r="D1066" t="s">
        <v>8339</v>
      </c>
      <c r="E1066" t="s">
        <v>8340</v>
      </c>
      <c r="G1066">
        <v>5146.5600000000004</v>
      </c>
      <c r="H1066">
        <v>37164.18</v>
      </c>
    </row>
    <row r="1067" spans="1:8" ht="15" customHeight="1" x14ac:dyDescent="0.2">
      <c r="A1067" s="420">
        <v>46080</v>
      </c>
      <c r="B1067" t="s">
        <v>2333</v>
      </c>
      <c r="C1067" t="s">
        <v>7493</v>
      </c>
      <c r="D1067" t="s">
        <v>8341</v>
      </c>
      <c r="E1067" t="s">
        <v>8342</v>
      </c>
      <c r="G1067">
        <v>414</v>
      </c>
      <c r="H1067">
        <v>36750.18</v>
      </c>
    </row>
    <row r="1068" spans="1:8" ht="15" customHeight="1" x14ac:dyDescent="0.2">
      <c r="A1068" s="420">
        <v>46083</v>
      </c>
      <c r="B1068" t="s">
        <v>2333</v>
      </c>
      <c r="C1068" t="s">
        <v>7493</v>
      </c>
      <c r="D1068" t="s">
        <v>7996</v>
      </c>
      <c r="E1068" t="s">
        <v>7997</v>
      </c>
      <c r="G1068">
        <v>22.58</v>
      </c>
      <c r="H1068">
        <v>36727.599999999999</v>
      </c>
    </row>
    <row r="1069" spans="1:8" ht="15" customHeight="1" x14ac:dyDescent="0.2">
      <c r="A1069" s="420">
        <v>46083</v>
      </c>
      <c r="B1069" t="s">
        <v>2333</v>
      </c>
      <c r="C1069" t="s">
        <v>7493</v>
      </c>
      <c r="D1069" t="s">
        <v>8627</v>
      </c>
      <c r="E1069" t="s">
        <v>8628</v>
      </c>
      <c r="G1069">
        <v>118</v>
      </c>
      <c r="H1069">
        <v>36609.599999999999</v>
      </c>
    </row>
    <row r="1070" spans="1:8" ht="15" customHeight="1" x14ac:dyDescent="0.2">
      <c r="A1070" s="420">
        <v>46083</v>
      </c>
      <c r="B1070" t="s">
        <v>2333</v>
      </c>
      <c r="C1070" t="s">
        <v>7493</v>
      </c>
      <c r="D1070" t="s">
        <v>8629</v>
      </c>
      <c r="E1070" t="s">
        <v>3403</v>
      </c>
      <c r="G1070">
        <v>7080</v>
      </c>
      <c r="H1070">
        <v>29529.599999999999</v>
      </c>
    </row>
    <row r="1071" spans="1:8" ht="15" customHeight="1" x14ac:dyDescent="0.2">
      <c r="A1071" s="420">
        <v>46083</v>
      </c>
      <c r="B1071" t="s">
        <v>2333</v>
      </c>
      <c r="C1071" t="s">
        <v>7493</v>
      </c>
      <c r="D1071" t="s">
        <v>8630</v>
      </c>
      <c r="E1071" t="s">
        <v>8526</v>
      </c>
      <c r="G1071">
        <v>1572</v>
      </c>
      <c r="H1071">
        <v>27957.599999999999</v>
      </c>
    </row>
    <row r="1072" spans="1:8" ht="15" customHeight="1" x14ac:dyDescent="0.2">
      <c r="A1072" s="420">
        <v>46083</v>
      </c>
      <c r="B1072" t="s">
        <v>2333</v>
      </c>
      <c r="C1072" t="s">
        <v>7493</v>
      </c>
      <c r="D1072" t="s">
        <v>8631</v>
      </c>
      <c r="E1072" t="s">
        <v>8632</v>
      </c>
      <c r="G1072">
        <v>342</v>
      </c>
      <c r="H1072">
        <v>27615.599999999999</v>
      </c>
    </row>
    <row r="1073" spans="1:8" ht="15" customHeight="1" x14ac:dyDescent="0.2">
      <c r="A1073" s="420">
        <v>46084</v>
      </c>
      <c r="B1073" t="s">
        <v>2333</v>
      </c>
      <c r="C1073" t="s">
        <v>7493</v>
      </c>
      <c r="D1073" t="s">
        <v>8347</v>
      </c>
      <c r="E1073" t="s">
        <v>8348</v>
      </c>
      <c r="G1073">
        <v>21.24</v>
      </c>
      <c r="H1073">
        <v>27594.36</v>
      </c>
    </row>
    <row r="1074" spans="1:8" ht="15" customHeight="1" x14ac:dyDescent="0.2">
      <c r="A1074" s="420">
        <v>46084</v>
      </c>
      <c r="B1074" t="s">
        <v>2333</v>
      </c>
      <c r="C1074" t="s">
        <v>7493</v>
      </c>
      <c r="D1074" t="s">
        <v>8349</v>
      </c>
      <c r="E1074" t="s">
        <v>8350</v>
      </c>
      <c r="F1074">
        <v>1000</v>
      </c>
      <c r="H1074">
        <v>28594.36</v>
      </c>
    </row>
    <row r="1075" spans="1:8" ht="15" customHeight="1" x14ac:dyDescent="0.2">
      <c r="A1075" s="420">
        <v>46084</v>
      </c>
      <c r="B1075" t="s">
        <v>2333</v>
      </c>
      <c r="C1075" t="s">
        <v>7493</v>
      </c>
      <c r="D1075" t="s">
        <v>8081</v>
      </c>
      <c r="E1075" t="s">
        <v>8082</v>
      </c>
      <c r="F1075">
        <v>18831.75</v>
      </c>
      <c r="H1075">
        <v>47426.11</v>
      </c>
    </row>
    <row r="1076" spans="1:8" ht="15" customHeight="1" x14ac:dyDescent="0.2">
      <c r="A1076" s="420">
        <v>46084</v>
      </c>
      <c r="B1076" t="s">
        <v>2333</v>
      </c>
      <c r="C1076" t="s">
        <v>7493</v>
      </c>
      <c r="D1076" t="s">
        <v>8276</v>
      </c>
      <c r="E1076" t="s">
        <v>8277</v>
      </c>
      <c r="F1076">
        <v>8099.34</v>
      </c>
      <c r="H1076">
        <v>55525.45</v>
      </c>
    </row>
    <row r="1077" spans="1:8" ht="15" customHeight="1" x14ac:dyDescent="0.2">
      <c r="A1077" s="420">
        <v>46084</v>
      </c>
      <c r="B1077" t="s">
        <v>2333</v>
      </c>
      <c r="C1077" t="s">
        <v>7493</v>
      </c>
      <c r="D1077" t="s">
        <v>8633</v>
      </c>
      <c r="E1077" t="s">
        <v>8634</v>
      </c>
      <c r="G1077">
        <v>62</v>
      </c>
      <c r="H1077">
        <v>55463.45</v>
      </c>
    </row>
    <row r="1078" spans="1:8" ht="15" customHeight="1" x14ac:dyDescent="0.2">
      <c r="A1078" s="420">
        <v>46084</v>
      </c>
      <c r="B1078" t="s">
        <v>2333</v>
      </c>
      <c r="C1078" t="s">
        <v>7493</v>
      </c>
      <c r="D1078" t="s">
        <v>8635</v>
      </c>
      <c r="E1078" t="s">
        <v>8634</v>
      </c>
      <c r="G1078">
        <v>123.14</v>
      </c>
      <c r="H1078">
        <v>55340.31</v>
      </c>
    </row>
    <row r="1079" spans="1:8" ht="15" customHeight="1" x14ac:dyDescent="0.2">
      <c r="A1079" s="420">
        <v>46084</v>
      </c>
      <c r="B1079" t="s">
        <v>2333</v>
      </c>
      <c r="C1079" t="s">
        <v>7493</v>
      </c>
      <c r="D1079" t="s">
        <v>8636</v>
      </c>
      <c r="E1079" t="s">
        <v>682</v>
      </c>
      <c r="G1079">
        <v>14.13</v>
      </c>
      <c r="H1079">
        <v>55326.18</v>
      </c>
    </row>
    <row r="1080" spans="1:8" ht="15" customHeight="1" x14ac:dyDescent="0.2">
      <c r="A1080" s="420">
        <v>46085</v>
      </c>
      <c r="B1080" t="s">
        <v>2333</v>
      </c>
      <c r="C1080" t="s">
        <v>7493</v>
      </c>
      <c r="D1080" t="s">
        <v>8351</v>
      </c>
      <c r="E1080" t="s">
        <v>8352</v>
      </c>
      <c r="G1080">
        <v>21.6</v>
      </c>
      <c r="H1080">
        <v>55304.58</v>
      </c>
    </row>
    <row r="1081" spans="1:8" ht="15" customHeight="1" x14ac:dyDescent="0.2">
      <c r="A1081" s="420">
        <v>46085</v>
      </c>
      <c r="B1081" t="s">
        <v>2333</v>
      </c>
      <c r="C1081" t="s">
        <v>7493</v>
      </c>
      <c r="D1081" t="s">
        <v>8637</v>
      </c>
      <c r="E1081" t="s">
        <v>8358</v>
      </c>
      <c r="G1081">
        <v>6.93</v>
      </c>
      <c r="H1081">
        <v>55297.65</v>
      </c>
    </row>
    <row r="1082" spans="1:8" ht="15" customHeight="1" x14ac:dyDescent="0.2">
      <c r="A1082" s="420">
        <v>46085</v>
      </c>
      <c r="B1082" t="s">
        <v>2333</v>
      </c>
      <c r="C1082" t="s">
        <v>7493</v>
      </c>
      <c r="D1082" t="s">
        <v>8638</v>
      </c>
      <c r="E1082" t="s">
        <v>2203</v>
      </c>
      <c r="G1082">
        <v>0.45</v>
      </c>
      <c r="H1082">
        <v>55297.2</v>
      </c>
    </row>
    <row r="1083" spans="1:8" ht="15" customHeight="1" x14ac:dyDescent="0.2">
      <c r="A1083" s="420">
        <v>46086</v>
      </c>
      <c r="B1083" t="s">
        <v>2333</v>
      </c>
      <c r="C1083" t="s">
        <v>7493</v>
      </c>
      <c r="D1083" t="s">
        <v>8639</v>
      </c>
      <c r="E1083" t="s">
        <v>8640</v>
      </c>
      <c r="G1083">
        <v>13.13</v>
      </c>
      <c r="H1083">
        <v>55284.07</v>
      </c>
    </row>
    <row r="1084" spans="1:8" ht="15" customHeight="1" x14ac:dyDescent="0.2">
      <c r="A1084" s="420">
        <v>46086</v>
      </c>
      <c r="B1084" t="s">
        <v>2333</v>
      </c>
      <c r="C1084" t="s">
        <v>7493</v>
      </c>
      <c r="D1084" t="s">
        <v>8641</v>
      </c>
      <c r="E1084" t="s">
        <v>8642</v>
      </c>
      <c r="G1084">
        <v>237.83</v>
      </c>
      <c r="H1084">
        <v>55046.239999999998</v>
      </c>
    </row>
    <row r="1085" spans="1:8" ht="15" customHeight="1" x14ac:dyDescent="0.2">
      <c r="A1085" s="420">
        <v>46086</v>
      </c>
      <c r="B1085" t="s">
        <v>2333</v>
      </c>
      <c r="C1085" t="s">
        <v>7493</v>
      </c>
      <c r="D1085" t="s">
        <v>8643</v>
      </c>
      <c r="E1085" t="s">
        <v>8644</v>
      </c>
      <c r="G1085">
        <v>35.86</v>
      </c>
      <c r="H1085">
        <v>55010.38</v>
      </c>
    </row>
    <row r="1086" spans="1:8" ht="15" customHeight="1" x14ac:dyDescent="0.2">
      <c r="A1086" s="420">
        <v>46086</v>
      </c>
      <c r="B1086" t="s">
        <v>2333</v>
      </c>
      <c r="C1086" t="s">
        <v>7493</v>
      </c>
      <c r="D1086" t="s">
        <v>8645</v>
      </c>
      <c r="E1086" t="s">
        <v>8646</v>
      </c>
      <c r="G1086">
        <v>608.20000000000005</v>
      </c>
      <c r="H1086">
        <v>54402.18</v>
      </c>
    </row>
    <row r="1087" spans="1:8" ht="15" customHeight="1" x14ac:dyDescent="0.2">
      <c r="A1087" s="420">
        <v>46086</v>
      </c>
      <c r="B1087" t="s">
        <v>2333</v>
      </c>
      <c r="C1087" t="s">
        <v>7493</v>
      </c>
      <c r="D1087" t="s">
        <v>8266</v>
      </c>
      <c r="E1087" t="s">
        <v>8267</v>
      </c>
      <c r="F1087">
        <v>167</v>
      </c>
      <c r="H1087">
        <v>54569.18</v>
      </c>
    </row>
    <row r="1088" spans="1:8" ht="15" customHeight="1" x14ac:dyDescent="0.2">
      <c r="A1088" s="420">
        <v>46086</v>
      </c>
      <c r="B1088" t="s">
        <v>2333</v>
      </c>
      <c r="C1088" t="s">
        <v>7493</v>
      </c>
      <c r="D1088" t="s">
        <v>8220</v>
      </c>
      <c r="E1088" t="s">
        <v>7171</v>
      </c>
      <c r="G1088">
        <v>500</v>
      </c>
      <c r="H1088">
        <v>54069.18</v>
      </c>
    </row>
    <row r="1089" spans="1:8" ht="15" customHeight="1" x14ac:dyDescent="0.2">
      <c r="A1089" s="420">
        <v>46086</v>
      </c>
      <c r="B1089" t="s">
        <v>2333</v>
      </c>
      <c r="C1089" t="s">
        <v>7493</v>
      </c>
      <c r="D1089" t="s">
        <v>8647</v>
      </c>
      <c r="E1089" t="s">
        <v>4078</v>
      </c>
      <c r="G1089">
        <v>322</v>
      </c>
      <c r="H1089">
        <v>53747.18</v>
      </c>
    </row>
    <row r="1090" spans="1:8" ht="15" customHeight="1" x14ac:dyDescent="0.2">
      <c r="A1090" s="420">
        <v>46086</v>
      </c>
      <c r="B1090" t="s">
        <v>2333</v>
      </c>
      <c r="C1090" t="s">
        <v>7493</v>
      </c>
      <c r="D1090" t="s">
        <v>8034</v>
      </c>
      <c r="E1090" t="s">
        <v>5173</v>
      </c>
      <c r="G1090">
        <v>8.4</v>
      </c>
      <c r="H1090">
        <v>53738.78</v>
      </c>
    </row>
    <row r="1091" spans="1:8" ht="15" customHeight="1" x14ac:dyDescent="0.2">
      <c r="A1091" s="420">
        <v>46086</v>
      </c>
      <c r="B1091" t="s">
        <v>2333</v>
      </c>
      <c r="C1091" t="s">
        <v>7493</v>
      </c>
      <c r="D1091" t="s">
        <v>8648</v>
      </c>
      <c r="E1091" t="s">
        <v>8649</v>
      </c>
      <c r="G1091">
        <v>112.61</v>
      </c>
      <c r="H1091">
        <v>53626.17</v>
      </c>
    </row>
    <row r="1092" spans="1:8" ht="15" customHeight="1" x14ac:dyDescent="0.2">
      <c r="A1092" s="420">
        <v>46086</v>
      </c>
      <c r="B1092" t="s">
        <v>2333</v>
      </c>
      <c r="C1092" t="s">
        <v>7493</v>
      </c>
      <c r="D1092" t="s">
        <v>8650</v>
      </c>
      <c r="E1092" t="s">
        <v>8651</v>
      </c>
      <c r="G1092">
        <v>1934.97</v>
      </c>
      <c r="H1092">
        <v>51691.199999999997</v>
      </c>
    </row>
    <row r="1093" spans="1:8" ht="15" customHeight="1" x14ac:dyDescent="0.2">
      <c r="A1093" s="420">
        <v>46086</v>
      </c>
      <c r="B1093" t="s">
        <v>2333</v>
      </c>
      <c r="C1093" t="s">
        <v>7493</v>
      </c>
      <c r="D1093" t="s">
        <v>8652</v>
      </c>
      <c r="E1093" t="s">
        <v>8653</v>
      </c>
      <c r="G1093">
        <v>1308.0899999999999</v>
      </c>
      <c r="H1093">
        <v>50383.11</v>
      </c>
    </row>
    <row r="1094" spans="1:8" ht="15" customHeight="1" x14ac:dyDescent="0.2">
      <c r="A1094" s="420">
        <v>46086</v>
      </c>
      <c r="B1094" t="s">
        <v>2333</v>
      </c>
      <c r="C1094" t="s">
        <v>7493</v>
      </c>
      <c r="D1094" t="s">
        <v>8654</v>
      </c>
      <c r="E1094" t="s">
        <v>8655</v>
      </c>
      <c r="G1094">
        <v>1390.18</v>
      </c>
      <c r="H1094">
        <v>48992.93</v>
      </c>
    </row>
    <row r="1095" spans="1:8" ht="15" customHeight="1" x14ac:dyDescent="0.2">
      <c r="A1095" s="420">
        <v>46087</v>
      </c>
      <c r="B1095" t="s">
        <v>2333</v>
      </c>
      <c r="C1095" t="s">
        <v>7493</v>
      </c>
      <c r="D1095" t="s">
        <v>8656</v>
      </c>
      <c r="E1095" t="s">
        <v>8657</v>
      </c>
      <c r="F1095">
        <v>416.66</v>
      </c>
      <c r="H1095">
        <v>49409.59</v>
      </c>
    </row>
    <row r="1096" spans="1:8" ht="15" customHeight="1" x14ac:dyDescent="0.2">
      <c r="A1096" s="420">
        <v>46087</v>
      </c>
      <c r="B1096" t="s">
        <v>2333</v>
      </c>
      <c r="C1096" t="s">
        <v>7493</v>
      </c>
      <c r="D1096" t="s">
        <v>8658</v>
      </c>
      <c r="E1096" t="s">
        <v>8659</v>
      </c>
      <c r="G1096">
        <v>1063.18</v>
      </c>
      <c r="H1096">
        <v>48346.41</v>
      </c>
    </row>
    <row r="1097" spans="1:8" ht="15" customHeight="1" x14ac:dyDescent="0.2">
      <c r="A1097" s="420">
        <v>46087</v>
      </c>
      <c r="B1097" t="s">
        <v>2333</v>
      </c>
      <c r="C1097" t="s">
        <v>7493</v>
      </c>
      <c r="D1097" t="s">
        <v>8660</v>
      </c>
      <c r="E1097" t="s">
        <v>8661</v>
      </c>
      <c r="G1097">
        <v>1989.75</v>
      </c>
      <c r="H1097">
        <v>46356.66</v>
      </c>
    </row>
    <row r="1098" spans="1:8" ht="15" customHeight="1" x14ac:dyDescent="0.2">
      <c r="A1098" s="420">
        <v>46087</v>
      </c>
      <c r="B1098" t="s">
        <v>2333</v>
      </c>
      <c r="C1098" t="s">
        <v>7493</v>
      </c>
      <c r="D1098" t="s">
        <v>8662</v>
      </c>
      <c r="E1098" t="s">
        <v>2194</v>
      </c>
      <c r="G1098">
        <v>43.7</v>
      </c>
      <c r="H1098">
        <v>46312.959999999999</v>
      </c>
    </row>
    <row r="1099" spans="1:8" ht="15" customHeight="1" x14ac:dyDescent="0.2">
      <c r="A1099" s="420">
        <v>46090</v>
      </c>
      <c r="B1099" t="s">
        <v>2333</v>
      </c>
      <c r="C1099" t="s">
        <v>7493</v>
      </c>
      <c r="D1099" t="s">
        <v>8663</v>
      </c>
      <c r="E1099" t="s">
        <v>8664</v>
      </c>
      <c r="G1099">
        <v>70.569999999999993</v>
      </c>
      <c r="H1099">
        <v>46242.39</v>
      </c>
    </row>
    <row r="1100" spans="1:8" ht="15" customHeight="1" x14ac:dyDescent="0.2">
      <c r="A1100" s="420">
        <v>46090</v>
      </c>
      <c r="B1100" t="s">
        <v>2333</v>
      </c>
      <c r="C1100" t="s">
        <v>7493</v>
      </c>
      <c r="D1100" t="s">
        <v>8035</v>
      </c>
      <c r="E1100" t="s">
        <v>8036</v>
      </c>
      <c r="G1100">
        <v>70.67</v>
      </c>
      <c r="H1100">
        <v>46171.72</v>
      </c>
    </row>
    <row r="1101" spans="1:8" ht="15" customHeight="1" x14ac:dyDescent="0.2">
      <c r="A1101" s="420">
        <v>46090</v>
      </c>
      <c r="B1101" t="s">
        <v>2333</v>
      </c>
      <c r="C1101" t="s">
        <v>7493</v>
      </c>
      <c r="D1101" t="s">
        <v>8665</v>
      </c>
      <c r="E1101" t="s">
        <v>8666</v>
      </c>
      <c r="G1101">
        <v>891.76</v>
      </c>
      <c r="H1101">
        <v>45279.96</v>
      </c>
    </row>
    <row r="1102" spans="1:8" ht="15" customHeight="1" x14ac:dyDescent="0.2">
      <c r="A1102" s="420">
        <v>46090</v>
      </c>
      <c r="B1102" t="s">
        <v>2333</v>
      </c>
      <c r="C1102" t="s">
        <v>7493</v>
      </c>
      <c r="D1102" t="s">
        <v>8355</v>
      </c>
      <c r="E1102" t="s">
        <v>8356</v>
      </c>
      <c r="F1102">
        <v>1312.95</v>
      </c>
      <c r="H1102">
        <v>46592.91</v>
      </c>
    </row>
    <row r="1103" spans="1:8" ht="15" customHeight="1" x14ac:dyDescent="0.2">
      <c r="A1103" s="420">
        <v>46091</v>
      </c>
      <c r="B1103" t="s">
        <v>2333</v>
      </c>
      <c r="C1103" t="s">
        <v>7493</v>
      </c>
      <c r="D1103" t="s">
        <v>8030</v>
      </c>
      <c r="E1103" t="s">
        <v>8031</v>
      </c>
      <c r="G1103">
        <v>187.2</v>
      </c>
      <c r="H1103">
        <v>46405.71</v>
      </c>
    </row>
    <row r="1104" spans="1:8" ht="15" customHeight="1" x14ac:dyDescent="0.2">
      <c r="A1104" s="420">
        <v>46091</v>
      </c>
      <c r="B1104" t="s">
        <v>2333</v>
      </c>
      <c r="C1104" t="s">
        <v>7493</v>
      </c>
      <c r="D1104" t="s">
        <v>8667</v>
      </c>
      <c r="E1104" t="s">
        <v>8668</v>
      </c>
      <c r="G1104">
        <v>24</v>
      </c>
      <c r="H1104">
        <v>46381.71</v>
      </c>
    </row>
    <row r="1105" spans="1:8" ht="15" customHeight="1" x14ac:dyDescent="0.2">
      <c r="A1105" s="420">
        <v>46091</v>
      </c>
      <c r="B1105" t="s">
        <v>2333</v>
      </c>
      <c r="C1105" t="s">
        <v>7493</v>
      </c>
      <c r="D1105" t="s">
        <v>8268</v>
      </c>
      <c r="E1105" t="s">
        <v>8269</v>
      </c>
      <c r="G1105">
        <v>1312.95</v>
      </c>
      <c r="H1105">
        <v>45068.76</v>
      </c>
    </row>
    <row r="1106" spans="1:8" ht="15" customHeight="1" x14ac:dyDescent="0.2">
      <c r="A1106" s="420">
        <v>46091</v>
      </c>
      <c r="B1106" t="s">
        <v>2333</v>
      </c>
      <c r="C1106" t="s">
        <v>7493</v>
      </c>
      <c r="D1106" t="s">
        <v>8357</v>
      </c>
      <c r="E1106" t="s">
        <v>8358</v>
      </c>
      <c r="G1106">
        <v>6.94</v>
      </c>
      <c r="H1106">
        <v>45061.82</v>
      </c>
    </row>
    <row r="1107" spans="1:8" ht="15" customHeight="1" x14ac:dyDescent="0.2">
      <c r="A1107" s="420">
        <v>46091</v>
      </c>
      <c r="B1107" t="s">
        <v>2333</v>
      </c>
      <c r="C1107" t="s">
        <v>7493</v>
      </c>
      <c r="D1107" t="s">
        <v>8669</v>
      </c>
      <c r="E1107" t="s">
        <v>2203</v>
      </c>
      <c r="G1107">
        <v>0.45</v>
      </c>
      <c r="H1107">
        <v>45061.37</v>
      </c>
    </row>
    <row r="1108" spans="1:8" ht="15" customHeight="1" x14ac:dyDescent="0.2">
      <c r="A1108" s="420">
        <v>46092</v>
      </c>
      <c r="B1108" t="s">
        <v>2333</v>
      </c>
      <c r="C1108" t="s">
        <v>7493</v>
      </c>
      <c r="D1108" t="s">
        <v>8270</v>
      </c>
      <c r="E1108" t="s">
        <v>8271</v>
      </c>
      <c r="F1108">
        <v>6500</v>
      </c>
      <c r="H1108">
        <v>51561.37</v>
      </c>
    </row>
    <row r="1109" spans="1:8" ht="15" customHeight="1" x14ac:dyDescent="0.2">
      <c r="A1109" s="420">
        <v>46093</v>
      </c>
      <c r="B1109" t="s">
        <v>2333</v>
      </c>
      <c r="C1109" t="s">
        <v>7493</v>
      </c>
      <c r="D1109" t="s">
        <v>8361</v>
      </c>
      <c r="E1109" t="s">
        <v>8362</v>
      </c>
      <c r="G1109">
        <v>6000</v>
      </c>
      <c r="H1109">
        <v>45561.37</v>
      </c>
    </row>
    <row r="1110" spans="1:8" ht="15" customHeight="1" x14ac:dyDescent="0.2">
      <c r="A1110" s="420">
        <v>46093</v>
      </c>
      <c r="B1110" t="s">
        <v>2333</v>
      </c>
      <c r="C1110" t="s">
        <v>7493</v>
      </c>
      <c r="D1110" t="s">
        <v>8670</v>
      </c>
      <c r="E1110" t="s">
        <v>8490</v>
      </c>
      <c r="G1110">
        <v>78</v>
      </c>
      <c r="H1110">
        <v>45483.37</v>
      </c>
    </row>
    <row r="1111" spans="1:8" ht="15" customHeight="1" x14ac:dyDescent="0.2">
      <c r="A1111" s="420">
        <v>46094</v>
      </c>
      <c r="B1111" t="s">
        <v>2333</v>
      </c>
      <c r="C1111" t="s">
        <v>7493</v>
      </c>
      <c r="D1111" t="s">
        <v>8671</v>
      </c>
      <c r="E1111" t="s">
        <v>8358</v>
      </c>
      <c r="G1111">
        <v>34.549999999999997</v>
      </c>
      <c r="H1111">
        <v>45448.82</v>
      </c>
    </row>
    <row r="1112" spans="1:8" ht="15" customHeight="1" x14ac:dyDescent="0.2">
      <c r="A1112" s="420">
        <v>46094</v>
      </c>
      <c r="B1112" t="s">
        <v>2333</v>
      </c>
      <c r="C1112" t="s">
        <v>7493</v>
      </c>
      <c r="D1112" t="s">
        <v>8672</v>
      </c>
      <c r="E1112" t="s">
        <v>8358</v>
      </c>
      <c r="G1112">
        <v>3.02</v>
      </c>
      <c r="H1112">
        <v>45445.8</v>
      </c>
    </row>
    <row r="1113" spans="1:8" ht="15" customHeight="1" x14ac:dyDescent="0.2">
      <c r="A1113" s="420">
        <v>46094</v>
      </c>
      <c r="B1113" t="s">
        <v>2333</v>
      </c>
      <c r="C1113" t="s">
        <v>7493</v>
      </c>
      <c r="D1113" t="s">
        <v>8673</v>
      </c>
      <c r="E1113" t="s">
        <v>8593</v>
      </c>
      <c r="G1113">
        <v>500</v>
      </c>
      <c r="H1113">
        <v>44945.8</v>
      </c>
    </row>
    <row r="1114" spans="1:8" ht="15" customHeight="1" x14ac:dyDescent="0.2">
      <c r="A1114" s="420">
        <v>46094</v>
      </c>
      <c r="B1114" t="s">
        <v>2333</v>
      </c>
      <c r="C1114" t="s">
        <v>7493</v>
      </c>
      <c r="D1114" t="s">
        <v>8674</v>
      </c>
      <c r="E1114" t="s">
        <v>8593</v>
      </c>
      <c r="G1114">
        <v>500</v>
      </c>
      <c r="H1114">
        <v>44445.8</v>
      </c>
    </row>
    <row r="1115" spans="1:8" ht="15" customHeight="1" x14ac:dyDescent="0.2">
      <c r="A1115" s="420">
        <v>46094</v>
      </c>
      <c r="B1115" t="s">
        <v>2333</v>
      </c>
      <c r="C1115" t="s">
        <v>7493</v>
      </c>
      <c r="D1115" t="s">
        <v>8675</v>
      </c>
      <c r="E1115" t="s">
        <v>2203</v>
      </c>
      <c r="G1115">
        <v>1.07</v>
      </c>
      <c r="H1115">
        <v>44444.73</v>
      </c>
    </row>
    <row r="1116" spans="1:8" ht="15" customHeight="1" x14ac:dyDescent="0.2">
      <c r="A1116" s="420">
        <v>46094</v>
      </c>
      <c r="B1116" t="s">
        <v>2333</v>
      </c>
      <c r="C1116" t="s">
        <v>7493</v>
      </c>
      <c r="D1116" t="s">
        <v>8676</v>
      </c>
      <c r="E1116" t="s">
        <v>2203</v>
      </c>
      <c r="G1116">
        <v>0.36</v>
      </c>
      <c r="H1116">
        <v>44444.37</v>
      </c>
    </row>
    <row r="1117" spans="1:8" ht="15" customHeight="1" x14ac:dyDescent="0.2">
      <c r="A1117" s="420">
        <v>46097</v>
      </c>
      <c r="B1117" t="s">
        <v>2333</v>
      </c>
      <c r="C1117" t="s">
        <v>7493</v>
      </c>
      <c r="D1117" t="s">
        <v>8677</v>
      </c>
      <c r="E1117" t="s">
        <v>8678</v>
      </c>
      <c r="G1117">
        <v>74.040000000000006</v>
      </c>
      <c r="H1117">
        <v>44370.33</v>
      </c>
    </row>
    <row r="1118" spans="1:8" ht="15" customHeight="1" x14ac:dyDescent="0.2">
      <c r="A1118" s="420">
        <v>46097</v>
      </c>
      <c r="B1118" t="s">
        <v>2333</v>
      </c>
      <c r="C1118" t="s">
        <v>7493</v>
      </c>
      <c r="D1118" t="s">
        <v>8221</v>
      </c>
      <c r="E1118" t="s">
        <v>8222</v>
      </c>
      <c r="F1118">
        <v>42889.5</v>
      </c>
      <c r="H1118">
        <v>87259.83</v>
      </c>
    </row>
    <row r="1119" spans="1:8" ht="15" customHeight="1" x14ac:dyDescent="0.2">
      <c r="A1119" s="420">
        <v>46098</v>
      </c>
      <c r="B1119" t="s">
        <v>2333</v>
      </c>
      <c r="C1119" t="s">
        <v>7493</v>
      </c>
      <c r="D1119" t="s">
        <v>8145</v>
      </c>
      <c r="E1119" t="s">
        <v>8146</v>
      </c>
      <c r="G1119">
        <v>4242</v>
      </c>
      <c r="H1119">
        <v>83017.83</v>
      </c>
    </row>
    <row r="1120" spans="1:8" ht="15" customHeight="1" x14ac:dyDescent="0.2">
      <c r="A1120" s="420">
        <v>46098</v>
      </c>
      <c r="B1120" t="s">
        <v>2333</v>
      </c>
      <c r="C1120" t="s">
        <v>7493</v>
      </c>
      <c r="D1120" t="s">
        <v>8272</v>
      </c>
      <c r="E1120" t="s">
        <v>8273</v>
      </c>
      <c r="F1120">
        <v>3100</v>
      </c>
      <c r="H1120">
        <v>86117.83</v>
      </c>
    </row>
    <row r="1121" spans="1:8" ht="15" customHeight="1" x14ac:dyDescent="0.2">
      <c r="A1121" s="420">
        <v>46099</v>
      </c>
      <c r="B1121" t="s">
        <v>2333</v>
      </c>
      <c r="C1121" t="s">
        <v>7493</v>
      </c>
      <c r="D1121" t="s">
        <v>8363</v>
      </c>
      <c r="E1121" t="s">
        <v>8364</v>
      </c>
      <c r="F1121">
        <v>683.16</v>
      </c>
      <c r="H1121">
        <v>86800.99</v>
      </c>
    </row>
    <row r="1122" spans="1:8" ht="15" customHeight="1" x14ac:dyDescent="0.2">
      <c r="A1122" s="420">
        <v>46100</v>
      </c>
      <c r="B1122" t="s">
        <v>2333</v>
      </c>
      <c r="C1122" t="s">
        <v>7493</v>
      </c>
      <c r="D1122" t="s">
        <v>8365</v>
      </c>
      <c r="E1122" t="s">
        <v>8315</v>
      </c>
      <c r="G1122">
        <v>20.99</v>
      </c>
      <c r="H1122">
        <v>86780</v>
      </c>
    </row>
    <row r="1123" spans="1:8" ht="15" customHeight="1" x14ac:dyDescent="0.2">
      <c r="A1123" s="420">
        <v>46101</v>
      </c>
      <c r="B1123" t="s">
        <v>2333</v>
      </c>
      <c r="C1123" t="s">
        <v>7493</v>
      </c>
      <c r="D1123" t="s">
        <v>8274</v>
      </c>
      <c r="E1123" t="s">
        <v>8275</v>
      </c>
      <c r="G1123">
        <v>3100</v>
      </c>
      <c r="H1123">
        <v>83680</v>
      </c>
    </row>
    <row r="1124" spans="1:8" ht="15" customHeight="1" x14ac:dyDescent="0.2">
      <c r="A1124" s="420">
        <v>46104</v>
      </c>
      <c r="B1124" t="s">
        <v>2333</v>
      </c>
      <c r="C1124" t="s">
        <v>7493</v>
      </c>
      <c r="D1124" t="s">
        <v>8223</v>
      </c>
      <c r="E1124" t="s">
        <v>8224</v>
      </c>
      <c r="F1124">
        <v>28608.94</v>
      </c>
      <c r="H1124">
        <v>112288.94</v>
      </c>
    </row>
    <row r="1125" spans="1:8" ht="15" customHeight="1" x14ac:dyDescent="0.2">
      <c r="A1125" s="420">
        <v>46104</v>
      </c>
      <c r="B1125" t="s">
        <v>2333</v>
      </c>
      <c r="C1125" t="s">
        <v>7493</v>
      </c>
      <c r="D1125" t="s">
        <v>8679</v>
      </c>
      <c r="E1125" t="s">
        <v>8502</v>
      </c>
      <c r="G1125">
        <v>92</v>
      </c>
      <c r="H1125">
        <v>112196.94</v>
      </c>
    </row>
    <row r="1126" spans="1:8" ht="15" customHeight="1" x14ac:dyDescent="0.2">
      <c r="A1126" s="420">
        <v>46104</v>
      </c>
      <c r="B1126" t="s">
        <v>2333</v>
      </c>
      <c r="C1126" t="s">
        <v>7493</v>
      </c>
      <c r="D1126" t="s">
        <v>8366</v>
      </c>
      <c r="E1126" t="s">
        <v>8367</v>
      </c>
      <c r="G1126">
        <v>3600</v>
      </c>
      <c r="H1126">
        <v>108596.94</v>
      </c>
    </row>
    <row r="1127" spans="1:8" ht="15" customHeight="1" x14ac:dyDescent="0.2">
      <c r="A1127" s="420">
        <v>46105</v>
      </c>
      <c r="B1127" t="s">
        <v>2333</v>
      </c>
      <c r="C1127" t="s">
        <v>7493</v>
      </c>
      <c r="D1127" t="s">
        <v>8368</v>
      </c>
      <c r="E1127" t="s">
        <v>8305</v>
      </c>
      <c r="G1127">
        <v>34.950000000000003</v>
      </c>
      <c r="H1127">
        <v>108561.99</v>
      </c>
    </row>
    <row r="1128" spans="1:8" ht="15" customHeight="1" x14ac:dyDescent="0.2">
      <c r="A1128" s="420">
        <v>46106</v>
      </c>
      <c r="B1128" t="s">
        <v>2333</v>
      </c>
      <c r="C1128" t="s">
        <v>7493</v>
      </c>
      <c r="D1128" t="s">
        <v>8680</v>
      </c>
      <c r="E1128" t="s">
        <v>8681</v>
      </c>
      <c r="G1128">
        <v>956.01</v>
      </c>
      <c r="H1128">
        <v>107605.98</v>
      </c>
    </row>
    <row r="1129" spans="1:8" ht="15" customHeight="1" x14ac:dyDescent="0.2">
      <c r="A1129" s="420">
        <v>46106</v>
      </c>
      <c r="B1129" t="s">
        <v>2333</v>
      </c>
      <c r="C1129" t="s">
        <v>7493</v>
      </c>
      <c r="D1129" t="s">
        <v>8370</v>
      </c>
      <c r="E1129" t="s">
        <v>8371</v>
      </c>
      <c r="F1129">
        <v>2715.95</v>
      </c>
      <c r="H1129">
        <v>110321.93</v>
      </c>
    </row>
    <row r="1130" spans="1:8" ht="15" customHeight="1" x14ac:dyDescent="0.2">
      <c r="A1130" s="420">
        <v>46107</v>
      </c>
      <c r="B1130" t="s">
        <v>2333</v>
      </c>
      <c r="C1130" t="s">
        <v>7493</v>
      </c>
      <c r="D1130" t="s">
        <v>8162</v>
      </c>
      <c r="E1130" t="s">
        <v>8163</v>
      </c>
      <c r="G1130">
        <v>39680</v>
      </c>
      <c r="H1130">
        <v>70641.929999999993</v>
      </c>
    </row>
    <row r="1131" spans="1:8" ht="15" customHeight="1" x14ac:dyDescent="0.2">
      <c r="A1131" s="420">
        <v>46107</v>
      </c>
      <c r="B1131" t="s">
        <v>2333</v>
      </c>
      <c r="C1131" t="s">
        <v>7493</v>
      </c>
      <c r="D1131" t="s">
        <v>8682</v>
      </c>
      <c r="E1131" t="s">
        <v>8683</v>
      </c>
      <c r="G1131">
        <v>45.8</v>
      </c>
      <c r="H1131">
        <v>70596.13</v>
      </c>
    </row>
    <row r="1132" spans="1:8" ht="15" customHeight="1" x14ac:dyDescent="0.2">
      <c r="A1132" s="420">
        <v>46107</v>
      </c>
      <c r="B1132" t="s">
        <v>2333</v>
      </c>
      <c r="C1132" t="s">
        <v>7493</v>
      </c>
      <c r="D1132" t="s">
        <v>8372</v>
      </c>
      <c r="E1132" t="s">
        <v>8315</v>
      </c>
      <c r="G1132">
        <v>119.8</v>
      </c>
      <c r="H1132">
        <v>70476.33</v>
      </c>
    </row>
    <row r="1133" spans="1:8" ht="15" customHeight="1" x14ac:dyDescent="0.2">
      <c r="A1133" s="420">
        <v>46108</v>
      </c>
      <c r="B1133" t="s">
        <v>2333</v>
      </c>
      <c r="C1133" t="s">
        <v>7493</v>
      </c>
      <c r="D1133" t="s">
        <v>8375</v>
      </c>
      <c r="E1133" t="s">
        <v>8376</v>
      </c>
      <c r="G1133">
        <v>56.66</v>
      </c>
      <c r="H1133">
        <v>70419.67</v>
      </c>
    </row>
    <row r="1134" spans="1:8" ht="15" customHeight="1" x14ac:dyDescent="0.2">
      <c r="A1134" s="420">
        <v>46108</v>
      </c>
      <c r="B1134" t="s">
        <v>2333</v>
      </c>
      <c r="C1134" t="s">
        <v>7493</v>
      </c>
      <c r="D1134" t="s">
        <v>8684</v>
      </c>
      <c r="E1134" t="s">
        <v>8685</v>
      </c>
      <c r="G1134">
        <v>29.9</v>
      </c>
      <c r="H1134">
        <v>70389.77</v>
      </c>
    </row>
    <row r="1135" spans="1:8" ht="15" customHeight="1" x14ac:dyDescent="0.2">
      <c r="A1135" s="420">
        <v>46108</v>
      </c>
      <c r="B1135" t="s">
        <v>2333</v>
      </c>
      <c r="C1135" t="s">
        <v>7493</v>
      </c>
      <c r="D1135" t="s">
        <v>8686</v>
      </c>
      <c r="E1135" t="s">
        <v>8687</v>
      </c>
      <c r="G1135">
        <v>469.9</v>
      </c>
      <c r="H1135">
        <v>69919.87</v>
      </c>
    </row>
    <row r="1136" spans="1:8" ht="15" customHeight="1" x14ac:dyDescent="0.2">
      <c r="A1136" s="420">
        <v>46108</v>
      </c>
      <c r="B1136" t="s">
        <v>2333</v>
      </c>
      <c r="C1136" t="s">
        <v>7493</v>
      </c>
      <c r="D1136" t="s">
        <v>8377</v>
      </c>
      <c r="E1136" t="s">
        <v>8378</v>
      </c>
      <c r="F1136">
        <v>1761.2</v>
      </c>
      <c r="H1136">
        <v>71681.070000000007</v>
      </c>
    </row>
    <row r="1137" spans="1:10" ht="15" customHeight="1" x14ac:dyDescent="0.2">
      <c r="A1137" s="420">
        <v>46108</v>
      </c>
      <c r="B1137" t="s">
        <v>2333</v>
      </c>
      <c r="C1137" t="s">
        <v>7493</v>
      </c>
      <c r="D1137" t="s">
        <v>7982</v>
      </c>
      <c r="E1137" t="s">
        <v>7983</v>
      </c>
      <c r="G1137">
        <v>90.72</v>
      </c>
      <c r="H1137">
        <v>71590.350000000006</v>
      </c>
    </row>
    <row r="1138" spans="1:10" ht="15" customHeight="1" x14ac:dyDescent="0.2">
      <c r="A1138" s="420">
        <v>46109</v>
      </c>
      <c r="B1138" t="s">
        <v>2333</v>
      </c>
      <c r="C1138" t="s">
        <v>7493</v>
      </c>
      <c r="D1138" t="s">
        <v>8028</v>
      </c>
      <c r="E1138" t="s">
        <v>8029</v>
      </c>
      <c r="G1138">
        <v>1000</v>
      </c>
      <c r="H1138">
        <v>70590.350000000006</v>
      </c>
    </row>
    <row r="1139" spans="1:10" ht="15" customHeight="1" x14ac:dyDescent="0.2">
      <c r="A1139" s="420">
        <v>46111</v>
      </c>
      <c r="B1139" t="s">
        <v>2333</v>
      </c>
      <c r="C1139" t="s">
        <v>7493</v>
      </c>
      <c r="D1139" t="s">
        <v>7998</v>
      </c>
      <c r="E1139" t="s">
        <v>7999</v>
      </c>
      <c r="G1139">
        <v>4183.6000000000004</v>
      </c>
      <c r="H1139">
        <v>66406.75</v>
      </c>
    </row>
    <row r="1140" spans="1:10" ht="15" customHeight="1" x14ac:dyDescent="0.2">
      <c r="A1140" s="420">
        <v>46111</v>
      </c>
      <c r="B1140" t="s">
        <v>2333</v>
      </c>
      <c r="C1140" t="s">
        <v>7493</v>
      </c>
      <c r="D1140" t="s">
        <v>8688</v>
      </c>
      <c r="E1140" t="s">
        <v>8689</v>
      </c>
      <c r="G1140">
        <v>118</v>
      </c>
      <c r="H1140">
        <v>66288.75</v>
      </c>
    </row>
    <row r="1141" spans="1:10" ht="15" customHeight="1" x14ac:dyDescent="0.2">
      <c r="A1141" s="420">
        <v>46111</v>
      </c>
      <c r="B1141" t="s">
        <v>2333</v>
      </c>
      <c r="C1141" t="s">
        <v>7493</v>
      </c>
      <c r="D1141" t="s">
        <v>8085</v>
      </c>
      <c r="E1141" t="s">
        <v>8086</v>
      </c>
      <c r="F1141">
        <v>4784.08</v>
      </c>
      <c r="H1141">
        <v>71072.83</v>
      </c>
    </row>
    <row r="1142" spans="1:10" ht="15" customHeight="1" x14ac:dyDescent="0.2">
      <c r="A1142" s="420">
        <v>46111</v>
      </c>
      <c r="B1142" t="s">
        <v>2333</v>
      </c>
      <c r="C1142" t="s">
        <v>7493</v>
      </c>
      <c r="D1142" t="s">
        <v>8690</v>
      </c>
      <c r="E1142" t="s">
        <v>8691</v>
      </c>
      <c r="G1142">
        <v>108</v>
      </c>
      <c r="H1142">
        <v>70964.83</v>
      </c>
    </row>
    <row r="1143" spans="1:10" ht="15" customHeight="1" x14ac:dyDescent="0.2">
      <c r="A1143" s="420">
        <v>46111</v>
      </c>
      <c r="B1143" t="s">
        <v>2333</v>
      </c>
      <c r="C1143" t="s">
        <v>7493</v>
      </c>
      <c r="D1143" t="s">
        <v>8692</v>
      </c>
      <c r="E1143" t="s">
        <v>8693</v>
      </c>
      <c r="G1143">
        <v>37.9</v>
      </c>
      <c r="H1143">
        <v>70926.929999999993</v>
      </c>
    </row>
    <row r="1144" spans="1:10" ht="15" customHeight="1" x14ac:dyDescent="0.2">
      <c r="A1144" s="420">
        <v>46111</v>
      </c>
      <c r="B1144" t="s">
        <v>2333</v>
      </c>
      <c r="C1144" t="s">
        <v>7493</v>
      </c>
      <c r="D1144" t="s">
        <v>8694</v>
      </c>
      <c r="E1144" t="s">
        <v>2203</v>
      </c>
      <c r="G1144">
        <v>2.72</v>
      </c>
      <c r="H1144">
        <v>70924.210000000006</v>
      </c>
    </row>
    <row r="1145" spans="1:10" ht="15" customHeight="1" x14ac:dyDescent="0.2">
      <c r="A1145" s="420">
        <v>46112</v>
      </c>
      <c r="B1145" t="s">
        <v>2333</v>
      </c>
      <c r="C1145" t="s">
        <v>7493</v>
      </c>
      <c r="D1145" t="s">
        <v>8695</v>
      </c>
      <c r="E1145" t="s">
        <v>8696</v>
      </c>
      <c r="G1145">
        <v>60</v>
      </c>
      <c r="H1145">
        <v>70864.210000000006</v>
      </c>
    </row>
    <row r="1146" spans="1:10" ht="15" customHeight="1" x14ac:dyDescent="0.2">
      <c r="A1146" s="420">
        <v>46112</v>
      </c>
      <c r="B1146" t="s">
        <v>2333</v>
      </c>
      <c r="C1146" t="s">
        <v>7493</v>
      </c>
      <c r="D1146" t="s">
        <v>8697</v>
      </c>
      <c r="E1146" t="s">
        <v>8698</v>
      </c>
      <c r="G1146">
        <v>60</v>
      </c>
      <c r="H1146">
        <v>70804.210000000006</v>
      </c>
    </row>
    <row r="1147" spans="1:10" ht="15" customHeight="1" x14ac:dyDescent="0.2">
      <c r="A1147" s="420">
        <v>46112</v>
      </c>
      <c r="B1147" t="s">
        <v>2333</v>
      </c>
      <c r="C1147" t="s">
        <v>7493</v>
      </c>
      <c r="D1147" t="s">
        <v>8379</v>
      </c>
      <c r="E1147" t="s">
        <v>8380</v>
      </c>
      <c r="G1147">
        <v>38.99</v>
      </c>
      <c r="H1147">
        <v>70765.22</v>
      </c>
    </row>
    <row r="1148" spans="1:10" ht="15" customHeight="1" x14ac:dyDescent="0.2">
      <c r="A1148" t="s">
        <v>7493</v>
      </c>
      <c r="E1148" t="s">
        <v>349</v>
      </c>
      <c r="F1148">
        <v>424905.95</v>
      </c>
      <c r="G1148">
        <v>354140.73</v>
      </c>
      <c r="H1148">
        <v>70765.22</v>
      </c>
    </row>
    <row r="1150" spans="1:10" ht="15" customHeight="1" x14ac:dyDescent="0.2">
      <c r="A1150" t="s">
        <v>7788</v>
      </c>
      <c r="B1150" t="s">
        <v>7789</v>
      </c>
      <c r="F1150" t="s">
        <v>2430</v>
      </c>
      <c r="G1150" t="s">
        <v>2431</v>
      </c>
      <c r="H1150" t="s">
        <v>2432</v>
      </c>
      <c r="I1150" t="s">
        <v>2433</v>
      </c>
      <c r="J1150" t="s">
        <v>2434</v>
      </c>
    </row>
    <row r="1151" spans="1:10" ht="15" customHeight="1" x14ac:dyDescent="0.2">
      <c r="A1151" s="420">
        <v>46023</v>
      </c>
      <c r="B1151" t="s">
        <v>2435</v>
      </c>
      <c r="C1151" t="s">
        <v>7788</v>
      </c>
      <c r="D1151" t="s">
        <v>7957</v>
      </c>
      <c r="E1151" t="s">
        <v>7958</v>
      </c>
      <c r="F1151">
        <v>18077.240000000002</v>
      </c>
      <c r="H1151">
        <v>18077.240000000002</v>
      </c>
    </row>
    <row r="1152" spans="1:10" ht="15" customHeight="1" x14ac:dyDescent="0.2">
      <c r="A1152" s="420">
        <v>46028</v>
      </c>
      <c r="B1152" t="s">
        <v>3866</v>
      </c>
      <c r="C1152" t="s">
        <v>7788</v>
      </c>
      <c r="D1152" t="s">
        <v>8699</v>
      </c>
      <c r="E1152" t="s">
        <v>7800</v>
      </c>
      <c r="G1152">
        <v>452.11</v>
      </c>
      <c r="H1152">
        <v>17625.13</v>
      </c>
    </row>
    <row r="1153" spans="1:8" ht="15" customHeight="1" x14ac:dyDescent="0.2">
      <c r="A1153" s="420">
        <v>46028</v>
      </c>
      <c r="B1153" t="s">
        <v>3866</v>
      </c>
      <c r="C1153" t="s">
        <v>7788</v>
      </c>
      <c r="D1153" t="s">
        <v>8700</v>
      </c>
      <c r="E1153" t="s">
        <v>1695</v>
      </c>
      <c r="F1153">
        <v>41.33</v>
      </c>
      <c r="H1153">
        <v>17666.46</v>
      </c>
    </row>
    <row r="1154" spans="1:8" ht="15" customHeight="1" x14ac:dyDescent="0.2">
      <c r="A1154" s="420">
        <v>46030</v>
      </c>
      <c r="B1154" t="s">
        <v>3866</v>
      </c>
      <c r="C1154" t="s">
        <v>7788</v>
      </c>
      <c r="D1154" t="s">
        <v>8701</v>
      </c>
      <c r="E1154" t="s">
        <v>8702</v>
      </c>
      <c r="G1154">
        <v>1348.85</v>
      </c>
      <c r="H1154">
        <v>16317.61</v>
      </c>
    </row>
    <row r="1155" spans="1:8" ht="15" customHeight="1" x14ac:dyDescent="0.2">
      <c r="A1155" s="420">
        <v>46034</v>
      </c>
      <c r="B1155" t="s">
        <v>3866</v>
      </c>
      <c r="C1155" t="s">
        <v>7788</v>
      </c>
      <c r="D1155" t="s">
        <v>8703</v>
      </c>
      <c r="E1155" t="s">
        <v>1695</v>
      </c>
      <c r="G1155">
        <v>41.54</v>
      </c>
      <c r="H1155">
        <v>16276.07</v>
      </c>
    </row>
    <row r="1156" spans="1:8" ht="15" customHeight="1" x14ac:dyDescent="0.2">
      <c r="A1156" s="420">
        <v>46035</v>
      </c>
      <c r="B1156" t="s">
        <v>3866</v>
      </c>
      <c r="C1156" t="s">
        <v>7788</v>
      </c>
      <c r="D1156" t="s">
        <v>8704</v>
      </c>
      <c r="E1156" t="s">
        <v>5373</v>
      </c>
      <c r="G1156">
        <v>30</v>
      </c>
      <c r="H1156">
        <v>16246.07</v>
      </c>
    </row>
    <row r="1157" spans="1:8" ht="15" customHeight="1" x14ac:dyDescent="0.2">
      <c r="A1157" s="420">
        <v>46054</v>
      </c>
      <c r="B1157" t="s">
        <v>3866</v>
      </c>
      <c r="C1157" t="s">
        <v>7788</v>
      </c>
      <c r="D1157" t="s">
        <v>8705</v>
      </c>
      <c r="E1157" t="s">
        <v>3878</v>
      </c>
      <c r="G1157">
        <v>1348.85</v>
      </c>
      <c r="H1157">
        <v>14897.22</v>
      </c>
    </row>
    <row r="1158" spans="1:8" ht="15" customHeight="1" x14ac:dyDescent="0.2">
      <c r="A1158" s="420">
        <v>46073</v>
      </c>
      <c r="B1158" t="s">
        <v>3866</v>
      </c>
      <c r="C1158" t="s">
        <v>7788</v>
      </c>
      <c r="D1158" t="s">
        <v>8706</v>
      </c>
      <c r="E1158" t="s">
        <v>8707</v>
      </c>
      <c r="G1158">
        <v>4.99</v>
      </c>
      <c r="H1158">
        <v>14892.23</v>
      </c>
    </row>
    <row r="1159" spans="1:8" ht="15" customHeight="1" x14ac:dyDescent="0.2">
      <c r="A1159" s="420">
        <v>46079</v>
      </c>
      <c r="B1159" t="s">
        <v>3866</v>
      </c>
      <c r="C1159" t="s">
        <v>7788</v>
      </c>
      <c r="D1159" t="s">
        <v>8335</v>
      </c>
      <c r="E1159" t="s">
        <v>8336</v>
      </c>
      <c r="G1159">
        <v>98.76</v>
      </c>
      <c r="H1159">
        <v>14793.47</v>
      </c>
    </row>
    <row r="1160" spans="1:8" ht="15" customHeight="1" x14ac:dyDescent="0.2">
      <c r="A1160" s="420">
        <v>46080</v>
      </c>
      <c r="B1160" t="s">
        <v>3866</v>
      </c>
      <c r="C1160" t="s">
        <v>7788</v>
      </c>
      <c r="D1160" t="s">
        <v>8708</v>
      </c>
      <c r="E1160" t="s">
        <v>8374</v>
      </c>
      <c r="G1160">
        <v>418.8</v>
      </c>
      <c r="H1160">
        <v>14374.67</v>
      </c>
    </row>
    <row r="1161" spans="1:8" ht="15" customHeight="1" x14ac:dyDescent="0.2">
      <c r="A1161" s="420">
        <v>46082</v>
      </c>
      <c r="B1161" t="s">
        <v>3866</v>
      </c>
      <c r="C1161" t="s">
        <v>7788</v>
      </c>
      <c r="D1161" t="s">
        <v>8343</v>
      </c>
      <c r="E1161" t="s">
        <v>8344</v>
      </c>
      <c r="G1161">
        <v>1348.85</v>
      </c>
      <c r="H1161">
        <v>13025.82</v>
      </c>
    </row>
    <row r="1162" spans="1:8" ht="15" customHeight="1" x14ac:dyDescent="0.2">
      <c r="A1162" s="420">
        <v>46083</v>
      </c>
      <c r="B1162" t="s">
        <v>3866</v>
      </c>
      <c r="C1162" t="s">
        <v>7788</v>
      </c>
      <c r="D1162" t="s">
        <v>8709</v>
      </c>
      <c r="E1162" t="s">
        <v>8710</v>
      </c>
      <c r="G1162">
        <v>217.34</v>
      </c>
      <c r="H1162">
        <v>12808.48</v>
      </c>
    </row>
    <row r="1163" spans="1:8" ht="15" customHeight="1" x14ac:dyDescent="0.2">
      <c r="A1163" s="420">
        <v>46083</v>
      </c>
      <c r="B1163" t="s">
        <v>3866</v>
      </c>
      <c r="C1163" t="s">
        <v>7788</v>
      </c>
      <c r="D1163" t="s">
        <v>8711</v>
      </c>
      <c r="E1163" t="s">
        <v>8712</v>
      </c>
      <c r="G1163">
        <v>710.4</v>
      </c>
      <c r="H1163">
        <v>12098.08</v>
      </c>
    </row>
    <row r="1164" spans="1:8" ht="15" customHeight="1" x14ac:dyDescent="0.2">
      <c r="A1164" s="420">
        <v>46083</v>
      </c>
      <c r="B1164" t="s">
        <v>3866</v>
      </c>
      <c r="C1164" t="s">
        <v>7788</v>
      </c>
      <c r="D1164" t="s">
        <v>8345</v>
      </c>
      <c r="E1164" t="s">
        <v>8346</v>
      </c>
      <c r="G1164">
        <v>462.38</v>
      </c>
      <c r="H1164">
        <v>11635.7</v>
      </c>
    </row>
    <row r="1165" spans="1:8" ht="15" customHeight="1" x14ac:dyDescent="0.2">
      <c r="A1165" s="420">
        <v>46083</v>
      </c>
      <c r="B1165" t="s">
        <v>3866</v>
      </c>
      <c r="C1165" t="s">
        <v>7788</v>
      </c>
      <c r="D1165" t="s">
        <v>8713</v>
      </c>
      <c r="E1165" t="s">
        <v>8714</v>
      </c>
      <c r="G1165">
        <v>288</v>
      </c>
      <c r="H1165">
        <v>11347.7</v>
      </c>
    </row>
    <row r="1166" spans="1:8" ht="15" customHeight="1" x14ac:dyDescent="0.2">
      <c r="A1166" s="420">
        <v>46084</v>
      </c>
      <c r="B1166" t="s">
        <v>3866</v>
      </c>
      <c r="C1166" t="s">
        <v>7788</v>
      </c>
      <c r="D1166" t="s">
        <v>8715</v>
      </c>
      <c r="E1166" t="s">
        <v>8716</v>
      </c>
      <c r="G1166">
        <v>2490</v>
      </c>
      <c r="H1166">
        <v>8857.7000000000007</v>
      </c>
    </row>
    <row r="1167" spans="1:8" ht="15" customHeight="1" x14ac:dyDescent="0.2">
      <c r="A1167" s="420">
        <v>46085</v>
      </c>
      <c r="B1167" t="s">
        <v>3866</v>
      </c>
      <c r="C1167" t="s">
        <v>7788</v>
      </c>
      <c r="D1167" t="s">
        <v>8717</v>
      </c>
      <c r="E1167" t="s">
        <v>2202</v>
      </c>
      <c r="F1167">
        <v>41.33</v>
      </c>
      <c r="H1167">
        <v>8899.0300000000007</v>
      </c>
    </row>
    <row r="1168" spans="1:8" ht="15" customHeight="1" x14ac:dyDescent="0.2">
      <c r="A1168" s="420">
        <v>46086</v>
      </c>
      <c r="B1168" t="s">
        <v>3866</v>
      </c>
      <c r="C1168" t="s">
        <v>7788</v>
      </c>
      <c r="D1168" t="s">
        <v>8353</v>
      </c>
      <c r="E1168" t="s">
        <v>8354</v>
      </c>
      <c r="G1168">
        <v>1328.25</v>
      </c>
      <c r="H1168">
        <v>7570.78</v>
      </c>
    </row>
    <row r="1169" spans="1:8" ht="15" customHeight="1" x14ac:dyDescent="0.2">
      <c r="A1169" s="420">
        <v>46087</v>
      </c>
      <c r="B1169" t="s">
        <v>3866</v>
      </c>
      <c r="C1169" t="s">
        <v>7788</v>
      </c>
      <c r="D1169" t="s">
        <v>8718</v>
      </c>
      <c r="E1169" t="s">
        <v>8719</v>
      </c>
      <c r="G1169">
        <v>452.11</v>
      </c>
      <c r="H1169">
        <v>7118.67</v>
      </c>
    </row>
    <row r="1170" spans="1:8" ht="15" customHeight="1" x14ac:dyDescent="0.2">
      <c r="A1170" s="420">
        <v>46090</v>
      </c>
      <c r="B1170" t="s">
        <v>3866</v>
      </c>
      <c r="C1170" t="s">
        <v>7788</v>
      </c>
      <c r="D1170" t="s">
        <v>8720</v>
      </c>
      <c r="E1170" t="s">
        <v>8721</v>
      </c>
      <c r="G1170">
        <v>393.82</v>
      </c>
      <c r="H1170">
        <v>6724.85</v>
      </c>
    </row>
    <row r="1171" spans="1:8" ht="15" customHeight="1" x14ac:dyDescent="0.2">
      <c r="A1171" s="420">
        <v>46091</v>
      </c>
      <c r="B1171" t="s">
        <v>3866</v>
      </c>
      <c r="C1171" t="s">
        <v>7788</v>
      </c>
      <c r="D1171" t="s">
        <v>8722</v>
      </c>
      <c r="E1171" t="s">
        <v>8723</v>
      </c>
      <c r="G1171">
        <v>162.86000000000001</v>
      </c>
      <c r="H1171">
        <v>6561.99</v>
      </c>
    </row>
    <row r="1172" spans="1:8" ht="15" customHeight="1" x14ac:dyDescent="0.2">
      <c r="A1172" s="420">
        <v>46091</v>
      </c>
      <c r="B1172" t="s">
        <v>3866</v>
      </c>
      <c r="C1172" t="s">
        <v>7788</v>
      </c>
      <c r="D1172" t="s">
        <v>8724</v>
      </c>
      <c r="E1172" t="s">
        <v>8374</v>
      </c>
      <c r="G1172">
        <v>3191.71</v>
      </c>
      <c r="H1172">
        <v>3370.28</v>
      </c>
    </row>
    <row r="1173" spans="1:8" ht="15" customHeight="1" x14ac:dyDescent="0.2">
      <c r="A1173" s="420">
        <v>46091</v>
      </c>
      <c r="B1173" t="s">
        <v>3866</v>
      </c>
      <c r="C1173" t="s">
        <v>7788</v>
      </c>
      <c r="D1173" t="s">
        <v>8183</v>
      </c>
      <c r="E1173" t="s">
        <v>2205</v>
      </c>
      <c r="G1173">
        <v>41.54</v>
      </c>
      <c r="H1173">
        <v>3328.74</v>
      </c>
    </row>
    <row r="1174" spans="1:8" ht="15" customHeight="1" x14ac:dyDescent="0.2">
      <c r="A1174" s="420">
        <v>46092</v>
      </c>
      <c r="B1174" t="s">
        <v>3866</v>
      </c>
      <c r="C1174" t="s">
        <v>7788</v>
      </c>
      <c r="D1174" t="s">
        <v>8359</v>
      </c>
      <c r="E1174" t="s">
        <v>8360</v>
      </c>
      <c r="G1174">
        <v>30</v>
      </c>
      <c r="H1174">
        <v>3298.74</v>
      </c>
    </row>
    <row r="1175" spans="1:8" ht="15" customHeight="1" x14ac:dyDescent="0.2">
      <c r="A1175" s="420">
        <v>46093</v>
      </c>
      <c r="B1175" t="s">
        <v>3866</v>
      </c>
      <c r="C1175" t="s">
        <v>7788</v>
      </c>
      <c r="D1175" t="s">
        <v>8725</v>
      </c>
      <c r="E1175" t="s">
        <v>2062</v>
      </c>
      <c r="G1175">
        <v>100.82</v>
      </c>
      <c r="H1175">
        <v>3197.92</v>
      </c>
    </row>
    <row r="1176" spans="1:8" ht="15" customHeight="1" x14ac:dyDescent="0.2">
      <c r="A1176" s="420">
        <v>46093</v>
      </c>
      <c r="B1176" t="s">
        <v>3866</v>
      </c>
      <c r="C1176" t="s">
        <v>7788</v>
      </c>
      <c r="D1176" t="s">
        <v>8726</v>
      </c>
      <c r="E1176" t="s">
        <v>2063</v>
      </c>
      <c r="G1176">
        <v>116.38</v>
      </c>
      <c r="H1176">
        <v>3081.54</v>
      </c>
    </row>
    <row r="1177" spans="1:8" ht="15" customHeight="1" x14ac:dyDescent="0.2">
      <c r="A1177" s="420">
        <v>46093</v>
      </c>
      <c r="B1177" t="s">
        <v>3866</v>
      </c>
      <c r="C1177" t="s">
        <v>7788</v>
      </c>
      <c r="D1177" t="s">
        <v>8727</v>
      </c>
      <c r="E1177" t="s">
        <v>2061</v>
      </c>
      <c r="G1177">
        <v>90.34</v>
      </c>
      <c r="H1177">
        <v>2991.2</v>
      </c>
    </row>
    <row r="1178" spans="1:8" ht="15" customHeight="1" x14ac:dyDescent="0.2">
      <c r="A1178" s="420">
        <v>46101</v>
      </c>
      <c r="B1178" t="s">
        <v>3866</v>
      </c>
      <c r="C1178" t="s">
        <v>7788</v>
      </c>
      <c r="D1178" t="s">
        <v>8728</v>
      </c>
      <c r="E1178" t="s">
        <v>8707</v>
      </c>
      <c r="G1178">
        <v>4.99</v>
      </c>
      <c r="H1178">
        <v>2986.21</v>
      </c>
    </row>
    <row r="1179" spans="1:8" ht="15" customHeight="1" x14ac:dyDescent="0.2">
      <c r="A1179" s="420">
        <v>46101</v>
      </c>
      <c r="B1179" t="s">
        <v>3866</v>
      </c>
      <c r="C1179" t="s">
        <v>7788</v>
      </c>
      <c r="D1179" t="s">
        <v>8729</v>
      </c>
      <c r="E1179" t="s">
        <v>8730</v>
      </c>
      <c r="G1179">
        <v>171.74</v>
      </c>
      <c r="H1179">
        <v>2814.47</v>
      </c>
    </row>
    <row r="1180" spans="1:8" ht="15" customHeight="1" x14ac:dyDescent="0.2">
      <c r="A1180" s="420">
        <v>46106</v>
      </c>
      <c r="B1180" t="s">
        <v>3866</v>
      </c>
      <c r="C1180" t="s">
        <v>7788</v>
      </c>
      <c r="D1180" t="s">
        <v>8731</v>
      </c>
      <c r="E1180" t="s">
        <v>8732</v>
      </c>
      <c r="G1180">
        <v>263.81</v>
      </c>
      <c r="H1180">
        <v>2550.66</v>
      </c>
    </row>
    <row r="1181" spans="1:8" ht="15" customHeight="1" x14ac:dyDescent="0.2">
      <c r="A1181" s="420">
        <v>46106</v>
      </c>
      <c r="B1181" t="s">
        <v>3866</v>
      </c>
      <c r="C1181" t="s">
        <v>7788</v>
      </c>
      <c r="D1181" t="s">
        <v>8369</v>
      </c>
      <c r="E1181" t="s">
        <v>8336</v>
      </c>
      <c r="G1181">
        <v>94.8</v>
      </c>
      <c r="H1181">
        <v>2455.86</v>
      </c>
    </row>
    <row r="1182" spans="1:8" ht="15" customHeight="1" x14ac:dyDescent="0.2">
      <c r="A1182" s="420">
        <v>46108</v>
      </c>
      <c r="B1182" t="s">
        <v>3866</v>
      </c>
      <c r="C1182" t="s">
        <v>7788</v>
      </c>
      <c r="D1182" t="s">
        <v>8373</v>
      </c>
      <c r="E1182" t="s">
        <v>8374</v>
      </c>
      <c r="G1182">
        <v>418.8</v>
      </c>
      <c r="H1182">
        <v>2037.06</v>
      </c>
    </row>
    <row r="1183" spans="1:8" ht="15" customHeight="1" x14ac:dyDescent="0.2">
      <c r="A1183" s="420">
        <v>46111</v>
      </c>
      <c r="B1183" t="s">
        <v>3866</v>
      </c>
      <c r="C1183" t="s">
        <v>7788</v>
      </c>
      <c r="D1183" t="s">
        <v>8733</v>
      </c>
      <c r="E1183" t="s">
        <v>8714</v>
      </c>
      <c r="G1183">
        <v>288</v>
      </c>
      <c r="H1183">
        <v>1749.06</v>
      </c>
    </row>
    <row r="1184" spans="1:8" ht="15" customHeight="1" x14ac:dyDescent="0.2">
      <c r="A1184" s="420">
        <v>46112</v>
      </c>
      <c r="B1184" t="s">
        <v>3866</v>
      </c>
      <c r="C1184" t="s">
        <v>7788</v>
      </c>
      <c r="D1184" t="s">
        <v>8734</v>
      </c>
      <c r="E1184" t="s">
        <v>8735</v>
      </c>
      <c r="G1184">
        <v>710.4</v>
      </c>
      <c r="H1184">
        <v>1038.6600000000001</v>
      </c>
    </row>
    <row r="1185" spans="1:10" ht="15" customHeight="1" x14ac:dyDescent="0.2">
      <c r="A1185" s="420">
        <v>46112</v>
      </c>
      <c r="B1185" t="s">
        <v>3866</v>
      </c>
      <c r="C1185" t="s">
        <v>7788</v>
      </c>
      <c r="D1185" t="s">
        <v>8736</v>
      </c>
      <c r="E1185" t="s">
        <v>8737</v>
      </c>
      <c r="G1185">
        <v>967.2</v>
      </c>
      <c r="H1185">
        <v>71.459999999999994</v>
      </c>
    </row>
    <row r="1186" spans="1:10" ht="15" customHeight="1" x14ac:dyDescent="0.2">
      <c r="A1186" t="s">
        <v>7788</v>
      </c>
      <c r="E1186" t="s">
        <v>349</v>
      </c>
      <c r="F1186">
        <v>18159.900000000001</v>
      </c>
      <c r="G1186">
        <v>18088.439999999999</v>
      </c>
      <c r="H1186">
        <v>71.459999999999994</v>
      </c>
    </row>
    <row r="1188" spans="1:10" ht="15" customHeight="1" x14ac:dyDescent="0.2">
      <c r="A1188" t="s">
        <v>7803</v>
      </c>
      <c r="B1188" t="s">
        <v>7804</v>
      </c>
      <c r="F1188" t="s">
        <v>2430</v>
      </c>
      <c r="G1188" t="s">
        <v>2431</v>
      </c>
      <c r="H1188" t="s">
        <v>2432</v>
      </c>
      <c r="I1188" t="s">
        <v>2433</v>
      </c>
      <c r="J1188" t="s">
        <v>2434</v>
      </c>
    </row>
    <row r="1189" spans="1:10" ht="15" customHeight="1" x14ac:dyDescent="0.2">
      <c r="A1189" s="420">
        <v>46023</v>
      </c>
      <c r="B1189" t="s">
        <v>2435</v>
      </c>
      <c r="C1189" t="s">
        <v>7803</v>
      </c>
      <c r="D1189" t="s">
        <v>7957</v>
      </c>
      <c r="E1189" t="s">
        <v>7958</v>
      </c>
      <c r="F1189">
        <v>19077.34</v>
      </c>
      <c r="H1189">
        <v>19077.34</v>
      </c>
    </row>
    <row r="1190" spans="1:10" ht="15" customHeight="1" x14ac:dyDescent="0.2">
      <c r="A1190" s="420">
        <v>46029</v>
      </c>
      <c r="B1190" t="s">
        <v>2555</v>
      </c>
      <c r="C1190" t="s">
        <v>7803</v>
      </c>
      <c r="D1190" t="s">
        <v>8738</v>
      </c>
      <c r="E1190" t="s">
        <v>2077</v>
      </c>
      <c r="F1190">
        <v>7.0000000000000007E-2</v>
      </c>
      <c r="H1190">
        <v>19077.41</v>
      </c>
    </row>
    <row r="1191" spans="1:10" ht="15" customHeight="1" x14ac:dyDescent="0.2">
      <c r="A1191" s="420">
        <v>46038</v>
      </c>
      <c r="B1191" t="s">
        <v>2555</v>
      </c>
      <c r="C1191" t="s">
        <v>7803</v>
      </c>
      <c r="D1191" t="s">
        <v>8739</v>
      </c>
      <c r="E1191" t="s">
        <v>1703</v>
      </c>
      <c r="G1191">
        <v>40.659999999999997</v>
      </c>
      <c r="H1191">
        <v>19036.75</v>
      </c>
    </row>
    <row r="1192" spans="1:10" ht="15" customHeight="1" x14ac:dyDescent="0.2">
      <c r="A1192" s="420">
        <v>46042</v>
      </c>
      <c r="B1192" t="s">
        <v>2555</v>
      </c>
      <c r="C1192" t="s">
        <v>7803</v>
      </c>
      <c r="D1192" t="s">
        <v>8740</v>
      </c>
      <c r="E1192" t="s">
        <v>7823</v>
      </c>
      <c r="G1192">
        <v>240.75</v>
      </c>
      <c r="H1192">
        <v>18796</v>
      </c>
    </row>
    <row r="1193" spans="1:10" ht="15" customHeight="1" x14ac:dyDescent="0.2">
      <c r="A1193" s="420">
        <v>46042</v>
      </c>
      <c r="B1193" t="s">
        <v>2555</v>
      </c>
      <c r="C1193" t="s">
        <v>7803</v>
      </c>
      <c r="D1193" t="s">
        <v>8741</v>
      </c>
      <c r="E1193" t="s">
        <v>7823</v>
      </c>
      <c r="G1193">
        <v>233.01</v>
      </c>
      <c r="H1193">
        <v>18562.990000000002</v>
      </c>
    </row>
    <row r="1194" spans="1:10" ht="15" customHeight="1" x14ac:dyDescent="0.2">
      <c r="A1194" t="s">
        <v>7803</v>
      </c>
      <c r="E1194" t="s">
        <v>349</v>
      </c>
      <c r="F1194">
        <v>19077.41</v>
      </c>
      <c r="G1194">
        <v>514.41999999999996</v>
      </c>
      <c r="H1194">
        <v>18562.990000000002</v>
      </c>
    </row>
    <row r="1196" spans="1:10" ht="15" customHeight="1" x14ac:dyDescent="0.2">
      <c r="A1196" t="s">
        <v>7830</v>
      </c>
      <c r="B1196" t="s">
        <v>7831</v>
      </c>
      <c r="F1196" t="s">
        <v>2430</v>
      </c>
      <c r="G1196" t="s">
        <v>2431</v>
      </c>
      <c r="H1196" t="s">
        <v>2432</v>
      </c>
      <c r="I1196" t="s">
        <v>2433</v>
      </c>
      <c r="J1196" t="s">
        <v>2434</v>
      </c>
    </row>
    <row r="1197" spans="1:10" ht="15" customHeight="1" x14ac:dyDescent="0.2">
      <c r="A1197" s="420">
        <v>46038</v>
      </c>
      <c r="B1197" t="s">
        <v>2457</v>
      </c>
      <c r="C1197" t="s">
        <v>7830</v>
      </c>
      <c r="D1197" t="s">
        <v>2489</v>
      </c>
      <c r="E1197" t="s">
        <v>8742</v>
      </c>
      <c r="G1197">
        <v>232.99</v>
      </c>
      <c r="I1197">
        <v>232.99</v>
      </c>
    </row>
    <row r="1198" spans="1:10" ht="15" customHeight="1" x14ac:dyDescent="0.2">
      <c r="A1198" s="420">
        <v>46058</v>
      </c>
      <c r="B1198" t="s">
        <v>2457</v>
      </c>
      <c r="C1198" t="s">
        <v>7830</v>
      </c>
      <c r="D1198" t="s">
        <v>2501</v>
      </c>
      <c r="E1198" t="s">
        <v>8743</v>
      </c>
      <c r="G1198">
        <v>452.09</v>
      </c>
      <c r="I1198">
        <v>685.08</v>
      </c>
    </row>
    <row r="1199" spans="1:10" ht="15" customHeight="1" x14ac:dyDescent="0.2">
      <c r="A1199" s="420">
        <v>46069</v>
      </c>
      <c r="B1199" t="s">
        <v>2457</v>
      </c>
      <c r="C1199" t="s">
        <v>7830</v>
      </c>
      <c r="D1199" t="s">
        <v>2495</v>
      </c>
      <c r="E1199" t="s">
        <v>8744</v>
      </c>
      <c r="G1199">
        <v>240.73</v>
      </c>
      <c r="I1199">
        <v>925.81</v>
      </c>
    </row>
    <row r="1200" spans="1:10" ht="15" customHeight="1" x14ac:dyDescent="0.2">
      <c r="A1200" s="420">
        <v>46086</v>
      </c>
      <c r="B1200" t="s">
        <v>2333</v>
      </c>
      <c r="C1200" t="s">
        <v>7830</v>
      </c>
      <c r="D1200" t="s">
        <v>8639</v>
      </c>
      <c r="E1200" t="s">
        <v>8640</v>
      </c>
      <c r="F1200">
        <v>13.13</v>
      </c>
      <c r="I1200">
        <v>912.68</v>
      </c>
    </row>
    <row r="1201" spans="1:10" ht="15" customHeight="1" x14ac:dyDescent="0.2">
      <c r="A1201" s="420">
        <v>46086</v>
      </c>
      <c r="B1201" t="s">
        <v>2333</v>
      </c>
      <c r="C1201" t="s">
        <v>7830</v>
      </c>
      <c r="D1201" t="s">
        <v>8641</v>
      </c>
      <c r="E1201" t="s">
        <v>8642</v>
      </c>
      <c r="F1201">
        <v>237.83</v>
      </c>
      <c r="I1201">
        <v>674.85</v>
      </c>
    </row>
    <row r="1202" spans="1:10" ht="15" customHeight="1" x14ac:dyDescent="0.2">
      <c r="A1202" s="420">
        <v>46086</v>
      </c>
      <c r="B1202" t="s">
        <v>2333</v>
      </c>
      <c r="C1202" t="s">
        <v>7830</v>
      </c>
      <c r="D1202" t="s">
        <v>8643</v>
      </c>
      <c r="E1202" t="s">
        <v>8644</v>
      </c>
      <c r="F1202">
        <v>35.86</v>
      </c>
      <c r="I1202">
        <v>638.99</v>
      </c>
    </row>
    <row r="1203" spans="1:10" ht="15" customHeight="1" x14ac:dyDescent="0.2">
      <c r="A1203" s="420">
        <v>46086</v>
      </c>
      <c r="B1203" t="s">
        <v>2333</v>
      </c>
      <c r="C1203" t="s">
        <v>7830</v>
      </c>
      <c r="D1203" t="s">
        <v>8645</v>
      </c>
      <c r="E1203" t="s">
        <v>8646</v>
      </c>
      <c r="F1203">
        <v>608.20000000000005</v>
      </c>
      <c r="I1203">
        <v>30.79</v>
      </c>
    </row>
    <row r="1204" spans="1:10" ht="15" customHeight="1" x14ac:dyDescent="0.2">
      <c r="A1204" s="420">
        <v>46097</v>
      </c>
      <c r="B1204" t="s">
        <v>2457</v>
      </c>
      <c r="C1204" t="s">
        <v>7830</v>
      </c>
      <c r="D1204" t="s">
        <v>2495</v>
      </c>
      <c r="E1204" t="s">
        <v>8745</v>
      </c>
      <c r="G1204">
        <v>240.74</v>
      </c>
      <c r="I1204">
        <v>271.52999999999997</v>
      </c>
    </row>
    <row r="1205" spans="1:10" ht="15" customHeight="1" x14ac:dyDescent="0.2">
      <c r="A1205" s="420">
        <v>46097</v>
      </c>
      <c r="B1205" t="s">
        <v>2457</v>
      </c>
      <c r="C1205" t="s">
        <v>7830</v>
      </c>
      <c r="D1205" t="s">
        <v>2489</v>
      </c>
      <c r="E1205" t="s">
        <v>8746</v>
      </c>
      <c r="G1205">
        <v>233</v>
      </c>
      <c r="I1205">
        <v>504.53</v>
      </c>
    </row>
    <row r="1206" spans="1:10" ht="15" customHeight="1" x14ac:dyDescent="0.2">
      <c r="A1206" t="s">
        <v>7830</v>
      </c>
      <c r="E1206" t="s">
        <v>349</v>
      </c>
      <c r="F1206">
        <v>895.02</v>
      </c>
      <c r="G1206">
        <v>1399.55</v>
      </c>
      <c r="I1206">
        <v>504.53</v>
      </c>
    </row>
    <row r="1208" spans="1:10" ht="15" customHeight="1" x14ac:dyDescent="0.2">
      <c r="A1208" t="s">
        <v>8747</v>
      </c>
      <c r="B1208" t="s">
        <v>8748</v>
      </c>
      <c r="F1208" t="s">
        <v>2430</v>
      </c>
      <c r="G1208" t="s">
        <v>2431</v>
      </c>
      <c r="H1208" t="s">
        <v>2432</v>
      </c>
      <c r="I1208" t="s">
        <v>2433</v>
      </c>
      <c r="J1208" t="s">
        <v>2434</v>
      </c>
    </row>
    <row r="1209" spans="1:10" ht="15" customHeight="1" x14ac:dyDescent="0.2">
      <c r="A1209" s="420">
        <v>46086</v>
      </c>
      <c r="B1209" t="s">
        <v>2457</v>
      </c>
      <c r="C1209" t="s">
        <v>8747</v>
      </c>
      <c r="D1209" t="s">
        <v>2458</v>
      </c>
      <c r="E1209" t="s">
        <v>8749</v>
      </c>
      <c r="G1209">
        <v>250.96</v>
      </c>
      <c r="I1209">
        <v>250.96</v>
      </c>
    </row>
    <row r="1210" spans="1:10" ht="15" customHeight="1" x14ac:dyDescent="0.2">
      <c r="A1210" s="420">
        <v>46086</v>
      </c>
      <c r="B1210" t="s">
        <v>2457</v>
      </c>
      <c r="C1210" t="s">
        <v>8747</v>
      </c>
      <c r="D1210" t="s">
        <v>2474</v>
      </c>
      <c r="E1210" t="s">
        <v>8750</v>
      </c>
      <c r="G1210">
        <v>644.05999999999995</v>
      </c>
      <c r="I1210">
        <v>895.02</v>
      </c>
    </row>
    <row r="1211" spans="1:10" ht="15" customHeight="1" x14ac:dyDescent="0.2">
      <c r="A1211" t="s">
        <v>8747</v>
      </c>
      <c r="E1211" t="s">
        <v>349</v>
      </c>
      <c r="G1211">
        <v>895.02</v>
      </c>
      <c r="I1211">
        <v>895.02</v>
      </c>
    </row>
    <row r="1213" spans="1:10" ht="15" customHeight="1" x14ac:dyDescent="0.2">
      <c r="A1213" t="s">
        <v>7868</v>
      </c>
      <c r="B1213" t="s">
        <v>7869</v>
      </c>
      <c r="F1213" t="s">
        <v>2430</v>
      </c>
      <c r="G1213" t="s">
        <v>2431</v>
      </c>
      <c r="H1213" t="s">
        <v>2432</v>
      </c>
      <c r="I1213" t="s">
        <v>2433</v>
      </c>
      <c r="J1213" t="s">
        <v>2434</v>
      </c>
    </row>
    <row r="1214" spans="1:10" ht="15" customHeight="1" x14ac:dyDescent="0.2">
      <c r="A1214" s="420">
        <v>46042</v>
      </c>
      <c r="B1214" t="s">
        <v>2532</v>
      </c>
      <c r="C1214" t="s">
        <v>7868</v>
      </c>
      <c r="D1214" t="s">
        <v>8006</v>
      </c>
      <c r="E1214" t="s">
        <v>8007</v>
      </c>
      <c r="F1214">
        <v>71597.62</v>
      </c>
      <c r="H1214">
        <v>71597.62</v>
      </c>
    </row>
    <row r="1215" spans="1:10" ht="15" customHeight="1" x14ac:dyDescent="0.2">
      <c r="A1215" t="s">
        <v>7868</v>
      </c>
      <c r="E1215" t="s">
        <v>349</v>
      </c>
      <c r="F1215">
        <v>71597.62</v>
      </c>
      <c r="H1215">
        <v>71597.62</v>
      </c>
    </row>
    <row r="1217" spans="1:10" ht="15" customHeight="1" x14ac:dyDescent="0.2">
      <c r="A1217" t="s">
        <v>453</v>
      </c>
      <c r="B1217" t="s">
        <v>454</v>
      </c>
      <c r="F1217" t="s">
        <v>2430</v>
      </c>
      <c r="G1217" t="s">
        <v>2431</v>
      </c>
      <c r="H1217" t="s">
        <v>2432</v>
      </c>
      <c r="I1217" t="s">
        <v>2433</v>
      </c>
      <c r="J1217" t="s">
        <v>2434</v>
      </c>
    </row>
    <row r="1218" spans="1:10" ht="15" customHeight="1" x14ac:dyDescent="0.2">
      <c r="A1218" s="420">
        <v>46042</v>
      </c>
      <c r="B1218" t="s">
        <v>2532</v>
      </c>
      <c r="C1218" t="s">
        <v>453</v>
      </c>
      <c r="D1218" t="s">
        <v>8751</v>
      </c>
      <c r="E1218" t="s">
        <v>2014</v>
      </c>
      <c r="F1218">
        <v>49.19</v>
      </c>
      <c r="H1218">
        <v>49.19</v>
      </c>
    </row>
    <row r="1219" spans="1:10" ht="15" customHeight="1" x14ac:dyDescent="0.2">
      <c r="A1219" s="420">
        <v>46073</v>
      </c>
      <c r="B1219" t="s">
        <v>2532</v>
      </c>
      <c r="C1219" t="s">
        <v>453</v>
      </c>
      <c r="D1219" t="s">
        <v>8037</v>
      </c>
      <c r="E1219" t="s">
        <v>2024</v>
      </c>
      <c r="F1219">
        <v>58.89</v>
      </c>
      <c r="H1219">
        <v>108.08</v>
      </c>
    </row>
    <row r="1220" spans="1:10" ht="15" customHeight="1" x14ac:dyDescent="0.2">
      <c r="A1220" s="420">
        <v>46101</v>
      </c>
      <c r="B1220" t="s">
        <v>2532</v>
      </c>
      <c r="C1220" t="s">
        <v>453</v>
      </c>
      <c r="D1220" t="s">
        <v>8187</v>
      </c>
      <c r="E1220" t="s">
        <v>2028</v>
      </c>
      <c r="F1220">
        <v>52.13</v>
      </c>
      <c r="H1220">
        <v>160.21</v>
      </c>
    </row>
    <row r="1221" spans="1:10" ht="15" customHeight="1" x14ac:dyDescent="0.2">
      <c r="A1221" t="s">
        <v>453</v>
      </c>
      <c r="E1221" t="s">
        <v>349</v>
      </c>
      <c r="F1221">
        <v>160.21</v>
      </c>
      <c r="H1221">
        <v>160.21</v>
      </c>
    </row>
    <row r="1223" spans="1:10" ht="15" customHeight="1" x14ac:dyDescent="0.2">
      <c r="A1223" t="s">
        <v>430</v>
      </c>
      <c r="B1223" t="s">
        <v>431</v>
      </c>
      <c r="F1223" t="s">
        <v>2430</v>
      </c>
      <c r="G1223" t="s">
        <v>2431</v>
      </c>
      <c r="H1223" t="s">
        <v>2432</v>
      </c>
      <c r="I1223" t="s">
        <v>2433</v>
      </c>
      <c r="J1223" t="s">
        <v>2434</v>
      </c>
    </row>
    <row r="1224" spans="1:10" ht="15" customHeight="1" x14ac:dyDescent="0.2">
      <c r="A1224" s="420">
        <v>46053</v>
      </c>
      <c r="B1224" t="s">
        <v>2532</v>
      </c>
      <c r="C1224" t="s">
        <v>430</v>
      </c>
      <c r="D1224" t="s">
        <v>8752</v>
      </c>
      <c r="E1224" t="s">
        <v>2020</v>
      </c>
      <c r="F1224">
        <v>32.590000000000003</v>
      </c>
      <c r="H1224">
        <v>32.590000000000003</v>
      </c>
    </row>
    <row r="1225" spans="1:10" ht="15" customHeight="1" x14ac:dyDescent="0.2">
      <c r="A1225" s="420">
        <v>46055</v>
      </c>
      <c r="B1225" t="s">
        <v>2532</v>
      </c>
      <c r="C1225" t="s">
        <v>430</v>
      </c>
      <c r="D1225" t="s">
        <v>8753</v>
      </c>
      <c r="E1225" t="s">
        <v>2022</v>
      </c>
      <c r="F1225">
        <v>3.3</v>
      </c>
      <c r="H1225">
        <v>35.89</v>
      </c>
    </row>
    <row r="1226" spans="1:10" ht="15" customHeight="1" x14ac:dyDescent="0.2">
      <c r="A1226" t="s">
        <v>430</v>
      </c>
      <c r="E1226" t="s">
        <v>349</v>
      </c>
      <c r="F1226">
        <v>35.89</v>
      </c>
      <c r="H1226">
        <v>35.89</v>
      </c>
    </row>
    <row r="1228" spans="1:10" ht="15" customHeight="1" x14ac:dyDescent="0.2">
      <c r="A1228" t="s">
        <v>1741</v>
      </c>
      <c r="B1228" t="s">
        <v>1742</v>
      </c>
      <c r="F1228" t="s">
        <v>2430</v>
      </c>
      <c r="G1228" t="s">
        <v>2431</v>
      </c>
      <c r="H1228" t="s">
        <v>2432</v>
      </c>
      <c r="I1228" t="s">
        <v>2433</v>
      </c>
      <c r="J1228" t="s">
        <v>2434</v>
      </c>
    </row>
    <row r="1229" spans="1:10" ht="15" customHeight="1" x14ac:dyDescent="0.2">
      <c r="A1229" s="420">
        <v>46053</v>
      </c>
      <c r="B1229" t="s">
        <v>2532</v>
      </c>
      <c r="C1229" t="s">
        <v>1741</v>
      </c>
      <c r="D1229" t="s">
        <v>8754</v>
      </c>
      <c r="E1229" t="s">
        <v>2218</v>
      </c>
      <c r="F1229">
        <v>89.87</v>
      </c>
      <c r="H1229">
        <v>89.87</v>
      </c>
    </row>
    <row r="1230" spans="1:10" ht="15" customHeight="1" x14ac:dyDescent="0.2">
      <c r="A1230" t="s">
        <v>1741</v>
      </c>
      <c r="E1230" t="s">
        <v>349</v>
      </c>
      <c r="F1230">
        <v>89.87</v>
      </c>
      <c r="H1230">
        <v>89.87</v>
      </c>
    </row>
    <row r="1232" spans="1:10" ht="15" customHeight="1" x14ac:dyDescent="0.2">
      <c r="A1232" t="s">
        <v>1745</v>
      </c>
      <c r="B1232" t="s">
        <v>1746</v>
      </c>
      <c r="F1232" t="s">
        <v>2430</v>
      </c>
      <c r="G1232" t="s">
        <v>2431</v>
      </c>
      <c r="H1232" t="s">
        <v>2432</v>
      </c>
      <c r="I1232" t="s">
        <v>2433</v>
      </c>
      <c r="J1232" t="s">
        <v>2434</v>
      </c>
    </row>
    <row r="1233" spans="1:10" ht="15" customHeight="1" x14ac:dyDescent="0.2">
      <c r="A1233" s="420">
        <v>46037</v>
      </c>
      <c r="B1233" t="s">
        <v>2532</v>
      </c>
      <c r="C1233" t="s">
        <v>1745</v>
      </c>
      <c r="D1233" t="s">
        <v>8755</v>
      </c>
      <c r="E1233" t="s">
        <v>2212</v>
      </c>
      <c r="F1233">
        <v>91.61</v>
      </c>
      <c r="H1233">
        <v>91.61</v>
      </c>
    </row>
    <row r="1234" spans="1:10" ht="15" customHeight="1" x14ac:dyDescent="0.2">
      <c r="A1234" s="420">
        <v>46053</v>
      </c>
      <c r="B1234" t="s">
        <v>2532</v>
      </c>
      <c r="C1234" t="s">
        <v>1745</v>
      </c>
      <c r="D1234" t="s">
        <v>8754</v>
      </c>
      <c r="E1234" t="s">
        <v>2218</v>
      </c>
      <c r="F1234">
        <v>84.52</v>
      </c>
      <c r="H1234">
        <v>176.13</v>
      </c>
    </row>
    <row r="1235" spans="1:10" ht="15" customHeight="1" x14ac:dyDescent="0.2">
      <c r="A1235" s="420">
        <v>46068</v>
      </c>
      <c r="B1235" t="s">
        <v>2532</v>
      </c>
      <c r="C1235" t="s">
        <v>1745</v>
      </c>
      <c r="D1235" t="s">
        <v>8756</v>
      </c>
      <c r="E1235" t="s">
        <v>2225</v>
      </c>
      <c r="F1235">
        <v>84</v>
      </c>
      <c r="H1235">
        <v>260.13</v>
      </c>
    </row>
    <row r="1236" spans="1:10" ht="15" customHeight="1" x14ac:dyDescent="0.2">
      <c r="A1236" s="420">
        <v>46081</v>
      </c>
      <c r="B1236" t="s">
        <v>2532</v>
      </c>
      <c r="C1236" t="s">
        <v>1745</v>
      </c>
      <c r="D1236" t="s">
        <v>8757</v>
      </c>
      <c r="E1236" t="s">
        <v>2236</v>
      </c>
      <c r="F1236">
        <v>95.51</v>
      </c>
      <c r="H1236">
        <v>355.64</v>
      </c>
    </row>
    <row r="1237" spans="1:10" ht="15" customHeight="1" x14ac:dyDescent="0.2">
      <c r="A1237" s="420">
        <v>46096</v>
      </c>
      <c r="B1237" t="s">
        <v>2532</v>
      </c>
      <c r="C1237" t="s">
        <v>1745</v>
      </c>
      <c r="D1237" t="s">
        <v>8156</v>
      </c>
      <c r="E1237" t="s">
        <v>2243</v>
      </c>
      <c r="F1237">
        <v>125.54</v>
      </c>
      <c r="H1237">
        <v>481.18</v>
      </c>
    </row>
    <row r="1238" spans="1:10" ht="15" customHeight="1" x14ac:dyDescent="0.2">
      <c r="A1238" t="s">
        <v>1745</v>
      </c>
      <c r="E1238" t="s">
        <v>349</v>
      </c>
      <c r="F1238">
        <v>481.18</v>
      </c>
      <c r="H1238">
        <v>481.18</v>
      </c>
    </row>
    <row r="1240" spans="1:10" ht="15" customHeight="1" x14ac:dyDescent="0.2">
      <c r="A1240" t="s">
        <v>1847</v>
      </c>
      <c r="B1240" t="s">
        <v>1848</v>
      </c>
      <c r="F1240" t="s">
        <v>2430</v>
      </c>
      <c r="G1240" t="s">
        <v>2431</v>
      </c>
      <c r="H1240" t="s">
        <v>2432</v>
      </c>
      <c r="I1240" t="s">
        <v>2433</v>
      </c>
      <c r="J1240" t="s">
        <v>2434</v>
      </c>
    </row>
    <row r="1241" spans="1:10" ht="15" customHeight="1" x14ac:dyDescent="0.2">
      <c r="A1241" s="420">
        <v>46037</v>
      </c>
      <c r="B1241" t="s">
        <v>2532</v>
      </c>
      <c r="C1241" t="s">
        <v>1847</v>
      </c>
      <c r="D1241" t="s">
        <v>8755</v>
      </c>
      <c r="E1241" t="s">
        <v>2212</v>
      </c>
      <c r="F1241">
        <v>123.45</v>
      </c>
      <c r="H1241">
        <v>123.45</v>
      </c>
    </row>
    <row r="1242" spans="1:10" ht="15" customHeight="1" x14ac:dyDescent="0.2">
      <c r="A1242" s="420">
        <v>46068</v>
      </c>
      <c r="B1242" t="s">
        <v>2532</v>
      </c>
      <c r="C1242" t="s">
        <v>1847</v>
      </c>
      <c r="D1242" t="s">
        <v>8756</v>
      </c>
      <c r="E1242" t="s">
        <v>2225</v>
      </c>
      <c r="F1242">
        <v>131.34</v>
      </c>
      <c r="H1242">
        <v>254.79</v>
      </c>
    </row>
    <row r="1243" spans="1:10" ht="15" customHeight="1" x14ac:dyDescent="0.2">
      <c r="A1243" s="420">
        <v>46081</v>
      </c>
      <c r="B1243" t="s">
        <v>2532</v>
      </c>
      <c r="C1243" t="s">
        <v>1847</v>
      </c>
      <c r="D1243" t="s">
        <v>8757</v>
      </c>
      <c r="E1243" t="s">
        <v>2236</v>
      </c>
      <c r="F1243">
        <v>67.349999999999994</v>
      </c>
      <c r="H1243">
        <v>322.14</v>
      </c>
    </row>
    <row r="1244" spans="1:10" ht="15" customHeight="1" x14ac:dyDescent="0.2">
      <c r="A1244" s="420">
        <v>46096</v>
      </c>
      <c r="B1244" t="s">
        <v>2532</v>
      </c>
      <c r="C1244" t="s">
        <v>1847</v>
      </c>
      <c r="D1244" t="s">
        <v>8156</v>
      </c>
      <c r="E1244" t="s">
        <v>2243</v>
      </c>
      <c r="F1244">
        <v>136.27000000000001</v>
      </c>
      <c r="H1244">
        <v>458.41</v>
      </c>
    </row>
    <row r="1245" spans="1:10" ht="15" customHeight="1" x14ac:dyDescent="0.2">
      <c r="A1245" t="s">
        <v>1847</v>
      </c>
      <c r="E1245" t="s">
        <v>349</v>
      </c>
      <c r="F1245">
        <v>458.41</v>
      </c>
      <c r="H1245">
        <v>458.41</v>
      </c>
    </row>
    <row r="1247" spans="1:10" ht="15" customHeight="1" x14ac:dyDescent="0.2">
      <c r="A1247" t="s">
        <v>435</v>
      </c>
      <c r="B1247" t="s">
        <v>436</v>
      </c>
      <c r="F1247" t="s">
        <v>2430</v>
      </c>
      <c r="G1247" t="s">
        <v>2431</v>
      </c>
      <c r="H1247" t="s">
        <v>2432</v>
      </c>
      <c r="I1247" t="s">
        <v>2433</v>
      </c>
      <c r="J1247" t="s">
        <v>2434</v>
      </c>
    </row>
    <row r="1248" spans="1:10" ht="15" customHeight="1" x14ac:dyDescent="0.2">
      <c r="A1248" s="420">
        <v>46028</v>
      </c>
      <c r="B1248" t="s">
        <v>2532</v>
      </c>
      <c r="C1248" t="s">
        <v>435</v>
      </c>
      <c r="D1248" t="s">
        <v>8758</v>
      </c>
      <c r="E1248" t="s">
        <v>2010</v>
      </c>
      <c r="F1248">
        <v>447.12</v>
      </c>
      <c r="H1248">
        <v>447.12</v>
      </c>
    </row>
    <row r="1249" spans="1:10" ht="15" customHeight="1" x14ac:dyDescent="0.2">
      <c r="A1249" s="420">
        <v>46097</v>
      </c>
      <c r="B1249" t="s">
        <v>2532</v>
      </c>
      <c r="C1249" t="s">
        <v>435</v>
      </c>
      <c r="D1249" t="s">
        <v>8186</v>
      </c>
      <c r="E1249" t="s">
        <v>2026</v>
      </c>
      <c r="F1249">
        <v>285</v>
      </c>
      <c r="H1249">
        <v>732.12</v>
      </c>
    </row>
    <row r="1250" spans="1:10" ht="15" customHeight="1" x14ac:dyDescent="0.2">
      <c r="A1250" s="420">
        <v>46106</v>
      </c>
      <c r="B1250" t="s">
        <v>2532</v>
      </c>
      <c r="C1250" t="s">
        <v>435</v>
      </c>
      <c r="D1250" t="s">
        <v>8189</v>
      </c>
      <c r="E1250" t="s">
        <v>2030</v>
      </c>
      <c r="F1250">
        <v>391.58</v>
      </c>
      <c r="H1250">
        <v>1123.7</v>
      </c>
    </row>
    <row r="1251" spans="1:10" ht="15" customHeight="1" x14ac:dyDescent="0.2">
      <c r="A1251" t="s">
        <v>435</v>
      </c>
      <c r="E1251" t="s">
        <v>349</v>
      </c>
      <c r="F1251">
        <v>1123.7</v>
      </c>
      <c r="H1251">
        <v>1123.7</v>
      </c>
    </row>
    <row r="1253" spans="1:10" ht="15" customHeight="1" x14ac:dyDescent="0.2">
      <c r="A1253" t="s">
        <v>438</v>
      </c>
      <c r="B1253" t="s">
        <v>439</v>
      </c>
      <c r="F1253" t="s">
        <v>2430</v>
      </c>
      <c r="G1253" t="s">
        <v>2431</v>
      </c>
      <c r="H1253" t="s">
        <v>2432</v>
      </c>
      <c r="I1253" t="s">
        <v>2433</v>
      </c>
      <c r="J1253" t="s">
        <v>2434</v>
      </c>
    </row>
    <row r="1254" spans="1:10" ht="15" customHeight="1" x14ac:dyDescent="0.2">
      <c r="A1254" s="420">
        <v>46034</v>
      </c>
      <c r="B1254" t="s">
        <v>2532</v>
      </c>
      <c r="C1254" t="s">
        <v>438</v>
      </c>
      <c r="D1254" t="s">
        <v>8759</v>
      </c>
      <c r="E1254" t="s">
        <v>2012</v>
      </c>
      <c r="F1254">
        <v>103.95</v>
      </c>
      <c r="H1254">
        <v>103.95</v>
      </c>
    </row>
    <row r="1255" spans="1:10" ht="15" customHeight="1" x14ac:dyDescent="0.2">
      <c r="A1255" t="s">
        <v>438</v>
      </c>
      <c r="E1255" t="s">
        <v>349</v>
      </c>
      <c r="F1255">
        <v>103.95</v>
      </c>
      <c r="H1255">
        <v>103.95</v>
      </c>
    </row>
    <row r="1257" spans="1:10" ht="15" customHeight="1" x14ac:dyDescent="0.2">
      <c r="A1257" t="s">
        <v>2016</v>
      </c>
      <c r="B1257" t="s">
        <v>2017</v>
      </c>
      <c r="F1257" t="s">
        <v>2430</v>
      </c>
      <c r="G1257" t="s">
        <v>2431</v>
      </c>
      <c r="H1257" t="s">
        <v>2432</v>
      </c>
      <c r="I1257" t="s">
        <v>2433</v>
      </c>
      <c r="J1257" t="s">
        <v>2434</v>
      </c>
    </row>
    <row r="1258" spans="1:10" ht="15" customHeight="1" x14ac:dyDescent="0.2">
      <c r="A1258" s="420">
        <v>46043</v>
      </c>
      <c r="B1258" t="s">
        <v>2532</v>
      </c>
      <c r="C1258" t="s">
        <v>2016</v>
      </c>
      <c r="D1258" t="s">
        <v>8760</v>
      </c>
      <c r="E1258" t="s">
        <v>2018</v>
      </c>
      <c r="G1258">
        <v>2.4</v>
      </c>
      <c r="I1258">
        <v>2.4</v>
      </c>
    </row>
    <row r="1259" spans="1:10" ht="15" customHeight="1" x14ac:dyDescent="0.2">
      <c r="A1259" t="s">
        <v>2016</v>
      </c>
      <c r="E1259" t="s">
        <v>349</v>
      </c>
      <c r="G1259">
        <v>2.4</v>
      </c>
      <c r="I1259">
        <v>2.4</v>
      </c>
    </row>
    <row r="1261" spans="1:10" ht="15" customHeight="1" x14ac:dyDescent="0.2">
      <c r="A1261" t="s">
        <v>2112</v>
      </c>
      <c r="B1261" t="s">
        <v>2113</v>
      </c>
      <c r="F1261" t="s">
        <v>2430</v>
      </c>
      <c r="G1261" t="s">
        <v>2431</v>
      </c>
      <c r="H1261" t="s">
        <v>2432</v>
      </c>
      <c r="I1261" t="s">
        <v>2433</v>
      </c>
      <c r="J1261" t="s">
        <v>2434</v>
      </c>
    </row>
    <row r="1262" spans="1:10" ht="15" customHeight="1" x14ac:dyDescent="0.2">
      <c r="A1262" s="420">
        <v>46028</v>
      </c>
      <c r="B1262" t="s">
        <v>3987</v>
      </c>
      <c r="C1262" t="s">
        <v>2112</v>
      </c>
      <c r="D1262" t="s">
        <v>3988</v>
      </c>
      <c r="E1262" t="s">
        <v>2114</v>
      </c>
      <c r="F1262">
        <v>393.82</v>
      </c>
      <c r="H1262">
        <v>393.82</v>
      </c>
    </row>
    <row r="1263" spans="1:10" ht="15" customHeight="1" x14ac:dyDescent="0.2">
      <c r="A1263" s="420">
        <v>46059</v>
      </c>
      <c r="B1263" t="s">
        <v>3987</v>
      </c>
      <c r="C1263" t="s">
        <v>2112</v>
      </c>
      <c r="D1263" t="s">
        <v>3988</v>
      </c>
      <c r="E1263" t="s">
        <v>2117</v>
      </c>
      <c r="F1263">
        <v>393.82</v>
      </c>
      <c r="H1263">
        <v>787.64</v>
      </c>
    </row>
    <row r="1264" spans="1:10" ht="15" customHeight="1" x14ac:dyDescent="0.2">
      <c r="A1264" s="420">
        <v>46087</v>
      </c>
      <c r="B1264" t="s">
        <v>3987</v>
      </c>
      <c r="C1264" t="s">
        <v>2112</v>
      </c>
      <c r="D1264" t="s">
        <v>3988</v>
      </c>
      <c r="E1264" t="s">
        <v>2119</v>
      </c>
      <c r="F1264">
        <v>393.82</v>
      </c>
      <c r="H1264">
        <v>1181.46</v>
      </c>
    </row>
    <row r="1265" spans="1:10" ht="15" customHeight="1" x14ac:dyDescent="0.2">
      <c r="A1265" t="s">
        <v>2112</v>
      </c>
      <c r="E1265" t="s">
        <v>349</v>
      </c>
      <c r="F1265">
        <v>1181.46</v>
      </c>
      <c r="H1265">
        <v>1181.46</v>
      </c>
    </row>
    <row r="1267" spans="1:10" ht="15" customHeight="1" x14ac:dyDescent="0.2">
      <c r="A1267" t="s">
        <v>1255</v>
      </c>
      <c r="B1267" t="s">
        <v>1256</v>
      </c>
      <c r="F1267" t="s">
        <v>2430</v>
      </c>
      <c r="G1267" t="s">
        <v>2431</v>
      </c>
      <c r="H1267" t="s">
        <v>2432</v>
      </c>
      <c r="I1267" t="s">
        <v>2433</v>
      </c>
      <c r="J1267" t="s">
        <v>2434</v>
      </c>
    </row>
    <row r="1268" spans="1:10" ht="15" customHeight="1" x14ac:dyDescent="0.2">
      <c r="A1268" s="420">
        <v>46023</v>
      </c>
      <c r="B1268" t="s">
        <v>2547</v>
      </c>
      <c r="C1268" t="s">
        <v>1255</v>
      </c>
      <c r="D1268" t="s">
        <v>8761</v>
      </c>
      <c r="E1268" t="s">
        <v>2032</v>
      </c>
      <c r="F1268">
        <v>356.86</v>
      </c>
      <c r="H1268">
        <v>356.86</v>
      </c>
    </row>
    <row r="1269" spans="1:10" ht="15" customHeight="1" x14ac:dyDescent="0.2">
      <c r="A1269" s="420">
        <v>46082</v>
      </c>
      <c r="B1269" t="s">
        <v>2532</v>
      </c>
      <c r="C1269" t="s">
        <v>1255</v>
      </c>
      <c r="D1269" t="s">
        <v>8178</v>
      </c>
      <c r="E1269" t="s">
        <v>2056</v>
      </c>
      <c r="F1269">
        <v>356.86</v>
      </c>
      <c r="H1269">
        <v>713.72</v>
      </c>
    </row>
    <row r="1270" spans="1:10" ht="15" customHeight="1" x14ac:dyDescent="0.2">
      <c r="A1270" t="s">
        <v>1255</v>
      </c>
      <c r="E1270" t="s">
        <v>349</v>
      </c>
      <c r="F1270">
        <v>713.72</v>
      </c>
      <c r="H1270">
        <v>713.72</v>
      </c>
    </row>
    <row r="1272" spans="1:10" ht="15" customHeight="1" x14ac:dyDescent="0.2">
      <c r="A1272" t="s">
        <v>1249</v>
      </c>
      <c r="B1272" t="s">
        <v>1250</v>
      </c>
      <c r="F1272" t="s">
        <v>2430</v>
      </c>
      <c r="G1272" t="s">
        <v>2431</v>
      </c>
      <c r="H1272" t="s">
        <v>2432</v>
      </c>
      <c r="I1272" t="s">
        <v>2433</v>
      </c>
      <c r="J1272" t="s">
        <v>2434</v>
      </c>
    </row>
    <row r="1273" spans="1:10" ht="15" customHeight="1" x14ac:dyDescent="0.2">
      <c r="A1273" s="420">
        <v>46023</v>
      </c>
      <c r="B1273" t="s">
        <v>2439</v>
      </c>
      <c r="C1273" t="s">
        <v>1249</v>
      </c>
      <c r="D1273" t="s">
        <v>8762</v>
      </c>
      <c r="E1273" t="s">
        <v>719</v>
      </c>
      <c r="F1273">
        <v>1029.1400000000001</v>
      </c>
      <c r="H1273">
        <v>1029.1400000000001</v>
      </c>
    </row>
    <row r="1274" spans="1:10" ht="15" customHeight="1" x14ac:dyDescent="0.2">
      <c r="A1274" s="420">
        <v>46054</v>
      </c>
      <c r="B1274" t="s">
        <v>2439</v>
      </c>
      <c r="C1274" t="s">
        <v>1249</v>
      </c>
      <c r="D1274" t="s">
        <v>8763</v>
      </c>
      <c r="E1274" t="s">
        <v>719</v>
      </c>
      <c r="F1274">
        <v>1029.1400000000001</v>
      </c>
      <c r="H1274">
        <v>2058.2800000000002</v>
      </c>
    </row>
    <row r="1275" spans="1:10" ht="15" customHeight="1" x14ac:dyDescent="0.2">
      <c r="A1275" t="s">
        <v>1249</v>
      </c>
      <c r="E1275" t="s">
        <v>349</v>
      </c>
      <c r="F1275">
        <v>2058.2800000000002</v>
      </c>
      <c r="H1275">
        <v>2058.2800000000002</v>
      </c>
    </row>
    <row r="1277" spans="1:10" ht="15" customHeight="1" x14ac:dyDescent="0.2">
      <c r="A1277" t="s">
        <v>2107</v>
      </c>
      <c r="B1277" t="s">
        <v>34</v>
      </c>
      <c r="F1277" t="s">
        <v>2430</v>
      </c>
      <c r="G1277" t="s">
        <v>2431</v>
      </c>
      <c r="H1277" t="s">
        <v>2432</v>
      </c>
      <c r="I1277" t="s">
        <v>2433</v>
      </c>
      <c r="J1277" t="s">
        <v>2434</v>
      </c>
    </row>
    <row r="1278" spans="1:10" ht="15" customHeight="1" x14ac:dyDescent="0.2">
      <c r="A1278" s="420">
        <v>46025</v>
      </c>
      <c r="B1278" t="s">
        <v>2532</v>
      </c>
      <c r="C1278" t="s">
        <v>2107</v>
      </c>
      <c r="D1278" t="s">
        <v>8764</v>
      </c>
      <c r="E1278" t="s">
        <v>2108</v>
      </c>
      <c r="F1278">
        <v>1080</v>
      </c>
      <c r="H1278">
        <v>1080</v>
      </c>
    </row>
    <row r="1279" spans="1:10" ht="15" customHeight="1" x14ac:dyDescent="0.2">
      <c r="A1279" s="420">
        <v>46054</v>
      </c>
      <c r="B1279" t="s">
        <v>2532</v>
      </c>
      <c r="C1279" t="s">
        <v>2107</v>
      </c>
      <c r="D1279" t="s">
        <v>8765</v>
      </c>
      <c r="E1279" t="s">
        <v>2109</v>
      </c>
      <c r="F1279">
        <v>1080</v>
      </c>
      <c r="H1279">
        <v>2160</v>
      </c>
    </row>
    <row r="1280" spans="1:10" ht="15" customHeight="1" x14ac:dyDescent="0.2">
      <c r="A1280" s="420">
        <v>46082</v>
      </c>
      <c r="B1280" t="s">
        <v>2532</v>
      </c>
      <c r="C1280" t="s">
        <v>2107</v>
      </c>
      <c r="D1280" t="s">
        <v>8177</v>
      </c>
      <c r="E1280" t="s">
        <v>2110</v>
      </c>
      <c r="F1280">
        <v>1080</v>
      </c>
      <c r="H1280">
        <v>3240</v>
      </c>
    </row>
    <row r="1281" spans="1:10" ht="15" customHeight="1" x14ac:dyDescent="0.2">
      <c r="A1281" t="s">
        <v>2107</v>
      </c>
      <c r="E1281" t="s">
        <v>349</v>
      </c>
      <c r="F1281">
        <v>3240</v>
      </c>
      <c r="H1281">
        <v>3240</v>
      </c>
    </row>
    <row r="1283" spans="1:10" ht="15" customHeight="1" x14ac:dyDescent="0.2">
      <c r="A1283" t="s">
        <v>1197</v>
      </c>
      <c r="B1283" t="s">
        <v>1198</v>
      </c>
      <c r="F1283" t="s">
        <v>2430</v>
      </c>
      <c r="G1283" t="s">
        <v>2431</v>
      </c>
      <c r="H1283" t="s">
        <v>2432</v>
      </c>
      <c r="I1283" t="s">
        <v>2433</v>
      </c>
      <c r="J1283" t="s">
        <v>2434</v>
      </c>
    </row>
    <row r="1284" spans="1:10" ht="15" customHeight="1" x14ac:dyDescent="0.2">
      <c r="A1284" s="420">
        <v>46023</v>
      </c>
      <c r="B1284" t="s">
        <v>2547</v>
      </c>
      <c r="C1284" t="s">
        <v>1197</v>
      </c>
      <c r="D1284" t="s">
        <v>8766</v>
      </c>
      <c r="E1284" t="s">
        <v>1199</v>
      </c>
      <c r="F1284">
        <v>192</v>
      </c>
      <c r="H1284">
        <v>192</v>
      </c>
    </row>
    <row r="1285" spans="1:10" ht="15" customHeight="1" x14ac:dyDescent="0.2">
      <c r="A1285" s="420">
        <v>46054</v>
      </c>
      <c r="B1285" t="s">
        <v>2547</v>
      </c>
      <c r="C1285" t="s">
        <v>1197</v>
      </c>
      <c r="D1285" t="s">
        <v>8767</v>
      </c>
      <c r="E1285" t="s">
        <v>1199</v>
      </c>
      <c r="F1285">
        <v>192</v>
      </c>
      <c r="H1285">
        <v>384</v>
      </c>
    </row>
    <row r="1286" spans="1:10" ht="15" customHeight="1" x14ac:dyDescent="0.2">
      <c r="A1286" s="420">
        <v>46082</v>
      </c>
      <c r="B1286" t="s">
        <v>2547</v>
      </c>
      <c r="C1286" t="s">
        <v>1197</v>
      </c>
      <c r="D1286" t="s">
        <v>8768</v>
      </c>
      <c r="E1286" t="s">
        <v>1199</v>
      </c>
      <c r="F1286">
        <v>192</v>
      </c>
      <c r="H1286">
        <v>576</v>
      </c>
    </row>
    <row r="1287" spans="1:10" ht="15" customHeight="1" x14ac:dyDescent="0.2">
      <c r="A1287" t="s">
        <v>1197</v>
      </c>
      <c r="E1287" t="s">
        <v>349</v>
      </c>
      <c r="F1287">
        <v>576</v>
      </c>
      <c r="H1287">
        <v>576</v>
      </c>
    </row>
    <row r="1289" spans="1:10" ht="15" customHeight="1" x14ac:dyDescent="0.2">
      <c r="A1289" t="s">
        <v>1200</v>
      </c>
      <c r="B1289" t="s">
        <v>1201</v>
      </c>
      <c r="F1289" t="s">
        <v>2430</v>
      </c>
      <c r="G1289" t="s">
        <v>2431</v>
      </c>
      <c r="H1289" t="s">
        <v>2432</v>
      </c>
      <c r="I1289" t="s">
        <v>2433</v>
      </c>
      <c r="J1289" t="s">
        <v>2434</v>
      </c>
    </row>
    <row r="1290" spans="1:10" ht="15" customHeight="1" x14ac:dyDescent="0.2">
      <c r="A1290" s="420">
        <v>46023</v>
      </c>
      <c r="B1290" t="s">
        <v>2547</v>
      </c>
      <c r="C1290" t="s">
        <v>1200</v>
      </c>
      <c r="D1290" t="s">
        <v>8766</v>
      </c>
      <c r="E1290" t="s">
        <v>1202</v>
      </c>
      <c r="F1290">
        <v>130</v>
      </c>
      <c r="H1290">
        <v>130</v>
      </c>
    </row>
    <row r="1291" spans="1:10" ht="15" customHeight="1" x14ac:dyDescent="0.2">
      <c r="A1291" s="420">
        <v>46054</v>
      </c>
      <c r="B1291" t="s">
        <v>2547</v>
      </c>
      <c r="C1291" t="s">
        <v>1200</v>
      </c>
      <c r="D1291" t="s">
        <v>8767</v>
      </c>
      <c r="E1291" t="s">
        <v>1202</v>
      </c>
      <c r="F1291">
        <v>130</v>
      </c>
      <c r="H1291">
        <v>260</v>
      </c>
    </row>
    <row r="1292" spans="1:10" ht="15" customHeight="1" x14ac:dyDescent="0.2">
      <c r="A1292" s="420">
        <v>46082</v>
      </c>
      <c r="B1292" t="s">
        <v>2547</v>
      </c>
      <c r="C1292" t="s">
        <v>1200</v>
      </c>
      <c r="D1292" t="s">
        <v>8768</v>
      </c>
      <c r="E1292" t="s">
        <v>1202</v>
      </c>
      <c r="F1292">
        <v>130</v>
      </c>
      <c r="H1292">
        <v>390</v>
      </c>
    </row>
    <row r="1293" spans="1:10" ht="15" customHeight="1" x14ac:dyDescent="0.2">
      <c r="A1293" t="s">
        <v>1200</v>
      </c>
      <c r="E1293" t="s">
        <v>349</v>
      </c>
      <c r="F1293">
        <v>390</v>
      </c>
      <c r="H1293">
        <v>390</v>
      </c>
    </row>
    <row r="1295" spans="1:10" ht="15" customHeight="1" x14ac:dyDescent="0.2">
      <c r="A1295" t="s">
        <v>2121</v>
      </c>
      <c r="B1295" t="s">
        <v>2122</v>
      </c>
      <c r="F1295" t="s">
        <v>2430</v>
      </c>
      <c r="G1295" t="s">
        <v>2431</v>
      </c>
      <c r="H1295" t="s">
        <v>2432</v>
      </c>
      <c r="I1295" t="s">
        <v>2433</v>
      </c>
      <c r="J1295" t="s">
        <v>2434</v>
      </c>
    </row>
    <row r="1296" spans="1:10" ht="15" customHeight="1" x14ac:dyDescent="0.2">
      <c r="A1296" s="420">
        <v>46108</v>
      </c>
      <c r="B1296" t="s">
        <v>2532</v>
      </c>
      <c r="C1296" t="s">
        <v>2121</v>
      </c>
      <c r="D1296" t="s">
        <v>8769</v>
      </c>
      <c r="E1296" t="s">
        <v>2123</v>
      </c>
      <c r="F1296">
        <v>108</v>
      </c>
      <c r="H1296">
        <v>108</v>
      </c>
    </row>
    <row r="1297" spans="1:10" ht="15" customHeight="1" x14ac:dyDescent="0.2">
      <c r="A1297" t="s">
        <v>2121</v>
      </c>
      <c r="E1297" t="s">
        <v>349</v>
      </c>
      <c r="F1297">
        <v>108</v>
      </c>
      <c r="H1297">
        <v>108</v>
      </c>
    </row>
    <row r="1299" spans="1:10" ht="15" customHeight="1" x14ac:dyDescent="0.2">
      <c r="A1299" t="s">
        <v>1232</v>
      </c>
      <c r="B1299" t="s">
        <v>1233</v>
      </c>
      <c r="F1299" t="s">
        <v>2430</v>
      </c>
      <c r="G1299" t="s">
        <v>2431</v>
      </c>
      <c r="H1299" t="s">
        <v>2432</v>
      </c>
      <c r="I1299" t="s">
        <v>2433</v>
      </c>
      <c r="J1299" t="s">
        <v>2434</v>
      </c>
    </row>
    <row r="1300" spans="1:10" ht="15" customHeight="1" x14ac:dyDescent="0.2">
      <c r="A1300" s="420">
        <v>46023</v>
      </c>
      <c r="B1300" t="s">
        <v>2532</v>
      </c>
      <c r="C1300" t="s">
        <v>1232</v>
      </c>
      <c r="D1300" t="s">
        <v>8770</v>
      </c>
      <c r="E1300" t="s">
        <v>2111</v>
      </c>
      <c r="F1300">
        <v>58.81</v>
      </c>
      <c r="H1300">
        <v>58.81</v>
      </c>
    </row>
    <row r="1301" spans="1:10" ht="15" customHeight="1" x14ac:dyDescent="0.2">
      <c r="A1301" s="420">
        <v>46054</v>
      </c>
      <c r="B1301" t="s">
        <v>2532</v>
      </c>
      <c r="C1301" t="s">
        <v>1232</v>
      </c>
      <c r="D1301" t="s">
        <v>8771</v>
      </c>
      <c r="E1301" t="s">
        <v>2115</v>
      </c>
      <c r="F1301">
        <v>58.81</v>
      </c>
      <c r="H1301">
        <v>117.62</v>
      </c>
    </row>
    <row r="1302" spans="1:10" ht="15" customHeight="1" x14ac:dyDescent="0.2">
      <c r="A1302" s="420">
        <v>46082</v>
      </c>
      <c r="B1302" t="s">
        <v>2532</v>
      </c>
      <c r="C1302" t="s">
        <v>1232</v>
      </c>
      <c r="D1302" t="s">
        <v>8176</v>
      </c>
      <c r="E1302" t="s">
        <v>2118</v>
      </c>
      <c r="F1302">
        <v>58.81</v>
      </c>
      <c r="H1302">
        <v>176.43</v>
      </c>
    </row>
    <row r="1303" spans="1:10" ht="15" customHeight="1" x14ac:dyDescent="0.2">
      <c r="A1303" t="s">
        <v>1232</v>
      </c>
      <c r="E1303" t="s">
        <v>349</v>
      </c>
      <c r="F1303">
        <v>176.43</v>
      </c>
      <c r="H1303">
        <v>176.43</v>
      </c>
    </row>
    <row r="1305" spans="1:10" ht="15" customHeight="1" x14ac:dyDescent="0.2">
      <c r="A1305" t="s">
        <v>1203</v>
      </c>
      <c r="B1305" t="s">
        <v>1204</v>
      </c>
      <c r="F1305" t="s">
        <v>2430</v>
      </c>
      <c r="G1305" t="s">
        <v>2431</v>
      </c>
      <c r="H1305" t="s">
        <v>2432</v>
      </c>
      <c r="I1305" t="s">
        <v>2433</v>
      </c>
      <c r="J1305" t="s">
        <v>2434</v>
      </c>
    </row>
    <row r="1306" spans="1:10" ht="15" customHeight="1" x14ac:dyDescent="0.2">
      <c r="A1306" s="420">
        <v>46025</v>
      </c>
      <c r="B1306" t="s">
        <v>2532</v>
      </c>
      <c r="C1306" t="s">
        <v>1203</v>
      </c>
      <c r="D1306" t="s">
        <v>8764</v>
      </c>
      <c r="E1306" t="s">
        <v>2108</v>
      </c>
      <c r="F1306">
        <v>160</v>
      </c>
      <c r="H1306">
        <v>160</v>
      </c>
    </row>
    <row r="1307" spans="1:10" ht="15" customHeight="1" x14ac:dyDescent="0.2">
      <c r="A1307" s="420">
        <v>46025</v>
      </c>
      <c r="B1307" t="s">
        <v>2532</v>
      </c>
      <c r="C1307" t="s">
        <v>1203</v>
      </c>
      <c r="D1307" t="s">
        <v>8764</v>
      </c>
      <c r="E1307" t="s">
        <v>2108</v>
      </c>
      <c r="F1307">
        <v>70</v>
      </c>
      <c r="H1307">
        <v>230</v>
      </c>
    </row>
    <row r="1308" spans="1:10" ht="15" customHeight="1" x14ac:dyDescent="0.2">
      <c r="A1308" s="420">
        <v>46054</v>
      </c>
      <c r="B1308" t="s">
        <v>2532</v>
      </c>
      <c r="C1308" t="s">
        <v>1203</v>
      </c>
      <c r="D1308" t="s">
        <v>8765</v>
      </c>
      <c r="E1308" t="s">
        <v>2109</v>
      </c>
      <c r="F1308">
        <v>160</v>
      </c>
      <c r="H1308">
        <v>390</v>
      </c>
    </row>
    <row r="1309" spans="1:10" ht="15" customHeight="1" x14ac:dyDescent="0.2">
      <c r="A1309" s="420">
        <v>46054</v>
      </c>
      <c r="B1309" t="s">
        <v>2532</v>
      </c>
      <c r="C1309" t="s">
        <v>1203</v>
      </c>
      <c r="D1309" t="s">
        <v>8765</v>
      </c>
      <c r="E1309" t="s">
        <v>2109</v>
      </c>
      <c r="F1309">
        <v>70</v>
      </c>
      <c r="H1309">
        <v>460</v>
      </c>
    </row>
    <row r="1310" spans="1:10" ht="15" customHeight="1" x14ac:dyDescent="0.2">
      <c r="A1310" s="420">
        <v>46082</v>
      </c>
      <c r="B1310" t="s">
        <v>2532</v>
      </c>
      <c r="C1310" t="s">
        <v>1203</v>
      </c>
      <c r="D1310" t="s">
        <v>8177</v>
      </c>
      <c r="E1310" t="s">
        <v>2110</v>
      </c>
      <c r="F1310">
        <v>160</v>
      </c>
      <c r="H1310">
        <v>620</v>
      </c>
    </row>
    <row r="1311" spans="1:10" ht="15" customHeight="1" x14ac:dyDescent="0.2">
      <c r="A1311" s="420">
        <v>46082</v>
      </c>
      <c r="B1311" t="s">
        <v>2532</v>
      </c>
      <c r="C1311" t="s">
        <v>1203</v>
      </c>
      <c r="D1311" t="s">
        <v>8177</v>
      </c>
      <c r="E1311" t="s">
        <v>2110</v>
      </c>
      <c r="F1311">
        <v>70</v>
      </c>
      <c r="H1311">
        <v>690</v>
      </c>
    </row>
    <row r="1312" spans="1:10" ht="15" customHeight="1" x14ac:dyDescent="0.2">
      <c r="A1312" t="s">
        <v>1203</v>
      </c>
      <c r="E1312" t="s">
        <v>349</v>
      </c>
      <c r="F1312">
        <v>690</v>
      </c>
      <c r="H1312">
        <v>690</v>
      </c>
    </row>
    <row r="1314" spans="1:10" ht="15" customHeight="1" x14ac:dyDescent="0.2">
      <c r="A1314" t="s">
        <v>2136</v>
      </c>
      <c r="B1314" t="s">
        <v>2137</v>
      </c>
      <c r="F1314" t="s">
        <v>2430</v>
      </c>
      <c r="G1314" t="s">
        <v>2431</v>
      </c>
      <c r="H1314" t="s">
        <v>2432</v>
      </c>
      <c r="I1314" t="s">
        <v>2433</v>
      </c>
      <c r="J1314" t="s">
        <v>2434</v>
      </c>
    </row>
    <row r="1315" spans="1:10" ht="15" customHeight="1" x14ac:dyDescent="0.2">
      <c r="A1315" s="420">
        <v>46081</v>
      </c>
      <c r="B1315" t="s">
        <v>2532</v>
      </c>
      <c r="C1315" t="s">
        <v>2136</v>
      </c>
      <c r="D1315" t="s">
        <v>8772</v>
      </c>
      <c r="E1315" t="s">
        <v>2138</v>
      </c>
      <c r="F1315">
        <v>112.61</v>
      </c>
      <c r="H1315">
        <v>112.61</v>
      </c>
    </row>
    <row r="1316" spans="1:10" ht="15" customHeight="1" x14ac:dyDescent="0.2">
      <c r="A1316" t="s">
        <v>2136</v>
      </c>
      <c r="E1316" t="s">
        <v>349</v>
      </c>
      <c r="F1316">
        <v>112.61</v>
      </c>
      <c r="H1316">
        <v>112.61</v>
      </c>
    </row>
    <row r="1318" spans="1:10" ht="15" customHeight="1" x14ac:dyDescent="0.2">
      <c r="A1318" t="s">
        <v>1324</v>
      </c>
      <c r="B1318" t="s">
        <v>1325</v>
      </c>
      <c r="F1318" t="s">
        <v>2430</v>
      </c>
      <c r="G1318" t="s">
        <v>2431</v>
      </c>
      <c r="H1318" t="s">
        <v>2432</v>
      </c>
      <c r="I1318" t="s">
        <v>2433</v>
      </c>
      <c r="J1318" t="s">
        <v>2434</v>
      </c>
    </row>
    <row r="1319" spans="1:10" ht="15" customHeight="1" x14ac:dyDescent="0.2">
      <c r="A1319" s="420">
        <v>46051</v>
      </c>
      <c r="B1319" t="s">
        <v>2532</v>
      </c>
      <c r="C1319" t="s">
        <v>1324</v>
      </c>
      <c r="D1319" t="s">
        <v>8773</v>
      </c>
      <c r="E1319" t="s">
        <v>2128</v>
      </c>
      <c r="F1319">
        <v>60</v>
      </c>
      <c r="H1319">
        <v>60</v>
      </c>
    </row>
    <row r="1320" spans="1:10" ht="15" customHeight="1" x14ac:dyDescent="0.2">
      <c r="A1320" s="420">
        <v>46077</v>
      </c>
      <c r="B1320" t="s">
        <v>2532</v>
      </c>
      <c r="C1320" t="s">
        <v>1324</v>
      </c>
      <c r="D1320" t="s">
        <v>8774</v>
      </c>
      <c r="E1320" t="s">
        <v>2135</v>
      </c>
      <c r="F1320">
        <v>60</v>
      </c>
      <c r="H1320">
        <v>120</v>
      </c>
    </row>
    <row r="1321" spans="1:10" ht="15" customHeight="1" x14ac:dyDescent="0.2">
      <c r="A1321" s="420">
        <v>46112</v>
      </c>
      <c r="B1321" t="s">
        <v>2532</v>
      </c>
      <c r="C1321" t="s">
        <v>1324</v>
      </c>
      <c r="D1321" t="s">
        <v>7984</v>
      </c>
      <c r="E1321" t="s">
        <v>2147</v>
      </c>
      <c r="F1321">
        <v>60</v>
      </c>
      <c r="H1321">
        <v>180</v>
      </c>
    </row>
    <row r="1322" spans="1:10" ht="15" customHeight="1" x14ac:dyDescent="0.2">
      <c r="A1322" t="s">
        <v>1324</v>
      </c>
      <c r="E1322" t="s">
        <v>349</v>
      </c>
      <c r="F1322">
        <v>180</v>
      </c>
      <c r="H1322">
        <v>180</v>
      </c>
    </row>
    <row r="1324" spans="1:10" ht="15" customHeight="1" x14ac:dyDescent="0.2">
      <c r="A1324" t="s">
        <v>1339</v>
      </c>
      <c r="B1324" t="s">
        <v>1340</v>
      </c>
      <c r="F1324" t="s">
        <v>2430</v>
      </c>
      <c r="G1324" t="s">
        <v>2431</v>
      </c>
      <c r="H1324" t="s">
        <v>2432</v>
      </c>
      <c r="I1324" t="s">
        <v>2433</v>
      </c>
      <c r="J1324" t="s">
        <v>2434</v>
      </c>
    </row>
    <row r="1325" spans="1:10" ht="15" customHeight="1" x14ac:dyDescent="0.2">
      <c r="A1325" s="420">
        <v>46023</v>
      </c>
      <c r="B1325" t="s">
        <v>2439</v>
      </c>
      <c r="C1325" t="s">
        <v>1339</v>
      </c>
      <c r="D1325" t="s">
        <v>8762</v>
      </c>
      <c r="E1325" t="s">
        <v>719</v>
      </c>
      <c r="F1325">
        <v>34.18</v>
      </c>
      <c r="H1325">
        <v>34.18</v>
      </c>
    </row>
    <row r="1326" spans="1:10" ht="15" customHeight="1" x14ac:dyDescent="0.2">
      <c r="A1326" s="420">
        <v>46054</v>
      </c>
      <c r="B1326" t="s">
        <v>2439</v>
      </c>
      <c r="C1326" t="s">
        <v>1339</v>
      </c>
      <c r="D1326" t="s">
        <v>8763</v>
      </c>
      <c r="E1326" t="s">
        <v>719</v>
      </c>
      <c r="F1326">
        <v>34.18</v>
      </c>
      <c r="H1326">
        <v>68.36</v>
      </c>
    </row>
    <row r="1327" spans="1:10" ht="15" customHeight="1" x14ac:dyDescent="0.2">
      <c r="A1327" s="420">
        <v>46059</v>
      </c>
      <c r="B1327" t="s">
        <v>2532</v>
      </c>
      <c r="C1327" t="s">
        <v>1339</v>
      </c>
      <c r="D1327" t="s">
        <v>8775</v>
      </c>
      <c r="E1327" t="s">
        <v>2129</v>
      </c>
      <c r="F1327">
        <v>15</v>
      </c>
      <c r="H1327">
        <v>83.36</v>
      </c>
    </row>
    <row r="1328" spans="1:10" ht="15" customHeight="1" x14ac:dyDescent="0.2">
      <c r="A1328" t="s">
        <v>1339</v>
      </c>
      <c r="E1328" t="s">
        <v>349</v>
      </c>
      <c r="F1328">
        <v>83.36</v>
      </c>
      <c r="H1328">
        <v>83.36</v>
      </c>
    </row>
    <row r="1330" spans="1:10" ht="15" customHeight="1" x14ac:dyDescent="0.2">
      <c r="A1330" t="s">
        <v>1293</v>
      </c>
      <c r="B1330" t="s">
        <v>1294</v>
      </c>
      <c r="F1330" t="s">
        <v>2430</v>
      </c>
      <c r="G1330" t="s">
        <v>2431</v>
      </c>
      <c r="H1330" t="s">
        <v>2432</v>
      </c>
      <c r="I1330" t="s">
        <v>2433</v>
      </c>
      <c r="J1330" t="s">
        <v>2434</v>
      </c>
    </row>
    <row r="1331" spans="1:10" ht="15" customHeight="1" x14ac:dyDescent="0.2">
      <c r="A1331" s="420">
        <v>46023</v>
      </c>
      <c r="B1331" t="s">
        <v>2547</v>
      </c>
      <c r="C1331" t="s">
        <v>1293</v>
      </c>
      <c r="D1331" t="s">
        <v>8761</v>
      </c>
      <c r="E1331" t="s">
        <v>2032</v>
      </c>
      <c r="F1331">
        <v>20.48</v>
      </c>
      <c r="H1331">
        <v>20.48</v>
      </c>
    </row>
    <row r="1332" spans="1:10" ht="15" customHeight="1" x14ac:dyDescent="0.2">
      <c r="A1332" s="420">
        <v>46030</v>
      </c>
      <c r="B1332" t="s">
        <v>2547</v>
      </c>
      <c r="C1332" t="s">
        <v>1293</v>
      </c>
      <c r="D1332" t="s">
        <v>8776</v>
      </c>
      <c r="E1332" t="s">
        <v>2124</v>
      </c>
      <c r="F1332">
        <v>0.99</v>
      </c>
      <c r="H1332">
        <v>21.47</v>
      </c>
    </row>
    <row r="1333" spans="1:10" ht="15" customHeight="1" x14ac:dyDescent="0.2">
      <c r="A1333" s="420">
        <v>46032</v>
      </c>
      <c r="B1333" t="s">
        <v>2532</v>
      </c>
      <c r="C1333" t="s">
        <v>1293</v>
      </c>
      <c r="D1333" t="s">
        <v>8159</v>
      </c>
      <c r="E1333" t="s">
        <v>2126</v>
      </c>
      <c r="F1333">
        <v>11.99</v>
      </c>
      <c r="H1333">
        <v>33.46</v>
      </c>
    </row>
    <row r="1334" spans="1:10" ht="15" customHeight="1" x14ac:dyDescent="0.2">
      <c r="A1334" s="420">
        <v>46062</v>
      </c>
      <c r="B1334" t="s">
        <v>2532</v>
      </c>
      <c r="C1334" t="s">
        <v>1293</v>
      </c>
      <c r="D1334" t="s">
        <v>7976</v>
      </c>
      <c r="E1334" t="s">
        <v>2131</v>
      </c>
      <c r="F1334">
        <v>0.99</v>
      </c>
      <c r="H1334">
        <v>34.450000000000003</v>
      </c>
    </row>
    <row r="1335" spans="1:10" ht="15" customHeight="1" x14ac:dyDescent="0.2">
      <c r="A1335" s="420">
        <v>46065</v>
      </c>
      <c r="B1335" t="s">
        <v>2532</v>
      </c>
      <c r="C1335" t="s">
        <v>1293</v>
      </c>
      <c r="D1335" t="s">
        <v>8777</v>
      </c>
      <c r="E1335" t="s">
        <v>2133</v>
      </c>
      <c r="F1335">
        <v>33.770000000000003</v>
      </c>
      <c r="H1335">
        <v>68.22</v>
      </c>
    </row>
    <row r="1336" spans="1:10" ht="15" customHeight="1" x14ac:dyDescent="0.2">
      <c r="A1336" s="420">
        <v>46069</v>
      </c>
      <c r="B1336" t="s">
        <v>2532</v>
      </c>
      <c r="C1336" t="s">
        <v>1293</v>
      </c>
      <c r="D1336" t="s">
        <v>8778</v>
      </c>
      <c r="E1336" t="s">
        <v>2134</v>
      </c>
      <c r="F1336">
        <v>2.52</v>
      </c>
      <c r="H1336">
        <v>70.739999999999995</v>
      </c>
    </row>
    <row r="1337" spans="1:10" ht="15" customHeight="1" x14ac:dyDescent="0.2">
      <c r="A1337" s="420">
        <v>46082</v>
      </c>
      <c r="B1337" t="s">
        <v>2532</v>
      </c>
      <c r="C1337" t="s">
        <v>1293</v>
      </c>
      <c r="D1337" t="s">
        <v>8178</v>
      </c>
      <c r="E1337" t="s">
        <v>2056</v>
      </c>
      <c r="F1337">
        <v>20.48</v>
      </c>
      <c r="H1337">
        <v>91.22</v>
      </c>
    </row>
    <row r="1338" spans="1:10" ht="15" customHeight="1" x14ac:dyDescent="0.2">
      <c r="A1338" s="420">
        <v>46085</v>
      </c>
      <c r="B1338" t="s">
        <v>2532</v>
      </c>
      <c r="C1338" t="s">
        <v>1293</v>
      </c>
      <c r="D1338" t="s">
        <v>8779</v>
      </c>
      <c r="E1338" t="s">
        <v>2140</v>
      </c>
      <c r="F1338">
        <v>6.87</v>
      </c>
      <c r="H1338">
        <v>98.09</v>
      </c>
    </row>
    <row r="1339" spans="1:10" ht="15" customHeight="1" x14ac:dyDescent="0.2">
      <c r="A1339" s="420">
        <v>46090</v>
      </c>
      <c r="B1339" t="s">
        <v>2532</v>
      </c>
      <c r="C1339" t="s">
        <v>1293</v>
      </c>
      <c r="D1339" t="s">
        <v>8780</v>
      </c>
      <c r="E1339" t="s">
        <v>2142</v>
      </c>
      <c r="F1339">
        <v>6.88</v>
      </c>
      <c r="H1339">
        <v>104.97</v>
      </c>
    </row>
    <row r="1340" spans="1:10" ht="15" customHeight="1" x14ac:dyDescent="0.2">
      <c r="A1340" s="420">
        <v>46093</v>
      </c>
      <c r="B1340" t="s">
        <v>2532</v>
      </c>
      <c r="C1340" t="s">
        <v>1293</v>
      </c>
      <c r="D1340" t="s">
        <v>8781</v>
      </c>
      <c r="E1340" t="s">
        <v>2143</v>
      </c>
      <c r="F1340">
        <v>34.67</v>
      </c>
      <c r="H1340">
        <v>139.63999999999999</v>
      </c>
    </row>
    <row r="1341" spans="1:10" ht="15" customHeight="1" x14ac:dyDescent="0.2">
      <c r="A1341" s="420">
        <v>46093</v>
      </c>
      <c r="B1341" t="s">
        <v>2532</v>
      </c>
      <c r="C1341" t="s">
        <v>1293</v>
      </c>
      <c r="D1341" t="s">
        <v>8782</v>
      </c>
      <c r="E1341" t="s">
        <v>2144</v>
      </c>
      <c r="F1341">
        <v>3.03</v>
      </c>
      <c r="H1341">
        <v>142.66999999999999</v>
      </c>
    </row>
    <row r="1342" spans="1:10" ht="15" customHeight="1" x14ac:dyDescent="0.2">
      <c r="A1342" s="420">
        <v>46094</v>
      </c>
      <c r="B1342" t="s">
        <v>2517</v>
      </c>
      <c r="C1342" t="s">
        <v>1293</v>
      </c>
      <c r="D1342" t="s">
        <v>8783</v>
      </c>
      <c r="E1342" t="s">
        <v>2146</v>
      </c>
      <c r="G1342">
        <v>6.95</v>
      </c>
      <c r="H1342">
        <v>135.72</v>
      </c>
    </row>
    <row r="1343" spans="1:10" ht="15" customHeight="1" x14ac:dyDescent="0.2">
      <c r="A1343" t="s">
        <v>1293</v>
      </c>
      <c r="E1343" t="s">
        <v>349</v>
      </c>
      <c r="F1343">
        <v>142.66999999999999</v>
      </c>
      <c r="G1343">
        <v>6.95</v>
      </c>
      <c r="H1343">
        <v>135.72</v>
      </c>
    </row>
    <row r="1345" spans="1:10" ht="15" customHeight="1" x14ac:dyDescent="0.2">
      <c r="A1345" t="s">
        <v>801</v>
      </c>
      <c r="B1345" t="s">
        <v>802</v>
      </c>
      <c r="F1345" t="s">
        <v>2430</v>
      </c>
      <c r="G1345" t="s">
        <v>2431</v>
      </c>
      <c r="H1345" t="s">
        <v>2432</v>
      </c>
      <c r="I1345" t="s">
        <v>2433</v>
      </c>
      <c r="J1345" t="s">
        <v>2434</v>
      </c>
    </row>
    <row r="1346" spans="1:10" ht="15" customHeight="1" x14ac:dyDescent="0.2">
      <c r="A1346" s="420">
        <v>46082</v>
      </c>
      <c r="B1346" t="s">
        <v>2532</v>
      </c>
      <c r="C1346" t="s">
        <v>801</v>
      </c>
      <c r="D1346" t="s">
        <v>8178</v>
      </c>
      <c r="E1346" t="s">
        <v>2056</v>
      </c>
      <c r="F1346">
        <v>9.57</v>
      </c>
      <c r="H1346">
        <v>9.57</v>
      </c>
    </row>
    <row r="1347" spans="1:10" ht="15" customHeight="1" x14ac:dyDescent="0.2">
      <c r="A1347" t="s">
        <v>801</v>
      </c>
      <c r="E1347" t="s">
        <v>349</v>
      </c>
      <c r="F1347">
        <v>9.57</v>
      </c>
      <c r="H1347">
        <v>9.57</v>
      </c>
    </row>
    <row r="1349" spans="1:10" ht="15" customHeight="1" x14ac:dyDescent="0.2">
      <c r="A1349" t="s">
        <v>647</v>
      </c>
      <c r="B1349" t="s">
        <v>648</v>
      </c>
      <c r="F1349" t="s">
        <v>2430</v>
      </c>
      <c r="G1349" t="s">
        <v>2431</v>
      </c>
      <c r="H1349" t="s">
        <v>2432</v>
      </c>
      <c r="I1349" t="s">
        <v>2433</v>
      </c>
      <c r="J1349" t="s">
        <v>2434</v>
      </c>
    </row>
    <row r="1350" spans="1:10" ht="15" customHeight="1" x14ac:dyDescent="0.2">
      <c r="A1350" s="420">
        <v>46027</v>
      </c>
      <c r="B1350" t="s">
        <v>2457</v>
      </c>
      <c r="C1350" t="s">
        <v>647</v>
      </c>
      <c r="D1350" t="s">
        <v>2501</v>
      </c>
      <c r="E1350" t="s">
        <v>2034</v>
      </c>
      <c r="F1350">
        <v>2.42</v>
      </c>
      <c r="H1350">
        <v>2.42</v>
      </c>
    </row>
    <row r="1351" spans="1:10" ht="15" customHeight="1" x14ac:dyDescent="0.2">
      <c r="A1351" s="420">
        <v>46027</v>
      </c>
      <c r="B1351" t="s">
        <v>2333</v>
      </c>
      <c r="C1351" t="s">
        <v>647</v>
      </c>
      <c r="D1351" t="s">
        <v>8429</v>
      </c>
      <c r="E1351" t="s">
        <v>659</v>
      </c>
      <c r="F1351">
        <v>14.13</v>
      </c>
      <c r="H1351">
        <v>16.55</v>
      </c>
    </row>
    <row r="1352" spans="1:10" ht="15" customHeight="1" x14ac:dyDescent="0.2">
      <c r="A1352" s="420">
        <v>46038</v>
      </c>
      <c r="B1352" t="s">
        <v>2457</v>
      </c>
      <c r="C1352" t="s">
        <v>647</v>
      </c>
      <c r="D1352" t="s">
        <v>2495</v>
      </c>
      <c r="E1352" t="s">
        <v>8784</v>
      </c>
      <c r="F1352">
        <v>5.58</v>
      </c>
      <c r="H1352">
        <v>22.13</v>
      </c>
    </row>
    <row r="1353" spans="1:10" ht="15" customHeight="1" x14ac:dyDescent="0.2">
      <c r="A1353" s="420">
        <v>46038</v>
      </c>
      <c r="B1353" t="s">
        <v>2457</v>
      </c>
      <c r="C1353" t="s">
        <v>647</v>
      </c>
      <c r="D1353" t="s">
        <v>2489</v>
      </c>
      <c r="E1353" t="s">
        <v>8785</v>
      </c>
      <c r="F1353">
        <v>5.25</v>
      </c>
      <c r="H1353">
        <v>27.38</v>
      </c>
    </row>
    <row r="1354" spans="1:10" ht="15" customHeight="1" x14ac:dyDescent="0.2">
      <c r="A1354" s="420">
        <v>46056</v>
      </c>
      <c r="B1354" t="s">
        <v>2333</v>
      </c>
      <c r="C1354" t="s">
        <v>647</v>
      </c>
      <c r="D1354" t="s">
        <v>8531</v>
      </c>
      <c r="E1354" t="s">
        <v>670</v>
      </c>
      <c r="F1354">
        <v>14.13</v>
      </c>
      <c r="H1354">
        <v>41.51</v>
      </c>
    </row>
    <row r="1355" spans="1:10" ht="15" customHeight="1" x14ac:dyDescent="0.2">
      <c r="A1355" s="420">
        <v>46058</v>
      </c>
      <c r="B1355" t="s">
        <v>2457</v>
      </c>
      <c r="C1355" t="s">
        <v>647</v>
      </c>
      <c r="D1355" t="s">
        <v>2501</v>
      </c>
      <c r="E1355" t="s">
        <v>2044</v>
      </c>
      <c r="F1355">
        <v>2.42</v>
      </c>
      <c r="H1355">
        <v>43.93</v>
      </c>
    </row>
    <row r="1356" spans="1:10" ht="15" customHeight="1" x14ac:dyDescent="0.2">
      <c r="A1356" s="420">
        <v>46069</v>
      </c>
      <c r="B1356" t="s">
        <v>2457</v>
      </c>
      <c r="C1356" t="s">
        <v>647</v>
      </c>
      <c r="D1356" t="s">
        <v>2495</v>
      </c>
      <c r="E1356" t="s">
        <v>8786</v>
      </c>
      <c r="F1356">
        <v>5.58</v>
      </c>
      <c r="H1356">
        <v>49.51</v>
      </c>
    </row>
    <row r="1357" spans="1:10" ht="15" customHeight="1" x14ac:dyDescent="0.2">
      <c r="A1357" s="420">
        <v>46069</v>
      </c>
      <c r="B1357" t="s">
        <v>2457</v>
      </c>
      <c r="C1357" t="s">
        <v>647</v>
      </c>
      <c r="D1357" t="s">
        <v>2489</v>
      </c>
      <c r="E1357" t="s">
        <v>8787</v>
      </c>
      <c r="F1357">
        <v>5.25</v>
      </c>
      <c r="H1357">
        <v>54.76</v>
      </c>
    </row>
    <row r="1358" spans="1:10" ht="15" customHeight="1" x14ac:dyDescent="0.2">
      <c r="A1358" s="420">
        <v>46084</v>
      </c>
      <c r="B1358" t="s">
        <v>2333</v>
      </c>
      <c r="C1358" t="s">
        <v>647</v>
      </c>
      <c r="D1358" t="s">
        <v>8636</v>
      </c>
      <c r="E1358" t="s">
        <v>682</v>
      </c>
      <c r="F1358">
        <v>14.13</v>
      </c>
      <c r="H1358">
        <v>68.89</v>
      </c>
    </row>
    <row r="1359" spans="1:10" ht="15" customHeight="1" x14ac:dyDescent="0.2">
      <c r="A1359" s="420">
        <v>46086</v>
      </c>
      <c r="B1359" t="s">
        <v>2457</v>
      </c>
      <c r="C1359" t="s">
        <v>647</v>
      </c>
      <c r="D1359" t="s">
        <v>2501</v>
      </c>
      <c r="E1359" t="s">
        <v>2059</v>
      </c>
      <c r="F1359">
        <v>2.42</v>
      </c>
      <c r="H1359">
        <v>71.31</v>
      </c>
    </row>
    <row r="1360" spans="1:10" ht="15" customHeight="1" x14ac:dyDescent="0.2">
      <c r="A1360" s="420">
        <v>46097</v>
      </c>
      <c r="B1360" t="s">
        <v>2457</v>
      </c>
      <c r="C1360" t="s">
        <v>647</v>
      </c>
      <c r="D1360" t="s">
        <v>2495</v>
      </c>
      <c r="E1360" t="s">
        <v>8788</v>
      </c>
      <c r="F1360">
        <v>5.58</v>
      </c>
      <c r="H1360">
        <v>76.89</v>
      </c>
    </row>
    <row r="1361" spans="1:10" ht="15" customHeight="1" x14ac:dyDescent="0.2">
      <c r="A1361" s="420">
        <v>46097</v>
      </c>
      <c r="B1361" t="s">
        <v>2457</v>
      </c>
      <c r="C1361" t="s">
        <v>647</v>
      </c>
      <c r="D1361" t="s">
        <v>2489</v>
      </c>
      <c r="E1361" t="s">
        <v>8789</v>
      </c>
      <c r="F1361">
        <v>5.25</v>
      </c>
      <c r="H1361">
        <v>82.14</v>
      </c>
    </row>
    <row r="1362" spans="1:10" ht="15" customHeight="1" x14ac:dyDescent="0.2">
      <c r="A1362" t="s">
        <v>647</v>
      </c>
      <c r="E1362" t="s">
        <v>349</v>
      </c>
      <c r="F1362">
        <v>82.14</v>
      </c>
      <c r="H1362">
        <v>82.14</v>
      </c>
    </row>
    <row r="1364" spans="1:10" ht="15" customHeight="1" x14ac:dyDescent="0.2">
      <c r="A1364" t="s">
        <v>2052</v>
      </c>
      <c r="B1364" t="s">
        <v>2053</v>
      </c>
      <c r="F1364" t="s">
        <v>2430</v>
      </c>
      <c r="G1364" t="s">
        <v>2431</v>
      </c>
      <c r="H1364" t="s">
        <v>2432</v>
      </c>
      <c r="I1364" t="s">
        <v>2433</v>
      </c>
      <c r="J1364" t="s">
        <v>2434</v>
      </c>
    </row>
    <row r="1365" spans="1:10" ht="15" customHeight="1" x14ac:dyDescent="0.2">
      <c r="A1365" s="420">
        <v>46077</v>
      </c>
      <c r="B1365" t="s">
        <v>2532</v>
      </c>
      <c r="C1365" t="s">
        <v>2052</v>
      </c>
      <c r="D1365" t="s">
        <v>7987</v>
      </c>
      <c r="E1365" t="s">
        <v>2054</v>
      </c>
      <c r="F1365">
        <v>1280.02</v>
      </c>
      <c r="H1365">
        <v>1280.02</v>
      </c>
    </row>
    <row r="1366" spans="1:10" ht="15" customHeight="1" x14ac:dyDescent="0.2">
      <c r="A1366" t="s">
        <v>2052</v>
      </c>
      <c r="E1366" t="s">
        <v>349</v>
      </c>
      <c r="F1366">
        <v>1280.02</v>
      </c>
      <c r="H1366">
        <v>1280.02</v>
      </c>
    </row>
    <row r="1368" spans="1:10" ht="15" customHeight="1" x14ac:dyDescent="0.2">
      <c r="A1368" t="s">
        <v>661</v>
      </c>
      <c r="B1368" t="s">
        <v>662</v>
      </c>
      <c r="F1368" t="s">
        <v>2430</v>
      </c>
      <c r="G1368" t="s">
        <v>2431</v>
      </c>
      <c r="H1368" t="s">
        <v>2432</v>
      </c>
      <c r="I1368" t="s">
        <v>2433</v>
      </c>
      <c r="J1368" t="s">
        <v>2434</v>
      </c>
    </row>
    <row r="1369" spans="1:10" ht="15" customHeight="1" x14ac:dyDescent="0.2">
      <c r="A1369" s="420">
        <v>46035</v>
      </c>
      <c r="B1369" t="s">
        <v>2333</v>
      </c>
      <c r="C1369" t="s">
        <v>661</v>
      </c>
      <c r="D1369" t="s">
        <v>8455</v>
      </c>
      <c r="E1369" t="s">
        <v>8456</v>
      </c>
      <c r="F1369">
        <v>96.69</v>
      </c>
      <c r="H1369">
        <v>96.69</v>
      </c>
    </row>
    <row r="1370" spans="1:10" ht="15" customHeight="1" x14ac:dyDescent="0.2">
      <c r="A1370" s="420">
        <v>46064</v>
      </c>
      <c r="B1370" t="s">
        <v>2333</v>
      </c>
      <c r="C1370" t="s">
        <v>661</v>
      </c>
      <c r="D1370" t="s">
        <v>8572</v>
      </c>
      <c r="E1370" t="s">
        <v>8573</v>
      </c>
      <c r="F1370">
        <v>90.34</v>
      </c>
      <c r="H1370">
        <v>187.03</v>
      </c>
    </row>
    <row r="1371" spans="1:10" ht="15" customHeight="1" x14ac:dyDescent="0.2">
      <c r="A1371" s="420">
        <v>46093</v>
      </c>
      <c r="B1371" t="s">
        <v>3866</v>
      </c>
      <c r="C1371" t="s">
        <v>661</v>
      </c>
      <c r="D1371" t="s">
        <v>8727</v>
      </c>
      <c r="E1371" t="s">
        <v>2061</v>
      </c>
      <c r="F1371">
        <v>90.34</v>
      </c>
      <c r="H1371">
        <v>277.37</v>
      </c>
    </row>
    <row r="1372" spans="1:10" ht="15" customHeight="1" x14ac:dyDescent="0.2">
      <c r="A1372" t="s">
        <v>661</v>
      </c>
      <c r="E1372" t="s">
        <v>349</v>
      </c>
      <c r="F1372">
        <v>277.37</v>
      </c>
      <c r="H1372">
        <v>277.37</v>
      </c>
    </row>
    <row r="1374" spans="1:10" ht="15" customHeight="1" x14ac:dyDescent="0.2">
      <c r="A1374" t="s">
        <v>691</v>
      </c>
      <c r="B1374" t="s">
        <v>692</v>
      </c>
      <c r="F1374" t="s">
        <v>2430</v>
      </c>
      <c r="G1374" t="s">
        <v>2431</v>
      </c>
      <c r="H1374" t="s">
        <v>2432</v>
      </c>
      <c r="I1374" t="s">
        <v>2433</v>
      </c>
      <c r="J1374" t="s">
        <v>2434</v>
      </c>
    </row>
    <row r="1375" spans="1:10" ht="15" customHeight="1" x14ac:dyDescent="0.2">
      <c r="A1375" s="420">
        <v>46023</v>
      </c>
      <c r="B1375" t="s">
        <v>2439</v>
      </c>
      <c r="C1375" t="s">
        <v>691</v>
      </c>
      <c r="D1375" t="s">
        <v>8762</v>
      </c>
      <c r="E1375" t="s">
        <v>719</v>
      </c>
      <c r="F1375">
        <v>52.27</v>
      </c>
      <c r="H1375">
        <v>52.27</v>
      </c>
    </row>
    <row r="1376" spans="1:10" ht="15" customHeight="1" x14ac:dyDescent="0.2">
      <c r="A1376" s="420">
        <v>46054</v>
      </c>
      <c r="B1376" t="s">
        <v>2439</v>
      </c>
      <c r="C1376" t="s">
        <v>691</v>
      </c>
      <c r="D1376" t="s">
        <v>8763</v>
      </c>
      <c r="E1376" t="s">
        <v>719</v>
      </c>
      <c r="F1376">
        <v>52.27</v>
      </c>
      <c r="H1376">
        <v>104.54</v>
      </c>
    </row>
    <row r="1377" spans="1:10" ht="15" customHeight="1" x14ac:dyDescent="0.2">
      <c r="A1377" t="s">
        <v>691</v>
      </c>
      <c r="E1377" t="s">
        <v>349</v>
      </c>
      <c r="F1377">
        <v>104.54</v>
      </c>
      <c r="H1377">
        <v>104.54</v>
      </c>
    </row>
    <row r="1379" spans="1:10" ht="15" customHeight="1" x14ac:dyDescent="0.2">
      <c r="A1379" t="s">
        <v>706</v>
      </c>
      <c r="B1379" t="s">
        <v>707</v>
      </c>
      <c r="F1379" t="s">
        <v>2430</v>
      </c>
      <c r="G1379" t="s">
        <v>2431</v>
      </c>
      <c r="H1379" t="s">
        <v>2432</v>
      </c>
      <c r="I1379" t="s">
        <v>2433</v>
      </c>
      <c r="J1379" t="s">
        <v>2434</v>
      </c>
    </row>
    <row r="1380" spans="1:10" ht="15" customHeight="1" x14ac:dyDescent="0.2">
      <c r="A1380" s="420">
        <v>46023</v>
      </c>
      <c r="B1380" t="s">
        <v>2547</v>
      </c>
      <c r="C1380" t="s">
        <v>706</v>
      </c>
      <c r="D1380" t="s">
        <v>8761</v>
      </c>
      <c r="E1380" t="s">
        <v>2032</v>
      </c>
      <c r="F1380">
        <v>9.57</v>
      </c>
      <c r="H1380">
        <v>9.57</v>
      </c>
    </row>
    <row r="1381" spans="1:10" ht="15" customHeight="1" x14ac:dyDescent="0.2">
      <c r="A1381" t="s">
        <v>706</v>
      </c>
      <c r="E1381" t="s">
        <v>349</v>
      </c>
      <c r="F1381">
        <v>9.57</v>
      </c>
      <c r="H1381">
        <v>9.57</v>
      </c>
    </row>
    <row r="1383" spans="1:10" ht="15" customHeight="1" x14ac:dyDescent="0.2">
      <c r="A1383" t="s">
        <v>700</v>
      </c>
      <c r="B1383" t="s">
        <v>701</v>
      </c>
      <c r="F1383" t="s">
        <v>2430</v>
      </c>
      <c r="G1383" t="s">
        <v>2431</v>
      </c>
      <c r="H1383" t="s">
        <v>2432</v>
      </c>
      <c r="I1383" t="s">
        <v>2433</v>
      </c>
      <c r="J1383" t="s">
        <v>2434</v>
      </c>
    </row>
    <row r="1384" spans="1:10" ht="15" customHeight="1" x14ac:dyDescent="0.2">
      <c r="A1384" s="420">
        <v>46035</v>
      </c>
      <c r="B1384" t="s">
        <v>2333</v>
      </c>
      <c r="C1384" t="s">
        <v>700</v>
      </c>
      <c r="D1384" t="s">
        <v>8457</v>
      </c>
      <c r="E1384" t="s">
        <v>8458</v>
      </c>
      <c r="F1384">
        <v>100.82</v>
      </c>
      <c r="H1384">
        <v>100.82</v>
      </c>
    </row>
    <row r="1385" spans="1:10" ht="15" customHeight="1" x14ac:dyDescent="0.2">
      <c r="A1385" s="420">
        <v>46064</v>
      </c>
      <c r="B1385" t="s">
        <v>2333</v>
      </c>
      <c r="C1385" t="s">
        <v>700</v>
      </c>
      <c r="D1385" t="s">
        <v>8576</v>
      </c>
      <c r="E1385" t="s">
        <v>8577</v>
      </c>
      <c r="F1385">
        <v>100.82</v>
      </c>
      <c r="H1385">
        <v>201.64</v>
      </c>
    </row>
    <row r="1386" spans="1:10" ht="15" customHeight="1" x14ac:dyDescent="0.2">
      <c r="A1386" s="420">
        <v>46093</v>
      </c>
      <c r="B1386" t="s">
        <v>3866</v>
      </c>
      <c r="C1386" t="s">
        <v>700</v>
      </c>
      <c r="D1386" t="s">
        <v>8725</v>
      </c>
      <c r="E1386" t="s">
        <v>2062</v>
      </c>
      <c r="F1386">
        <v>100.82</v>
      </c>
      <c r="H1386">
        <v>302.45999999999998</v>
      </c>
    </row>
    <row r="1387" spans="1:10" ht="15" customHeight="1" x14ac:dyDescent="0.2">
      <c r="A1387" t="s">
        <v>700</v>
      </c>
      <c r="E1387" t="s">
        <v>349</v>
      </c>
      <c r="F1387">
        <v>302.45999999999998</v>
      </c>
      <c r="H1387">
        <v>302.45999999999998</v>
      </c>
    </row>
    <row r="1389" spans="1:10" ht="15" customHeight="1" x14ac:dyDescent="0.2">
      <c r="A1389" t="s">
        <v>716</v>
      </c>
      <c r="B1389" t="s">
        <v>717</v>
      </c>
      <c r="F1389" t="s">
        <v>2430</v>
      </c>
      <c r="G1389" t="s">
        <v>2431</v>
      </c>
      <c r="H1389" t="s">
        <v>2432</v>
      </c>
      <c r="I1389" t="s">
        <v>2433</v>
      </c>
      <c r="J1389" t="s">
        <v>2434</v>
      </c>
    </row>
    <row r="1390" spans="1:10" ht="15" customHeight="1" x14ac:dyDescent="0.2">
      <c r="A1390" s="420">
        <v>46035</v>
      </c>
      <c r="B1390" t="s">
        <v>2333</v>
      </c>
      <c r="C1390" t="s">
        <v>716</v>
      </c>
      <c r="D1390" t="s">
        <v>8453</v>
      </c>
      <c r="E1390" t="s">
        <v>8454</v>
      </c>
      <c r="F1390">
        <v>116.38</v>
      </c>
      <c r="H1390">
        <v>116.38</v>
      </c>
    </row>
    <row r="1391" spans="1:10" ht="15" customHeight="1" x14ac:dyDescent="0.2">
      <c r="A1391" s="420">
        <v>46064</v>
      </c>
      <c r="B1391" t="s">
        <v>2333</v>
      </c>
      <c r="C1391" t="s">
        <v>716</v>
      </c>
      <c r="D1391" t="s">
        <v>8574</v>
      </c>
      <c r="E1391" t="s">
        <v>8575</v>
      </c>
      <c r="F1391">
        <v>116.38</v>
      </c>
      <c r="H1391">
        <v>232.76</v>
      </c>
    </row>
    <row r="1392" spans="1:10" ht="15" customHeight="1" x14ac:dyDescent="0.2">
      <c r="A1392" s="420">
        <v>46093</v>
      </c>
      <c r="B1392" t="s">
        <v>3866</v>
      </c>
      <c r="C1392" t="s">
        <v>716</v>
      </c>
      <c r="D1392" t="s">
        <v>8726</v>
      </c>
      <c r="E1392" t="s">
        <v>2063</v>
      </c>
      <c r="F1392">
        <v>116.38</v>
      </c>
      <c r="H1392">
        <v>349.14</v>
      </c>
    </row>
    <row r="1393" spans="1:10" ht="15" customHeight="1" x14ac:dyDescent="0.2">
      <c r="A1393" t="s">
        <v>716</v>
      </c>
      <c r="E1393" t="s">
        <v>349</v>
      </c>
      <c r="F1393">
        <v>349.14</v>
      </c>
      <c r="H1393">
        <v>349.14</v>
      </c>
    </row>
    <row r="1395" spans="1:10" ht="15" customHeight="1" x14ac:dyDescent="0.2">
      <c r="A1395" t="s">
        <v>2174</v>
      </c>
      <c r="B1395" t="s">
        <v>2175</v>
      </c>
      <c r="F1395" t="s">
        <v>2430</v>
      </c>
      <c r="G1395" t="s">
        <v>2431</v>
      </c>
      <c r="H1395" t="s">
        <v>2432</v>
      </c>
      <c r="I1395" t="s">
        <v>2433</v>
      </c>
      <c r="J1395" t="s">
        <v>2434</v>
      </c>
    </row>
    <row r="1396" spans="1:10" ht="15" customHeight="1" x14ac:dyDescent="0.2">
      <c r="A1396" s="420">
        <v>46079</v>
      </c>
      <c r="B1396" t="s">
        <v>2532</v>
      </c>
      <c r="C1396" t="s">
        <v>2174</v>
      </c>
      <c r="D1396" t="s">
        <v>8790</v>
      </c>
      <c r="E1396" t="s">
        <v>2176</v>
      </c>
      <c r="F1396">
        <v>743.13</v>
      </c>
      <c r="H1396">
        <v>743.13</v>
      </c>
    </row>
    <row r="1397" spans="1:10" ht="15" customHeight="1" x14ac:dyDescent="0.2">
      <c r="A1397" t="s">
        <v>2174</v>
      </c>
      <c r="E1397" t="s">
        <v>349</v>
      </c>
      <c r="F1397">
        <v>743.13</v>
      </c>
      <c r="H1397">
        <v>743.13</v>
      </c>
    </row>
    <row r="1399" spans="1:10" ht="15" customHeight="1" x14ac:dyDescent="0.2">
      <c r="A1399" t="s">
        <v>1568</v>
      </c>
      <c r="B1399" t="s">
        <v>1569</v>
      </c>
      <c r="F1399" t="s">
        <v>2430</v>
      </c>
      <c r="G1399" t="s">
        <v>2431</v>
      </c>
      <c r="H1399" t="s">
        <v>2432</v>
      </c>
      <c r="I1399" t="s">
        <v>2433</v>
      </c>
      <c r="J1399" t="s">
        <v>2434</v>
      </c>
    </row>
    <row r="1400" spans="1:10" ht="15" customHeight="1" x14ac:dyDescent="0.2">
      <c r="A1400" s="420">
        <v>46030</v>
      </c>
      <c r="B1400" t="s">
        <v>2532</v>
      </c>
      <c r="C1400" t="s">
        <v>1568</v>
      </c>
      <c r="D1400" t="s">
        <v>8791</v>
      </c>
      <c r="E1400" t="s">
        <v>2152</v>
      </c>
      <c r="F1400">
        <v>1500</v>
      </c>
      <c r="H1400">
        <v>1500</v>
      </c>
    </row>
    <row r="1401" spans="1:10" ht="15" customHeight="1" x14ac:dyDescent="0.2">
      <c r="A1401" s="420">
        <v>46041</v>
      </c>
      <c r="B1401" t="s">
        <v>2532</v>
      </c>
      <c r="C1401" t="s">
        <v>1568</v>
      </c>
      <c r="D1401" t="s">
        <v>8792</v>
      </c>
      <c r="E1401" t="s">
        <v>2156</v>
      </c>
      <c r="F1401">
        <v>2450</v>
      </c>
      <c r="H1401">
        <v>3950</v>
      </c>
    </row>
    <row r="1402" spans="1:10" ht="15" customHeight="1" x14ac:dyDescent="0.2">
      <c r="A1402" s="420">
        <v>46111</v>
      </c>
      <c r="B1402" t="s">
        <v>2532</v>
      </c>
      <c r="C1402" t="s">
        <v>1568</v>
      </c>
      <c r="D1402" t="s">
        <v>8193</v>
      </c>
      <c r="E1402" t="s">
        <v>2185</v>
      </c>
      <c r="F1402">
        <v>1200</v>
      </c>
      <c r="H1402">
        <v>5150</v>
      </c>
    </row>
    <row r="1403" spans="1:10" ht="15" customHeight="1" x14ac:dyDescent="0.2">
      <c r="A1403" t="s">
        <v>1568</v>
      </c>
      <c r="E1403" t="s">
        <v>349</v>
      </c>
      <c r="F1403">
        <v>5150</v>
      </c>
      <c r="H1403">
        <v>5150</v>
      </c>
    </row>
    <row r="1405" spans="1:10" ht="15" customHeight="1" x14ac:dyDescent="0.2">
      <c r="A1405" t="s">
        <v>7882</v>
      </c>
      <c r="B1405" t="s">
        <v>94</v>
      </c>
      <c r="F1405" t="s">
        <v>2430</v>
      </c>
      <c r="G1405" t="s">
        <v>2431</v>
      </c>
      <c r="H1405" t="s">
        <v>2432</v>
      </c>
      <c r="I1405" t="s">
        <v>2433</v>
      </c>
      <c r="J1405" t="s">
        <v>2434</v>
      </c>
    </row>
    <row r="1406" spans="1:10" ht="15" customHeight="1" x14ac:dyDescent="0.2">
      <c r="A1406" s="420">
        <v>46042</v>
      </c>
      <c r="B1406" t="s">
        <v>2532</v>
      </c>
      <c r="C1406" t="s">
        <v>7882</v>
      </c>
      <c r="D1406" t="s">
        <v>8004</v>
      </c>
      <c r="E1406" t="s">
        <v>8005</v>
      </c>
      <c r="F1406">
        <v>7828.15</v>
      </c>
      <c r="H1406">
        <v>7828.15</v>
      </c>
    </row>
    <row r="1407" spans="1:10" ht="15" customHeight="1" x14ac:dyDescent="0.2">
      <c r="A1407" s="420">
        <v>46062</v>
      </c>
      <c r="B1407" t="s">
        <v>2532</v>
      </c>
      <c r="C1407" t="s">
        <v>7882</v>
      </c>
      <c r="D1407" t="s">
        <v>8793</v>
      </c>
      <c r="E1407" t="s">
        <v>8794</v>
      </c>
      <c r="F1407">
        <v>87352.8</v>
      </c>
      <c r="H1407">
        <v>95180.95</v>
      </c>
    </row>
    <row r="1408" spans="1:10" ht="15" customHeight="1" x14ac:dyDescent="0.2">
      <c r="A1408" s="420">
        <v>46062</v>
      </c>
      <c r="B1408" t="s">
        <v>2532</v>
      </c>
      <c r="C1408" t="s">
        <v>7882</v>
      </c>
      <c r="D1408" t="s">
        <v>8795</v>
      </c>
      <c r="E1408" t="s">
        <v>8796</v>
      </c>
      <c r="F1408">
        <v>7828.15</v>
      </c>
      <c r="H1408">
        <v>103009.1</v>
      </c>
    </row>
    <row r="1409" spans="1:10" ht="15" customHeight="1" x14ac:dyDescent="0.2">
      <c r="A1409" s="420">
        <v>46070</v>
      </c>
      <c r="B1409" t="s">
        <v>2532</v>
      </c>
      <c r="C1409" t="s">
        <v>7882</v>
      </c>
      <c r="D1409" t="s">
        <v>8797</v>
      </c>
      <c r="E1409" t="s">
        <v>8798</v>
      </c>
      <c r="F1409">
        <v>7828.15</v>
      </c>
      <c r="H1409">
        <v>110837.25</v>
      </c>
    </row>
    <row r="1410" spans="1:10" ht="15" customHeight="1" x14ac:dyDescent="0.2">
      <c r="A1410" s="420">
        <v>46070</v>
      </c>
      <c r="B1410" t="s">
        <v>2532</v>
      </c>
      <c r="C1410" t="s">
        <v>7882</v>
      </c>
      <c r="D1410" t="s">
        <v>8799</v>
      </c>
      <c r="E1410" t="s">
        <v>8800</v>
      </c>
      <c r="F1410">
        <v>89194.3</v>
      </c>
      <c r="H1410">
        <v>200031.55</v>
      </c>
    </row>
    <row r="1411" spans="1:10" ht="15" customHeight="1" x14ac:dyDescent="0.2">
      <c r="A1411" s="420">
        <v>46087</v>
      </c>
      <c r="B1411" t="s">
        <v>2532</v>
      </c>
      <c r="C1411" t="s">
        <v>7882</v>
      </c>
      <c r="D1411" t="s">
        <v>8801</v>
      </c>
      <c r="E1411" t="s">
        <v>8802</v>
      </c>
      <c r="F1411">
        <v>98793.9</v>
      </c>
      <c r="H1411">
        <v>298825.45</v>
      </c>
    </row>
    <row r="1412" spans="1:10" ht="15" customHeight="1" x14ac:dyDescent="0.2">
      <c r="A1412" s="420">
        <v>46087</v>
      </c>
      <c r="B1412" t="s">
        <v>2532</v>
      </c>
      <c r="C1412" t="s">
        <v>7882</v>
      </c>
      <c r="D1412" t="s">
        <v>8803</v>
      </c>
      <c r="E1412" t="s">
        <v>8804</v>
      </c>
      <c r="F1412">
        <v>7828.15</v>
      </c>
      <c r="H1412">
        <v>306653.59999999998</v>
      </c>
    </row>
    <row r="1413" spans="1:10" ht="15" customHeight="1" x14ac:dyDescent="0.2">
      <c r="A1413" s="420">
        <v>46097</v>
      </c>
      <c r="B1413" t="s">
        <v>2532</v>
      </c>
      <c r="C1413" t="s">
        <v>7882</v>
      </c>
      <c r="D1413" t="s">
        <v>8805</v>
      </c>
      <c r="E1413" t="s">
        <v>8806</v>
      </c>
      <c r="F1413">
        <v>7828.15</v>
      </c>
      <c r="H1413">
        <v>314481.75</v>
      </c>
    </row>
    <row r="1414" spans="1:10" ht="15" customHeight="1" x14ac:dyDescent="0.2">
      <c r="A1414" s="420">
        <v>46097</v>
      </c>
      <c r="B1414" t="s">
        <v>2532</v>
      </c>
      <c r="C1414" t="s">
        <v>7882</v>
      </c>
      <c r="D1414" t="s">
        <v>8807</v>
      </c>
      <c r="E1414" t="s">
        <v>8808</v>
      </c>
      <c r="F1414">
        <v>72850.86</v>
      </c>
      <c r="H1414">
        <v>387332.61</v>
      </c>
    </row>
    <row r="1415" spans="1:10" ht="15" customHeight="1" x14ac:dyDescent="0.2">
      <c r="A1415" t="s">
        <v>7882</v>
      </c>
      <c r="E1415" t="s">
        <v>349</v>
      </c>
      <c r="F1415">
        <v>387332.61</v>
      </c>
      <c r="H1415">
        <v>387332.61</v>
      </c>
    </row>
    <row r="1417" spans="1:10" ht="15" customHeight="1" x14ac:dyDescent="0.2">
      <c r="A1417" t="s">
        <v>1066</v>
      </c>
      <c r="B1417" t="s">
        <v>1067</v>
      </c>
      <c r="F1417" t="s">
        <v>2430</v>
      </c>
      <c r="G1417" t="s">
        <v>2431</v>
      </c>
      <c r="H1417" t="s">
        <v>2432</v>
      </c>
      <c r="I1417" t="s">
        <v>2433</v>
      </c>
      <c r="J1417" t="s">
        <v>2434</v>
      </c>
    </row>
    <row r="1418" spans="1:10" ht="15" customHeight="1" x14ac:dyDescent="0.2">
      <c r="A1418" s="420">
        <v>46081</v>
      </c>
      <c r="B1418" t="s">
        <v>2532</v>
      </c>
      <c r="C1418" t="s">
        <v>1066</v>
      </c>
      <c r="D1418" t="s">
        <v>8169</v>
      </c>
      <c r="E1418" t="s">
        <v>2101</v>
      </c>
      <c r="F1418">
        <v>592</v>
      </c>
      <c r="H1418">
        <v>592</v>
      </c>
    </row>
    <row r="1419" spans="1:10" ht="15" customHeight="1" x14ac:dyDescent="0.2">
      <c r="A1419" s="420">
        <v>46081</v>
      </c>
      <c r="B1419" t="s">
        <v>2532</v>
      </c>
      <c r="C1419" t="s">
        <v>1066</v>
      </c>
      <c r="D1419" t="s">
        <v>8170</v>
      </c>
      <c r="E1419" t="s">
        <v>2102</v>
      </c>
      <c r="F1419">
        <v>806</v>
      </c>
      <c r="H1419">
        <v>1398</v>
      </c>
    </row>
    <row r="1420" spans="1:10" ht="15" customHeight="1" x14ac:dyDescent="0.2">
      <c r="A1420" s="420">
        <v>46112</v>
      </c>
      <c r="B1420" t="s">
        <v>2532</v>
      </c>
      <c r="C1420" t="s">
        <v>1066</v>
      </c>
      <c r="D1420" t="s">
        <v>7974</v>
      </c>
      <c r="E1420" t="s">
        <v>2103</v>
      </c>
      <c r="F1420">
        <v>592</v>
      </c>
      <c r="H1420">
        <v>1990</v>
      </c>
    </row>
    <row r="1421" spans="1:10" ht="15" customHeight="1" x14ac:dyDescent="0.2">
      <c r="A1421" t="s">
        <v>1066</v>
      </c>
      <c r="E1421" t="s">
        <v>349</v>
      </c>
      <c r="F1421">
        <v>1990</v>
      </c>
      <c r="H1421">
        <v>1990</v>
      </c>
    </row>
    <row r="1423" spans="1:10" ht="15" customHeight="1" x14ac:dyDescent="0.2">
      <c r="A1423" t="s">
        <v>1094</v>
      </c>
      <c r="B1423" t="s">
        <v>1095</v>
      </c>
      <c r="F1423" t="s">
        <v>2430</v>
      </c>
      <c r="G1423" t="s">
        <v>2431</v>
      </c>
      <c r="H1423" t="s">
        <v>2432</v>
      </c>
      <c r="I1423" t="s">
        <v>2433</v>
      </c>
      <c r="J1423" t="s">
        <v>2434</v>
      </c>
    </row>
    <row r="1424" spans="1:10" ht="15" customHeight="1" x14ac:dyDescent="0.2">
      <c r="A1424" s="420">
        <v>46112</v>
      </c>
      <c r="B1424" t="s">
        <v>2532</v>
      </c>
      <c r="C1424" t="s">
        <v>1094</v>
      </c>
      <c r="D1424" t="s">
        <v>7975</v>
      </c>
      <c r="E1424" t="s">
        <v>2104</v>
      </c>
      <c r="F1424">
        <v>440.6</v>
      </c>
      <c r="H1424">
        <v>440.6</v>
      </c>
    </row>
    <row r="1425" spans="1:10" ht="15" customHeight="1" x14ac:dyDescent="0.2">
      <c r="A1425" t="s">
        <v>1094</v>
      </c>
      <c r="E1425" t="s">
        <v>349</v>
      </c>
      <c r="F1425">
        <v>440.6</v>
      </c>
      <c r="H1425">
        <v>440.6</v>
      </c>
    </row>
    <row r="1427" spans="1:10" ht="15" customHeight="1" x14ac:dyDescent="0.2">
      <c r="A1427" t="s">
        <v>1069</v>
      </c>
      <c r="B1427" t="s">
        <v>1070</v>
      </c>
      <c r="F1427" t="s">
        <v>2430</v>
      </c>
      <c r="G1427" t="s">
        <v>2431</v>
      </c>
      <c r="H1427" t="s">
        <v>2432</v>
      </c>
      <c r="I1427" t="s">
        <v>2433</v>
      </c>
      <c r="J1427" t="s">
        <v>2434</v>
      </c>
    </row>
    <row r="1428" spans="1:10" ht="15" customHeight="1" x14ac:dyDescent="0.2">
      <c r="A1428" s="420">
        <v>46053</v>
      </c>
      <c r="B1428" t="s">
        <v>2532</v>
      </c>
      <c r="C1428" t="s">
        <v>1069</v>
      </c>
      <c r="D1428" t="s">
        <v>8164</v>
      </c>
      <c r="E1428" t="s">
        <v>2100</v>
      </c>
      <c r="F1428">
        <v>592</v>
      </c>
      <c r="H1428">
        <v>592</v>
      </c>
    </row>
    <row r="1429" spans="1:10" ht="15" customHeight="1" x14ac:dyDescent="0.2">
      <c r="A1429" t="s">
        <v>1069</v>
      </c>
      <c r="E1429" t="s">
        <v>349</v>
      </c>
      <c r="F1429">
        <v>592</v>
      </c>
      <c r="H1429">
        <v>592</v>
      </c>
    </row>
    <row r="1431" spans="1:10" ht="15" customHeight="1" x14ac:dyDescent="0.2">
      <c r="A1431" t="s">
        <v>1437</v>
      </c>
      <c r="B1431" t="s">
        <v>1438</v>
      </c>
      <c r="F1431" t="s">
        <v>2430</v>
      </c>
      <c r="G1431" t="s">
        <v>2431</v>
      </c>
      <c r="H1431" t="s">
        <v>2432</v>
      </c>
      <c r="I1431" t="s">
        <v>2433</v>
      </c>
      <c r="J1431" t="s">
        <v>2434</v>
      </c>
    </row>
    <row r="1432" spans="1:10" ht="15" customHeight="1" x14ac:dyDescent="0.2">
      <c r="A1432" s="420">
        <v>46024</v>
      </c>
      <c r="B1432" t="s">
        <v>2532</v>
      </c>
      <c r="C1432" t="s">
        <v>1437</v>
      </c>
      <c r="D1432" t="s">
        <v>8809</v>
      </c>
      <c r="E1432" t="s">
        <v>2149</v>
      </c>
      <c r="F1432">
        <v>25</v>
      </c>
      <c r="H1432">
        <v>25</v>
      </c>
    </row>
    <row r="1433" spans="1:10" ht="15" customHeight="1" x14ac:dyDescent="0.2">
      <c r="A1433" s="420">
        <v>46024</v>
      </c>
      <c r="B1433" t="s">
        <v>2532</v>
      </c>
      <c r="C1433" t="s">
        <v>1437</v>
      </c>
      <c r="D1433" t="s">
        <v>8810</v>
      </c>
      <c r="E1433" t="s">
        <v>2150</v>
      </c>
      <c r="F1433">
        <v>20</v>
      </c>
      <c r="H1433">
        <v>45</v>
      </c>
    </row>
    <row r="1434" spans="1:10" ht="15" customHeight="1" x14ac:dyDescent="0.2">
      <c r="A1434" s="420">
        <v>46042</v>
      </c>
      <c r="B1434" t="s">
        <v>2532</v>
      </c>
      <c r="C1434" t="s">
        <v>1437</v>
      </c>
      <c r="D1434" t="s">
        <v>8811</v>
      </c>
      <c r="E1434" t="s">
        <v>2157</v>
      </c>
      <c r="F1434">
        <v>1124.04</v>
      </c>
      <c r="H1434">
        <v>1169.04</v>
      </c>
    </row>
    <row r="1435" spans="1:10" ht="15" customHeight="1" x14ac:dyDescent="0.2">
      <c r="A1435" s="420">
        <v>46049</v>
      </c>
      <c r="B1435" t="s">
        <v>2532</v>
      </c>
      <c r="C1435" t="s">
        <v>1437</v>
      </c>
      <c r="D1435" t="s">
        <v>8812</v>
      </c>
      <c r="E1435" t="s">
        <v>2160</v>
      </c>
      <c r="G1435">
        <v>60</v>
      </c>
      <c r="H1435">
        <v>1109.04</v>
      </c>
    </row>
    <row r="1436" spans="1:10" ht="15" customHeight="1" x14ac:dyDescent="0.2">
      <c r="A1436" s="420">
        <v>46053</v>
      </c>
      <c r="B1436" t="s">
        <v>2532</v>
      </c>
      <c r="C1436" t="s">
        <v>1437</v>
      </c>
      <c r="D1436" t="s">
        <v>8165</v>
      </c>
      <c r="E1436" t="s">
        <v>2161</v>
      </c>
      <c r="F1436">
        <v>2075</v>
      </c>
      <c r="H1436">
        <v>3184.04</v>
      </c>
    </row>
    <row r="1437" spans="1:10" ht="15" customHeight="1" x14ac:dyDescent="0.2">
      <c r="A1437" s="420">
        <v>46053</v>
      </c>
      <c r="B1437" t="s">
        <v>2532</v>
      </c>
      <c r="C1437" t="s">
        <v>1437</v>
      </c>
      <c r="D1437" t="s">
        <v>8166</v>
      </c>
      <c r="E1437" t="s">
        <v>2162</v>
      </c>
      <c r="F1437">
        <v>240</v>
      </c>
      <c r="H1437">
        <v>3424.04</v>
      </c>
    </row>
    <row r="1438" spans="1:10" ht="15" customHeight="1" x14ac:dyDescent="0.2">
      <c r="A1438" s="420">
        <v>46055</v>
      </c>
      <c r="B1438" t="s">
        <v>2532</v>
      </c>
      <c r="C1438" t="s">
        <v>1437</v>
      </c>
      <c r="D1438" t="s">
        <v>8813</v>
      </c>
      <c r="E1438" t="s">
        <v>2163</v>
      </c>
      <c r="F1438">
        <v>20</v>
      </c>
      <c r="H1438">
        <v>3444.04</v>
      </c>
    </row>
    <row r="1439" spans="1:10" ht="15" customHeight="1" x14ac:dyDescent="0.2">
      <c r="A1439" s="420">
        <v>46081</v>
      </c>
      <c r="B1439" t="s">
        <v>2532</v>
      </c>
      <c r="C1439" t="s">
        <v>1437</v>
      </c>
      <c r="D1439" t="s">
        <v>8814</v>
      </c>
      <c r="E1439" t="s">
        <v>2177</v>
      </c>
      <c r="F1439">
        <v>2075</v>
      </c>
      <c r="H1439">
        <v>5519.04</v>
      </c>
    </row>
    <row r="1440" spans="1:10" ht="15" customHeight="1" x14ac:dyDescent="0.2">
      <c r="A1440" s="420">
        <v>46081</v>
      </c>
      <c r="B1440" t="s">
        <v>2532</v>
      </c>
      <c r="C1440" t="s">
        <v>1437</v>
      </c>
      <c r="D1440" t="s">
        <v>8172</v>
      </c>
      <c r="E1440" t="s">
        <v>2178</v>
      </c>
      <c r="F1440">
        <v>240</v>
      </c>
      <c r="H1440">
        <v>5759.04</v>
      </c>
    </row>
    <row r="1441" spans="1:10" ht="15" customHeight="1" x14ac:dyDescent="0.2">
      <c r="A1441" s="420">
        <v>46083</v>
      </c>
      <c r="B1441" t="s">
        <v>2532</v>
      </c>
      <c r="C1441" t="s">
        <v>1437</v>
      </c>
      <c r="D1441" t="s">
        <v>8179</v>
      </c>
      <c r="E1441" t="s">
        <v>2180</v>
      </c>
      <c r="F1441">
        <v>20</v>
      </c>
      <c r="H1441">
        <v>5779.04</v>
      </c>
    </row>
    <row r="1442" spans="1:10" ht="15" customHeight="1" x14ac:dyDescent="0.2">
      <c r="A1442" t="s">
        <v>1437</v>
      </c>
      <c r="E1442" t="s">
        <v>349</v>
      </c>
      <c r="F1442">
        <v>5839.04</v>
      </c>
      <c r="G1442">
        <v>60</v>
      </c>
      <c r="H1442">
        <v>5779.04</v>
      </c>
    </row>
    <row r="1444" spans="1:10" ht="15" customHeight="1" x14ac:dyDescent="0.2">
      <c r="A1444" t="s">
        <v>1433</v>
      </c>
      <c r="B1444" t="s">
        <v>1434</v>
      </c>
      <c r="F1444" t="s">
        <v>2430</v>
      </c>
      <c r="G1444" t="s">
        <v>2431</v>
      </c>
      <c r="H1444" t="s">
        <v>2432</v>
      </c>
      <c r="I1444" t="s">
        <v>2433</v>
      </c>
      <c r="J1444" t="s">
        <v>2434</v>
      </c>
    </row>
    <row r="1445" spans="1:10" ht="15" customHeight="1" x14ac:dyDescent="0.2">
      <c r="A1445" s="420">
        <v>46028</v>
      </c>
      <c r="B1445" t="s">
        <v>2532</v>
      </c>
      <c r="C1445" t="s">
        <v>1433</v>
      </c>
      <c r="D1445" t="s">
        <v>8815</v>
      </c>
      <c r="E1445" t="s">
        <v>2151</v>
      </c>
      <c r="F1445">
        <v>1227.9000000000001</v>
      </c>
      <c r="H1445">
        <v>1227.9000000000001</v>
      </c>
    </row>
    <row r="1446" spans="1:10" ht="15" customHeight="1" x14ac:dyDescent="0.2">
      <c r="A1446" s="420">
        <v>46048</v>
      </c>
      <c r="B1446" t="s">
        <v>2532</v>
      </c>
      <c r="C1446" t="s">
        <v>1433</v>
      </c>
      <c r="D1446" t="s">
        <v>8816</v>
      </c>
      <c r="E1446" t="s">
        <v>2158</v>
      </c>
      <c r="F1446">
        <v>349</v>
      </c>
      <c r="H1446">
        <v>1576.9</v>
      </c>
    </row>
    <row r="1447" spans="1:10" ht="15" customHeight="1" x14ac:dyDescent="0.2">
      <c r="A1447" s="420">
        <v>46058</v>
      </c>
      <c r="B1447" t="s">
        <v>2532</v>
      </c>
      <c r="C1447" t="s">
        <v>1433</v>
      </c>
      <c r="D1447" t="s">
        <v>8817</v>
      </c>
      <c r="E1447" t="s">
        <v>2164</v>
      </c>
      <c r="F1447">
        <v>1644.95</v>
      </c>
      <c r="H1447">
        <v>3221.85</v>
      </c>
    </row>
    <row r="1448" spans="1:10" ht="15" customHeight="1" x14ac:dyDescent="0.2">
      <c r="A1448" s="420">
        <v>46078</v>
      </c>
      <c r="B1448" t="s">
        <v>2532</v>
      </c>
      <c r="C1448" t="s">
        <v>1433</v>
      </c>
      <c r="D1448" t="s">
        <v>8818</v>
      </c>
      <c r="E1448" t="s">
        <v>2172</v>
      </c>
      <c r="F1448">
        <v>349</v>
      </c>
      <c r="H1448">
        <v>3570.85</v>
      </c>
    </row>
    <row r="1449" spans="1:10" ht="15" customHeight="1" x14ac:dyDescent="0.2">
      <c r="A1449" s="420">
        <v>46087</v>
      </c>
      <c r="B1449" t="s">
        <v>2532</v>
      </c>
      <c r="C1449" t="s">
        <v>1433</v>
      </c>
      <c r="D1449" t="s">
        <v>8182</v>
      </c>
      <c r="E1449" t="s">
        <v>2181</v>
      </c>
      <c r="F1449">
        <v>2659.76</v>
      </c>
      <c r="H1449">
        <v>6230.61</v>
      </c>
    </row>
    <row r="1450" spans="1:10" ht="15" customHeight="1" x14ac:dyDescent="0.2">
      <c r="A1450" t="s">
        <v>1433</v>
      </c>
      <c r="E1450" t="s">
        <v>349</v>
      </c>
      <c r="F1450">
        <v>6230.61</v>
      </c>
      <c r="H1450">
        <v>6230.61</v>
      </c>
    </row>
    <row r="1452" spans="1:10" ht="15" customHeight="1" x14ac:dyDescent="0.2">
      <c r="A1452" t="s">
        <v>1442</v>
      </c>
      <c r="B1452" t="s">
        <v>1443</v>
      </c>
      <c r="F1452" t="s">
        <v>2430</v>
      </c>
      <c r="G1452" t="s">
        <v>2431</v>
      </c>
      <c r="H1452" t="s">
        <v>2432</v>
      </c>
      <c r="I1452" t="s">
        <v>2433</v>
      </c>
      <c r="J1452" t="s">
        <v>2434</v>
      </c>
    </row>
    <row r="1453" spans="1:10" ht="15" customHeight="1" x14ac:dyDescent="0.2">
      <c r="A1453" s="420">
        <v>46063</v>
      </c>
      <c r="B1453" t="s">
        <v>2532</v>
      </c>
      <c r="C1453" t="s">
        <v>1442</v>
      </c>
      <c r="D1453" t="s">
        <v>8819</v>
      </c>
      <c r="E1453" t="s">
        <v>2166</v>
      </c>
      <c r="F1453">
        <v>41.67</v>
      </c>
      <c r="H1453">
        <v>41.67</v>
      </c>
    </row>
    <row r="1454" spans="1:10" ht="15" customHeight="1" x14ac:dyDescent="0.2">
      <c r="A1454" s="420">
        <v>46063</v>
      </c>
      <c r="B1454" t="s">
        <v>2532</v>
      </c>
      <c r="C1454" t="s">
        <v>1442</v>
      </c>
      <c r="D1454" t="s">
        <v>8820</v>
      </c>
      <c r="E1454" t="s">
        <v>2167</v>
      </c>
      <c r="F1454">
        <v>41.67</v>
      </c>
      <c r="H1454">
        <v>83.34</v>
      </c>
    </row>
    <row r="1455" spans="1:10" ht="15" customHeight="1" x14ac:dyDescent="0.2">
      <c r="A1455" s="420">
        <v>46064</v>
      </c>
      <c r="B1455" t="s">
        <v>2532</v>
      </c>
      <c r="C1455" t="s">
        <v>1442</v>
      </c>
      <c r="D1455" t="s">
        <v>8821</v>
      </c>
      <c r="E1455" t="s">
        <v>2168</v>
      </c>
      <c r="F1455">
        <v>500</v>
      </c>
      <c r="H1455">
        <v>583.34</v>
      </c>
    </row>
    <row r="1456" spans="1:10" ht="15" customHeight="1" x14ac:dyDescent="0.2">
      <c r="A1456" s="420">
        <v>46065</v>
      </c>
      <c r="B1456" t="s">
        <v>2532</v>
      </c>
      <c r="C1456" t="s">
        <v>1442</v>
      </c>
      <c r="D1456" t="s">
        <v>8822</v>
      </c>
      <c r="E1456" t="s">
        <v>2169</v>
      </c>
      <c r="F1456">
        <v>500</v>
      </c>
      <c r="H1456">
        <v>1083.3399999999999</v>
      </c>
    </row>
    <row r="1457" spans="1:10" ht="15" customHeight="1" x14ac:dyDescent="0.2">
      <c r="A1457" s="420">
        <v>46094</v>
      </c>
      <c r="B1457" t="s">
        <v>2532</v>
      </c>
      <c r="C1457" t="s">
        <v>1442</v>
      </c>
      <c r="D1457" t="s">
        <v>8823</v>
      </c>
      <c r="E1457" t="s">
        <v>2182</v>
      </c>
      <c r="F1457">
        <v>500</v>
      </c>
      <c r="H1457">
        <v>1583.34</v>
      </c>
    </row>
    <row r="1458" spans="1:10" ht="15" customHeight="1" x14ac:dyDescent="0.2">
      <c r="A1458" s="420">
        <v>46094</v>
      </c>
      <c r="B1458" t="s">
        <v>2532</v>
      </c>
      <c r="C1458" t="s">
        <v>1442</v>
      </c>
      <c r="D1458" t="s">
        <v>8824</v>
      </c>
      <c r="E1458" t="s">
        <v>2183</v>
      </c>
      <c r="F1458">
        <v>500</v>
      </c>
      <c r="H1458">
        <v>2083.34</v>
      </c>
    </row>
    <row r="1459" spans="1:10" ht="15" customHeight="1" x14ac:dyDescent="0.2">
      <c r="A1459" t="s">
        <v>1442</v>
      </c>
      <c r="E1459" t="s">
        <v>349</v>
      </c>
      <c r="F1459">
        <v>2083.34</v>
      </c>
      <c r="H1459">
        <v>2083.34</v>
      </c>
    </row>
    <row r="1461" spans="1:10" ht="15" customHeight="1" x14ac:dyDescent="0.2">
      <c r="A1461" t="s">
        <v>1730</v>
      </c>
      <c r="B1461" t="s">
        <v>1731</v>
      </c>
      <c r="F1461" t="s">
        <v>2430</v>
      </c>
      <c r="G1461" t="s">
        <v>2431</v>
      </c>
      <c r="H1461" t="s">
        <v>2432</v>
      </c>
      <c r="I1461" t="s">
        <v>2433</v>
      </c>
      <c r="J1461" t="s">
        <v>2434</v>
      </c>
    </row>
    <row r="1462" spans="1:10" ht="15" customHeight="1" x14ac:dyDescent="0.2">
      <c r="A1462" s="420">
        <v>46067</v>
      </c>
      <c r="B1462" t="s">
        <v>2532</v>
      </c>
      <c r="C1462" t="s">
        <v>1730</v>
      </c>
      <c r="D1462" t="s">
        <v>8825</v>
      </c>
      <c r="E1462" t="s">
        <v>2223</v>
      </c>
      <c r="F1462">
        <v>583.26</v>
      </c>
      <c r="H1462">
        <v>583.26</v>
      </c>
    </row>
    <row r="1463" spans="1:10" ht="15" customHeight="1" x14ac:dyDescent="0.2">
      <c r="A1463" s="420">
        <v>46076</v>
      </c>
      <c r="B1463" t="s">
        <v>2532</v>
      </c>
      <c r="C1463" t="s">
        <v>1730</v>
      </c>
      <c r="D1463" t="s">
        <v>8826</v>
      </c>
      <c r="E1463" t="s">
        <v>2233</v>
      </c>
      <c r="F1463">
        <v>261.91000000000003</v>
      </c>
      <c r="H1463">
        <v>845.17</v>
      </c>
    </row>
    <row r="1464" spans="1:10" ht="15" customHeight="1" x14ac:dyDescent="0.2">
      <c r="A1464" s="420">
        <v>46077</v>
      </c>
      <c r="B1464" t="s">
        <v>2532</v>
      </c>
      <c r="C1464" t="s">
        <v>1730</v>
      </c>
      <c r="D1464" t="s">
        <v>8827</v>
      </c>
      <c r="E1464" t="s">
        <v>2234</v>
      </c>
      <c r="F1464">
        <v>88.18</v>
      </c>
      <c r="H1464">
        <v>933.35</v>
      </c>
    </row>
    <row r="1465" spans="1:10" ht="15" customHeight="1" x14ac:dyDescent="0.2">
      <c r="A1465" s="420">
        <v>46078</v>
      </c>
      <c r="B1465" t="s">
        <v>2532</v>
      </c>
      <c r="C1465" t="s">
        <v>1730</v>
      </c>
      <c r="D1465" t="s">
        <v>8038</v>
      </c>
      <c r="E1465" t="s">
        <v>2235</v>
      </c>
      <c r="F1465">
        <v>46.11</v>
      </c>
      <c r="H1465">
        <v>979.46</v>
      </c>
    </row>
    <row r="1466" spans="1:10" ht="15" customHeight="1" x14ac:dyDescent="0.2">
      <c r="A1466" s="420">
        <v>46107</v>
      </c>
      <c r="B1466" t="s">
        <v>2532</v>
      </c>
      <c r="C1466" t="s">
        <v>1730</v>
      </c>
      <c r="D1466" t="s">
        <v>7981</v>
      </c>
      <c r="E1466" t="s">
        <v>2247</v>
      </c>
      <c r="F1466">
        <v>92.59</v>
      </c>
      <c r="H1466">
        <v>1072.05</v>
      </c>
    </row>
    <row r="1467" spans="1:10" ht="15" customHeight="1" x14ac:dyDescent="0.2">
      <c r="A1467" t="s">
        <v>1730</v>
      </c>
      <c r="E1467" t="s">
        <v>349</v>
      </c>
      <c r="F1467">
        <v>1072.05</v>
      </c>
      <c r="H1467">
        <v>1072.05</v>
      </c>
    </row>
    <row r="1469" spans="1:10" ht="15" customHeight="1" x14ac:dyDescent="0.2">
      <c r="A1469" t="s">
        <v>1723</v>
      </c>
      <c r="B1469" t="s">
        <v>1724</v>
      </c>
      <c r="F1469" t="s">
        <v>2430</v>
      </c>
      <c r="G1469" t="s">
        <v>2431</v>
      </c>
      <c r="H1469" t="s">
        <v>2432</v>
      </c>
      <c r="I1469" t="s">
        <v>2433</v>
      </c>
      <c r="J1469" t="s">
        <v>2434</v>
      </c>
    </row>
    <row r="1470" spans="1:10" ht="15" customHeight="1" x14ac:dyDescent="0.2">
      <c r="A1470" s="420">
        <v>46023</v>
      </c>
      <c r="B1470" t="s">
        <v>2532</v>
      </c>
      <c r="C1470" t="s">
        <v>1723</v>
      </c>
      <c r="D1470" t="s">
        <v>8828</v>
      </c>
      <c r="E1470" t="s">
        <v>2209</v>
      </c>
      <c r="F1470">
        <v>149.19999999999999</v>
      </c>
      <c r="H1470">
        <v>149.19999999999999</v>
      </c>
    </row>
    <row r="1471" spans="1:10" ht="15" customHeight="1" x14ac:dyDescent="0.2">
      <c r="A1471" s="420">
        <v>46054</v>
      </c>
      <c r="B1471" t="s">
        <v>2532</v>
      </c>
      <c r="C1471" t="s">
        <v>1723</v>
      </c>
      <c r="D1471" t="s">
        <v>8829</v>
      </c>
      <c r="E1471" t="s">
        <v>2219</v>
      </c>
      <c r="F1471">
        <v>99.95</v>
      </c>
      <c r="H1471">
        <v>249.15</v>
      </c>
    </row>
    <row r="1472" spans="1:10" ht="15" customHeight="1" x14ac:dyDescent="0.2">
      <c r="A1472" s="420">
        <v>46082</v>
      </c>
      <c r="B1472" t="s">
        <v>2532</v>
      </c>
      <c r="C1472" t="s">
        <v>1723</v>
      </c>
      <c r="D1472" t="s">
        <v>8175</v>
      </c>
      <c r="E1472" t="s">
        <v>2237</v>
      </c>
      <c r="F1472">
        <v>143.12</v>
      </c>
      <c r="H1472">
        <v>392.27</v>
      </c>
    </row>
    <row r="1473" spans="1:10" ht="15" customHeight="1" x14ac:dyDescent="0.2">
      <c r="A1473" t="s">
        <v>1723</v>
      </c>
      <c r="E1473" t="s">
        <v>349</v>
      </c>
      <c r="F1473">
        <v>392.27</v>
      </c>
      <c r="H1473">
        <v>392.27</v>
      </c>
    </row>
    <row r="1475" spans="1:10" ht="15" customHeight="1" x14ac:dyDescent="0.2">
      <c r="A1475" t="s">
        <v>1734</v>
      </c>
      <c r="B1475" t="s">
        <v>1735</v>
      </c>
      <c r="F1475" t="s">
        <v>2430</v>
      </c>
      <c r="G1475" t="s">
        <v>2431</v>
      </c>
      <c r="H1475" t="s">
        <v>2432</v>
      </c>
      <c r="I1475" t="s">
        <v>2433</v>
      </c>
      <c r="J1475" t="s">
        <v>2434</v>
      </c>
    </row>
    <row r="1476" spans="1:10" ht="15" customHeight="1" x14ac:dyDescent="0.2">
      <c r="A1476" s="420">
        <v>46028</v>
      </c>
      <c r="B1476" t="s">
        <v>2532</v>
      </c>
      <c r="C1476" t="s">
        <v>1734</v>
      </c>
      <c r="D1476" t="s">
        <v>8830</v>
      </c>
      <c r="E1476" t="s">
        <v>2210</v>
      </c>
      <c r="F1476">
        <v>3.89</v>
      </c>
      <c r="H1476">
        <v>3.89</v>
      </c>
    </row>
    <row r="1477" spans="1:10" ht="15" customHeight="1" x14ac:dyDescent="0.2">
      <c r="A1477" s="420">
        <v>46028</v>
      </c>
      <c r="B1477" t="s">
        <v>2532</v>
      </c>
      <c r="C1477" t="s">
        <v>1734</v>
      </c>
      <c r="D1477" t="s">
        <v>8830</v>
      </c>
      <c r="E1477" t="s">
        <v>2210</v>
      </c>
      <c r="F1477">
        <v>43.94</v>
      </c>
      <c r="H1477">
        <v>47.83</v>
      </c>
    </row>
    <row r="1478" spans="1:10" ht="15" customHeight="1" x14ac:dyDescent="0.2">
      <c r="A1478" s="420">
        <v>46037</v>
      </c>
      <c r="B1478" t="s">
        <v>2532</v>
      </c>
      <c r="C1478" t="s">
        <v>1734</v>
      </c>
      <c r="D1478" t="s">
        <v>8831</v>
      </c>
      <c r="E1478" t="s">
        <v>2213</v>
      </c>
      <c r="F1478">
        <v>35</v>
      </c>
      <c r="H1478">
        <v>82.83</v>
      </c>
    </row>
    <row r="1479" spans="1:10" ht="15" customHeight="1" x14ac:dyDescent="0.2">
      <c r="A1479" s="420">
        <v>46037</v>
      </c>
      <c r="B1479" t="s">
        <v>2532</v>
      </c>
      <c r="C1479" t="s">
        <v>1734</v>
      </c>
      <c r="D1479" t="s">
        <v>8832</v>
      </c>
      <c r="E1479" t="s">
        <v>2214</v>
      </c>
      <c r="F1479">
        <v>10.83</v>
      </c>
      <c r="H1479">
        <v>93.66</v>
      </c>
    </row>
    <row r="1480" spans="1:10" ht="15" customHeight="1" x14ac:dyDescent="0.2">
      <c r="A1480" s="420">
        <v>46037</v>
      </c>
      <c r="B1480" t="s">
        <v>2532</v>
      </c>
      <c r="C1480" t="s">
        <v>1734</v>
      </c>
      <c r="D1480" t="s">
        <v>8832</v>
      </c>
      <c r="E1480" t="s">
        <v>2214</v>
      </c>
      <c r="F1480">
        <v>33.18</v>
      </c>
      <c r="H1480">
        <v>126.84</v>
      </c>
    </row>
    <row r="1481" spans="1:10" ht="15" customHeight="1" x14ac:dyDescent="0.2">
      <c r="A1481" s="420">
        <v>46039</v>
      </c>
      <c r="B1481" t="s">
        <v>2532</v>
      </c>
      <c r="C1481" t="s">
        <v>1734</v>
      </c>
      <c r="D1481" t="s">
        <v>8833</v>
      </c>
      <c r="E1481" t="s">
        <v>2216</v>
      </c>
      <c r="F1481">
        <v>195</v>
      </c>
      <c r="H1481">
        <v>321.83999999999997</v>
      </c>
    </row>
    <row r="1482" spans="1:10" ht="15" customHeight="1" x14ac:dyDescent="0.2">
      <c r="A1482" s="420">
        <v>46039</v>
      </c>
      <c r="B1482" t="s">
        <v>2532</v>
      </c>
      <c r="C1482" t="s">
        <v>1734</v>
      </c>
      <c r="D1482" t="s">
        <v>8833</v>
      </c>
      <c r="E1482" t="s">
        <v>2216</v>
      </c>
      <c r="F1482">
        <v>25.45</v>
      </c>
      <c r="H1482">
        <v>347.29</v>
      </c>
    </row>
    <row r="1483" spans="1:10" ht="15" customHeight="1" x14ac:dyDescent="0.2">
      <c r="A1483" s="420">
        <v>46042</v>
      </c>
      <c r="B1483" t="s">
        <v>2532</v>
      </c>
      <c r="C1483" t="s">
        <v>1734</v>
      </c>
      <c r="D1483" t="s">
        <v>8834</v>
      </c>
      <c r="E1483" t="s">
        <v>2214</v>
      </c>
      <c r="F1483">
        <v>52</v>
      </c>
      <c r="H1483">
        <v>399.29</v>
      </c>
    </row>
    <row r="1484" spans="1:10" ht="15" customHeight="1" x14ac:dyDescent="0.2">
      <c r="A1484" s="420">
        <v>46043</v>
      </c>
      <c r="B1484" t="s">
        <v>2532</v>
      </c>
      <c r="C1484" t="s">
        <v>1734</v>
      </c>
      <c r="D1484" t="s">
        <v>8835</v>
      </c>
      <c r="E1484" t="s">
        <v>2217</v>
      </c>
      <c r="F1484">
        <v>52</v>
      </c>
      <c r="H1484">
        <v>451.29</v>
      </c>
    </row>
    <row r="1485" spans="1:10" ht="15" customHeight="1" x14ac:dyDescent="0.2">
      <c r="A1485" s="420">
        <v>46043</v>
      </c>
      <c r="B1485" t="s">
        <v>2532</v>
      </c>
      <c r="C1485" t="s">
        <v>1734</v>
      </c>
      <c r="D1485" t="s">
        <v>8760</v>
      </c>
      <c r="E1485" t="s">
        <v>2018</v>
      </c>
      <c r="F1485">
        <v>14.7</v>
      </c>
      <c r="H1485">
        <v>465.99</v>
      </c>
    </row>
    <row r="1486" spans="1:10" ht="15" customHeight="1" x14ac:dyDescent="0.2">
      <c r="A1486" s="420">
        <v>46043</v>
      </c>
      <c r="B1486" t="s">
        <v>2532</v>
      </c>
      <c r="C1486" t="s">
        <v>1734</v>
      </c>
      <c r="D1486" t="s">
        <v>8760</v>
      </c>
      <c r="E1486" t="s">
        <v>2018</v>
      </c>
      <c r="F1486">
        <v>43.18</v>
      </c>
      <c r="H1486">
        <v>509.17</v>
      </c>
    </row>
    <row r="1487" spans="1:10" ht="15" customHeight="1" x14ac:dyDescent="0.2">
      <c r="A1487" s="420">
        <v>46048</v>
      </c>
      <c r="B1487" t="s">
        <v>2532</v>
      </c>
      <c r="C1487" t="s">
        <v>1734</v>
      </c>
      <c r="D1487" t="s">
        <v>8836</v>
      </c>
      <c r="E1487" t="s">
        <v>1950</v>
      </c>
      <c r="F1487">
        <v>21.25</v>
      </c>
      <c r="H1487">
        <v>530.41999999999996</v>
      </c>
    </row>
    <row r="1488" spans="1:10" ht="15" customHeight="1" x14ac:dyDescent="0.2">
      <c r="A1488" s="420">
        <v>46048</v>
      </c>
      <c r="B1488" t="s">
        <v>2532</v>
      </c>
      <c r="C1488" t="s">
        <v>1734</v>
      </c>
      <c r="D1488" t="s">
        <v>8836</v>
      </c>
      <c r="E1488" t="s">
        <v>1950</v>
      </c>
      <c r="F1488">
        <v>54.64</v>
      </c>
      <c r="H1488">
        <v>585.05999999999995</v>
      </c>
    </row>
    <row r="1489" spans="1:8" ht="15" customHeight="1" x14ac:dyDescent="0.2">
      <c r="A1489" s="420">
        <v>46063</v>
      </c>
      <c r="B1489" t="s">
        <v>2532</v>
      </c>
      <c r="C1489" t="s">
        <v>1734</v>
      </c>
      <c r="D1489" t="s">
        <v>8837</v>
      </c>
      <c r="E1489" t="s">
        <v>2220</v>
      </c>
      <c r="F1489">
        <v>44.17</v>
      </c>
      <c r="H1489">
        <v>629.23</v>
      </c>
    </row>
    <row r="1490" spans="1:8" ht="15" customHeight="1" x14ac:dyDescent="0.2">
      <c r="A1490" s="420">
        <v>46066</v>
      </c>
      <c r="B1490" t="s">
        <v>2532</v>
      </c>
      <c r="C1490" t="s">
        <v>1734</v>
      </c>
      <c r="D1490" t="s">
        <v>8838</v>
      </c>
      <c r="E1490" t="s">
        <v>2221</v>
      </c>
      <c r="F1490">
        <v>8.18</v>
      </c>
      <c r="H1490">
        <v>637.41</v>
      </c>
    </row>
    <row r="1491" spans="1:8" ht="15" customHeight="1" x14ac:dyDescent="0.2">
      <c r="A1491" s="420">
        <v>46071</v>
      </c>
      <c r="B1491" t="s">
        <v>2532</v>
      </c>
      <c r="C1491" t="s">
        <v>1734</v>
      </c>
      <c r="D1491" t="s">
        <v>4947</v>
      </c>
      <c r="E1491" t="s">
        <v>2227</v>
      </c>
      <c r="F1491">
        <v>2.04</v>
      </c>
      <c r="H1491">
        <v>639.45000000000005</v>
      </c>
    </row>
    <row r="1492" spans="1:8" ht="15" customHeight="1" x14ac:dyDescent="0.2">
      <c r="A1492" s="420">
        <v>46072</v>
      </c>
      <c r="B1492" t="s">
        <v>2532</v>
      </c>
      <c r="C1492" t="s">
        <v>1734</v>
      </c>
      <c r="D1492" t="s">
        <v>8839</v>
      </c>
      <c r="E1492" t="s">
        <v>2229</v>
      </c>
      <c r="F1492">
        <v>7.42</v>
      </c>
      <c r="H1492">
        <v>646.87</v>
      </c>
    </row>
    <row r="1493" spans="1:8" ht="15" customHeight="1" x14ac:dyDescent="0.2">
      <c r="A1493" s="420">
        <v>46072</v>
      </c>
      <c r="B1493" t="s">
        <v>2532</v>
      </c>
      <c r="C1493" t="s">
        <v>1734</v>
      </c>
      <c r="D1493" t="s">
        <v>8839</v>
      </c>
      <c r="E1493" t="s">
        <v>2229</v>
      </c>
      <c r="F1493">
        <v>64</v>
      </c>
      <c r="H1493">
        <v>710.87</v>
      </c>
    </row>
    <row r="1494" spans="1:8" ht="15" customHeight="1" x14ac:dyDescent="0.2">
      <c r="A1494" s="420">
        <v>46073</v>
      </c>
      <c r="B1494" t="s">
        <v>2532</v>
      </c>
      <c r="C1494" t="s">
        <v>1734</v>
      </c>
      <c r="D1494" t="s">
        <v>8840</v>
      </c>
      <c r="E1494" t="s">
        <v>2230</v>
      </c>
      <c r="F1494">
        <v>402</v>
      </c>
      <c r="H1494">
        <v>1112.8699999999999</v>
      </c>
    </row>
    <row r="1495" spans="1:8" ht="15" customHeight="1" x14ac:dyDescent="0.2">
      <c r="A1495" s="420">
        <v>46073</v>
      </c>
      <c r="B1495" t="s">
        <v>2532</v>
      </c>
      <c r="C1495" t="s">
        <v>1734</v>
      </c>
      <c r="D1495" t="s">
        <v>8841</v>
      </c>
      <c r="E1495" t="s">
        <v>2231</v>
      </c>
      <c r="F1495">
        <v>39.64</v>
      </c>
      <c r="H1495">
        <v>1152.51</v>
      </c>
    </row>
    <row r="1496" spans="1:8" ht="15" customHeight="1" x14ac:dyDescent="0.2">
      <c r="A1496" s="420">
        <v>46083</v>
      </c>
      <c r="B1496" t="s">
        <v>2532</v>
      </c>
      <c r="C1496" t="s">
        <v>1734</v>
      </c>
      <c r="D1496" t="s">
        <v>8180</v>
      </c>
      <c r="E1496" t="s">
        <v>2238</v>
      </c>
      <c r="F1496">
        <v>107.9</v>
      </c>
      <c r="H1496">
        <v>1260.4100000000001</v>
      </c>
    </row>
    <row r="1497" spans="1:8" ht="15" customHeight="1" x14ac:dyDescent="0.2">
      <c r="A1497" s="420">
        <v>46083</v>
      </c>
      <c r="B1497" t="s">
        <v>2532</v>
      </c>
      <c r="C1497" t="s">
        <v>1734</v>
      </c>
      <c r="D1497" t="s">
        <v>8181</v>
      </c>
      <c r="E1497" t="s">
        <v>2239</v>
      </c>
      <c r="F1497">
        <v>54.09</v>
      </c>
      <c r="H1497">
        <v>1314.5</v>
      </c>
    </row>
    <row r="1498" spans="1:8" ht="15" customHeight="1" x14ac:dyDescent="0.2">
      <c r="A1498" s="420">
        <v>46092</v>
      </c>
      <c r="B1498" t="s">
        <v>2532</v>
      </c>
      <c r="C1498" t="s">
        <v>1734</v>
      </c>
      <c r="D1498" t="s">
        <v>8184</v>
      </c>
      <c r="E1498" t="s">
        <v>2241</v>
      </c>
      <c r="F1498">
        <v>69.2</v>
      </c>
      <c r="H1498">
        <v>1383.7</v>
      </c>
    </row>
    <row r="1499" spans="1:8" ht="15" customHeight="1" x14ac:dyDescent="0.2">
      <c r="A1499" s="420">
        <v>46101</v>
      </c>
      <c r="B1499" t="s">
        <v>2532</v>
      </c>
      <c r="C1499" t="s">
        <v>1734</v>
      </c>
      <c r="D1499" t="s">
        <v>8188</v>
      </c>
      <c r="E1499" t="s">
        <v>2244</v>
      </c>
      <c r="F1499">
        <v>81.819999999999993</v>
      </c>
      <c r="H1499">
        <v>1465.52</v>
      </c>
    </row>
    <row r="1500" spans="1:8" ht="15" customHeight="1" x14ac:dyDescent="0.2">
      <c r="A1500" s="420">
        <v>46106</v>
      </c>
      <c r="B1500" t="s">
        <v>2532</v>
      </c>
      <c r="C1500" t="s">
        <v>1734</v>
      </c>
      <c r="D1500" t="s">
        <v>8190</v>
      </c>
      <c r="E1500" t="s">
        <v>2245</v>
      </c>
      <c r="F1500">
        <v>40.81</v>
      </c>
      <c r="H1500">
        <v>1506.33</v>
      </c>
    </row>
    <row r="1501" spans="1:8" ht="15" customHeight="1" x14ac:dyDescent="0.2">
      <c r="A1501" s="420">
        <v>46107</v>
      </c>
      <c r="B1501" t="s">
        <v>2532</v>
      </c>
      <c r="C1501" t="s">
        <v>1734</v>
      </c>
      <c r="D1501" t="s">
        <v>8191</v>
      </c>
      <c r="E1501" t="s">
        <v>2248</v>
      </c>
      <c r="F1501">
        <v>26.93</v>
      </c>
      <c r="H1501">
        <v>1533.26</v>
      </c>
    </row>
    <row r="1502" spans="1:8" ht="15" customHeight="1" x14ac:dyDescent="0.2">
      <c r="A1502" s="420">
        <v>46109</v>
      </c>
      <c r="B1502" t="s">
        <v>2532</v>
      </c>
      <c r="C1502" t="s">
        <v>1734</v>
      </c>
      <c r="D1502" t="s">
        <v>8192</v>
      </c>
      <c r="E1502" t="s">
        <v>2250</v>
      </c>
      <c r="F1502">
        <v>34.450000000000003</v>
      </c>
      <c r="H1502">
        <v>1567.71</v>
      </c>
    </row>
    <row r="1503" spans="1:8" ht="15" customHeight="1" x14ac:dyDescent="0.2">
      <c r="A1503" t="s">
        <v>1734</v>
      </c>
      <c r="E1503" t="s">
        <v>349</v>
      </c>
      <c r="F1503">
        <v>1567.71</v>
      </c>
      <c r="H1503">
        <v>1567.71</v>
      </c>
    </row>
    <row r="1505" spans="1:10" ht="15" customHeight="1" x14ac:dyDescent="0.2">
      <c r="A1505" t="s">
        <v>1626</v>
      </c>
      <c r="B1505" t="s">
        <v>1627</v>
      </c>
      <c r="F1505" t="s">
        <v>2430</v>
      </c>
      <c r="G1505" t="s">
        <v>2431</v>
      </c>
      <c r="H1505" t="s">
        <v>2432</v>
      </c>
      <c r="I1505" t="s">
        <v>2433</v>
      </c>
      <c r="J1505" t="s">
        <v>2434</v>
      </c>
    </row>
    <row r="1506" spans="1:10" ht="15" customHeight="1" x14ac:dyDescent="0.2">
      <c r="A1506" s="420">
        <v>46054</v>
      </c>
      <c r="B1506" t="s">
        <v>2532</v>
      </c>
      <c r="C1506" t="s">
        <v>1626</v>
      </c>
      <c r="D1506" t="s">
        <v>8842</v>
      </c>
      <c r="E1506" t="s">
        <v>2193</v>
      </c>
      <c r="F1506">
        <v>81.599999999999994</v>
      </c>
      <c r="H1506">
        <v>81.599999999999994</v>
      </c>
    </row>
    <row r="1507" spans="1:10" ht="15" customHeight="1" x14ac:dyDescent="0.2">
      <c r="A1507" s="420">
        <v>46082</v>
      </c>
      <c r="B1507" t="s">
        <v>2532</v>
      </c>
      <c r="C1507" t="s">
        <v>1626</v>
      </c>
      <c r="D1507" t="s">
        <v>8843</v>
      </c>
      <c r="E1507" t="s">
        <v>2201</v>
      </c>
      <c r="F1507">
        <v>74.040000000000006</v>
      </c>
      <c r="H1507">
        <v>155.63999999999999</v>
      </c>
    </row>
    <row r="1508" spans="1:10" ht="15" customHeight="1" x14ac:dyDescent="0.2">
      <c r="A1508" t="s">
        <v>1626</v>
      </c>
      <c r="E1508" t="s">
        <v>349</v>
      </c>
      <c r="F1508">
        <v>155.63999999999999</v>
      </c>
      <c r="H1508">
        <v>155.63999999999999</v>
      </c>
    </row>
    <row r="1510" spans="1:10" ht="15" customHeight="1" x14ac:dyDescent="0.2">
      <c r="A1510" t="s">
        <v>1623</v>
      </c>
      <c r="B1510" t="s">
        <v>1624</v>
      </c>
      <c r="F1510" t="s">
        <v>2430</v>
      </c>
      <c r="G1510" t="s">
        <v>2431</v>
      </c>
      <c r="H1510" t="s">
        <v>2432</v>
      </c>
      <c r="I1510" t="s">
        <v>2433</v>
      </c>
      <c r="J1510" t="s">
        <v>2434</v>
      </c>
    </row>
    <row r="1511" spans="1:10" ht="15" customHeight="1" x14ac:dyDescent="0.2">
      <c r="A1511" s="420">
        <v>46035</v>
      </c>
      <c r="B1511" t="s">
        <v>2532</v>
      </c>
      <c r="C1511" t="s">
        <v>1623</v>
      </c>
      <c r="D1511" t="s">
        <v>8844</v>
      </c>
      <c r="E1511" t="s">
        <v>2188</v>
      </c>
      <c r="F1511">
        <v>4.16</v>
      </c>
      <c r="H1511">
        <v>4.16</v>
      </c>
    </row>
    <row r="1512" spans="1:10" ht="15" customHeight="1" x14ac:dyDescent="0.2">
      <c r="A1512" s="420">
        <v>46035</v>
      </c>
      <c r="B1512" t="s">
        <v>2532</v>
      </c>
      <c r="C1512" t="s">
        <v>1623</v>
      </c>
      <c r="D1512" t="s">
        <v>8845</v>
      </c>
      <c r="E1512" t="s">
        <v>2189</v>
      </c>
      <c r="F1512">
        <v>79</v>
      </c>
      <c r="H1512">
        <v>83.16</v>
      </c>
    </row>
    <row r="1513" spans="1:10" ht="15" customHeight="1" x14ac:dyDescent="0.2">
      <c r="A1513" s="420">
        <v>46066</v>
      </c>
      <c r="B1513" t="s">
        <v>2532</v>
      </c>
      <c r="C1513" t="s">
        <v>1623</v>
      </c>
      <c r="D1513" t="s">
        <v>8846</v>
      </c>
      <c r="E1513" t="s">
        <v>2196</v>
      </c>
      <c r="F1513">
        <v>4.16</v>
      </c>
      <c r="H1513">
        <v>87.32</v>
      </c>
    </row>
    <row r="1514" spans="1:10" ht="15" customHeight="1" x14ac:dyDescent="0.2">
      <c r="A1514" s="420">
        <v>46094</v>
      </c>
      <c r="B1514" t="s">
        <v>2532</v>
      </c>
      <c r="C1514" t="s">
        <v>1623</v>
      </c>
      <c r="D1514" t="s">
        <v>8185</v>
      </c>
      <c r="E1514" t="s">
        <v>2206</v>
      </c>
      <c r="F1514">
        <v>4.16</v>
      </c>
      <c r="H1514">
        <v>91.48</v>
      </c>
    </row>
    <row r="1515" spans="1:10" ht="15" customHeight="1" x14ac:dyDescent="0.2">
      <c r="A1515" t="s">
        <v>1623</v>
      </c>
      <c r="E1515" t="s">
        <v>349</v>
      </c>
      <c r="F1515">
        <v>91.48</v>
      </c>
      <c r="H1515">
        <v>91.48</v>
      </c>
    </row>
    <row r="1517" spans="1:10" ht="15" customHeight="1" x14ac:dyDescent="0.2">
      <c r="A1517" t="s">
        <v>1619</v>
      </c>
      <c r="B1517" t="s">
        <v>1620</v>
      </c>
      <c r="F1517" t="s">
        <v>2430</v>
      </c>
      <c r="G1517" t="s">
        <v>2431</v>
      </c>
      <c r="H1517" t="s">
        <v>2432</v>
      </c>
      <c r="I1517" t="s">
        <v>2433</v>
      </c>
      <c r="J1517" t="s">
        <v>2434</v>
      </c>
    </row>
    <row r="1518" spans="1:10" ht="15" customHeight="1" x14ac:dyDescent="0.2">
      <c r="A1518" s="420">
        <v>46024</v>
      </c>
      <c r="B1518" t="s">
        <v>2333</v>
      </c>
      <c r="C1518" t="s">
        <v>1619</v>
      </c>
      <c r="D1518" t="s">
        <v>8404</v>
      </c>
      <c r="E1518" t="s">
        <v>1635</v>
      </c>
      <c r="F1518">
        <v>0.67</v>
      </c>
      <c r="H1518">
        <v>0.67</v>
      </c>
    </row>
    <row r="1519" spans="1:10" ht="15" customHeight="1" x14ac:dyDescent="0.2">
      <c r="A1519" s="420">
        <v>46028</v>
      </c>
      <c r="B1519" t="s">
        <v>3866</v>
      </c>
      <c r="C1519" t="s">
        <v>1619</v>
      </c>
      <c r="D1519" t="s">
        <v>8700</v>
      </c>
      <c r="E1519" t="s">
        <v>1695</v>
      </c>
      <c r="G1519">
        <v>40.229999999999997</v>
      </c>
      <c r="I1519">
        <v>39.56</v>
      </c>
    </row>
    <row r="1520" spans="1:10" ht="15" customHeight="1" x14ac:dyDescent="0.2">
      <c r="A1520" s="420">
        <v>46034</v>
      </c>
      <c r="B1520" t="s">
        <v>3866</v>
      </c>
      <c r="C1520" t="s">
        <v>1619</v>
      </c>
      <c r="D1520" t="s">
        <v>8703</v>
      </c>
      <c r="E1520" t="s">
        <v>1695</v>
      </c>
      <c r="F1520">
        <v>40.44</v>
      </c>
      <c r="H1520">
        <v>0.88</v>
      </c>
    </row>
    <row r="1521" spans="1:10" ht="15" customHeight="1" x14ac:dyDescent="0.2">
      <c r="A1521" s="420">
        <v>46038</v>
      </c>
      <c r="B1521" t="s">
        <v>2555</v>
      </c>
      <c r="C1521" t="s">
        <v>1619</v>
      </c>
      <c r="D1521" t="s">
        <v>8739</v>
      </c>
      <c r="E1521" t="s">
        <v>1703</v>
      </c>
      <c r="F1521">
        <v>40.659999999999997</v>
      </c>
      <c r="H1521">
        <v>41.54</v>
      </c>
    </row>
    <row r="1522" spans="1:10" ht="15" customHeight="1" x14ac:dyDescent="0.2">
      <c r="A1522" s="420">
        <v>46085</v>
      </c>
      <c r="B1522" t="s">
        <v>3866</v>
      </c>
      <c r="C1522" t="s">
        <v>1619</v>
      </c>
      <c r="D1522" t="s">
        <v>8717</v>
      </c>
      <c r="E1522" t="s">
        <v>2202</v>
      </c>
      <c r="G1522">
        <v>41.33</v>
      </c>
      <c r="H1522">
        <v>0.21</v>
      </c>
    </row>
    <row r="1523" spans="1:10" ht="15" customHeight="1" x14ac:dyDescent="0.2">
      <c r="A1523" t="s">
        <v>1619</v>
      </c>
      <c r="E1523" t="s">
        <v>349</v>
      </c>
      <c r="F1523">
        <v>81.77</v>
      </c>
      <c r="G1523">
        <v>81.56</v>
      </c>
      <c r="H1523">
        <v>0.21</v>
      </c>
    </row>
    <row r="1525" spans="1:10" ht="15" customHeight="1" x14ac:dyDescent="0.2">
      <c r="A1525" t="s">
        <v>2186</v>
      </c>
      <c r="B1525" t="s">
        <v>2187</v>
      </c>
      <c r="F1525" t="s">
        <v>2430</v>
      </c>
      <c r="G1525" t="s">
        <v>2431</v>
      </c>
      <c r="H1525" t="s">
        <v>2432</v>
      </c>
      <c r="I1525" t="s">
        <v>2433</v>
      </c>
      <c r="J1525" t="s">
        <v>2434</v>
      </c>
    </row>
    <row r="1526" spans="1:10" ht="15" customHeight="1" x14ac:dyDescent="0.2">
      <c r="A1526" s="420">
        <v>46028</v>
      </c>
      <c r="B1526" t="s">
        <v>2333</v>
      </c>
      <c r="C1526" t="s">
        <v>2186</v>
      </c>
      <c r="D1526" t="s">
        <v>8432</v>
      </c>
      <c r="E1526" t="s">
        <v>1622</v>
      </c>
      <c r="F1526">
        <v>43.7</v>
      </c>
      <c r="H1526">
        <v>43.7</v>
      </c>
    </row>
    <row r="1527" spans="1:10" ht="15" customHeight="1" x14ac:dyDescent="0.2">
      <c r="A1527" s="420">
        <v>46038</v>
      </c>
      <c r="B1527" t="s">
        <v>2457</v>
      </c>
      <c r="C1527" t="s">
        <v>2186</v>
      </c>
      <c r="D1527" t="s">
        <v>2495</v>
      </c>
      <c r="E1527" t="s">
        <v>8847</v>
      </c>
      <c r="F1527">
        <v>9.35</v>
      </c>
      <c r="H1527">
        <v>53.05</v>
      </c>
    </row>
    <row r="1528" spans="1:10" ht="15" customHeight="1" x14ac:dyDescent="0.2">
      <c r="A1528" s="420">
        <v>46038</v>
      </c>
      <c r="B1528" t="s">
        <v>2457</v>
      </c>
      <c r="C1528" t="s">
        <v>2186</v>
      </c>
      <c r="D1528" t="s">
        <v>2489</v>
      </c>
      <c r="E1528" t="s">
        <v>8848</v>
      </c>
      <c r="F1528">
        <v>8.81</v>
      </c>
      <c r="H1528">
        <v>61.86</v>
      </c>
    </row>
    <row r="1529" spans="1:10" ht="15" customHeight="1" x14ac:dyDescent="0.2">
      <c r="A1529" s="420">
        <v>46049</v>
      </c>
      <c r="B1529" t="s">
        <v>2333</v>
      </c>
      <c r="C1529" t="s">
        <v>2186</v>
      </c>
      <c r="D1529" t="s">
        <v>8505</v>
      </c>
      <c r="E1529" t="s">
        <v>2192</v>
      </c>
      <c r="F1529">
        <v>104.8</v>
      </c>
      <c r="H1529">
        <v>166.66</v>
      </c>
    </row>
    <row r="1530" spans="1:10" ht="15" customHeight="1" x14ac:dyDescent="0.2">
      <c r="A1530" s="420">
        <v>46059</v>
      </c>
      <c r="B1530" t="s">
        <v>2333</v>
      </c>
      <c r="C1530" t="s">
        <v>2186</v>
      </c>
      <c r="D1530" t="s">
        <v>8554</v>
      </c>
      <c r="E1530" t="s">
        <v>2194</v>
      </c>
      <c r="F1530">
        <v>43.7</v>
      </c>
      <c r="H1530">
        <v>210.36</v>
      </c>
    </row>
    <row r="1531" spans="1:10" ht="15" customHeight="1" x14ac:dyDescent="0.2">
      <c r="A1531" s="420">
        <v>46066</v>
      </c>
      <c r="B1531" t="s">
        <v>2333</v>
      </c>
      <c r="C1531" t="s">
        <v>2186</v>
      </c>
      <c r="D1531" t="s">
        <v>8598</v>
      </c>
      <c r="E1531" t="s">
        <v>2197</v>
      </c>
      <c r="F1531">
        <v>1.05</v>
      </c>
      <c r="H1531">
        <v>211.41</v>
      </c>
    </row>
    <row r="1532" spans="1:10" ht="15" customHeight="1" x14ac:dyDescent="0.2">
      <c r="A1532" s="420">
        <v>46069</v>
      </c>
      <c r="B1532" t="s">
        <v>2457</v>
      </c>
      <c r="C1532" t="s">
        <v>2186</v>
      </c>
      <c r="D1532" t="s">
        <v>2495</v>
      </c>
      <c r="E1532" t="s">
        <v>8849</v>
      </c>
      <c r="F1532">
        <v>9.16</v>
      </c>
      <c r="H1532">
        <v>220.57</v>
      </c>
    </row>
    <row r="1533" spans="1:10" ht="15" customHeight="1" x14ac:dyDescent="0.2">
      <c r="A1533" s="420">
        <v>46069</v>
      </c>
      <c r="B1533" t="s">
        <v>2457</v>
      </c>
      <c r="C1533" t="s">
        <v>2186</v>
      </c>
      <c r="D1533" t="s">
        <v>2489</v>
      </c>
      <c r="E1533" t="s">
        <v>8850</v>
      </c>
      <c r="F1533">
        <v>8.64</v>
      </c>
      <c r="H1533">
        <v>229.21</v>
      </c>
    </row>
    <row r="1534" spans="1:10" ht="15" customHeight="1" x14ac:dyDescent="0.2">
      <c r="A1534" s="420">
        <v>46070</v>
      </c>
      <c r="B1534" t="s">
        <v>2333</v>
      </c>
      <c r="C1534" t="s">
        <v>2186</v>
      </c>
      <c r="D1534" t="s">
        <v>8606</v>
      </c>
      <c r="E1534" t="s">
        <v>2197</v>
      </c>
      <c r="F1534">
        <v>0.35</v>
      </c>
      <c r="H1534">
        <v>229.56</v>
      </c>
    </row>
    <row r="1535" spans="1:10" ht="15" customHeight="1" x14ac:dyDescent="0.2">
      <c r="A1535" s="420">
        <v>46085</v>
      </c>
      <c r="B1535" t="s">
        <v>2333</v>
      </c>
      <c r="C1535" t="s">
        <v>2186</v>
      </c>
      <c r="D1535" t="s">
        <v>8638</v>
      </c>
      <c r="E1535" t="s">
        <v>2203</v>
      </c>
      <c r="F1535">
        <v>0.45</v>
      </c>
      <c r="H1535">
        <v>230.01</v>
      </c>
    </row>
    <row r="1536" spans="1:10" ht="15" customHeight="1" x14ac:dyDescent="0.2">
      <c r="A1536" s="420">
        <v>46087</v>
      </c>
      <c r="B1536" t="s">
        <v>2333</v>
      </c>
      <c r="C1536" t="s">
        <v>2186</v>
      </c>
      <c r="D1536" t="s">
        <v>8662</v>
      </c>
      <c r="E1536" t="s">
        <v>2194</v>
      </c>
      <c r="F1536">
        <v>43.7</v>
      </c>
      <c r="H1536">
        <v>273.70999999999998</v>
      </c>
    </row>
    <row r="1537" spans="1:10" ht="15" customHeight="1" x14ac:dyDescent="0.2">
      <c r="A1537" s="420">
        <v>46091</v>
      </c>
      <c r="B1537" t="s">
        <v>3866</v>
      </c>
      <c r="C1537" t="s">
        <v>2186</v>
      </c>
      <c r="D1537" t="s">
        <v>8183</v>
      </c>
      <c r="E1537" t="s">
        <v>2205</v>
      </c>
      <c r="F1537">
        <v>40.44</v>
      </c>
      <c r="H1537">
        <v>314.14999999999998</v>
      </c>
    </row>
    <row r="1538" spans="1:10" ht="15" customHeight="1" x14ac:dyDescent="0.2">
      <c r="A1538" s="420">
        <v>46091</v>
      </c>
      <c r="B1538" t="s">
        <v>2333</v>
      </c>
      <c r="C1538" t="s">
        <v>2186</v>
      </c>
      <c r="D1538" t="s">
        <v>8669</v>
      </c>
      <c r="E1538" t="s">
        <v>2203</v>
      </c>
      <c r="F1538">
        <v>0.45</v>
      </c>
      <c r="H1538">
        <v>314.60000000000002</v>
      </c>
    </row>
    <row r="1539" spans="1:10" ht="15" customHeight="1" x14ac:dyDescent="0.2">
      <c r="A1539" s="420">
        <v>46094</v>
      </c>
      <c r="B1539" t="s">
        <v>2333</v>
      </c>
      <c r="C1539" t="s">
        <v>2186</v>
      </c>
      <c r="D1539" t="s">
        <v>8675</v>
      </c>
      <c r="E1539" t="s">
        <v>2203</v>
      </c>
      <c r="F1539">
        <v>1.07</v>
      </c>
      <c r="H1539">
        <v>315.67</v>
      </c>
    </row>
    <row r="1540" spans="1:10" ht="15" customHeight="1" x14ac:dyDescent="0.2">
      <c r="A1540" s="420">
        <v>46094</v>
      </c>
      <c r="B1540" t="s">
        <v>2333</v>
      </c>
      <c r="C1540" t="s">
        <v>2186</v>
      </c>
      <c r="D1540" t="s">
        <v>8676</v>
      </c>
      <c r="E1540" t="s">
        <v>2203</v>
      </c>
      <c r="F1540">
        <v>0.36</v>
      </c>
      <c r="H1540">
        <v>316.02999999999997</v>
      </c>
    </row>
    <row r="1541" spans="1:10" ht="15" customHeight="1" x14ac:dyDescent="0.2">
      <c r="A1541" s="420">
        <v>46097</v>
      </c>
      <c r="B1541" t="s">
        <v>2457</v>
      </c>
      <c r="C1541" t="s">
        <v>2186</v>
      </c>
      <c r="D1541" t="s">
        <v>2495</v>
      </c>
      <c r="E1541" t="s">
        <v>8851</v>
      </c>
      <c r="F1541">
        <v>8.9700000000000006</v>
      </c>
      <c r="H1541">
        <v>325</v>
      </c>
    </row>
    <row r="1542" spans="1:10" ht="15" customHeight="1" x14ac:dyDescent="0.2">
      <c r="A1542" s="420">
        <v>46097</v>
      </c>
      <c r="B1542" t="s">
        <v>2457</v>
      </c>
      <c r="C1542" t="s">
        <v>2186</v>
      </c>
      <c r="D1542" t="s">
        <v>2489</v>
      </c>
      <c r="E1542" t="s">
        <v>8852</v>
      </c>
      <c r="F1542">
        <v>8.4600000000000009</v>
      </c>
      <c r="H1542">
        <v>333.46</v>
      </c>
    </row>
    <row r="1543" spans="1:10" ht="15" customHeight="1" x14ac:dyDescent="0.2">
      <c r="A1543" s="420">
        <v>46111</v>
      </c>
      <c r="B1543" t="s">
        <v>2333</v>
      </c>
      <c r="C1543" t="s">
        <v>2186</v>
      </c>
      <c r="D1543" t="s">
        <v>8694</v>
      </c>
      <c r="E1543" t="s">
        <v>2203</v>
      </c>
      <c r="F1543">
        <v>2.72</v>
      </c>
      <c r="H1543">
        <v>336.18</v>
      </c>
    </row>
    <row r="1544" spans="1:10" ht="15" customHeight="1" x14ac:dyDescent="0.2">
      <c r="A1544" t="s">
        <v>2186</v>
      </c>
      <c r="E1544" t="s">
        <v>349</v>
      </c>
      <c r="F1544">
        <v>336.18</v>
      </c>
      <c r="H1544">
        <v>336.18</v>
      </c>
    </row>
    <row r="1546" spans="1:10" ht="15" customHeight="1" x14ac:dyDescent="0.2">
      <c r="A1546" t="s">
        <v>1461</v>
      </c>
      <c r="B1546" t="s">
        <v>1462</v>
      </c>
      <c r="F1546" t="s">
        <v>2430</v>
      </c>
      <c r="G1546" t="s">
        <v>2431</v>
      </c>
      <c r="H1546" t="s">
        <v>2432</v>
      </c>
      <c r="I1546" t="s">
        <v>2433</v>
      </c>
      <c r="J1546" t="s">
        <v>2434</v>
      </c>
    </row>
    <row r="1547" spans="1:10" ht="15" customHeight="1" x14ac:dyDescent="0.2">
      <c r="A1547" s="420">
        <v>46035</v>
      </c>
      <c r="B1547" t="s">
        <v>2532</v>
      </c>
      <c r="C1547" t="s">
        <v>1461</v>
      </c>
      <c r="D1547" t="s">
        <v>8853</v>
      </c>
      <c r="E1547" t="s">
        <v>2153</v>
      </c>
      <c r="F1547">
        <v>150</v>
      </c>
      <c r="H1547">
        <v>150</v>
      </c>
    </row>
    <row r="1548" spans="1:10" ht="15" customHeight="1" x14ac:dyDescent="0.2">
      <c r="A1548" s="420">
        <v>46035</v>
      </c>
      <c r="B1548" t="s">
        <v>2532</v>
      </c>
      <c r="C1548" t="s">
        <v>1461</v>
      </c>
      <c r="D1548" t="s">
        <v>8854</v>
      </c>
      <c r="E1548" t="s">
        <v>2154</v>
      </c>
      <c r="F1548">
        <v>150</v>
      </c>
      <c r="H1548">
        <v>300</v>
      </c>
    </row>
    <row r="1549" spans="1:10" ht="15" customHeight="1" x14ac:dyDescent="0.2">
      <c r="A1549" s="420">
        <v>46065</v>
      </c>
      <c r="B1549" t="s">
        <v>2532</v>
      </c>
      <c r="C1549" t="s">
        <v>1461</v>
      </c>
      <c r="D1549" t="s">
        <v>8855</v>
      </c>
      <c r="E1549" t="s">
        <v>2170</v>
      </c>
      <c r="F1549">
        <v>150</v>
      </c>
      <c r="H1549">
        <v>450</v>
      </c>
    </row>
    <row r="1550" spans="1:10" ht="15" customHeight="1" x14ac:dyDescent="0.2">
      <c r="A1550" t="s">
        <v>1461</v>
      </c>
      <c r="E1550" t="s">
        <v>349</v>
      </c>
      <c r="F1550">
        <v>450</v>
      </c>
      <c r="H1550">
        <v>450</v>
      </c>
    </row>
    <row r="1552" spans="1:10" ht="15" customHeight="1" x14ac:dyDescent="0.2">
      <c r="A1552" t="s">
        <v>947</v>
      </c>
      <c r="B1552" t="s">
        <v>948</v>
      </c>
      <c r="F1552" t="s">
        <v>2430</v>
      </c>
      <c r="G1552" t="s">
        <v>2431</v>
      </c>
      <c r="H1552" t="s">
        <v>2432</v>
      </c>
      <c r="I1552" t="s">
        <v>2433</v>
      </c>
      <c r="J1552" t="s">
        <v>2434</v>
      </c>
    </row>
    <row r="1553" spans="1:10" ht="15" customHeight="1" x14ac:dyDescent="0.2">
      <c r="A1553" s="420">
        <v>46053</v>
      </c>
      <c r="B1553" t="s">
        <v>2532</v>
      </c>
      <c r="C1553" t="s">
        <v>947</v>
      </c>
      <c r="D1553" t="s">
        <v>8061</v>
      </c>
      <c r="E1553" t="s">
        <v>2092</v>
      </c>
      <c r="F1553">
        <v>5900</v>
      </c>
      <c r="H1553">
        <v>5900</v>
      </c>
    </row>
    <row r="1554" spans="1:10" ht="15" customHeight="1" x14ac:dyDescent="0.2">
      <c r="A1554" s="420">
        <v>46081</v>
      </c>
      <c r="B1554" t="s">
        <v>2532</v>
      </c>
      <c r="C1554" t="s">
        <v>947</v>
      </c>
      <c r="D1554" t="s">
        <v>8171</v>
      </c>
      <c r="E1554" t="s">
        <v>2095</v>
      </c>
      <c r="F1554">
        <v>5900</v>
      </c>
      <c r="H1554">
        <v>11800</v>
      </c>
    </row>
    <row r="1555" spans="1:10" ht="15" customHeight="1" x14ac:dyDescent="0.2">
      <c r="A1555" s="420">
        <v>46112</v>
      </c>
      <c r="B1555" t="s">
        <v>2532</v>
      </c>
      <c r="C1555" t="s">
        <v>947</v>
      </c>
      <c r="D1555" t="s">
        <v>8194</v>
      </c>
      <c r="E1555" t="s">
        <v>2098</v>
      </c>
      <c r="F1555">
        <v>5900</v>
      </c>
      <c r="H1555">
        <v>17700</v>
      </c>
    </row>
    <row r="1556" spans="1:10" ht="15" customHeight="1" x14ac:dyDescent="0.2">
      <c r="A1556" t="s">
        <v>947</v>
      </c>
      <c r="E1556" t="s">
        <v>349</v>
      </c>
      <c r="F1556">
        <v>17700</v>
      </c>
      <c r="H1556">
        <v>17700</v>
      </c>
    </row>
    <row r="1558" spans="1:10" ht="15" customHeight="1" x14ac:dyDescent="0.2">
      <c r="A1558" t="s">
        <v>949</v>
      </c>
      <c r="B1558" t="s">
        <v>950</v>
      </c>
      <c r="F1558" t="s">
        <v>2430</v>
      </c>
      <c r="G1558" t="s">
        <v>2431</v>
      </c>
      <c r="H1558" t="s">
        <v>2432</v>
      </c>
      <c r="I1558" t="s">
        <v>2433</v>
      </c>
      <c r="J1558" t="s">
        <v>2434</v>
      </c>
    </row>
    <row r="1559" spans="1:10" ht="15" customHeight="1" x14ac:dyDescent="0.2">
      <c r="A1559" s="420">
        <v>46053</v>
      </c>
      <c r="B1559" t="s">
        <v>6077</v>
      </c>
      <c r="C1559" t="s">
        <v>949</v>
      </c>
      <c r="E1559" t="s">
        <v>2093</v>
      </c>
      <c r="F1559">
        <v>48.28</v>
      </c>
      <c r="H1559">
        <v>48.28</v>
      </c>
    </row>
    <row r="1560" spans="1:10" ht="15" customHeight="1" x14ac:dyDescent="0.2">
      <c r="A1560" s="420">
        <v>46081</v>
      </c>
      <c r="B1560" t="s">
        <v>6077</v>
      </c>
      <c r="C1560" t="s">
        <v>949</v>
      </c>
      <c r="E1560" t="s">
        <v>2096</v>
      </c>
      <c r="F1560">
        <v>51.12</v>
      </c>
      <c r="H1560">
        <v>99.4</v>
      </c>
    </row>
    <row r="1561" spans="1:10" ht="15" customHeight="1" x14ac:dyDescent="0.2">
      <c r="A1561" s="420">
        <v>46112</v>
      </c>
      <c r="B1561" t="s">
        <v>6077</v>
      </c>
      <c r="C1561" t="s">
        <v>949</v>
      </c>
      <c r="E1561" t="s">
        <v>2099</v>
      </c>
      <c r="F1561">
        <v>32.07</v>
      </c>
      <c r="H1561">
        <v>131.47</v>
      </c>
    </row>
    <row r="1562" spans="1:10" ht="15" customHeight="1" x14ac:dyDescent="0.2">
      <c r="A1562" t="s">
        <v>949</v>
      </c>
      <c r="E1562" t="s">
        <v>349</v>
      </c>
      <c r="F1562">
        <v>131.47</v>
      </c>
      <c r="H1562">
        <v>131.47</v>
      </c>
    </row>
    <row r="1564" spans="1:10" ht="15" customHeight="1" x14ac:dyDescent="0.2">
      <c r="A1564" t="s">
        <v>1157</v>
      </c>
      <c r="B1564" t="s">
        <v>1158</v>
      </c>
      <c r="F1564" t="s">
        <v>2430</v>
      </c>
      <c r="G1564" t="s">
        <v>2431</v>
      </c>
      <c r="H1564" t="s">
        <v>2432</v>
      </c>
      <c r="I1564" t="s">
        <v>2433</v>
      </c>
      <c r="J1564" t="s">
        <v>2434</v>
      </c>
    </row>
    <row r="1565" spans="1:10" ht="15" customHeight="1" x14ac:dyDescent="0.2">
      <c r="A1565" s="420">
        <v>46038</v>
      </c>
      <c r="B1565" t="s">
        <v>2517</v>
      </c>
      <c r="C1565" t="s">
        <v>1157</v>
      </c>
      <c r="D1565" t="s">
        <v>8856</v>
      </c>
      <c r="E1565" t="s">
        <v>2105</v>
      </c>
      <c r="G1565">
        <v>32.69</v>
      </c>
      <c r="I1565">
        <v>32.69</v>
      </c>
    </row>
    <row r="1566" spans="1:10" ht="15" customHeight="1" x14ac:dyDescent="0.2">
      <c r="A1566" s="420">
        <v>46053</v>
      </c>
      <c r="B1566" t="s">
        <v>6077</v>
      </c>
      <c r="C1566" t="s">
        <v>1157</v>
      </c>
      <c r="E1566" t="s">
        <v>2093</v>
      </c>
      <c r="F1566">
        <v>47.48</v>
      </c>
      <c r="H1566">
        <v>14.79</v>
      </c>
    </row>
    <row r="1567" spans="1:10" ht="15" customHeight="1" x14ac:dyDescent="0.2">
      <c r="A1567" s="420">
        <v>46053</v>
      </c>
      <c r="B1567" t="s">
        <v>6077</v>
      </c>
      <c r="C1567" t="s">
        <v>1157</v>
      </c>
      <c r="E1567" t="s">
        <v>2093</v>
      </c>
      <c r="F1567">
        <v>7.24</v>
      </c>
      <c r="H1567">
        <v>22.03</v>
      </c>
    </row>
    <row r="1568" spans="1:10" ht="15" customHeight="1" x14ac:dyDescent="0.2">
      <c r="A1568" s="420">
        <v>46081</v>
      </c>
      <c r="B1568" t="s">
        <v>6077</v>
      </c>
      <c r="C1568" t="s">
        <v>1157</v>
      </c>
      <c r="E1568" t="s">
        <v>2096</v>
      </c>
      <c r="F1568">
        <v>50.27</v>
      </c>
      <c r="H1568">
        <v>72.3</v>
      </c>
    </row>
    <row r="1569" spans="1:10" ht="15" customHeight="1" x14ac:dyDescent="0.2">
      <c r="A1569" s="420">
        <v>46081</v>
      </c>
      <c r="B1569" t="s">
        <v>6077</v>
      </c>
      <c r="C1569" t="s">
        <v>1157</v>
      </c>
      <c r="E1569" t="s">
        <v>2096</v>
      </c>
      <c r="F1569">
        <v>7.67</v>
      </c>
      <c r="H1569">
        <v>79.97</v>
      </c>
    </row>
    <row r="1570" spans="1:10" ht="15" customHeight="1" x14ac:dyDescent="0.2">
      <c r="A1570" s="420">
        <v>46112</v>
      </c>
      <c r="B1570" t="s">
        <v>6077</v>
      </c>
      <c r="C1570" t="s">
        <v>1157</v>
      </c>
      <c r="E1570" t="s">
        <v>2099</v>
      </c>
      <c r="F1570">
        <v>31.54</v>
      </c>
      <c r="H1570">
        <v>111.51</v>
      </c>
    </row>
    <row r="1571" spans="1:10" ht="15" customHeight="1" x14ac:dyDescent="0.2">
      <c r="A1571" s="420">
        <v>46112</v>
      </c>
      <c r="B1571" t="s">
        <v>6077</v>
      </c>
      <c r="C1571" t="s">
        <v>1157</v>
      </c>
      <c r="E1571" t="s">
        <v>2099</v>
      </c>
      <c r="F1571">
        <v>4.8099999999999996</v>
      </c>
      <c r="H1571">
        <v>116.32</v>
      </c>
    </row>
    <row r="1572" spans="1:10" ht="15" customHeight="1" x14ac:dyDescent="0.2">
      <c r="A1572" t="s">
        <v>1157</v>
      </c>
      <c r="E1572" t="s">
        <v>349</v>
      </c>
      <c r="F1572">
        <v>149.01</v>
      </c>
      <c r="G1572">
        <v>32.69</v>
      </c>
      <c r="H1572">
        <v>116.32</v>
      </c>
    </row>
    <row r="1574" spans="1:10" ht="15" customHeight="1" x14ac:dyDescent="0.2">
      <c r="A1574" t="s">
        <v>952</v>
      </c>
      <c r="B1574" t="s">
        <v>953</v>
      </c>
      <c r="F1574" t="s">
        <v>2430</v>
      </c>
      <c r="G1574" t="s">
        <v>2431</v>
      </c>
      <c r="H1574" t="s">
        <v>2432</v>
      </c>
      <c r="I1574" t="s">
        <v>2433</v>
      </c>
      <c r="J1574" t="s">
        <v>2434</v>
      </c>
    </row>
    <row r="1575" spans="1:10" ht="15" customHeight="1" x14ac:dyDescent="0.2">
      <c r="A1575" s="420">
        <v>46053</v>
      </c>
      <c r="B1575" t="s">
        <v>6077</v>
      </c>
      <c r="C1575" t="s">
        <v>952</v>
      </c>
      <c r="E1575" t="s">
        <v>2093</v>
      </c>
      <c r="F1575">
        <v>9570.14</v>
      </c>
      <c r="H1575">
        <v>9570.14</v>
      </c>
    </row>
    <row r="1576" spans="1:10" ht="15" customHeight="1" x14ac:dyDescent="0.2">
      <c r="A1576" s="420">
        <v>46081</v>
      </c>
      <c r="B1576" t="s">
        <v>6077</v>
      </c>
      <c r="C1576" t="s">
        <v>952</v>
      </c>
      <c r="E1576" t="s">
        <v>2096</v>
      </c>
      <c r="F1576">
        <v>10045.14</v>
      </c>
      <c r="H1576">
        <v>19615.28</v>
      </c>
    </row>
    <row r="1577" spans="1:10" ht="15" customHeight="1" x14ac:dyDescent="0.2">
      <c r="A1577" s="420">
        <v>46112</v>
      </c>
      <c r="B1577" t="s">
        <v>6077</v>
      </c>
      <c r="C1577" t="s">
        <v>952</v>
      </c>
      <c r="E1577" t="s">
        <v>2099</v>
      </c>
      <c r="F1577">
        <v>6800.87</v>
      </c>
      <c r="H1577">
        <v>26416.15</v>
      </c>
    </row>
    <row r="1578" spans="1:10" ht="15" customHeight="1" x14ac:dyDescent="0.2">
      <c r="A1578" t="s">
        <v>952</v>
      </c>
      <c r="E1578" t="s">
        <v>349</v>
      </c>
      <c r="F1578">
        <v>26416.15</v>
      </c>
      <c r="H1578">
        <v>26416.15</v>
      </c>
    </row>
    <row r="1580" spans="1:10" ht="15" customHeight="1" x14ac:dyDescent="0.2">
      <c r="A1580" t="s">
        <v>954</v>
      </c>
      <c r="B1580" t="s">
        <v>955</v>
      </c>
      <c r="F1580" t="s">
        <v>2430</v>
      </c>
      <c r="G1580" t="s">
        <v>2431</v>
      </c>
      <c r="H1580" t="s">
        <v>2432</v>
      </c>
      <c r="I1580" t="s">
        <v>2433</v>
      </c>
      <c r="J1580" t="s">
        <v>2434</v>
      </c>
    </row>
    <row r="1581" spans="1:10" ht="15" customHeight="1" x14ac:dyDescent="0.2">
      <c r="A1581" s="420">
        <v>46053</v>
      </c>
      <c r="B1581" t="s">
        <v>6077</v>
      </c>
      <c r="C1581" t="s">
        <v>954</v>
      </c>
      <c r="E1581" t="s">
        <v>2093</v>
      </c>
      <c r="F1581">
        <v>2756.76</v>
      </c>
      <c r="H1581">
        <v>2756.76</v>
      </c>
    </row>
    <row r="1582" spans="1:10" ht="15" customHeight="1" x14ac:dyDescent="0.2">
      <c r="A1582" s="420">
        <v>46081</v>
      </c>
      <c r="B1582" t="s">
        <v>6077</v>
      </c>
      <c r="C1582" t="s">
        <v>954</v>
      </c>
      <c r="E1582" t="s">
        <v>2096</v>
      </c>
      <c r="F1582">
        <v>3338.87</v>
      </c>
      <c r="H1582">
        <v>6095.63</v>
      </c>
    </row>
    <row r="1583" spans="1:10" ht="15" customHeight="1" x14ac:dyDescent="0.2">
      <c r="A1583" s="420">
        <v>46112</v>
      </c>
      <c r="B1583" t="s">
        <v>6077</v>
      </c>
      <c r="C1583" t="s">
        <v>954</v>
      </c>
      <c r="E1583" t="s">
        <v>2099</v>
      </c>
      <c r="F1583">
        <v>1690.44</v>
      </c>
      <c r="H1583">
        <v>7786.07</v>
      </c>
    </row>
    <row r="1584" spans="1:10" ht="15" customHeight="1" x14ac:dyDescent="0.2">
      <c r="A1584" t="s">
        <v>954</v>
      </c>
      <c r="E1584" t="s">
        <v>349</v>
      </c>
      <c r="F1584">
        <v>7786.07</v>
      </c>
      <c r="H1584">
        <v>7786.07</v>
      </c>
    </row>
    <row r="1586" spans="1:10" ht="15" customHeight="1" x14ac:dyDescent="0.2">
      <c r="A1586" t="s">
        <v>944</v>
      </c>
      <c r="B1586" t="s">
        <v>945</v>
      </c>
      <c r="F1586" t="s">
        <v>2430</v>
      </c>
      <c r="G1586" t="s">
        <v>2431</v>
      </c>
      <c r="H1586" t="s">
        <v>2432</v>
      </c>
      <c r="I1586" t="s">
        <v>2433</v>
      </c>
      <c r="J1586" t="s">
        <v>2434</v>
      </c>
    </row>
    <row r="1587" spans="1:10" ht="15" customHeight="1" x14ac:dyDescent="0.2">
      <c r="A1587" s="420">
        <v>46030</v>
      </c>
      <c r="B1587" t="s">
        <v>2532</v>
      </c>
      <c r="C1587" t="s">
        <v>944</v>
      </c>
      <c r="D1587" t="s">
        <v>8857</v>
      </c>
      <c r="E1587" t="s">
        <v>2091</v>
      </c>
      <c r="F1587">
        <v>385.5</v>
      </c>
      <c r="H1587">
        <v>385.5</v>
      </c>
    </row>
    <row r="1588" spans="1:10" ht="15" customHeight="1" x14ac:dyDescent="0.2">
      <c r="A1588" t="s">
        <v>944</v>
      </c>
      <c r="E1588" t="s">
        <v>349</v>
      </c>
      <c r="F1588">
        <v>385.5</v>
      </c>
      <c r="H1588">
        <v>385.5</v>
      </c>
    </row>
    <row r="1590" spans="1:10" ht="15" customHeight="1" x14ac:dyDescent="0.2">
      <c r="A1590" t="s">
        <v>956</v>
      </c>
      <c r="B1590" t="s">
        <v>957</v>
      </c>
      <c r="F1590" t="s">
        <v>2430</v>
      </c>
      <c r="G1590" t="s">
        <v>2431</v>
      </c>
      <c r="H1590" t="s">
        <v>2432</v>
      </c>
      <c r="I1590" t="s">
        <v>2433</v>
      </c>
      <c r="J1590" t="s">
        <v>2434</v>
      </c>
    </row>
    <row r="1591" spans="1:10" ht="15" customHeight="1" x14ac:dyDescent="0.2">
      <c r="A1591" s="420">
        <v>46053</v>
      </c>
      <c r="B1591" t="s">
        <v>6077</v>
      </c>
      <c r="C1591" t="s">
        <v>956</v>
      </c>
      <c r="E1591" t="s">
        <v>2093</v>
      </c>
      <c r="G1591">
        <v>350</v>
      </c>
      <c r="I1591">
        <v>350</v>
      </c>
    </row>
    <row r="1592" spans="1:10" ht="15" customHeight="1" x14ac:dyDescent="0.2">
      <c r="A1592" s="420">
        <v>46081</v>
      </c>
      <c r="B1592" t="s">
        <v>6077</v>
      </c>
      <c r="C1592" t="s">
        <v>956</v>
      </c>
      <c r="E1592" t="s">
        <v>2096</v>
      </c>
      <c r="G1592">
        <v>350</v>
      </c>
      <c r="I1592">
        <v>700</v>
      </c>
    </row>
    <row r="1593" spans="1:10" ht="15" customHeight="1" x14ac:dyDescent="0.2">
      <c r="A1593" s="420">
        <v>46112</v>
      </c>
      <c r="B1593" t="s">
        <v>6077</v>
      </c>
      <c r="C1593" t="s">
        <v>956</v>
      </c>
      <c r="E1593" t="s">
        <v>2099</v>
      </c>
      <c r="G1593">
        <v>350</v>
      </c>
      <c r="I1593">
        <v>1050</v>
      </c>
    </row>
    <row r="1594" spans="1:10" ht="15" customHeight="1" x14ac:dyDescent="0.2">
      <c r="A1594" t="s">
        <v>956</v>
      </c>
      <c r="E1594" t="s">
        <v>349</v>
      </c>
      <c r="G1594">
        <v>1050</v>
      </c>
      <c r="I1594">
        <v>1050</v>
      </c>
    </row>
    <row r="1596" spans="1:10" ht="15" customHeight="1" x14ac:dyDescent="0.2">
      <c r="A1596" t="s">
        <v>7892</v>
      </c>
      <c r="B1596" t="s">
        <v>7893</v>
      </c>
      <c r="F1596" t="s">
        <v>2430</v>
      </c>
      <c r="G1596" t="s">
        <v>2431</v>
      </c>
      <c r="H1596" t="s">
        <v>2432</v>
      </c>
      <c r="I1596" t="s">
        <v>2433</v>
      </c>
      <c r="J1596" t="s">
        <v>2434</v>
      </c>
    </row>
    <row r="1597" spans="1:10" ht="15" customHeight="1" x14ac:dyDescent="0.2">
      <c r="A1597" s="420">
        <v>46053</v>
      </c>
      <c r="B1597" t="s">
        <v>2532</v>
      </c>
      <c r="C1597" t="s">
        <v>7892</v>
      </c>
      <c r="D1597" t="s">
        <v>8858</v>
      </c>
      <c r="E1597" t="s">
        <v>8859</v>
      </c>
      <c r="F1597">
        <v>7566.76</v>
      </c>
      <c r="H1597">
        <v>7566.76</v>
      </c>
    </row>
    <row r="1598" spans="1:10" ht="15" customHeight="1" x14ac:dyDescent="0.2">
      <c r="A1598" s="420">
        <v>46055</v>
      </c>
      <c r="B1598" t="s">
        <v>2532</v>
      </c>
      <c r="C1598" t="s">
        <v>7892</v>
      </c>
      <c r="D1598" t="s">
        <v>8860</v>
      </c>
      <c r="E1598" t="s">
        <v>8861</v>
      </c>
      <c r="F1598">
        <v>7713.33</v>
      </c>
      <c r="H1598">
        <v>15280.09</v>
      </c>
    </row>
    <row r="1599" spans="1:10" ht="15" customHeight="1" x14ac:dyDescent="0.2">
      <c r="A1599" s="420">
        <v>46055</v>
      </c>
      <c r="B1599" t="s">
        <v>2532</v>
      </c>
      <c r="C1599" t="s">
        <v>7892</v>
      </c>
      <c r="D1599" t="s">
        <v>8024</v>
      </c>
      <c r="E1599" t="s">
        <v>8168</v>
      </c>
      <c r="F1599">
        <v>6475.35</v>
      </c>
      <c r="H1599">
        <v>21755.439999999999</v>
      </c>
    </row>
    <row r="1600" spans="1:10" ht="15" customHeight="1" x14ac:dyDescent="0.2">
      <c r="A1600" t="s">
        <v>7892</v>
      </c>
      <c r="E1600" t="s">
        <v>349</v>
      </c>
      <c r="F1600">
        <v>21755.439999999999</v>
      </c>
      <c r="H1600">
        <v>21755.439999999999</v>
      </c>
    </row>
    <row r="1602" spans="1:10" ht="15" customHeight="1" x14ac:dyDescent="0.2">
      <c r="A1602" t="s">
        <v>7894</v>
      </c>
      <c r="B1602" t="s">
        <v>7895</v>
      </c>
      <c r="F1602" t="s">
        <v>2430</v>
      </c>
      <c r="G1602" t="s">
        <v>2431</v>
      </c>
      <c r="H1602" t="s">
        <v>2432</v>
      </c>
      <c r="I1602" t="s">
        <v>2433</v>
      </c>
      <c r="J1602" t="s">
        <v>2434</v>
      </c>
    </row>
    <row r="1603" spans="1:10" ht="15" customHeight="1" x14ac:dyDescent="0.2">
      <c r="A1603" s="420">
        <v>46053</v>
      </c>
      <c r="B1603" t="s">
        <v>2532</v>
      </c>
      <c r="C1603" t="s">
        <v>7894</v>
      </c>
      <c r="D1603" t="s">
        <v>8014</v>
      </c>
      <c r="E1603" t="s">
        <v>8015</v>
      </c>
      <c r="F1603">
        <v>2910.29</v>
      </c>
      <c r="H1603">
        <v>2910.29</v>
      </c>
    </row>
    <row r="1604" spans="1:10" ht="15" customHeight="1" x14ac:dyDescent="0.2">
      <c r="A1604" s="420">
        <v>46055</v>
      </c>
      <c r="B1604" t="s">
        <v>2532</v>
      </c>
      <c r="C1604" t="s">
        <v>7894</v>
      </c>
      <c r="D1604" t="s">
        <v>8018</v>
      </c>
      <c r="E1604" t="s">
        <v>8019</v>
      </c>
      <c r="F1604">
        <v>2966.67</v>
      </c>
      <c r="H1604">
        <v>5876.96</v>
      </c>
    </row>
    <row r="1605" spans="1:10" ht="15" customHeight="1" x14ac:dyDescent="0.2">
      <c r="A1605" s="420">
        <v>46055</v>
      </c>
      <c r="B1605" t="s">
        <v>2532</v>
      </c>
      <c r="C1605" t="s">
        <v>7894</v>
      </c>
      <c r="D1605" t="s">
        <v>8022</v>
      </c>
      <c r="E1605" t="s">
        <v>8167</v>
      </c>
      <c r="F1605">
        <v>2490.52</v>
      </c>
      <c r="H1605">
        <v>8367.48</v>
      </c>
    </row>
    <row r="1606" spans="1:10" ht="15" customHeight="1" x14ac:dyDescent="0.2">
      <c r="A1606" t="s">
        <v>7894</v>
      </c>
      <c r="E1606" t="s">
        <v>349</v>
      </c>
      <c r="F1606">
        <v>8367.48</v>
      </c>
      <c r="H1606">
        <v>8367.48</v>
      </c>
    </row>
    <row r="1608" spans="1:10" ht="15" customHeight="1" x14ac:dyDescent="0.2">
      <c r="A1608" t="s">
        <v>811</v>
      </c>
      <c r="B1608" t="s">
        <v>2066</v>
      </c>
      <c r="F1608" t="s">
        <v>2430</v>
      </c>
      <c r="G1608" t="s">
        <v>2431</v>
      </c>
      <c r="H1608" t="s">
        <v>2432</v>
      </c>
      <c r="I1608" t="s">
        <v>2433</v>
      </c>
      <c r="J1608" t="s">
        <v>2434</v>
      </c>
    </row>
    <row r="1609" spans="1:10" ht="15" customHeight="1" x14ac:dyDescent="0.2">
      <c r="A1609" s="420">
        <v>46028</v>
      </c>
      <c r="B1609" t="s">
        <v>2517</v>
      </c>
      <c r="C1609" t="s">
        <v>811</v>
      </c>
      <c r="D1609" t="s">
        <v>8862</v>
      </c>
      <c r="E1609" t="s">
        <v>2067</v>
      </c>
      <c r="F1609">
        <v>0.01</v>
      </c>
      <c r="H1609">
        <v>0.01</v>
      </c>
    </row>
    <row r="1610" spans="1:10" ht="15" customHeight="1" x14ac:dyDescent="0.2">
      <c r="A1610" s="420">
        <v>46038</v>
      </c>
      <c r="B1610" t="s">
        <v>2517</v>
      </c>
      <c r="C1610" t="s">
        <v>811</v>
      </c>
      <c r="D1610" t="s">
        <v>8863</v>
      </c>
      <c r="E1610" t="s">
        <v>827</v>
      </c>
      <c r="F1610">
        <v>1.08</v>
      </c>
      <c r="H1610">
        <v>1.0900000000000001</v>
      </c>
    </row>
    <row r="1611" spans="1:10" ht="15" customHeight="1" x14ac:dyDescent="0.2">
      <c r="A1611" s="420">
        <v>46042</v>
      </c>
      <c r="B1611" t="s">
        <v>2517</v>
      </c>
      <c r="C1611" t="s">
        <v>811</v>
      </c>
      <c r="D1611" t="s">
        <v>8864</v>
      </c>
      <c r="E1611" t="s">
        <v>2067</v>
      </c>
      <c r="F1611">
        <v>0.01</v>
      </c>
      <c r="H1611">
        <v>1.1000000000000001</v>
      </c>
    </row>
    <row r="1612" spans="1:10" ht="15" customHeight="1" x14ac:dyDescent="0.2">
      <c r="A1612" s="420">
        <v>46043</v>
      </c>
      <c r="B1612" t="s">
        <v>2517</v>
      </c>
      <c r="C1612" t="s">
        <v>811</v>
      </c>
      <c r="D1612" t="s">
        <v>8865</v>
      </c>
      <c r="E1612" t="s">
        <v>818</v>
      </c>
      <c r="F1612">
        <v>0.43</v>
      </c>
      <c r="H1612">
        <v>1.53</v>
      </c>
    </row>
    <row r="1613" spans="1:10" ht="15" customHeight="1" x14ac:dyDescent="0.2">
      <c r="A1613" s="420">
        <v>46048</v>
      </c>
      <c r="B1613" t="s">
        <v>2517</v>
      </c>
      <c r="C1613" t="s">
        <v>811</v>
      </c>
      <c r="D1613" t="s">
        <v>8866</v>
      </c>
      <c r="E1613" t="s">
        <v>820</v>
      </c>
      <c r="F1613">
        <v>2</v>
      </c>
      <c r="H1613">
        <v>3.53</v>
      </c>
    </row>
    <row r="1614" spans="1:10" ht="15" customHeight="1" x14ac:dyDescent="0.2">
      <c r="A1614" s="420">
        <v>46056</v>
      </c>
      <c r="B1614" t="s">
        <v>2517</v>
      </c>
      <c r="C1614" t="s">
        <v>811</v>
      </c>
      <c r="D1614" t="s">
        <v>8867</v>
      </c>
      <c r="E1614" t="s">
        <v>2069</v>
      </c>
      <c r="F1614">
        <v>0.01</v>
      </c>
      <c r="H1614">
        <v>3.54</v>
      </c>
    </row>
    <row r="1615" spans="1:10" ht="15" customHeight="1" x14ac:dyDescent="0.2">
      <c r="A1615" s="420">
        <v>46087</v>
      </c>
      <c r="B1615" t="s">
        <v>2517</v>
      </c>
      <c r="C1615" t="s">
        <v>811</v>
      </c>
      <c r="D1615" t="s">
        <v>8868</v>
      </c>
      <c r="E1615" t="s">
        <v>2067</v>
      </c>
      <c r="F1615">
        <v>0.01</v>
      </c>
      <c r="H1615">
        <v>3.55</v>
      </c>
    </row>
    <row r="1616" spans="1:10" ht="15" customHeight="1" x14ac:dyDescent="0.2">
      <c r="A1616" s="420">
        <v>46106</v>
      </c>
      <c r="B1616" t="s">
        <v>2517</v>
      </c>
      <c r="C1616" t="s">
        <v>811</v>
      </c>
      <c r="D1616" t="s">
        <v>8869</v>
      </c>
      <c r="E1616" t="s">
        <v>820</v>
      </c>
      <c r="F1616">
        <v>4</v>
      </c>
      <c r="H1616">
        <v>7.55</v>
      </c>
    </row>
    <row r="1617" spans="1:10" ht="15" customHeight="1" x14ac:dyDescent="0.2">
      <c r="A1617" t="s">
        <v>811</v>
      </c>
      <c r="E1617" t="s">
        <v>349</v>
      </c>
      <c r="F1617">
        <v>7.55</v>
      </c>
      <c r="H1617">
        <v>7.55</v>
      </c>
    </row>
    <row r="1619" spans="1:10" ht="15" customHeight="1" x14ac:dyDescent="0.2">
      <c r="A1619" t="s">
        <v>7897</v>
      </c>
      <c r="B1619" t="s">
        <v>7898</v>
      </c>
      <c r="F1619" t="s">
        <v>2430</v>
      </c>
      <c r="G1619" t="s">
        <v>2431</v>
      </c>
      <c r="H1619" t="s">
        <v>2432</v>
      </c>
      <c r="I1619" t="s">
        <v>2433</v>
      </c>
      <c r="J1619" t="s">
        <v>2434</v>
      </c>
    </row>
    <row r="1620" spans="1:10" ht="15" customHeight="1" x14ac:dyDescent="0.2">
      <c r="A1620" s="420">
        <v>46053</v>
      </c>
      <c r="B1620" t="s">
        <v>2517</v>
      </c>
      <c r="C1620" t="s">
        <v>7897</v>
      </c>
      <c r="D1620" t="s">
        <v>8197</v>
      </c>
      <c r="E1620" t="s">
        <v>8198</v>
      </c>
      <c r="F1620">
        <v>0.24</v>
      </c>
      <c r="H1620">
        <v>0.24</v>
      </c>
    </row>
    <row r="1621" spans="1:10" ht="15" customHeight="1" x14ac:dyDescent="0.2">
      <c r="A1621" t="s">
        <v>7897</v>
      </c>
      <c r="E1621" t="s">
        <v>349</v>
      </c>
      <c r="F1621">
        <v>0.24</v>
      </c>
      <c r="H1621">
        <v>0.24</v>
      </c>
    </row>
    <row r="1623" spans="1:10" ht="15" customHeight="1" x14ac:dyDescent="0.2">
      <c r="A1623" t="s">
        <v>870</v>
      </c>
      <c r="B1623" t="s">
        <v>871</v>
      </c>
      <c r="F1623" t="s">
        <v>2430</v>
      </c>
      <c r="G1623" t="s">
        <v>2431</v>
      </c>
      <c r="H1623" t="s">
        <v>2432</v>
      </c>
      <c r="I1623" t="s">
        <v>2433</v>
      </c>
      <c r="J1623" t="s">
        <v>2434</v>
      </c>
    </row>
    <row r="1624" spans="1:10" ht="15" customHeight="1" x14ac:dyDescent="0.2">
      <c r="A1624" s="420">
        <v>46027</v>
      </c>
      <c r="B1624" t="s">
        <v>2457</v>
      </c>
      <c r="C1624" t="s">
        <v>870</v>
      </c>
      <c r="D1624" t="s">
        <v>2458</v>
      </c>
      <c r="E1624" t="s">
        <v>8870</v>
      </c>
      <c r="F1624">
        <v>13.72</v>
      </c>
      <c r="H1624">
        <v>13.72</v>
      </c>
    </row>
    <row r="1625" spans="1:10" ht="15" customHeight="1" x14ac:dyDescent="0.2">
      <c r="A1625" s="420">
        <v>46027</v>
      </c>
      <c r="B1625" t="s">
        <v>2457</v>
      </c>
      <c r="C1625" t="s">
        <v>870</v>
      </c>
      <c r="D1625" t="s">
        <v>2474</v>
      </c>
      <c r="E1625" t="s">
        <v>8871</v>
      </c>
      <c r="F1625">
        <v>37.479999999999997</v>
      </c>
      <c r="H1625">
        <v>51.2</v>
      </c>
    </row>
    <row r="1626" spans="1:10" ht="15" customHeight="1" x14ac:dyDescent="0.2">
      <c r="A1626" s="420">
        <v>46027</v>
      </c>
      <c r="B1626" t="s">
        <v>2457</v>
      </c>
      <c r="C1626" t="s">
        <v>870</v>
      </c>
      <c r="D1626" t="s">
        <v>2501</v>
      </c>
      <c r="E1626" t="s">
        <v>2073</v>
      </c>
      <c r="F1626">
        <v>54.12</v>
      </c>
      <c r="H1626">
        <v>105.32</v>
      </c>
    </row>
    <row r="1627" spans="1:10" ht="15" customHeight="1" x14ac:dyDescent="0.2">
      <c r="A1627" s="420">
        <v>46038</v>
      </c>
      <c r="B1627" t="s">
        <v>2457</v>
      </c>
      <c r="C1627" t="s">
        <v>870</v>
      </c>
      <c r="D1627" t="s">
        <v>2495</v>
      </c>
      <c r="E1627" t="s">
        <v>8872</v>
      </c>
      <c r="F1627">
        <v>16.16</v>
      </c>
      <c r="H1627">
        <v>121.48</v>
      </c>
    </row>
    <row r="1628" spans="1:10" ht="15" customHeight="1" x14ac:dyDescent="0.2">
      <c r="A1628" s="420">
        <v>46038</v>
      </c>
      <c r="B1628" t="s">
        <v>2457</v>
      </c>
      <c r="C1628" t="s">
        <v>870</v>
      </c>
      <c r="D1628" t="s">
        <v>2489</v>
      </c>
      <c r="E1628" t="s">
        <v>8873</v>
      </c>
      <c r="F1628">
        <v>26.76</v>
      </c>
      <c r="H1628">
        <v>148.24</v>
      </c>
    </row>
    <row r="1629" spans="1:10" ht="15" customHeight="1" x14ac:dyDescent="0.2">
      <c r="A1629" s="420">
        <v>46058</v>
      </c>
      <c r="B1629" t="s">
        <v>2457</v>
      </c>
      <c r="C1629" t="s">
        <v>870</v>
      </c>
      <c r="D1629" t="s">
        <v>2458</v>
      </c>
      <c r="E1629" t="s">
        <v>8874</v>
      </c>
      <c r="F1629">
        <v>13.42</v>
      </c>
      <c r="H1629">
        <v>161.66</v>
      </c>
    </row>
    <row r="1630" spans="1:10" ht="15" customHeight="1" x14ac:dyDescent="0.2">
      <c r="A1630" s="420">
        <v>46058</v>
      </c>
      <c r="B1630" t="s">
        <v>2457</v>
      </c>
      <c r="C1630" t="s">
        <v>870</v>
      </c>
      <c r="D1630" t="s">
        <v>2474</v>
      </c>
      <c r="E1630" t="s">
        <v>8875</v>
      </c>
      <c r="F1630">
        <v>36.67</v>
      </c>
      <c r="H1630">
        <v>198.33</v>
      </c>
    </row>
    <row r="1631" spans="1:10" ht="15" customHeight="1" x14ac:dyDescent="0.2">
      <c r="A1631" s="420">
        <v>46058</v>
      </c>
      <c r="B1631" t="s">
        <v>2457</v>
      </c>
      <c r="C1631" t="s">
        <v>870</v>
      </c>
      <c r="D1631" t="s">
        <v>2501</v>
      </c>
      <c r="E1631" t="s">
        <v>2082</v>
      </c>
      <c r="F1631">
        <v>53.01</v>
      </c>
      <c r="H1631">
        <v>251.34</v>
      </c>
    </row>
    <row r="1632" spans="1:10" ht="15" customHeight="1" x14ac:dyDescent="0.2">
      <c r="A1632" s="420">
        <v>46069</v>
      </c>
      <c r="B1632" t="s">
        <v>2457</v>
      </c>
      <c r="C1632" t="s">
        <v>870</v>
      </c>
      <c r="D1632" t="s">
        <v>2495</v>
      </c>
      <c r="E1632" t="s">
        <v>8876</v>
      </c>
      <c r="F1632">
        <v>15.82</v>
      </c>
      <c r="H1632">
        <v>267.16000000000003</v>
      </c>
    </row>
    <row r="1633" spans="1:10" ht="15" customHeight="1" x14ac:dyDescent="0.2">
      <c r="A1633" s="420">
        <v>46069</v>
      </c>
      <c r="B1633" t="s">
        <v>2457</v>
      </c>
      <c r="C1633" t="s">
        <v>870</v>
      </c>
      <c r="D1633" t="s">
        <v>2489</v>
      </c>
      <c r="E1633" t="s">
        <v>8877</v>
      </c>
      <c r="F1633">
        <v>26.23</v>
      </c>
      <c r="H1633">
        <v>293.39</v>
      </c>
    </row>
    <row r="1634" spans="1:10" ht="15" customHeight="1" x14ac:dyDescent="0.2">
      <c r="A1634" s="420">
        <v>46086</v>
      </c>
      <c r="B1634" t="s">
        <v>2457</v>
      </c>
      <c r="C1634" t="s">
        <v>870</v>
      </c>
      <c r="D1634" t="s">
        <v>2458</v>
      </c>
      <c r="E1634" t="s">
        <v>8878</v>
      </c>
      <c r="F1634">
        <v>13.13</v>
      </c>
      <c r="H1634">
        <v>306.52</v>
      </c>
    </row>
    <row r="1635" spans="1:10" ht="15" customHeight="1" x14ac:dyDescent="0.2">
      <c r="A1635" s="420">
        <v>46086</v>
      </c>
      <c r="B1635" t="s">
        <v>2457</v>
      </c>
      <c r="C1635" t="s">
        <v>870</v>
      </c>
      <c r="D1635" t="s">
        <v>2474</v>
      </c>
      <c r="E1635" t="s">
        <v>8879</v>
      </c>
      <c r="F1635">
        <v>35.86</v>
      </c>
      <c r="H1635">
        <v>342.38</v>
      </c>
    </row>
    <row r="1636" spans="1:10" ht="15" customHeight="1" x14ac:dyDescent="0.2">
      <c r="A1636" s="420">
        <v>46086</v>
      </c>
      <c r="B1636" t="s">
        <v>2457</v>
      </c>
      <c r="C1636" t="s">
        <v>870</v>
      </c>
      <c r="D1636" t="s">
        <v>2501</v>
      </c>
      <c r="E1636" t="s">
        <v>2087</v>
      </c>
      <c r="F1636">
        <v>51.91</v>
      </c>
      <c r="H1636">
        <v>394.29</v>
      </c>
    </row>
    <row r="1637" spans="1:10" ht="15" customHeight="1" x14ac:dyDescent="0.2">
      <c r="A1637" s="420">
        <v>46097</v>
      </c>
      <c r="B1637" t="s">
        <v>2457</v>
      </c>
      <c r="C1637" t="s">
        <v>870</v>
      </c>
      <c r="D1637" t="s">
        <v>2495</v>
      </c>
      <c r="E1637" t="s">
        <v>8880</v>
      </c>
      <c r="F1637">
        <v>15.49</v>
      </c>
      <c r="H1637">
        <v>409.78</v>
      </c>
    </row>
    <row r="1638" spans="1:10" ht="15" customHeight="1" x14ac:dyDescent="0.2">
      <c r="A1638" s="420">
        <v>46097</v>
      </c>
      <c r="B1638" t="s">
        <v>2457</v>
      </c>
      <c r="C1638" t="s">
        <v>870</v>
      </c>
      <c r="D1638" t="s">
        <v>2489</v>
      </c>
      <c r="E1638" t="s">
        <v>8881</v>
      </c>
      <c r="F1638">
        <v>25.69</v>
      </c>
      <c r="H1638">
        <v>435.47</v>
      </c>
    </row>
    <row r="1639" spans="1:10" ht="15" customHeight="1" x14ac:dyDescent="0.2">
      <c r="A1639" t="s">
        <v>870</v>
      </c>
      <c r="E1639" t="s">
        <v>349</v>
      </c>
      <c r="F1639">
        <v>435.47</v>
      </c>
      <c r="H1639">
        <v>435.47</v>
      </c>
    </row>
    <row r="1641" spans="1:10" ht="15" customHeight="1" x14ac:dyDescent="0.2">
      <c r="A1641" t="s">
        <v>2075</v>
      </c>
      <c r="B1641" t="s">
        <v>2076</v>
      </c>
      <c r="F1641" t="s">
        <v>2430</v>
      </c>
      <c r="G1641" t="s">
        <v>2431</v>
      </c>
      <c r="H1641" t="s">
        <v>2432</v>
      </c>
      <c r="I1641" t="s">
        <v>2433</v>
      </c>
      <c r="J1641" t="s">
        <v>2434</v>
      </c>
    </row>
    <row r="1642" spans="1:10" ht="15" customHeight="1" x14ac:dyDescent="0.2">
      <c r="A1642" s="420">
        <v>46029</v>
      </c>
      <c r="B1642" t="s">
        <v>2555</v>
      </c>
      <c r="C1642" t="s">
        <v>2075</v>
      </c>
      <c r="D1642" t="s">
        <v>8738</v>
      </c>
      <c r="E1642" t="s">
        <v>2077</v>
      </c>
      <c r="G1642">
        <v>7.0000000000000007E-2</v>
      </c>
      <c r="I1642">
        <v>7.0000000000000007E-2</v>
      </c>
    </row>
    <row r="1643" spans="1:10" ht="15" customHeight="1" x14ac:dyDescent="0.2">
      <c r="A1643" t="s">
        <v>2075</v>
      </c>
      <c r="E1643" t="s">
        <v>349</v>
      </c>
      <c r="G1643">
        <v>7.0000000000000007E-2</v>
      </c>
      <c r="I1643">
        <v>7.0000000000000007E-2</v>
      </c>
    </row>
    <row r="1645" spans="1:10" ht="15" customHeight="1" x14ac:dyDescent="0.2">
      <c r="A1645" t="s">
        <v>7931</v>
      </c>
      <c r="B1645" t="s">
        <v>7932</v>
      </c>
      <c r="F1645" t="s">
        <v>2430</v>
      </c>
      <c r="G1645" t="s">
        <v>2431</v>
      </c>
      <c r="H1645" t="s">
        <v>2432</v>
      </c>
      <c r="I1645" t="s">
        <v>2433</v>
      </c>
      <c r="J1645" t="s">
        <v>2434</v>
      </c>
    </row>
    <row r="1646" spans="1:10" ht="15" customHeight="1" x14ac:dyDescent="0.2">
      <c r="A1646" s="420">
        <v>46027</v>
      </c>
      <c r="B1646" t="s">
        <v>5544</v>
      </c>
      <c r="C1646" t="s">
        <v>7931</v>
      </c>
      <c r="D1646" t="s">
        <v>8122</v>
      </c>
      <c r="E1646" t="s">
        <v>8123</v>
      </c>
      <c r="G1646">
        <v>138258.12</v>
      </c>
      <c r="I1646">
        <v>138258.12</v>
      </c>
    </row>
    <row r="1647" spans="1:10" ht="15" customHeight="1" x14ac:dyDescent="0.2">
      <c r="A1647" s="420">
        <v>46056</v>
      </c>
      <c r="B1647" t="s">
        <v>5544</v>
      </c>
      <c r="C1647" t="s">
        <v>7931</v>
      </c>
      <c r="D1647" t="s">
        <v>8069</v>
      </c>
      <c r="E1647" t="s">
        <v>8070</v>
      </c>
      <c r="G1647">
        <v>124787.06</v>
      </c>
      <c r="I1647">
        <v>263045.18</v>
      </c>
    </row>
    <row r="1648" spans="1:10" ht="15" customHeight="1" x14ac:dyDescent="0.2">
      <c r="A1648" s="420">
        <v>46056</v>
      </c>
      <c r="B1648" t="s">
        <v>5544</v>
      </c>
      <c r="C1648" t="s">
        <v>7931</v>
      </c>
      <c r="D1648" t="s">
        <v>8203</v>
      </c>
      <c r="E1648" t="s">
        <v>8204</v>
      </c>
      <c r="G1648">
        <v>114620.41</v>
      </c>
      <c r="I1648">
        <v>377665.59</v>
      </c>
    </row>
    <row r="1649" spans="1:10" ht="15" customHeight="1" x14ac:dyDescent="0.2">
      <c r="A1649" s="420">
        <v>46083</v>
      </c>
      <c r="B1649" t="s">
        <v>5544</v>
      </c>
      <c r="C1649" t="s">
        <v>7931</v>
      </c>
      <c r="D1649" t="s">
        <v>8043</v>
      </c>
      <c r="E1649" t="s">
        <v>8044</v>
      </c>
      <c r="G1649">
        <v>142751.45000000001</v>
      </c>
      <c r="I1649">
        <v>520417.04</v>
      </c>
    </row>
    <row r="1650" spans="1:10" ht="15" customHeight="1" x14ac:dyDescent="0.2">
      <c r="A1650" s="420">
        <v>46083</v>
      </c>
      <c r="B1650" t="s">
        <v>5544</v>
      </c>
      <c r="C1650" t="s">
        <v>7931</v>
      </c>
      <c r="D1650" t="s">
        <v>8108</v>
      </c>
      <c r="E1650" t="s">
        <v>8109</v>
      </c>
      <c r="G1650">
        <v>146995.66</v>
      </c>
      <c r="I1650">
        <v>667412.69999999995</v>
      </c>
    </row>
    <row r="1651" spans="1:10" ht="15" customHeight="1" x14ac:dyDescent="0.2">
      <c r="A1651" s="420">
        <v>46083</v>
      </c>
      <c r="B1651" t="s">
        <v>5544</v>
      </c>
      <c r="C1651" t="s">
        <v>7931</v>
      </c>
      <c r="D1651" t="s">
        <v>8057</v>
      </c>
      <c r="E1651" t="s">
        <v>8058</v>
      </c>
      <c r="G1651">
        <v>132615.29999999999</v>
      </c>
      <c r="I1651">
        <v>800028</v>
      </c>
    </row>
    <row r="1652" spans="1:10" ht="15" customHeight="1" x14ac:dyDescent="0.2">
      <c r="A1652" t="s">
        <v>7931</v>
      </c>
      <c r="E1652" t="s">
        <v>349</v>
      </c>
      <c r="G1652">
        <v>800028</v>
      </c>
      <c r="I1652">
        <v>800028</v>
      </c>
    </row>
    <row r="1654" spans="1:10" ht="15" customHeight="1" x14ac:dyDescent="0.2">
      <c r="A1654" t="s">
        <v>7937</v>
      </c>
      <c r="B1654" t="s">
        <v>7938</v>
      </c>
      <c r="F1654" t="s">
        <v>2430</v>
      </c>
      <c r="G1654" t="s">
        <v>2431</v>
      </c>
      <c r="H1654" t="s">
        <v>2432</v>
      </c>
      <c r="I1654" t="s">
        <v>2433</v>
      </c>
      <c r="J1654" t="s">
        <v>2434</v>
      </c>
    </row>
    <row r="1655" spans="1:10" ht="15" customHeight="1" x14ac:dyDescent="0.2">
      <c r="A1655" s="420">
        <v>46027</v>
      </c>
      <c r="B1655" t="s">
        <v>5544</v>
      </c>
      <c r="C1655" t="s">
        <v>7937</v>
      </c>
      <c r="D1655" t="s">
        <v>8195</v>
      </c>
      <c r="E1655" t="s">
        <v>8196</v>
      </c>
      <c r="G1655">
        <v>452.46</v>
      </c>
      <c r="I1655">
        <v>452.46</v>
      </c>
    </row>
    <row r="1656" spans="1:10" ht="15" customHeight="1" x14ac:dyDescent="0.2">
      <c r="A1656" s="420">
        <v>46056</v>
      </c>
      <c r="B1656" t="s">
        <v>5544</v>
      </c>
      <c r="C1656" t="s">
        <v>7937</v>
      </c>
      <c r="D1656" t="s">
        <v>8199</v>
      </c>
      <c r="E1656" t="s">
        <v>8200</v>
      </c>
      <c r="G1656">
        <v>318.92</v>
      </c>
      <c r="I1656">
        <v>771.38</v>
      </c>
    </row>
    <row r="1657" spans="1:10" ht="15" customHeight="1" x14ac:dyDescent="0.2">
      <c r="A1657" s="420">
        <v>46056</v>
      </c>
      <c r="B1657" t="s">
        <v>5544</v>
      </c>
      <c r="C1657" t="s">
        <v>7937</v>
      </c>
      <c r="D1657" t="s">
        <v>8201</v>
      </c>
      <c r="E1657" t="s">
        <v>8202</v>
      </c>
      <c r="G1657">
        <v>411.17</v>
      </c>
      <c r="I1657">
        <v>1182.55</v>
      </c>
    </row>
    <row r="1658" spans="1:10" ht="15" customHeight="1" x14ac:dyDescent="0.2">
      <c r="A1658" s="420">
        <v>46083</v>
      </c>
      <c r="B1658" t="s">
        <v>5544</v>
      </c>
      <c r="C1658" t="s">
        <v>7937</v>
      </c>
      <c r="D1658" t="s">
        <v>8205</v>
      </c>
      <c r="E1658" t="s">
        <v>8206</v>
      </c>
      <c r="G1658">
        <v>423.88</v>
      </c>
      <c r="I1658">
        <v>1606.43</v>
      </c>
    </row>
    <row r="1659" spans="1:10" ht="15" customHeight="1" x14ac:dyDescent="0.2">
      <c r="A1659" s="420">
        <v>46083</v>
      </c>
      <c r="B1659" t="s">
        <v>5544</v>
      </c>
      <c r="C1659" t="s">
        <v>7937</v>
      </c>
      <c r="D1659" t="s">
        <v>8207</v>
      </c>
      <c r="E1659" t="s">
        <v>8208</v>
      </c>
      <c r="G1659">
        <v>559.26</v>
      </c>
      <c r="I1659">
        <v>2165.69</v>
      </c>
    </row>
    <row r="1660" spans="1:10" ht="15" customHeight="1" x14ac:dyDescent="0.2">
      <c r="A1660" t="s">
        <v>7937</v>
      </c>
      <c r="E1660" t="s">
        <v>349</v>
      </c>
      <c r="G1660">
        <v>2165.69</v>
      </c>
      <c r="I1660">
        <v>2165.69</v>
      </c>
    </row>
    <row r="1662" spans="1:10" ht="15" customHeight="1" x14ac:dyDescent="0.2">
      <c r="A1662" t="s">
        <v>7939</v>
      </c>
      <c r="B1662" t="s">
        <v>7940</v>
      </c>
      <c r="F1662" t="s">
        <v>2430</v>
      </c>
      <c r="G1662" t="s">
        <v>2431</v>
      </c>
      <c r="H1662" t="s">
        <v>2432</v>
      </c>
      <c r="I1662" t="s">
        <v>2433</v>
      </c>
      <c r="J1662" t="s">
        <v>2434</v>
      </c>
    </row>
    <row r="1663" spans="1:10" ht="15" customHeight="1" x14ac:dyDescent="0.2">
      <c r="A1663" s="420">
        <v>46053</v>
      </c>
      <c r="B1663" t="s">
        <v>5544</v>
      </c>
      <c r="C1663" t="s">
        <v>7939</v>
      </c>
      <c r="D1663" t="s">
        <v>8061</v>
      </c>
      <c r="E1663" t="s">
        <v>8062</v>
      </c>
      <c r="G1663">
        <v>1115.5899999999999</v>
      </c>
      <c r="I1663">
        <v>1115.5899999999999</v>
      </c>
    </row>
    <row r="1664" spans="1:10" ht="15" customHeight="1" x14ac:dyDescent="0.2">
      <c r="A1664" s="420">
        <v>46081</v>
      </c>
      <c r="B1664" t="s">
        <v>5544</v>
      </c>
      <c r="C1664" t="s">
        <v>7939</v>
      </c>
      <c r="D1664" t="s">
        <v>8063</v>
      </c>
      <c r="E1664" t="s">
        <v>8064</v>
      </c>
      <c r="G1664">
        <v>1115.5899999999999</v>
      </c>
      <c r="I1664">
        <v>2231.1799999999998</v>
      </c>
    </row>
    <row r="1665" spans="1:10" ht="15" customHeight="1" x14ac:dyDescent="0.2">
      <c r="A1665" s="420">
        <v>46112</v>
      </c>
      <c r="B1665" t="s">
        <v>5544</v>
      </c>
      <c r="C1665" t="s">
        <v>7939</v>
      </c>
      <c r="D1665" t="s">
        <v>8065</v>
      </c>
      <c r="E1665" t="s">
        <v>8066</v>
      </c>
      <c r="G1665">
        <v>1115.5899999999999</v>
      </c>
      <c r="I1665">
        <v>3346.77</v>
      </c>
    </row>
    <row r="1666" spans="1:10" ht="15" customHeight="1" x14ac:dyDescent="0.2">
      <c r="A1666" t="s">
        <v>7939</v>
      </c>
      <c r="E1666" t="s">
        <v>349</v>
      </c>
      <c r="G1666">
        <v>3346.77</v>
      </c>
      <c r="I1666">
        <v>3346.77</v>
      </c>
    </row>
    <row r="1668" spans="1:10" ht="15" customHeight="1" x14ac:dyDescent="0.2">
      <c r="A1668" t="s">
        <v>7943</v>
      </c>
      <c r="B1668" t="s">
        <v>7946</v>
      </c>
      <c r="F1668" t="s">
        <v>2430</v>
      </c>
      <c r="G1668" t="s">
        <v>2431</v>
      </c>
      <c r="H1668" t="s">
        <v>2432</v>
      </c>
      <c r="I1668" t="s">
        <v>2433</v>
      </c>
      <c r="J1668" t="s">
        <v>2434</v>
      </c>
    </row>
    <row r="1669" spans="1:10" ht="15" customHeight="1" x14ac:dyDescent="0.2">
      <c r="A1669" s="420">
        <v>46027</v>
      </c>
      <c r="B1669" t="s">
        <v>2517</v>
      </c>
      <c r="C1669" t="s">
        <v>7943</v>
      </c>
      <c r="D1669" t="s">
        <v>8882</v>
      </c>
      <c r="E1669" t="s">
        <v>2665</v>
      </c>
      <c r="G1669">
        <v>0.01</v>
      </c>
      <c r="I1669">
        <v>0.01</v>
      </c>
    </row>
    <row r="1670" spans="1:10" ht="15" customHeight="1" x14ac:dyDescent="0.2">
      <c r="A1670" s="420">
        <v>46048</v>
      </c>
      <c r="B1670" t="s">
        <v>2517</v>
      </c>
      <c r="C1670" t="s">
        <v>7943</v>
      </c>
      <c r="D1670" t="s">
        <v>8883</v>
      </c>
      <c r="E1670" t="s">
        <v>8884</v>
      </c>
      <c r="G1670">
        <v>0.01</v>
      </c>
      <c r="I1670">
        <v>0.02</v>
      </c>
    </row>
    <row r="1671" spans="1:10" ht="15" customHeight="1" x14ac:dyDescent="0.2">
      <c r="A1671" s="420">
        <v>46058</v>
      </c>
      <c r="B1671" t="s">
        <v>2517</v>
      </c>
      <c r="C1671" t="s">
        <v>7943</v>
      </c>
      <c r="D1671" t="s">
        <v>8885</v>
      </c>
      <c r="E1671" t="s">
        <v>2665</v>
      </c>
      <c r="G1671">
        <v>0.01</v>
      </c>
      <c r="I1671">
        <v>0.03</v>
      </c>
    </row>
    <row r="1672" spans="1:10" ht="15" customHeight="1" x14ac:dyDescent="0.2">
      <c r="A1672" t="s">
        <v>7943</v>
      </c>
      <c r="E1672" t="s">
        <v>349</v>
      </c>
      <c r="G1672">
        <v>0.03</v>
      </c>
      <c r="I1672">
        <v>0.03</v>
      </c>
    </row>
    <row r="1674" spans="1:10" ht="15" customHeight="1" x14ac:dyDescent="0.2">
      <c r="A1674" t="s">
        <v>7943</v>
      </c>
      <c r="B1674" t="s">
        <v>7944</v>
      </c>
      <c r="F1674" t="s">
        <v>2430</v>
      </c>
      <c r="G1674" t="s">
        <v>2431</v>
      </c>
      <c r="H1674" t="s">
        <v>2432</v>
      </c>
      <c r="I1674" t="s">
        <v>2433</v>
      </c>
      <c r="J1674" t="s">
        <v>2434</v>
      </c>
    </row>
    <row r="1675" spans="1:10" ht="15" customHeight="1" x14ac:dyDescent="0.2">
      <c r="A1675" s="420">
        <v>46081</v>
      </c>
      <c r="B1675" t="s">
        <v>2517</v>
      </c>
      <c r="C1675" t="s">
        <v>7943</v>
      </c>
      <c r="D1675" t="s">
        <v>8160</v>
      </c>
      <c r="E1675" t="s">
        <v>8173</v>
      </c>
      <c r="G1675">
        <v>0.44</v>
      </c>
      <c r="I1675">
        <v>0.44</v>
      </c>
    </row>
    <row r="1676" spans="1:10" ht="15" customHeight="1" x14ac:dyDescent="0.2">
      <c r="A1676" s="420">
        <v>46081</v>
      </c>
      <c r="B1676" t="s">
        <v>2517</v>
      </c>
      <c r="C1676" t="s">
        <v>7943</v>
      </c>
      <c r="D1676" t="s">
        <v>8886</v>
      </c>
      <c r="E1676" t="s">
        <v>8887</v>
      </c>
      <c r="F1676">
        <v>1</v>
      </c>
      <c r="H1676">
        <v>0.56000000000000005</v>
      </c>
    </row>
    <row r="1677" spans="1:10" ht="15" customHeight="1" x14ac:dyDescent="0.2">
      <c r="A1677" t="s">
        <v>7943</v>
      </c>
      <c r="E1677" t="s">
        <v>349</v>
      </c>
      <c r="F1677">
        <v>1</v>
      </c>
      <c r="G1677">
        <v>0.44</v>
      </c>
      <c r="H1677">
        <v>0.56000000000000005</v>
      </c>
    </row>
    <row r="1679" spans="1:10" ht="15" customHeight="1" x14ac:dyDescent="0.2">
      <c r="A1679" t="s">
        <v>7950</v>
      </c>
      <c r="B1679" t="s">
        <v>7951</v>
      </c>
      <c r="F1679" t="s">
        <v>2430</v>
      </c>
      <c r="G1679" t="s">
        <v>2431</v>
      </c>
      <c r="H1679" t="s">
        <v>2432</v>
      </c>
      <c r="I1679" t="s">
        <v>2433</v>
      </c>
      <c r="J1679" t="s">
        <v>2434</v>
      </c>
    </row>
    <row r="1680" spans="1:10" ht="15" customHeight="1" x14ac:dyDescent="0.2">
      <c r="A1680" s="420">
        <v>46024</v>
      </c>
      <c r="B1680" t="s">
        <v>2333</v>
      </c>
      <c r="C1680" t="s">
        <v>7950</v>
      </c>
      <c r="D1680" t="s">
        <v>8401</v>
      </c>
      <c r="E1680" t="s">
        <v>8402</v>
      </c>
      <c r="G1680">
        <v>416.66</v>
      </c>
      <c r="I1680">
        <v>416.66</v>
      </c>
    </row>
    <row r="1681" spans="1:9" ht="15" customHeight="1" x14ac:dyDescent="0.2">
      <c r="A1681" s="420">
        <v>46058</v>
      </c>
      <c r="B1681" t="s">
        <v>2333</v>
      </c>
      <c r="C1681" t="s">
        <v>7950</v>
      </c>
      <c r="D1681" t="s">
        <v>8544</v>
      </c>
      <c r="E1681" t="s">
        <v>8545</v>
      </c>
      <c r="G1681">
        <v>416.66</v>
      </c>
      <c r="I1681">
        <v>833.32</v>
      </c>
    </row>
    <row r="1682" spans="1:9" ht="15" customHeight="1" x14ac:dyDescent="0.2">
      <c r="A1682" s="420">
        <v>46087</v>
      </c>
      <c r="B1682" t="s">
        <v>2333</v>
      </c>
      <c r="C1682" t="s">
        <v>7950</v>
      </c>
      <c r="D1682" t="s">
        <v>8656</v>
      </c>
      <c r="E1682" t="s">
        <v>8657</v>
      </c>
      <c r="G1682">
        <v>416.66</v>
      </c>
      <c r="I1682">
        <v>1249.98</v>
      </c>
    </row>
    <row r="1683" spans="1:9" ht="15" customHeight="1" x14ac:dyDescent="0.2">
      <c r="A1683" t="s">
        <v>7950</v>
      </c>
      <c r="E1683" t="s">
        <v>349</v>
      </c>
      <c r="G1683">
        <v>1249.98</v>
      </c>
      <c r="I1683">
        <v>1249.98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11"/>
  <sheetViews>
    <sheetView zoomScaleNormal="100" workbookViewId="0"/>
  </sheetViews>
  <sheetFormatPr baseColWidth="10" defaultColWidth="8.6640625" defaultRowHeight="15" x14ac:dyDescent="0.2"/>
  <sheetData>
    <row r="1" spans="1:4" ht="15" customHeight="1" x14ac:dyDescent="0.2">
      <c r="A1" t="s">
        <v>8888</v>
      </c>
      <c r="B1" t="s">
        <v>8889</v>
      </c>
      <c r="C1" t="s">
        <v>427</v>
      </c>
      <c r="D1" t="s">
        <v>8890</v>
      </c>
    </row>
    <row r="2" spans="1:4" ht="15" customHeight="1" x14ac:dyDescent="0.2">
      <c r="A2">
        <v>60400000000</v>
      </c>
      <c r="B2" t="s">
        <v>8891</v>
      </c>
      <c r="C2" t="s">
        <v>27</v>
      </c>
      <c r="D2" t="s">
        <v>38</v>
      </c>
    </row>
    <row r="3" spans="1:4" ht="15" customHeight="1" x14ac:dyDescent="0.2">
      <c r="A3">
        <v>60401000000</v>
      </c>
      <c r="B3" t="s">
        <v>8891</v>
      </c>
      <c r="C3" t="s">
        <v>8892</v>
      </c>
      <c r="D3" t="s">
        <v>272</v>
      </c>
    </row>
    <row r="4" spans="1:4" ht="15" customHeight="1" x14ac:dyDescent="0.2">
      <c r="A4">
        <v>60410000000</v>
      </c>
      <c r="B4" t="s">
        <v>8891</v>
      </c>
      <c r="C4" t="s">
        <v>8892</v>
      </c>
      <c r="D4" t="s">
        <v>272</v>
      </c>
    </row>
    <row r="5" spans="1:4" ht="15" customHeight="1" x14ac:dyDescent="0.2">
      <c r="A5">
        <v>60611000000</v>
      </c>
      <c r="B5" t="s">
        <v>8893</v>
      </c>
      <c r="C5" t="s">
        <v>27</v>
      </c>
      <c r="D5" t="s">
        <v>364</v>
      </c>
    </row>
    <row r="6" spans="1:4" ht="15" customHeight="1" x14ac:dyDescent="0.2">
      <c r="A6">
        <v>60611100000</v>
      </c>
      <c r="B6" t="s">
        <v>8893</v>
      </c>
      <c r="C6" t="s">
        <v>27</v>
      </c>
      <c r="D6" t="s">
        <v>364</v>
      </c>
    </row>
    <row r="7" spans="1:4" ht="15" customHeight="1" x14ac:dyDescent="0.2">
      <c r="A7">
        <v>60612000000</v>
      </c>
      <c r="B7" t="s">
        <v>8893</v>
      </c>
      <c r="C7" t="s">
        <v>27</v>
      </c>
      <c r="D7" t="s">
        <v>364</v>
      </c>
    </row>
    <row r="8" spans="1:4" ht="15" customHeight="1" x14ac:dyDescent="0.2">
      <c r="A8">
        <v>60613200000</v>
      </c>
      <c r="B8" t="s">
        <v>8891</v>
      </c>
      <c r="C8" t="s">
        <v>27</v>
      </c>
      <c r="D8" t="s">
        <v>40</v>
      </c>
    </row>
    <row r="9" spans="1:4" ht="15" customHeight="1" x14ac:dyDescent="0.2">
      <c r="A9">
        <v>60613210000</v>
      </c>
      <c r="B9" t="s">
        <v>8891</v>
      </c>
      <c r="C9" t="s">
        <v>27</v>
      </c>
      <c r="D9" t="s">
        <v>40</v>
      </c>
    </row>
    <row r="10" spans="1:4" ht="15" customHeight="1" x14ac:dyDescent="0.2">
      <c r="A10">
        <v>60613220000</v>
      </c>
      <c r="B10" t="s">
        <v>8891</v>
      </c>
      <c r="C10" t="s">
        <v>27</v>
      </c>
      <c r="D10" t="s">
        <v>40</v>
      </c>
    </row>
    <row r="11" spans="1:4" ht="15" customHeight="1" x14ac:dyDescent="0.2">
      <c r="A11">
        <v>60613230000</v>
      </c>
      <c r="B11" t="s">
        <v>8891</v>
      </c>
      <c r="C11" t="s">
        <v>27</v>
      </c>
      <c r="D11" t="s">
        <v>40</v>
      </c>
    </row>
    <row r="12" spans="1:4" ht="15" customHeight="1" x14ac:dyDescent="0.2">
      <c r="A12">
        <v>60630000000</v>
      </c>
      <c r="B12" t="s">
        <v>8891</v>
      </c>
      <c r="C12" t="s">
        <v>27</v>
      </c>
      <c r="D12" t="s">
        <v>364</v>
      </c>
    </row>
    <row r="13" spans="1:4" ht="15" customHeight="1" x14ac:dyDescent="0.2">
      <c r="A13">
        <v>60640000000</v>
      </c>
      <c r="B13" t="s">
        <v>8891</v>
      </c>
      <c r="C13" t="s">
        <v>27</v>
      </c>
      <c r="D13" t="s">
        <v>364</v>
      </c>
    </row>
    <row r="14" spans="1:4" ht="15" customHeight="1" x14ac:dyDescent="0.2">
      <c r="A14">
        <v>60960000000</v>
      </c>
      <c r="B14" t="s">
        <v>8891</v>
      </c>
      <c r="C14" t="s">
        <v>27</v>
      </c>
      <c r="D14" t="s">
        <v>368</v>
      </c>
    </row>
    <row r="15" spans="1:4" ht="15" customHeight="1" x14ac:dyDescent="0.2">
      <c r="A15">
        <v>61252100000</v>
      </c>
      <c r="B15" t="s">
        <v>8893</v>
      </c>
      <c r="C15" t="s">
        <v>27</v>
      </c>
      <c r="D15" t="s">
        <v>35</v>
      </c>
    </row>
    <row r="16" spans="1:4" ht="15" customHeight="1" x14ac:dyDescent="0.2">
      <c r="A16">
        <v>61252200000</v>
      </c>
      <c r="B16" t="s">
        <v>8893</v>
      </c>
      <c r="C16" t="s">
        <v>27</v>
      </c>
      <c r="D16" t="s">
        <v>35</v>
      </c>
    </row>
    <row r="17" spans="1:4" ht="15" customHeight="1" x14ac:dyDescent="0.2">
      <c r="A17">
        <v>61252300000</v>
      </c>
      <c r="B17" t="s">
        <v>8893</v>
      </c>
      <c r="C17" t="s">
        <v>27</v>
      </c>
      <c r="D17" t="s">
        <v>35</v>
      </c>
    </row>
    <row r="18" spans="1:4" ht="15" customHeight="1" x14ac:dyDescent="0.2">
      <c r="A18">
        <v>61252400000</v>
      </c>
      <c r="B18" t="s">
        <v>8893</v>
      </c>
      <c r="C18" t="s">
        <v>27</v>
      </c>
      <c r="D18" t="s">
        <v>35</v>
      </c>
    </row>
    <row r="19" spans="1:4" ht="15" customHeight="1" x14ac:dyDescent="0.2">
      <c r="A19">
        <v>61321000000</v>
      </c>
      <c r="B19" t="s">
        <v>8893</v>
      </c>
      <c r="C19" t="s">
        <v>27</v>
      </c>
      <c r="D19" t="s">
        <v>34</v>
      </c>
    </row>
    <row r="20" spans="1:4" ht="15" customHeight="1" x14ac:dyDescent="0.2">
      <c r="A20">
        <v>61321100000</v>
      </c>
      <c r="B20" t="s">
        <v>8893</v>
      </c>
      <c r="C20" t="s">
        <v>27</v>
      </c>
      <c r="D20" t="s">
        <v>34</v>
      </c>
    </row>
    <row r="21" spans="1:4" ht="15" customHeight="1" x14ac:dyDescent="0.2">
      <c r="A21">
        <v>61321200000</v>
      </c>
      <c r="B21" t="s">
        <v>8893</v>
      </c>
      <c r="C21" t="s">
        <v>27</v>
      </c>
      <c r="D21" t="s">
        <v>34</v>
      </c>
    </row>
    <row r="22" spans="1:4" ht="15" customHeight="1" x14ac:dyDescent="0.2">
      <c r="A22">
        <v>61353000000</v>
      </c>
      <c r="B22" t="s">
        <v>8893</v>
      </c>
      <c r="C22" t="s">
        <v>27</v>
      </c>
      <c r="D22" t="s">
        <v>35</v>
      </c>
    </row>
    <row r="23" spans="1:4" ht="15" customHeight="1" x14ac:dyDescent="0.2">
      <c r="A23">
        <v>61353100000</v>
      </c>
      <c r="B23" t="s">
        <v>8893</v>
      </c>
      <c r="C23" t="s">
        <v>27</v>
      </c>
      <c r="D23" t="s">
        <v>35</v>
      </c>
    </row>
    <row r="24" spans="1:4" ht="15" customHeight="1" x14ac:dyDescent="0.2">
      <c r="A24">
        <v>61353200000</v>
      </c>
      <c r="B24" t="s">
        <v>8891</v>
      </c>
      <c r="C24" t="s">
        <v>27</v>
      </c>
      <c r="D24" t="s">
        <v>35</v>
      </c>
    </row>
    <row r="25" spans="1:4" ht="15" customHeight="1" x14ac:dyDescent="0.2">
      <c r="A25">
        <v>61400000000</v>
      </c>
      <c r="B25" t="s">
        <v>8893</v>
      </c>
      <c r="C25" t="s">
        <v>27</v>
      </c>
      <c r="D25" t="s">
        <v>34</v>
      </c>
    </row>
    <row r="26" spans="1:4" ht="15" customHeight="1" x14ac:dyDescent="0.2">
      <c r="A26">
        <v>61500000000</v>
      </c>
      <c r="B26" t="s">
        <v>8891</v>
      </c>
      <c r="C26" t="s">
        <v>27</v>
      </c>
      <c r="D26" t="s">
        <v>365</v>
      </c>
    </row>
    <row r="27" spans="1:4" ht="15" customHeight="1" x14ac:dyDescent="0.2">
      <c r="A27">
        <v>61520000000</v>
      </c>
      <c r="B27" t="s">
        <v>8893</v>
      </c>
      <c r="C27" t="s">
        <v>27</v>
      </c>
      <c r="D27" t="s">
        <v>365</v>
      </c>
    </row>
    <row r="28" spans="1:4" ht="15" customHeight="1" x14ac:dyDescent="0.2">
      <c r="A28">
        <v>61551300000</v>
      </c>
      <c r="B28" t="s">
        <v>8891</v>
      </c>
      <c r="C28" t="s">
        <v>27</v>
      </c>
      <c r="D28" t="s">
        <v>365</v>
      </c>
    </row>
    <row r="29" spans="1:4" ht="15" customHeight="1" x14ac:dyDescent="0.2">
      <c r="A29">
        <v>61552000000</v>
      </c>
      <c r="B29" t="s">
        <v>8891</v>
      </c>
      <c r="C29" t="s">
        <v>27</v>
      </c>
      <c r="D29" t="s">
        <v>365</v>
      </c>
    </row>
    <row r="30" spans="1:4" ht="15" customHeight="1" x14ac:dyDescent="0.2">
      <c r="A30">
        <v>61552100000</v>
      </c>
      <c r="B30" t="s">
        <v>8891</v>
      </c>
      <c r="C30" t="s">
        <v>27</v>
      </c>
      <c r="D30" t="s">
        <v>365</v>
      </c>
    </row>
    <row r="31" spans="1:4" ht="15" customHeight="1" x14ac:dyDescent="0.2">
      <c r="A31">
        <v>61552200000</v>
      </c>
      <c r="B31" t="s">
        <v>8891</v>
      </c>
      <c r="C31" t="s">
        <v>27</v>
      </c>
      <c r="D31" t="s">
        <v>365</v>
      </c>
    </row>
    <row r="32" spans="1:4" ht="15" customHeight="1" x14ac:dyDescent="0.2">
      <c r="A32">
        <v>61560000000</v>
      </c>
      <c r="B32" t="s">
        <v>8891</v>
      </c>
      <c r="C32" t="s">
        <v>27</v>
      </c>
      <c r="D32" t="s">
        <v>365</v>
      </c>
    </row>
    <row r="33" spans="1:4" ht="15" customHeight="1" x14ac:dyDescent="0.2">
      <c r="A33">
        <v>61600000000</v>
      </c>
      <c r="B33" t="s">
        <v>8893</v>
      </c>
      <c r="C33" t="s">
        <v>27</v>
      </c>
      <c r="D33" t="s">
        <v>30</v>
      </c>
    </row>
    <row r="34" spans="1:4" ht="15" customHeight="1" x14ac:dyDescent="0.2">
      <c r="A34">
        <v>61601000000</v>
      </c>
      <c r="B34" t="s">
        <v>8893</v>
      </c>
      <c r="C34" t="s">
        <v>27</v>
      </c>
      <c r="D34" t="s">
        <v>30</v>
      </c>
    </row>
    <row r="35" spans="1:4" ht="15" customHeight="1" x14ac:dyDescent="0.2">
      <c r="A35">
        <v>61611000000</v>
      </c>
      <c r="B35" t="s">
        <v>8893</v>
      </c>
      <c r="C35" t="s">
        <v>27</v>
      </c>
      <c r="D35" t="s">
        <v>30</v>
      </c>
    </row>
    <row r="36" spans="1:4" ht="15" customHeight="1" x14ac:dyDescent="0.2">
      <c r="A36">
        <v>61612000000</v>
      </c>
      <c r="B36" t="s">
        <v>8893</v>
      </c>
      <c r="C36" t="s">
        <v>27</v>
      </c>
      <c r="D36" t="s">
        <v>30</v>
      </c>
    </row>
    <row r="37" spans="1:4" ht="15" customHeight="1" x14ac:dyDescent="0.2">
      <c r="A37">
        <v>61613000000</v>
      </c>
      <c r="B37" t="s">
        <v>8893</v>
      </c>
      <c r="C37" t="s">
        <v>27</v>
      </c>
      <c r="D37" t="s">
        <v>30</v>
      </c>
    </row>
    <row r="38" spans="1:4" ht="15" customHeight="1" x14ac:dyDescent="0.2">
      <c r="A38">
        <v>61631000000</v>
      </c>
      <c r="B38" t="s">
        <v>8893</v>
      </c>
      <c r="C38" t="s">
        <v>27</v>
      </c>
      <c r="D38" t="s">
        <v>30</v>
      </c>
    </row>
    <row r="39" spans="1:4" ht="15" customHeight="1" x14ac:dyDescent="0.2">
      <c r="A39">
        <v>61632000000</v>
      </c>
      <c r="B39" t="s">
        <v>8893</v>
      </c>
      <c r="C39" t="s">
        <v>27</v>
      </c>
      <c r="D39" t="s">
        <v>30</v>
      </c>
    </row>
    <row r="40" spans="1:4" ht="15" customHeight="1" x14ac:dyDescent="0.2">
      <c r="A40">
        <v>61632100000</v>
      </c>
      <c r="B40" t="s">
        <v>8893</v>
      </c>
      <c r="C40" t="s">
        <v>27</v>
      </c>
      <c r="D40" t="s">
        <v>30</v>
      </c>
    </row>
    <row r="41" spans="1:4" ht="15" customHeight="1" x14ac:dyDescent="0.2">
      <c r="A41">
        <v>61633000000</v>
      </c>
      <c r="B41" t="s">
        <v>8893</v>
      </c>
      <c r="C41" t="s">
        <v>27</v>
      </c>
      <c r="D41" t="s">
        <v>30</v>
      </c>
    </row>
    <row r="42" spans="1:4" ht="15" customHeight="1" x14ac:dyDescent="0.2">
      <c r="A42">
        <v>61634000000</v>
      </c>
      <c r="B42" t="s">
        <v>8893</v>
      </c>
      <c r="C42" t="s">
        <v>27</v>
      </c>
      <c r="D42" t="s">
        <v>30</v>
      </c>
    </row>
    <row r="43" spans="1:4" ht="15" customHeight="1" x14ac:dyDescent="0.2">
      <c r="A43">
        <v>61635000000</v>
      </c>
      <c r="B43" t="s">
        <v>8893</v>
      </c>
      <c r="C43" t="s">
        <v>27</v>
      </c>
      <c r="D43" t="s">
        <v>30</v>
      </c>
    </row>
    <row r="44" spans="1:4" ht="15" customHeight="1" x14ac:dyDescent="0.2">
      <c r="A44">
        <v>61810000000</v>
      </c>
      <c r="B44" t="s">
        <v>8891</v>
      </c>
      <c r="C44" t="s">
        <v>27</v>
      </c>
      <c r="D44" t="s">
        <v>37</v>
      </c>
    </row>
    <row r="45" spans="1:4" ht="15" customHeight="1" x14ac:dyDescent="0.2">
      <c r="A45">
        <v>61850000000</v>
      </c>
      <c r="B45" t="s">
        <v>8893</v>
      </c>
      <c r="C45" t="s">
        <v>27</v>
      </c>
      <c r="D45" t="s">
        <v>37</v>
      </c>
    </row>
    <row r="46" spans="1:4" ht="15" customHeight="1" x14ac:dyDescent="0.2">
      <c r="A46">
        <v>62220000000</v>
      </c>
      <c r="B46" t="s">
        <v>8891</v>
      </c>
      <c r="C46" t="s">
        <v>8892</v>
      </c>
      <c r="D46" t="s">
        <v>272</v>
      </c>
    </row>
    <row r="47" spans="1:4" ht="15" customHeight="1" x14ac:dyDescent="0.2">
      <c r="A47">
        <v>62221000000</v>
      </c>
      <c r="B47" t="s">
        <v>8891</v>
      </c>
      <c r="C47" t="s">
        <v>27</v>
      </c>
      <c r="D47" t="s">
        <v>38</v>
      </c>
    </row>
    <row r="48" spans="1:4" ht="15" customHeight="1" x14ac:dyDescent="0.2">
      <c r="A48">
        <v>62221100000</v>
      </c>
      <c r="B48" t="s">
        <v>8893</v>
      </c>
      <c r="C48" t="s">
        <v>8892</v>
      </c>
      <c r="D48" t="s">
        <v>272</v>
      </c>
    </row>
    <row r="49" spans="1:4" ht="15" customHeight="1" x14ac:dyDescent="0.2">
      <c r="A49">
        <v>62261000000</v>
      </c>
      <c r="B49" t="s">
        <v>8893</v>
      </c>
      <c r="C49" t="s">
        <v>27</v>
      </c>
      <c r="D49" t="s">
        <v>38</v>
      </c>
    </row>
    <row r="50" spans="1:4" ht="15" customHeight="1" x14ac:dyDescent="0.2">
      <c r="A50">
        <v>62262000000</v>
      </c>
      <c r="B50" t="s">
        <v>8893</v>
      </c>
      <c r="C50" t="s">
        <v>27</v>
      </c>
      <c r="D50" t="s">
        <v>38</v>
      </c>
    </row>
    <row r="51" spans="1:4" ht="15" customHeight="1" x14ac:dyDescent="0.2">
      <c r="A51">
        <v>62263000000</v>
      </c>
      <c r="B51" t="s">
        <v>8893</v>
      </c>
      <c r="C51" t="s">
        <v>27</v>
      </c>
      <c r="D51" t="s">
        <v>38</v>
      </c>
    </row>
    <row r="52" spans="1:4" ht="15" customHeight="1" x14ac:dyDescent="0.2">
      <c r="A52">
        <v>62266000000</v>
      </c>
      <c r="B52" t="s">
        <v>8893</v>
      </c>
      <c r="C52" t="s">
        <v>27</v>
      </c>
      <c r="D52" t="s">
        <v>38</v>
      </c>
    </row>
    <row r="53" spans="1:4" ht="15" customHeight="1" x14ac:dyDescent="0.2">
      <c r="A53">
        <v>62270000000</v>
      </c>
      <c r="B53" t="s">
        <v>8893</v>
      </c>
      <c r="C53" t="s">
        <v>27</v>
      </c>
      <c r="D53" t="s">
        <v>38</v>
      </c>
    </row>
    <row r="54" spans="1:4" ht="15" customHeight="1" x14ac:dyDescent="0.2">
      <c r="A54">
        <v>62280000000</v>
      </c>
      <c r="B54" t="s">
        <v>8891</v>
      </c>
      <c r="C54" t="s">
        <v>27</v>
      </c>
      <c r="D54" t="s">
        <v>368</v>
      </c>
    </row>
    <row r="55" spans="1:4" ht="15" customHeight="1" x14ac:dyDescent="0.2">
      <c r="A55">
        <v>62310000000</v>
      </c>
      <c r="B55" t="s">
        <v>8891</v>
      </c>
      <c r="C55" t="s">
        <v>27</v>
      </c>
      <c r="D55" t="s">
        <v>37</v>
      </c>
    </row>
    <row r="56" spans="1:4" ht="15" customHeight="1" x14ac:dyDescent="0.2">
      <c r="A56">
        <v>62311000000</v>
      </c>
      <c r="B56" t="s">
        <v>8891</v>
      </c>
      <c r="C56" t="s">
        <v>27</v>
      </c>
      <c r="D56" t="s">
        <v>37</v>
      </c>
    </row>
    <row r="57" spans="1:4" ht="15" customHeight="1" x14ac:dyDescent="0.2">
      <c r="A57">
        <v>62330000000</v>
      </c>
      <c r="B57" t="s">
        <v>8891</v>
      </c>
      <c r="C57" t="s">
        <v>27</v>
      </c>
      <c r="D57" t="s">
        <v>37</v>
      </c>
    </row>
    <row r="58" spans="1:4" ht="15" customHeight="1" x14ac:dyDescent="0.2">
      <c r="A58">
        <v>62340000000</v>
      </c>
      <c r="B58" t="s">
        <v>8891</v>
      </c>
      <c r="C58" t="s">
        <v>27</v>
      </c>
      <c r="D58" t="s">
        <v>37</v>
      </c>
    </row>
    <row r="59" spans="1:4" ht="15" customHeight="1" x14ac:dyDescent="0.2">
      <c r="A59">
        <v>62341000000</v>
      </c>
      <c r="B59" t="s">
        <v>8891</v>
      </c>
      <c r="C59" t="s">
        <v>27</v>
      </c>
      <c r="D59" t="s">
        <v>37</v>
      </c>
    </row>
    <row r="60" spans="1:4" ht="15" customHeight="1" x14ac:dyDescent="0.2">
      <c r="A60">
        <v>62380000000</v>
      </c>
      <c r="B60" t="s">
        <v>8891</v>
      </c>
      <c r="C60" t="s">
        <v>27</v>
      </c>
      <c r="D60" t="s">
        <v>37</v>
      </c>
    </row>
    <row r="61" spans="1:4" ht="15" customHeight="1" x14ac:dyDescent="0.2">
      <c r="A61">
        <v>62410000000</v>
      </c>
      <c r="B61" t="s">
        <v>8891</v>
      </c>
      <c r="C61" t="s">
        <v>27</v>
      </c>
      <c r="D61" t="s">
        <v>40</v>
      </c>
    </row>
    <row r="62" spans="1:4" ht="15" customHeight="1" x14ac:dyDescent="0.2">
      <c r="A62">
        <v>62510000000</v>
      </c>
      <c r="B62" t="s">
        <v>8891</v>
      </c>
      <c r="C62" t="s">
        <v>27</v>
      </c>
      <c r="D62" t="s">
        <v>40</v>
      </c>
    </row>
    <row r="63" spans="1:4" ht="15" customHeight="1" x14ac:dyDescent="0.2">
      <c r="A63">
        <v>62511000000</v>
      </c>
      <c r="B63" t="s">
        <v>8891</v>
      </c>
      <c r="C63" t="s">
        <v>27</v>
      </c>
      <c r="D63" t="s">
        <v>40</v>
      </c>
    </row>
    <row r="64" spans="1:4" ht="15" customHeight="1" x14ac:dyDescent="0.2">
      <c r="A64">
        <v>62512000000</v>
      </c>
      <c r="B64" t="s">
        <v>8891</v>
      </c>
      <c r="C64" t="s">
        <v>27</v>
      </c>
      <c r="D64" t="s">
        <v>40</v>
      </c>
    </row>
    <row r="65" spans="1:4" ht="15" customHeight="1" x14ac:dyDescent="0.2">
      <c r="A65">
        <v>62560000000</v>
      </c>
      <c r="B65" t="s">
        <v>8891</v>
      </c>
      <c r="C65" t="s">
        <v>27</v>
      </c>
      <c r="D65" t="s">
        <v>40</v>
      </c>
    </row>
    <row r="66" spans="1:4" ht="15" customHeight="1" x14ac:dyDescent="0.2">
      <c r="A66">
        <v>62570000000</v>
      </c>
      <c r="B66" t="s">
        <v>8891</v>
      </c>
      <c r="C66" t="s">
        <v>27</v>
      </c>
      <c r="D66" t="s">
        <v>40</v>
      </c>
    </row>
    <row r="67" spans="1:4" ht="15" customHeight="1" x14ac:dyDescent="0.2">
      <c r="A67">
        <v>62610000000</v>
      </c>
      <c r="B67" t="s">
        <v>8893</v>
      </c>
      <c r="C67" t="s">
        <v>27</v>
      </c>
      <c r="D67" t="s">
        <v>41</v>
      </c>
    </row>
    <row r="68" spans="1:4" ht="15" customHeight="1" x14ac:dyDescent="0.2">
      <c r="A68">
        <v>62620000000</v>
      </c>
      <c r="B68" t="s">
        <v>8893</v>
      </c>
      <c r="C68" t="s">
        <v>27</v>
      </c>
      <c r="D68" t="s">
        <v>41</v>
      </c>
    </row>
    <row r="69" spans="1:4" ht="15" customHeight="1" x14ac:dyDescent="0.2">
      <c r="A69">
        <v>62700000000</v>
      </c>
      <c r="B69" t="s">
        <v>8893</v>
      </c>
      <c r="C69" t="s">
        <v>27</v>
      </c>
      <c r="D69" t="s">
        <v>41</v>
      </c>
    </row>
    <row r="70" spans="1:4" ht="15" customHeight="1" x14ac:dyDescent="0.2">
      <c r="A70">
        <v>62780000000</v>
      </c>
      <c r="B70" t="s">
        <v>8893</v>
      </c>
      <c r="C70" t="s">
        <v>27</v>
      </c>
      <c r="D70" t="s">
        <v>41</v>
      </c>
    </row>
    <row r="71" spans="1:4" ht="15" customHeight="1" x14ac:dyDescent="0.2">
      <c r="A71">
        <v>62810000000</v>
      </c>
      <c r="B71" t="s">
        <v>8893</v>
      </c>
      <c r="C71" t="s">
        <v>27</v>
      </c>
      <c r="D71" t="s">
        <v>37</v>
      </c>
    </row>
    <row r="72" spans="1:4" ht="15" customHeight="1" x14ac:dyDescent="0.2">
      <c r="A72">
        <v>62820000000</v>
      </c>
      <c r="B72" t="s">
        <v>8893</v>
      </c>
      <c r="C72" t="s">
        <v>939</v>
      </c>
      <c r="D72" t="s">
        <v>940</v>
      </c>
    </row>
    <row r="73" spans="1:4" ht="15" customHeight="1" x14ac:dyDescent="0.2">
      <c r="A73">
        <v>63330000000</v>
      </c>
      <c r="B73" t="s">
        <v>8893</v>
      </c>
      <c r="C73" t="s">
        <v>939</v>
      </c>
      <c r="D73" t="s">
        <v>940</v>
      </c>
    </row>
    <row r="74" spans="1:4" ht="15" customHeight="1" x14ac:dyDescent="0.2">
      <c r="A74">
        <v>63350000000</v>
      </c>
      <c r="B74" t="s">
        <v>8893</v>
      </c>
      <c r="C74" t="s">
        <v>27</v>
      </c>
      <c r="D74" t="s">
        <v>366</v>
      </c>
    </row>
    <row r="75" spans="1:4" ht="15" customHeight="1" x14ac:dyDescent="0.2">
      <c r="A75">
        <v>63511100000</v>
      </c>
      <c r="B75" t="s">
        <v>8893</v>
      </c>
      <c r="C75" t="s">
        <v>27</v>
      </c>
      <c r="D75" t="s">
        <v>366</v>
      </c>
    </row>
    <row r="76" spans="1:4" ht="15" customHeight="1" x14ac:dyDescent="0.2">
      <c r="A76">
        <v>63514000000</v>
      </c>
      <c r="B76" t="s">
        <v>8893</v>
      </c>
      <c r="C76" t="s">
        <v>27</v>
      </c>
      <c r="D76" t="s">
        <v>366</v>
      </c>
    </row>
    <row r="77" spans="1:4" ht="15" customHeight="1" x14ac:dyDescent="0.2">
      <c r="A77">
        <v>63540000000</v>
      </c>
      <c r="B77" t="s">
        <v>8893</v>
      </c>
      <c r="C77" t="s">
        <v>27</v>
      </c>
      <c r="D77" t="s">
        <v>41</v>
      </c>
    </row>
    <row r="78" spans="1:4" ht="15" customHeight="1" x14ac:dyDescent="0.2">
      <c r="A78">
        <v>64110000000</v>
      </c>
      <c r="B78" t="s">
        <v>8893</v>
      </c>
      <c r="C78" t="s">
        <v>939</v>
      </c>
      <c r="D78" t="s">
        <v>940</v>
      </c>
    </row>
    <row r="79" spans="1:4" ht="15" customHeight="1" x14ac:dyDescent="0.2">
      <c r="A79">
        <v>64120000000</v>
      </c>
      <c r="B79" t="s">
        <v>8893</v>
      </c>
      <c r="C79" t="s">
        <v>939</v>
      </c>
      <c r="D79" t="s">
        <v>940</v>
      </c>
    </row>
    <row r="80" spans="1:4" ht="15" customHeight="1" x14ac:dyDescent="0.2">
      <c r="A80">
        <v>64130000000</v>
      </c>
      <c r="B80" t="s">
        <v>8893</v>
      </c>
      <c r="C80" t="s">
        <v>939</v>
      </c>
      <c r="D80" t="s">
        <v>940</v>
      </c>
    </row>
    <row r="81" spans="1:4" ht="15" customHeight="1" x14ac:dyDescent="0.2">
      <c r="A81">
        <v>64140100000</v>
      </c>
      <c r="B81" t="s">
        <v>8893</v>
      </c>
      <c r="C81" t="s">
        <v>939</v>
      </c>
      <c r="D81" t="s">
        <v>940</v>
      </c>
    </row>
    <row r="82" spans="1:4" ht="15" customHeight="1" x14ac:dyDescent="0.2">
      <c r="A82">
        <v>64143000000</v>
      </c>
      <c r="B82" t="s">
        <v>8891</v>
      </c>
      <c r="C82" t="s">
        <v>939</v>
      </c>
      <c r="D82" t="s">
        <v>940</v>
      </c>
    </row>
    <row r="83" spans="1:4" ht="15" customHeight="1" x14ac:dyDescent="0.2">
      <c r="A83">
        <v>64510000000</v>
      </c>
      <c r="B83" t="s">
        <v>8893</v>
      </c>
      <c r="C83" t="s">
        <v>939</v>
      </c>
      <c r="D83" t="s">
        <v>940</v>
      </c>
    </row>
    <row r="84" spans="1:4" ht="15" customHeight="1" x14ac:dyDescent="0.2">
      <c r="A84">
        <v>64580000000</v>
      </c>
      <c r="B84" t="s">
        <v>8893</v>
      </c>
      <c r="C84" t="s">
        <v>939</v>
      </c>
      <c r="D84" t="s">
        <v>940</v>
      </c>
    </row>
    <row r="85" spans="1:4" ht="15" customHeight="1" x14ac:dyDescent="0.2">
      <c r="A85">
        <v>64750000000</v>
      </c>
      <c r="B85" t="s">
        <v>8893</v>
      </c>
      <c r="C85" t="s">
        <v>939</v>
      </c>
      <c r="D85" t="s">
        <v>940</v>
      </c>
    </row>
    <row r="86" spans="1:4" ht="15" customHeight="1" x14ac:dyDescent="0.2">
      <c r="A86">
        <v>64900000000</v>
      </c>
      <c r="B86" t="s">
        <v>8893</v>
      </c>
      <c r="C86" t="s">
        <v>939</v>
      </c>
      <c r="D86" t="s">
        <v>940</v>
      </c>
    </row>
    <row r="87" spans="1:4" ht="15" customHeight="1" x14ac:dyDescent="0.2">
      <c r="A87">
        <v>64911000000</v>
      </c>
      <c r="B87" t="s">
        <v>8893</v>
      </c>
      <c r="C87" t="s">
        <v>939</v>
      </c>
      <c r="D87" t="s">
        <v>940</v>
      </c>
    </row>
    <row r="88" spans="1:4" ht="15" customHeight="1" x14ac:dyDescent="0.2">
      <c r="A88">
        <v>64920000000</v>
      </c>
      <c r="B88" t="s">
        <v>8893</v>
      </c>
      <c r="C88" t="s">
        <v>939</v>
      </c>
      <c r="D88" t="s">
        <v>940</v>
      </c>
    </row>
    <row r="89" spans="1:4" ht="15" customHeight="1" x14ac:dyDescent="0.2">
      <c r="A89">
        <v>65100000000</v>
      </c>
      <c r="B89" t="s">
        <v>8891</v>
      </c>
      <c r="C89" t="s">
        <v>8892</v>
      </c>
      <c r="D89" t="s">
        <v>272</v>
      </c>
    </row>
    <row r="90" spans="1:4" ht="15" customHeight="1" x14ac:dyDescent="0.2">
      <c r="A90">
        <v>65110000000</v>
      </c>
      <c r="B90" t="s">
        <v>8891</v>
      </c>
      <c r="C90" t="s">
        <v>8892</v>
      </c>
      <c r="D90" t="s">
        <v>272</v>
      </c>
    </row>
    <row r="91" spans="1:4" ht="15" customHeight="1" x14ac:dyDescent="0.2">
      <c r="A91">
        <v>65112000000</v>
      </c>
      <c r="B91" t="s">
        <v>8891</v>
      </c>
      <c r="C91" t="s">
        <v>8892</v>
      </c>
      <c r="D91" t="s">
        <v>272</v>
      </c>
    </row>
    <row r="92" spans="1:4" ht="15" customHeight="1" x14ac:dyDescent="0.2">
      <c r="A92">
        <v>65800000000</v>
      </c>
      <c r="B92" t="s">
        <v>8891</v>
      </c>
      <c r="C92" t="s">
        <v>27</v>
      </c>
      <c r="D92" t="s">
        <v>368</v>
      </c>
    </row>
    <row r="93" spans="1:4" ht="15" customHeight="1" x14ac:dyDescent="0.2">
      <c r="A93">
        <v>65820000000</v>
      </c>
      <c r="B93" t="s">
        <v>8891</v>
      </c>
      <c r="C93" t="s">
        <v>27</v>
      </c>
      <c r="D93" t="s">
        <v>368</v>
      </c>
    </row>
    <row r="94" spans="1:4" ht="15" customHeight="1" x14ac:dyDescent="0.2">
      <c r="A94">
        <v>66116000000</v>
      </c>
      <c r="B94" t="s">
        <v>8893</v>
      </c>
      <c r="C94" t="s">
        <v>27</v>
      </c>
      <c r="D94" t="s">
        <v>367</v>
      </c>
    </row>
    <row r="95" spans="1:4" ht="15" customHeight="1" x14ac:dyDescent="0.2">
      <c r="A95">
        <v>66160000000</v>
      </c>
      <c r="B95" t="s">
        <v>8893</v>
      </c>
      <c r="C95" t="s">
        <v>27</v>
      </c>
      <c r="D95" t="s">
        <v>367</v>
      </c>
    </row>
    <row r="96" spans="1:4" ht="15" customHeight="1" x14ac:dyDescent="0.2">
      <c r="A96">
        <v>66600000000</v>
      </c>
      <c r="B96" t="s">
        <v>8891</v>
      </c>
      <c r="C96" t="s">
        <v>27</v>
      </c>
      <c r="D96" t="s">
        <v>367</v>
      </c>
    </row>
    <row r="97" spans="1:4" ht="15" customHeight="1" x14ac:dyDescent="0.2">
      <c r="A97">
        <v>67180000000</v>
      </c>
      <c r="B97" t="s">
        <v>8891</v>
      </c>
      <c r="C97" t="s">
        <v>27</v>
      </c>
      <c r="D97" t="s">
        <v>368</v>
      </c>
    </row>
    <row r="98" spans="1:4" ht="15" customHeight="1" x14ac:dyDescent="0.2">
      <c r="A98">
        <v>68111000000</v>
      </c>
      <c r="B98" t="s">
        <v>8893</v>
      </c>
      <c r="C98" t="s">
        <v>27</v>
      </c>
      <c r="D98" t="s">
        <v>47</v>
      </c>
    </row>
    <row r="99" spans="1:4" ht="15" customHeight="1" x14ac:dyDescent="0.2">
      <c r="A99">
        <v>68112000000</v>
      </c>
      <c r="B99" t="s">
        <v>8893</v>
      </c>
      <c r="C99" t="s">
        <v>27</v>
      </c>
      <c r="D99" t="s">
        <v>47</v>
      </c>
    </row>
    <row r="100" spans="1:4" ht="15" customHeight="1" x14ac:dyDescent="0.2">
      <c r="A100">
        <v>68710000000</v>
      </c>
      <c r="B100" t="s">
        <v>8893</v>
      </c>
      <c r="C100" t="s">
        <v>27</v>
      </c>
      <c r="D100" t="s">
        <v>47</v>
      </c>
    </row>
    <row r="101" spans="1:4" ht="15" customHeight="1" x14ac:dyDescent="0.2">
      <c r="A101">
        <v>69500000000</v>
      </c>
      <c r="B101" t="s">
        <v>8891</v>
      </c>
      <c r="C101" t="s">
        <v>27</v>
      </c>
      <c r="D101" t="s">
        <v>366</v>
      </c>
    </row>
    <row r="102" spans="1:4" ht="15" customHeight="1" x14ac:dyDescent="0.2">
      <c r="A102">
        <v>69970000000</v>
      </c>
      <c r="B102" t="s">
        <v>8891</v>
      </c>
      <c r="C102" t="s">
        <v>27</v>
      </c>
      <c r="D102" t="s">
        <v>368</v>
      </c>
    </row>
    <row r="103" spans="1:4" ht="15" customHeight="1" x14ac:dyDescent="0.2">
      <c r="A103">
        <v>61320000000</v>
      </c>
      <c r="B103" t="s">
        <v>8893</v>
      </c>
      <c r="C103" t="s">
        <v>27</v>
      </c>
      <c r="D103" t="s">
        <v>34</v>
      </c>
    </row>
    <row r="104" spans="1:4" ht="15" customHeight="1" x14ac:dyDescent="0.2">
      <c r="A104">
        <v>61630000000</v>
      </c>
      <c r="B104" t="s">
        <v>8893</v>
      </c>
      <c r="C104" t="s">
        <v>27</v>
      </c>
      <c r="D104" t="s">
        <v>30</v>
      </c>
    </row>
    <row r="105" spans="1:4" ht="15" customHeight="1" x14ac:dyDescent="0.2">
      <c r="A105">
        <v>61220000000</v>
      </c>
      <c r="B105" t="s">
        <v>8893</v>
      </c>
      <c r="C105" t="s">
        <v>27</v>
      </c>
      <c r="D105" t="s">
        <v>35</v>
      </c>
    </row>
    <row r="106" spans="1:4" ht="15" customHeight="1" x14ac:dyDescent="0.2">
      <c r="A106">
        <v>61350000000</v>
      </c>
      <c r="B106" t="s">
        <v>8893</v>
      </c>
      <c r="C106" t="s">
        <v>27</v>
      </c>
      <c r="D106" t="s">
        <v>35</v>
      </c>
    </row>
    <row r="107" spans="1:4" ht="15" customHeight="1" x14ac:dyDescent="0.2">
      <c r="A107">
        <v>62720000000</v>
      </c>
      <c r="B107" t="s">
        <v>8893</v>
      </c>
      <c r="C107" t="s">
        <v>27</v>
      </c>
      <c r="D107" t="s">
        <v>367</v>
      </c>
    </row>
    <row r="108" spans="1:4" ht="15" customHeight="1" x14ac:dyDescent="0.2">
      <c r="A108">
        <v>63511200000</v>
      </c>
      <c r="B108" t="s">
        <v>8893</v>
      </c>
      <c r="C108" t="s">
        <v>27</v>
      </c>
      <c r="D108" t="s">
        <v>366</v>
      </c>
    </row>
    <row r="109" spans="1:4" ht="15" customHeight="1" x14ac:dyDescent="0.2">
      <c r="A109">
        <v>62511200000</v>
      </c>
      <c r="B109" t="s">
        <v>8891</v>
      </c>
      <c r="C109" t="s">
        <v>27</v>
      </c>
      <c r="D109" t="s">
        <v>40</v>
      </c>
    </row>
    <row r="110" spans="1:4" ht="15" customHeight="1" x14ac:dyDescent="0.2">
      <c r="A110">
        <v>67120000000</v>
      </c>
      <c r="B110" t="s">
        <v>8891</v>
      </c>
      <c r="C110" t="s">
        <v>27</v>
      </c>
      <c r="D110" t="s">
        <v>368</v>
      </c>
    </row>
    <row r="111" spans="1:4" ht="15" customHeight="1" x14ac:dyDescent="0.2">
      <c r="A111">
        <v>60900000000</v>
      </c>
      <c r="B111" t="s">
        <v>8891</v>
      </c>
      <c r="C111" t="s">
        <v>27</v>
      </c>
      <c r="D111" t="s">
        <v>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"/>
  <sheetViews>
    <sheetView zoomScaleNormal="100" workbookViewId="0"/>
  </sheetViews>
  <sheetFormatPr baseColWidth="10" defaultColWidth="8.6640625" defaultRowHeight="15" x14ac:dyDescent="0.2"/>
  <sheetData>
    <row r="1" spans="1:4" ht="15" customHeight="1" x14ac:dyDescent="0.2">
      <c r="A1" t="s">
        <v>8894</v>
      </c>
      <c r="B1" t="s">
        <v>8895</v>
      </c>
      <c r="C1" t="s">
        <v>427</v>
      </c>
      <c r="D1" t="s">
        <v>8890</v>
      </c>
    </row>
    <row r="2" spans="1:4" ht="15" customHeight="1" x14ac:dyDescent="0.2">
      <c r="A2" t="s">
        <v>3333</v>
      </c>
      <c r="B2" t="s">
        <v>8896</v>
      </c>
      <c r="C2" t="s">
        <v>418</v>
      </c>
      <c r="D2" t="s">
        <v>8897</v>
      </c>
    </row>
    <row r="3" spans="1:4" ht="15" customHeight="1" x14ac:dyDescent="0.2">
      <c r="A3" t="s">
        <v>8898</v>
      </c>
      <c r="B3" t="s">
        <v>8899</v>
      </c>
      <c r="C3" t="s">
        <v>418</v>
      </c>
      <c r="D3" t="s">
        <v>8897</v>
      </c>
    </row>
    <row r="4" spans="1:4" ht="15" customHeight="1" x14ac:dyDescent="0.2">
      <c r="A4" t="s">
        <v>8900</v>
      </c>
      <c r="B4" t="s">
        <v>8901</v>
      </c>
      <c r="C4" t="s">
        <v>418</v>
      </c>
      <c r="D4" t="s">
        <v>8897</v>
      </c>
    </row>
    <row r="5" spans="1:4" ht="15" customHeight="1" x14ac:dyDescent="0.2">
      <c r="A5" t="s">
        <v>8902</v>
      </c>
      <c r="B5" t="s">
        <v>8903</v>
      </c>
      <c r="C5" t="s">
        <v>418</v>
      </c>
      <c r="D5" t="s">
        <v>8897</v>
      </c>
    </row>
    <row r="6" spans="1:4" ht="15" customHeight="1" x14ac:dyDescent="0.2">
      <c r="A6" t="s">
        <v>8904</v>
      </c>
      <c r="B6" t="s">
        <v>8905</v>
      </c>
      <c r="C6" t="s">
        <v>418</v>
      </c>
      <c r="D6" t="s">
        <v>8906</v>
      </c>
    </row>
    <row r="7" spans="1:4" ht="15" customHeight="1" x14ac:dyDescent="0.2">
      <c r="A7" t="s">
        <v>8907</v>
      </c>
      <c r="B7" t="s">
        <v>8908</v>
      </c>
      <c r="C7" t="s">
        <v>418</v>
      </c>
      <c r="D7" t="s">
        <v>8897</v>
      </c>
    </row>
    <row r="8" spans="1:4" ht="15" customHeight="1" x14ac:dyDescent="0.2">
      <c r="A8" t="s">
        <v>8909</v>
      </c>
      <c r="B8" t="s">
        <v>8910</v>
      </c>
      <c r="C8" t="s">
        <v>418</v>
      </c>
      <c r="D8" t="s">
        <v>8897</v>
      </c>
    </row>
    <row r="9" spans="1:4" ht="15" customHeight="1" x14ac:dyDescent="0.2">
      <c r="A9" t="s">
        <v>8911</v>
      </c>
      <c r="B9" t="s">
        <v>8912</v>
      </c>
      <c r="C9" t="s">
        <v>418</v>
      </c>
      <c r="D9" t="s">
        <v>8897</v>
      </c>
    </row>
    <row r="10" spans="1:4" ht="15" customHeight="1" x14ac:dyDescent="0.2">
      <c r="A10" t="s">
        <v>8913</v>
      </c>
      <c r="B10" t="s">
        <v>8914</v>
      </c>
      <c r="C10" t="s">
        <v>418</v>
      </c>
      <c r="D10" t="s">
        <v>8915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23"/>
  <sheetViews>
    <sheetView zoomScaleNormal="100" workbookViewId="0"/>
  </sheetViews>
  <sheetFormatPr baseColWidth="10" defaultColWidth="8.6640625" defaultRowHeight="15" x14ac:dyDescent="0.2"/>
  <sheetData>
    <row r="1" spans="1:8" ht="15" customHeight="1" x14ac:dyDescent="0.2">
      <c r="A1" t="s">
        <v>8916</v>
      </c>
      <c r="B1" t="s">
        <v>8917</v>
      </c>
      <c r="C1" t="s">
        <v>423</v>
      </c>
      <c r="D1" t="s">
        <v>427</v>
      </c>
      <c r="E1" t="s">
        <v>8918</v>
      </c>
      <c r="F1" t="s">
        <v>8894</v>
      </c>
      <c r="G1" t="s">
        <v>8895</v>
      </c>
      <c r="H1" t="s">
        <v>8919</v>
      </c>
    </row>
    <row r="2" spans="1:8" ht="15" customHeight="1" x14ac:dyDescent="0.2">
      <c r="A2">
        <v>2024</v>
      </c>
      <c r="B2">
        <v>1</v>
      </c>
      <c r="C2" s="420">
        <v>45292</v>
      </c>
      <c r="D2" t="s">
        <v>418</v>
      </c>
      <c r="E2" t="s">
        <v>8897</v>
      </c>
      <c r="F2" t="s">
        <v>3333</v>
      </c>
      <c r="G2" t="s">
        <v>8896</v>
      </c>
      <c r="H2">
        <v>4640</v>
      </c>
    </row>
    <row r="3" spans="1:8" ht="15" customHeight="1" x14ac:dyDescent="0.2">
      <c r="A3">
        <v>2024</v>
      </c>
      <c r="B3">
        <v>2</v>
      </c>
      <c r="C3" s="420">
        <v>45323</v>
      </c>
      <c r="D3" t="s">
        <v>418</v>
      </c>
      <c r="E3" t="s">
        <v>8897</v>
      </c>
      <c r="F3" t="s">
        <v>3333</v>
      </c>
      <c r="G3" t="s">
        <v>8896</v>
      </c>
      <c r="H3">
        <v>4640</v>
      </c>
    </row>
    <row r="4" spans="1:8" ht="15" customHeight="1" x14ac:dyDescent="0.2">
      <c r="A4">
        <v>2024</v>
      </c>
      <c r="B4">
        <v>3</v>
      </c>
      <c r="C4" s="420">
        <v>45352</v>
      </c>
      <c r="D4" t="s">
        <v>418</v>
      </c>
      <c r="E4" t="s">
        <v>8897</v>
      </c>
      <c r="F4" t="s">
        <v>3333</v>
      </c>
      <c r="G4" t="s">
        <v>8896</v>
      </c>
      <c r="H4">
        <v>4640</v>
      </c>
    </row>
    <row r="5" spans="1:8" ht="15" customHeight="1" x14ac:dyDescent="0.2">
      <c r="A5">
        <v>2024</v>
      </c>
      <c r="B5">
        <v>4</v>
      </c>
      <c r="C5" s="420">
        <v>45383</v>
      </c>
      <c r="D5" t="s">
        <v>418</v>
      </c>
      <c r="E5" t="s">
        <v>8897</v>
      </c>
      <c r="F5" t="s">
        <v>3333</v>
      </c>
      <c r="G5" t="s">
        <v>8896</v>
      </c>
      <c r="H5">
        <v>4640</v>
      </c>
    </row>
    <row r="6" spans="1:8" ht="15" customHeight="1" x14ac:dyDescent="0.2">
      <c r="A6">
        <v>2024</v>
      </c>
      <c r="B6">
        <v>5</v>
      </c>
      <c r="C6" s="420">
        <v>45413</v>
      </c>
      <c r="D6" t="s">
        <v>418</v>
      </c>
      <c r="E6" t="s">
        <v>8897</v>
      </c>
      <c r="F6" t="s">
        <v>3333</v>
      </c>
      <c r="G6" t="s">
        <v>8896</v>
      </c>
      <c r="H6">
        <v>4640</v>
      </c>
    </row>
    <row r="7" spans="1:8" ht="15" customHeight="1" x14ac:dyDescent="0.2">
      <c r="A7">
        <v>2024</v>
      </c>
      <c r="B7">
        <v>6</v>
      </c>
      <c r="C7" s="420">
        <v>45444</v>
      </c>
      <c r="D7" t="s">
        <v>418</v>
      </c>
      <c r="E7" t="s">
        <v>8897</v>
      </c>
      <c r="F7" t="s">
        <v>3333</v>
      </c>
      <c r="G7" t="s">
        <v>8896</v>
      </c>
      <c r="H7">
        <v>4640</v>
      </c>
    </row>
    <row r="8" spans="1:8" ht="15" customHeight="1" x14ac:dyDescent="0.2">
      <c r="A8">
        <v>2024</v>
      </c>
      <c r="B8">
        <v>7</v>
      </c>
      <c r="C8" s="420">
        <v>45474</v>
      </c>
      <c r="D8" t="s">
        <v>418</v>
      </c>
      <c r="E8" t="s">
        <v>8897</v>
      </c>
      <c r="F8" t="s">
        <v>3333</v>
      </c>
      <c r="G8" t="s">
        <v>8896</v>
      </c>
      <c r="H8">
        <v>4640</v>
      </c>
    </row>
    <row r="9" spans="1:8" ht="15" customHeight="1" x14ac:dyDescent="0.2">
      <c r="A9">
        <v>2024</v>
      </c>
      <c r="B9">
        <v>8</v>
      </c>
      <c r="C9" s="420">
        <v>45505</v>
      </c>
      <c r="D9" t="s">
        <v>418</v>
      </c>
      <c r="E9" t="s">
        <v>8897</v>
      </c>
      <c r="F9" t="s">
        <v>3333</v>
      </c>
      <c r="G9" t="s">
        <v>8896</v>
      </c>
      <c r="H9">
        <v>4640</v>
      </c>
    </row>
    <row r="10" spans="1:8" ht="15" customHeight="1" x14ac:dyDescent="0.2">
      <c r="A10">
        <v>2024</v>
      </c>
      <c r="B10">
        <v>9</v>
      </c>
      <c r="C10" s="420">
        <v>45536</v>
      </c>
      <c r="D10" t="s">
        <v>418</v>
      </c>
      <c r="E10" t="s">
        <v>8915</v>
      </c>
      <c r="F10" t="s">
        <v>8913</v>
      </c>
      <c r="G10" t="s">
        <v>8914</v>
      </c>
      <c r="H10">
        <v>4060</v>
      </c>
    </row>
    <row r="11" spans="1:8" ht="15" customHeight="1" x14ac:dyDescent="0.2">
      <c r="A11">
        <v>2024</v>
      </c>
      <c r="B11">
        <v>9</v>
      </c>
      <c r="C11" s="420">
        <v>45536</v>
      </c>
      <c r="D11" t="s">
        <v>418</v>
      </c>
      <c r="E11" t="s">
        <v>8897</v>
      </c>
      <c r="F11" t="s">
        <v>3333</v>
      </c>
      <c r="G11" t="s">
        <v>8896</v>
      </c>
      <c r="H11">
        <v>4640</v>
      </c>
    </row>
    <row r="12" spans="1:8" ht="15" customHeight="1" x14ac:dyDescent="0.2">
      <c r="A12">
        <v>2024</v>
      </c>
      <c r="B12">
        <v>10</v>
      </c>
      <c r="C12" s="420">
        <v>45566</v>
      </c>
      <c r="D12" t="s">
        <v>418</v>
      </c>
      <c r="E12" t="s">
        <v>8915</v>
      </c>
      <c r="F12" t="s">
        <v>8913</v>
      </c>
      <c r="G12" t="s">
        <v>8914</v>
      </c>
      <c r="H12">
        <v>4060</v>
      </c>
    </row>
    <row r="13" spans="1:8" ht="15" customHeight="1" x14ac:dyDescent="0.2">
      <c r="A13">
        <v>2024</v>
      </c>
      <c r="B13">
        <v>10</v>
      </c>
      <c r="C13" s="420">
        <v>45566</v>
      </c>
      <c r="D13" t="s">
        <v>418</v>
      </c>
      <c r="E13" t="s">
        <v>8897</v>
      </c>
      <c r="F13" t="s">
        <v>3333</v>
      </c>
      <c r="G13" t="s">
        <v>8896</v>
      </c>
      <c r="H13">
        <v>4640</v>
      </c>
    </row>
    <row r="14" spans="1:8" ht="15" customHeight="1" x14ac:dyDescent="0.2">
      <c r="A14">
        <v>2024</v>
      </c>
      <c r="B14">
        <v>10</v>
      </c>
      <c r="C14" s="420">
        <v>45566</v>
      </c>
      <c r="D14" t="s">
        <v>418</v>
      </c>
      <c r="E14" t="s">
        <v>8897</v>
      </c>
      <c r="F14" t="s">
        <v>8909</v>
      </c>
      <c r="G14" t="s">
        <v>8910</v>
      </c>
      <c r="H14">
        <v>3625</v>
      </c>
    </row>
    <row r="15" spans="1:8" ht="15" customHeight="1" x14ac:dyDescent="0.2">
      <c r="A15">
        <v>2024</v>
      </c>
      <c r="B15">
        <v>11</v>
      </c>
      <c r="C15" s="420">
        <v>45597</v>
      </c>
      <c r="D15" t="s">
        <v>418</v>
      </c>
      <c r="E15" t="s">
        <v>8915</v>
      </c>
      <c r="F15" t="s">
        <v>8913</v>
      </c>
      <c r="G15" t="s">
        <v>8914</v>
      </c>
      <c r="H15">
        <v>4060</v>
      </c>
    </row>
    <row r="16" spans="1:8" ht="15" customHeight="1" x14ac:dyDescent="0.2">
      <c r="A16">
        <v>2024</v>
      </c>
      <c r="B16">
        <v>11</v>
      </c>
      <c r="C16" s="420">
        <v>45597</v>
      </c>
      <c r="D16" t="s">
        <v>418</v>
      </c>
      <c r="E16" t="s">
        <v>8897</v>
      </c>
      <c r="F16" t="s">
        <v>3333</v>
      </c>
      <c r="G16" t="s">
        <v>8896</v>
      </c>
      <c r="H16">
        <v>4640</v>
      </c>
    </row>
    <row r="17" spans="1:8" ht="15" customHeight="1" x14ac:dyDescent="0.2">
      <c r="A17">
        <v>2024</v>
      </c>
      <c r="B17">
        <v>11</v>
      </c>
      <c r="C17" s="420">
        <v>45597</v>
      </c>
      <c r="D17" t="s">
        <v>418</v>
      </c>
      <c r="E17" t="s">
        <v>8897</v>
      </c>
      <c r="F17" t="s">
        <v>8909</v>
      </c>
      <c r="G17" t="s">
        <v>8910</v>
      </c>
      <c r="H17">
        <v>3625</v>
      </c>
    </row>
    <row r="18" spans="1:8" ht="15" customHeight="1" x14ac:dyDescent="0.2">
      <c r="A18">
        <v>2024</v>
      </c>
      <c r="B18">
        <v>12</v>
      </c>
      <c r="C18" s="420">
        <v>45627</v>
      </c>
      <c r="D18" t="s">
        <v>418</v>
      </c>
      <c r="E18" t="s">
        <v>8915</v>
      </c>
      <c r="F18" t="s">
        <v>8913</v>
      </c>
      <c r="G18" t="s">
        <v>8914</v>
      </c>
      <c r="H18">
        <v>4060</v>
      </c>
    </row>
    <row r="19" spans="1:8" ht="15" customHeight="1" x14ac:dyDescent="0.2">
      <c r="A19">
        <v>2024</v>
      </c>
      <c r="B19">
        <v>12</v>
      </c>
      <c r="C19" s="420">
        <v>45627</v>
      </c>
      <c r="D19" t="s">
        <v>418</v>
      </c>
      <c r="E19" t="s">
        <v>8897</v>
      </c>
      <c r="F19" t="s">
        <v>3333</v>
      </c>
      <c r="G19" t="s">
        <v>8896</v>
      </c>
      <c r="H19">
        <v>4640</v>
      </c>
    </row>
    <row r="20" spans="1:8" ht="15" customHeight="1" x14ac:dyDescent="0.2">
      <c r="A20">
        <v>2024</v>
      </c>
      <c r="B20">
        <v>12</v>
      </c>
      <c r="C20" s="420">
        <v>45627</v>
      </c>
      <c r="D20" t="s">
        <v>418</v>
      </c>
      <c r="E20" t="s">
        <v>8897</v>
      </c>
      <c r="F20" t="s">
        <v>8909</v>
      </c>
      <c r="G20" t="s">
        <v>8910</v>
      </c>
      <c r="H20">
        <v>3625</v>
      </c>
    </row>
    <row r="21" spans="1:8" ht="15" customHeight="1" x14ac:dyDescent="0.2">
      <c r="A21">
        <v>2025</v>
      </c>
      <c r="B21">
        <v>1</v>
      </c>
      <c r="C21" s="420">
        <v>45658</v>
      </c>
      <c r="D21" t="s">
        <v>418</v>
      </c>
      <c r="E21" t="s">
        <v>8915</v>
      </c>
      <c r="F21" t="s">
        <v>8913</v>
      </c>
      <c r="G21" t="s">
        <v>8914</v>
      </c>
      <c r="H21">
        <v>5900</v>
      </c>
    </row>
    <row r="22" spans="1:8" ht="15" customHeight="1" x14ac:dyDescent="0.2">
      <c r="A22">
        <v>2025</v>
      </c>
      <c r="B22">
        <v>1</v>
      </c>
      <c r="C22" s="420">
        <v>45658</v>
      </c>
      <c r="D22" t="s">
        <v>418</v>
      </c>
      <c r="E22" t="s">
        <v>8897</v>
      </c>
      <c r="F22" t="s">
        <v>3333</v>
      </c>
      <c r="G22" t="s">
        <v>8896</v>
      </c>
      <c r="H22">
        <v>6211.1170000000002</v>
      </c>
    </row>
    <row r="23" spans="1:8" ht="15" customHeight="1" x14ac:dyDescent="0.2">
      <c r="A23">
        <v>2025</v>
      </c>
      <c r="B23">
        <v>1</v>
      </c>
      <c r="C23" s="420">
        <v>45658</v>
      </c>
      <c r="D23" t="s">
        <v>418</v>
      </c>
      <c r="E23" t="s">
        <v>8897</v>
      </c>
      <c r="F23" t="s">
        <v>8909</v>
      </c>
      <c r="G23" t="s">
        <v>8910</v>
      </c>
      <c r="H23">
        <v>3861</v>
      </c>
    </row>
    <row r="24" spans="1:8" ht="15" customHeight="1" x14ac:dyDescent="0.2">
      <c r="A24">
        <v>2025</v>
      </c>
      <c r="B24">
        <v>2</v>
      </c>
      <c r="C24" s="420">
        <v>45689</v>
      </c>
      <c r="D24" t="s">
        <v>418</v>
      </c>
      <c r="E24" t="s">
        <v>8915</v>
      </c>
      <c r="F24" t="s">
        <v>8913</v>
      </c>
      <c r="G24" t="s">
        <v>8914</v>
      </c>
      <c r="H24">
        <v>5900</v>
      </c>
    </row>
    <row r="25" spans="1:8" ht="15" customHeight="1" x14ac:dyDescent="0.2">
      <c r="A25">
        <v>2025</v>
      </c>
      <c r="B25">
        <v>2</v>
      </c>
      <c r="C25" s="420">
        <v>45689</v>
      </c>
      <c r="D25" t="s">
        <v>418</v>
      </c>
      <c r="E25" t="s">
        <v>8897</v>
      </c>
      <c r="F25" t="s">
        <v>3333</v>
      </c>
      <c r="G25" t="s">
        <v>8896</v>
      </c>
      <c r="H25">
        <v>6211.1170000000002</v>
      </c>
    </row>
    <row r="26" spans="1:8" ht="15" customHeight="1" x14ac:dyDescent="0.2">
      <c r="A26">
        <v>2025</v>
      </c>
      <c r="B26">
        <v>2</v>
      </c>
      <c r="C26" s="420">
        <v>45689</v>
      </c>
      <c r="D26" t="s">
        <v>418</v>
      </c>
      <c r="E26" t="s">
        <v>8897</v>
      </c>
      <c r="F26" t="s">
        <v>8909</v>
      </c>
      <c r="G26" t="s">
        <v>8910</v>
      </c>
      <c r="H26">
        <v>3861</v>
      </c>
    </row>
    <row r="27" spans="1:8" ht="15" customHeight="1" x14ac:dyDescent="0.2">
      <c r="A27">
        <v>2025</v>
      </c>
      <c r="B27">
        <v>3</v>
      </c>
      <c r="C27" s="420">
        <v>45717</v>
      </c>
      <c r="D27" t="s">
        <v>418</v>
      </c>
      <c r="E27" t="s">
        <v>8915</v>
      </c>
      <c r="F27" t="s">
        <v>8913</v>
      </c>
      <c r="G27" t="s">
        <v>8914</v>
      </c>
      <c r="H27">
        <v>5900</v>
      </c>
    </row>
    <row r="28" spans="1:8" ht="15" customHeight="1" x14ac:dyDescent="0.2">
      <c r="A28">
        <v>2025</v>
      </c>
      <c r="B28">
        <v>3</v>
      </c>
      <c r="C28" s="420">
        <v>45717</v>
      </c>
      <c r="D28" t="s">
        <v>418</v>
      </c>
      <c r="E28" t="s">
        <v>8897</v>
      </c>
      <c r="F28" t="s">
        <v>3333</v>
      </c>
      <c r="G28" t="s">
        <v>8896</v>
      </c>
      <c r="H28">
        <v>6211.1170000000002</v>
      </c>
    </row>
    <row r="29" spans="1:8" ht="15" customHeight="1" x14ac:dyDescent="0.2">
      <c r="A29">
        <v>2025</v>
      </c>
      <c r="B29">
        <v>3</v>
      </c>
      <c r="C29" s="420">
        <v>45717</v>
      </c>
      <c r="D29" t="s">
        <v>418</v>
      </c>
      <c r="E29" t="s">
        <v>8897</v>
      </c>
      <c r="F29" t="s">
        <v>8909</v>
      </c>
      <c r="G29" t="s">
        <v>8910</v>
      </c>
      <c r="H29">
        <v>3861</v>
      </c>
    </row>
    <row r="30" spans="1:8" ht="15" customHeight="1" x14ac:dyDescent="0.2">
      <c r="A30">
        <v>2025</v>
      </c>
      <c r="B30">
        <v>4</v>
      </c>
      <c r="C30" s="420">
        <v>45748</v>
      </c>
      <c r="D30" t="s">
        <v>418</v>
      </c>
      <c r="E30" t="s">
        <v>8915</v>
      </c>
      <c r="F30" t="s">
        <v>8913</v>
      </c>
      <c r="G30" t="s">
        <v>8914</v>
      </c>
      <c r="H30">
        <v>5900</v>
      </c>
    </row>
    <row r="31" spans="1:8" ht="15" customHeight="1" x14ac:dyDescent="0.2">
      <c r="A31">
        <v>2025</v>
      </c>
      <c r="B31">
        <v>4</v>
      </c>
      <c r="C31" s="420">
        <v>45748</v>
      </c>
      <c r="D31" t="s">
        <v>418</v>
      </c>
      <c r="E31" t="s">
        <v>8897</v>
      </c>
      <c r="F31" t="s">
        <v>3333</v>
      </c>
      <c r="G31" t="s">
        <v>8896</v>
      </c>
      <c r="H31">
        <v>6211.1170000000002</v>
      </c>
    </row>
    <row r="32" spans="1:8" ht="15" customHeight="1" x14ac:dyDescent="0.2">
      <c r="A32">
        <v>2025</v>
      </c>
      <c r="B32">
        <v>4</v>
      </c>
      <c r="C32" s="420">
        <v>45748</v>
      </c>
      <c r="D32" t="s">
        <v>418</v>
      </c>
      <c r="E32" t="s">
        <v>8897</v>
      </c>
      <c r="F32" t="s">
        <v>8909</v>
      </c>
      <c r="G32" t="s">
        <v>8910</v>
      </c>
      <c r="H32">
        <v>3861</v>
      </c>
    </row>
    <row r="33" spans="1:8" ht="15" customHeight="1" x14ac:dyDescent="0.2">
      <c r="A33">
        <v>2025</v>
      </c>
      <c r="B33">
        <v>5</v>
      </c>
      <c r="C33" s="420">
        <v>45778</v>
      </c>
      <c r="D33" t="s">
        <v>418</v>
      </c>
      <c r="E33" t="s">
        <v>8915</v>
      </c>
      <c r="F33" t="s">
        <v>8913</v>
      </c>
      <c r="G33" t="s">
        <v>8914</v>
      </c>
      <c r="H33">
        <v>5900</v>
      </c>
    </row>
    <row r="34" spans="1:8" ht="15" customHeight="1" x14ac:dyDescent="0.2">
      <c r="A34">
        <v>2025</v>
      </c>
      <c r="B34">
        <v>5</v>
      </c>
      <c r="C34" s="420">
        <v>45778</v>
      </c>
      <c r="D34" t="s">
        <v>418</v>
      </c>
      <c r="E34" t="s">
        <v>8897</v>
      </c>
      <c r="F34" t="s">
        <v>3333</v>
      </c>
      <c r="G34" t="s">
        <v>8896</v>
      </c>
      <c r="H34">
        <v>6211.1170000000002</v>
      </c>
    </row>
    <row r="35" spans="1:8" ht="15" customHeight="1" x14ac:dyDescent="0.2">
      <c r="A35">
        <v>2025</v>
      </c>
      <c r="B35">
        <v>5</v>
      </c>
      <c r="C35" s="420">
        <v>45778</v>
      </c>
      <c r="D35" t="s">
        <v>418</v>
      </c>
      <c r="E35" t="s">
        <v>8897</v>
      </c>
      <c r="F35" t="s">
        <v>8909</v>
      </c>
      <c r="G35" t="s">
        <v>8910</v>
      </c>
      <c r="H35">
        <v>3861</v>
      </c>
    </row>
    <row r="36" spans="1:8" ht="15" customHeight="1" x14ac:dyDescent="0.2">
      <c r="A36">
        <v>2025</v>
      </c>
      <c r="B36">
        <v>6</v>
      </c>
      <c r="C36" s="420">
        <v>45809</v>
      </c>
      <c r="D36" t="s">
        <v>418</v>
      </c>
      <c r="E36" t="s">
        <v>8915</v>
      </c>
      <c r="F36" t="s">
        <v>8913</v>
      </c>
      <c r="G36" t="s">
        <v>8914</v>
      </c>
      <c r="H36">
        <v>5900</v>
      </c>
    </row>
    <row r="37" spans="1:8" ht="15" customHeight="1" x14ac:dyDescent="0.2">
      <c r="A37">
        <v>2025</v>
      </c>
      <c r="B37">
        <v>6</v>
      </c>
      <c r="C37" s="420">
        <v>45809</v>
      </c>
      <c r="D37" t="s">
        <v>418</v>
      </c>
      <c r="E37" t="s">
        <v>8897</v>
      </c>
      <c r="F37" t="s">
        <v>3333</v>
      </c>
      <c r="G37" t="s">
        <v>8896</v>
      </c>
      <c r="H37">
        <v>6211.1170000000002</v>
      </c>
    </row>
    <row r="38" spans="1:8" ht="15" customHeight="1" x14ac:dyDescent="0.2">
      <c r="A38">
        <v>2025</v>
      </c>
      <c r="B38">
        <v>6</v>
      </c>
      <c r="C38" s="420">
        <v>45809</v>
      </c>
      <c r="D38" t="s">
        <v>418</v>
      </c>
      <c r="E38" t="s">
        <v>8897</v>
      </c>
      <c r="F38" t="s">
        <v>8909</v>
      </c>
      <c r="G38" t="s">
        <v>8910</v>
      </c>
      <c r="H38">
        <v>3861</v>
      </c>
    </row>
    <row r="39" spans="1:8" ht="15" customHeight="1" x14ac:dyDescent="0.2">
      <c r="A39">
        <v>2025</v>
      </c>
      <c r="B39">
        <v>7</v>
      </c>
      <c r="C39" s="420">
        <v>45839</v>
      </c>
      <c r="D39" t="s">
        <v>418</v>
      </c>
      <c r="E39" t="s">
        <v>8915</v>
      </c>
      <c r="F39" t="s">
        <v>8913</v>
      </c>
      <c r="G39" t="s">
        <v>8914</v>
      </c>
      <c r="H39">
        <v>5900</v>
      </c>
    </row>
    <row r="40" spans="1:8" ht="15" customHeight="1" x14ac:dyDescent="0.2">
      <c r="A40">
        <v>2025</v>
      </c>
      <c r="B40">
        <v>7</v>
      </c>
      <c r="C40" s="420">
        <v>45839</v>
      </c>
      <c r="D40" t="s">
        <v>418</v>
      </c>
      <c r="E40" t="s">
        <v>8897</v>
      </c>
      <c r="F40" t="s">
        <v>3333</v>
      </c>
      <c r="G40" t="s">
        <v>8896</v>
      </c>
      <c r="H40">
        <v>6211.1170000000002</v>
      </c>
    </row>
    <row r="41" spans="1:8" ht="15" customHeight="1" x14ac:dyDescent="0.2">
      <c r="A41">
        <v>2025</v>
      </c>
      <c r="B41">
        <v>7</v>
      </c>
      <c r="C41" s="420">
        <v>45839</v>
      </c>
      <c r="D41" t="s">
        <v>418</v>
      </c>
      <c r="E41" t="s">
        <v>8897</v>
      </c>
      <c r="F41" t="s">
        <v>8909</v>
      </c>
      <c r="G41" t="s">
        <v>8910</v>
      </c>
      <c r="H41">
        <v>3861</v>
      </c>
    </row>
    <row r="42" spans="1:8" ht="15" customHeight="1" x14ac:dyDescent="0.2">
      <c r="A42">
        <v>2025</v>
      </c>
      <c r="B42">
        <v>8</v>
      </c>
      <c r="C42" s="420">
        <v>45870</v>
      </c>
      <c r="D42" t="s">
        <v>418</v>
      </c>
      <c r="E42" t="s">
        <v>8915</v>
      </c>
      <c r="F42" t="s">
        <v>8913</v>
      </c>
      <c r="G42" t="s">
        <v>8914</v>
      </c>
      <c r="H42">
        <v>5900</v>
      </c>
    </row>
    <row r="43" spans="1:8" ht="15" customHeight="1" x14ac:dyDescent="0.2">
      <c r="A43">
        <v>2025</v>
      </c>
      <c r="B43">
        <v>8</v>
      </c>
      <c r="C43" s="420">
        <v>45870</v>
      </c>
      <c r="D43" t="s">
        <v>418</v>
      </c>
      <c r="E43" t="s">
        <v>8897</v>
      </c>
      <c r="F43" t="s">
        <v>3333</v>
      </c>
      <c r="G43" t="s">
        <v>8896</v>
      </c>
      <c r="H43">
        <v>6211.1170000000002</v>
      </c>
    </row>
    <row r="44" spans="1:8" ht="15" customHeight="1" x14ac:dyDescent="0.2">
      <c r="A44">
        <v>2025</v>
      </c>
      <c r="B44">
        <v>8</v>
      </c>
      <c r="C44" s="420">
        <v>45870</v>
      </c>
      <c r="D44" t="s">
        <v>418</v>
      </c>
      <c r="E44" t="s">
        <v>8897</v>
      </c>
      <c r="F44" t="s">
        <v>8909</v>
      </c>
      <c r="G44" t="s">
        <v>8910</v>
      </c>
      <c r="H44">
        <v>3861</v>
      </c>
    </row>
    <row r="45" spans="1:8" ht="15" customHeight="1" x14ac:dyDescent="0.2">
      <c r="A45">
        <v>2025</v>
      </c>
      <c r="B45">
        <v>8</v>
      </c>
      <c r="C45" s="420">
        <v>45870</v>
      </c>
      <c r="D45" t="s">
        <v>418</v>
      </c>
      <c r="E45" t="s">
        <v>8897</v>
      </c>
      <c r="F45" t="s">
        <v>8911</v>
      </c>
      <c r="G45" t="s">
        <v>8912</v>
      </c>
      <c r="H45">
        <v>2800</v>
      </c>
    </row>
    <row r="46" spans="1:8" ht="15" customHeight="1" x14ac:dyDescent="0.2">
      <c r="A46">
        <v>2025</v>
      </c>
      <c r="B46">
        <v>9</v>
      </c>
      <c r="C46" s="420">
        <v>45901</v>
      </c>
      <c r="D46" t="s">
        <v>418</v>
      </c>
      <c r="E46" t="s">
        <v>8915</v>
      </c>
      <c r="F46" t="s">
        <v>8913</v>
      </c>
      <c r="G46" t="s">
        <v>8914</v>
      </c>
      <c r="H46">
        <v>5900</v>
      </c>
    </row>
    <row r="47" spans="1:8" ht="15" customHeight="1" x14ac:dyDescent="0.2">
      <c r="A47">
        <v>2025</v>
      </c>
      <c r="B47">
        <v>9</v>
      </c>
      <c r="C47" s="420">
        <v>45901</v>
      </c>
      <c r="D47" t="s">
        <v>418</v>
      </c>
      <c r="E47" t="s">
        <v>8897</v>
      </c>
      <c r="F47" t="s">
        <v>3333</v>
      </c>
      <c r="G47" t="s">
        <v>8896</v>
      </c>
      <c r="H47">
        <v>6211.1170000000002</v>
      </c>
    </row>
    <row r="48" spans="1:8" ht="15" customHeight="1" x14ac:dyDescent="0.2">
      <c r="A48">
        <v>2025</v>
      </c>
      <c r="B48">
        <v>9</v>
      </c>
      <c r="C48" s="420">
        <v>45901</v>
      </c>
      <c r="D48" t="s">
        <v>418</v>
      </c>
      <c r="E48" t="s">
        <v>8897</v>
      </c>
      <c r="F48" t="s">
        <v>8909</v>
      </c>
      <c r="G48" t="s">
        <v>8910</v>
      </c>
      <c r="H48">
        <v>3861</v>
      </c>
    </row>
    <row r="49" spans="1:8" ht="15" customHeight="1" x14ac:dyDescent="0.2">
      <c r="A49">
        <v>2025</v>
      </c>
      <c r="B49">
        <v>9</v>
      </c>
      <c r="C49" s="420">
        <v>45901</v>
      </c>
      <c r="D49" t="s">
        <v>418</v>
      </c>
      <c r="E49" t="s">
        <v>8897</v>
      </c>
      <c r="F49" t="s">
        <v>8911</v>
      </c>
      <c r="G49" t="s">
        <v>8912</v>
      </c>
      <c r="H49">
        <v>2800</v>
      </c>
    </row>
    <row r="50" spans="1:8" ht="15" customHeight="1" x14ac:dyDescent="0.2">
      <c r="A50">
        <v>2025</v>
      </c>
      <c r="B50">
        <v>9</v>
      </c>
      <c r="C50" s="420">
        <v>45901</v>
      </c>
      <c r="D50" t="s">
        <v>418</v>
      </c>
      <c r="E50" t="s">
        <v>8906</v>
      </c>
      <c r="F50" t="s">
        <v>8904</v>
      </c>
      <c r="G50" t="s">
        <v>8905</v>
      </c>
      <c r="H50">
        <v>4230</v>
      </c>
    </row>
    <row r="51" spans="1:8" ht="15" customHeight="1" x14ac:dyDescent="0.2">
      <c r="A51">
        <v>2025</v>
      </c>
      <c r="B51">
        <v>10</v>
      </c>
      <c r="C51" s="420">
        <v>45931</v>
      </c>
      <c r="D51" t="s">
        <v>418</v>
      </c>
      <c r="E51" t="s">
        <v>8915</v>
      </c>
      <c r="F51" t="s">
        <v>8913</v>
      </c>
      <c r="G51" t="s">
        <v>8914</v>
      </c>
      <c r="H51">
        <v>5900</v>
      </c>
    </row>
    <row r="52" spans="1:8" ht="15" customHeight="1" x14ac:dyDescent="0.2">
      <c r="A52">
        <v>2025</v>
      </c>
      <c r="B52">
        <v>10</v>
      </c>
      <c r="C52" s="420">
        <v>45931</v>
      </c>
      <c r="D52" t="s">
        <v>418</v>
      </c>
      <c r="E52" t="s">
        <v>8897</v>
      </c>
      <c r="F52" t="s">
        <v>8909</v>
      </c>
      <c r="G52" t="s">
        <v>8910</v>
      </c>
      <c r="H52">
        <v>3861</v>
      </c>
    </row>
    <row r="53" spans="1:8" ht="15" customHeight="1" x14ac:dyDescent="0.2">
      <c r="A53">
        <v>2025</v>
      </c>
      <c r="B53">
        <v>10</v>
      </c>
      <c r="C53" s="420">
        <v>45931</v>
      </c>
      <c r="D53" t="s">
        <v>418</v>
      </c>
      <c r="E53" t="s">
        <v>8897</v>
      </c>
      <c r="F53" t="s">
        <v>8911</v>
      </c>
      <c r="G53" t="s">
        <v>8912</v>
      </c>
      <c r="H53">
        <v>2800</v>
      </c>
    </row>
    <row r="54" spans="1:8" ht="15" customHeight="1" x14ac:dyDescent="0.2">
      <c r="A54">
        <v>2025</v>
      </c>
      <c r="B54">
        <v>10</v>
      </c>
      <c r="C54" s="420">
        <v>45931</v>
      </c>
      <c r="D54" t="s">
        <v>418</v>
      </c>
      <c r="E54" t="s">
        <v>8906</v>
      </c>
      <c r="F54" t="s">
        <v>8904</v>
      </c>
      <c r="G54" t="s">
        <v>8905</v>
      </c>
      <c r="H54">
        <v>4230</v>
      </c>
    </row>
    <row r="55" spans="1:8" ht="15" customHeight="1" x14ac:dyDescent="0.2">
      <c r="A55">
        <v>2025</v>
      </c>
      <c r="B55">
        <v>10</v>
      </c>
      <c r="C55" s="420">
        <v>45940</v>
      </c>
      <c r="D55" t="s">
        <v>418</v>
      </c>
      <c r="E55" t="s">
        <v>8897</v>
      </c>
      <c r="F55" t="s">
        <v>3333</v>
      </c>
      <c r="G55" t="s">
        <v>8896</v>
      </c>
      <c r="H55">
        <v>6211.1170000000002</v>
      </c>
    </row>
    <row r="56" spans="1:8" ht="15" customHeight="1" x14ac:dyDescent="0.2">
      <c r="A56">
        <v>2025</v>
      </c>
      <c r="B56">
        <v>11</v>
      </c>
      <c r="C56" s="420">
        <v>45962</v>
      </c>
      <c r="D56" t="s">
        <v>418</v>
      </c>
      <c r="E56" t="s">
        <v>8915</v>
      </c>
      <c r="F56" t="s">
        <v>8913</v>
      </c>
      <c r="G56" t="s">
        <v>8914</v>
      </c>
      <c r="H56">
        <v>5900</v>
      </c>
    </row>
    <row r="57" spans="1:8" ht="15" customHeight="1" x14ac:dyDescent="0.2">
      <c r="A57">
        <v>2025</v>
      </c>
      <c r="B57">
        <v>11</v>
      </c>
      <c r="C57" s="420">
        <v>45962</v>
      </c>
      <c r="D57" t="s">
        <v>418</v>
      </c>
      <c r="E57" t="s">
        <v>8897</v>
      </c>
      <c r="F57" t="s">
        <v>8909</v>
      </c>
      <c r="G57" t="s">
        <v>8910</v>
      </c>
      <c r="H57">
        <v>3861</v>
      </c>
    </row>
    <row r="58" spans="1:8" ht="15" customHeight="1" x14ac:dyDescent="0.2">
      <c r="A58">
        <v>2025</v>
      </c>
      <c r="B58">
        <v>11</v>
      </c>
      <c r="C58" s="420">
        <v>45962</v>
      </c>
      <c r="D58" t="s">
        <v>418</v>
      </c>
      <c r="E58" t="s">
        <v>8897</v>
      </c>
      <c r="F58" t="s">
        <v>8911</v>
      </c>
      <c r="G58" t="s">
        <v>8912</v>
      </c>
      <c r="H58">
        <v>2800</v>
      </c>
    </row>
    <row r="59" spans="1:8" ht="15" customHeight="1" x14ac:dyDescent="0.2">
      <c r="A59">
        <v>2025</v>
      </c>
      <c r="B59">
        <v>11</v>
      </c>
      <c r="C59" s="420">
        <v>45962</v>
      </c>
      <c r="D59" t="s">
        <v>418</v>
      </c>
      <c r="E59" t="s">
        <v>8906</v>
      </c>
      <c r="F59" t="s">
        <v>8904</v>
      </c>
      <c r="G59" t="s">
        <v>8905</v>
      </c>
      <c r="H59">
        <v>4230</v>
      </c>
    </row>
    <row r="60" spans="1:8" ht="15" customHeight="1" x14ac:dyDescent="0.2">
      <c r="A60">
        <v>2025</v>
      </c>
      <c r="B60">
        <v>12</v>
      </c>
      <c r="C60" s="420">
        <v>45992</v>
      </c>
      <c r="D60" t="s">
        <v>418</v>
      </c>
      <c r="E60" t="s">
        <v>8915</v>
      </c>
      <c r="F60" t="s">
        <v>8913</v>
      </c>
      <c r="G60" t="s">
        <v>8914</v>
      </c>
      <c r="H60">
        <v>5900</v>
      </c>
    </row>
    <row r="61" spans="1:8" ht="15" customHeight="1" x14ac:dyDescent="0.2">
      <c r="A61">
        <v>2025</v>
      </c>
      <c r="B61">
        <v>12</v>
      </c>
      <c r="C61" s="420">
        <v>45992</v>
      </c>
      <c r="D61" t="s">
        <v>418</v>
      </c>
      <c r="E61" t="s">
        <v>8897</v>
      </c>
      <c r="F61" t="s">
        <v>8909</v>
      </c>
      <c r="G61" t="s">
        <v>8910</v>
      </c>
      <c r="H61">
        <v>3861</v>
      </c>
    </row>
    <row r="62" spans="1:8" ht="15" customHeight="1" x14ac:dyDescent="0.2">
      <c r="A62">
        <v>2025</v>
      </c>
      <c r="B62">
        <v>12</v>
      </c>
      <c r="C62" s="420">
        <v>45992</v>
      </c>
      <c r="D62" t="s">
        <v>418</v>
      </c>
      <c r="E62" t="s">
        <v>8897</v>
      </c>
      <c r="F62" t="s">
        <v>8911</v>
      </c>
      <c r="G62" t="s">
        <v>8912</v>
      </c>
      <c r="H62">
        <v>2800</v>
      </c>
    </row>
    <row r="63" spans="1:8" ht="15" customHeight="1" x14ac:dyDescent="0.2">
      <c r="A63">
        <v>2025</v>
      </c>
      <c r="B63">
        <v>12</v>
      </c>
      <c r="C63" s="420">
        <v>45992</v>
      </c>
      <c r="D63" t="s">
        <v>418</v>
      </c>
      <c r="E63" t="s">
        <v>8906</v>
      </c>
      <c r="F63" t="s">
        <v>8904</v>
      </c>
      <c r="G63" t="s">
        <v>8905</v>
      </c>
      <c r="H63">
        <v>4230</v>
      </c>
    </row>
    <row r="64" spans="1:8" ht="15" customHeight="1" x14ac:dyDescent="0.2">
      <c r="A64">
        <v>2026</v>
      </c>
      <c r="B64">
        <v>1</v>
      </c>
      <c r="C64" s="420">
        <v>46023</v>
      </c>
      <c r="D64" t="s">
        <v>418</v>
      </c>
      <c r="E64" t="s">
        <v>8915</v>
      </c>
      <c r="F64" t="s">
        <v>8913</v>
      </c>
      <c r="G64" t="s">
        <v>8914</v>
      </c>
      <c r="H64">
        <v>7000</v>
      </c>
    </row>
    <row r="65" spans="1:8" ht="15" customHeight="1" x14ac:dyDescent="0.2">
      <c r="A65">
        <v>2026</v>
      </c>
      <c r="B65">
        <v>1</v>
      </c>
      <c r="C65" s="420">
        <v>46023</v>
      </c>
      <c r="D65" t="s">
        <v>418</v>
      </c>
      <c r="E65" t="s">
        <v>8897</v>
      </c>
      <c r="F65" t="s">
        <v>8909</v>
      </c>
      <c r="G65" t="s">
        <v>8910</v>
      </c>
      <c r="H65">
        <v>4576</v>
      </c>
    </row>
    <row r="66" spans="1:8" ht="15" customHeight="1" x14ac:dyDescent="0.2">
      <c r="A66">
        <v>2026</v>
      </c>
      <c r="B66">
        <v>1</v>
      </c>
      <c r="C66" s="420">
        <v>46023</v>
      </c>
      <c r="D66" t="s">
        <v>418</v>
      </c>
      <c r="E66" t="s">
        <v>8897</v>
      </c>
      <c r="F66" t="s">
        <v>8911</v>
      </c>
      <c r="G66" t="s">
        <v>8912</v>
      </c>
      <c r="H66">
        <v>3861</v>
      </c>
    </row>
    <row r="67" spans="1:8" ht="15" customHeight="1" x14ac:dyDescent="0.2">
      <c r="A67">
        <v>2026</v>
      </c>
      <c r="B67">
        <v>1</v>
      </c>
      <c r="C67" s="420">
        <v>46023</v>
      </c>
      <c r="D67" t="s">
        <v>418</v>
      </c>
      <c r="E67" t="s">
        <v>8906</v>
      </c>
      <c r="F67" t="s">
        <v>8904</v>
      </c>
      <c r="G67" t="s">
        <v>8905</v>
      </c>
      <c r="H67">
        <v>1410</v>
      </c>
    </row>
    <row r="68" spans="1:8" ht="15" customHeight="1" x14ac:dyDescent="0.2">
      <c r="A68">
        <v>2026</v>
      </c>
      <c r="B68">
        <v>2</v>
      </c>
      <c r="C68" s="420">
        <v>46054</v>
      </c>
      <c r="D68" t="s">
        <v>418</v>
      </c>
      <c r="E68" t="s">
        <v>8915</v>
      </c>
      <c r="F68" t="s">
        <v>8913</v>
      </c>
      <c r="G68" t="s">
        <v>8914</v>
      </c>
      <c r="H68">
        <v>7000</v>
      </c>
    </row>
    <row r="69" spans="1:8" ht="15" customHeight="1" x14ac:dyDescent="0.2">
      <c r="A69">
        <v>2026</v>
      </c>
      <c r="B69">
        <v>2</v>
      </c>
      <c r="C69" s="420">
        <v>46054</v>
      </c>
      <c r="D69" t="s">
        <v>418</v>
      </c>
      <c r="E69" t="s">
        <v>8897</v>
      </c>
      <c r="F69" t="s">
        <v>8909</v>
      </c>
      <c r="G69" t="s">
        <v>8910</v>
      </c>
      <c r="H69">
        <v>4576</v>
      </c>
    </row>
    <row r="70" spans="1:8" ht="15" customHeight="1" x14ac:dyDescent="0.2">
      <c r="A70">
        <v>2026</v>
      </c>
      <c r="B70">
        <v>2</v>
      </c>
      <c r="C70" s="420">
        <v>46054</v>
      </c>
      <c r="D70" t="s">
        <v>418</v>
      </c>
      <c r="E70" t="s">
        <v>8897</v>
      </c>
      <c r="F70" t="s">
        <v>8911</v>
      </c>
      <c r="G70" t="s">
        <v>8912</v>
      </c>
      <c r="H70">
        <v>3861</v>
      </c>
    </row>
    <row r="71" spans="1:8" ht="15" customHeight="1" x14ac:dyDescent="0.2">
      <c r="A71">
        <v>2026</v>
      </c>
      <c r="B71">
        <v>2</v>
      </c>
      <c r="C71" s="420">
        <v>46054</v>
      </c>
      <c r="D71" t="s">
        <v>418</v>
      </c>
      <c r="E71" t="s">
        <v>8906</v>
      </c>
      <c r="F71" t="s">
        <v>8904</v>
      </c>
      <c r="G71" t="s">
        <v>8905</v>
      </c>
      <c r="H71">
        <v>1410</v>
      </c>
    </row>
    <row r="72" spans="1:8" ht="15" customHeight="1" x14ac:dyDescent="0.2">
      <c r="A72">
        <v>2026</v>
      </c>
      <c r="B72">
        <v>3</v>
      </c>
      <c r="C72" s="420">
        <v>46082</v>
      </c>
      <c r="D72" t="s">
        <v>418</v>
      </c>
      <c r="E72" t="s">
        <v>8915</v>
      </c>
      <c r="F72" t="s">
        <v>8913</v>
      </c>
      <c r="G72" t="s">
        <v>8914</v>
      </c>
      <c r="H72">
        <v>7000</v>
      </c>
    </row>
    <row r="73" spans="1:8" ht="15" customHeight="1" x14ac:dyDescent="0.2">
      <c r="A73">
        <v>2026</v>
      </c>
      <c r="B73">
        <v>3</v>
      </c>
      <c r="C73" s="420">
        <v>46082</v>
      </c>
      <c r="D73" t="s">
        <v>418</v>
      </c>
      <c r="E73" t="s">
        <v>8897</v>
      </c>
      <c r="F73" t="s">
        <v>8909</v>
      </c>
      <c r="G73" t="s">
        <v>8910</v>
      </c>
      <c r="H73">
        <v>4576</v>
      </c>
    </row>
    <row r="74" spans="1:8" ht="15" customHeight="1" x14ac:dyDescent="0.2">
      <c r="A74">
        <v>2026</v>
      </c>
      <c r="B74">
        <v>3</v>
      </c>
      <c r="C74" s="420">
        <v>46082</v>
      </c>
      <c r="D74" t="s">
        <v>418</v>
      </c>
      <c r="E74" t="s">
        <v>8897</v>
      </c>
      <c r="F74" t="s">
        <v>8911</v>
      </c>
      <c r="G74" t="s">
        <v>8912</v>
      </c>
      <c r="H74">
        <v>3861</v>
      </c>
    </row>
    <row r="75" spans="1:8" ht="15" customHeight="1" x14ac:dyDescent="0.2">
      <c r="A75">
        <v>2026</v>
      </c>
      <c r="B75">
        <v>3</v>
      </c>
      <c r="C75" s="420">
        <v>46082</v>
      </c>
      <c r="D75" t="s">
        <v>418</v>
      </c>
      <c r="E75" t="s">
        <v>8906</v>
      </c>
      <c r="F75" t="s">
        <v>8904</v>
      </c>
      <c r="G75" t="s">
        <v>8905</v>
      </c>
      <c r="H75">
        <v>1410</v>
      </c>
    </row>
    <row r="76" spans="1:8" ht="15" customHeight="1" x14ac:dyDescent="0.2">
      <c r="A76">
        <v>2026</v>
      </c>
      <c r="B76">
        <v>4</v>
      </c>
      <c r="C76" s="420">
        <v>46113</v>
      </c>
      <c r="D76" t="s">
        <v>418</v>
      </c>
      <c r="E76" t="s">
        <v>8915</v>
      </c>
      <c r="F76" t="s">
        <v>8913</v>
      </c>
      <c r="G76" t="s">
        <v>8914</v>
      </c>
      <c r="H76">
        <v>7000</v>
      </c>
    </row>
    <row r="77" spans="1:8" ht="15" customHeight="1" x14ac:dyDescent="0.2">
      <c r="A77">
        <v>2026</v>
      </c>
      <c r="B77">
        <v>4</v>
      </c>
      <c r="C77" s="420">
        <v>46113</v>
      </c>
      <c r="D77" t="s">
        <v>418</v>
      </c>
      <c r="E77" t="s">
        <v>8897</v>
      </c>
      <c r="F77" t="s">
        <v>8909</v>
      </c>
      <c r="G77" t="s">
        <v>8910</v>
      </c>
      <c r="H77">
        <v>4576</v>
      </c>
    </row>
    <row r="78" spans="1:8" ht="15" customHeight="1" x14ac:dyDescent="0.2">
      <c r="A78">
        <v>2026</v>
      </c>
      <c r="B78">
        <v>4</v>
      </c>
      <c r="C78" s="420">
        <v>46113</v>
      </c>
      <c r="D78" t="s">
        <v>418</v>
      </c>
      <c r="E78" t="s">
        <v>8897</v>
      </c>
      <c r="F78" t="s">
        <v>8911</v>
      </c>
      <c r="G78" t="s">
        <v>8912</v>
      </c>
      <c r="H78">
        <v>3861</v>
      </c>
    </row>
    <row r="79" spans="1:8" ht="15" customHeight="1" x14ac:dyDescent="0.2">
      <c r="A79">
        <v>2026</v>
      </c>
      <c r="B79">
        <v>4</v>
      </c>
      <c r="C79" s="420">
        <v>46113</v>
      </c>
      <c r="D79" t="s">
        <v>418</v>
      </c>
      <c r="E79" t="s">
        <v>8906</v>
      </c>
      <c r="F79" t="s">
        <v>8904</v>
      </c>
      <c r="G79" t="s">
        <v>8905</v>
      </c>
      <c r="H79">
        <v>1410</v>
      </c>
    </row>
    <row r="80" spans="1:8" ht="15" customHeight="1" x14ac:dyDescent="0.2">
      <c r="A80">
        <v>2026</v>
      </c>
      <c r="B80">
        <v>5</v>
      </c>
      <c r="C80" s="420">
        <v>46143</v>
      </c>
      <c r="D80" t="s">
        <v>418</v>
      </c>
      <c r="E80" t="s">
        <v>8915</v>
      </c>
      <c r="F80" t="s">
        <v>8913</v>
      </c>
      <c r="G80" t="s">
        <v>8914</v>
      </c>
      <c r="H80">
        <v>7000</v>
      </c>
    </row>
    <row r="81" spans="1:8" ht="15" customHeight="1" x14ac:dyDescent="0.2">
      <c r="A81">
        <v>2026</v>
      </c>
      <c r="B81">
        <v>5</v>
      </c>
      <c r="C81" s="420">
        <v>46143</v>
      </c>
      <c r="D81" t="s">
        <v>418</v>
      </c>
      <c r="E81" t="s">
        <v>8897</v>
      </c>
      <c r="F81" t="s">
        <v>8909</v>
      </c>
      <c r="G81" t="s">
        <v>8910</v>
      </c>
      <c r="H81">
        <v>4576</v>
      </c>
    </row>
    <row r="82" spans="1:8" ht="15" customHeight="1" x14ac:dyDescent="0.2">
      <c r="A82">
        <v>2026</v>
      </c>
      <c r="B82">
        <v>5</v>
      </c>
      <c r="C82" s="420">
        <v>46143</v>
      </c>
      <c r="D82" t="s">
        <v>418</v>
      </c>
      <c r="E82" t="s">
        <v>8897</v>
      </c>
      <c r="F82" t="s">
        <v>8911</v>
      </c>
      <c r="G82" t="s">
        <v>8912</v>
      </c>
      <c r="H82">
        <v>3861</v>
      </c>
    </row>
    <row r="83" spans="1:8" ht="15" customHeight="1" x14ac:dyDescent="0.2">
      <c r="A83">
        <v>2026</v>
      </c>
      <c r="B83">
        <v>5</v>
      </c>
      <c r="C83" s="420">
        <v>46143</v>
      </c>
      <c r="D83" t="s">
        <v>418</v>
      </c>
      <c r="E83" t="s">
        <v>8906</v>
      </c>
      <c r="F83" t="s">
        <v>8904</v>
      </c>
      <c r="G83" t="s">
        <v>8905</v>
      </c>
      <c r="H83">
        <v>1410</v>
      </c>
    </row>
    <row r="84" spans="1:8" ht="15" customHeight="1" x14ac:dyDescent="0.2">
      <c r="A84">
        <v>2026</v>
      </c>
      <c r="B84">
        <v>6</v>
      </c>
      <c r="C84" s="420">
        <v>46174</v>
      </c>
      <c r="D84" t="s">
        <v>418</v>
      </c>
      <c r="E84" t="s">
        <v>8915</v>
      </c>
      <c r="F84" t="s">
        <v>8913</v>
      </c>
      <c r="G84" t="s">
        <v>8914</v>
      </c>
      <c r="H84">
        <v>7000</v>
      </c>
    </row>
    <row r="85" spans="1:8" ht="15" customHeight="1" x14ac:dyDescent="0.2">
      <c r="A85">
        <v>2026</v>
      </c>
      <c r="B85">
        <v>6</v>
      </c>
      <c r="C85" s="420">
        <v>46174</v>
      </c>
      <c r="D85" t="s">
        <v>418</v>
      </c>
      <c r="E85" t="s">
        <v>8897</v>
      </c>
      <c r="F85" t="s">
        <v>8909</v>
      </c>
      <c r="G85" t="s">
        <v>8910</v>
      </c>
      <c r="H85">
        <v>4576</v>
      </c>
    </row>
    <row r="86" spans="1:8" ht="15" customHeight="1" x14ac:dyDescent="0.2">
      <c r="A86">
        <v>2026</v>
      </c>
      <c r="B86">
        <v>6</v>
      </c>
      <c r="C86" s="420">
        <v>46174</v>
      </c>
      <c r="D86" t="s">
        <v>418</v>
      </c>
      <c r="E86" t="s">
        <v>8897</v>
      </c>
      <c r="F86" t="s">
        <v>8911</v>
      </c>
      <c r="G86" t="s">
        <v>8912</v>
      </c>
      <c r="H86">
        <v>3861</v>
      </c>
    </row>
    <row r="87" spans="1:8" ht="15" customHeight="1" x14ac:dyDescent="0.2">
      <c r="A87">
        <v>2026</v>
      </c>
      <c r="B87">
        <v>6</v>
      </c>
      <c r="C87" s="420">
        <v>46174</v>
      </c>
      <c r="D87" t="s">
        <v>418</v>
      </c>
      <c r="E87" t="s">
        <v>8906</v>
      </c>
      <c r="F87" t="s">
        <v>8904</v>
      </c>
      <c r="G87" t="s">
        <v>8905</v>
      </c>
      <c r="H87">
        <v>1410</v>
      </c>
    </row>
    <row r="88" spans="1:8" ht="15" customHeight="1" x14ac:dyDescent="0.2">
      <c r="A88">
        <v>2026</v>
      </c>
      <c r="B88">
        <v>7</v>
      </c>
      <c r="C88" s="420">
        <v>46204</v>
      </c>
      <c r="D88" t="s">
        <v>418</v>
      </c>
      <c r="E88" t="s">
        <v>8915</v>
      </c>
      <c r="F88" t="s">
        <v>8913</v>
      </c>
      <c r="G88" t="s">
        <v>8914</v>
      </c>
      <c r="H88">
        <v>7000</v>
      </c>
    </row>
    <row r="89" spans="1:8" ht="15" customHeight="1" x14ac:dyDescent="0.2">
      <c r="A89">
        <v>2026</v>
      </c>
      <c r="B89">
        <v>7</v>
      </c>
      <c r="C89" s="420">
        <v>46204</v>
      </c>
      <c r="D89" t="s">
        <v>418</v>
      </c>
      <c r="E89" t="s">
        <v>8897</v>
      </c>
      <c r="F89" t="s">
        <v>8909</v>
      </c>
      <c r="G89" t="s">
        <v>8910</v>
      </c>
      <c r="H89">
        <v>4576</v>
      </c>
    </row>
    <row r="90" spans="1:8" ht="15" customHeight="1" x14ac:dyDescent="0.2">
      <c r="A90">
        <v>2026</v>
      </c>
      <c r="B90">
        <v>7</v>
      </c>
      <c r="C90" s="420">
        <v>46204</v>
      </c>
      <c r="D90" t="s">
        <v>418</v>
      </c>
      <c r="E90" t="s">
        <v>8897</v>
      </c>
      <c r="F90" t="s">
        <v>8911</v>
      </c>
      <c r="G90" t="s">
        <v>8912</v>
      </c>
      <c r="H90">
        <v>3861</v>
      </c>
    </row>
    <row r="91" spans="1:8" ht="15" customHeight="1" x14ac:dyDescent="0.2">
      <c r="A91">
        <v>2026</v>
      </c>
      <c r="B91">
        <v>7</v>
      </c>
      <c r="C91" s="420">
        <v>46204</v>
      </c>
      <c r="D91" t="s">
        <v>418</v>
      </c>
      <c r="E91" t="s">
        <v>8906</v>
      </c>
      <c r="F91" t="s">
        <v>8904</v>
      </c>
      <c r="G91" t="s">
        <v>8905</v>
      </c>
      <c r="H91">
        <v>1410</v>
      </c>
    </row>
    <row r="92" spans="1:8" ht="15" customHeight="1" x14ac:dyDescent="0.2">
      <c r="A92">
        <v>2026</v>
      </c>
      <c r="B92">
        <v>8</v>
      </c>
      <c r="C92" s="420">
        <v>46235</v>
      </c>
      <c r="D92" t="s">
        <v>418</v>
      </c>
      <c r="E92" t="s">
        <v>8915</v>
      </c>
      <c r="F92" t="s">
        <v>8913</v>
      </c>
      <c r="G92" t="s">
        <v>8914</v>
      </c>
      <c r="H92">
        <v>7000</v>
      </c>
    </row>
    <row r="93" spans="1:8" ht="15" customHeight="1" x14ac:dyDescent="0.2">
      <c r="A93">
        <v>2026</v>
      </c>
      <c r="B93">
        <v>8</v>
      </c>
      <c r="C93" s="420">
        <v>46235</v>
      </c>
      <c r="D93" t="s">
        <v>418</v>
      </c>
      <c r="E93" t="s">
        <v>8897</v>
      </c>
      <c r="F93" t="s">
        <v>8909</v>
      </c>
      <c r="G93" t="s">
        <v>8910</v>
      </c>
      <c r="H93">
        <v>4576</v>
      </c>
    </row>
    <row r="94" spans="1:8" ht="15" customHeight="1" x14ac:dyDescent="0.2">
      <c r="A94">
        <v>2026</v>
      </c>
      <c r="B94">
        <v>8</v>
      </c>
      <c r="C94" s="420">
        <v>46235</v>
      </c>
      <c r="D94" t="s">
        <v>418</v>
      </c>
      <c r="E94" t="s">
        <v>8897</v>
      </c>
      <c r="F94" t="s">
        <v>8911</v>
      </c>
      <c r="G94" t="s">
        <v>8912</v>
      </c>
      <c r="H94">
        <v>3861</v>
      </c>
    </row>
    <row r="95" spans="1:8" ht="15" customHeight="1" x14ac:dyDescent="0.2">
      <c r="A95">
        <v>2026</v>
      </c>
      <c r="B95">
        <v>8</v>
      </c>
      <c r="C95" s="420">
        <v>46235</v>
      </c>
      <c r="D95" t="s">
        <v>418</v>
      </c>
      <c r="E95" t="s">
        <v>8906</v>
      </c>
      <c r="F95" t="s">
        <v>8904</v>
      </c>
      <c r="G95" t="s">
        <v>8905</v>
      </c>
      <c r="H95">
        <v>1410</v>
      </c>
    </row>
    <row r="96" spans="1:8" ht="15" customHeight="1" x14ac:dyDescent="0.2">
      <c r="A96">
        <v>2026</v>
      </c>
      <c r="B96">
        <v>9</v>
      </c>
      <c r="C96" s="420">
        <v>46266</v>
      </c>
      <c r="D96" t="s">
        <v>418</v>
      </c>
      <c r="E96" t="s">
        <v>8915</v>
      </c>
      <c r="F96" t="s">
        <v>8913</v>
      </c>
      <c r="G96" t="s">
        <v>8914</v>
      </c>
      <c r="H96">
        <v>7000</v>
      </c>
    </row>
    <row r="97" spans="1:8" ht="15" customHeight="1" x14ac:dyDescent="0.2">
      <c r="A97">
        <v>2026</v>
      </c>
      <c r="B97">
        <v>9</v>
      </c>
      <c r="C97" s="420">
        <v>46266</v>
      </c>
      <c r="D97" t="s">
        <v>418</v>
      </c>
      <c r="E97" t="s">
        <v>8897</v>
      </c>
      <c r="F97" t="s">
        <v>8909</v>
      </c>
      <c r="G97" t="s">
        <v>8910</v>
      </c>
      <c r="H97">
        <v>4576</v>
      </c>
    </row>
    <row r="98" spans="1:8" ht="15" customHeight="1" x14ac:dyDescent="0.2">
      <c r="A98">
        <v>2026</v>
      </c>
      <c r="B98">
        <v>9</v>
      </c>
      <c r="C98" s="420">
        <v>46266</v>
      </c>
      <c r="D98" t="s">
        <v>418</v>
      </c>
      <c r="E98" t="s">
        <v>8897</v>
      </c>
      <c r="F98" t="s">
        <v>8911</v>
      </c>
      <c r="G98" t="s">
        <v>8912</v>
      </c>
      <c r="H98">
        <v>3861</v>
      </c>
    </row>
    <row r="99" spans="1:8" ht="15" customHeight="1" x14ac:dyDescent="0.2">
      <c r="A99">
        <v>2026</v>
      </c>
      <c r="B99">
        <v>9</v>
      </c>
      <c r="C99" s="420">
        <v>46266</v>
      </c>
      <c r="D99" t="s">
        <v>418</v>
      </c>
      <c r="E99" t="s">
        <v>8906</v>
      </c>
      <c r="F99" t="s">
        <v>8904</v>
      </c>
      <c r="G99" t="s">
        <v>8905</v>
      </c>
      <c r="H99">
        <v>1410</v>
      </c>
    </row>
    <row r="100" spans="1:8" ht="15" customHeight="1" x14ac:dyDescent="0.2">
      <c r="A100">
        <v>2026</v>
      </c>
      <c r="B100">
        <v>10</v>
      </c>
      <c r="C100" s="420">
        <v>46296</v>
      </c>
      <c r="D100" t="s">
        <v>418</v>
      </c>
      <c r="E100" t="s">
        <v>8915</v>
      </c>
      <c r="F100" t="s">
        <v>8913</v>
      </c>
      <c r="G100" t="s">
        <v>8914</v>
      </c>
      <c r="H100">
        <v>7000</v>
      </c>
    </row>
    <row r="101" spans="1:8" ht="15" customHeight="1" x14ac:dyDescent="0.2">
      <c r="A101">
        <v>2026</v>
      </c>
      <c r="B101">
        <v>10</v>
      </c>
      <c r="C101" s="420">
        <v>46296</v>
      </c>
      <c r="D101" t="s">
        <v>418</v>
      </c>
      <c r="E101" t="s">
        <v>8897</v>
      </c>
      <c r="F101" t="s">
        <v>8909</v>
      </c>
      <c r="G101" t="s">
        <v>8910</v>
      </c>
      <c r="H101">
        <v>4576</v>
      </c>
    </row>
    <row r="102" spans="1:8" ht="15" customHeight="1" x14ac:dyDescent="0.2">
      <c r="A102">
        <v>2026</v>
      </c>
      <c r="B102">
        <v>10</v>
      </c>
      <c r="C102" s="420">
        <v>46296</v>
      </c>
      <c r="D102" t="s">
        <v>418</v>
      </c>
      <c r="E102" t="s">
        <v>8897</v>
      </c>
      <c r="F102" t="s">
        <v>8911</v>
      </c>
      <c r="G102" t="s">
        <v>8912</v>
      </c>
      <c r="H102">
        <v>3861</v>
      </c>
    </row>
    <row r="103" spans="1:8" ht="15" customHeight="1" x14ac:dyDescent="0.2">
      <c r="A103">
        <v>2026</v>
      </c>
      <c r="B103">
        <v>10</v>
      </c>
      <c r="C103" s="420">
        <v>46296</v>
      </c>
      <c r="D103" t="s">
        <v>418</v>
      </c>
      <c r="E103" t="s">
        <v>8906</v>
      </c>
      <c r="F103" t="s">
        <v>8904</v>
      </c>
      <c r="G103" t="s">
        <v>8905</v>
      </c>
      <c r="H103">
        <v>1410</v>
      </c>
    </row>
    <row r="104" spans="1:8" ht="15" customHeight="1" x14ac:dyDescent="0.2">
      <c r="A104">
        <v>2026</v>
      </c>
      <c r="B104">
        <v>11</v>
      </c>
      <c r="C104" s="420">
        <v>46327</v>
      </c>
      <c r="D104" t="s">
        <v>418</v>
      </c>
      <c r="E104" t="s">
        <v>8915</v>
      </c>
      <c r="F104" t="s">
        <v>8913</v>
      </c>
      <c r="G104" t="s">
        <v>8914</v>
      </c>
      <c r="H104">
        <v>7000</v>
      </c>
    </row>
    <row r="105" spans="1:8" ht="15" customHeight="1" x14ac:dyDescent="0.2">
      <c r="A105">
        <v>2026</v>
      </c>
      <c r="B105">
        <v>11</v>
      </c>
      <c r="C105" s="420">
        <v>46327</v>
      </c>
      <c r="D105" t="s">
        <v>418</v>
      </c>
      <c r="E105" t="s">
        <v>8897</v>
      </c>
      <c r="F105" t="s">
        <v>8909</v>
      </c>
      <c r="G105" t="s">
        <v>8910</v>
      </c>
      <c r="H105">
        <v>4576</v>
      </c>
    </row>
    <row r="106" spans="1:8" ht="15" customHeight="1" x14ac:dyDescent="0.2">
      <c r="A106">
        <v>2026</v>
      </c>
      <c r="B106">
        <v>11</v>
      </c>
      <c r="C106" s="420">
        <v>46327</v>
      </c>
      <c r="D106" t="s">
        <v>418</v>
      </c>
      <c r="E106" t="s">
        <v>8897</v>
      </c>
      <c r="F106" t="s">
        <v>8911</v>
      </c>
      <c r="G106" t="s">
        <v>8912</v>
      </c>
      <c r="H106">
        <v>3861</v>
      </c>
    </row>
    <row r="107" spans="1:8" ht="15" customHeight="1" x14ac:dyDescent="0.2">
      <c r="A107">
        <v>2026</v>
      </c>
      <c r="B107">
        <v>11</v>
      </c>
      <c r="C107" s="420">
        <v>46327</v>
      </c>
      <c r="D107" t="s">
        <v>418</v>
      </c>
      <c r="E107" t="s">
        <v>8906</v>
      </c>
      <c r="F107" t="s">
        <v>8904</v>
      </c>
      <c r="G107" t="s">
        <v>8905</v>
      </c>
      <c r="H107">
        <v>1410</v>
      </c>
    </row>
    <row r="108" spans="1:8" ht="15" customHeight="1" x14ac:dyDescent="0.2">
      <c r="A108">
        <v>2026</v>
      </c>
      <c r="B108">
        <v>12</v>
      </c>
      <c r="C108" s="420">
        <v>46357</v>
      </c>
      <c r="D108" t="s">
        <v>418</v>
      </c>
      <c r="E108" t="s">
        <v>8915</v>
      </c>
      <c r="F108" t="s">
        <v>8913</v>
      </c>
      <c r="G108" t="s">
        <v>8914</v>
      </c>
      <c r="H108">
        <v>7000</v>
      </c>
    </row>
    <row r="109" spans="1:8" ht="15" customHeight="1" x14ac:dyDescent="0.2">
      <c r="A109">
        <v>2026</v>
      </c>
      <c r="B109">
        <v>12</v>
      </c>
      <c r="C109" s="420">
        <v>46357</v>
      </c>
      <c r="D109" t="s">
        <v>418</v>
      </c>
      <c r="E109" t="s">
        <v>8897</v>
      </c>
      <c r="F109" t="s">
        <v>8909</v>
      </c>
      <c r="G109" t="s">
        <v>8910</v>
      </c>
      <c r="H109">
        <v>4576</v>
      </c>
    </row>
    <row r="110" spans="1:8" ht="15" customHeight="1" x14ac:dyDescent="0.2">
      <c r="A110">
        <v>2026</v>
      </c>
      <c r="B110">
        <v>12</v>
      </c>
      <c r="C110" s="420">
        <v>46357</v>
      </c>
      <c r="D110" t="s">
        <v>418</v>
      </c>
      <c r="E110" t="s">
        <v>8897</v>
      </c>
      <c r="F110" t="s">
        <v>8911</v>
      </c>
      <c r="G110" t="s">
        <v>8912</v>
      </c>
      <c r="H110">
        <v>3861</v>
      </c>
    </row>
    <row r="111" spans="1:8" ht="15" customHeight="1" x14ac:dyDescent="0.2">
      <c r="A111">
        <v>2026</v>
      </c>
      <c r="B111">
        <v>12</v>
      </c>
      <c r="C111" s="420">
        <v>46357</v>
      </c>
      <c r="D111" t="s">
        <v>418</v>
      </c>
      <c r="E111" t="s">
        <v>8906</v>
      </c>
      <c r="F111" t="s">
        <v>8904</v>
      </c>
      <c r="G111" t="s">
        <v>8905</v>
      </c>
      <c r="H111">
        <v>1410</v>
      </c>
    </row>
    <row r="112" spans="1:8" ht="15" customHeight="1" x14ac:dyDescent="0.2">
      <c r="A112">
        <v>2027</v>
      </c>
      <c r="B112">
        <v>1</v>
      </c>
      <c r="C112" s="420">
        <v>46388</v>
      </c>
      <c r="D112" t="s">
        <v>418</v>
      </c>
      <c r="E112" t="s">
        <v>8915</v>
      </c>
      <c r="F112" t="s">
        <v>8913</v>
      </c>
      <c r="G112" t="s">
        <v>8914</v>
      </c>
      <c r="H112">
        <v>8000</v>
      </c>
    </row>
    <row r="113" spans="1:8" ht="15" customHeight="1" x14ac:dyDescent="0.2">
      <c r="A113">
        <v>2027</v>
      </c>
      <c r="B113">
        <v>1</v>
      </c>
      <c r="C113" s="420">
        <v>46388</v>
      </c>
      <c r="D113" t="s">
        <v>418</v>
      </c>
      <c r="E113" t="s">
        <v>8897</v>
      </c>
      <c r="F113" t="s">
        <v>8909</v>
      </c>
      <c r="G113" t="s">
        <v>8910</v>
      </c>
      <c r="H113">
        <v>5434</v>
      </c>
    </row>
    <row r="114" spans="1:8" ht="15" customHeight="1" x14ac:dyDescent="0.2">
      <c r="A114">
        <v>2027</v>
      </c>
      <c r="B114">
        <v>1</v>
      </c>
      <c r="C114" s="420">
        <v>46388</v>
      </c>
      <c r="D114" t="s">
        <v>418</v>
      </c>
      <c r="E114" t="s">
        <v>8897</v>
      </c>
      <c r="F114" t="s">
        <v>8911</v>
      </c>
      <c r="G114" t="s">
        <v>8912</v>
      </c>
      <c r="H114">
        <v>4576</v>
      </c>
    </row>
    <row r="115" spans="1:8" ht="15" customHeight="1" x14ac:dyDescent="0.2">
      <c r="A115">
        <v>2027</v>
      </c>
      <c r="B115">
        <v>1</v>
      </c>
      <c r="C115" s="420">
        <v>46388</v>
      </c>
      <c r="D115" t="s">
        <v>418</v>
      </c>
      <c r="E115" t="s">
        <v>8906</v>
      </c>
      <c r="F115" t="s">
        <v>8904</v>
      </c>
      <c r="G115" t="s">
        <v>8905</v>
      </c>
      <c r="H115">
        <v>3525</v>
      </c>
    </row>
    <row r="116" spans="1:8" ht="15" customHeight="1" x14ac:dyDescent="0.2">
      <c r="A116">
        <v>2027</v>
      </c>
      <c r="B116">
        <v>2</v>
      </c>
      <c r="C116" s="420">
        <v>46419</v>
      </c>
      <c r="D116" t="s">
        <v>418</v>
      </c>
      <c r="E116" t="s">
        <v>8915</v>
      </c>
      <c r="F116" t="s">
        <v>8913</v>
      </c>
      <c r="G116" t="s">
        <v>8914</v>
      </c>
      <c r="H116">
        <v>8000</v>
      </c>
    </row>
    <row r="117" spans="1:8" ht="15" customHeight="1" x14ac:dyDescent="0.2">
      <c r="A117">
        <v>2027</v>
      </c>
      <c r="B117">
        <v>2</v>
      </c>
      <c r="C117" s="420">
        <v>46419</v>
      </c>
      <c r="D117" t="s">
        <v>418</v>
      </c>
      <c r="E117" t="s">
        <v>8897</v>
      </c>
      <c r="F117" t="s">
        <v>8909</v>
      </c>
      <c r="G117" t="s">
        <v>8910</v>
      </c>
      <c r="H117">
        <v>5434</v>
      </c>
    </row>
    <row r="118" spans="1:8" ht="15" customHeight="1" x14ac:dyDescent="0.2">
      <c r="A118">
        <v>2027</v>
      </c>
      <c r="B118">
        <v>2</v>
      </c>
      <c r="C118" s="420">
        <v>46419</v>
      </c>
      <c r="D118" t="s">
        <v>418</v>
      </c>
      <c r="E118" t="s">
        <v>8897</v>
      </c>
      <c r="F118" t="s">
        <v>8911</v>
      </c>
      <c r="G118" t="s">
        <v>8912</v>
      </c>
      <c r="H118">
        <v>4576</v>
      </c>
    </row>
    <row r="119" spans="1:8" ht="15" customHeight="1" x14ac:dyDescent="0.2">
      <c r="A119">
        <v>2027</v>
      </c>
      <c r="B119">
        <v>2</v>
      </c>
      <c r="C119" s="420">
        <v>46419</v>
      </c>
      <c r="D119" t="s">
        <v>418</v>
      </c>
      <c r="E119" t="s">
        <v>8906</v>
      </c>
      <c r="F119" t="s">
        <v>8904</v>
      </c>
      <c r="G119" t="s">
        <v>8905</v>
      </c>
      <c r="H119">
        <v>3525</v>
      </c>
    </row>
    <row r="120" spans="1:8" ht="15" customHeight="1" x14ac:dyDescent="0.2">
      <c r="A120">
        <v>2027</v>
      </c>
      <c r="B120">
        <v>3</v>
      </c>
      <c r="C120" s="420">
        <v>46447</v>
      </c>
      <c r="D120" t="s">
        <v>418</v>
      </c>
      <c r="E120" t="s">
        <v>8915</v>
      </c>
      <c r="F120" t="s">
        <v>8913</v>
      </c>
      <c r="G120" t="s">
        <v>8914</v>
      </c>
      <c r="H120">
        <v>8000</v>
      </c>
    </row>
    <row r="121" spans="1:8" ht="15" customHeight="1" x14ac:dyDescent="0.2">
      <c r="A121">
        <v>2027</v>
      </c>
      <c r="B121">
        <v>3</v>
      </c>
      <c r="C121" s="420">
        <v>46447</v>
      </c>
      <c r="D121" t="s">
        <v>418</v>
      </c>
      <c r="E121" t="s">
        <v>8897</v>
      </c>
      <c r="F121" t="s">
        <v>8909</v>
      </c>
      <c r="G121" t="s">
        <v>8910</v>
      </c>
      <c r="H121">
        <v>5434</v>
      </c>
    </row>
    <row r="122" spans="1:8" ht="15" customHeight="1" x14ac:dyDescent="0.2">
      <c r="A122">
        <v>2027</v>
      </c>
      <c r="B122">
        <v>3</v>
      </c>
      <c r="C122" s="420">
        <v>46447</v>
      </c>
      <c r="D122" t="s">
        <v>418</v>
      </c>
      <c r="E122" t="s">
        <v>8897</v>
      </c>
      <c r="F122" t="s">
        <v>8911</v>
      </c>
      <c r="G122" t="s">
        <v>8912</v>
      </c>
      <c r="H122">
        <v>4576</v>
      </c>
    </row>
    <row r="123" spans="1:8" ht="15" customHeight="1" x14ac:dyDescent="0.2">
      <c r="A123">
        <v>2027</v>
      </c>
      <c r="B123">
        <v>3</v>
      </c>
      <c r="C123" s="420">
        <v>46447</v>
      </c>
      <c r="D123" t="s">
        <v>418</v>
      </c>
      <c r="E123" t="s">
        <v>8906</v>
      </c>
      <c r="F123" t="s">
        <v>8904</v>
      </c>
      <c r="G123" t="s">
        <v>8905</v>
      </c>
      <c r="H123">
        <v>3525</v>
      </c>
    </row>
    <row r="124" spans="1:8" ht="15" customHeight="1" x14ac:dyDescent="0.2">
      <c r="A124">
        <v>2027</v>
      </c>
      <c r="B124">
        <v>4</v>
      </c>
      <c r="C124" s="420">
        <v>46478</v>
      </c>
      <c r="D124" t="s">
        <v>418</v>
      </c>
      <c r="E124" t="s">
        <v>8915</v>
      </c>
      <c r="F124" t="s">
        <v>8913</v>
      </c>
      <c r="G124" t="s">
        <v>8914</v>
      </c>
      <c r="H124">
        <v>8000</v>
      </c>
    </row>
    <row r="125" spans="1:8" ht="15" customHeight="1" x14ac:dyDescent="0.2">
      <c r="A125">
        <v>2027</v>
      </c>
      <c r="B125">
        <v>4</v>
      </c>
      <c r="C125" s="420">
        <v>46478</v>
      </c>
      <c r="D125" t="s">
        <v>418</v>
      </c>
      <c r="E125" t="s">
        <v>8897</v>
      </c>
      <c r="F125" t="s">
        <v>8909</v>
      </c>
      <c r="G125" t="s">
        <v>8910</v>
      </c>
      <c r="H125">
        <v>5434</v>
      </c>
    </row>
    <row r="126" spans="1:8" ht="15" customHeight="1" x14ac:dyDescent="0.2">
      <c r="A126">
        <v>2027</v>
      </c>
      <c r="B126">
        <v>4</v>
      </c>
      <c r="C126" s="420">
        <v>46478</v>
      </c>
      <c r="D126" t="s">
        <v>418</v>
      </c>
      <c r="E126" t="s">
        <v>8897</v>
      </c>
      <c r="F126" t="s">
        <v>8911</v>
      </c>
      <c r="G126" t="s">
        <v>8912</v>
      </c>
      <c r="H126">
        <v>4576</v>
      </c>
    </row>
    <row r="127" spans="1:8" ht="15" customHeight="1" x14ac:dyDescent="0.2">
      <c r="A127">
        <v>2027</v>
      </c>
      <c r="B127">
        <v>4</v>
      </c>
      <c r="C127" s="420">
        <v>46478</v>
      </c>
      <c r="D127" t="s">
        <v>418</v>
      </c>
      <c r="E127" t="s">
        <v>8906</v>
      </c>
      <c r="F127" t="s">
        <v>8904</v>
      </c>
      <c r="G127" t="s">
        <v>8905</v>
      </c>
      <c r="H127">
        <v>3525</v>
      </c>
    </row>
    <row r="128" spans="1:8" ht="15" customHeight="1" x14ac:dyDescent="0.2">
      <c r="A128">
        <v>2027</v>
      </c>
      <c r="B128">
        <v>5</v>
      </c>
      <c r="C128" s="420">
        <v>46508</v>
      </c>
      <c r="D128" t="s">
        <v>418</v>
      </c>
      <c r="E128" t="s">
        <v>8915</v>
      </c>
      <c r="F128" t="s">
        <v>8913</v>
      </c>
      <c r="G128" t="s">
        <v>8914</v>
      </c>
      <c r="H128">
        <v>8000</v>
      </c>
    </row>
    <row r="129" spans="1:8" ht="15" customHeight="1" x14ac:dyDescent="0.2">
      <c r="A129">
        <v>2027</v>
      </c>
      <c r="B129">
        <v>5</v>
      </c>
      <c r="C129" s="420">
        <v>46508</v>
      </c>
      <c r="D129" t="s">
        <v>418</v>
      </c>
      <c r="E129" t="s">
        <v>8897</v>
      </c>
      <c r="F129" t="s">
        <v>8909</v>
      </c>
      <c r="G129" t="s">
        <v>8910</v>
      </c>
      <c r="H129">
        <v>5434</v>
      </c>
    </row>
    <row r="130" spans="1:8" ht="15" customHeight="1" x14ac:dyDescent="0.2">
      <c r="A130">
        <v>2027</v>
      </c>
      <c r="B130">
        <v>5</v>
      </c>
      <c r="C130" s="420">
        <v>46508</v>
      </c>
      <c r="D130" t="s">
        <v>418</v>
      </c>
      <c r="E130" t="s">
        <v>8897</v>
      </c>
      <c r="F130" t="s">
        <v>8911</v>
      </c>
      <c r="G130" t="s">
        <v>8912</v>
      </c>
      <c r="H130">
        <v>4576</v>
      </c>
    </row>
    <row r="131" spans="1:8" ht="15" customHeight="1" x14ac:dyDescent="0.2">
      <c r="A131">
        <v>2027</v>
      </c>
      <c r="B131">
        <v>5</v>
      </c>
      <c r="C131" s="420">
        <v>46508</v>
      </c>
      <c r="D131" t="s">
        <v>418</v>
      </c>
      <c r="E131" t="s">
        <v>8906</v>
      </c>
      <c r="F131" t="s">
        <v>8904</v>
      </c>
      <c r="G131" t="s">
        <v>8905</v>
      </c>
      <c r="H131">
        <v>3525</v>
      </c>
    </row>
    <row r="132" spans="1:8" ht="15" customHeight="1" x14ac:dyDescent="0.2">
      <c r="A132">
        <v>2027</v>
      </c>
      <c r="B132">
        <v>6</v>
      </c>
      <c r="C132" s="420">
        <v>46539</v>
      </c>
      <c r="D132" t="s">
        <v>418</v>
      </c>
      <c r="E132" t="s">
        <v>8915</v>
      </c>
      <c r="F132" t="s">
        <v>8913</v>
      </c>
      <c r="G132" t="s">
        <v>8914</v>
      </c>
      <c r="H132">
        <v>8000</v>
      </c>
    </row>
    <row r="133" spans="1:8" ht="15" customHeight="1" x14ac:dyDescent="0.2">
      <c r="A133">
        <v>2027</v>
      </c>
      <c r="B133">
        <v>6</v>
      </c>
      <c r="C133" s="420">
        <v>46539</v>
      </c>
      <c r="D133" t="s">
        <v>418</v>
      </c>
      <c r="E133" t="s">
        <v>8897</v>
      </c>
      <c r="F133" t="s">
        <v>8909</v>
      </c>
      <c r="G133" t="s">
        <v>8910</v>
      </c>
      <c r="H133">
        <v>5434</v>
      </c>
    </row>
    <row r="134" spans="1:8" ht="15" customHeight="1" x14ac:dyDescent="0.2">
      <c r="A134">
        <v>2027</v>
      </c>
      <c r="B134">
        <v>6</v>
      </c>
      <c r="C134" s="420">
        <v>46539</v>
      </c>
      <c r="D134" t="s">
        <v>418</v>
      </c>
      <c r="E134" t="s">
        <v>8897</v>
      </c>
      <c r="F134" t="s">
        <v>8911</v>
      </c>
      <c r="G134" t="s">
        <v>8912</v>
      </c>
      <c r="H134">
        <v>4576</v>
      </c>
    </row>
    <row r="135" spans="1:8" ht="15" customHeight="1" x14ac:dyDescent="0.2">
      <c r="A135">
        <v>2027</v>
      </c>
      <c r="B135">
        <v>6</v>
      </c>
      <c r="C135" s="420">
        <v>46539</v>
      </c>
      <c r="D135" t="s">
        <v>418</v>
      </c>
      <c r="E135" t="s">
        <v>8906</v>
      </c>
      <c r="F135" t="s">
        <v>8904</v>
      </c>
      <c r="G135" t="s">
        <v>8905</v>
      </c>
      <c r="H135">
        <v>3525</v>
      </c>
    </row>
    <row r="136" spans="1:8" ht="15" customHeight="1" x14ac:dyDescent="0.2">
      <c r="A136">
        <v>2027</v>
      </c>
      <c r="B136">
        <v>7</v>
      </c>
      <c r="C136" s="420">
        <v>46569</v>
      </c>
      <c r="D136" t="s">
        <v>418</v>
      </c>
      <c r="E136" t="s">
        <v>8915</v>
      </c>
      <c r="F136" t="s">
        <v>8913</v>
      </c>
      <c r="G136" t="s">
        <v>8914</v>
      </c>
      <c r="H136">
        <v>8000</v>
      </c>
    </row>
    <row r="137" spans="1:8" ht="15" customHeight="1" x14ac:dyDescent="0.2">
      <c r="A137">
        <v>2027</v>
      </c>
      <c r="B137">
        <v>7</v>
      </c>
      <c r="C137" s="420">
        <v>46569</v>
      </c>
      <c r="D137" t="s">
        <v>418</v>
      </c>
      <c r="E137" t="s">
        <v>8897</v>
      </c>
      <c r="F137" t="s">
        <v>8909</v>
      </c>
      <c r="G137" t="s">
        <v>8910</v>
      </c>
      <c r="H137">
        <v>5434</v>
      </c>
    </row>
    <row r="138" spans="1:8" ht="15" customHeight="1" x14ac:dyDescent="0.2">
      <c r="A138">
        <v>2027</v>
      </c>
      <c r="B138">
        <v>7</v>
      </c>
      <c r="C138" s="420">
        <v>46569</v>
      </c>
      <c r="D138" t="s">
        <v>418</v>
      </c>
      <c r="E138" t="s">
        <v>8897</v>
      </c>
      <c r="F138" t="s">
        <v>8911</v>
      </c>
      <c r="G138" t="s">
        <v>8912</v>
      </c>
      <c r="H138">
        <v>4576</v>
      </c>
    </row>
    <row r="139" spans="1:8" ht="15" customHeight="1" x14ac:dyDescent="0.2">
      <c r="A139">
        <v>2027</v>
      </c>
      <c r="B139">
        <v>7</v>
      </c>
      <c r="C139" s="420">
        <v>46569</v>
      </c>
      <c r="D139" t="s">
        <v>418</v>
      </c>
      <c r="E139" t="s">
        <v>8906</v>
      </c>
      <c r="F139" t="s">
        <v>8904</v>
      </c>
      <c r="G139" t="s">
        <v>8905</v>
      </c>
      <c r="H139">
        <v>3525</v>
      </c>
    </row>
    <row r="140" spans="1:8" ht="15" customHeight="1" x14ac:dyDescent="0.2">
      <c r="A140">
        <v>2027</v>
      </c>
      <c r="B140">
        <v>8</v>
      </c>
      <c r="C140" s="420">
        <v>46600</v>
      </c>
      <c r="D140" t="s">
        <v>418</v>
      </c>
      <c r="E140" t="s">
        <v>8915</v>
      </c>
      <c r="F140" t="s">
        <v>8913</v>
      </c>
      <c r="G140" t="s">
        <v>8914</v>
      </c>
      <c r="H140">
        <v>8000</v>
      </c>
    </row>
    <row r="141" spans="1:8" ht="15" customHeight="1" x14ac:dyDescent="0.2">
      <c r="A141">
        <v>2027</v>
      </c>
      <c r="B141">
        <v>8</v>
      </c>
      <c r="C141" s="420">
        <v>46600</v>
      </c>
      <c r="D141" t="s">
        <v>418</v>
      </c>
      <c r="E141" t="s">
        <v>8897</v>
      </c>
      <c r="F141" t="s">
        <v>8909</v>
      </c>
      <c r="G141" t="s">
        <v>8910</v>
      </c>
      <c r="H141">
        <v>5434</v>
      </c>
    </row>
    <row r="142" spans="1:8" ht="15" customHeight="1" x14ac:dyDescent="0.2">
      <c r="A142">
        <v>2027</v>
      </c>
      <c r="B142">
        <v>8</v>
      </c>
      <c r="C142" s="420">
        <v>46600</v>
      </c>
      <c r="D142" t="s">
        <v>418</v>
      </c>
      <c r="E142" t="s">
        <v>8897</v>
      </c>
      <c r="F142" t="s">
        <v>8911</v>
      </c>
      <c r="G142" t="s">
        <v>8912</v>
      </c>
      <c r="H142">
        <v>4576</v>
      </c>
    </row>
    <row r="143" spans="1:8" ht="15" customHeight="1" x14ac:dyDescent="0.2">
      <c r="A143">
        <v>2027</v>
      </c>
      <c r="B143">
        <v>8</v>
      </c>
      <c r="C143" s="420">
        <v>46600</v>
      </c>
      <c r="D143" t="s">
        <v>418</v>
      </c>
      <c r="E143" t="s">
        <v>8906</v>
      </c>
      <c r="F143" t="s">
        <v>8904</v>
      </c>
      <c r="G143" t="s">
        <v>8905</v>
      </c>
      <c r="H143">
        <v>3525</v>
      </c>
    </row>
    <row r="144" spans="1:8" ht="15" customHeight="1" x14ac:dyDescent="0.2">
      <c r="A144">
        <v>2027</v>
      </c>
      <c r="B144">
        <v>9</v>
      </c>
      <c r="C144" s="420">
        <v>46631</v>
      </c>
      <c r="D144" t="s">
        <v>418</v>
      </c>
      <c r="E144" t="s">
        <v>8915</v>
      </c>
      <c r="F144" t="s">
        <v>8913</v>
      </c>
      <c r="G144" t="s">
        <v>8914</v>
      </c>
      <c r="H144">
        <v>8000</v>
      </c>
    </row>
    <row r="145" spans="1:8" ht="15" customHeight="1" x14ac:dyDescent="0.2">
      <c r="A145">
        <v>2027</v>
      </c>
      <c r="B145">
        <v>9</v>
      </c>
      <c r="C145" s="420">
        <v>46631</v>
      </c>
      <c r="D145" t="s">
        <v>418</v>
      </c>
      <c r="E145" t="s">
        <v>8897</v>
      </c>
      <c r="F145" t="s">
        <v>8909</v>
      </c>
      <c r="G145" t="s">
        <v>8910</v>
      </c>
      <c r="H145">
        <v>5434</v>
      </c>
    </row>
    <row r="146" spans="1:8" ht="15" customHeight="1" x14ac:dyDescent="0.2">
      <c r="A146">
        <v>2027</v>
      </c>
      <c r="B146">
        <v>9</v>
      </c>
      <c r="C146" s="420">
        <v>46631</v>
      </c>
      <c r="D146" t="s">
        <v>418</v>
      </c>
      <c r="E146" t="s">
        <v>8897</v>
      </c>
      <c r="F146" t="s">
        <v>8911</v>
      </c>
      <c r="G146" t="s">
        <v>8912</v>
      </c>
      <c r="H146">
        <v>4576</v>
      </c>
    </row>
    <row r="147" spans="1:8" ht="15" customHeight="1" x14ac:dyDescent="0.2">
      <c r="A147">
        <v>2027</v>
      </c>
      <c r="B147">
        <v>9</v>
      </c>
      <c r="C147" s="420">
        <v>46631</v>
      </c>
      <c r="D147" t="s">
        <v>418</v>
      </c>
      <c r="E147" t="s">
        <v>8906</v>
      </c>
      <c r="F147" t="s">
        <v>8904</v>
      </c>
      <c r="G147" t="s">
        <v>8905</v>
      </c>
      <c r="H147">
        <v>3525</v>
      </c>
    </row>
    <row r="148" spans="1:8" ht="15" customHeight="1" x14ac:dyDescent="0.2">
      <c r="A148">
        <v>2027</v>
      </c>
      <c r="B148">
        <v>10</v>
      </c>
      <c r="C148" s="420">
        <v>46661</v>
      </c>
      <c r="D148" t="s">
        <v>418</v>
      </c>
      <c r="E148" t="s">
        <v>8915</v>
      </c>
      <c r="F148" t="s">
        <v>8913</v>
      </c>
      <c r="G148" t="s">
        <v>8914</v>
      </c>
      <c r="H148">
        <v>8000</v>
      </c>
    </row>
    <row r="149" spans="1:8" ht="15" customHeight="1" x14ac:dyDescent="0.2">
      <c r="A149">
        <v>2027</v>
      </c>
      <c r="B149">
        <v>10</v>
      </c>
      <c r="C149" s="420">
        <v>46661</v>
      </c>
      <c r="D149" t="s">
        <v>418</v>
      </c>
      <c r="E149" t="s">
        <v>8897</v>
      </c>
      <c r="F149" t="s">
        <v>8909</v>
      </c>
      <c r="G149" t="s">
        <v>8910</v>
      </c>
      <c r="H149">
        <v>5434</v>
      </c>
    </row>
    <row r="150" spans="1:8" ht="15" customHeight="1" x14ac:dyDescent="0.2">
      <c r="A150">
        <v>2027</v>
      </c>
      <c r="B150">
        <v>10</v>
      </c>
      <c r="C150" s="420">
        <v>46661</v>
      </c>
      <c r="D150" t="s">
        <v>418</v>
      </c>
      <c r="E150" t="s">
        <v>8897</v>
      </c>
      <c r="F150" t="s">
        <v>8911</v>
      </c>
      <c r="G150" t="s">
        <v>8912</v>
      </c>
      <c r="H150">
        <v>4576</v>
      </c>
    </row>
    <row r="151" spans="1:8" ht="15" customHeight="1" x14ac:dyDescent="0.2">
      <c r="A151">
        <v>2027</v>
      </c>
      <c r="B151">
        <v>10</v>
      </c>
      <c r="C151" s="420">
        <v>46661</v>
      </c>
      <c r="D151" t="s">
        <v>418</v>
      </c>
      <c r="E151" t="s">
        <v>8906</v>
      </c>
      <c r="F151" t="s">
        <v>8904</v>
      </c>
      <c r="G151" t="s">
        <v>8905</v>
      </c>
      <c r="H151">
        <v>3525</v>
      </c>
    </row>
    <row r="152" spans="1:8" ht="15" customHeight="1" x14ac:dyDescent="0.2">
      <c r="A152">
        <v>2027</v>
      </c>
      <c r="B152">
        <v>11</v>
      </c>
      <c r="C152" s="420">
        <v>46692</v>
      </c>
      <c r="D152" t="s">
        <v>418</v>
      </c>
      <c r="E152" t="s">
        <v>8915</v>
      </c>
      <c r="F152" t="s">
        <v>8913</v>
      </c>
      <c r="G152" t="s">
        <v>8914</v>
      </c>
      <c r="H152">
        <v>8000</v>
      </c>
    </row>
    <row r="153" spans="1:8" ht="15" customHeight="1" x14ac:dyDescent="0.2">
      <c r="A153">
        <v>2027</v>
      </c>
      <c r="B153">
        <v>11</v>
      </c>
      <c r="C153" s="420">
        <v>46692</v>
      </c>
      <c r="D153" t="s">
        <v>418</v>
      </c>
      <c r="E153" t="s">
        <v>8897</v>
      </c>
      <c r="F153" t="s">
        <v>8909</v>
      </c>
      <c r="G153" t="s">
        <v>8910</v>
      </c>
      <c r="H153">
        <v>5434</v>
      </c>
    </row>
    <row r="154" spans="1:8" ht="15" customHeight="1" x14ac:dyDescent="0.2">
      <c r="A154">
        <v>2027</v>
      </c>
      <c r="B154">
        <v>11</v>
      </c>
      <c r="C154" s="420">
        <v>46692</v>
      </c>
      <c r="D154" t="s">
        <v>418</v>
      </c>
      <c r="E154" t="s">
        <v>8897</v>
      </c>
      <c r="F154" t="s">
        <v>8911</v>
      </c>
      <c r="G154" t="s">
        <v>8912</v>
      </c>
      <c r="H154">
        <v>4576</v>
      </c>
    </row>
    <row r="155" spans="1:8" ht="15" customHeight="1" x14ac:dyDescent="0.2">
      <c r="A155">
        <v>2027</v>
      </c>
      <c r="B155">
        <v>11</v>
      </c>
      <c r="C155" s="420">
        <v>46692</v>
      </c>
      <c r="D155" t="s">
        <v>418</v>
      </c>
      <c r="E155" t="s">
        <v>8906</v>
      </c>
      <c r="F155" t="s">
        <v>8904</v>
      </c>
      <c r="G155" t="s">
        <v>8905</v>
      </c>
      <c r="H155">
        <v>3525</v>
      </c>
    </row>
    <row r="156" spans="1:8" ht="15" customHeight="1" x14ac:dyDescent="0.2">
      <c r="A156">
        <v>2027</v>
      </c>
      <c r="B156">
        <v>12</v>
      </c>
      <c r="C156" s="420">
        <v>46722</v>
      </c>
      <c r="D156" t="s">
        <v>418</v>
      </c>
      <c r="E156" t="s">
        <v>8915</v>
      </c>
      <c r="F156" t="s">
        <v>8913</v>
      </c>
      <c r="G156" t="s">
        <v>8914</v>
      </c>
      <c r="H156">
        <v>8000</v>
      </c>
    </row>
    <row r="157" spans="1:8" ht="15" customHeight="1" x14ac:dyDescent="0.2">
      <c r="A157">
        <v>2027</v>
      </c>
      <c r="B157">
        <v>12</v>
      </c>
      <c r="C157" s="420">
        <v>46722</v>
      </c>
      <c r="D157" t="s">
        <v>418</v>
      </c>
      <c r="E157" t="s">
        <v>8897</v>
      </c>
      <c r="F157" t="s">
        <v>8909</v>
      </c>
      <c r="G157" t="s">
        <v>8910</v>
      </c>
      <c r="H157">
        <v>5434</v>
      </c>
    </row>
    <row r="158" spans="1:8" ht="15" customHeight="1" x14ac:dyDescent="0.2">
      <c r="A158">
        <v>2027</v>
      </c>
      <c r="B158">
        <v>12</v>
      </c>
      <c r="C158" s="420">
        <v>46722</v>
      </c>
      <c r="D158" t="s">
        <v>418</v>
      </c>
      <c r="E158" t="s">
        <v>8897</v>
      </c>
      <c r="F158" t="s">
        <v>8911</v>
      </c>
      <c r="G158" t="s">
        <v>8912</v>
      </c>
      <c r="H158">
        <v>4576</v>
      </c>
    </row>
    <row r="159" spans="1:8" ht="15" customHeight="1" x14ac:dyDescent="0.2">
      <c r="A159">
        <v>2027</v>
      </c>
      <c r="B159">
        <v>12</v>
      </c>
      <c r="C159" s="420">
        <v>46722</v>
      </c>
      <c r="D159" t="s">
        <v>418</v>
      </c>
      <c r="E159" t="s">
        <v>8906</v>
      </c>
      <c r="F159" t="s">
        <v>8904</v>
      </c>
      <c r="G159" t="s">
        <v>8905</v>
      </c>
      <c r="H159">
        <v>3525</v>
      </c>
    </row>
    <row r="160" spans="1:8" ht="15" customHeight="1" x14ac:dyDescent="0.2">
      <c r="A160">
        <v>2024</v>
      </c>
      <c r="B160">
        <v>1</v>
      </c>
      <c r="C160" s="420">
        <v>45292</v>
      </c>
      <c r="D160" t="s">
        <v>27</v>
      </c>
      <c r="E160" t="s">
        <v>364</v>
      </c>
      <c r="H160">
        <v>750</v>
      </c>
    </row>
    <row r="161" spans="1:8" ht="15" customHeight="1" x14ac:dyDescent="0.2">
      <c r="A161">
        <v>2024</v>
      </c>
      <c r="B161">
        <v>2</v>
      </c>
      <c r="C161" s="420">
        <v>45323</v>
      </c>
      <c r="D161" t="s">
        <v>27</v>
      </c>
      <c r="E161" t="s">
        <v>364</v>
      </c>
      <c r="H161">
        <v>750</v>
      </c>
    </row>
    <row r="162" spans="1:8" ht="15" customHeight="1" x14ac:dyDescent="0.2">
      <c r="A162">
        <v>2024</v>
      </c>
      <c r="B162">
        <v>3</v>
      </c>
      <c r="C162" s="420">
        <v>45352</v>
      </c>
      <c r="D162" t="s">
        <v>27</v>
      </c>
      <c r="E162" t="s">
        <v>364</v>
      </c>
      <c r="H162">
        <v>750</v>
      </c>
    </row>
    <row r="163" spans="1:8" ht="15" customHeight="1" x14ac:dyDescent="0.2">
      <c r="A163">
        <v>2024</v>
      </c>
      <c r="B163">
        <v>4</v>
      </c>
      <c r="C163" s="420">
        <v>45383</v>
      </c>
      <c r="D163" t="s">
        <v>27</v>
      </c>
      <c r="E163" t="s">
        <v>364</v>
      </c>
      <c r="H163">
        <v>750</v>
      </c>
    </row>
    <row r="164" spans="1:8" ht="15" customHeight="1" x14ac:dyDescent="0.2">
      <c r="A164">
        <v>2024</v>
      </c>
      <c r="B164">
        <v>5</v>
      </c>
      <c r="C164" s="420">
        <v>45413</v>
      </c>
      <c r="D164" t="s">
        <v>27</v>
      </c>
      <c r="E164" t="s">
        <v>364</v>
      </c>
      <c r="H164">
        <v>750</v>
      </c>
    </row>
    <row r="165" spans="1:8" ht="15" customHeight="1" x14ac:dyDescent="0.2">
      <c r="A165">
        <v>2024</v>
      </c>
      <c r="B165">
        <v>6</v>
      </c>
      <c r="C165" s="420">
        <v>45444</v>
      </c>
      <c r="D165" t="s">
        <v>27</v>
      </c>
      <c r="E165" t="s">
        <v>364</v>
      </c>
      <c r="H165">
        <v>750</v>
      </c>
    </row>
    <row r="166" spans="1:8" ht="15" customHeight="1" x14ac:dyDescent="0.2">
      <c r="A166">
        <v>2024</v>
      </c>
      <c r="B166">
        <v>7</v>
      </c>
      <c r="C166" s="420">
        <v>45474</v>
      </c>
      <c r="D166" t="s">
        <v>27</v>
      </c>
      <c r="E166" t="s">
        <v>364</v>
      </c>
      <c r="H166">
        <v>750</v>
      </c>
    </row>
    <row r="167" spans="1:8" ht="15" customHeight="1" x14ac:dyDescent="0.2">
      <c r="A167">
        <v>2024</v>
      </c>
      <c r="B167">
        <v>8</v>
      </c>
      <c r="C167" s="420">
        <v>45505</v>
      </c>
      <c r="D167" t="s">
        <v>27</v>
      </c>
      <c r="E167" t="s">
        <v>364</v>
      </c>
      <c r="H167">
        <v>750</v>
      </c>
    </row>
    <row r="168" spans="1:8" ht="15" customHeight="1" x14ac:dyDescent="0.2">
      <c r="A168">
        <v>2024</v>
      </c>
      <c r="B168">
        <v>9</v>
      </c>
      <c r="C168" s="420">
        <v>45536</v>
      </c>
      <c r="D168" t="s">
        <v>27</v>
      </c>
      <c r="E168" t="s">
        <v>364</v>
      </c>
      <c r="H168">
        <v>750</v>
      </c>
    </row>
    <row r="169" spans="1:8" ht="15" customHeight="1" x14ac:dyDescent="0.2">
      <c r="A169">
        <v>2024</v>
      </c>
      <c r="B169">
        <v>10</v>
      </c>
      <c r="C169" s="420">
        <v>45566</v>
      </c>
      <c r="D169" t="s">
        <v>27</v>
      </c>
      <c r="E169" t="s">
        <v>364</v>
      </c>
      <c r="H169">
        <v>750</v>
      </c>
    </row>
    <row r="170" spans="1:8" ht="15" customHeight="1" x14ac:dyDescent="0.2">
      <c r="A170">
        <v>2024</v>
      </c>
      <c r="B170">
        <v>11</v>
      </c>
      <c r="C170" s="420">
        <v>45597</v>
      </c>
      <c r="D170" t="s">
        <v>27</v>
      </c>
      <c r="E170" t="s">
        <v>364</v>
      </c>
      <c r="H170">
        <v>750</v>
      </c>
    </row>
    <row r="171" spans="1:8" ht="15" customHeight="1" x14ac:dyDescent="0.2">
      <c r="A171">
        <v>2024</v>
      </c>
      <c r="B171">
        <v>12</v>
      </c>
      <c r="C171" s="420">
        <v>45627</v>
      </c>
      <c r="D171" t="s">
        <v>27</v>
      </c>
      <c r="E171" t="s">
        <v>364</v>
      </c>
      <c r="H171">
        <v>750</v>
      </c>
    </row>
    <row r="172" spans="1:8" ht="15" customHeight="1" x14ac:dyDescent="0.2">
      <c r="A172">
        <v>2024</v>
      </c>
      <c r="B172">
        <v>1</v>
      </c>
      <c r="C172" s="420">
        <v>45292</v>
      </c>
      <c r="D172" t="s">
        <v>27</v>
      </c>
      <c r="E172" t="s">
        <v>30</v>
      </c>
      <c r="H172">
        <v>333.33333333333297</v>
      </c>
    </row>
    <row r="173" spans="1:8" ht="15" customHeight="1" x14ac:dyDescent="0.2">
      <c r="A173">
        <v>2024</v>
      </c>
      <c r="B173">
        <v>2</v>
      </c>
      <c r="C173" s="420">
        <v>45323</v>
      </c>
      <c r="D173" t="s">
        <v>27</v>
      </c>
      <c r="E173" t="s">
        <v>30</v>
      </c>
      <c r="H173">
        <v>333.33333333333297</v>
      </c>
    </row>
    <row r="174" spans="1:8" ht="15" customHeight="1" x14ac:dyDescent="0.2">
      <c r="A174">
        <v>2024</v>
      </c>
      <c r="B174">
        <v>3</v>
      </c>
      <c r="C174" s="420">
        <v>45352</v>
      </c>
      <c r="D174" t="s">
        <v>27</v>
      </c>
      <c r="E174" t="s">
        <v>30</v>
      </c>
      <c r="H174">
        <v>333.33333333333297</v>
      </c>
    </row>
    <row r="175" spans="1:8" ht="15" customHeight="1" x14ac:dyDescent="0.2">
      <c r="A175">
        <v>2024</v>
      </c>
      <c r="B175">
        <v>4</v>
      </c>
      <c r="C175" s="420">
        <v>45383</v>
      </c>
      <c r="D175" t="s">
        <v>27</v>
      </c>
      <c r="E175" t="s">
        <v>30</v>
      </c>
      <c r="H175">
        <v>333.33333333333297</v>
      </c>
    </row>
    <row r="176" spans="1:8" ht="15" customHeight="1" x14ac:dyDescent="0.2">
      <c r="A176">
        <v>2024</v>
      </c>
      <c r="B176">
        <v>5</v>
      </c>
      <c r="C176" s="420">
        <v>45413</v>
      </c>
      <c r="D176" t="s">
        <v>27</v>
      </c>
      <c r="E176" t="s">
        <v>30</v>
      </c>
      <c r="H176">
        <v>333.33333333333297</v>
      </c>
    </row>
    <row r="177" spans="1:8" ht="15" customHeight="1" x14ac:dyDescent="0.2">
      <c r="A177">
        <v>2024</v>
      </c>
      <c r="B177">
        <v>6</v>
      </c>
      <c r="C177" s="420">
        <v>45444</v>
      </c>
      <c r="D177" t="s">
        <v>27</v>
      </c>
      <c r="E177" t="s">
        <v>30</v>
      </c>
      <c r="H177">
        <v>333.33333333333297</v>
      </c>
    </row>
    <row r="178" spans="1:8" ht="15" customHeight="1" x14ac:dyDescent="0.2">
      <c r="A178">
        <v>2024</v>
      </c>
      <c r="B178">
        <v>7</v>
      </c>
      <c r="C178" s="420">
        <v>45474</v>
      </c>
      <c r="D178" t="s">
        <v>27</v>
      </c>
      <c r="E178" t="s">
        <v>30</v>
      </c>
      <c r="H178">
        <v>333.33333333333297</v>
      </c>
    </row>
    <row r="179" spans="1:8" ht="15" customHeight="1" x14ac:dyDescent="0.2">
      <c r="A179">
        <v>2024</v>
      </c>
      <c r="B179">
        <v>8</v>
      </c>
      <c r="C179" s="420">
        <v>45505</v>
      </c>
      <c r="D179" t="s">
        <v>27</v>
      </c>
      <c r="E179" t="s">
        <v>30</v>
      </c>
      <c r="H179">
        <v>333.33333333333297</v>
      </c>
    </row>
    <row r="180" spans="1:8" ht="15" customHeight="1" x14ac:dyDescent="0.2">
      <c r="A180">
        <v>2024</v>
      </c>
      <c r="B180">
        <v>9</v>
      </c>
      <c r="C180" s="420">
        <v>45536</v>
      </c>
      <c r="D180" t="s">
        <v>27</v>
      </c>
      <c r="E180" t="s">
        <v>30</v>
      </c>
      <c r="H180">
        <v>333.33333333333297</v>
      </c>
    </row>
    <row r="181" spans="1:8" ht="15" customHeight="1" x14ac:dyDescent="0.2">
      <c r="A181">
        <v>2024</v>
      </c>
      <c r="B181">
        <v>10</v>
      </c>
      <c r="C181" s="420">
        <v>45566</v>
      </c>
      <c r="D181" t="s">
        <v>27</v>
      </c>
      <c r="E181" t="s">
        <v>30</v>
      </c>
      <c r="H181">
        <v>333.33333333333297</v>
      </c>
    </row>
    <row r="182" spans="1:8" ht="15" customHeight="1" x14ac:dyDescent="0.2">
      <c r="A182">
        <v>2024</v>
      </c>
      <c r="B182">
        <v>11</v>
      </c>
      <c r="C182" s="420">
        <v>45597</v>
      </c>
      <c r="D182" t="s">
        <v>27</v>
      </c>
      <c r="E182" t="s">
        <v>30</v>
      </c>
      <c r="H182">
        <v>333.33333333333297</v>
      </c>
    </row>
    <row r="183" spans="1:8" ht="15" customHeight="1" x14ac:dyDescent="0.2">
      <c r="A183">
        <v>2024</v>
      </c>
      <c r="B183">
        <v>12</v>
      </c>
      <c r="C183" s="420">
        <v>45627</v>
      </c>
      <c r="D183" t="s">
        <v>27</v>
      </c>
      <c r="E183" t="s">
        <v>30</v>
      </c>
      <c r="H183">
        <v>333.33333333333297</v>
      </c>
    </row>
    <row r="184" spans="1:8" ht="15" customHeight="1" x14ac:dyDescent="0.2">
      <c r="A184">
        <v>2024</v>
      </c>
      <c r="B184">
        <v>1</v>
      </c>
      <c r="C184" s="420">
        <v>45292</v>
      </c>
      <c r="D184" t="s">
        <v>27</v>
      </c>
      <c r="E184" t="s">
        <v>32</v>
      </c>
      <c r="H184">
        <v>666.66666666666697</v>
      </c>
    </row>
    <row r="185" spans="1:8" ht="15" customHeight="1" x14ac:dyDescent="0.2">
      <c r="A185">
        <v>2024</v>
      </c>
      <c r="B185">
        <v>2</v>
      </c>
      <c r="C185" s="420">
        <v>45323</v>
      </c>
      <c r="D185" t="s">
        <v>27</v>
      </c>
      <c r="E185" t="s">
        <v>32</v>
      </c>
      <c r="H185">
        <v>666.66666666666697</v>
      </c>
    </row>
    <row r="186" spans="1:8" ht="15" customHeight="1" x14ac:dyDescent="0.2">
      <c r="A186">
        <v>2024</v>
      </c>
      <c r="B186">
        <v>3</v>
      </c>
      <c r="C186" s="420">
        <v>45352</v>
      </c>
      <c r="D186" t="s">
        <v>27</v>
      </c>
      <c r="E186" t="s">
        <v>32</v>
      </c>
      <c r="H186">
        <v>666.66666666666697</v>
      </c>
    </row>
    <row r="187" spans="1:8" ht="15" customHeight="1" x14ac:dyDescent="0.2">
      <c r="A187">
        <v>2024</v>
      </c>
      <c r="B187">
        <v>4</v>
      </c>
      <c r="C187" s="420">
        <v>45383</v>
      </c>
      <c r="D187" t="s">
        <v>27</v>
      </c>
      <c r="E187" t="s">
        <v>32</v>
      </c>
      <c r="H187">
        <v>666.66666666666697</v>
      </c>
    </row>
    <row r="188" spans="1:8" ht="15" customHeight="1" x14ac:dyDescent="0.2">
      <c r="A188">
        <v>2024</v>
      </c>
      <c r="B188">
        <v>5</v>
      </c>
      <c r="C188" s="420">
        <v>45413</v>
      </c>
      <c r="D188" t="s">
        <v>27</v>
      </c>
      <c r="E188" t="s">
        <v>32</v>
      </c>
      <c r="H188">
        <v>666.66666666666697</v>
      </c>
    </row>
    <row r="189" spans="1:8" ht="15" customHeight="1" x14ac:dyDescent="0.2">
      <c r="A189">
        <v>2024</v>
      </c>
      <c r="B189">
        <v>6</v>
      </c>
      <c r="C189" s="420">
        <v>45444</v>
      </c>
      <c r="D189" t="s">
        <v>27</v>
      </c>
      <c r="E189" t="s">
        <v>32</v>
      </c>
      <c r="H189">
        <v>666.66666666666697</v>
      </c>
    </row>
    <row r="190" spans="1:8" ht="15" customHeight="1" x14ac:dyDescent="0.2">
      <c r="A190">
        <v>2024</v>
      </c>
      <c r="B190">
        <v>7</v>
      </c>
      <c r="C190" s="420">
        <v>45474</v>
      </c>
      <c r="D190" t="s">
        <v>27</v>
      </c>
      <c r="E190" t="s">
        <v>32</v>
      </c>
      <c r="H190">
        <v>666.66666666666697</v>
      </c>
    </row>
    <row r="191" spans="1:8" ht="15" customHeight="1" x14ac:dyDescent="0.2">
      <c r="A191">
        <v>2024</v>
      </c>
      <c r="B191">
        <v>8</v>
      </c>
      <c r="C191" s="420">
        <v>45505</v>
      </c>
      <c r="D191" t="s">
        <v>27</v>
      </c>
      <c r="E191" t="s">
        <v>32</v>
      </c>
      <c r="H191">
        <v>666.66666666666697</v>
      </c>
    </row>
    <row r="192" spans="1:8" ht="15" customHeight="1" x14ac:dyDescent="0.2">
      <c r="A192">
        <v>2024</v>
      </c>
      <c r="B192">
        <v>9</v>
      </c>
      <c r="C192" s="420">
        <v>45536</v>
      </c>
      <c r="D192" t="s">
        <v>27</v>
      </c>
      <c r="E192" t="s">
        <v>32</v>
      </c>
      <c r="H192">
        <v>666.66666666666697</v>
      </c>
    </row>
    <row r="193" spans="1:8" ht="15" customHeight="1" x14ac:dyDescent="0.2">
      <c r="A193">
        <v>2024</v>
      </c>
      <c r="B193">
        <v>10</v>
      </c>
      <c r="C193" s="420">
        <v>45566</v>
      </c>
      <c r="D193" t="s">
        <v>27</v>
      </c>
      <c r="E193" t="s">
        <v>32</v>
      </c>
      <c r="H193">
        <v>666.66666666666697</v>
      </c>
    </row>
    <row r="194" spans="1:8" ht="15" customHeight="1" x14ac:dyDescent="0.2">
      <c r="A194">
        <v>2024</v>
      </c>
      <c r="B194">
        <v>11</v>
      </c>
      <c r="C194" s="420">
        <v>45597</v>
      </c>
      <c r="D194" t="s">
        <v>27</v>
      </c>
      <c r="E194" t="s">
        <v>32</v>
      </c>
      <c r="H194">
        <v>666.66666666666697</v>
      </c>
    </row>
    <row r="195" spans="1:8" ht="15" customHeight="1" x14ac:dyDescent="0.2">
      <c r="A195">
        <v>2024</v>
      </c>
      <c r="B195">
        <v>12</v>
      </c>
      <c r="C195" s="420">
        <v>45627</v>
      </c>
      <c r="D195" t="s">
        <v>27</v>
      </c>
      <c r="E195" t="s">
        <v>32</v>
      </c>
      <c r="H195">
        <v>666.66666666666697</v>
      </c>
    </row>
    <row r="196" spans="1:8" ht="15" customHeight="1" x14ac:dyDescent="0.2">
      <c r="A196">
        <v>2024</v>
      </c>
      <c r="B196">
        <v>1</v>
      </c>
      <c r="C196" s="420">
        <v>45292</v>
      </c>
      <c r="D196" t="s">
        <v>27</v>
      </c>
      <c r="E196" t="s">
        <v>34</v>
      </c>
      <c r="H196">
        <v>1500</v>
      </c>
    </row>
    <row r="197" spans="1:8" ht="15" customHeight="1" x14ac:dyDescent="0.2">
      <c r="A197">
        <v>2024</v>
      </c>
      <c r="B197">
        <v>2</v>
      </c>
      <c r="C197" s="420">
        <v>45323</v>
      </c>
      <c r="D197" t="s">
        <v>27</v>
      </c>
      <c r="E197" t="s">
        <v>34</v>
      </c>
      <c r="H197">
        <v>1500</v>
      </c>
    </row>
    <row r="198" spans="1:8" ht="15" customHeight="1" x14ac:dyDescent="0.2">
      <c r="A198">
        <v>2024</v>
      </c>
      <c r="B198">
        <v>3</v>
      </c>
      <c r="C198" s="420">
        <v>45352</v>
      </c>
      <c r="D198" t="s">
        <v>27</v>
      </c>
      <c r="E198" t="s">
        <v>34</v>
      </c>
      <c r="H198">
        <v>1500</v>
      </c>
    </row>
    <row r="199" spans="1:8" ht="15" customHeight="1" x14ac:dyDescent="0.2">
      <c r="A199">
        <v>2024</v>
      </c>
      <c r="B199">
        <v>4</v>
      </c>
      <c r="C199" s="420">
        <v>45383</v>
      </c>
      <c r="D199" t="s">
        <v>27</v>
      </c>
      <c r="E199" t="s">
        <v>34</v>
      </c>
      <c r="H199">
        <v>1500</v>
      </c>
    </row>
    <row r="200" spans="1:8" ht="15" customHeight="1" x14ac:dyDescent="0.2">
      <c r="A200">
        <v>2024</v>
      </c>
      <c r="B200">
        <v>5</v>
      </c>
      <c r="C200" s="420">
        <v>45413</v>
      </c>
      <c r="D200" t="s">
        <v>27</v>
      </c>
      <c r="E200" t="s">
        <v>34</v>
      </c>
      <c r="H200">
        <v>1500</v>
      </c>
    </row>
    <row r="201" spans="1:8" ht="15" customHeight="1" x14ac:dyDescent="0.2">
      <c r="A201">
        <v>2024</v>
      </c>
      <c r="B201">
        <v>6</v>
      </c>
      <c r="C201" s="420">
        <v>45444</v>
      </c>
      <c r="D201" t="s">
        <v>27</v>
      </c>
      <c r="E201" t="s">
        <v>34</v>
      </c>
      <c r="H201">
        <v>1500</v>
      </c>
    </row>
    <row r="202" spans="1:8" ht="15" customHeight="1" x14ac:dyDescent="0.2">
      <c r="A202">
        <v>2024</v>
      </c>
      <c r="B202">
        <v>7</v>
      </c>
      <c r="C202" s="420">
        <v>45474</v>
      </c>
      <c r="D202" t="s">
        <v>27</v>
      </c>
      <c r="E202" t="s">
        <v>34</v>
      </c>
      <c r="H202">
        <v>1500</v>
      </c>
    </row>
    <row r="203" spans="1:8" ht="15" customHeight="1" x14ac:dyDescent="0.2">
      <c r="A203">
        <v>2024</v>
      </c>
      <c r="B203">
        <v>8</v>
      </c>
      <c r="C203" s="420">
        <v>45505</v>
      </c>
      <c r="D203" t="s">
        <v>27</v>
      </c>
      <c r="E203" t="s">
        <v>34</v>
      </c>
      <c r="H203">
        <v>1500</v>
      </c>
    </row>
    <row r="204" spans="1:8" ht="15" customHeight="1" x14ac:dyDescent="0.2">
      <c r="A204">
        <v>2024</v>
      </c>
      <c r="B204">
        <v>9</v>
      </c>
      <c r="C204" s="420">
        <v>45536</v>
      </c>
      <c r="D204" t="s">
        <v>27</v>
      </c>
      <c r="E204" t="s">
        <v>34</v>
      </c>
      <c r="H204">
        <v>1500</v>
      </c>
    </row>
    <row r="205" spans="1:8" ht="15" customHeight="1" x14ac:dyDescent="0.2">
      <c r="A205">
        <v>2024</v>
      </c>
      <c r="B205">
        <v>10</v>
      </c>
      <c r="C205" s="420">
        <v>45566</v>
      </c>
      <c r="D205" t="s">
        <v>27</v>
      </c>
      <c r="E205" t="s">
        <v>34</v>
      </c>
      <c r="H205">
        <v>1500</v>
      </c>
    </row>
    <row r="206" spans="1:8" ht="15" customHeight="1" x14ac:dyDescent="0.2">
      <c r="A206">
        <v>2024</v>
      </c>
      <c r="B206">
        <v>11</v>
      </c>
      <c r="C206" s="420">
        <v>45597</v>
      </c>
      <c r="D206" t="s">
        <v>27</v>
      </c>
      <c r="E206" t="s">
        <v>34</v>
      </c>
      <c r="H206">
        <v>1500</v>
      </c>
    </row>
    <row r="207" spans="1:8" ht="15" customHeight="1" x14ac:dyDescent="0.2">
      <c r="A207">
        <v>2024</v>
      </c>
      <c r="B207">
        <v>12</v>
      </c>
      <c r="C207" s="420">
        <v>45627</v>
      </c>
      <c r="D207" t="s">
        <v>27</v>
      </c>
      <c r="E207" t="s">
        <v>34</v>
      </c>
      <c r="H207">
        <v>1500</v>
      </c>
    </row>
    <row r="208" spans="1:8" ht="15" customHeight="1" x14ac:dyDescent="0.2">
      <c r="A208">
        <v>2024</v>
      </c>
      <c r="B208">
        <v>1</v>
      </c>
      <c r="C208" s="420">
        <v>45292</v>
      </c>
      <c r="D208" t="s">
        <v>27</v>
      </c>
      <c r="E208" t="s">
        <v>35</v>
      </c>
      <c r="H208">
        <v>1166.6666666666699</v>
      </c>
    </row>
    <row r="209" spans="1:8" ht="15" customHeight="1" x14ac:dyDescent="0.2">
      <c r="A209">
        <v>2024</v>
      </c>
      <c r="B209">
        <v>2</v>
      </c>
      <c r="C209" s="420">
        <v>45323</v>
      </c>
      <c r="D209" t="s">
        <v>27</v>
      </c>
      <c r="E209" t="s">
        <v>35</v>
      </c>
      <c r="H209">
        <v>1166.6666666666699</v>
      </c>
    </row>
    <row r="210" spans="1:8" ht="15" customHeight="1" x14ac:dyDescent="0.2">
      <c r="A210">
        <v>2024</v>
      </c>
      <c r="B210">
        <v>3</v>
      </c>
      <c r="C210" s="420">
        <v>45352</v>
      </c>
      <c r="D210" t="s">
        <v>27</v>
      </c>
      <c r="E210" t="s">
        <v>35</v>
      </c>
      <c r="H210">
        <v>1166.6666666666699</v>
      </c>
    </row>
    <row r="211" spans="1:8" ht="15" customHeight="1" x14ac:dyDescent="0.2">
      <c r="A211">
        <v>2024</v>
      </c>
      <c r="B211">
        <v>4</v>
      </c>
      <c r="C211" s="420">
        <v>45383</v>
      </c>
      <c r="D211" t="s">
        <v>27</v>
      </c>
      <c r="E211" t="s">
        <v>35</v>
      </c>
      <c r="H211">
        <v>1166.6666666666699</v>
      </c>
    </row>
    <row r="212" spans="1:8" ht="15" customHeight="1" x14ac:dyDescent="0.2">
      <c r="A212">
        <v>2024</v>
      </c>
      <c r="B212">
        <v>5</v>
      </c>
      <c r="C212" s="420">
        <v>45413</v>
      </c>
      <c r="D212" t="s">
        <v>27</v>
      </c>
      <c r="E212" t="s">
        <v>35</v>
      </c>
      <c r="H212">
        <v>1166.6666666666699</v>
      </c>
    </row>
    <row r="213" spans="1:8" ht="15" customHeight="1" x14ac:dyDescent="0.2">
      <c r="A213">
        <v>2024</v>
      </c>
      <c r="B213">
        <v>6</v>
      </c>
      <c r="C213" s="420">
        <v>45444</v>
      </c>
      <c r="D213" t="s">
        <v>27</v>
      </c>
      <c r="E213" t="s">
        <v>35</v>
      </c>
      <c r="H213">
        <v>1166.6666666666699</v>
      </c>
    </row>
    <row r="214" spans="1:8" ht="15" customHeight="1" x14ac:dyDescent="0.2">
      <c r="A214">
        <v>2024</v>
      </c>
      <c r="B214">
        <v>7</v>
      </c>
      <c r="C214" s="420">
        <v>45474</v>
      </c>
      <c r="D214" t="s">
        <v>27</v>
      </c>
      <c r="E214" t="s">
        <v>35</v>
      </c>
      <c r="H214">
        <v>1166.6666666666699</v>
      </c>
    </row>
    <row r="215" spans="1:8" ht="15" customHeight="1" x14ac:dyDescent="0.2">
      <c r="A215">
        <v>2024</v>
      </c>
      <c r="B215">
        <v>8</v>
      </c>
      <c r="C215" s="420">
        <v>45505</v>
      </c>
      <c r="D215" t="s">
        <v>27</v>
      </c>
      <c r="E215" t="s">
        <v>35</v>
      </c>
      <c r="H215">
        <v>1166.6666666666699</v>
      </c>
    </row>
    <row r="216" spans="1:8" ht="15" customHeight="1" x14ac:dyDescent="0.2">
      <c r="A216">
        <v>2024</v>
      </c>
      <c r="B216">
        <v>9</v>
      </c>
      <c r="C216" s="420">
        <v>45536</v>
      </c>
      <c r="D216" t="s">
        <v>27</v>
      </c>
      <c r="E216" t="s">
        <v>35</v>
      </c>
      <c r="H216">
        <v>1166.6666666666699</v>
      </c>
    </row>
    <row r="217" spans="1:8" ht="15" customHeight="1" x14ac:dyDescent="0.2">
      <c r="A217">
        <v>2024</v>
      </c>
      <c r="B217">
        <v>10</v>
      </c>
      <c r="C217" s="420">
        <v>45566</v>
      </c>
      <c r="D217" t="s">
        <v>27</v>
      </c>
      <c r="E217" t="s">
        <v>35</v>
      </c>
      <c r="H217">
        <v>1166.6666666666699</v>
      </c>
    </row>
    <row r="218" spans="1:8" ht="15" customHeight="1" x14ac:dyDescent="0.2">
      <c r="A218">
        <v>2024</v>
      </c>
      <c r="B218">
        <v>11</v>
      </c>
      <c r="C218" s="420">
        <v>45597</v>
      </c>
      <c r="D218" t="s">
        <v>27</v>
      </c>
      <c r="E218" t="s">
        <v>35</v>
      </c>
      <c r="H218">
        <v>1166.6666666666699</v>
      </c>
    </row>
    <row r="219" spans="1:8" ht="15" customHeight="1" x14ac:dyDescent="0.2">
      <c r="A219">
        <v>2024</v>
      </c>
      <c r="B219">
        <v>12</v>
      </c>
      <c r="C219" s="420">
        <v>45627</v>
      </c>
      <c r="D219" t="s">
        <v>27</v>
      </c>
      <c r="E219" t="s">
        <v>35</v>
      </c>
      <c r="H219">
        <v>1166.6666666666699</v>
      </c>
    </row>
    <row r="220" spans="1:8" ht="15" customHeight="1" x14ac:dyDescent="0.2">
      <c r="A220">
        <v>2024</v>
      </c>
      <c r="B220">
        <v>1</v>
      </c>
      <c r="C220" s="420">
        <v>45292</v>
      </c>
      <c r="D220" t="s">
        <v>27</v>
      </c>
      <c r="E220" t="s">
        <v>37</v>
      </c>
      <c r="H220">
        <v>4166.6666666666697</v>
      </c>
    </row>
    <row r="221" spans="1:8" ht="15" customHeight="1" x14ac:dyDescent="0.2">
      <c r="A221">
        <v>2024</v>
      </c>
      <c r="B221">
        <v>2</v>
      </c>
      <c r="C221" s="420">
        <v>45323</v>
      </c>
      <c r="D221" t="s">
        <v>27</v>
      </c>
      <c r="E221" t="s">
        <v>37</v>
      </c>
      <c r="H221">
        <v>4166.6666666666697</v>
      </c>
    </row>
    <row r="222" spans="1:8" ht="15" customHeight="1" x14ac:dyDescent="0.2">
      <c r="A222">
        <v>2024</v>
      </c>
      <c r="B222">
        <v>3</v>
      </c>
      <c r="C222" s="420">
        <v>45352</v>
      </c>
      <c r="D222" t="s">
        <v>27</v>
      </c>
      <c r="E222" t="s">
        <v>37</v>
      </c>
      <c r="H222">
        <v>4166.6666666666697</v>
      </c>
    </row>
    <row r="223" spans="1:8" ht="15" customHeight="1" x14ac:dyDescent="0.2">
      <c r="A223">
        <v>2024</v>
      </c>
      <c r="B223">
        <v>4</v>
      </c>
      <c r="C223" s="420">
        <v>45383</v>
      </c>
      <c r="D223" t="s">
        <v>27</v>
      </c>
      <c r="E223" t="s">
        <v>37</v>
      </c>
      <c r="H223">
        <v>4166.6666666666697</v>
      </c>
    </row>
    <row r="224" spans="1:8" ht="15" customHeight="1" x14ac:dyDescent="0.2">
      <c r="A224">
        <v>2024</v>
      </c>
      <c r="B224">
        <v>5</v>
      </c>
      <c r="C224" s="420">
        <v>45413</v>
      </c>
      <c r="D224" t="s">
        <v>27</v>
      </c>
      <c r="E224" t="s">
        <v>37</v>
      </c>
      <c r="H224">
        <v>4166.6666666666697</v>
      </c>
    </row>
    <row r="225" spans="1:8" ht="15" customHeight="1" x14ac:dyDescent="0.2">
      <c r="A225">
        <v>2024</v>
      </c>
      <c r="B225">
        <v>6</v>
      </c>
      <c r="C225" s="420">
        <v>45444</v>
      </c>
      <c r="D225" t="s">
        <v>27</v>
      </c>
      <c r="E225" t="s">
        <v>37</v>
      </c>
      <c r="H225">
        <v>4166.6666666666697</v>
      </c>
    </row>
    <row r="226" spans="1:8" ht="15" customHeight="1" x14ac:dyDescent="0.2">
      <c r="A226">
        <v>2024</v>
      </c>
      <c r="B226">
        <v>7</v>
      </c>
      <c r="C226" s="420">
        <v>45474</v>
      </c>
      <c r="D226" t="s">
        <v>27</v>
      </c>
      <c r="E226" t="s">
        <v>37</v>
      </c>
      <c r="H226">
        <v>4166.6666666666697</v>
      </c>
    </row>
    <row r="227" spans="1:8" ht="15" customHeight="1" x14ac:dyDescent="0.2">
      <c r="A227">
        <v>2024</v>
      </c>
      <c r="B227">
        <v>8</v>
      </c>
      <c r="C227" s="420">
        <v>45505</v>
      </c>
      <c r="D227" t="s">
        <v>27</v>
      </c>
      <c r="E227" t="s">
        <v>37</v>
      </c>
      <c r="H227">
        <v>4166.6666666666697</v>
      </c>
    </row>
    <row r="228" spans="1:8" ht="15" customHeight="1" x14ac:dyDescent="0.2">
      <c r="A228">
        <v>2024</v>
      </c>
      <c r="B228">
        <v>9</v>
      </c>
      <c r="C228" s="420">
        <v>45536</v>
      </c>
      <c r="D228" t="s">
        <v>27</v>
      </c>
      <c r="E228" t="s">
        <v>37</v>
      </c>
      <c r="H228">
        <v>4166.6666666666697</v>
      </c>
    </row>
    <row r="229" spans="1:8" ht="15" customHeight="1" x14ac:dyDescent="0.2">
      <c r="A229">
        <v>2024</v>
      </c>
      <c r="B229">
        <v>10</v>
      </c>
      <c r="C229" s="420">
        <v>45566</v>
      </c>
      <c r="D229" t="s">
        <v>27</v>
      </c>
      <c r="E229" t="s">
        <v>37</v>
      </c>
      <c r="H229">
        <v>4166.6666666666697</v>
      </c>
    </row>
    <row r="230" spans="1:8" ht="15" customHeight="1" x14ac:dyDescent="0.2">
      <c r="A230">
        <v>2024</v>
      </c>
      <c r="B230">
        <v>11</v>
      </c>
      <c r="C230" s="420">
        <v>45597</v>
      </c>
      <c r="D230" t="s">
        <v>27</v>
      </c>
      <c r="E230" t="s">
        <v>37</v>
      </c>
      <c r="H230">
        <v>4166.6666666666697</v>
      </c>
    </row>
    <row r="231" spans="1:8" ht="15" customHeight="1" x14ac:dyDescent="0.2">
      <c r="A231">
        <v>2024</v>
      </c>
      <c r="B231">
        <v>12</v>
      </c>
      <c r="C231" s="420">
        <v>45627</v>
      </c>
      <c r="D231" t="s">
        <v>27</v>
      </c>
      <c r="E231" t="s">
        <v>37</v>
      </c>
      <c r="H231">
        <v>4166.6666666666697</v>
      </c>
    </row>
    <row r="232" spans="1:8" ht="15" customHeight="1" x14ac:dyDescent="0.2">
      <c r="A232">
        <v>2024</v>
      </c>
      <c r="B232">
        <v>1</v>
      </c>
      <c r="C232" s="420">
        <v>45292</v>
      </c>
      <c r="D232" t="s">
        <v>27</v>
      </c>
      <c r="E232" t="s">
        <v>38</v>
      </c>
      <c r="H232">
        <v>2500</v>
      </c>
    </row>
    <row r="233" spans="1:8" ht="15" customHeight="1" x14ac:dyDescent="0.2">
      <c r="A233">
        <v>2024</v>
      </c>
      <c r="B233">
        <v>2</v>
      </c>
      <c r="C233" s="420">
        <v>45323</v>
      </c>
      <c r="D233" t="s">
        <v>27</v>
      </c>
      <c r="E233" t="s">
        <v>38</v>
      </c>
      <c r="H233">
        <v>2500</v>
      </c>
    </row>
    <row r="234" spans="1:8" ht="15" customHeight="1" x14ac:dyDescent="0.2">
      <c r="A234">
        <v>2024</v>
      </c>
      <c r="B234">
        <v>3</v>
      </c>
      <c r="C234" s="420">
        <v>45352</v>
      </c>
      <c r="D234" t="s">
        <v>27</v>
      </c>
      <c r="E234" t="s">
        <v>38</v>
      </c>
      <c r="H234">
        <v>2500</v>
      </c>
    </row>
    <row r="235" spans="1:8" ht="15" customHeight="1" x14ac:dyDescent="0.2">
      <c r="A235">
        <v>2024</v>
      </c>
      <c r="B235">
        <v>4</v>
      </c>
      <c r="C235" s="420">
        <v>45383</v>
      </c>
      <c r="D235" t="s">
        <v>27</v>
      </c>
      <c r="E235" t="s">
        <v>38</v>
      </c>
      <c r="H235">
        <v>2500</v>
      </c>
    </row>
    <row r="236" spans="1:8" ht="15" customHeight="1" x14ac:dyDescent="0.2">
      <c r="A236">
        <v>2024</v>
      </c>
      <c r="B236">
        <v>5</v>
      </c>
      <c r="C236" s="420">
        <v>45413</v>
      </c>
      <c r="D236" t="s">
        <v>27</v>
      </c>
      <c r="E236" t="s">
        <v>38</v>
      </c>
      <c r="H236">
        <v>2500</v>
      </c>
    </row>
    <row r="237" spans="1:8" ht="15" customHeight="1" x14ac:dyDescent="0.2">
      <c r="A237">
        <v>2024</v>
      </c>
      <c r="B237">
        <v>6</v>
      </c>
      <c r="C237" s="420">
        <v>45444</v>
      </c>
      <c r="D237" t="s">
        <v>27</v>
      </c>
      <c r="E237" t="s">
        <v>38</v>
      </c>
      <c r="H237">
        <v>2500</v>
      </c>
    </row>
    <row r="238" spans="1:8" ht="15" customHeight="1" x14ac:dyDescent="0.2">
      <c r="A238">
        <v>2024</v>
      </c>
      <c r="B238">
        <v>7</v>
      </c>
      <c r="C238" s="420">
        <v>45474</v>
      </c>
      <c r="D238" t="s">
        <v>27</v>
      </c>
      <c r="E238" t="s">
        <v>38</v>
      </c>
      <c r="H238">
        <v>2500</v>
      </c>
    </row>
    <row r="239" spans="1:8" ht="15" customHeight="1" x14ac:dyDescent="0.2">
      <c r="A239">
        <v>2024</v>
      </c>
      <c r="B239">
        <v>8</v>
      </c>
      <c r="C239" s="420">
        <v>45505</v>
      </c>
      <c r="D239" t="s">
        <v>27</v>
      </c>
      <c r="E239" t="s">
        <v>38</v>
      </c>
      <c r="H239">
        <v>2500</v>
      </c>
    </row>
    <row r="240" spans="1:8" ht="15" customHeight="1" x14ac:dyDescent="0.2">
      <c r="A240">
        <v>2024</v>
      </c>
      <c r="B240">
        <v>9</v>
      </c>
      <c r="C240" s="420">
        <v>45536</v>
      </c>
      <c r="D240" t="s">
        <v>27</v>
      </c>
      <c r="E240" t="s">
        <v>38</v>
      </c>
      <c r="H240">
        <v>2500</v>
      </c>
    </row>
    <row r="241" spans="1:8" ht="15" customHeight="1" x14ac:dyDescent="0.2">
      <c r="A241">
        <v>2024</v>
      </c>
      <c r="B241">
        <v>10</v>
      </c>
      <c r="C241" s="420">
        <v>45566</v>
      </c>
      <c r="D241" t="s">
        <v>27</v>
      </c>
      <c r="E241" t="s">
        <v>38</v>
      </c>
      <c r="H241">
        <v>2500</v>
      </c>
    </row>
    <row r="242" spans="1:8" ht="15" customHeight="1" x14ac:dyDescent="0.2">
      <c r="A242">
        <v>2024</v>
      </c>
      <c r="B242">
        <v>11</v>
      </c>
      <c r="C242" s="420">
        <v>45597</v>
      </c>
      <c r="D242" t="s">
        <v>27</v>
      </c>
      <c r="E242" t="s">
        <v>38</v>
      </c>
      <c r="H242">
        <v>2500</v>
      </c>
    </row>
    <row r="243" spans="1:8" ht="15" customHeight="1" x14ac:dyDescent="0.2">
      <c r="A243">
        <v>2024</v>
      </c>
      <c r="B243">
        <v>12</v>
      </c>
      <c r="C243" s="420">
        <v>45627</v>
      </c>
      <c r="D243" t="s">
        <v>27</v>
      </c>
      <c r="E243" t="s">
        <v>38</v>
      </c>
      <c r="H243">
        <v>2500</v>
      </c>
    </row>
    <row r="244" spans="1:8" ht="15" customHeight="1" x14ac:dyDescent="0.2">
      <c r="A244">
        <v>2024</v>
      </c>
      <c r="B244">
        <v>1</v>
      </c>
      <c r="C244" s="420">
        <v>45292</v>
      </c>
      <c r="D244" t="s">
        <v>27</v>
      </c>
      <c r="E244" t="s">
        <v>40</v>
      </c>
      <c r="H244">
        <v>2583.3333333333298</v>
      </c>
    </row>
    <row r="245" spans="1:8" ht="15" customHeight="1" x14ac:dyDescent="0.2">
      <c r="A245">
        <v>2024</v>
      </c>
      <c r="B245">
        <v>2</v>
      </c>
      <c r="C245" s="420">
        <v>45323</v>
      </c>
      <c r="D245" t="s">
        <v>27</v>
      </c>
      <c r="E245" t="s">
        <v>40</v>
      </c>
      <c r="H245">
        <v>2583.3333333333298</v>
      </c>
    </row>
    <row r="246" spans="1:8" ht="15" customHeight="1" x14ac:dyDescent="0.2">
      <c r="A246">
        <v>2024</v>
      </c>
      <c r="B246">
        <v>3</v>
      </c>
      <c r="C246" s="420">
        <v>45352</v>
      </c>
      <c r="D246" t="s">
        <v>27</v>
      </c>
      <c r="E246" t="s">
        <v>40</v>
      </c>
      <c r="H246">
        <v>2583.3333333333298</v>
      </c>
    </row>
    <row r="247" spans="1:8" ht="15" customHeight="1" x14ac:dyDescent="0.2">
      <c r="A247">
        <v>2024</v>
      </c>
      <c r="B247">
        <v>4</v>
      </c>
      <c r="C247" s="420">
        <v>45383</v>
      </c>
      <c r="D247" t="s">
        <v>27</v>
      </c>
      <c r="E247" t="s">
        <v>40</v>
      </c>
      <c r="H247">
        <v>2583.3333333333298</v>
      </c>
    </row>
    <row r="248" spans="1:8" ht="15" customHeight="1" x14ac:dyDescent="0.2">
      <c r="A248">
        <v>2024</v>
      </c>
      <c r="B248">
        <v>5</v>
      </c>
      <c r="C248" s="420">
        <v>45413</v>
      </c>
      <c r="D248" t="s">
        <v>27</v>
      </c>
      <c r="E248" t="s">
        <v>40</v>
      </c>
      <c r="H248">
        <v>2583.3333333333298</v>
      </c>
    </row>
    <row r="249" spans="1:8" ht="15" customHeight="1" x14ac:dyDescent="0.2">
      <c r="A249">
        <v>2024</v>
      </c>
      <c r="B249">
        <v>6</v>
      </c>
      <c r="C249" s="420">
        <v>45444</v>
      </c>
      <c r="D249" t="s">
        <v>27</v>
      </c>
      <c r="E249" t="s">
        <v>40</v>
      </c>
      <c r="H249">
        <v>2583.3333333333298</v>
      </c>
    </row>
    <row r="250" spans="1:8" ht="15" customHeight="1" x14ac:dyDescent="0.2">
      <c r="A250">
        <v>2024</v>
      </c>
      <c r="B250">
        <v>7</v>
      </c>
      <c r="C250" s="420">
        <v>45474</v>
      </c>
      <c r="D250" t="s">
        <v>27</v>
      </c>
      <c r="E250" t="s">
        <v>40</v>
      </c>
      <c r="H250">
        <v>2583.3333333333298</v>
      </c>
    </row>
    <row r="251" spans="1:8" ht="15" customHeight="1" x14ac:dyDescent="0.2">
      <c r="A251">
        <v>2024</v>
      </c>
      <c r="B251">
        <v>8</v>
      </c>
      <c r="C251" s="420">
        <v>45505</v>
      </c>
      <c r="D251" t="s">
        <v>27</v>
      </c>
      <c r="E251" t="s">
        <v>40</v>
      </c>
      <c r="H251">
        <v>2583.3333333333298</v>
      </c>
    </row>
    <row r="252" spans="1:8" ht="15" customHeight="1" x14ac:dyDescent="0.2">
      <c r="A252">
        <v>2024</v>
      </c>
      <c r="B252">
        <v>9</v>
      </c>
      <c r="C252" s="420">
        <v>45536</v>
      </c>
      <c r="D252" t="s">
        <v>27</v>
      </c>
      <c r="E252" t="s">
        <v>40</v>
      </c>
      <c r="H252">
        <v>2583.3333333333298</v>
      </c>
    </row>
    <row r="253" spans="1:8" ht="15" customHeight="1" x14ac:dyDescent="0.2">
      <c r="A253">
        <v>2024</v>
      </c>
      <c r="B253">
        <v>10</v>
      </c>
      <c r="C253" s="420">
        <v>45566</v>
      </c>
      <c r="D253" t="s">
        <v>27</v>
      </c>
      <c r="E253" t="s">
        <v>40</v>
      </c>
      <c r="H253">
        <v>2583.3333333333298</v>
      </c>
    </row>
    <row r="254" spans="1:8" ht="15" customHeight="1" x14ac:dyDescent="0.2">
      <c r="A254">
        <v>2024</v>
      </c>
      <c r="B254">
        <v>11</v>
      </c>
      <c r="C254" s="420">
        <v>45597</v>
      </c>
      <c r="D254" t="s">
        <v>27</v>
      </c>
      <c r="E254" t="s">
        <v>40</v>
      </c>
      <c r="H254">
        <v>2583.3333333333298</v>
      </c>
    </row>
    <row r="255" spans="1:8" ht="15" customHeight="1" x14ac:dyDescent="0.2">
      <c r="A255">
        <v>2024</v>
      </c>
      <c r="B255">
        <v>12</v>
      </c>
      <c r="C255" s="420">
        <v>45627</v>
      </c>
      <c r="D255" t="s">
        <v>27</v>
      </c>
      <c r="E255" t="s">
        <v>40</v>
      </c>
      <c r="H255">
        <v>2583.3333333333298</v>
      </c>
    </row>
    <row r="256" spans="1:8" ht="15" customHeight="1" x14ac:dyDescent="0.2">
      <c r="A256">
        <v>2024</v>
      </c>
      <c r="B256">
        <v>1</v>
      </c>
      <c r="C256" s="420">
        <v>45292</v>
      </c>
      <c r="D256" t="s">
        <v>27</v>
      </c>
      <c r="E256" t="s">
        <v>41</v>
      </c>
      <c r="H256">
        <v>166.666666666667</v>
      </c>
    </row>
    <row r="257" spans="1:8" ht="15" customHeight="1" x14ac:dyDescent="0.2">
      <c r="A257">
        <v>2024</v>
      </c>
      <c r="B257">
        <v>2</v>
      </c>
      <c r="C257" s="420">
        <v>45323</v>
      </c>
      <c r="D257" t="s">
        <v>27</v>
      </c>
      <c r="E257" t="s">
        <v>41</v>
      </c>
      <c r="H257">
        <v>166.666666666667</v>
      </c>
    </row>
    <row r="258" spans="1:8" ht="15" customHeight="1" x14ac:dyDescent="0.2">
      <c r="A258">
        <v>2024</v>
      </c>
      <c r="B258">
        <v>3</v>
      </c>
      <c r="C258" s="420">
        <v>45352</v>
      </c>
      <c r="D258" t="s">
        <v>27</v>
      </c>
      <c r="E258" t="s">
        <v>41</v>
      </c>
      <c r="H258">
        <v>166.666666666667</v>
      </c>
    </row>
    <row r="259" spans="1:8" ht="15" customHeight="1" x14ac:dyDescent="0.2">
      <c r="A259">
        <v>2024</v>
      </c>
      <c r="B259">
        <v>4</v>
      </c>
      <c r="C259" s="420">
        <v>45383</v>
      </c>
      <c r="D259" t="s">
        <v>27</v>
      </c>
      <c r="E259" t="s">
        <v>41</v>
      </c>
      <c r="H259">
        <v>166.666666666667</v>
      </c>
    </row>
    <row r="260" spans="1:8" ht="15" customHeight="1" x14ac:dyDescent="0.2">
      <c r="A260">
        <v>2024</v>
      </c>
      <c r="B260">
        <v>5</v>
      </c>
      <c r="C260" s="420">
        <v>45413</v>
      </c>
      <c r="D260" t="s">
        <v>27</v>
      </c>
      <c r="E260" t="s">
        <v>41</v>
      </c>
      <c r="H260">
        <v>166.666666666667</v>
      </c>
    </row>
    <row r="261" spans="1:8" ht="15" customHeight="1" x14ac:dyDescent="0.2">
      <c r="A261">
        <v>2024</v>
      </c>
      <c r="B261">
        <v>6</v>
      </c>
      <c r="C261" s="420">
        <v>45444</v>
      </c>
      <c r="D261" t="s">
        <v>27</v>
      </c>
      <c r="E261" t="s">
        <v>41</v>
      </c>
      <c r="H261">
        <v>166.666666666667</v>
      </c>
    </row>
    <row r="262" spans="1:8" ht="15" customHeight="1" x14ac:dyDescent="0.2">
      <c r="A262">
        <v>2024</v>
      </c>
      <c r="B262">
        <v>7</v>
      </c>
      <c r="C262" s="420">
        <v>45474</v>
      </c>
      <c r="D262" t="s">
        <v>27</v>
      </c>
      <c r="E262" t="s">
        <v>41</v>
      </c>
      <c r="H262">
        <v>166.666666666667</v>
      </c>
    </row>
    <row r="263" spans="1:8" ht="15" customHeight="1" x14ac:dyDescent="0.2">
      <c r="A263">
        <v>2024</v>
      </c>
      <c r="B263">
        <v>8</v>
      </c>
      <c r="C263" s="420">
        <v>45505</v>
      </c>
      <c r="D263" t="s">
        <v>27</v>
      </c>
      <c r="E263" t="s">
        <v>41</v>
      </c>
      <c r="H263">
        <v>166.666666666667</v>
      </c>
    </row>
    <row r="264" spans="1:8" ht="15" customHeight="1" x14ac:dyDescent="0.2">
      <c r="A264">
        <v>2024</v>
      </c>
      <c r="B264">
        <v>9</v>
      </c>
      <c r="C264" s="420">
        <v>45536</v>
      </c>
      <c r="D264" t="s">
        <v>27</v>
      </c>
      <c r="E264" t="s">
        <v>41</v>
      </c>
      <c r="H264">
        <v>166.666666666667</v>
      </c>
    </row>
    <row r="265" spans="1:8" ht="15" customHeight="1" x14ac:dyDescent="0.2">
      <c r="A265">
        <v>2024</v>
      </c>
      <c r="B265">
        <v>10</v>
      </c>
      <c r="C265" s="420">
        <v>45566</v>
      </c>
      <c r="D265" t="s">
        <v>27</v>
      </c>
      <c r="E265" t="s">
        <v>41</v>
      </c>
      <c r="H265">
        <v>166.666666666667</v>
      </c>
    </row>
    <row r="266" spans="1:8" ht="15" customHeight="1" x14ac:dyDescent="0.2">
      <c r="A266">
        <v>2024</v>
      </c>
      <c r="B266">
        <v>11</v>
      </c>
      <c r="C266" s="420">
        <v>45597</v>
      </c>
      <c r="D266" t="s">
        <v>27</v>
      </c>
      <c r="E266" t="s">
        <v>41</v>
      </c>
      <c r="H266">
        <v>166.666666666667</v>
      </c>
    </row>
    <row r="267" spans="1:8" ht="15" customHeight="1" x14ac:dyDescent="0.2">
      <c r="A267">
        <v>2024</v>
      </c>
      <c r="B267">
        <v>12</v>
      </c>
      <c r="C267" s="420">
        <v>45627</v>
      </c>
      <c r="D267" t="s">
        <v>27</v>
      </c>
      <c r="E267" t="s">
        <v>41</v>
      </c>
      <c r="H267">
        <v>166.666666666667</v>
      </c>
    </row>
    <row r="268" spans="1:8" ht="15" customHeight="1" x14ac:dyDescent="0.2">
      <c r="A268">
        <v>2024</v>
      </c>
      <c r="B268">
        <v>1</v>
      </c>
      <c r="C268" s="420">
        <v>45292</v>
      </c>
      <c r="D268" t="s">
        <v>27</v>
      </c>
      <c r="E268" t="s">
        <v>44</v>
      </c>
      <c r="H268">
        <v>83.3333333333333</v>
      </c>
    </row>
    <row r="269" spans="1:8" ht="15" customHeight="1" x14ac:dyDescent="0.2">
      <c r="A269">
        <v>2024</v>
      </c>
      <c r="B269">
        <v>2</v>
      </c>
      <c r="C269" s="420">
        <v>45323</v>
      </c>
      <c r="D269" t="s">
        <v>27</v>
      </c>
      <c r="E269" t="s">
        <v>44</v>
      </c>
      <c r="H269">
        <v>83.3333333333333</v>
      </c>
    </row>
    <row r="270" spans="1:8" ht="15" customHeight="1" x14ac:dyDescent="0.2">
      <c r="A270">
        <v>2024</v>
      </c>
      <c r="B270">
        <v>3</v>
      </c>
      <c r="C270" s="420">
        <v>45352</v>
      </c>
      <c r="D270" t="s">
        <v>27</v>
      </c>
      <c r="E270" t="s">
        <v>44</v>
      </c>
      <c r="H270">
        <v>83.3333333333333</v>
      </c>
    </row>
    <row r="271" spans="1:8" ht="15" customHeight="1" x14ac:dyDescent="0.2">
      <c r="A271">
        <v>2024</v>
      </c>
      <c r="B271">
        <v>4</v>
      </c>
      <c r="C271" s="420">
        <v>45383</v>
      </c>
      <c r="D271" t="s">
        <v>27</v>
      </c>
      <c r="E271" t="s">
        <v>44</v>
      </c>
      <c r="H271">
        <v>83.3333333333333</v>
      </c>
    </row>
    <row r="272" spans="1:8" ht="15" customHeight="1" x14ac:dyDescent="0.2">
      <c r="A272">
        <v>2024</v>
      </c>
      <c r="B272">
        <v>5</v>
      </c>
      <c r="C272" s="420">
        <v>45413</v>
      </c>
      <c r="D272" t="s">
        <v>27</v>
      </c>
      <c r="E272" t="s">
        <v>44</v>
      </c>
      <c r="H272">
        <v>83.3333333333333</v>
      </c>
    </row>
    <row r="273" spans="1:8" ht="15" customHeight="1" x14ac:dyDescent="0.2">
      <c r="A273">
        <v>2024</v>
      </c>
      <c r="B273">
        <v>6</v>
      </c>
      <c r="C273" s="420">
        <v>45444</v>
      </c>
      <c r="D273" t="s">
        <v>27</v>
      </c>
      <c r="E273" t="s">
        <v>44</v>
      </c>
      <c r="H273">
        <v>83.3333333333333</v>
      </c>
    </row>
    <row r="274" spans="1:8" ht="15" customHeight="1" x14ac:dyDescent="0.2">
      <c r="A274">
        <v>2024</v>
      </c>
      <c r="B274">
        <v>7</v>
      </c>
      <c r="C274" s="420">
        <v>45474</v>
      </c>
      <c r="D274" t="s">
        <v>27</v>
      </c>
      <c r="E274" t="s">
        <v>44</v>
      </c>
      <c r="H274">
        <v>83.3333333333333</v>
      </c>
    </row>
    <row r="275" spans="1:8" ht="15" customHeight="1" x14ac:dyDescent="0.2">
      <c r="A275">
        <v>2024</v>
      </c>
      <c r="B275">
        <v>8</v>
      </c>
      <c r="C275" s="420">
        <v>45505</v>
      </c>
      <c r="D275" t="s">
        <v>27</v>
      </c>
      <c r="E275" t="s">
        <v>44</v>
      </c>
      <c r="H275">
        <v>83.3333333333333</v>
      </c>
    </row>
    <row r="276" spans="1:8" ht="15" customHeight="1" x14ac:dyDescent="0.2">
      <c r="A276">
        <v>2024</v>
      </c>
      <c r="B276">
        <v>9</v>
      </c>
      <c r="C276" s="420">
        <v>45536</v>
      </c>
      <c r="D276" t="s">
        <v>27</v>
      </c>
      <c r="E276" t="s">
        <v>44</v>
      </c>
      <c r="H276">
        <v>83.3333333333333</v>
      </c>
    </row>
    <row r="277" spans="1:8" ht="15" customHeight="1" x14ac:dyDescent="0.2">
      <c r="A277">
        <v>2024</v>
      </c>
      <c r="B277">
        <v>10</v>
      </c>
      <c r="C277" s="420">
        <v>45566</v>
      </c>
      <c r="D277" t="s">
        <v>27</v>
      </c>
      <c r="E277" t="s">
        <v>44</v>
      </c>
      <c r="H277">
        <v>83.3333333333333</v>
      </c>
    </row>
    <row r="278" spans="1:8" ht="15" customHeight="1" x14ac:dyDescent="0.2">
      <c r="A278">
        <v>2024</v>
      </c>
      <c r="B278">
        <v>11</v>
      </c>
      <c r="C278" s="420">
        <v>45597</v>
      </c>
      <c r="D278" t="s">
        <v>27</v>
      </c>
      <c r="E278" t="s">
        <v>44</v>
      </c>
      <c r="H278">
        <v>83.3333333333333</v>
      </c>
    </row>
    <row r="279" spans="1:8" ht="15" customHeight="1" x14ac:dyDescent="0.2">
      <c r="A279">
        <v>2024</v>
      </c>
      <c r="B279">
        <v>12</v>
      </c>
      <c r="C279" s="420">
        <v>45627</v>
      </c>
      <c r="D279" t="s">
        <v>27</v>
      </c>
      <c r="E279" t="s">
        <v>44</v>
      </c>
      <c r="H279">
        <v>83.3333333333333</v>
      </c>
    </row>
    <row r="280" spans="1:8" ht="15" customHeight="1" x14ac:dyDescent="0.2">
      <c r="A280">
        <v>2024</v>
      </c>
      <c r="B280">
        <v>1</v>
      </c>
      <c r="C280" s="420">
        <v>45292</v>
      </c>
      <c r="D280" t="s">
        <v>27</v>
      </c>
      <c r="E280" t="s">
        <v>47</v>
      </c>
      <c r="H280">
        <v>750</v>
      </c>
    </row>
    <row r="281" spans="1:8" ht="15" customHeight="1" x14ac:dyDescent="0.2">
      <c r="A281">
        <v>2024</v>
      </c>
      <c r="B281">
        <v>2</v>
      </c>
      <c r="C281" s="420">
        <v>45323</v>
      </c>
      <c r="D281" t="s">
        <v>27</v>
      </c>
      <c r="E281" t="s">
        <v>47</v>
      </c>
      <c r="H281">
        <v>750</v>
      </c>
    </row>
    <row r="282" spans="1:8" ht="15" customHeight="1" x14ac:dyDescent="0.2">
      <c r="A282">
        <v>2024</v>
      </c>
      <c r="B282">
        <v>3</v>
      </c>
      <c r="C282" s="420">
        <v>45352</v>
      </c>
      <c r="D282" t="s">
        <v>27</v>
      </c>
      <c r="E282" t="s">
        <v>47</v>
      </c>
      <c r="H282">
        <v>750</v>
      </c>
    </row>
    <row r="283" spans="1:8" ht="15" customHeight="1" x14ac:dyDescent="0.2">
      <c r="A283">
        <v>2024</v>
      </c>
      <c r="B283">
        <v>4</v>
      </c>
      <c r="C283" s="420">
        <v>45383</v>
      </c>
      <c r="D283" t="s">
        <v>27</v>
      </c>
      <c r="E283" t="s">
        <v>47</v>
      </c>
      <c r="H283">
        <v>750</v>
      </c>
    </row>
    <row r="284" spans="1:8" ht="15" customHeight="1" x14ac:dyDescent="0.2">
      <c r="A284">
        <v>2024</v>
      </c>
      <c r="B284">
        <v>5</v>
      </c>
      <c r="C284" s="420">
        <v>45413</v>
      </c>
      <c r="D284" t="s">
        <v>27</v>
      </c>
      <c r="E284" t="s">
        <v>47</v>
      </c>
      <c r="H284">
        <v>750</v>
      </c>
    </row>
    <row r="285" spans="1:8" ht="15" customHeight="1" x14ac:dyDescent="0.2">
      <c r="A285">
        <v>2024</v>
      </c>
      <c r="B285">
        <v>6</v>
      </c>
      <c r="C285" s="420">
        <v>45444</v>
      </c>
      <c r="D285" t="s">
        <v>27</v>
      </c>
      <c r="E285" t="s">
        <v>47</v>
      </c>
      <c r="H285">
        <v>750</v>
      </c>
    </row>
    <row r="286" spans="1:8" ht="15" customHeight="1" x14ac:dyDescent="0.2">
      <c r="A286">
        <v>2024</v>
      </c>
      <c r="B286">
        <v>7</v>
      </c>
      <c r="C286" s="420">
        <v>45474</v>
      </c>
      <c r="D286" t="s">
        <v>27</v>
      </c>
      <c r="E286" t="s">
        <v>47</v>
      </c>
      <c r="H286">
        <v>750</v>
      </c>
    </row>
    <row r="287" spans="1:8" ht="15" customHeight="1" x14ac:dyDescent="0.2">
      <c r="A287">
        <v>2024</v>
      </c>
      <c r="B287">
        <v>8</v>
      </c>
      <c r="C287" s="420">
        <v>45505</v>
      </c>
      <c r="D287" t="s">
        <v>27</v>
      </c>
      <c r="E287" t="s">
        <v>47</v>
      </c>
      <c r="H287">
        <v>750</v>
      </c>
    </row>
    <row r="288" spans="1:8" ht="15" customHeight="1" x14ac:dyDescent="0.2">
      <c r="A288">
        <v>2024</v>
      </c>
      <c r="B288">
        <v>9</v>
      </c>
      <c r="C288" s="420">
        <v>45536</v>
      </c>
      <c r="D288" t="s">
        <v>27</v>
      </c>
      <c r="E288" t="s">
        <v>47</v>
      </c>
      <c r="H288">
        <v>750</v>
      </c>
    </row>
    <row r="289" spans="1:8" ht="15" customHeight="1" x14ac:dyDescent="0.2">
      <c r="A289">
        <v>2024</v>
      </c>
      <c r="B289">
        <v>10</v>
      </c>
      <c r="C289" s="420">
        <v>45566</v>
      </c>
      <c r="D289" t="s">
        <v>27</v>
      </c>
      <c r="E289" t="s">
        <v>47</v>
      </c>
      <c r="H289">
        <v>750</v>
      </c>
    </row>
    <row r="290" spans="1:8" ht="15" customHeight="1" x14ac:dyDescent="0.2">
      <c r="A290">
        <v>2024</v>
      </c>
      <c r="B290">
        <v>11</v>
      </c>
      <c r="C290" s="420">
        <v>45597</v>
      </c>
      <c r="D290" t="s">
        <v>27</v>
      </c>
      <c r="E290" t="s">
        <v>47</v>
      </c>
      <c r="H290">
        <v>750</v>
      </c>
    </row>
    <row r="291" spans="1:8" ht="15" customHeight="1" x14ac:dyDescent="0.2">
      <c r="A291">
        <v>2024</v>
      </c>
      <c r="B291">
        <v>12</v>
      </c>
      <c r="C291" s="420">
        <v>45627</v>
      </c>
      <c r="D291" t="s">
        <v>27</v>
      </c>
      <c r="E291" t="s">
        <v>47</v>
      </c>
      <c r="H291">
        <v>750</v>
      </c>
    </row>
    <row r="292" spans="1:8" ht="15" customHeight="1" x14ac:dyDescent="0.2">
      <c r="A292">
        <v>2025</v>
      </c>
      <c r="B292">
        <v>1</v>
      </c>
      <c r="C292" s="420">
        <v>45658</v>
      </c>
      <c r="D292" t="s">
        <v>27</v>
      </c>
      <c r="E292" t="s">
        <v>364</v>
      </c>
      <c r="H292">
        <v>666.67</v>
      </c>
    </row>
    <row r="293" spans="1:8" ht="15" customHeight="1" x14ac:dyDescent="0.2">
      <c r="A293">
        <v>2025</v>
      </c>
      <c r="B293">
        <v>2</v>
      </c>
      <c r="C293" s="420">
        <v>45689</v>
      </c>
      <c r="D293" t="s">
        <v>27</v>
      </c>
      <c r="E293" t="s">
        <v>364</v>
      </c>
      <c r="H293">
        <v>666.67</v>
      </c>
    </row>
    <row r="294" spans="1:8" ht="15" customHeight="1" x14ac:dyDescent="0.2">
      <c r="A294">
        <v>2025</v>
      </c>
      <c r="B294">
        <v>3</v>
      </c>
      <c r="C294" s="420">
        <v>45717</v>
      </c>
      <c r="D294" t="s">
        <v>27</v>
      </c>
      <c r="E294" t="s">
        <v>364</v>
      </c>
      <c r="H294">
        <v>666.67</v>
      </c>
    </row>
    <row r="295" spans="1:8" ht="15" customHeight="1" x14ac:dyDescent="0.2">
      <c r="A295">
        <v>2025</v>
      </c>
      <c r="B295">
        <v>4</v>
      </c>
      <c r="C295" s="420">
        <v>45748</v>
      </c>
      <c r="D295" t="s">
        <v>27</v>
      </c>
      <c r="E295" t="s">
        <v>364</v>
      </c>
      <c r="H295">
        <v>666.67</v>
      </c>
    </row>
    <row r="296" spans="1:8" ht="15" customHeight="1" x14ac:dyDescent="0.2">
      <c r="A296">
        <v>2025</v>
      </c>
      <c r="B296">
        <v>5</v>
      </c>
      <c r="C296" s="420">
        <v>45778</v>
      </c>
      <c r="D296" t="s">
        <v>27</v>
      </c>
      <c r="E296" t="s">
        <v>364</v>
      </c>
      <c r="H296">
        <v>666.67</v>
      </c>
    </row>
    <row r="297" spans="1:8" ht="15" customHeight="1" x14ac:dyDescent="0.2">
      <c r="A297">
        <v>2025</v>
      </c>
      <c r="B297">
        <v>6</v>
      </c>
      <c r="C297" s="420">
        <v>45809</v>
      </c>
      <c r="D297" t="s">
        <v>27</v>
      </c>
      <c r="E297" t="s">
        <v>364</v>
      </c>
      <c r="H297">
        <v>666.67</v>
      </c>
    </row>
    <row r="298" spans="1:8" ht="15" customHeight="1" x14ac:dyDescent="0.2">
      <c r="A298">
        <v>2025</v>
      </c>
      <c r="B298">
        <v>7</v>
      </c>
      <c r="C298" s="420">
        <v>45839</v>
      </c>
      <c r="D298" t="s">
        <v>27</v>
      </c>
      <c r="E298" t="s">
        <v>364</v>
      </c>
      <c r="H298">
        <v>666.67</v>
      </c>
    </row>
    <row r="299" spans="1:8" ht="15" customHeight="1" x14ac:dyDescent="0.2">
      <c r="A299">
        <v>2025</v>
      </c>
      <c r="B299">
        <v>8</v>
      </c>
      <c r="C299" s="420">
        <v>45870</v>
      </c>
      <c r="D299" t="s">
        <v>27</v>
      </c>
      <c r="E299" t="s">
        <v>364</v>
      </c>
      <c r="H299">
        <v>666.67</v>
      </c>
    </row>
    <row r="300" spans="1:8" ht="15" customHeight="1" x14ac:dyDescent="0.2">
      <c r="A300">
        <v>2025</v>
      </c>
      <c r="B300">
        <v>9</v>
      </c>
      <c r="C300" s="420">
        <v>45901</v>
      </c>
      <c r="D300" t="s">
        <v>27</v>
      </c>
      <c r="E300" t="s">
        <v>364</v>
      </c>
      <c r="H300">
        <v>666.67</v>
      </c>
    </row>
    <row r="301" spans="1:8" ht="15" customHeight="1" x14ac:dyDescent="0.2">
      <c r="A301">
        <v>2025</v>
      </c>
      <c r="B301">
        <v>10</v>
      </c>
      <c r="C301" s="420">
        <v>45931</v>
      </c>
      <c r="D301" t="s">
        <v>27</v>
      </c>
      <c r="E301" t="s">
        <v>364</v>
      </c>
      <c r="H301">
        <v>666.67</v>
      </c>
    </row>
    <row r="302" spans="1:8" ht="15" customHeight="1" x14ac:dyDescent="0.2">
      <c r="A302">
        <v>2025</v>
      </c>
      <c r="B302">
        <v>11</v>
      </c>
      <c r="C302" s="420">
        <v>45962</v>
      </c>
      <c r="D302" t="s">
        <v>27</v>
      </c>
      <c r="E302" t="s">
        <v>364</v>
      </c>
      <c r="H302">
        <v>666.67</v>
      </c>
    </row>
    <row r="303" spans="1:8" ht="15" customHeight="1" x14ac:dyDescent="0.2">
      <c r="A303">
        <v>2025</v>
      </c>
      <c r="B303">
        <v>12</v>
      </c>
      <c r="C303" s="420">
        <v>45992</v>
      </c>
      <c r="D303" t="s">
        <v>27</v>
      </c>
      <c r="E303" t="s">
        <v>364</v>
      </c>
      <c r="H303">
        <v>666.67</v>
      </c>
    </row>
    <row r="304" spans="1:8" ht="15" customHeight="1" x14ac:dyDescent="0.2">
      <c r="A304">
        <v>2025</v>
      </c>
      <c r="B304">
        <v>1</v>
      </c>
      <c r="C304" s="420">
        <v>45658</v>
      </c>
      <c r="D304" t="s">
        <v>27</v>
      </c>
      <c r="E304" t="s">
        <v>30</v>
      </c>
      <c r="H304">
        <v>333.33333333333297</v>
      </c>
    </row>
    <row r="305" spans="1:8" ht="15" customHeight="1" x14ac:dyDescent="0.2">
      <c r="A305">
        <v>2025</v>
      </c>
      <c r="B305">
        <v>2</v>
      </c>
      <c r="C305" s="420">
        <v>45689</v>
      </c>
      <c r="D305" t="s">
        <v>27</v>
      </c>
      <c r="E305" t="s">
        <v>30</v>
      </c>
      <c r="H305">
        <v>333.33333333333297</v>
      </c>
    </row>
    <row r="306" spans="1:8" ht="15" customHeight="1" x14ac:dyDescent="0.2">
      <c r="A306">
        <v>2025</v>
      </c>
      <c r="B306">
        <v>3</v>
      </c>
      <c r="C306" s="420">
        <v>45717</v>
      </c>
      <c r="D306" t="s">
        <v>27</v>
      </c>
      <c r="E306" t="s">
        <v>30</v>
      </c>
      <c r="H306">
        <v>333.33333333333297</v>
      </c>
    </row>
    <row r="307" spans="1:8" ht="15" customHeight="1" x14ac:dyDescent="0.2">
      <c r="A307">
        <v>2025</v>
      </c>
      <c r="B307">
        <v>4</v>
      </c>
      <c r="C307" s="420">
        <v>45748</v>
      </c>
      <c r="D307" t="s">
        <v>27</v>
      </c>
      <c r="E307" t="s">
        <v>30</v>
      </c>
      <c r="H307">
        <v>333.33333333333297</v>
      </c>
    </row>
    <row r="308" spans="1:8" ht="15" customHeight="1" x14ac:dyDescent="0.2">
      <c r="A308">
        <v>2025</v>
      </c>
      <c r="B308">
        <v>5</v>
      </c>
      <c r="C308" s="420">
        <v>45778</v>
      </c>
      <c r="D308" t="s">
        <v>27</v>
      </c>
      <c r="E308" t="s">
        <v>30</v>
      </c>
      <c r="H308">
        <v>333.33333333333297</v>
      </c>
    </row>
    <row r="309" spans="1:8" ht="15" customHeight="1" x14ac:dyDescent="0.2">
      <c r="A309">
        <v>2025</v>
      </c>
      <c r="B309">
        <v>6</v>
      </c>
      <c r="C309" s="420">
        <v>45809</v>
      </c>
      <c r="D309" t="s">
        <v>27</v>
      </c>
      <c r="E309" t="s">
        <v>30</v>
      </c>
      <c r="H309">
        <v>333.33333333333297</v>
      </c>
    </row>
    <row r="310" spans="1:8" ht="15" customHeight="1" x14ac:dyDescent="0.2">
      <c r="A310">
        <v>2025</v>
      </c>
      <c r="B310">
        <v>7</v>
      </c>
      <c r="C310" s="420">
        <v>45839</v>
      </c>
      <c r="D310" t="s">
        <v>27</v>
      </c>
      <c r="E310" t="s">
        <v>30</v>
      </c>
      <c r="H310">
        <v>333.33333333333297</v>
      </c>
    </row>
    <row r="311" spans="1:8" ht="15" customHeight="1" x14ac:dyDescent="0.2">
      <c r="A311">
        <v>2025</v>
      </c>
      <c r="B311">
        <v>8</v>
      </c>
      <c r="C311" s="420">
        <v>45870</v>
      </c>
      <c r="D311" t="s">
        <v>27</v>
      </c>
      <c r="E311" t="s">
        <v>30</v>
      </c>
      <c r="H311">
        <v>333.33333333333297</v>
      </c>
    </row>
    <row r="312" spans="1:8" ht="15" customHeight="1" x14ac:dyDescent="0.2">
      <c r="A312">
        <v>2025</v>
      </c>
      <c r="B312">
        <v>9</v>
      </c>
      <c r="C312" s="420">
        <v>45901</v>
      </c>
      <c r="D312" t="s">
        <v>27</v>
      </c>
      <c r="E312" t="s">
        <v>30</v>
      </c>
      <c r="H312">
        <v>333.33333333333297</v>
      </c>
    </row>
    <row r="313" spans="1:8" ht="15" customHeight="1" x14ac:dyDescent="0.2">
      <c r="A313">
        <v>2025</v>
      </c>
      <c r="B313">
        <v>10</v>
      </c>
      <c r="C313" s="420">
        <v>45931</v>
      </c>
      <c r="D313" t="s">
        <v>27</v>
      </c>
      <c r="E313" t="s">
        <v>30</v>
      </c>
      <c r="H313">
        <v>333.33333333333297</v>
      </c>
    </row>
    <row r="314" spans="1:8" ht="15" customHeight="1" x14ac:dyDescent="0.2">
      <c r="A314">
        <v>2025</v>
      </c>
      <c r="B314">
        <v>11</v>
      </c>
      <c r="C314" s="420">
        <v>45962</v>
      </c>
      <c r="D314" t="s">
        <v>27</v>
      </c>
      <c r="E314" t="s">
        <v>30</v>
      </c>
      <c r="H314">
        <v>333.33333333333297</v>
      </c>
    </row>
    <row r="315" spans="1:8" ht="15" customHeight="1" x14ac:dyDescent="0.2">
      <c r="A315">
        <v>2025</v>
      </c>
      <c r="B315">
        <v>12</v>
      </c>
      <c r="C315" s="420">
        <v>45992</v>
      </c>
      <c r="D315" t="s">
        <v>27</v>
      </c>
      <c r="E315" t="s">
        <v>30</v>
      </c>
      <c r="H315">
        <v>333.33333333333297</v>
      </c>
    </row>
    <row r="316" spans="1:8" ht="15" customHeight="1" x14ac:dyDescent="0.2">
      <c r="A316">
        <v>2025</v>
      </c>
      <c r="B316">
        <v>1</v>
      </c>
      <c r="C316" s="420">
        <v>45658</v>
      </c>
      <c r="D316" t="s">
        <v>27</v>
      </c>
      <c r="E316" t="s">
        <v>32</v>
      </c>
      <c r="H316">
        <v>1000</v>
      </c>
    </row>
    <row r="317" spans="1:8" ht="15" customHeight="1" x14ac:dyDescent="0.2">
      <c r="A317">
        <v>2025</v>
      </c>
      <c r="B317">
        <v>2</v>
      </c>
      <c r="C317" s="420">
        <v>45689</v>
      </c>
      <c r="D317" t="s">
        <v>27</v>
      </c>
      <c r="E317" t="s">
        <v>32</v>
      </c>
      <c r="H317">
        <v>1000</v>
      </c>
    </row>
    <row r="318" spans="1:8" ht="15" customHeight="1" x14ac:dyDescent="0.2">
      <c r="A318">
        <v>2025</v>
      </c>
      <c r="B318">
        <v>3</v>
      </c>
      <c r="C318" s="420">
        <v>45717</v>
      </c>
      <c r="D318" t="s">
        <v>27</v>
      </c>
      <c r="E318" t="s">
        <v>32</v>
      </c>
      <c r="H318">
        <v>1000</v>
      </c>
    </row>
    <row r="319" spans="1:8" ht="15" customHeight="1" x14ac:dyDescent="0.2">
      <c r="A319">
        <v>2025</v>
      </c>
      <c r="B319">
        <v>4</v>
      </c>
      <c r="C319" s="420">
        <v>45748</v>
      </c>
      <c r="D319" t="s">
        <v>27</v>
      </c>
      <c r="E319" t="s">
        <v>32</v>
      </c>
      <c r="H319">
        <v>1000</v>
      </c>
    </row>
    <row r="320" spans="1:8" ht="15" customHeight="1" x14ac:dyDescent="0.2">
      <c r="A320">
        <v>2025</v>
      </c>
      <c r="B320">
        <v>5</v>
      </c>
      <c r="C320" s="420">
        <v>45778</v>
      </c>
      <c r="D320" t="s">
        <v>27</v>
      </c>
      <c r="E320" t="s">
        <v>32</v>
      </c>
      <c r="H320">
        <v>1000</v>
      </c>
    </row>
    <row r="321" spans="1:8" ht="15" customHeight="1" x14ac:dyDescent="0.2">
      <c r="A321">
        <v>2025</v>
      </c>
      <c r="B321">
        <v>6</v>
      </c>
      <c r="C321" s="420">
        <v>45809</v>
      </c>
      <c r="D321" t="s">
        <v>27</v>
      </c>
      <c r="E321" t="s">
        <v>32</v>
      </c>
      <c r="H321">
        <v>1000</v>
      </c>
    </row>
    <row r="322" spans="1:8" ht="15" customHeight="1" x14ac:dyDescent="0.2">
      <c r="A322">
        <v>2025</v>
      </c>
      <c r="B322">
        <v>7</v>
      </c>
      <c r="C322" s="420">
        <v>45839</v>
      </c>
      <c r="D322" t="s">
        <v>27</v>
      </c>
      <c r="E322" t="s">
        <v>32</v>
      </c>
      <c r="H322">
        <v>1000</v>
      </c>
    </row>
    <row r="323" spans="1:8" ht="15" customHeight="1" x14ac:dyDescent="0.2">
      <c r="A323">
        <v>2025</v>
      </c>
      <c r="B323">
        <v>8</v>
      </c>
      <c r="C323" s="420">
        <v>45870</v>
      </c>
      <c r="D323" t="s">
        <v>27</v>
      </c>
      <c r="E323" t="s">
        <v>32</v>
      </c>
      <c r="H323">
        <v>1000</v>
      </c>
    </row>
    <row r="324" spans="1:8" ht="15" customHeight="1" x14ac:dyDescent="0.2">
      <c r="A324">
        <v>2025</v>
      </c>
      <c r="B324">
        <v>9</v>
      </c>
      <c r="C324" s="420">
        <v>45901</v>
      </c>
      <c r="D324" t="s">
        <v>27</v>
      </c>
      <c r="E324" t="s">
        <v>32</v>
      </c>
      <c r="H324">
        <v>1000</v>
      </c>
    </row>
    <row r="325" spans="1:8" ht="15" customHeight="1" x14ac:dyDescent="0.2">
      <c r="A325">
        <v>2025</v>
      </c>
      <c r="B325">
        <v>10</v>
      </c>
      <c r="C325" s="420">
        <v>45931</v>
      </c>
      <c r="D325" t="s">
        <v>27</v>
      </c>
      <c r="E325" t="s">
        <v>32</v>
      </c>
      <c r="H325">
        <v>1000</v>
      </c>
    </row>
    <row r="326" spans="1:8" ht="15" customHeight="1" x14ac:dyDescent="0.2">
      <c r="A326">
        <v>2025</v>
      </c>
      <c r="B326">
        <v>11</v>
      </c>
      <c r="C326" s="420">
        <v>45962</v>
      </c>
      <c r="D326" t="s">
        <v>27</v>
      </c>
      <c r="E326" t="s">
        <v>32</v>
      </c>
      <c r="H326">
        <v>1000</v>
      </c>
    </row>
    <row r="327" spans="1:8" ht="15" customHeight="1" x14ac:dyDescent="0.2">
      <c r="A327">
        <v>2025</v>
      </c>
      <c r="B327">
        <v>12</v>
      </c>
      <c r="C327" s="420">
        <v>45992</v>
      </c>
      <c r="D327" t="s">
        <v>27</v>
      </c>
      <c r="E327" t="s">
        <v>32</v>
      </c>
      <c r="H327">
        <v>1000</v>
      </c>
    </row>
    <row r="328" spans="1:8" ht="15" customHeight="1" x14ac:dyDescent="0.2">
      <c r="A328">
        <v>2025</v>
      </c>
      <c r="B328">
        <v>1</v>
      </c>
      <c r="C328" s="420">
        <v>45658</v>
      </c>
      <c r="D328" t="s">
        <v>27</v>
      </c>
      <c r="E328" t="s">
        <v>34</v>
      </c>
      <c r="H328">
        <v>1670</v>
      </c>
    </row>
    <row r="329" spans="1:8" ht="15" customHeight="1" x14ac:dyDescent="0.2">
      <c r="A329">
        <v>2025</v>
      </c>
      <c r="B329">
        <v>2</v>
      </c>
      <c r="C329" s="420">
        <v>45689</v>
      </c>
      <c r="D329" t="s">
        <v>27</v>
      </c>
      <c r="E329" t="s">
        <v>34</v>
      </c>
      <c r="H329">
        <v>1670</v>
      </c>
    </row>
    <row r="330" spans="1:8" ht="15" customHeight="1" x14ac:dyDescent="0.2">
      <c r="A330">
        <v>2025</v>
      </c>
      <c r="B330">
        <v>3</v>
      </c>
      <c r="C330" s="420">
        <v>45717</v>
      </c>
      <c r="D330" t="s">
        <v>27</v>
      </c>
      <c r="E330" t="s">
        <v>34</v>
      </c>
      <c r="H330">
        <v>1670</v>
      </c>
    </row>
    <row r="331" spans="1:8" ht="15" customHeight="1" x14ac:dyDescent="0.2">
      <c r="A331">
        <v>2025</v>
      </c>
      <c r="B331">
        <v>4</v>
      </c>
      <c r="C331" s="420">
        <v>45748</v>
      </c>
      <c r="D331" t="s">
        <v>27</v>
      </c>
      <c r="E331" t="s">
        <v>34</v>
      </c>
      <c r="H331">
        <v>1670</v>
      </c>
    </row>
    <row r="332" spans="1:8" ht="15" customHeight="1" x14ac:dyDescent="0.2">
      <c r="A332">
        <v>2025</v>
      </c>
      <c r="B332">
        <v>5</v>
      </c>
      <c r="C332" s="420">
        <v>45778</v>
      </c>
      <c r="D332" t="s">
        <v>27</v>
      </c>
      <c r="E332" t="s">
        <v>34</v>
      </c>
      <c r="H332">
        <v>1670</v>
      </c>
    </row>
    <row r="333" spans="1:8" ht="15" customHeight="1" x14ac:dyDescent="0.2">
      <c r="A333">
        <v>2025</v>
      </c>
      <c r="B333">
        <v>6</v>
      </c>
      <c r="C333" s="420">
        <v>45809</v>
      </c>
      <c r="D333" t="s">
        <v>27</v>
      </c>
      <c r="E333" t="s">
        <v>34</v>
      </c>
      <c r="H333">
        <v>1670</v>
      </c>
    </row>
    <row r="334" spans="1:8" ht="15" customHeight="1" x14ac:dyDescent="0.2">
      <c r="A334">
        <v>2025</v>
      </c>
      <c r="B334">
        <v>7</v>
      </c>
      <c r="C334" s="420">
        <v>45839</v>
      </c>
      <c r="D334" t="s">
        <v>27</v>
      </c>
      <c r="E334" t="s">
        <v>34</v>
      </c>
      <c r="H334">
        <v>1670</v>
      </c>
    </row>
    <row r="335" spans="1:8" ht="15" customHeight="1" x14ac:dyDescent="0.2">
      <c r="A335">
        <v>2025</v>
      </c>
      <c r="B335">
        <v>8</v>
      </c>
      <c r="C335" s="420">
        <v>45870</v>
      </c>
      <c r="D335" t="s">
        <v>27</v>
      </c>
      <c r="E335" t="s">
        <v>34</v>
      </c>
      <c r="H335">
        <v>1670</v>
      </c>
    </row>
    <row r="336" spans="1:8" ht="15" customHeight="1" x14ac:dyDescent="0.2">
      <c r="A336">
        <v>2025</v>
      </c>
      <c r="B336">
        <v>9</v>
      </c>
      <c r="C336" s="420">
        <v>45901</v>
      </c>
      <c r="D336" t="s">
        <v>27</v>
      </c>
      <c r="E336" t="s">
        <v>34</v>
      </c>
      <c r="H336">
        <v>1670</v>
      </c>
    </row>
    <row r="337" spans="1:8" ht="15" customHeight="1" x14ac:dyDescent="0.2">
      <c r="A337">
        <v>2025</v>
      </c>
      <c r="B337">
        <v>10</v>
      </c>
      <c r="C337" s="420">
        <v>45931</v>
      </c>
      <c r="D337" t="s">
        <v>27</v>
      </c>
      <c r="E337" t="s">
        <v>34</v>
      </c>
      <c r="H337">
        <v>1670</v>
      </c>
    </row>
    <row r="338" spans="1:8" ht="15" customHeight="1" x14ac:dyDescent="0.2">
      <c r="A338">
        <v>2025</v>
      </c>
      <c r="B338">
        <v>11</v>
      </c>
      <c r="C338" s="420">
        <v>45962</v>
      </c>
      <c r="D338" t="s">
        <v>27</v>
      </c>
      <c r="E338" t="s">
        <v>34</v>
      </c>
      <c r="H338">
        <v>1670</v>
      </c>
    </row>
    <row r="339" spans="1:8" ht="15" customHeight="1" x14ac:dyDescent="0.2">
      <c r="A339">
        <v>2025</v>
      </c>
      <c r="B339">
        <v>12</v>
      </c>
      <c r="C339" s="420">
        <v>45992</v>
      </c>
      <c r="D339" t="s">
        <v>27</v>
      </c>
      <c r="E339" t="s">
        <v>34</v>
      </c>
      <c r="H339">
        <v>1670</v>
      </c>
    </row>
    <row r="340" spans="1:8" ht="15" customHeight="1" x14ac:dyDescent="0.2">
      <c r="A340">
        <v>2025</v>
      </c>
      <c r="B340">
        <v>1</v>
      </c>
      <c r="C340" s="420">
        <v>45658</v>
      </c>
      <c r="D340" t="s">
        <v>27</v>
      </c>
      <c r="E340" t="s">
        <v>35</v>
      </c>
      <c r="H340">
        <v>1670</v>
      </c>
    </row>
    <row r="341" spans="1:8" ht="15" customHeight="1" x14ac:dyDescent="0.2">
      <c r="A341">
        <v>2025</v>
      </c>
      <c r="B341">
        <v>2</v>
      </c>
      <c r="C341" s="420">
        <v>45689</v>
      </c>
      <c r="D341" t="s">
        <v>27</v>
      </c>
      <c r="E341" t="s">
        <v>35</v>
      </c>
      <c r="H341">
        <v>1670</v>
      </c>
    </row>
    <row r="342" spans="1:8" ht="15" customHeight="1" x14ac:dyDescent="0.2">
      <c r="A342">
        <v>2025</v>
      </c>
      <c r="B342">
        <v>3</v>
      </c>
      <c r="C342" s="420">
        <v>45717</v>
      </c>
      <c r="D342" t="s">
        <v>27</v>
      </c>
      <c r="E342" t="s">
        <v>35</v>
      </c>
      <c r="H342">
        <v>1670</v>
      </c>
    </row>
    <row r="343" spans="1:8" ht="15" customHeight="1" x14ac:dyDescent="0.2">
      <c r="A343">
        <v>2025</v>
      </c>
      <c r="B343">
        <v>4</v>
      </c>
      <c r="C343" s="420">
        <v>45748</v>
      </c>
      <c r="D343" t="s">
        <v>27</v>
      </c>
      <c r="E343" t="s">
        <v>35</v>
      </c>
      <c r="H343">
        <v>1670</v>
      </c>
    </row>
    <row r="344" spans="1:8" ht="15" customHeight="1" x14ac:dyDescent="0.2">
      <c r="A344">
        <v>2025</v>
      </c>
      <c r="B344">
        <v>5</v>
      </c>
      <c r="C344" s="420">
        <v>45778</v>
      </c>
      <c r="D344" t="s">
        <v>27</v>
      </c>
      <c r="E344" t="s">
        <v>35</v>
      </c>
      <c r="H344">
        <v>1670</v>
      </c>
    </row>
    <row r="345" spans="1:8" ht="15" customHeight="1" x14ac:dyDescent="0.2">
      <c r="A345">
        <v>2025</v>
      </c>
      <c r="B345">
        <v>6</v>
      </c>
      <c r="C345" s="420">
        <v>45809</v>
      </c>
      <c r="D345" t="s">
        <v>27</v>
      </c>
      <c r="E345" t="s">
        <v>35</v>
      </c>
      <c r="H345">
        <v>1670</v>
      </c>
    </row>
    <row r="346" spans="1:8" ht="15" customHeight="1" x14ac:dyDescent="0.2">
      <c r="A346">
        <v>2025</v>
      </c>
      <c r="B346">
        <v>7</v>
      </c>
      <c r="C346" s="420">
        <v>45839</v>
      </c>
      <c r="D346" t="s">
        <v>27</v>
      </c>
      <c r="E346" t="s">
        <v>35</v>
      </c>
      <c r="H346">
        <v>1670</v>
      </c>
    </row>
    <row r="347" spans="1:8" ht="15" customHeight="1" x14ac:dyDescent="0.2">
      <c r="A347">
        <v>2025</v>
      </c>
      <c r="B347">
        <v>8</v>
      </c>
      <c r="C347" s="420">
        <v>45870</v>
      </c>
      <c r="D347" t="s">
        <v>27</v>
      </c>
      <c r="E347" t="s">
        <v>35</v>
      </c>
      <c r="H347">
        <v>1670</v>
      </c>
    </row>
    <row r="348" spans="1:8" ht="15" customHeight="1" x14ac:dyDescent="0.2">
      <c r="A348">
        <v>2025</v>
      </c>
      <c r="B348">
        <v>9</v>
      </c>
      <c r="C348" s="420">
        <v>45901</v>
      </c>
      <c r="D348" t="s">
        <v>27</v>
      </c>
      <c r="E348" t="s">
        <v>35</v>
      </c>
      <c r="H348">
        <v>1670</v>
      </c>
    </row>
    <row r="349" spans="1:8" ht="15" customHeight="1" x14ac:dyDescent="0.2">
      <c r="A349">
        <v>2025</v>
      </c>
      <c r="B349">
        <v>10</v>
      </c>
      <c r="C349" s="420">
        <v>45931</v>
      </c>
      <c r="D349" t="s">
        <v>27</v>
      </c>
      <c r="E349" t="s">
        <v>35</v>
      </c>
      <c r="H349">
        <v>1670</v>
      </c>
    </row>
    <row r="350" spans="1:8" ht="15" customHeight="1" x14ac:dyDescent="0.2">
      <c r="A350">
        <v>2025</v>
      </c>
      <c r="B350">
        <v>11</v>
      </c>
      <c r="C350" s="420">
        <v>45962</v>
      </c>
      <c r="D350" t="s">
        <v>27</v>
      </c>
      <c r="E350" t="s">
        <v>35</v>
      </c>
      <c r="H350">
        <v>1670</v>
      </c>
    </row>
    <row r="351" spans="1:8" ht="15" customHeight="1" x14ac:dyDescent="0.2">
      <c r="A351">
        <v>2025</v>
      </c>
      <c r="B351">
        <v>12</v>
      </c>
      <c r="C351" s="420">
        <v>45992</v>
      </c>
      <c r="D351" t="s">
        <v>27</v>
      </c>
      <c r="E351" t="s">
        <v>35</v>
      </c>
      <c r="H351">
        <v>1670</v>
      </c>
    </row>
    <row r="352" spans="1:8" ht="15" customHeight="1" x14ac:dyDescent="0.2">
      <c r="A352">
        <v>2025</v>
      </c>
      <c r="B352">
        <v>1</v>
      </c>
      <c r="C352" s="420">
        <v>45658</v>
      </c>
      <c r="D352" t="s">
        <v>27</v>
      </c>
      <c r="E352" t="s">
        <v>37</v>
      </c>
      <c r="H352">
        <v>6500</v>
      </c>
    </row>
    <row r="353" spans="1:8" ht="15" customHeight="1" x14ac:dyDescent="0.2">
      <c r="A353">
        <v>2025</v>
      </c>
      <c r="B353">
        <v>2</v>
      </c>
      <c r="C353" s="420">
        <v>45689</v>
      </c>
      <c r="D353" t="s">
        <v>27</v>
      </c>
      <c r="E353" t="s">
        <v>37</v>
      </c>
      <c r="H353">
        <v>6500</v>
      </c>
    </row>
    <row r="354" spans="1:8" ht="15" customHeight="1" x14ac:dyDescent="0.2">
      <c r="A354">
        <v>2025</v>
      </c>
      <c r="B354">
        <v>3</v>
      </c>
      <c r="C354" s="420">
        <v>45717</v>
      </c>
      <c r="D354" t="s">
        <v>27</v>
      </c>
      <c r="E354" t="s">
        <v>37</v>
      </c>
      <c r="H354">
        <v>6500</v>
      </c>
    </row>
    <row r="355" spans="1:8" ht="15" customHeight="1" x14ac:dyDescent="0.2">
      <c r="A355">
        <v>2025</v>
      </c>
      <c r="B355">
        <v>4</v>
      </c>
      <c r="C355" s="420">
        <v>45748</v>
      </c>
      <c r="D355" t="s">
        <v>27</v>
      </c>
      <c r="E355" t="s">
        <v>37</v>
      </c>
      <c r="H355">
        <v>6500</v>
      </c>
    </row>
    <row r="356" spans="1:8" ht="15" customHeight="1" x14ac:dyDescent="0.2">
      <c r="A356">
        <v>2025</v>
      </c>
      <c r="B356">
        <v>5</v>
      </c>
      <c r="C356" s="420">
        <v>45778</v>
      </c>
      <c r="D356" t="s">
        <v>27</v>
      </c>
      <c r="E356" t="s">
        <v>37</v>
      </c>
      <c r="H356">
        <v>6500</v>
      </c>
    </row>
    <row r="357" spans="1:8" ht="15" customHeight="1" x14ac:dyDescent="0.2">
      <c r="A357">
        <v>2025</v>
      </c>
      <c r="B357">
        <v>6</v>
      </c>
      <c r="C357" s="420">
        <v>45809</v>
      </c>
      <c r="D357" t="s">
        <v>27</v>
      </c>
      <c r="E357" t="s">
        <v>37</v>
      </c>
      <c r="H357">
        <v>6500</v>
      </c>
    </row>
    <row r="358" spans="1:8" ht="15" customHeight="1" x14ac:dyDescent="0.2">
      <c r="A358">
        <v>2025</v>
      </c>
      <c r="B358">
        <v>7</v>
      </c>
      <c r="C358" s="420">
        <v>45839</v>
      </c>
      <c r="D358" t="s">
        <v>27</v>
      </c>
      <c r="E358" t="s">
        <v>37</v>
      </c>
      <c r="H358">
        <v>6500</v>
      </c>
    </row>
    <row r="359" spans="1:8" ht="15" customHeight="1" x14ac:dyDescent="0.2">
      <c r="A359">
        <v>2025</v>
      </c>
      <c r="B359">
        <v>8</v>
      </c>
      <c r="C359" s="420">
        <v>45870</v>
      </c>
      <c r="D359" t="s">
        <v>27</v>
      </c>
      <c r="E359" t="s">
        <v>37</v>
      </c>
      <c r="H359">
        <v>6500</v>
      </c>
    </row>
    <row r="360" spans="1:8" ht="15" customHeight="1" x14ac:dyDescent="0.2">
      <c r="A360">
        <v>2025</v>
      </c>
      <c r="B360">
        <v>9</v>
      </c>
      <c r="C360" s="420">
        <v>45901</v>
      </c>
      <c r="D360" t="s">
        <v>27</v>
      </c>
      <c r="E360" t="s">
        <v>37</v>
      </c>
      <c r="H360">
        <v>6500</v>
      </c>
    </row>
    <row r="361" spans="1:8" ht="15" customHeight="1" x14ac:dyDescent="0.2">
      <c r="A361">
        <v>2025</v>
      </c>
      <c r="B361">
        <v>10</v>
      </c>
      <c r="C361" s="420">
        <v>45931</v>
      </c>
      <c r="D361" t="s">
        <v>27</v>
      </c>
      <c r="E361" t="s">
        <v>37</v>
      </c>
      <c r="H361">
        <v>6500</v>
      </c>
    </row>
    <row r="362" spans="1:8" ht="15" customHeight="1" x14ac:dyDescent="0.2">
      <c r="A362">
        <v>2025</v>
      </c>
      <c r="B362">
        <v>11</v>
      </c>
      <c r="C362" s="420">
        <v>45962</v>
      </c>
      <c r="D362" t="s">
        <v>27</v>
      </c>
      <c r="E362" t="s">
        <v>37</v>
      </c>
      <c r="H362">
        <v>6500</v>
      </c>
    </row>
    <row r="363" spans="1:8" ht="15" customHeight="1" x14ac:dyDescent="0.2">
      <c r="A363">
        <v>2025</v>
      </c>
      <c r="B363">
        <v>12</v>
      </c>
      <c r="C363" s="420">
        <v>45992</v>
      </c>
      <c r="D363" t="s">
        <v>27</v>
      </c>
      <c r="E363" t="s">
        <v>37</v>
      </c>
      <c r="H363">
        <v>6500</v>
      </c>
    </row>
    <row r="364" spans="1:8" ht="15" customHeight="1" x14ac:dyDescent="0.2">
      <c r="A364">
        <v>2025</v>
      </c>
      <c r="B364">
        <v>1</v>
      </c>
      <c r="C364" s="420">
        <v>45658</v>
      </c>
      <c r="D364" t="s">
        <v>27</v>
      </c>
      <c r="E364" t="s">
        <v>38</v>
      </c>
      <c r="H364">
        <v>2333.33</v>
      </c>
    </row>
    <row r="365" spans="1:8" ht="15" customHeight="1" x14ac:dyDescent="0.2">
      <c r="A365">
        <v>2025</v>
      </c>
      <c r="B365">
        <v>2</v>
      </c>
      <c r="C365" s="420">
        <v>45689</v>
      </c>
      <c r="D365" t="s">
        <v>27</v>
      </c>
      <c r="E365" t="s">
        <v>38</v>
      </c>
      <c r="H365">
        <v>2333.33</v>
      </c>
    </row>
    <row r="366" spans="1:8" ht="15" customHeight="1" x14ac:dyDescent="0.2">
      <c r="A366">
        <v>2025</v>
      </c>
      <c r="B366">
        <v>3</v>
      </c>
      <c r="C366" s="420">
        <v>45717</v>
      </c>
      <c r="D366" t="s">
        <v>27</v>
      </c>
      <c r="E366" t="s">
        <v>38</v>
      </c>
      <c r="H366">
        <v>2333.33</v>
      </c>
    </row>
    <row r="367" spans="1:8" ht="15" customHeight="1" x14ac:dyDescent="0.2">
      <c r="A367">
        <v>2025</v>
      </c>
      <c r="B367">
        <v>4</v>
      </c>
      <c r="C367" s="420">
        <v>45748</v>
      </c>
      <c r="D367" t="s">
        <v>27</v>
      </c>
      <c r="E367" t="s">
        <v>38</v>
      </c>
      <c r="H367">
        <v>2333.33</v>
      </c>
    </row>
    <row r="368" spans="1:8" ht="15" customHeight="1" x14ac:dyDescent="0.2">
      <c r="A368">
        <v>2025</v>
      </c>
      <c r="B368">
        <v>5</v>
      </c>
      <c r="C368" s="420">
        <v>45778</v>
      </c>
      <c r="D368" t="s">
        <v>27</v>
      </c>
      <c r="E368" t="s">
        <v>38</v>
      </c>
      <c r="H368">
        <v>2333.33</v>
      </c>
    </row>
    <row r="369" spans="1:8" ht="15" customHeight="1" x14ac:dyDescent="0.2">
      <c r="A369">
        <v>2025</v>
      </c>
      <c r="B369">
        <v>6</v>
      </c>
      <c r="C369" s="420">
        <v>45809</v>
      </c>
      <c r="D369" t="s">
        <v>27</v>
      </c>
      <c r="E369" t="s">
        <v>38</v>
      </c>
      <c r="H369">
        <v>2333.33</v>
      </c>
    </row>
    <row r="370" spans="1:8" ht="15" customHeight="1" x14ac:dyDescent="0.2">
      <c r="A370">
        <v>2025</v>
      </c>
      <c r="B370">
        <v>7</v>
      </c>
      <c r="C370" s="420">
        <v>45839</v>
      </c>
      <c r="D370" t="s">
        <v>27</v>
      </c>
      <c r="E370" t="s">
        <v>38</v>
      </c>
      <c r="H370">
        <v>2333.33</v>
      </c>
    </row>
    <row r="371" spans="1:8" ht="15" customHeight="1" x14ac:dyDescent="0.2">
      <c r="A371">
        <v>2025</v>
      </c>
      <c r="B371">
        <v>8</v>
      </c>
      <c r="C371" s="420">
        <v>45870</v>
      </c>
      <c r="D371" t="s">
        <v>27</v>
      </c>
      <c r="E371" t="s">
        <v>38</v>
      </c>
      <c r="H371">
        <v>2333.33</v>
      </c>
    </row>
    <row r="372" spans="1:8" ht="15" customHeight="1" x14ac:dyDescent="0.2">
      <c r="A372">
        <v>2025</v>
      </c>
      <c r="B372">
        <v>9</v>
      </c>
      <c r="C372" s="420">
        <v>45901</v>
      </c>
      <c r="D372" t="s">
        <v>27</v>
      </c>
      <c r="E372" t="s">
        <v>38</v>
      </c>
      <c r="H372">
        <v>2333.33</v>
      </c>
    </row>
    <row r="373" spans="1:8" ht="15" customHeight="1" x14ac:dyDescent="0.2">
      <c r="A373">
        <v>2025</v>
      </c>
      <c r="B373">
        <v>10</v>
      </c>
      <c r="C373" s="420">
        <v>45931</v>
      </c>
      <c r="D373" t="s">
        <v>27</v>
      </c>
      <c r="E373" t="s">
        <v>38</v>
      </c>
      <c r="H373">
        <v>2333.33</v>
      </c>
    </row>
    <row r="374" spans="1:8" ht="15" customHeight="1" x14ac:dyDescent="0.2">
      <c r="A374">
        <v>2025</v>
      </c>
      <c r="B374">
        <v>11</v>
      </c>
      <c r="C374" s="420">
        <v>45962</v>
      </c>
      <c r="D374" t="s">
        <v>27</v>
      </c>
      <c r="E374" t="s">
        <v>38</v>
      </c>
      <c r="H374">
        <v>2333.33</v>
      </c>
    </row>
    <row r="375" spans="1:8" ht="15" customHeight="1" x14ac:dyDescent="0.2">
      <c r="A375">
        <v>2025</v>
      </c>
      <c r="B375">
        <v>12</v>
      </c>
      <c r="C375" s="420">
        <v>45992</v>
      </c>
      <c r="D375" t="s">
        <v>27</v>
      </c>
      <c r="E375" t="s">
        <v>38</v>
      </c>
      <c r="H375">
        <v>2333.33</v>
      </c>
    </row>
    <row r="376" spans="1:8" ht="15" customHeight="1" x14ac:dyDescent="0.2">
      <c r="A376">
        <v>2025</v>
      </c>
      <c r="B376">
        <v>1</v>
      </c>
      <c r="C376" s="420">
        <v>45658</v>
      </c>
      <c r="D376" t="s">
        <v>27</v>
      </c>
      <c r="E376" t="s">
        <v>40</v>
      </c>
      <c r="H376">
        <v>4166.6666666666697</v>
      </c>
    </row>
    <row r="377" spans="1:8" ht="15" customHeight="1" x14ac:dyDescent="0.2">
      <c r="A377">
        <v>2025</v>
      </c>
      <c r="B377">
        <v>2</v>
      </c>
      <c r="C377" s="420">
        <v>45689</v>
      </c>
      <c r="D377" t="s">
        <v>27</v>
      </c>
      <c r="E377" t="s">
        <v>40</v>
      </c>
      <c r="H377">
        <v>4166.6666666666697</v>
      </c>
    </row>
    <row r="378" spans="1:8" ht="15" customHeight="1" x14ac:dyDescent="0.2">
      <c r="A378">
        <v>2025</v>
      </c>
      <c r="B378">
        <v>3</v>
      </c>
      <c r="C378" s="420">
        <v>45717</v>
      </c>
      <c r="D378" t="s">
        <v>27</v>
      </c>
      <c r="E378" t="s">
        <v>40</v>
      </c>
      <c r="H378">
        <v>4166.6666666666697</v>
      </c>
    </row>
    <row r="379" spans="1:8" ht="15" customHeight="1" x14ac:dyDescent="0.2">
      <c r="A379">
        <v>2025</v>
      </c>
      <c r="B379">
        <v>4</v>
      </c>
      <c r="C379" s="420">
        <v>45748</v>
      </c>
      <c r="D379" t="s">
        <v>27</v>
      </c>
      <c r="E379" t="s">
        <v>40</v>
      </c>
      <c r="H379">
        <v>4166.6666666666697</v>
      </c>
    </row>
    <row r="380" spans="1:8" ht="15" customHeight="1" x14ac:dyDescent="0.2">
      <c r="A380">
        <v>2025</v>
      </c>
      <c r="B380">
        <v>5</v>
      </c>
      <c r="C380" s="420">
        <v>45778</v>
      </c>
      <c r="D380" t="s">
        <v>27</v>
      </c>
      <c r="E380" t="s">
        <v>40</v>
      </c>
      <c r="H380">
        <v>4166.6666666666697</v>
      </c>
    </row>
    <row r="381" spans="1:8" ht="15" customHeight="1" x14ac:dyDescent="0.2">
      <c r="A381">
        <v>2025</v>
      </c>
      <c r="B381">
        <v>6</v>
      </c>
      <c r="C381" s="420">
        <v>45809</v>
      </c>
      <c r="D381" t="s">
        <v>27</v>
      </c>
      <c r="E381" t="s">
        <v>40</v>
      </c>
      <c r="H381">
        <v>4166.6666666666697</v>
      </c>
    </row>
    <row r="382" spans="1:8" ht="15" customHeight="1" x14ac:dyDescent="0.2">
      <c r="A382">
        <v>2025</v>
      </c>
      <c r="B382">
        <v>7</v>
      </c>
      <c r="C382" s="420">
        <v>45839</v>
      </c>
      <c r="D382" t="s">
        <v>27</v>
      </c>
      <c r="E382" t="s">
        <v>40</v>
      </c>
      <c r="H382">
        <v>4166.6666666666697</v>
      </c>
    </row>
    <row r="383" spans="1:8" ht="15" customHeight="1" x14ac:dyDescent="0.2">
      <c r="A383">
        <v>2025</v>
      </c>
      <c r="B383">
        <v>8</v>
      </c>
      <c r="C383" s="420">
        <v>45870</v>
      </c>
      <c r="D383" t="s">
        <v>27</v>
      </c>
      <c r="E383" t="s">
        <v>40</v>
      </c>
      <c r="H383">
        <v>4166.6666666666697</v>
      </c>
    </row>
    <row r="384" spans="1:8" ht="15" customHeight="1" x14ac:dyDescent="0.2">
      <c r="A384">
        <v>2025</v>
      </c>
      <c r="B384">
        <v>9</v>
      </c>
      <c r="C384" s="420">
        <v>45901</v>
      </c>
      <c r="D384" t="s">
        <v>27</v>
      </c>
      <c r="E384" t="s">
        <v>40</v>
      </c>
      <c r="H384">
        <v>4166.6666666666697</v>
      </c>
    </row>
    <row r="385" spans="1:8" ht="15" customHeight="1" x14ac:dyDescent="0.2">
      <c r="A385">
        <v>2025</v>
      </c>
      <c r="B385">
        <v>10</v>
      </c>
      <c r="C385" s="420">
        <v>45931</v>
      </c>
      <c r="D385" t="s">
        <v>27</v>
      </c>
      <c r="E385" t="s">
        <v>40</v>
      </c>
      <c r="H385">
        <v>4166.6666666666697</v>
      </c>
    </row>
    <row r="386" spans="1:8" ht="15" customHeight="1" x14ac:dyDescent="0.2">
      <c r="A386">
        <v>2025</v>
      </c>
      <c r="B386">
        <v>11</v>
      </c>
      <c r="C386" s="420">
        <v>45962</v>
      </c>
      <c r="D386" t="s">
        <v>27</v>
      </c>
      <c r="E386" t="s">
        <v>40</v>
      </c>
      <c r="H386">
        <v>4166.6666666666697</v>
      </c>
    </row>
    <row r="387" spans="1:8" ht="15" customHeight="1" x14ac:dyDescent="0.2">
      <c r="A387">
        <v>2025</v>
      </c>
      <c r="B387">
        <v>12</v>
      </c>
      <c r="C387" s="420">
        <v>45992</v>
      </c>
      <c r="D387" t="s">
        <v>27</v>
      </c>
      <c r="E387" t="s">
        <v>40</v>
      </c>
      <c r="H387">
        <v>4166.6666666666697</v>
      </c>
    </row>
    <row r="388" spans="1:8" ht="15" customHeight="1" x14ac:dyDescent="0.2">
      <c r="A388">
        <v>2025</v>
      </c>
      <c r="B388">
        <v>1</v>
      </c>
      <c r="C388" s="420">
        <v>45658</v>
      </c>
      <c r="D388" t="s">
        <v>27</v>
      </c>
      <c r="E388" t="s">
        <v>41</v>
      </c>
      <c r="H388">
        <v>83.3333333333333</v>
      </c>
    </row>
    <row r="389" spans="1:8" ht="15" customHeight="1" x14ac:dyDescent="0.2">
      <c r="A389">
        <v>2025</v>
      </c>
      <c r="B389">
        <v>2</v>
      </c>
      <c r="C389" s="420">
        <v>45689</v>
      </c>
      <c r="D389" t="s">
        <v>27</v>
      </c>
      <c r="E389" t="s">
        <v>41</v>
      </c>
      <c r="H389">
        <v>83.3333333333333</v>
      </c>
    </row>
    <row r="390" spans="1:8" ht="15" customHeight="1" x14ac:dyDescent="0.2">
      <c r="A390">
        <v>2025</v>
      </c>
      <c r="B390">
        <v>3</v>
      </c>
      <c r="C390" s="420">
        <v>45717</v>
      </c>
      <c r="D390" t="s">
        <v>27</v>
      </c>
      <c r="E390" t="s">
        <v>41</v>
      </c>
      <c r="H390">
        <v>83.3333333333333</v>
      </c>
    </row>
    <row r="391" spans="1:8" ht="15" customHeight="1" x14ac:dyDescent="0.2">
      <c r="A391">
        <v>2025</v>
      </c>
      <c r="B391">
        <v>4</v>
      </c>
      <c r="C391" s="420">
        <v>45748</v>
      </c>
      <c r="D391" t="s">
        <v>27</v>
      </c>
      <c r="E391" t="s">
        <v>41</v>
      </c>
      <c r="H391">
        <v>83.3333333333333</v>
      </c>
    </row>
    <row r="392" spans="1:8" ht="15" customHeight="1" x14ac:dyDescent="0.2">
      <c r="A392">
        <v>2025</v>
      </c>
      <c r="B392">
        <v>5</v>
      </c>
      <c r="C392" s="420">
        <v>45778</v>
      </c>
      <c r="D392" t="s">
        <v>27</v>
      </c>
      <c r="E392" t="s">
        <v>41</v>
      </c>
      <c r="H392">
        <v>83.3333333333333</v>
      </c>
    </row>
    <row r="393" spans="1:8" ht="15" customHeight="1" x14ac:dyDescent="0.2">
      <c r="A393">
        <v>2025</v>
      </c>
      <c r="B393">
        <v>6</v>
      </c>
      <c r="C393" s="420">
        <v>45809</v>
      </c>
      <c r="D393" t="s">
        <v>27</v>
      </c>
      <c r="E393" t="s">
        <v>41</v>
      </c>
      <c r="H393">
        <v>83.3333333333333</v>
      </c>
    </row>
    <row r="394" spans="1:8" ht="15" customHeight="1" x14ac:dyDescent="0.2">
      <c r="A394">
        <v>2025</v>
      </c>
      <c r="B394">
        <v>7</v>
      </c>
      <c r="C394" s="420">
        <v>45839</v>
      </c>
      <c r="D394" t="s">
        <v>27</v>
      </c>
      <c r="E394" t="s">
        <v>41</v>
      </c>
      <c r="H394">
        <v>83.3333333333333</v>
      </c>
    </row>
    <row r="395" spans="1:8" ht="15" customHeight="1" x14ac:dyDescent="0.2">
      <c r="A395">
        <v>2025</v>
      </c>
      <c r="B395">
        <v>8</v>
      </c>
      <c r="C395" s="420">
        <v>45870</v>
      </c>
      <c r="D395" t="s">
        <v>27</v>
      </c>
      <c r="E395" t="s">
        <v>41</v>
      </c>
      <c r="H395">
        <v>83.3333333333333</v>
      </c>
    </row>
    <row r="396" spans="1:8" ht="15" customHeight="1" x14ac:dyDescent="0.2">
      <c r="A396">
        <v>2025</v>
      </c>
      <c r="B396">
        <v>9</v>
      </c>
      <c r="C396" s="420">
        <v>45901</v>
      </c>
      <c r="D396" t="s">
        <v>27</v>
      </c>
      <c r="E396" t="s">
        <v>41</v>
      </c>
      <c r="H396">
        <v>83.3333333333333</v>
      </c>
    </row>
    <row r="397" spans="1:8" ht="15" customHeight="1" x14ac:dyDescent="0.2">
      <c r="A397">
        <v>2025</v>
      </c>
      <c r="B397">
        <v>10</v>
      </c>
      <c r="C397" s="420">
        <v>45931</v>
      </c>
      <c r="D397" t="s">
        <v>27</v>
      </c>
      <c r="E397" t="s">
        <v>41</v>
      </c>
      <c r="H397">
        <v>83.3333333333333</v>
      </c>
    </row>
    <row r="398" spans="1:8" ht="15" customHeight="1" x14ac:dyDescent="0.2">
      <c r="A398">
        <v>2025</v>
      </c>
      <c r="B398">
        <v>11</v>
      </c>
      <c r="C398" s="420">
        <v>45962</v>
      </c>
      <c r="D398" t="s">
        <v>27</v>
      </c>
      <c r="E398" t="s">
        <v>41</v>
      </c>
      <c r="H398">
        <v>83.3333333333333</v>
      </c>
    </row>
    <row r="399" spans="1:8" ht="15" customHeight="1" x14ac:dyDescent="0.2">
      <c r="A399">
        <v>2025</v>
      </c>
      <c r="B399">
        <v>12</v>
      </c>
      <c r="C399" s="420">
        <v>45992</v>
      </c>
      <c r="D399" t="s">
        <v>27</v>
      </c>
      <c r="E399" t="s">
        <v>41</v>
      </c>
      <c r="H399">
        <v>83.3333333333333</v>
      </c>
    </row>
    <row r="400" spans="1:8" ht="15" customHeight="1" x14ac:dyDescent="0.2">
      <c r="A400">
        <v>2025</v>
      </c>
      <c r="B400">
        <v>1</v>
      </c>
      <c r="C400" s="420">
        <v>45658</v>
      </c>
      <c r="D400" t="s">
        <v>27</v>
      </c>
      <c r="E400" t="s">
        <v>44</v>
      </c>
      <c r="H400">
        <v>166.666666666667</v>
      </c>
    </row>
    <row r="401" spans="1:8" ht="15" customHeight="1" x14ac:dyDescent="0.2">
      <c r="A401">
        <v>2025</v>
      </c>
      <c r="B401">
        <v>2</v>
      </c>
      <c r="C401" s="420">
        <v>45689</v>
      </c>
      <c r="D401" t="s">
        <v>27</v>
      </c>
      <c r="E401" t="s">
        <v>44</v>
      </c>
      <c r="H401">
        <v>166.666666666667</v>
      </c>
    </row>
    <row r="402" spans="1:8" ht="15" customHeight="1" x14ac:dyDescent="0.2">
      <c r="A402">
        <v>2025</v>
      </c>
      <c r="B402">
        <v>3</v>
      </c>
      <c r="C402" s="420">
        <v>45717</v>
      </c>
      <c r="D402" t="s">
        <v>27</v>
      </c>
      <c r="E402" t="s">
        <v>44</v>
      </c>
      <c r="H402">
        <v>166.666666666667</v>
      </c>
    </row>
    <row r="403" spans="1:8" ht="15" customHeight="1" x14ac:dyDescent="0.2">
      <c r="A403">
        <v>2025</v>
      </c>
      <c r="B403">
        <v>4</v>
      </c>
      <c r="C403" s="420">
        <v>45748</v>
      </c>
      <c r="D403" t="s">
        <v>27</v>
      </c>
      <c r="E403" t="s">
        <v>44</v>
      </c>
      <c r="H403">
        <v>166.666666666667</v>
      </c>
    </row>
    <row r="404" spans="1:8" ht="15" customHeight="1" x14ac:dyDescent="0.2">
      <c r="A404">
        <v>2025</v>
      </c>
      <c r="B404">
        <v>5</v>
      </c>
      <c r="C404" s="420">
        <v>45778</v>
      </c>
      <c r="D404" t="s">
        <v>27</v>
      </c>
      <c r="E404" t="s">
        <v>44</v>
      </c>
      <c r="H404">
        <v>166.666666666667</v>
      </c>
    </row>
    <row r="405" spans="1:8" ht="15" customHeight="1" x14ac:dyDescent="0.2">
      <c r="A405">
        <v>2025</v>
      </c>
      <c r="B405">
        <v>6</v>
      </c>
      <c r="C405" s="420">
        <v>45809</v>
      </c>
      <c r="D405" t="s">
        <v>27</v>
      </c>
      <c r="E405" t="s">
        <v>44</v>
      </c>
      <c r="H405">
        <v>166.666666666667</v>
      </c>
    </row>
    <row r="406" spans="1:8" ht="15" customHeight="1" x14ac:dyDescent="0.2">
      <c r="A406">
        <v>2025</v>
      </c>
      <c r="B406">
        <v>7</v>
      </c>
      <c r="C406" s="420">
        <v>45839</v>
      </c>
      <c r="D406" t="s">
        <v>27</v>
      </c>
      <c r="E406" t="s">
        <v>44</v>
      </c>
      <c r="H406">
        <v>166.666666666667</v>
      </c>
    </row>
    <row r="407" spans="1:8" ht="15" customHeight="1" x14ac:dyDescent="0.2">
      <c r="A407">
        <v>2025</v>
      </c>
      <c r="B407">
        <v>8</v>
      </c>
      <c r="C407" s="420">
        <v>45870</v>
      </c>
      <c r="D407" t="s">
        <v>27</v>
      </c>
      <c r="E407" t="s">
        <v>44</v>
      </c>
      <c r="H407">
        <v>166.666666666667</v>
      </c>
    </row>
    <row r="408" spans="1:8" ht="15" customHeight="1" x14ac:dyDescent="0.2">
      <c r="A408">
        <v>2025</v>
      </c>
      <c r="B408">
        <v>9</v>
      </c>
      <c r="C408" s="420">
        <v>45901</v>
      </c>
      <c r="D408" t="s">
        <v>27</v>
      </c>
      <c r="E408" t="s">
        <v>44</v>
      </c>
      <c r="H408">
        <v>166.666666666667</v>
      </c>
    </row>
    <row r="409" spans="1:8" ht="15" customHeight="1" x14ac:dyDescent="0.2">
      <c r="A409">
        <v>2025</v>
      </c>
      <c r="B409">
        <v>10</v>
      </c>
      <c r="C409" s="420">
        <v>45931</v>
      </c>
      <c r="D409" t="s">
        <v>27</v>
      </c>
      <c r="E409" t="s">
        <v>44</v>
      </c>
      <c r="H409">
        <v>166.666666666667</v>
      </c>
    </row>
    <row r="410" spans="1:8" ht="15" customHeight="1" x14ac:dyDescent="0.2">
      <c r="A410">
        <v>2025</v>
      </c>
      <c r="B410">
        <v>11</v>
      </c>
      <c r="C410" s="420">
        <v>45962</v>
      </c>
      <c r="D410" t="s">
        <v>27</v>
      </c>
      <c r="E410" t="s">
        <v>44</v>
      </c>
      <c r="H410">
        <v>166.666666666667</v>
      </c>
    </row>
    <row r="411" spans="1:8" ht="15" customHeight="1" x14ac:dyDescent="0.2">
      <c r="A411">
        <v>2025</v>
      </c>
      <c r="B411">
        <v>12</v>
      </c>
      <c r="C411" s="420">
        <v>45992</v>
      </c>
      <c r="D411" t="s">
        <v>27</v>
      </c>
      <c r="E411" t="s">
        <v>44</v>
      </c>
      <c r="H411">
        <v>166.666666666667</v>
      </c>
    </row>
    <row r="412" spans="1:8" ht="15" customHeight="1" x14ac:dyDescent="0.2">
      <c r="A412">
        <v>2025</v>
      </c>
      <c r="B412">
        <v>1</v>
      </c>
      <c r="C412" s="420">
        <v>45658</v>
      </c>
      <c r="D412" t="s">
        <v>27</v>
      </c>
      <c r="E412" t="s">
        <v>47</v>
      </c>
      <c r="H412">
        <v>750</v>
      </c>
    </row>
    <row r="413" spans="1:8" ht="15" customHeight="1" x14ac:dyDescent="0.2">
      <c r="A413">
        <v>2025</v>
      </c>
      <c r="B413">
        <v>2</v>
      </c>
      <c r="C413" s="420">
        <v>45689</v>
      </c>
      <c r="D413" t="s">
        <v>27</v>
      </c>
      <c r="E413" t="s">
        <v>47</v>
      </c>
      <c r="H413">
        <v>750</v>
      </c>
    </row>
    <row r="414" spans="1:8" ht="15" customHeight="1" x14ac:dyDescent="0.2">
      <c r="A414">
        <v>2025</v>
      </c>
      <c r="B414">
        <v>3</v>
      </c>
      <c r="C414" s="420">
        <v>45717</v>
      </c>
      <c r="D414" t="s">
        <v>27</v>
      </c>
      <c r="E414" t="s">
        <v>47</v>
      </c>
      <c r="H414">
        <v>750</v>
      </c>
    </row>
    <row r="415" spans="1:8" ht="15" customHeight="1" x14ac:dyDescent="0.2">
      <c r="A415">
        <v>2025</v>
      </c>
      <c r="B415">
        <v>4</v>
      </c>
      <c r="C415" s="420">
        <v>45748</v>
      </c>
      <c r="D415" t="s">
        <v>27</v>
      </c>
      <c r="E415" t="s">
        <v>47</v>
      </c>
      <c r="H415">
        <v>750</v>
      </c>
    </row>
    <row r="416" spans="1:8" ht="15" customHeight="1" x14ac:dyDescent="0.2">
      <c r="A416">
        <v>2025</v>
      </c>
      <c r="B416">
        <v>5</v>
      </c>
      <c r="C416" s="420">
        <v>45778</v>
      </c>
      <c r="D416" t="s">
        <v>27</v>
      </c>
      <c r="E416" t="s">
        <v>47</v>
      </c>
      <c r="H416">
        <v>750</v>
      </c>
    </row>
    <row r="417" spans="1:8" ht="15" customHeight="1" x14ac:dyDescent="0.2">
      <c r="A417">
        <v>2025</v>
      </c>
      <c r="B417">
        <v>6</v>
      </c>
      <c r="C417" s="420">
        <v>45809</v>
      </c>
      <c r="D417" t="s">
        <v>27</v>
      </c>
      <c r="E417" t="s">
        <v>47</v>
      </c>
      <c r="H417">
        <v>750</v>
      </c>
    </row>
    <row r="418" spans="1:8" ht="15" customHeight="1" x14ac:dyDescent="0.2">
      <c r="A418">
        <v>2025</v>
      </c>
      <c r="B418">
        <v>7</v>
      </c>
      <c r="C418" s="420">
        <v>45839</v>
      </c>
      <c r="D418" t="s">
        <v>27</v>
      </c>
      <c r="E418" t="s">
        <v>47</v>
      </c>
      <c r="H418">
        <v>750</v>
      </c>
    </row>
    <row r="419" spans="1:8" ht="15" customHeight="1" x14ac:dyDescent="0.2">
      <c r="A419">
        <v>2025</v>
      </c>
      <c r="B419">
        <v>8</v>
      </c>
      <c r="C419" s="420">
        <v>45870</v>
      </c>
      <c r="D419" t="s">
        <v>27</v>
      </c>
      <c r="E419" t="s">
        <v>47</v>
      </c>
      <c r="H419">
        <v>750</v>
      </c>
    </row>
    <row r="420" spans="1:8" ht="15" customHeight="1" x14ac:dyDescent="0.2">
      <c r="A420">
        <v>2025</v>
      </c>
      <c r="B420">
        <v>9</v>
      </c>
      <c r="C420" s="420">
        <v>45901</v>
      </c>
      <c r="D420" t="s">
        <v>27</v>
      </c>
      <c r="E420" t="s">
        <v>47</v>
      </c>
      <c r="H420">
        <v>750</v>
      </c>
    </row>
    <row r="421" spans="1:8" ht="15" customHeight="1" x14ac:dyDescent="0.2">
      <c r="A421">
        <v>2025</v>
      </c>
      <c r="B421">
        <v>10</v>
      </c>
      <c r="C421" s="420">
        <v>45931</v>
      </c>
      <c r="D421" t="s">
        <v>27</v>
      </c>
      <c r="E421" t="s">
        <v>47</v>
      </c>
      <c r="H421">
        <v>750</v>
      </c>
    </row>
    <row r="422" spans="1:8" ht="15" customHeight="1" x14ac:dyDescent="0.2">
      <c r="A422">
        <v>2025</v>
      </c>
      <c r="B422">
        <v>11</v>
      </c>
      <c r="C422" s="420">
        <v>45962</v>
      </c>
      <c r="D422" t="s">
        <v>27</v>
      </c>
      <c r="E422" t="s">
        <v>47</v>
      </c>
      <c r="H422">
        <v>750</v>
      </c>
    </row>
    <row r="423" spans="1:8" ht="15" customHeight="1" x14ac:dyDescent="0.2">
      <c r="A423">
        <v>2025</v>
      </c>
      <c r="B423">
        <v>12</v>
      </c>
      <c r="C423" s="420">
        <v>45992</v>
      </c>
      <c r="D423" t="s">
        <v>27</v>
      </c>
      <c r="E423" t="s">
        <v>47</v>
      </c>
      <c r="H423">
        <v>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474"/>
  <sheetViews>
    <sheetView zoomScaleNormal="100" workbookViewId="0"/>
  </sheetViews>
  <sheetFormatPr baseColWidth="10" defaultColWidth="8.6640625" defaultRowHeight="15" x14ac:dyDescent="0.2"/>
  <sheetData>
    <row r="1" spans="1:4" x14ac:dyDescent="0.2">
      <c r="A1" t="s">
        <v>8917</v>
      </c>
      <c r="B1" t="s">
        <v>8890</v>
      </c>
      <c r="C1" t="s">
        <v>427</v>
      </c>
      <c r="D1" t="s">
        <v>276</v>
      </c>
    </row>
    <row r="2" spans="1:4" x14ac:dyDescent="0.2">
      <c r="A2">
        <v>1</v>
      </c>
      <c r="B2" t="s">
        <v>38</v>
      </c>
      <c r="C2" t="s">
        <v>27</v>
      </c>
      <c r="D2">
        <v>45</v>
      </c>
    </row>
    <row r="3" spans="1:4" x14ac:dyDescent="0.2">
      <c r="A3">
        <v>1</v>
      </c>
      <c r="B3" t="s">
        <v>38</v>
      </c>
      <c r="C3" t="s">
        <v>27</v>
      </c>
      <c r="D3">
        <v>85</v>
      </c>
    </row>
    <row r="4" spans="1:4" x14ac:dyDescent="0.2">
      <c r="A4">
        <v>1</v>
      </c>
      <c r="B4" t="s">
        <v>38</v>
      </c>
      <c r="C4" t="s">
        <v>27</v>
      </c>
      <c r="D4">
        <v>85</v>
      </c>
    </row>
    <row r="5" spans="1:4" x14ac:dyDescent="0.2">
      <c r="A5">
        <v>1</v>
      </c>
      <c r="B5" t="s">
        <v>38</v>
      </c>
      <c r="C5" t="s">
        <v>27</v>
      </c>
      <c r="D5">
        <v>250</v>
      </c>
    </row>
    <row r="6" spans="1:4" x14ac:dyDescent="0.2">
      <c r="A6">
        <v>1</v>
      </c>
      <c r="B6" t="s">
        <v>38</v>
      </c>
      <c r="C6" t="s">
        <v>27</v>
      </c>
      <c r="D6">
        <v>670.27</v>
      </c>
    </row>
    <row r="7" spans="1:4" x14ac:dyDescent="0.2">
      <c r="A7">
        <v>1</v>
      </c>
      <c r="B7" t="s">
        <v>38</v>
      </c>
      <c r="C7" t="s">
        <v>27</v>
      </c>
      <c r="D7">
        <v>400</v>
      </c>
    </row>
    <row r="8" spans="1:4" x14ac:dyDescent="0.2">
      <c r="A8">
        <v>1</v>
      </c>
      <c r="B8" t="s">
        <v>38</v>
      </c>
      <c r="C8" t="s">
        <v>27</v>
      </c>
      <c r="D8">
        <v>250</v>
      </c>
    </row>
    <row r="9" spans="1:4" x14ac:dyDescent="0.2">
      <c r="A9">
        <v>2</v>
      </c>
      <c r="B9" t="s">
        <v>38</v>
      </c>
      <c r="C9" t="s">
        <v>27</v>
      </c>
      <c r="D9">
        <v>45</v>
      </c>
    </row>
    <row r="10" spans="1:4" x14ac:dyDescent="0.2">
      <c r="A10">
        <v>2</v>
      </c>
      <c r="B10" t="s">
        <v>38</v>
      </c>
      <c r="C10" t="s">
        <v>27</v>
      </c>
      <c r="D10">
        <v>60</v>
      </c>
    </row>
    <row r="11" spans="1:4" x14ac:dyDescent="0.2">
      <c r="A11">
        <v>2</v>
      </c>
      <c r="B11" t="s">
        <v>38</v>
      </c>
      <c r="C11" t="s">
        <v>27</v>
      </c>
      <c r="D11">
        <v>670.27</v>
      </c>
    </row>
    <row r="12" spans="1:4" x14ac:dyDescent="0.2">
      <c r="A12">
        <v>2</v>
      </c>
      <c r="B12" t="s">
        <v>38</v>
      </c>
      <c r="C12" t="s">
        <v>27</v>
      </c>
      <c r="D12">
        <v>250</v>
      </c>
    </row>
    <row r="13" spans="1:4" x14ac:dyDescent="0.2">
      <c r="A13">
        <v>2</v>
      </c>
      <c r="B13" t="s">
        <v>38</v>
      </c>
      <c r="C13" t="s">
        <v>27</v>
      </c>
      <c r="D13">
        <v>220.13</v>
      </c>
    </row>
    <row r="14" spans="1:4" x14ac:dyDescent="0.2">
      <c r="A14">
        <v>3</v>
      </c>
      <c r="B14" t="s">
        <v>38</v>
      </c>
      <c r="C14" t="s">
        <v>27</v>
      </c>
      <c r="D14">
        <v>106</v>
      </c>
    </row>
    <row r="15" spans="1:4" x14ac:dyDescent="0.2">
      <c r="A15">
        <v>3</v>
      </c>
      <c r="B15" t="s">
        <v>38</v>
      </c>
      <c r="C15" t="s">
        <v>27</v>
      </c>
      <c r="D15">
        <v>670.27</v>
      </c>
    </row>
    <row r="16" spans="1:4" x14ac:dyDescent="0.2">
      <c r="A16">
        <v>4</v>
      </c>
      <c r="B16" t="s">
        <v>38</v>
      </c>
      <c r="C16" t="s">
        <v>27</v>
      </c>
      <c r="D16">
        <v>670.27</v>
      </c>
    </row>
    <row r="17" spans="1:4" x14ac:dyDescent="0.2">
      <c r="A17">
        <v>4</v>
      </c>
      <c r="B17" t="s">
        <v>38</v>
      </c>
      <c r="C17" t="s">
        <v>27</v>
      </c>
      <c r="D17">
        <v>220.13</v>
      </c>
    </row>
    <row r="18" spans="1:4" x14ac:dyDescent="0.2">
      <c r="A18">
        <v>4</v>
      </c>
      <c r="B18" t="s">
        <v>38</v>
      </c>
      <c r="C18" t="s">
        <v>27</v>
      </c>
      <c r="D18">
        <v>670.27</v>
      </c>
    </row>
    <row r="19" spans="1:4" x14ac:dyDescent="0.2">
      <c r="A19">
        <v>7</v>
      </c>
      <c r="B19" t="s">
        <v>38</v>
      </c>
      <c r="C19" t="s">
        <v>27</v>
      </c>
      <c r="D19">
        <v>670.27</v>
      </c>
    </row>
    <row r="20" spans="1:4" x14ac:dyDescent="0.2">
      <c r="A20">
        <v>7</v>
      </c>
      <c r="B20" t="s">
        <v>38</v>
      </c>
      <c r="C20" t="s">
        <v>27</v>
      </c>
      <c r="D20">
        <v>45</v>
      </c>
    </row>
    <row r="21" spans="1:4" x14ac:dyDescent="0.2">
      <c r="A21">
        <v>7</v>
      </c>
      <c r="B21" t="s">
        <v>38</v>
      </c>
      <c r="C21" t="s">
        <v>27</v>
      </c>
      <c r="D21">
        <v>60</v>
      </c>
    </row>
    <row r="22" spans="1:4" x14ac:dyDescent="0.2">
      <c r="A22">
        <v>7</v>
      </c>
      <c r="B22" t="s">
        <v>38</v>
      </c>
      <c r="C22" t="s">
        <v>27</v>
      </c>
      <c r="D22">
        <v>670.27</v>
      </c>
    </row>
    <row r="23" spans="1:4" x14ac:dyDescent="0.2">
      <c r="A23">
        <v>7</v>
      </c>
      <c r="B23" t="s">
        <v>38</v>
      </c>
      <c r="C23" t="s">
        <v>27</v>
      </c>
      <c r="D23">
        <v>670.27</v>
      </c>
    </row>
    <row r="24" spans="1:4" x14ac:dyDescent="0.2">
      <c r="A24">
        <v>7</v>
      </c>
      <c r="B24" t="s">
        <v>38</v>
      </c>
      <c r="C24" t="s">
        <v>27</v>
      </c>
      <c r="D24">
        <v>670.27</v>
      </c>
    </row>
    <row r="25" spans="1:4" x14ac:dyDescent="0.2">
      <c r="A25">
        <v>7</v>
      </c>
      <c r="B25" t="s">
        <v>38</v>
      </c>
      <c r="C25" t="s">
        <v>27</v>
      </c>
      <c r="D25">
        <v>670.27</v>
      </c>
    </row>
    <row r="26" spans="1:4" x14ac:dyDescent="0.2">
      <c r="A26">
        <v>7</v>
      </c>
      <c r="B26" t="s">
        <v>38</v>
      </c>
      <c r="C26" t="s">
        <v>27</v>
      </c>
      <c r="D26">
        <v>670.27</v>
      </c>
    </row>
    <row r="27" spans="1:4" x14ac:dyDescent="0.2">
      <c r="A27">
        <v>7</v>
      </c>
      <c r="B27" t="s">
        <v>38</v>
      </c>
      <c r="C27" t="s">
        <v>27</v>
      </c>
      <c r="D27">
        <v>670.27</v>
      </c>
    </row>
    <row r="28" spans="1:4" x14ac:dyDescent="0.2">
      <c r="A28">
        <v>7</v>
      </c>
      <c r="B28" t="s">
        <v>38</v>
      </c>
      <c r="C28" t="s">
        <v>27</v>
      </c>
      <c r="D28">
        <v>106</v>
      </c>
    </row>
    <row r="29" spans="1:4" x14ac:dyDescent="0.2">
      <c r="A29">
        <v>7</v>
      </c>
      <c r="B29" t="s">
        <v>38</v>
      </c>
      <c r="C29" t="s">
        <v>27</v>
      </c>
      <c r="D29">
        <v>250</v>
      </c>
    </row>
    <row r="30" spans="1:4" x14ac:dyDescent="0.2">
      <c r="A30">
        <v>7</v>
      </c>
      <c r="B30" t="s">
        <v>38</v>
      </c>
      <c r="C30" t="s">
        <v>27</v>
      </c>
      <c r="D30">
        <v>670.27</v>
      </c>
    </row>
    <row r="31" spans="1:4" x14ac:dyDescent="0.2">
      <c r="A31">
        <v>7</v>
      </c>
      <c r="B31" t="s">
        <v>38</v>
      </c>
      <c r="C31" t="s">
        <v>27</v>
      </c>
      <c r="D31">
        <v>106</v>
      </c>
    </row>
    <row r="32" spans="1:4" x14ac:dyDescent="0.2">
      <c r="A32">
        <v>7</v>
      </c>
      <c r="B32" t="s">
        <v>38</v>
      </c>
      <c r="C32" t="s">
        <v>27</v>
      </c>
      <c r="D32">
        <v>670.27</v>
      </c>
    </row>
    <row r="33" spans="1:4" x14ac:dyDescent="0.2">
      <c r="A33">
        <v>7</v>
      </c>
      <c r="B33" t="s">
        <v>38</v>
      </c>
      <c r="C33" t="s">
        <v>27</v>
      </c>
      <c r="D33">
        <v>45</v>
      </c>
    </row>
    <row r="34" spans="1:4" x14ac:dyDescent="0.2">
      <c r="A34">
        <v>7</v>
      </c>
      <c r="B34" t="s">
        <v>38</v>
      </c>
      <c r="C34" t="s">
        <v>27</v>
      </c>
      <c r="D34">
        <v>600</v>
      </c>
    </row>
    <row r="35" spans="1:4" x14ac:dyDescent="0.2">
      <c r="A35">
        <v>7</v>
      </c>
      <c r="B35" t="s">
        <v>38</v>
      </c>
      <c r="C35" t="s">
        <v>27</v>
      </c>
      <c r="D35">
        <v>670.27</v>
      </c>
    </row>
    <row r="36" spans="1:4" x14ac:dyDescent="0.2">
      <c r="A36">
        <v>7</v>
      </c>
      <c r="B36" t="s">
        <v>38</v>
      </c>
      <c r="C36" t="s">
        <v>27</v>
      </c>
      <c r="D36">
        <v>45</v>
      </c>
    </row>
    <row r="37" spans="1:4" x14ac:dyDescent="0.2">
      <c r="A37">
        <v>7</v>
      </c>
      <c r="B37" t="s">
        <v>38</v>
      </c>
      <c r="C37" t="s">
        <v>27</v>
      </c>
      <c r="D37">
        <v>670.27</v>
      </c>
    </row>
    <row r="38" spans="1:4" x14ac:dyDescent="0.2">
      <c r="A38">
        <v>7</v>
      </c>
      <c r="B38" t="s">
        <v>38</v>
      </c>
      <c r="C38" t="s">
        <v>27</v>
      </c>
      <c r="D38">
        <v>670.27</v>
      </c>
    </row>
    <row r="39" spans="1:4" x14ac:dyDescent="0.2">
      <c r="A39">
        <v>7</v>
      </c>
      <c r="B39" t="s">
        <v>38</v>
      </c>
      <c r="C39" t="s">
        <v>27</v>
      </c>
      <c r="D39">
        <v>45</v>
      </c>
    </row>
    <row r="40" spans="1:4" x14ac:dyDescent="0.2">
      <c r="A40">
        <v>7</v>
      </c>
      <c r="B40" t="s">
        <v>38</v>
      </c>
      <c r="C40" t="s">
        <v>27</v>
      </c>
      <c r="D40">
        <v>45</v>
      </c>
    </row>
    <row r="41" spans="1:4" x14ac:dyDescent="0.2">
      <c r="A41">
        <v>7</v>
      </c>
      <c r="B41" t="s">
        <v>38</v>
      </c>
      <c r="C41" t="s">
        <v>27</v>
      </c>
      <c r="D41">
        <v>106</v>
      </c>
    </row>
    <row r="42" spans="1:4" x14ac:dyDescent="0.2">
      <c r="A42">
        <v>7</v>
      </c>
      <c r="B42" t="s">
        <v>38</v>
      </c>
      <c r="C42" t="s">
        <v>27</v>
      </c>
      <c r="D42">
        <v>106</v>
      </c>
    </row>
    <row r="43" spans="1:4" x14ac:dyDescent="0.2">
      <c r="A43">
        <v>7</v>
      </c>
      <c r="B43" t="s">
        <v>38</v>
      </c>
      <c r="C43" t="s">
        <v>27</v>
      </c>
      <c r="D43">
        <v>670.27</v>
      </c>
    </row>
    <row r="44" spans="1:4" x14ac:dyDescent="0.2">
      <c r="A44">
        <v>7</v>
      </c>
      <c r="B44" t="s">
        <v>38</v>
      </c>
      <c r="C44" t="s">
        <v>27</v>
      </c>
      <c r="D44">
        <v>106</v>
      </c>
    </row>
    <row r="45" spans="1:4" x14ac:dyDescent="0.2">
      <c r="A45">
        <v>9</v>
      </c>
      <c r="B45" t="s">
        <v>38</v>
      </c>
      <c r="C45" t="s">
        <v>27</v>
      </c>
      <c r="D45">
        <v>200</v>
      </c>
    </row>
    <row r="46" spans="1:4" x14ac:dyDescent="0.2">
      <c r="A46">
        <v>9</v>
      </c>
      <c r="B46" t="s">
        <v>38</v>
      </c>
      <c r="C46" t="s">
        <v>27</v>
      </c>
      <c r="D46">
        <v>670.27</v>
      </c>
    </row>
    <row r="47" spans="1:4" x14ac:dyDescent="0.2">
      <c r="A47">
        <v>9</v>
      </c>
      <c r="B47" t="s">
        <v>38</v>
      </c>
      <c r="C47" t="s">
        <v>27</v>
      </c>
      <c r="D47">
        <v>670.27</v>
      </c>
    </row>
    <row r="48" spans="1:4" x14ac:dyDescent="0.2">
      <c r="A48">
        <v>9</v>
      </c>
      <c r="B48" t="s">
        <v>38</v>
      </c>
      <c r="C48" t="s">
        <v>27</v>
      </c>
      <c r="D48">
        <v>45</v>
      </c>
    </row>
    <row r="49" spans="1:4" x14ac:dyDescent="0.2">
      <c r="A49">
        <v>10</v>
      </c>
      <c r="B49" t="s">
        <v>38</v>
      </c>
      <c r="C49" t="s">
        <v>27</v>
      </c>
      <c r="D49">
        <v>85</v>
      </c>
    </row>
    <row r="50" spans="1:4" x14ac:dyDescent="0.2">
      <c r="A50">
        <v>10</v>
      </c>
      <c r="B50" t="s">
        <v>38</v>
      </c>
      <c r="C50" t="s">
        <v>27</v>
      </c>
      <c r="D50">
        <v>85</v>
      </c>
    </row>
    <row r="51" spans="1:4" x14ac:dyDescent="0.2">
      <c r="A51">
        <v>10</v>
      </c>
      <c r="B51" t="s">
        <v>38</v>
      </c>
      <c r="C51" t="s">
        <v>27</v>
      </c>
      <c r="D51">
        <v>85</v>
      </c>
    </row>
    <row r="52" spans="1:4" x14ac:dyDescent="0.2">
      <c r="A52">
        <v>10</v>
      </c>
      <c r="B52" t="s">
        <v>38</v>
      </c>
      <c r="C52" t="s">
        <v>27</v>
      </c>
      <c r="D52">
        <v>45</v>
      </c>
    </row>
    <row r="53" spans="1:4" x14ac:dyDescent="0.2">
      <c r="A53">
        <v>10</v>
      </c>
      <c r="B53" t="s">
        <v>38</v>
      </c>
      <c r="C53" t="s">
        <v>27</v>
      </c>
      <c r="D53">
        <v>85</v>
      </c>
    </row>
    <row r="54" spans="1:4" x14ac:dyDescent="0.2">
      <c r="A54">
        <v>10</v>
      </c>
      <c r="B54" t="s">
        <v>38</v>
      </c>
      <c r="C54" t="s">
        <v>27</v>
      </c>
      <c r="D54">
        <v>85</v>
      </c>
    </row>
    <row r="55" spans="1:4" x14ac:dyDescent="0.2">
      <c r="A55">
        <v>10</v>
      </c>
      <c r="B55" t="s">
        <v>38</v>
      </c>
      <c r="C55" t="s">
        <v>27</v>
      </c>
      <c r="D55">
        <v>106</v>
      </c>
    </row>
    <row r="56" spans="1:4" x14ac:dyDescent="0.2">
      <c r="A56">
        <v>1</v>
      </c>
      <c r="B56" t="s">
        <v>364</v>
      </c>
      <c r="C56" t="s">
        <v>27</v>
      </c>
      <c r="D56">
        <v>49.9</v>
      </c>
    </row>
    <row r="57" spans="1:4" x14ac:dyDescent="0.2">
      <c r="A57">
        <v>2</v>
      </c>
      <c r="B57" t="s">
        <v>364</v>
      </c>
      <c r="C57" t="s">
        <v>27</v>
      </c>
      <c r="D57">
        <v>68.569999999999993</v>
      </c>
    </row>
    <row r="58" spans="1:4" x14ac:dyDescent="0.2">
      <c r="A58">
        <v>3</v>
      </c>
      <c r="B58" t="s">
        <v>364</v>
      </c>
      <c r="C58" t="s">
        <v>27</v>
      </c>
      <c r="D58">
        <v>53.86</v>
      </c>
    </row>
    <row r="59" spans="1:4" x14ac:dyDescent="0.2">
      <c r="A59">
        <v>4</v>
      </c>
      <c r="B59" t="s">
        <v>364</v>
      </c>
      <c r="C59" t="s">
        <v>27</v>
      </c>
      <c r="D59">
        <v>51.41</v>
      </c>
    </row>
    <row r="60" spans="1:4" x14ac:dyDescent="0.2">
      <c r="A60">
        <v>5</v>
      </c>
      <c r="B60" t="s">
        <v>364</v>
      </c>
      <c r="C60" t="s">
        <v>27</v>
      </c>
      <c r="D60">
        <v>46.75</v>
      </c>
    </row>
    <row r="61" spans="1:4" x14ac:dyDescent="0.2">
      <c r="A61">
        <v>6</v>
      </c>
      <c r="B61" t="s">
        <v>364</v>
      </c>
      <c r="C61" t="s">
        <v>27</v>
      </c>
      <c r="D61">
        <v>47.99</v>
      </c>
    </row>
    <row r="62" spans="1:4" x14ac:dyDescent="0.2">
      <c r="A62">
        <v>7</v>
      </c>
      <c r="B62" t="s">
        <v>364</v>
      </c>
      <c r="C62" t="s">
        <v>27</v>
      </c>
      <c r="D62">
        <v>47.38</v>
      </c>
    </row>
    <row r="63" spans="1:4" x14ac:dyDescent="0.2">
      <c r="A63">
        <v>8</v>
      </c>
      <c r="B63" t="s">
        <v>364</v>
      </c>
      <c r="C63" t="s">
        <v>27</v>
      </c>
      <c r="D63">
        <v>43.42</v>
      </c>
    </row>
    <row r="64" spans="1:4" x14ac:dyDescent="0.2">
      <c r="A64">
        <v>9</v>
      </c>
      <c r="B64" t="s">
        <v>364</v>
      </c>
      <c r="C64" t="s">
        <v>27</v>
      </c>
      <c r="D64">
        <v>41.48</v>
      </c>
    </row>
    <row r="65" spans="1:4" x14ac:dyDescent="0.2">
      <c r="A65">
        <v>10</v>
      </c>
      <c r="B65" t="s">
        <v>364</v>
      </c>
      <c r="C65" t="s">
        <v>27</v>
      </c>
      <c r="D65">
        <v>48.43</v>
      </c>
    </row>
    <row r="66" spans="1:4" x14ac:dyDescent="0.2">
      <c r="A66">
        <v>11</v>
      </c>
      <c r="B66" t="s">
        <v>364</v>
      </c>
      <c r="C66" t="s">
        <v>27</v>
      </c>
      <c r="D66">
        <v>46.38</v>
      </c>
    </row>
    <row r="67" spans="1:4" x14ac:dyDescent="0.2">
      <c r="A67">
        <v>12</v>
      </c>
      <c r="B67" t="s">
        <v>364</v>
      </c>
      <c r="C67" t="s">
        <v>27</v>
      </c>
      <c r="D67">
        <v>54.21</v>
      </c>
    </row>
    <row r="68" spans="1:4" x14ac:dyDescent="0.2">
      <c r="A68">
        <v>1</v>
      </c>
      <c r="B68" t="s">
        <v>364</v>
      </c>
      <c r="C68" t="s">
        <v>27</v>
      </c>
      <c r="D68">
        <v>46.37</v>
      </c>
    </row>
    <row r="69" spans="1:4" x14ac:dyDescent="0.2">
      <c r="A69">
        <v>1</v>
      </c>
      <c r="B69" t="s">
        <v>364</v>
      </c>
      <c r="C69" t="s">
        <v>27</v>
      </c>
      <c r="D69">
        <v>16.96</v>
      </c>
    </row>
    <row r="70" spans="1:4" x14ac:dyDescent="0.2">
      <c r="A70">
        <v>2</v>
      </c>
      <c r="B70" t="s">
        <v>364</v>
      </c>
      <c r="C70" t="s">
        <v>27</v>
      </c>
      <c r="D70">
        <v>42.34</v>
      </c>
    </row>
    <row r="71" spans="1:4" x14ac:dyDescent="0.2">
      <c r="A71">
        <v>3</v>
      </c>
      <c r="B71" t="s">
        <v>364</v>
      </c>
      <c r="C71" t="s">
        <v>27</v>
      </c>
      <c r="D71">
        <v>42.34</v>
      </c>
    </row>
    <row r="72" spans="1:4" x14ac:dyDescent="0.2">
      <c r="A72">
        <v>4</v>
      </c>
      <c r="B72" t="s">
        <v>364</v>
      </c>
      <c r="C72" t="s">
        <v>27</v>
      </c>
      <c r="D72">
        <v>139.9</v>
      </c>
    </row>
    <row r="73" spans="1:4" x14ac:dyDescent="0.2">
      <c r="A73">
        <v>4</v>
      </c>
      <c r="B73" t="s">
        <v>364</v>
      </c>
      <c r="C73" t="s">
        <v>27</v>
      </c>
      <c r="D73">
        <v>132.86000000000001</v>
      </c>
    </row>
    <row r="74" spans="1:4" x14ac:dyDescent="0.2">
      <c r="A74">
        <v>5</v>
      </c>
      <c r="B74" t="s">
        <v>364</v>
      </c>
      <c r="C74" t="s">
        <v>27</v>
      </c>
      <c r="D74">
        <v>146.26</v>
      </c>
    </row>
    <row r="75" spans="1:4" x14ac:dyDescent="0.2">
      <c r="A75">
        <v>5</v>
      </c>
      <c r="B75" t="s">
        <v>364</v>
      </c>
      <c r="C75" t="s">
        <v>27</v>
      </c>
      <c r="D75">
        <v>21.32</v>
      </c>
    </row>
    <row r="76" spans="1:4" x14ac:dyDescent="0.2">
      <c r="A76">
        <v>5</v>
      </c>
      <c r="B76" t="s">
        <v>364</v>
      </c>
      <c r="C76" t="s">
        <v>27</v>
      </c>
      <c r="D76">
        <v>84.72</v>
      </c>
    </row>
    <row r="77" spans="1:4" x14ac:dyDescent="0.2">
      <c r="A77">
        <v>6</v>
      </c>
      <c r="B77" t="s">
        <v>364</v>
      </c>
      <c r="C77" t="s">
        <v>27</v>
      </c>
      <c r="D77">
        <v>127.18</v>
      </c>
    </row>
    <row r="78" spans="1:4" x14ac:dyDescent="0.2">
      <c r="A78">
        <v>6</v>
      </c>
      <c r="B78" t="s">
        <v>364</v>
      </c>
      <c r="C78" t="s">
        <v>27</v>
      </c>
      <c r="D78">
        <v>46.92</v>
      </c>
    </row>
    <row r="79" spans="1:4" x14ac:dyDescent="0.2">
      <c r="A79">
        <v>6</v>
      </c>
      <c r="B79" t="s">
        <v>364</v>
      </c>
      <c r="C79" t="s">
        <v>27</v>
      </c>
      <c r="D79">
        <v>18.010000000000002</v>
      </c>
    </row>
    <row r="80" spans="1:4" x14ac:dyDescent="0.2">
      <c r="A80">
        <v>7</v>
      </c>
      <c r="B80" t="s">
        <v>364</v>
      </c>
      <c r="C80" t="s">
        <v>27</v>
      </c>
      <c r="D80">
        <v>161.66999999999999</v>
      </c>
    </row>
    <row r="81" spans="1:4" x14ac:dyDescent="0.2">
      <c r="A81">
        <v>7</v>
      </c>
      <c r="B81" t="s">
        <v>364</v>
      </c>
      <c r="C81" t="s">
        <v>27</v>
      </c>
      <c r="D81">
        <v>544.4</v>
      </c>
    </row>
    <row r="82" spans="1:4" x14ac:dyDescent="0.2">
      <c r="A82">
        <v>7</v>
      </c>
      <c r="B82" t="s">
        <v>364</v>
      </c>
      <c r="C82" t="s">
        <v>27</v>
      </c>
      <c r="D82">
        <v>146.26</v>
      </c>
    </row>
    <row r="83" spans="1:4" x14ac:dyDescent="0.2">
      <c r="A83">
        <v>7</v>
      </c>
      <c r="B83" t="s">
        <v>364</v>
      </c>
      <c r="C83" t="s">
        <v>27</v>
      </c>
      <c r="D83">
        <v>21.03</v>
      </c>
    </row>
    <row r="84" spans="1:4" x14ac:dyDescent="0.2">
      <c r="A84">
        <v>7</v>
      </c>
      <c r="B84" t="s">
        <v>364</v>
      </c>
      <c r="C84" t="s">
        <v>27</v>
      </c>
      <c r="D84">
        <v>40.450000000000003</v>
      </c>
    </row>
    <row r="85" spans="1:4" x14ac:dyDescent="0.2">
      <c r="A85">
        <v>8</v>
      </c>
      <c r="B85" t="s">
        <v>364</v>
      </c>
      <c r="C85" t="s">
        <v>27</v>
      </c>
      <c r="D85">
        <v>139.9</v>
      </c>
    </row>
    <row r="86" spans="1:4" x14ac:dyDescent="0.2">
      <c r="A86">
        <v>8</v>
      </c>
      <c r="B86" t="s">
        <v>364</v>
      </c>
      <c r="C86" t="s">
        <v>27</v>
      </c>
      <c r="D86">
        <v>54.26</v>
      </c>
    </row>
    <row r="87" spans="1:4" x14ac:dyDescent="0.2">
      <c r="A87">
        <v>8</v>
      </c>
      <c r="B87" t="s">
        <v>364</v>
      </c>
      <c r="C87" t="s">
        <v>27</v>
      </c>
      <c r="D87">
        <v>49.12</v>
      </c>
    </row>
    <row r="88" spans="1:4" x14ac:dyDescent="0.2">
      <c r="A88">
        <v>9</v>
      </c>
      <c r="B88" t="s">
        <v>364</v>
      </c>
      <c r="C88" t="s">
        <v>27</v>
      </c>
      <c r="D88">
        <v>67.12</v>
      </c>
    </row>
    <row r="89" spans="1:4" x14ac:dyDescent="0.2">
      <c r="A89">
        <v>9</v>
      </c>
      <c r="B89" t="s">
        <v>364</v>
      </c>
      <c r="C89" t="s">
        <v>27</v>
      </c>
      <c r="D89">
        <v>53.37</v>
      </c>
    </row>
    <row r="90" spans="1:4" x14ac:dyDescent="0.2">
      <c r="A90">
        <v>9</v>
      </c>
      <c r="B90" t="s">
        <v>364</v>
      </c>
      <c r="C90" t="s">
        <v>27</v>
      </c>
      <c r="D90">
        <v>133.54</v>
      </c>
    </row>
    <row r="91" spans="1:4" x14ac:dyDescent="0.2">
      <c r="A91">
        <v>10</v>
      </c>
      <c r="B91" t="s">
        <v>364</v>
      </c>
      <c r="C91" t="s">
        <v>27</v>
      </c>
      <c r="D91">
        <v>29.67</v>
      </c>
    </row>
    <row r="92" spans="1:4" x14ac:dyDescent="0.2">
      <c r="A92">
        <v>10</v>
      </c>
      <c r="B92" t="s">
        <v>364</v>
      </c>
      <c r="C92" t="s">
        <v>27</v>
      </c>
      <c r="D92">
        <v>73.739999999999995</v>
      </c>
    </row>
    <row r="93" spans="1:4" x14ac:dyDescent="0.2">
      <c r="A93">
        <v>10</v>
      </c>
      <c r="B93" t="s">
        <v>364</v>
      </c>
      <c r="C93" t="s">
        <v>27</v>
      </c>
      <c r="D93">
        <v>146.26</v>
      </c>
    </row>
    <row r="94" spans="1:4" x14ac:dyDescent="0.2">
      <c r="A94">
        <v>11</v>
      </c>
      <c r="B94" t="s">
        <v>364</v>
      </c>
      <c r="C94" t="s">
        <v>27</v>
      </c>
      <c r="D94">
        <v>50.75</v>
      </c>
    </row>
    <row r="95" spans="1:4" x14ac:dyDescent="0.2">
      <c r="A95">
        <v>11</v>
      </c>
      <c r="B95" t="s">
        <v>364</v>
      </c>
      <c r="C95" t="s">
        <v>27</v>
      </c>
      <c r="D95">
        <v>133.54</v>
      </c>
    </row>
    <row r="96" spans="1:4" x14ac:dyDescent="0.2">
      <c r="A96">
        <v>12</v>
      </c>
      <c r="B96" t="s">
        <v>364</v>
      </c>
      <c r="C96" t="s">
        <v>27</v>
      </c>
      <c r="D96">
        <v>111.88</v>
      </c>
    </row>
    <row r="97" spans="1:4" x14ac:dyDescent="0.2">
      <c r="A97">
        <v>12</v>
      </c>
      <c r="B97" t="s">
        <v>364</v>
      </c>
      <c r="C97" t="s">
        <v>27</v>
      </c>
      <c r="D97">
        <v>139.9</v>
      </c>
    </row>
    <row r="98" spans="1:4" x14ac:dyDescent="0.2">
      <c r="A98">
        <v>6</v>
      </c>
      <c r="B98" t="s">
        <v>364</v>
      </c>
      <c r="C98" t="s">
        <v>27</v>
      </c>
      <c r="D98">
        <v>44.6</v>
      </c>
    </row>
    <row r="99" spans="1:4" x14ac:dyDescent="0.2">
      <c r="A99">
        <v>12</v>
      </c>
      <c r="B99" t="s">
        <v>364</v>
      </c>
      <c r="C99" t="s">
        <v>27</v>
      </c>
      <c r="D99">
        <v>44.98</v>
      </c>
    </row>
    <row r="100" spans="1:4" x14ac:dyDescent="0.2">
      <c r="A100">
        <v>1</v>
      </c>
      <c r="B100" t="s">
        <v>40</v>
      </c>
      <c r="C100" t="s">
        <v>27</v>
      </c>
      <c r="D100">
        <v>71.67</v>
      </c>
    </row>
    <row r="101" spans="1:4" x14ac:dyDescent="0.2">
      <c r="A101">
        <v>1</v>
      </c>
      <c r="B101" t="s">
        <v>40</v>
      </c>
      <c r="C101" t="s">
        <v>27</v>
      </c>
      <c r="D101">
        <v>305.64999999999998</v>
      </c>
    </row>
    <row r="102" spans="1:4" x14ac:dyDescent="0.2">
      <c r="A102">
        <v>1</v>
      </c>
      <c r="B102" t="s">
        <v>40</v>
      </c>
      <c r="C102" t="s">
        <v>27</v>
      </c>
      <c r="D102">
        <v>101.09</v>
      </c>
    </row>
    <row r="103" spans="1:4" x14ac:dyDescent="0.2">
      <c r="A103">
        <v>2</v>
      </c>
      <c r="B103" t="s">
        <v>40</v>
      </c>
      <c r="C103" t="s">
        <v>27</v>
      </c>
      <c r="D103">
        <v>76.260000000000005</v>
      </c>
    </row>
    <row r="104" spans="1:4" x14ac:dyDescent="0.2">
      <c r="A104">
        <v>3</v>
      </c>
      <c r="B104" t="s">
        <v>40</v>
      </c>
      <c r="C104" t="s">
        <v>27</v>
      </c>
      <c r="D104">
        <v>29.17</v>
      </c>
    </row>
    <row r="105" spans="1:4" x14ac:dyDescent="0.2">
      <c r="A105">
        <v>3</v>
      </c>
      <c r="B105" t="s">
        <v>40</v>
      </c>
      <c r="C105" t="s">
        <v>27</v>
      </c>
      <c r="D105">
        <v>70.84</v>
      </c>
    </row>
    <row r="106" spans="1:4" x14ac:dyDescent="0.2">
      <c r="A106">
        <v>3</v>
      </c>
      <c r="B106" t="s">
        <v>40</v>
      </c>
      <c r="C106" t="s">
        <v>27</v>
      </c>
      <c r="D106">
        <v>20.84</v>
      </c>
    </row>
    <row r="107" spans="1:4" x14ac:dyDescent="0.2">
      <c r="A107">
        <v>3</v>
      </c>
      <c r="B107" t="s">
        <v>40</v>
      </c>
      <c r="C107" t="s">
        <v>27</v>
      </c>
      <c r="D107">
        <v>87.3</v>
      </c>
    </row>
    <row r="108" spans="1:4" x14ac:dyDescent="0.2">
      <c r="A108">
        <v>1</v>
      </c>
      <c r="B108" t="s">
        <v>40</v>
      </c>
      <c r="C108" t="s">
        <v>27</v>
      </c>
      <c r="D108">
        <v>49.68</v>
      </c>
    </row>
    <row r="109" spans="1:4" x14ac:dyDescent="0.2">
      <c r="A109">
        <v>1</v>
      </c>
      <c r="B109" t="s">
        <v>40</v>
      </c>
      <c r="C109" t="s">
        <v>27</v>
      </c>
      <c r="D109">
        <v>54.37</v>
      </c>
    </row>
    <row r="110" spans="1:4" x14ac:dyDescent="0.2">
      <c r="A110">
        <v>2</v>
      </c>
      <c r="B110" t="s">
        <v>40</v>
      </c>
      <c r="C110" t="s">
        <v>27</v>
      </c>
      <c r="D110">
        <v>99.58</v>
      </c>
    </row>
    <row r="111" spans="1:4" x14ac:dyDescent="0.2">
      <c r="A111">
        <v>3</v>
      </c>
      <c r="B111" t="s">
        <v>40</v>
      </c>
      <c r="C111" t="s">
        <v>27</v>
      </c>
      <c r="D111">
        <v>51.26</v>
      </c>
    </row>
    <row r="112" spans="1:4" x14ac:dyDescent="0.2">
      <c r="A112">
        <v>3</v>
      </c>
      <c r="B112" t="s">
        <v>40</v>
      </c>
      <c r="C112" t="s">
        <v>27</v>
      </c>
      <c r="D112">
        <v>48.89</v>
      </c>
    </row>
    <row r="113" spans="1:4" x14ac:dyDescent="0.2">
      <c r="A113">
        <v>4</v>
      </c>
      <c r="B113" t="s">
        <v>40</v>
      </c>
      <c r="C113" t="s">
        <v>27</v>
      </c>
      <c r="D113">
        <v>41.46</v>
      </c>
    </row>
    <row r="114" spans="1:4" x14ac:dyDescent="0.2">
      <c r="A114">
        <v>5</v>
      </c>
      <c r="B114" t="s">
        <v>40</v>
      </c>
      <c r="C114" t="s">
        <v>27</v>
      </c>
      <c r="D114">
        <v>46.66</v>
      </c>
    </row>
    <row r="115" spans="1:4" x14ac:dyDescent="0.2">
      <c r="A115">
        <v>5</v>
      </c>
      <c r="B115" t="s">
        <v>40</v>
      </c>
      <c r="C115" t="s">
        <v>27</v>
      </c>
      <c r="D115">
        <v>44.94</v>
      </c>
    </row>
    <row r="116" spans="1:4" x14ac:dyDescent="0.2">
      <c r="A116">
        <v>6</v>
      </c>
      <c r="B116" t="s">
        <v>40</v>
      </c>
      <c r="C116" t="s">
        <v>27</v>
      </c>
      <c r="D116">
        <v>45.81</v>
      </c>
    </row>
    <row r="117" spans="1:4" x14ac:dyDescent="0.2">
      <c r="A117">
        <v>6</v>
      </c>
      <c r="B117" t="s">
        <v>40</v>
      </c>
      <c r="C117" t="s">
        <v>27</v>
      </c>
      <c r="D117">
        <v>48.38</v>
      </c>
    </row>
    <row r="118" spans="1:4" x14ac:dyDescent="0.2">
      <c r="A118">
        <v>7</v>
      </c>
      <c r="B118" t="s">
        <v>40</v>
      </c>
      <c r="C118" t="s">
        <v>27</v>
      </c>
      <c r="D118">
        <v>45.86</v>
      </c>
    </row>
    <row r="119" spans="1:4" x14ac:dyDescent="0.2">
      <c r="A119">
        <v>7</v>
      </c>
      <c r="B119" t="s">
        <v>40</v>
      </c>
      <c r="C119" t="s">
        <v>27</v>
      </c>
      <c r="D119">
        <v>53.53</v>
      </c>
    </row>
    <row r="120" spans="1:4" x14ac:dyDescent="0.2">
      <c r="A120">
        <v>7</v>
      </c>
      <c r="B120" t="s">
        <v>40</v>
      </c>
      <c r="C120" t="s">
        <v>27</v>
      </c>
      <c r="D120">
        <v>48.28</v>
      </c>
    </row>
    <row r="121" spans="1:4" x14ac:dyDescent="0.2">
      <c r="A121">
        <v>8</v>
      </c>
      <c r="B121" t="s">
        <v>40</v>
      </c>
      <c r="C121" t="s">
        <v>27</v>
      </c>
      <c r="D121">
        <v>101.79</v>
      </c>
    </row>
    <row r="122" spans="1:4" x14ac:dyDescent="0.2">
      <c r="A122">
        <v>8</v>
      </c>
      <c r="B122" t="s">
        <v>40</v>
      </c>
      <c r="C122" t="s">
        <v>27</v>
      </c>
      <c r="D122">
        <v>29.96</v>
      </c>
    </row>
    <row r="123" spans="1:4" x14ac:dyDescent="0.2">
      <c r="A123">
        <v>9</v>
      </c>
      <c r="B123" t="s">
        <v>40</v>
      </c>
      <c r="C123" t="s">
        <v>27</v>
      </c>
      <c r="D123">
        <v>45.54</v>
      </c>
    </row>
    <row r="124" spans="1:4" x14ac:dyDescent="0.2">
      <c r="A124">
        <v>9</v>
      </c>
      <c r="B124" t="s">
        <v>40</v>
      </c>
      <c r="C124" t="s">
        <v>27</v>
      </c>
      <c r="D124">
        <v>56.26</v>
      </c>
    </row>
    <row r="125" spans="1:4" x14ac:dyDescent="0.2">
      <c r="A125">
        <v>10</v>
      </c>
      <c r="B125" t="s">
        <v>40</v>
      </c>
      <c r="C125" t="s">
        <v>27</v>
      </c>
      <c r="D125">
        <v>84.74</v>
      </c>
    </row>
    <row r="126" spans="1:4" x14ac:dyDescent="0.2">
      <c r="A126">
        <v>10</v>
      </c>
      <c r="B126" t="s">
        <v>40</v>
      </c>
      <c r="C126" t="s">
        <v>27</v>
      </c>
      <c r="D126">
        <v>67.91</v>
      </c>
    </row>
    <row r="127" spans="1:4" x14ac:dyDescent="0.2">
      <c r="A127">
        <v>10</v>
      </c>
      <c r="B127" t="s">
        <v>40</v>
      </c>
      <c r="C127" t="s">
        <v>27</v>
      </c>
      <c r="D127">
        <v>66.900000000000006</v>
      </c>
    </row>
    <row r="128" spans="1:4" x14ac:dyDescent="0.2">
      <c r="A128">
        <v>11</v>
      </c>
      <c r="B128" t="s">
        <v>40</v>
      </c>
      <c r="C128" t="s">
        <v>27</v>
      </c>
      <c r="D128">
        <v>90.08</v>
      </c>
    </row>
    <row r="129" spans="1:4" x14ac:dyDescent="0.2">
      <c r="A129">
        <v>11</v>
      </c>
      <c r="B129" t="s">
        <v>40</v>
      </c>
      <c r="C129" t="s">
        <v>27</v>
      </c>
      <c r="D129">
        <v>99.69</v>
      </c>
    </row>
    <row r="130" spans="1:4" x14ac:dyDescent="0.2">
      <c r="A130">
        <v>12</v>
      </c>
      <c r="B130" t="s">
        <v>40</v>
      </c>
      <c r="C130" t="s">
        <v>27</v>
      </c>
      <c r="D130">
        <v>122.78</v>
      </c>
    </row>
    <row r="131" spans="1:4" x14ac:dyDescent="0.2">
      <c r="A131">
        <v>12</v>
      </c>
      <c r="B131" t="s">
        <v>40</v>
      </c>
      <c r="C131" t="s">
        <v>27</v>
      </c>
      <c r="D131">
        <v>45.21</v>
      </c>
    </row>
    <row r="132" spans="1:4" x14ac:dyDescent="0.2">
      <c r="A132">
        <v>5</v>
      </c>
      <c r="B132" t="s">
        <v>40</v>
      </c>
      <c r="C132" t="s">
        <v>27</v>
      </c>
      <c r="D132">
        <v>62.75</v>
      </c>
    </row>
    <row r="133" spans="1:4" x14ac:dyDescent="0.2">
      <c r="A133">
        <v>5</v>
      </c>
      <c r="B133" t="s">
        <v>40</v>
      </c>
      <c r="C133" t="s">
        <v>27</v>
      </c>
      <c r="D133">
        <v>75.849999999999994</v>
      </c>
    </row>
    <row r="134" spans="1:4" x14ac:dyDescent="0.2">
      <c r="A134">
        <v>6</v>
      </c>
      <c r="B134" t="s">
        <v>40</v>
      </c>
      <c r="C134" t="s">
        <v>27</v>
      </c>
      <c r="D134">
        <v>70.08</v>
      </c>
    </row>
    <row r="135" spans="1:4" x14ac:dyDescent="0.2">
      <c r="A135">
        <v>6</v>
      </c>
      <c r="B135" t="s">
        <v>40</v>
      </c>
      <c r="C135" t="s">
        <v>27</v>
      </c>
      <c r="D135">
        <v>64.290000000000006</v>
      </c>
    </row>
    <row r="136" spans="1:4" x14ac:dyDescent="0.2">
      <c r="A136">
        <v>7</v>
      </c>
      <c r="B136" t="s">
        <v>40</v>
      </c>
      <c r="C136" t="s">
        <v>27</v>
      </c>
      <c r="D136">
        <v>66.12</v>
      </c>
    </row>
    <row r="137" spans="1:4" x14ac:dyDescent="0.2">
      <c r="A137">
        <v>8</v>
      </c>
      <c r="B137" t="s">
        <v>40</v>
      </c>
      <c r="C137" t="s">
        <v>27</v>
      </c>
      <c r="D137">
        <v>114.34</v>
      </c>
    </row>
    <row r="138" spans="1:4" x14ac:dyDescent="0.2">
      <c r="A138">
        <v>8</v>
      </c>
      <c r="B138" t="s">
        <v>40</v>
      </c>
      <c r="C138" t="s">
        <v>27</v>
      </c>
      <c r="D138">
        <v>120.32</v>
      </c>
    </row>
    <row r="139" spans="1:4" x14ac:dyDescent="0.2">
      <c r="A139">
        <v>9</v>
      </c>
      <c r="B139" t="s">
        <v>40</v>
      </c>
      <c r="C139" t="s">
        <v>27</v>
      </c>
      <c r="D139">
        <v>131.94999999999999</v>
      </c>
    </row>
    <row r="140" spans="1:4" x14ac:dyDescent="0.2">
      <c r="A140">
        <v>9</v>
      </c>
      <c r="B140" t="s">
        <v>40</v>
      </c>
      <c r="C140" t="s">
        <v>27</v>
      </c>
      <c r="D140">
        <v>64.61</v>
      </c>
    </row>
    <row r="141" spans="1:4" x14ac:dyDescent="0.2">
      <c r="A141">
        <v>10</v>
      </c>
      <c r="B141" t="s">
        <v>40</v>
      </c>
      <c r="C141" t="s">
        <v>27</v>
      </c>
      <c r="D141">
        <v>80.56</v>
      </c>
    </row>
    <row r="142" spans="1:4" x14ac:dyDescent="0.2">
      <c r="A142">
        <v>10</v>
      </c>
      <c r="B142" t="s">
        <v>40</v>
      </c>
      <c r="C142" t="s">
        <v>27</v>
      </c>
      <c r="D142">
        <v>101.14</v>
      </c>
    </row>
    <row r="143" spans="1:4" x14ac:dyDescent="0.2">
      <c r="A143">
        <v>11</v>
      </c>
      <c r="B143" t="s">
        <v>40</v>
      </c>
      <c r="C143" t="s">
        <v>27</v>
      </c>
      <c r="D143">
        <v>65.709999999999994</v>
      </c>
    </row>
    <row r="144" spans="1:4" x14ac:dyDescent="0.2">
      <c r="A144">
        <v>12</v>
      </c>
      <c r="B144" t="s">
        <v>40</v>
      </c>
      <c r="C144" t="s">
        <v>27</v>
      </c>
      <c r="D144">
        <v>63.71</v>
      </c>
    </row>
    <row r="145" spans="1:4" x14ac:dyDescent="0.2">
      <c r="A145">
        <v>12</v>
      </c>
      <c r="B145" t="s">
        <v>40</v>
      </c>
      <c r="C145" t="s">
        <v>27</v>
      </c>
      <c r="D145">
        <v>64.010000000000005</v>
      </c>
    </row>
    <row r="146" spans="1:4" x14ac:dyDescent="0.2">
      <c r="A146">
        <v>4</v>
      </c>
      <c r="B146" t="s">
        <v>40</v>
      </c>
      <c r="C146" t="s">
        <v>27</v>
      </c>
      <c r="D146">
        <v>45.86</v>
      </c>
    </row>
    <row r="147" spans="1:4" x14ac:dyDescent="0.2">
      <c r="A147">
        <v>6</v>
      </c>
      <c r="B147" t="s">
        <v>40</v>
      </c>
      <c r="C147" t="s">
        <v>27</v>
      </c>
      <c r="D147">
        <v>17.23</v>
      </c>
    </row>
    <row r="148" spans="1:4" x14ac:dyDescent="0.2">
      <c r="A148">
        <v>7</v>
      </c>
      <c r="B148" t="s">
        <v>40</v>
      </c>
      <c r="C148" t="s">
        <v>27</v>
      </c>
      <c r="D148">
        <v>-45.86</v>
      </c>
    </row>
    <row r="149" spans="1:4" x14ac:dyDescent="0.2">
      <c r="A149">
        <v>12</v>
      </c>
      <c r="B149" t="s">
        <v>40</v>
      </c>
      <c r="C149" t="s">
        <v>27</v>
      </c>
      <c r="D149">
        <v>60.01</v>
      </c>
    </row>
    <row r="150" spans="1:4" x14ac:dyDescent="0.2">
      <c r="A150">
        <v>1</v>
      </c>
      <c r="B150" t="s">
        <v>364</v>
      </c>
      <c r="C150" t="s">
        <v>27</v>
      </c>
      <c r="D150">
        <v>19.36</v>
      </c>
    </row>
    <row r="151" spans="1:4" x14ac:dyDescent="0.2">
      <c r="A151">
        <v>1</v>
      </c>
      <c r="B151" t="s">
        <v>364</v>
      </c>
      <c r="C151" t="s">
        <v>27</v>
      </c>
      <c r="D151">
        <v>8.74</v>
      </c>
    </row>
    <row r="152" spans="1:4" x14ac:dyDescent="0.2">
      <c r="A152">
        <v>1</v>
      </c>
      <c r="B152" t="s">
        <v>364</v>
      </c>
      <c r="C152" t="s">
        <v>27</v>
      </c>
      <c r="D152">
        <v>49.92</v>
      </c>
    </row>
    <row r="153" spans="1:4" x14ac:dyDescent="0.2">
      <c r="A153">
        <v>1</v>
      </c>
      <c r="B153" t="s">
        <v>364</v>
      </c>
      <c r="C153" t="s">
        <v>27</v>
      </c>
      <c r="D153">
        <v>28.46</v>
      </c>
    </row>
    <row r="154" spans="1:4" x14ac:dyDescent="0.2">
      <c r="A154">
        <v>1</v>
      </c>
      <c r="B154" t="s">
        <v>364</v>
      </c>
      <c r="C154" t="s">
        <v>27</v>
      </c>
      <c r="D154">
        <v>28.04</v>
      </c>
    </row>
    <row r="155" spans="1:4" x14ac:dyDescent="0.2">
      <c r="A155">
        <v>1</v>
      </c>
      <c r="B155" t="s">
        <v>364</v>
      </c>
      <c r="C155" t="s">
        <v>27</v>
      </c>
      <c r="D155">
        <v>49.92</v>
      </c>
    </row>
    <row r="156" spans="1:4" x14ac:dyDescent="0.2">
      <c r="A156">
        <v>1</v>
      </c>
      <c r="B156" t="s">
        <v>364</v>
      </c>
      <c r="C156" t="s">
        <v>27</v>
      </c>
      <c r="D156">
        <v>501.29</v>
      </c>
    </row>
    <row r="157" spans="1:4" x14ac:dyDescent="0.2">
      <c r="A157">
        <v>1</v>
      </c>
      <c r="B157" t="s">
        <v>364</v>
      </c>
      <c r="C157" t="s">
        <v>27</v>
      </c>
      <c r="D157">
        <v>86.22</v>
      </c>
    </row>
    <row r="158" spans="1:4" x14ac:dyDescent="0.2">
      <c r="A158">
        <v>3</v>
      </c>
      <c r="B158" t="s">
        <v>364</v>
      </c>
      <c r="C158" t="s">
        <v>27</v>
      </c>
      <c r="D158">
        <v>41.5</v>
      </c>
    </row>
    <row r="159" spans="1:4" x14ac:dyDescent="0.2">
      <c r="A159">
        <v>3</v>
      </c>
      <c r="B159" t="s">
        <v>364</v>
      </c>
      <c r="C159" t="s">
        <v>27</v>
      </c>
      <c r="D159">
        <v>276</v>
      </c>
    </row>
    <row r="160" spans="1:4" x14ac:dyDescent="0.2">
      <c r="A160">
        <v>4</v>
      </c>
      <c r="B160" t="s">
        <v>364</v>
      </c>
      <c r="C160" t="s">
        <v>27</v>
      </c>
      <c r="D160">
        <v>53.08</v>
      </c>
    </row>
    <row r="161" spans="1:4" x14ac:dyDescent="0.2">
      <c r="A161">
        <v>4</v>
      </c>
      <c r="B161" t="s">
        <v>364</v>
      </c>
      <c r="C161" t="s">
        <v>27</v>
      </c>
      <c r="D161">
        <v>404.49</v>
      </c>
    </row>
    <row r="162" spans="1:4" x14ac:dyDescent="0.2">
      <c r="A162">
        <v>4</v>
      </c>
      <c r="B162" t="s">
        <v>364</v>
      </c>
      <c r="C162" t="s">
        <v>27</v>
      </c>
      <c r="D162">
        <v>275</v>
      </c>
    </row>
    <row r="163" spans="1:4" x14ac:dyDescent="0.2">
      <c r="A163">
        <v>4</v>
      </c>
      <c r="B163" t="s">
        <v>364</v>
      </c>
      <c r="C163" t="s">
        <v>27</v>
      </c>
      <c r="D163">
        <v>41.4</v>
      </c>
    </row>
    <row r="164" spans="1:4" x14ac:dyDescent="0.2">
      <c r="A164">
        <v>5</v>
      </c>
      <c r="B164" t="s">
        <v>364</v>
      </c>
      <c r="C164" t="s">
        <v>27</v>
      </c>
      <c r="D164">
        <v>499.17</v>
      </c>
    </row>
    <row r="165" spans="1:4" x14ac:dyDescent="0.2">
      <c r="A165">
        <v>5</v>
      </c>
      <c r="B165" t="s">
        <v>364</v>
      </c>
      <c r="C165" t="s">
        <v>27</v>
      </c>
      <c r="D165">
        <v>415.83</v>
      </c>
    </row>
    <row r="166" spans="1:4" x14ac:dyDescent="0.2">
      <c r="A166">
        <v>5</v>
      </c>
      <c r="B166" t="s">
        <v>364</v>
      </c>
      <c r="C166" t="s">
        <v>27</v>
      </c>
      <c r="D166">
        <v>95</v>
      </c>
    </row>
    <row r="167" spans="1:4" x14ac:dyDescent="0.2">
      <c r="A167">
        <v>5</v>
      </c>
      <c r="B167" t="s">
        <v>364</v>
      </c>
      <c r="C167" t="s">
        <v>27</v>
      </c>
      <c r="D167">
        <v>70.05</v>
      </c>
    </row>
    <row r="168" spans="1:4" x14ac:dyDescent="0.2">
      <c r="A168">
        <v>6</v>
      </c>
      <c r="B168" t="s">
        <v>364</v>
      </c>
      <c r="C168" t="s">
        <v>27</v>
      </c>
      <c r="D168">
        <v>34.15</v>
      </c>
    </row>
    <row r="169" spans="1:4" x14ac:dyDescent="0.2">
      <c r="A169">
        <v>7</v>
      </c>
      <c r="B169" t="s">
        <v>364</v>
      </c>
      <c r="C169" t="s">
        <v>27</v>
      </c>
      <c r="D169">
        <v>82.49</v>
      </c>
    </row>
    <row r="170" spans="1:4" x14ac:dyDescent="0.2">
      <c r="A170">
        <v>7</v>
      </c>
      <c r="B170" t="s">
        <v>364</v>
      </c>
      <c r="C170" t="s">
        <v>27</v>
      </c>
      <c r="D170">
        <v>-86.22</v>
      </c>
    </row>
    <row r="171" spans="1:4" x14ac:dyDescent="0.2">
      <c r="A171">
        <v>7</v>
      </c>
      <c r="B171" t="s">
        <v>364</v>
      </c>
      <c r="C171" t="s">
        <v>27</v>
      </c>
      <c r="D171">
        <v>103.46</v>
      </c>
    </row>
    <row r="172" spans="1:4" x14ac:dyDescent="0.2">
      <c r="A172">
        <v>7</v>
      </c>
      <c r="B172" t="s">
        <v>364</v>
      </c>
      <c r="C172" t="s">
        <v>27</v>
      </c>
      <c r="D172">
        <v>286.27999999999997</v>
      </c>
    </row>
    <row r="173" spans="1:4" x14ac:dyDescent="0.2">
      <c r="A173">
        <v>8</v>
      </c>
      <c r="B173" t="s">
        <v>364</v>
      </c>
      <c r="C173" t="s">
        <v>27</v>
      </c>
      <c r="D173">
        <v>425</v>
      </c>
    </row>
    <row r="174" spans="1:4" x14ac:dyDescent="0.2">
      <c r="A174">
        <v>9</v>
      </c>
      <c r="B174" t="s">
        <v>364</v>
      </c>
      <c r="C174" t="s">
        <v>27</v>
      </c>
      <c r="D174">
        <v>414</v>
      </c>
    </row>
    <row r="175" spans="1:4" x14ac:dyDescent="0.2">
      <c r="A175">
        <v>9</v>
      </c>
      <c r="B175" t="s">
        <v>364</v>
      </c>
      <c r="C175" t="s">
        <v>27</v>
      </c>
      <c r="D175">
        <v>17.07</v>
      </c>
    </row>
    <row r="176" spans="1:4" x14ac:dyDescent="0.2">
      <c r="A176">
        <v>9</v>
      </c>
      <c r="B176" t="s">
        <v>364</v>
      </c>
      <c r="C176" t="s">
        <v>27</v>
      </c>
      <c r="D176">
        <v>58.77</v>
      </c>
    </row>
    <row r="177" spans="1:4" x14ac:dyDescent="0.2">
      <c r="A177">
        <v>10</v>
      </c>
      <c r="B177" t="s">
        <v>364</v>
      </c>
      <c r="C177" t="s">
        <v>27</v>
      </c>
      <c r="D177">
        <v>23.73</v>
      </c>
    </row>
    <row r="178" spans="1:4" x14ac:dyDescent="0.2">
      <c r="A178">
        <v>10</v>
      </c>
      <c r="B178" t="s">
        <v>364</v>
      </c>
      <c r="C178" t="s">
        <v>27</v>
      </c>
      <c r="D178">
        <v>76.5</v>
      </c>
    </row>
    <row r="179" spans="1:4" x14ac:dyDescent="0.2">
      <c r="A179">
        <v>10</v>
      </c>
      <c r="B179" t="s">
        <v>364</v>
      </c>
      <c r="C179" t="s">
        <v>27</v>
      </c>
      <c r="D179">
        <v>164.71</v>
      </c>
    </row>
    <row r="180" spans="1:4" x14ac:dyDescent="0.2">
      <c r="A180">
        <v>11</v>
      </c>
      <c r="B180" t="s">
        <v>364</v>
      </c>
      <c r="C180" t="s">
        <v>27</v>
      </c>
      <c r="D180">
        <v>70.83</v>
      </c>
    </row>
    <row r="181" spans="1:4" x14ac:dyDescent="0.2">
      <c r="A181">
        <v>11</v>
      </c>
      <c r="B181" t="s">
        <v>364</v>
      </c>
      <c r="C181" t="s">
        <v>27</v>
      </c>
      <c r="D181">
        <v>76.66</v>
      </c>
    </row>
    <row r="182" spans="1:4" x14ac:dyDescent="0.2">
      <c r="A182">
        <v>1</v>
      </c>
      <c r="B182" t="s">
        <v>364</v>
      </c>
      <c r="C182" t="s">
        <v>27</v>
      </c>
      <c r="D182">
        <v>14.15</v>
      </c>
    </row>
    <row r="183" spans="1:4" x14ac:dyDescent="0.2">
      <c r="A183">
        <v>1</v>
      </c>
      <c r="B183" t="s">
        <v>364</v>
      </c>
      <c r="C183" t="s">
        <v>27</v>
      </c>
      <c r="D183">
        <v>24.98</v>
      </c>
    </row>
    <row r="184" spans="1:4" x14ac:dyDescent="0.2">
      <c r="A184">
        <v>1</v>
      </c>
      <c r="B184" t="s">
        <v>364</v>
      </c>
      <c r="C184" t="s">
        <v>27</v>
      </c>
      <c r="D184">
        <v>55.44</v>
      </c>
    </row>
    <row r="185" spans="1:4" x14ac:dyDescent="0.2">
      <c r="A185">
        <v>2</v>
      </c>
      <c r="B185" t="s">
        <v>364</v>
      </c>
      <c r="C185" t="s">
        <v>27</v>
      </c>
      <c r="D185">
        <v>5.42</v>
      </c>
    </row>
    <row r="186" spans="1:4" x14ac:dyDescent="0.2">
      <c r="A186">
        <v>3</v>
      </c>
      <c r="B186" t="s">
        <v>364</v>
      </c>
      <c r="C186" t="s">
        <v>27</v>
      </c>
      <c r="D186">
        <v>26.64</v>
      </c>
    </row>
    <row r="187" spans="1:4" x14ac:dyDescent="0.2">
      <c r="A187">
        <v>4</v>
      </c>
      <c r="B187" t="s">
        <v>364</v>
      </c>
      <c r="C187" t="s">
        <v>27</v>
      </c>
      <c r="D187">
        <v>75.91</v>
      </c>
    </row>
    <row r="188" spans="1:4" x14ac:dyDescent="0.2">
      <c r="A188">
        <v>4</v>
      </c>
      <c r="B188" t="s">
        <v>364</v>
      </c>
      <c r="C188" t="s">
        <v>27</v>
      </c>
      <c r="D188">
        <v>196.41</v>
      </c>
    </row>
    <row r="189" spans="1:4" x14ac:dyDescent="0.2">
      <c r="A189">
        <v>5</v>
      </c>
      <c r="B189" t="s">
        <v>364</v>
      </c>
      <c r="C189" t="s">
        <v>27</v>
      </c>
      <c r="D189">
        <v>26.64</v>
      </c>
    </row>
    <row r="190" spans="1:4" x14ac:dyDescent="0.2">
      <c r="A190">
        <v>6</v>
      </c>
      <c r="B190" t="s">
        <v>364</v>
      </c>
      <c r="C190" t="s">
        <v>27</v>
      </c>
      <c r="D190">
        <v>174.22</v>
      </c>
    </row>
    <row r="191" spans="1:4" x14ac:dyDescent="0.2">
      <c r="A191">
        <v>7</v>
      </c>
      <c r="B191" t="s">
        <v>364</v>
      </c>
      <c r="C191" t="s">
        <v>27</v>
      </c>
      <c r="D191">
        <v>26.64</v>
      </c>
    </row>
    <row r="192" spans="1:4" x14ac:dyDescent="0.2">
      <c r="A192">
        <v>7</v>
      </c>
      <c r="B192" t="s">
        <v>364</v>
      </c>
      <c r="C192" t="s">
        <v>27</v>
      </c>
      <c r="D192">
        <v>92.33</v>
      </c>
    </row>
    <row r="193" spans="1:4" x14ac:dyDescent="0.2">
      <c r="A193">
        <v>7</v>
      </c>
      <c r="B193" t="s">
        <v>364</v>
      </c>
      <c r="C193" t="s">
        <v>27</v>
      </c>
      <c r="D193">
        <v>-26.64</v>
      </c>
    </row>
    <row r="194" spans="1:4" x14ac:dyDescent="0.2">
      <c r="A194">
        <v>9</v>
      </c>
      <c r="B194" t="s">
        <v>364</v>
      </c>
      <c r="C194" t="s">
        <v>27</v>
      </c>
      <c r="D194">
        <v>26.64</v>
      </c>
    </row>
    <row r="195" spans="1:4" x14ac:dyDescent="0.2">
      <c r="A195">
        <v>10</v>
      </c>
      <c r="B195" t="s">
        <v>364</v>
      </c>
      <c r="C195" t="s">
        <v>27</v>
      </c>
      <c r="D195">
        <v>103.15</v>
      </c>
    </row>
    <row r="196" spans="1:4" x14ac:dyDescent="0.2">
      <c r="A196">
        <v>10</v>
      </c>
      <c r="B196" t="s">
        <v>364</v>
      </c>
      <c r="C196" t="s">
        <v>27</v>
      </c>
      <c r="D196">
        <v>10</v>
      </c>
    </row>
    <row r="197" spans="1:4" x14ac:dyDescent="0.2">
      <c r="A197">
        <v>10</v>
      </c>
      <c r="B197" t="s">
        <v>364</v>
      </c>
      <c r="C197" t="s">
        <v>27</v>
      </c>
      <c r="D197">
        <v>241</v>
      </c>
    </row>
    <row r="198" spans="1:4" x14ac:dyDescent="0.2">
      <c r="A198">
        <v>12</v>
      </c>
      <c r="B198" t="s">
        <v>364</v>
      </c>
      <c r="C198" t="s">
        <v>27</v>
      </c>
      <c r="D198">
        <v>393.35</v>
      </c>
    </row>
    <row r="199" spans="1:4" x14ac:dyDescent="0.2">
      <c r="A199">
        <v>12</v>
      </c>
      <c r="B199" t="s">
        <v>364</v>
      </c>
      <c r="C199" t="s">
        <v>27</v>
      </c>
      <c r="D199">
        <v>13.04</v>
      </c>
    </row>
    <row r="200" spans="1:4" x14ac:dyDescent="0.2">
      <c r="A200">
        <v>12</v>
      </c>
      <c r="B200" t="s">
        <v>364</v>
      </c>
      <c r="C200" t="s">
        <v>27</v>
      </c>
      <c r="D200">
        <v>12.49</v>
      </c>
    </row>
    <row r="201" spans="1:4" x14ac:dyDescent="0.2">
      <c r="A201">
        <v>12</v>
      </c>
      <c r="B201" t="s">
        <v>364</v>
      </c>
      <c r="C201" t="s">
        <v>27</v>
      </c>
      <c r="D201">
        <v>154.6</v>
      </c>
    </row>
    <row r="202" spans="1:4" x14ac:dyDescent="0.2">
      <c r="A202">
        <v>1</v>
      </c>
      <c r="B202" t="s">
        <v>35</v>
      </c>
      <c r="C202" t="s">
        <v>27</v>
      </c>
      <c r="D202">
        <v>179</v>
      </c>
    </row>
    <row r="203" spans="1:4" x14ac:dyDescent="0.2">
      <c r="A203">
        <v>1</v>
      </c>
      <c r="B203" t="s">
        <v>35</v>
      </c>
      <c r="C203" t="s">
        <v>27</v>
      </c>
      <c r="D203">
        <v>660.38</v>
      </c>
    </row>
    <row r="204" spans="1:4" x14ac:dyDescent="0.2">
      <c r="A204">
        <v>2</v>
      </c>
      <c r="B204" t="s">
        <v>35</v>
      </c>
      <c r="C204" t="s">
        <v>27</v>
      </c>
      <c r="D204">
        <v>660.38</v>
      </c>
    </row>
    <row r="205" spans="1:4" x14ac:dyDescent="0.2">
      <c r="A205">
        <v>3</v>
      </c>
      <c r="B205" t="s">
        <v>35</v>
      </c>
      <c r="C205" t="s">
        <v>27</v>
      </c>
      <c r="D205">
        <v>660.38</v>
      </c>
    </row>
    <row r="206" spans="1:4" x14ac:dyDescent="0.2">
      <c r="A206">
        <v>1</v>
      </c>
      <c r="B206" t="s">
        <v>35</v>
      </c>
      <c r="C206" t="s">
        <v>27</v>
      </c>
      <c r="D206">
        <v>64</v>
      </c>
    </row>
    <row r="207" spans="1:4" x14ac:dyDescent="0.2">
      <c r="A207">
        <v>1</v>
      </c>
      <c r="B207" t="s">
        <v>35</v>
      </c>
      <c r="C207" t="s">
        <v>27</v>
      </c>
      <c r="D207">
        <v>393.82</v>
      </c>
    </row>
    <row r="208" spans="1:4" x14ac:dyDescent="0.2">
      <c r="A208">
        <v>2</v>
      </c>
      <c r="B208" t="s">
        <v>35</v>
      </c>
      <c r="C208" t="s">
        <v>27</v>
      </c>
      <c r="D208">
        <v>393.82</v>
      </c>
    </row>
    <row r="209" spans="1:4" x14ac:dyDescent="0.2">
      <c r="A209">
        <v>3</v>
      </c>
      <c r="B209" t="s">
        <v>35</v>
      </c>
      <c r="C209" t="s">
        <v>27</v>
      </c>
      <c r="D209">
        <v>393.82</v>
      </c>
    </row>
    <row r="210" spans="1:4" x14ac:dyDescent="0.2">
      <c r="A210">
        <v>4</v>
      </c>
      <c r="B210" t="s">
        <v>35</v>
      </c>
      <c r="C210" t="s">
        <v>27</v>
      </c>
      <c r="D210">
        <v>393.82</v>
      </c>
    </row>
    <row r="211" spans="1:4" x14ac:dyDescent="0.2">
      <c r="A211">
        <v>5</v>
      </c>
      <c r="B211" t="s">
        <v>35</v>
      </c>
      <c r="C211" t="s">
        <v>27</v>
      </c>
      <c r="D211">
        <v>393.82</v>
      </c>
    </row>
    <row r="212" spans="1:4" x14ac:dyDescent="0.2">
      <c r="A212">
        <v>6</v>
      </c>
      <c r="B212" t="s">
        <v>35</v>
      </c>
      <c r="C212" t="s">
        <v>27</v>
      </c>
      <c r="D212">
        <v>393.82</v>
      </c>
    </row>
    <row r="213" spans="1:4" x14ac:dyDescent="0.2">
      <c r="A213">
        <v>7</v>
      </c>
      <c r="B213" t="s">
        <v>35</v>
      </c>
      <c r="C213" t="s">
        <v>27</v>
      </c>
      <c r="D213">
        <v>393.82</v>
      </c>
    </row>
    <row r="214" spans="1:4" x14ac:dyDescent="0.2">
      <c r="A214">
        <v>8</v>
      </c>
      <c r="B214" t="s">
        <v>35</v>
      </c>
      <c r="C214" t="s">
        <v>27</v>
      </c>
      <c r="D214">
        <v>393.82</v>
      </c>
    </row>
    <row r="215" spans="1:4" x14ac:dyDescent="0.2">
      <c r="A215">
        <v>9</v>
      </c>
      <c r="B215" t="s">
        <v>35</v>
      </c>
      <c r="C215" t="s">
        <v>27</v>
      </c>
      <c r="D215">
        <v>393.82</v>
      </c>
    </row>
    <row r="216" spans="1:4" x14ac:dyDescent="0.2">
      <c r="A216">
        <v>10</v>
      </c>
      <c r="B216" t="s">
        <v>35</v>
      </c>
      <c r="C216" t="s">
        <v>27</v>
      </c>
      <c r="D216">
        <v>393.82</v>
      </c>
    </row>
    <row r="217" spans="1:4" x14ac:dyDescent="0.2">
      <c r="A217">
        <v>11</v>
      </c>
      <c r="B217" t="s">
        <v>35</v>
      </c>
      <c r="C217" t="s">
        <v>27</v>
      </c>
      <c r="D217">
        <v>393.82</v>
      </c>
    </row>
    <row r="218" spans="1:4" x14ac:dyDescent="0.2">
      <c r="A218">
        <v>12</v>
      </c>
      <c r="B218" t="s">
        <v>35</v>
      </c>
      <c r="C218" t="s">
        <v>27</v>
      </c>
      <c r="D218">
        <v>393.82</v>
      </c>
    </row>
    <row r="219" spans="1:4" x14ac:dyDescent="0.2">
      <c r="A219">
        <v>5</v>
      </c>
      <c r="B219" t="s">
        <v>35</v>
      </c>
      <c r="C219" t="s">
        <v>27</v>
      </c>
      <c r="D219">
        <v>28.56</v>
      </c>
    </row>
    <row r="220" spans="1:4" x14ac:dyDescent="0.2">
      <c r="A220">
        <v>5</v>
      </c>
      <c r="B220" t="s">
        <v>35</v>
      </c>
      <c r="C220" t="s">
        <v>27</v>
      </c>
      <c r="D220">
        <v>428.23</v>
      </c>
    </row>
    <row r="221" spans="1:4" x14ac:dyDescent="0.2">
      <c r="A221">
        <v>6</v>
      </c>
      <c r="B221" t="s">
        <v>35</v>
      </c>
      <c r="C221" t="s">
        <v>27</v>
      </c>
      <c r="D221">
        <v>356.86</v>
      </c>
    </row>
    <row r="222" spans="1:4" x14ac:dyDescent="0.2">
      <c r="A222">
        <v>6</v>
      </c>
      <c r="B222" t="s">
        <v>35</v>
      </c>
      <c r="C222" t="s">
        <v>27</v>
      </c>
      <c r="D222">
        <v>71.37</v>
      </c>
    </row>
    <row r="223" spans="1:4" x14ac:dyDescent="0.2">
      <c r="A223">
        <v>7</v>
      </c>
      <c r="B223" t="s">
        <v>35</v>
      </c>
      <c r="C223" t="s">
        <v>27</v>
      </c>
      <c r="D223">
        <v>356.86</v>
      </c>
    </row>
    <row r="224" spans="1:4" x14ac:dyDescent="0.2">
      <c r="A224">
        <v>8</v>
      </c>
      <c r="B224" t="s">
        <v>35</v>
      </c>
      <c r="C224" t="s">
        <v>27</v>
      </c>
      <c r="D224">
        <v>356.86</v>
      </c>
    </row>
    <row r="225" spans="1:4" x14ac:dyDescent="0.2">
      <c r="A225">
        <v>9</v>
      </c>
      <c r="B225" t="s">
        <v>35</v>
      </c>
      <c r="C225" t="s">
        <v>27</v>
      </c>
      <c r="D225">
        <v>356.86</v>
      </c>
    </row>
    <row r="226" spans="1:4" x14ac:dyDescent="0.2">
      <c r="A226">
        <v>10</v>
      </c>
      <c r="B226" t="s">
        <v>35</v>
      </c>
      <c r="C226" t="s">
        <v>27</v>
      </c>
      <c r="D226">
        <v>356.86</v>
      </c>
    </row>
    <row r="227" spans="1:4" x14ac:dyDescent="0.2">
      <c r="A227">
        <v>11</v>
      </c>
      <c r="B227" t="s">
        <v>35</v>
      </c>
      <c r="C227" t="s">
        <v>27</v>
      </c>
      <c r="D227">
        <v>356.86</v>
      </c>
    </row>
    <row r="228" spans="1:4" x14ac:dyDescent="0.2">
      <c r="A228">
        <v>12</v>
      </c>
      <c r="B228" t="s">
        <v>35</v>
      </c>
      <c r="C228" t="s">
        <v>27</v>
      </c>
      <c r="D228">
        <v>356.86</v>
      </c>
    </row>
    <row r="229" spans="1:4" x14ac:dyDescent="0.2">
      <c r="A229">
        <v>12</v>
      </c>
      <c r="B229" t="s">
        <v>35</v>
      </c>
      <c r="C229" t="s">
        <v>27</v>
      </c>
      <c r="D229">
        <v>428.22</v>
      </c>
    </row>
    <row r="230" spans="1:4" x14ac:dyDescent="0.2">
      <c r="A230">
        <v>3</v>
      </c>
      <c r="B230" t="s">
        <v>35</v>
      </c>
      <c r="C230" t="s">
        <v>27</v>
      </c>
      <c r="D230">
        <v>177.11</v>
      </c>
    </row>
    <row r="231" spans="1:4" x14ac:dyDescent="0.2">
      <c r="A231">
        <v>4</v>
      </c>
      <c r="B231" t="s">
        <v>35</v>
      </c>
      <c r="C231" t="s">
        <v>27</v>
      </c>
      <c r="D231">
        <v>1029.1400000000001</v>
      </c>
    </row>
    <row r="232" spans="1:4" x14ac:dyDescent="0.2">
      <c r="A232">
        <v>5</v>
      </c>
      <c r="B232" t="s">
        <v>35</v>
      </c>
      <c r="C232" t="s">
        <v>27</v>
      </c>
      <c r="D232">
        <v>1029.1400000000001</v>
      </c>
    </row>
    <row r="233" spans="1:4" x14ac:dyDescent="0.2">
      <c r="A233">
        <v>6</v>
      </c>
      <c r="B233" t="s">
        <v>35</v>
      </c>
      <c r="C233" t="s">
        <v>27</v>
      </c>
      <c r="D233">
        <v>1029.1400000000001</v>
      </c>
    </row>
    <row r="234" spans="1:4" x14ac:dyDescent="0.2">
      <c r="A234">
        <v>7</v>
      </c>
      <c r="B234" t="s">
        <v>35</v>
      </c>
      <c r="C234" t="s">
        <v>27</v>
      </c>
      <c r="D234">
        <v>1029.1400000000001</v>
      </c>
    </row>
    <row r="235" spans="1:4" x14ac:dyDescent="0.2">
      <c r="A235">
        <v>8</v>
      </c>
      <c r="B235" t="s">
        <v>35</v>
      </c>
      <c r="C235" t="s">
        <v>27</v>
      </c>
      <c r="D235">
        <v>1029.1400000000001</v>
      </c>
    </row>
    <row r="236" spans="1:4" x14ac:dyDescent="0.2">
      <c r="A236">
        <v>9</v>
      </c>
      <c r="B236" t="s">
        <v>35</v>
      </c>
      <c r="C236" t="s">
        <v>27</v>
      </c>
      <c r="D236">
        <v>1029.1400000000001</v>
      </c>
    </row>
    <row r="237" spans="1:4" x14ac:dyDescent="0.2">
      <c r="A237">
        <v>10</v>
      </c>
      <c r="B237" t="s">
        <v>35</v>
      </c>
      <c r="C237" t="s">
        <v>27</v>
      </c>
      <c r="D237">
        <v>1029.1400000000001</v>
      </c>
    </row>
    <row r="238" spans="1:4" x14ac:dyDescent="0.2">
      <c r="A238">
        <v>11</v>
      </c>
      <c r="B238" t="s">
        <v>35</v>
      </c>
      <c r="C238" t="s">
        <v>27</v>
      </c>
      <c r="D238">
        <v>1029.1400000000001</v>
      </c>
    </row>
    <row r="239" spans="1:4" x14ac:dyDescent="0.2">
      <c r="A239">
        <v>12</v>
      </c>
      <c r="B239" t="s">
        <v>35</v>
      </c>
      <c r="C239" t="s">
        <v>27</v>
      </c>
      <c r="D239">
        <v>1029.1400000000001</v>
      </c>
    </row>
    <row r="240" spans="1:4" x14ac:dyDescent="0.2">
      <c r="A240">
        <v>1</v>
      </c>
      <c r="B240" t="s">
        <v>34</v>
      </c>
      <c r="C240" t="s">
        <v>27</v>
      </c>
      <c r="D240">
        <v>1000</v>
      </c>
    </row>
    <row r="241" spans="1:4" x14ac:dyDescent="0.2">
      <c r="A241">
        <v>2</v>
      </c>
      <c r="B241" t="s">
        <v>34</v>
      </c>
      <c r="C241" t="s">
        <v>27</v>
      </c>
      <c r="D241">
        <v>1000</v>
      </c>
    </row>
    <row r="242" spans="1:4" x14ac:dyDescent="0.2">
      <c r="A242">
        <v>3</v>
      </c>
      <c r="B242" t="s">
        <v>34</v>
      </c>
      <c r="C242" t="s">
        <v>27</v>
      </c>
      <c r="D242">
        <v>1000</v>
      </c>
    </row>
    <row r="243" spans="1:4" x14ac:dyDescent="0.2">
      <c r="A243">
        <v>4</v>
      </c>
      <c r="B243" t="s">
        <v>34</v>
      </c>
      <c r="C243" t="s">
        <v>27</v>
      </c>
      <c r="D243">
        <v>1000</v>
      </c>
    </row>
    <row r="244" spans="1:4" x14ac:dyDescent="0.2">
      <c r="A244">
        <v>5</v>
      </c>
      <c r="B244" t="s">
        <v>34</v>
      </c>
      <c r="C244" t="s">
        <v>27</v>
      </c>
      <c r="D244">
        <v>1000</v>
      </c>
    </row>
    <row r="245" spans="1:4" x14ac:dyDescent="0.2">
      <c r="A245">
        <v>6</v>
      </c>
      <c r="B245" t="s">
        <v>34</v>
      </c>
      <c r="C245" t="s">
        <v>27</v>
      </c>
      <c r="D245">
        <v>1000</v>
      </c>
    </row>
    <row r="246" spans="1:4" x14ac:dyDescent="0.2">
      <c r="A246">
        <v>7</v>
      </c>
      <c r="B246" t="s">
        <v>34</v>
      </c>
      <c r="C246" t="s">
        <v>27</v>
      </c>
      <c r="D246">
        <v>1080</v>
      </c>
    </row>
    <row r="247" spans="1:4" x14ac:dyDescent="0.2">
      <c r="A247">
        <v>8</v>
      </c>
      <c r="B247" t="s">
        <v>34</v>
      </c>
      <c r="C247" t="s">
        <v>27</v>
      </c>
      <c r="D247">
        <v>1080</v>
      </c>
    </row>
    <row r="248" spans="1:4" x14ac:dyDescent="0.2">
      <c r="A248">
        <v>9</v>
      </c>
      <c r="B248" t="s">
        <v>34</v>
      </c>
      <c r="C248" t="s">
        <v>27</v>
      </c>
      <c r="D248">
        <v>1080</v>
      </c>
    </row>
    <row r="249" spans="1:4" x14ac:dyDescent="0.2">
      <c r="A249">
        <v>10</v>
      </c>
      <c r="B249" t="s">
        <v>34</v>
      </c>
      <c r="C249" t="s">
        <v>27</v>
      </c>
      <c r="D249">
        <v>1080</v>
      </c>
    </row>
    <row r="250" spans="1:4" x14ac:dyDescent="0.2">
      <c r="A250">
        <v>11</v>
      </c>
      <c r="B250" t="s">
        <v>34</v>
      </c>
      <c r="C250" t="s">
        <v>27</v>
      </c>
      <c r="D250">
        <v>1080</v>
      </c>
    </row>
    <row r="251" spans="1:4" x14ac:dyDescent="0.2">
      <c r="A251">
        <v>12</v>
      </c>
      <c r="B251" t="s">
        <v>34</v>
      </c>
      <c r="C251" t="s">
        <v>27</v>
      </c>
      <c r="D251">
        <v>1080</v>
      </c>
    </row>
    <row r="252" spans="1:4" x14ac:dyDescent="0.2">
      <c r="A252">
        <v>1</v>
      </c>
      <c r="B252" t="s">
        <v>34</v>
      </c>
      <c r="C252" t="s">
        <v>27</v>
      </c>
      <c r="D252">
        <v>192</v>
      </c>
    </row>
    <row r="253" spans="1:4" x14ac:dyDescent="0.2">
      <c r="A253">
        <v>2</v>
      </c>
      <c r="B253" t="s">
        <v>34</v>
      </c>
      <c r="C253" t="s">
        <v>27</v>
      </c>
      <c r="D253">
        <v>192</v>
      </c>
    </row>
    <row r="254" spans="1:4" x14ac:dyDescent="0.2">
      <c r="A254">
        <v>3</v>
      </c>
      <c r="B254" t="s">
        <v>34</v>
      </c>
      <c r="C254" t="s">
        <v>27</v>
      </c>
      <c r="D254">
        <v>192</v>
      </c>
    </row>
    <row r="255" spans="1:4" x14ac:dyDescent="0.2">
      <c r="A255">
        <v>4</v>
      </c>
      <c r="B255" t="s">
        <v>34</v>
      </c>
      <c r="C255" t="s">
        <v>27</v>
      </c>
      <c r="D255">
        <v>192</v>
      </c>
    </row>
    <row r="256" spans="1:4" x14ac:dyDescent="0.2">
      <c r="A256">
        <v>5</v>
      </c>
      <c r="B256" t="s">
        <v>34</v>
      </c>
      <c r="C256" t="s">
        <v>27</v>
      </c>
      <c r="D256">
        <v>192</v>
      </c>
    </row>
    <row r="257" spans="1:4" x14ac:dyDescent="0.2">
      <c r="A257">
        <v>6</v>
      </c>
      <c r="B257" t="s">
        <v>34</v>
      </c>
      <c r="C257" t="s">
        <v>27</v>
      </c>
      <c r="D257">
        <v>192</v>
      </c>
    </row>
    <row r="258" spans="1:4" x14ac:dyDescent="0.2">
      <c r="A258">
        <v>7</v>
      </c>
      <c r="B258" t="s">
        <v>34</v>
      </c>
      <c r="C258" t="s">
        <v>27</v>
      </c>
      <c r="D258">
        <v>192</v>
      </c>
    </row>
    <row r="259" spans="1:4" x14ac:dyDescent="0.2">
      <c r="A259">
        <v>8</v>
      </c>
      <c r="B259" t="s">
        <v>34</v>
      </c>
      <c r="C259" t="s">
        <v>27</v>
      </c>
      <c r="D259">
        <v>192</v>
      </c>
    </row>
    <row r="260" spans="1:4" x14ac:dyDescent="0.2">
      <c r="A260">
        <v>9</v>
      </c>
      <c r="B260" t="s">
        <v>34</v>
      </c>
      <c r="C260" t="s">
        <v>27</v>
      </c>
      <c r="D260">
        <v>192</v>
      </c>
    </row>
    <row r="261" spans="1:4" x14ac:dyDescent="0.2">
      <c r="A261">
        <v>10</v>
      </c>
      <c r="B261" t="s">
        <v>34</v>
      </c>
      <c r="C261" t="s">
        <v>27</v>
      </c>
      <c r="D261">
        <v>192</v>
      </c>
    </row>
    <row r="262" spans="1:4" x14ac:dyDescent="0.2">
      <c r="A262">
        <v>11</v>
      </c>
      <c r="B262" t="s">
        <v>34</v>
      </c>
      <c r="C262" t="s">
        <v>27</v>
      </c>
      <c r="D262">
        <v>192</v>
      </c>
    </row>
    <row r="263" spans="1:4" x14ac:dyDescent="0.2">
      <c r="A263">
        <v>12</v>
      </c>
      <c r="B263" t="s">
        <v>34</v>
      </c>
      <c r="C263" t="s">
        <v>27</v>
      </c>
      <c r="D263">
        <v>192</v>
      </c>
    </row>
    <row r="264" spans="1:4" x14ac:dyDescent="0.2">
      <c r="A264">
        <v>1</v>
      </c>
      <c r="B264" t="s">
        <v>34</v>
      </c>
      <c r="C264" t="s">
        <v>27</v>
      </c>
      <c r="D264">
        <v>130</v>
      </c>
    </row>
    <row r="265" spans="1:4" x14ac:dyDescent="0.2">
      <c r="A265">
        <v>2</v>
      </c>
      <c r="B265" t="s">
        <v>34</v>
      </c>
      <c r="C265" t="s">
        <v>27</v>
      </c>
      <c r="D265">
        <v>130</v>
      </c>
    </row>
    <row r="266" spans="1:4" x14ac:dyDescent="0.2">
      <c r="A266">
        <v>3</v>
      </c>
      <c r="B266" t="s">
        <v>34</v>
      </c>
      <c r="C266" t="s">
        <v>27</v>
      </c>
      <c r="D266">
        <v>130</v>
      </c>
    </row>
    <row r="267" spans="1:4" x14ac:dyDescent="0.2">
      <c r="A267">
        <v>4</v>
      </c>
      <c r="B267" t="s">
        <v>34</v>
      </c>
      <c r="C267" t="s">
        <v>27</v>
      </c>
      <c r="D267">
        <v>130</v>
      </c>
    </row>
    <row r="268" spans="1:4" x14ac:dyDescent="0.2">
      <c r="A268">
        <v>5</v>
      </c>
      <c r="B268" t="s">
        <v>34</v>
      </c>
      <c r="C268" t="s">
        <v>27</v>
      </c>
      <c r="D268">
        <v>130</v>
      </c>
    </row>
    <row r="269" spans="1:4" x14ac:dyDescent="0.2">
      <c r="A269">
        <v>6</v>
      </c>
      <c r="B269" t="s">
        <v>34</v>
      </c>
      <c r="C269" t="s">
        <v>27</v>
      </c>
      <c r="D269">
        <v>130</v>
      </c>
    </row>
    <row r="270" spans="1:4" x14ac:dyDescent="0.2">
      <c r="A270">
        <v>7</v>
      </c>
      <c r="B270" t="s">
        <v>34</v>
      </c>
      <c r="C270" t="s">
        <v>27</v>
      </c>
      <c r="D270">
        <v>130</v>
      </c>
    </row>
    <row r="271" spans="1:4" x14ac:dyDescent="0.2">
      <c r="A271">
        <v>8</v>
      </c>
      <c r="B271" t="s">
        <v>34</v>
      </c>
      <c r="C271" t="s">
        <v>27</v>
      </c>
      <c r="D271">
        <v>130</v>
      </c>
    </row>
    <row r="272" spans="1:4" x14ac:dyDescent="0.2">
      <c r="A272">
        <v>9</v>
      </c>
      <c r="B272" t="s">
        <v>34</v>
      </c>
      <c r="C272" t="s">
        <v>27</v>
      </c>
      <c r="D272">
        <v>130</v>
      </c>
    </row>
    <row r="273" spans="1:4" x14ac:dyDescent="0.2">
      <c r="A273">
        <v>10</v>
      </c>
      <c r="B273" t="s">
        <v>34</v>
      </c>
      <c r="C273" t="s">
        <v>27</v>
      </c>
      <c r="D273">
        <v>130</v>
      </c>
    </row>
    <row r="274" spans="1:4" x14ac:dyDescent="0.2">
      <c r="A274">
        <v>11</v>
      </c>
      <c r="B274" t="s">
        <v>34</v>
      </c>
      <c r="C274" t="s">
        <v>27</v>
      </c>
      <c r="D274">
        <v>130</v>
      </c>
    </row>
    <row r="275" spans="1:4" x14ac:dyDescent="0.2">
      <c r="A275">
        <v>12</v>
      </c>
      <c r="B275" t="s">
        <v>34</v>
      </c>
      <c r="C275" t="s">
        <v>27</v>
      </c>
      <c r="D275">
        <v>130</v>
      </c>
    </row>
    <row r="276" spans="1:4" x14ac:dyDescent="0.2">
      <c r="A276">
        <v>1</v>
      </c>
      <c r="B276" t="s">
        <v>35</v>
      </c>
      <c r="C276" t="s">
        <v>27</v>
      </c>
      <c r="D276">
        <v>266.89</v>
      </c>
    </row>
    <row r="277" spans="1:4" x14ac:dyDescent="0.2">
      <c r="A277">
        <v>1</v>
      </c>
      <c r="B277" t="s">
        <v>35</v>
      </c>
      <c r="C277" t="s">
        <v>27</v>
      </c>
      <c r="D277">
        <v>31</v>
      </c>
    </row>
    <row r="278" spans="1:4" x14ac:dyDescent="0.2">
      <c r="A278">
        <v>3</v>
      </c>
      <c r="B278" t="s">
        <v>35</v>
      </c>
      <c r="C278" t="s">
        <v>27</v>
      </c>
      <c r="D278">
        <v>297.33999999999997</v>
      </c>
    </row>
    <row r="279" spans="1:4" x14ac:dyDescent="0.2">
      <c r="A279">
        <v>6</v>
      </c>
      <c r="B279" t="s">
        <v>35</v>
      </c>
      <c r="C279" t="s">
        <v>27</v>
      </c>
      <c r="D279">
        <v>297.33999999999997</v>
      </c>
    </row>
    <row r="280" spans="1:4" x14ac:dyDescent="0.2">
      <c r="A280">
        <v>6</v>
      </c>
      <c r="B280" t="s">
        <v>35</v>
      </c>
      <c r="C280" t="s">
        <v>27</v>
      </c>
      <c r="D280">
        <v>-35.950000000000003</v>
      </c>
    </row>
    <row r="281" spans="1:4" x14ac:dyDescent="0.2">
      <c r="A281">
        <v>6</v>
      </c>
      <c r="B281" t="s">
        <v>35</v>
      </c>
      <c r="C281" t="s">
        <v>27</v>
      </c>
      <c r="D281">
        <v>-297.33999999999997</v>
      </c>
    </row>
    <row r="282" spans="1:4" x14ac:dyDescent="0.2">
      <c r="A282">
        <v>7</v>
      </c>
      <c r="B282" t="s">
        <v>35</v>
      </c>
      <c r="C282" t="s">
        <v>27</v>
      </c>
      <c r="D282">
        <v>297.33999999999997</v>
      </c>
    </row>
    <row r="283" spans="1:4" x14ac:dyDescent="0.2">
      <c r="A283">
        <v>7</v>
      </c>
      <c r="B283" t="s">
        <v>35</v>
      </c>
      <c r="C283" t="s">
        <v>27</v>
      </c>
      <c r="D283">
        <v>35.950000000000003</v>
      </c>
    </row>
    <row r="284" spans="1:4" x14ac:dyDescent="0.2">
      <c r="A284">
        <v>9</v>
      </c>
      <c r="B284" t="s">
        <v>35</v>
      </c>
      <c r="C284" t="s">
        <v>27</v>
      </c>
      <c r="D284">
        <v>274.89999999999998</v>
      </c>
    </row>
    <row r="285" spans="1:4" x14ac:dyDescent="0.2">
      <c r="A285">
        <v>12</v>
      </c>
      <c r="B285" t="s">
        <v>35</v>
      </c>
      <c r="C285" t="s">
        <v>27</v>
      </c>
      <c r="D285">
        <v>-30.9</v>
      </c>
    </row>
    <row r="286" spans="1:4" x14ac:dyDescent="0.2">
      <c r="A286">
        <v>12</v>
      </c>
      <c r="B286" t="s">
        <v>35</v>
      </c>
      <c r="C286" t="s">
        <v>27</v>
      </c>
      <c r="D286">
        <v>-30</v>
      </c>
    </row>
    <row r="287" spans="1:4" x14ac:dyDescent="0.2">
      <c r="A287">
        <v>1</v>
      </c>
      <c r="B287" t="s">
        <v>35</v>
      </c>
      <c r="C287" t="s">
        <v>27</v>
      </c>
      <c r="D287">
        <v>54.79</v>
      </c>
    </row>
    <row r="288" spans="1:4" x14ac:dyDescent="0.2">
      <c r="A288">
        <v>2</v>
      </c>
      <c r="B288" t="s">
        <v>35</v>
      </c>
      <c r="C288" t="s">
        <v>27</v>
      </c>
      <c r="D288">
        <v>54.79</v>
      </c>
    </row>
    <row r="289" spans="1:4" x14ac:dyDescent="0.2">
      <c r="A289">
        <v>3</v>
      </c>
      <c r="B289" t="s">
        <v>35</v>
      </c>
      <c r="C289" t="s">
        <v>27</v>
      </c>
      <c r="D289">
        <v>54.79</v>
      </c>
    </row>
    <row r="290" spans="1:4" x14ac:dyDescent="0.2">
      <c r="A290">
        <v>4</v>
      </c>
      <c r="B290" t="s">
        <v>35</v>
      </c>
      <c r="C290" t="s">
        <v>27</v>
      </c>
      <c r="D290">
        <v>54.79</v>
      </c>
    </row>
    <row r="291" spans="1:4" x14ac:dyDescent="0.2">
      <c r="A291">
        <v>5</v>
      </c>
      <c r="B291" t="s">
        <v>35</v>
      </c>
      <c r="C291" t="s">
        <v>27</v>
      </c>
      <c r="D291">
        <v>54.79</v>
      </c>
    </row>
    <row r="292" spans="1:4" x14ac:dyDescent="0.2">
      <c r="A292">
        <v>6</v>
      </c>
      <c r="B292" t="s">
        <v>35</v>
      </c>
      <c r="C292" t="s">
        <v>27</v>
      </c>
      <c r="D292">
        <v>54.79</v>
      </c>
    </row>
    <row r="293" spans="1:4" x14ac:dyDescent="0.2">
      <c r="A293">
        <v>7</v>
      </c>
      <c r="B293" t="s">
        <v>35</v>
      </c>
      <c r="C293" t="s">
        <v>27</v>
      </c>
      <c r="D293">
        <v>54.79</v>
      </c>
    </row>
    <row r="294" spans="1:4" x14ac:dyDescent="0.2">
      <c r="A294">
        <v>8</v>
      </c>
      <c r="B294" t="s">
        <v>35</v>
      </c>
      <c r="C294" t="s">
        <v>27</v>
      </c>
      <c r="D294">
        <v>54.79</v>
      </c>
    </row>
    <row r="295" spans="1:4" x14ac:dyDescent="0.2">
      <c r="A295">
        <v>9</v>
      </c>
      <c r="B295" t="s">
        <v>35</v>
      </c>
      <c r="C295" t="s">
        <v>27</v>
      </c>
      <c r="D295">
        <v>54.79</v>
      </c>
    </row>
    <row r="296" spans="1:4" x14ac:dyDescent="0.2">
      <c r="A296">
        <v>10</v>
      </c>
      <c r="B296" t="s">
        <v>35</v>
      </c>
      <c r="C296" t="s">
        <v>27</v>
      </c>
      <c r="D296">
        <v>54.79</v>
      </c>
    </row>
    <row r="297" spans="1:4" x14ac:dyDescent="0.2">
      <c r="A297">
        <v>11</v>
      </c>
      <c r="B297" t="s">
        <v>35</v>
      </c>
      <c r="C297" t="s">
        <v>27</v>
      </c>
      <c r="D297">
        <v>54.79</v>
      </c>
    </row>
    <row r="298" spans="1:4" x14ac:dyDescent="0.2">
      <c r="A298">
        <v>12</v>
      </c>
      <c r="B298" t="s">
        <v>35</v>
      </c>
      <c r="C298" t="s">
        <v>27</v>
      </c>
      <c r="D298">
        <v>54.79</v>
      </c>
    </row>
    <row r="299" spans="1:4" x14ac:dyDescent="0.2">
      <c r="A299">
        <v>9</v>
      </c>
      <c r="B299" t="s">
        <v>35</v>
      </c>
      <c r="C299" t="s">
        <v>27</v>
      </c>
      <c r="D299">
        <v>51.67</v>
      </c>
    </row>
    <row r="300" spans="1:4" x14ac:dyDescent="0.2">
      <c r="A300">
        <v>9</v>
      </c>
      <c r="B300" t="s">
        <v>35</v>
      </c>
      <c r="C300" t="s">
        <v>27</v>
      </c>
      <c r="D300">
        <v>36.67</v>
      </c>
    </row>
    <row r="301" spans="1:4" x14ac:dyDescent="0.2">
      <c r="A301">
        <v>1</v>
      </c>
      <c r="B301" t="s">
        <v>34</v>
      </c>
      <c r="C301" t="s">
        <v>27</v>
      </c>
      <c r="D301">
        <v>148</v>
      </c>
    </row>
    <row r="302" spans="1:4" x14ac:dyDescent="0.2">
      <c r="A302">
        <v>1</v>
      </c>
      <c r="B302" t="s">
        <v>34</v>
      </c>
      <c r="C302" t="s">
        <v>27</v>
      </c>
      <c r="D302">
        <v>70</v>
      </c>
    </row>
    <row r="303" spans="1:4" x14ac:dyDescent="0.2">
      <c r="A303">
        <v>2</v>
      </c>
      <c r="B303" t="s">
        <v>34</v>
      </c>
      <c r="C303" t="s">
        <v>27</v>
      </c>
      <c r="D303">
        <v>148</v>
      </c>
    </row>
    <row r="304" spans="1:4" x14ac:dyDescent="0.2">
      <c r="A304">
        <v>2</v>
      </c>
      <c r="B304" t="s">
        <v>34</v>
      </c>
      <c r="C304" t="s">
        <v>27</v>
      </c>
      <c r="D304">
        <v>70</v>
      </c>
    </row>
    <row r="305" spans="1:4" x14ac:dyDescent="0.2">
      <c r="A305">
        <v>3</v>
      </c>
      <c r="B305" t="s">
        <v>34</v>
      </c>
      <c r="C305" t="s">
        <v>27</v>
      </c>
      <c r="D305">
        <v>148</v>
      </c>
    </row>
    <row r="306" spans="1:4" x14ac:dyDescent="0.2">
      <c r="A306">
        <v>3</v>
      </c>
      <c r="B306" t="s">
        <v>34</v>
      </c>
      <c r="C306" t="s">
        <v>27</v>
      </c>
      <c r="D306">
        <v>70</v>
      </c>
    </row>
    <row r="307" spans="1:4" x14ac:dyDescent="0.2">
      <c r="A307">
        <v>4</v>
      </c>
      <c r="B307" t="s">
        <v>34</v>
      </c>
      <c r="C307" t="s">
        <v>27</v>
      </c>
      <c r="D307">
        <v>148</v>
      </c>
    </row>
    <row r="308" spans="1:4" x14ac:dyDescent="0.2">
      <c r="A308">
        <v>4</v>
      </c>
      <c r="B308" t="s">
        <v>34</v>
      </c>
      <c r="C308" t="s">
        <v>27</v>
      </c>
      <c r="D308">
        <v>70</v>
      </c>
    </row>
    <row r="309" spans="1:4" x14ac:dyDescent="0.2">
      <c r="A309">
        <v>5</v>
      </c>
      <c r="B309" t="s">
        <v>34</v>
      </c>
      <c r="C309" t="s">
        <v>27</v>
      </c>
      <c r="D309">
        <v>148</v>
      </c>
    </row>
    <row r="310" spans="1:4" x14ac:dyDescent="0.2">
      <c r="A310">
        <v>5</v>
      </c>
      <c r="B310" t="s">
        <v>34</v>
      </c>
      <c r="C310" t="s">
        <v>27</v>
      </c>
      <c r="D310">
        <v>70</v>
      </c>
    </row>
    <row r="311" spans="1:4" x14ac:dyDescent="0.2">
      <c r="A311">
        <v>6</v>
      </c>
      <c r="B311" t="s">
        <v>34</v>
      </c>
      <c r="C311" t="s">
        <v>27</v>
      </c>
      <c r="D311">
        <v>148</v>
      </c>
    </row>
    <row r="312" spans="1:4" x14ac:dyDescent="0.2">
      <c r="A312">
        <v>6</v>
      </c>
      <c r="B312" t="s">
        <v>34</v>
      </c>
      <c r="C312" t="s">
        <v>27</v>
      </c>
      <c r="D312">
        <v>70</v>
      </c>
    </row>
    <row r="313" spans="1:4" x14ac:dyDescent="0.2">
      <c r="A313">
        <v>7</v>
      </c>
      <c r="B313" t="s">
        <v>34</v>
      </c>
      <c r="C313" t="s">
        <v>27</v>
      </c>
      <c r="D313">
        <v>70</v>
      </c>
    </row>
    <row r="314" spans="1:4" x14ac:dyDescent="0.2">
      <c r="A314">
        <v>7</v>
      </c>
      <c r="B314" t="s">
        <v>34</v>
      </c>
      <c r="C314" t="s">
        <v>27</v>
      </c>
      <c r="D314">
        <v>160</v>
      </c>
    </row>
    <row r="315" spans="1:4" x14ac:dyDescent="0.2">
      <c r="A315">
        <v>8</v>
      </c>
      <c r="B315" t="s">
        <v>34</v>
      </c>
      <c r="C315" t="s">
        <v>27</v>
      </c>
      <c r="D315">
        <v>160</v>
      </c>
    </row>
    <row r="316" spans="1:4" x14ac:dyDescent="0.2">
      <c r="A316">
        <v>8</v>
      </c>
      <c r="B316" t="s">
        <v>34</v>
      </c>
      <c r="C316" t="s">
        <v>27</v>
      </c>
      <c r="D316">
        <v>70</v>
      </c>
    </row>
    <row r="317" spans="1:4" x14ac:dyDescent="0.2">
      <c r="A317">
        <v>9</v>
      </c>
      <c r="B317" t="s">
        <v>34</v>
      </c>
      <c r="C317" t="s">
        <v>27</v>
      </c>
      <c r="D317">
        <v>160</v>
      </c>
    </row>
    <row r="318" spans="1:4" x14ac:dyDescent="0.2">
      <c r="A318">
        <v>9</v>
      </c>
      <c r="B318" t="s">
        <v>34</v>
      </c>
      <c r="C318" t="s">
        <v>27</v>
      </c>
      <c r="D318">
        <v>70</v>
      </c>
    </row>
    <row r="319" spans="1:4" x14ac:dyDescent="0.2">
      <c r="A319">
        <v>10</v>
      </c>
      <c r="B319" t="s">
        <v>34</v>
      </c>
      <c r="C319" t="s">
        <v>27</v>
      </c>
      <c r="D319">
        <v>160</v>
      </c>
    </row>
    <row r="320" spans="1:4" x14ac:dyDescent="0.2">
      <c r="A320">
        <v>10</v>
      </c>
      <c r="B320" t="s">
        <v>34</v>
      </c>
      <c r="C320" t="s">
        <v>27</v>
      </c>
      <c r="D320">
        <v>70</v>
      </c>
    </row>
    <row r="321" spans="1:4" x14ac:dyDescent="0.2">
      <c r="A321">
        <v>11</v>
      </c>
      <c r="B321" t="s">
        <v>34</v>
      </c>
      <c r="C321" t="s">
        <v>27</v>
      </c>
      <c r="D321">
        <v>160</v>
      </c>
    </row>
    <row r="322" spans="1:4" x14ac:dyDescent="0.2">
      <c r="A322">
        <v>11</v>
      </c>
      <c r="B322" t="s">
        <v>34</v>
      </c>
      <c r="C322" t="s">
        <v>27</v>
      </c>
      <c r="D322">
        <v>70</v>
      </c>
    </row>
    <row r="323" spans="1:4" x14ac:dyDescent="0.2">
      <c r="A323">
        <v>12</v>
      </c>
      <c r="B323" t="s">
        <v>34</v>
      </c>
      <c r="C323" t="s">
        <v>27</v>
      </c>
      <c r="D323">
        <v>160</v>
      </c>
    </row>
    <row r="324" spans="1:4" x14ac:dyDescent="0.2">
      <c r="A324">
        <v>12</v>
      </c>
      <c r="B324" t="s">
        <v>34</v>
      </c>
      <c r="C324" t="s">
        <v>27</v>
      </c>
      <c r="D324">
        <v>70</v>
      </c>
    </row>
    <row r="325" spans="1:4" x14ac:dyDescent="0.2">
      <c r="A325">
        <v>3</v>
      </c>
      <c r="B325" t="s">
        <v>365</v>
      </c>
      <c r="C325" t="s">
        <v>27</v>
      </c>
      <c r="D325">
        <v>97.5</v>
      </c>
    </row>
    <row r="326" spans="1:4" x14ac:dyDescent="0.2">
      <c r="A326">
        <v>3</v>
      </c>
      <c r="B326" t="s">
        <v>365</v>
      </c>
      <c r="C326" t="s">
        <v>27</v>
      </c>
      <c r="D326">
        <v>120</v>
      </c>
    </row>
    <row r="327" spans="1:4" x14ac:dyDescent="0.2">
      <c r="A327">
        <v>4</v>
      </c>
      <c r="B327" t="s">
        <v>365</v>
      </c>
      <c r="C327" t="s">
        <v>27</v>
      </c>
      <c r="D327">
        <v>60</v>
      </c>
    </row>
    <row r="328" spans="1:4" x14ac:dyDescent="0.2">
      <c r="A328">
        <v>5</v>
      </c>
      <c r="B328" t="s">
        <v>365</v>
      </c>
      <c r="C328" t="s">
        <v>27</v>
      </c>
      <c r="D328">
        <v>60</v>
      </c>
    </row>
    <row r="329" spans="1:4" x14ac:dyDescent="0.2">
      <c r="A329">
        <v>7</v>
      </c>
      <c r="B329" t="s">
        <v>365</v>
      </c>
      <c r="C329" t="s">
        <v>27</v>
      </c>
      <c r="D329">
        <v>60</v>
      </c>
    </row>
    <row r="330" spans="1:4" x14ac:dyDescent="0.2">
      <c r="A330">
        <v>7</v>
      </c>
      <c r="B330" t="s">
        <v>365</v>
      </c>
      <c r="C330" t="s">
        <v>27</v>
      </c>
      <c r="D330">
        <v>60</v>
      </c>
    </row>
    <row r="331" spans="1:4" x14ac:dyDescent="0.2">
      <c r="A331">
        <v>8</v>
      </c>
      <c r="B331" t="s">
        <v>365</v>
      </c>
      <c r="C331" t="s">
        <v>27</v>
      </c>
      <c r="D331">
        <v>60</v>
      </c>
    </row>
    <row r="332" spans="1:4" x14ac:dyDescent="0.2">
      <c r="A332">
        <v>9</v>
      </c>
      <c r="B332" t="s">
        <v>365</v>
      </c>
      <c r="C332" t="s">
        <v>27</v>
      </c>
      <c r="D332">
        <v>60</v>
      </c>
    </row>
    <row r="333" spans="1:4" x14ac:dyDescent="0.2">
      <c r="A333">
        <v>10</v>
      </c>
      <c r="B333" t="s">
        <v>365</v>
      </c>
      <c r="C333" t="s">
        <v>27</v>
      </c>
      <c r="D333">
        <v>60</v>
      </c>
    </row>
    <row r="334" spans="1:4" x14ac:dyDescent="0.2">
      <c r="A334">
        <v>11</v>
      </c>
      <c r="B334" t="s">
        <v>365</v>
      </c>
      <c r="C334" t="s">
        <v>27</v>
      </c>
      <c r="D334">
        <v>60</v>
      </c>
    </row>
    <row r="335" spans="1:4" x14ac:dyDescent="0.2">
      <c r="A335">
        <v>1</v>
      </c>
      <c r="B335" t="s">
        <v>365</v>
      </c>
      <c r="C335" t="s">
        <v>27</v>
      </c>
      <c r="D335">
        <v>14.1</v>
      </c>
    </row>
    <row r="336" spans="1:4" x14ac:dyDescent="0.2">
      <c r="A336">
        <v>9</v>
      </c>
      <c r="B336" t="s">
        <v>365</v>
      </c>
      <c r="C336" t="s">
        <v>27</v>
      </c>
      <c r="D336">
        <v>15.45</v>
      </c>
    </row>
    <row r="337" spans="1:4" x14ac:dyDescent="0.2">
      <c r="A337">
        <v>12</v>
      </c>
      <c r="B337" t="s">
        <v>365</v>
      </c>
      <c r="C337" t="s">
        <v>27</v>
      </c>
      <c r="D337">
        <v>30.9</v>
      </c>
    </row>
    <row r="338" spans="1:4" x14ac:dyDescent="0.2">
      <c r="A338">
        <v>2</v>
      </c>
      <c r="B338" t="s">
        <v>365</v>
      </c>
      <c r="C338" t="s">
        <v>27</v>
      </c>
      <c r="D338">
        <v>16.66</v>
      </c>
    </row>
    <row r="339" spans="1:4" x14ac:dyDescent="0.2">
      <c r="A339">
        <v>2</v>
      </c>
      <c r="B339" t="s">
        <v>365</v>
      </c>
      <c r="C339" t="s">
        <v>27</v>
      </c>
      <c r="D339">
        <v>880.83</v>
      </c>
    </row>
    <row r="340" spans="1:4" x14ac:dyDescent="0.2">
      <c r="A340">
        <v>2</v>
      </c>
      <c r="B340" t="s">
        <v>365</v>
      </c>
      <c r="C340" t="s">
        <v>27</v>
      </c>
      <c r="D340">
        <v>25</v>
      </c>
    </row>
    <row r="341" spans="1:4" x14ac:dyDescent="0.2">
      <c r="A341">
        <v>3</v>
      </c>
      <c r="B341" t="s">
        <v>365</v>
      </c>
      <c r="C341" t="s">
        <v>27</v>
      </c>
      <c r="D341">
        <v>445.99</v>
      </c>
    </row>
    <row r="342" spans="1:4" x14ac:dyDescent="0.2">
      <c r="A342">
        <v>4</v>
      </c>
      <c r="B342" t="s">
        <v>365</v>
      </c>
      <c r="C342" t="s">
        <v>27</v>
      </c>
      <c r="D342">
        <v>13.33</v>
      </c>
    </row>
    <row r="343" spans="1:4" x14ac:dyDescent="0.2">
      <c r="A343">
        <v>7</v>
      </c>
      <c r="B343" t="s">
        <v>365</v>
      </c>
      <c r="C343" t="s">
        <v>27</v>
      </c>
      <c r="D343">
        <v>14.16</v>
      </c>
    </row>
    <row r="344" spans="1:4" x14ac:dyDescent="0.2">
      <c r="A344">
        <v>3</v>
      </c>
      <c r="B344" t="s">
        <v>365</v>
      </c>
      <c r="C344" t="s">
        <v>27</v>
      </c>
      <c r="D344">
        <v>236.48</v>
      </c>
    </row>
    <row r="345" spans="1:4" x14ac:dyDescent="0.2">
      <c r="A345">
        <v>4</v>
      </c>
      <c r="B345" t="s">
        <v>365</v>
      </c>
      <c r="C345" t="s">
        <v>27</v>
      </c>
      <c r="D345">
        <v>801.59</v>
      </c>
    </row>
    <row r="346" spans="1:4" x14ac:dyDescent="0.2">
      <c r="A346">
        <v>5</v>
      </c>
      <c r="B346" t="s">
        <v>365</v>
      </c>
      <c r="C346" t="s">
        <v>27</v>
      </c>
      <c r="D346">
        <v>71.67</v>
      </c>
    </row>
    <row r="347" spans="1:4" x14ac:dyDescent="0.2">
      <c r="A347">
        <v>5</v>
      </c>
      <c r="B347" t="s">
        <v>365</v>
      </c>
      <c r="C347" t="s">
        <v>27</v>
      </c>
      <c r="D347">
        <v>14.33</v>
      </c>
    </row>
    <row r="348" spans="1:4" x14ac:dyDescent="0.2">
      <c r="A348">
        <v>4</v>
      </c>
      <c r="B348" t="s">
        <v>365</v>
      </c>
      <c r="C348" t="s">
        <v>27</v>
      </c>
      <c r="D348">
        <v>34.18</v>
      </c>
    </row>
    <row r="349" spans="1:4" x14ac:dyDescent="0.2">
      <c r="A349">
        <v>5</v>
      </c>
      <c r="B349" t="s">
        <v>365</v>
      </c>
      <c r="C349" t="s">
        <v>27</v>
      </c>
      <c r="D349">
        <v>34.18</v>
      </c>
    </row>
    <row r="350" spans="1:4" x14ac:dyDescent="0.2">
      <c r="A350">
        <v>6</v>
      </c>
      <c r="B350" t="s">
        <v>365</v>
      </c>
      <c r="C350" t="s">
        <v>27</v>
      </c>
      <c r="D350">
        <v>34.18</v>
      </c>
    </row>
    <row r="351" spans="1:4" x14ac:dyDescent="0.2">
      <c r="A351">
        <v>7</v>
      </c>
      <c r="B351" t="s">
        <v>365</v>
      </c>
      <c r="C351" t="s">
        <v>27</v>
      </c>
      <c r="D351">
        <v>34.18</v>
      </c>
    </row>
    <row r="352" spans="1:4" x14ac:dyDescent="0.2">
      <c r="A352">
        <v>8</v>
      </c>
      <c r="B352" t="s">
        <v>365</v>
      </c>
      <c r="C352" t="s">
        <v>27</v>
      </c>
      <c r="D352">
        <v>34.18</v>
      </c>
    </row>
    <row r="353" spans="1:4" x14ac:dyDescent="0.2">
      <c r="A353">
        <v>9</v>
      </c>
      <c r="B353" t="s">
        <v>365</v>
      </c>
      <c r="C353" t="s">
        <v>27</v>
      </c>
      <c r="D353">
        <v>34.18</v>
      </c>
    </row>
    <row r="354" spans="1:4" x14ac:dyDescent="0.2">
      <c r="A354">
        <v>10</v>
      </c>
      <c r="B354" t="s">
        <v>365</v>
      </c>
      <c r="C354" t="s">
        <v>27</v>
      </c>
      <c r="D354">
        <v>34.18</v>
      </c>
    </row>
    <row r="355" spans="1:4" x14ac:dyDescent="0.2">
      <c r="A355">
        <v>10</v>
      </c>
      <c r="B355" t="s">
        <v>365</v>
      </c>
      <c r="C355" t="s">
        <v>27</v>
      </c>
      <c r="D355">
        <v>10</v>
      </c>
    </row>
    <row r="356" spans="1:4" x14ac:dyDescent="0.2">
      <c r="A356">
        <v>10</v>
      </c>
      <c r="B356" t="s">
        <v>365</v>
      </c>
      <c r="C356" t="s">
        <v>27</v>
      </c>
      <c r="D356">
        <v>10</v>
      </c>
    </row>
    <row r="357" spans="1:4" x14ac:dyDescent="0.2">
      <c r="A357">
        <v>11</v>
      </c>
      <c r="B357" t="s">
        <v>365</v>
      </c>
      <c r="C357" t="s">
        <v>27</v>
      </c>
      <c r="D357">
        <v>34.18</v>
      </c>
    </row>
    <row r="358" spans="1:4" x14ac:dyDescent="0.2">
      <c r="A358">
        <v>11</v>
      </c>
      <c r="B358" t="s">
        <v>365</v>
      </c>
      <c r="C358" t="s">
        <v>27</v>
      </c>
      <c r="D358">
        <v>13.33</v>
      </c>
    </row>
    <row r="359" spans="1:4" x14ac:dyDescent="0.2">
      <c r="A359">
        <v>12</v>
      </c>
      <c r="B359" t="s">
        <v>365</v>
      </c>
      <c r="C359" t="s">
        <v>27</v>
      </c>
      <c r="D359">
        <v>34.18</v>
      </c>
    </row>
    <row r="360" spans="1:4" x14ac:dyDescent="0.2">
      <c r="A360">
        <v>12</v>
      </c>
      <c r="B360" t="s">
        <v>365</v>
      </c>
      <c r="C360" t="s">
        <v>27</v>
      </c>
      <c r="D360">
        <v>358.07</v>
      </c>
    </row>
    <row r="361" spans="1:4" x14ac:dyDescent="0.2">
      <c r="A361">
        <v>1</v>
      </c>
      <c r="B361" t="s">
        <v>365</v>
      </c>
      <c r="C361" t="s">
        <v>27</v>
      </c>
      <c r="D361">
        <v>14</v>
      </c>
    </row>
    <row r="362" spans="1:4" x14ac:dyDescent="0.2">
      <c r="A362">
        <v>1</v>
      </c>
      <c r="B362" t="s">
        <v>365</v>
      </c>
      <c r="C362" t="s">
        <v>27</v>
      </c>
      <c r="D362">
        <v>0.99</v>
      </c>
    </row>
    <row r="363" spans="1:4" x14ac:dyDescent="0.2">
      <c r="A363">
        <v>1</v>
      </c>
      <c r="B363" t="s">
        <v>365</v>
      </c>
      <c r="C363" t="s">
        <v>27</v>
      </c>
      <c r="D363">
        <v>136</v>
      </c>
    </row>
    <row r="364" spans="1:4" x14ac:dyDescent="0.2">
      <c r="A364">
        <v>1</v>
      </c>
      <c r="B364" t="s">
        <v>365</v>
      </c>
      <c r="C364" t="s">
        <v>27</v>
      </c>
      <c r="D364">
        <v>11.99</v>
      </c>
    </row>
    <row r="365" spans="1:4" x14ac:dyDescent="0.2">
      <c r="A365">
        <v>1</v>
      </c>
      <c r="B365" t="s">
        <v>365</v>
      </c>
      <c r="C365" t="s">
        <v>27</v>
      </c>
      <c r="D365">
        <v>39.04</v>
      </c>
    </row>
    <row r="366" spans="1:4" x14ac:dyDescent="0.2">
      <c r="A366">
        <v>1</v>
      </c>
      <c r="B366" t="s">
        <v>365</v>
      </c>
      <c r="C366" t="s">
        <v>27</v>
      </c>
      <c r="D366">
        <v>29.13</v>
      </c>
    </row>
    <row r="367" spans="1:4" x14ac:dyDescent="0.2">
      <c r="A367">
        <v>1</v>
      </c>
      <c r="B367" t="s">
        <v>365</v>
      </c>
      <c r="C367" t="s">
        <v>27</v>
      </c>
      <c r="D367">
        <v>16.79</v>
      </c>
    </row>
    <row r="368" spans="1:4" x14ac:dyDescent="0.2">
      <c r="A368">
        <v>1</v>
      </c>
      <c r="B368" t="s">
        <v>365</v>
      </c>
      <c r="C368" t="s">
        <v>27</v>
      </c>
      <c r="D368">
        <v>19.3</v>
      </c>
    </row>
    <row r="369" spans="1:4" x14ac:dyDescent="0.2">
      <c r="A369">
        <v>2</v>
      </c>
      <c r="B369" t="s">
        <v>365</v>
      </c>
      <c r="C369" t="s">
        <v>27</v>
      </c>
      <c r="D369">
        <v>14</v>
      </c>
    </row>
    <row r="370" spans="1:4" x14ac:dyDescent="0.2">
      <c r="A370">
        <v>2</v>
      </c>
      <c r="B370" t="s">
        <v>365</v>
      </c>
      <c r="C370" t="s">
        <v>27</v>
      </c>
      <c r="D370">
        <v>156</v>
      </c>
    </row>
    <row r="371" spans="1:4" x14ac:dyDescent="0.2">
      <c r="A371">
        <v>2</v>
      </c>
      <c r="B371" t="s">
        <v>365</v>
      </c>
      <c r="C371" t="s">
        <v>27</v>
      </c>
      <c r="D371">
        <v>0.99</v>
      </c>
    </row>
    <row r="372" spans="1:4" x14ac:dyDescent="0.2">
      <c r="A372">
        <v>2</v>
      </c>
      <c r="B372" t="s">
        <v>365</v>
      </c>
      <c r="C372" t="s">
        <v>27</v>
      </c>
      <c r="D372">
        <v>11.99</v>
      </c>
    </row>
    <row r="373" spans="1:4" x14ac:dyDescent="0.2">
      <c r="A373">
        <v>2</v>
      </c>
      <c r="B373" t="s">
        <v>365</v>
      </c>
      <c r="C373" t="s">
        <v>27</v>
      </c>
      <c r="D373">
        <v>7.99</v>
      </c>
    </row>
    <row r="374" spans="1:4" x14ac:dyDescent="0.2">
      <c r="A374">
        <v>2</v>
      </c>
      <c r="B374" t="s">
        <v>365</v>
      </c>
      <c r="C374" t="s">
        <v>27</v>
      </c>
      <c r="D374">
        <v>39.04</v>
      </c>
    </row>
    <row r="375" spans="1:4" x14ac:dyDescent="0.2">
      <c r="A375">
        <v>2</v>
      </c>
      <c r="B375" t="s">
        <v>365</v>
      </c>
      <c r="C375" t="s">
        <v>27</v>
      </c>
      <c r="D375">
        <v>34.950000000000003</v>
      </c>
    </row>
    <row r="376" spans="1:4" x14ac:dyDescent="0.2">
      <c r="A376">
        <v>2</v>
      </c>
      <c r="B376" t="s">
        <v>365</v>
      </c>
      <c r="C376" t="s">
        <v>27</v>
      </c>
      <c r="D376">
        <v>19.14</v>
      </c>
    </row>
    <row r="377" spans="1:4" x14ac:dyDescent="0.2">
      <c r="A377">
        <v>3</v>
      </c>
      <c r="B377" t="s">
        <v>365</v>
      </c>
      <c r="C377" t="s">
        <v>27</v>
      </c>
      <c r="D377">
        <v>16.79</v>
      </c>
    </row>
    <row r="378" spans="1:4" x14ac:dyDescent="0.2">
      <c r="A378">
        <v>3</v>
      </c>
      <c r="B378" t="s">
        <v>365</v>
      </c>
      <c r="C378" t="s">
        <v>27</v>
      </c>
      <c r="D378">
        <v>14</v>
      </c>
    </row>
    <row r="379" spans="1:4" x14ac:dyDescent="0.2">
      <c r="A379">
        <v>3</v>
      </c>
      <c r="B379" t="s">
        <v>365</v>
      </c>
      <c r="C379" t="s">
        <v>27</v>
      </c>
      <c r="D379">
        <v>0.99</v>
      </c>
    </row>
    <row r="380" spans="1:4" x14ac:dyDescent="0.2">
      <c r="A380">
        <v>3</v>
      </c>
      <c r="B380" t="s">
        <v>365</v>
      </c>
      <c r="C380" t="s">
        <v>27</v>
      </c>
      <c r="D380">
        <v>156</v>
      </c>
    </row>
    <row r="381" spans="1:4" x14ac:dyDescent="0.2">
      <c r="A381">
        <v>3</v>
      </c>
      <c r="B381" t="s">
        <v>365</v>
      </c>
      <c r="C381" t="s">
        <v>27</v>
      </c>
      <c r="D381">
        <v>11.99</v>
      </c>
    </row>
    <row r="382" spans="1:4" x14ac:dyDescent="0.2">
      <c r="A382">
        <v>3</v>
      </c>
      <c r="B382" t="s">
        <v>365</v>
      </c>
      <c r="C382" t="s">
        <v>27</v>
      </c>
      <c r="D382">
        <v>34.950000000000003</v>
      </c>
    </row>
    <row r="383" spans="1:4" x14ac:dyDescent="0.2">
      <c r="A383">
        <v>3</v>
      </c>
      <c r="B383" t="s">
        <v>365</v>
      </c>
      <c r="C383" t="s">
        <v>27</v>
      </c>
      <c r="D383">
        <v>19.14</v>
      </c>
    </row>
    <row r="384" spans="1:4" x14ac:dyDescent="0.2">
      <c r="A384">
        <v>4</v>
      </c>
      <c r="B384" t="s">
        <v>365</v>
      </c>
      <c r="C384" t="s">
        <v>27</v>
      </c>
      <c r="D384">
        <v>15.55</v>
      </c>
    </row>
    <row r="385" spans="1:4" x14ac:dyDescent="0.2">
      <c r="A385">
        <v>4</v>
      </c>
      <c r="B385" t="s">
        <v>365</v>
      </c>
      <c r="C385" t="s">
        <v>27</v>
      </c>
      <c r="D385">
        <v>16.8</v>
      </c>
    </row>
    <row r="386" spans="1:4" x14ac:dyDescent="0.2">
      <c r="A386">
        <v>4</v>
      </c>
      <c r="B386" t="s">
        <v>365</v>
      </c>
      <c r="C386" t="s">
        <v>27</v>
      </c>
      <c r="D386">
        <v>156</v>
      </c>
    </row>
    <row r="387" spans="1:4" x14ac:dyDescent="0.2">
      <c r="A387">
        <v>4</v>
      </c>
      <c r="B387" t="s">
        <v>365</v>
      </c>
      <c r="C387" t="s">
        <v>27</v>
      </c>
      <c r="D387">
        <v>0.99</v>
      </c>
    </row>
    <row r="388" spans="1:4" x14ac:dyDescent="0.2">
      <c r="A388">
        <v>4</v>
      </c>
      <c r="B388" t="s">
        <v>365</v>
      </c>
      <c r="C388" t="s">
        <v>27</v>
      </c>
      <c r="D388">
        <v>11.99</v>
      </c>
    </row>
    <row r="389" spans="1:4" x14ac:dyDescent="0.2">
      <c r="A389">
        <v>4</v>
      </c>
      <c r="B389" t="s">
        <v>365</v>
      </c>
      <c r="C389" t="s">
        <v>27</v>
      </c>
      <c r="D389">
        <v>34.950000000000003</v>
      </c>
    </row>
    <row r="390" spans="1:4" x14ac:dyDescent="0.2">
      <c r="A390">
        <v>4</v>
      </c>
      <c r="B390" t="s">
        <v>365</v>
      </c>
      <c r="C390" t="s">
        <v>27</v>
      </c>
      <c r="D390">
        <v>17.55</v>
      </c>
    </row>
    <row r="391" spans="1:4" x14ac:dyDescent="0.2">
      <c r="A391">
        <v>5</v>
      </c>
      <c r="B391" t="s">
        <v>365</v>
      </c>
      <c r="C391" t="s">
        <v>27</v>
      </c>
      <c r="D391">
        <v>1.64</v>
      </c>
    </row>
    <row r="392" spans="1:4" x14ac:dyDescent="0.2">
      <c r="A392">
        <v>5</v>
      </c>
      <c r="B392" t="s">
        <v>365</v>
      </c>
      <c r="C392" t="s">
        <v>27</v>
      </c>
      <c r="D392">
        <v>24.58</v>
      </c>
    </row>
    <row r="393" spans="1:4" x14ac:dyDescent="0.2">
      <c r="A393">
        <v>5</v>
      </c>
      <c r="B393" t="s">
        <v>365</v>
      </c>
      <c r="C393" t="s">
        <v>27</v>
      </c>
      <c r="D393">
        <v>14</v>
      </c>
    </row>
    <row r="394" spans="1:4" x14ac:dyDescent="0.2">
      <c r="A394">
        <v>5</v>
      </c>
      <c r="B394" t="s">
        <v>365</v>
      </c>
      <c r="C394" t="s">
        <v>27</v>
      </c>
      <c r="D394">
        <v>0.99</v>
      </c>
    </row>
    <row r="395" spans="1:4" x14ac:dyDescent="0.2">
      <c r="A395">
        <v>5</v>
      </c>
      <c r="B395" t="s">
        <v>365</v>
      </c>
      <c r="C395" t="s">
        <v>27</v>
      </c>
      <c r="D395">
        <v>163.09</v>
      </c>
    </row>
    <row r="396" spans="1:4" x14ac:dyDescent="0.2">
      <c r="A396">
        <v>5</v>
      </c>
      <c r="B396" t="s">
        <v>365</v>
      </c>
      <c r="C396" t="s">
        <v>27</v>
      </c>
      <c r="D396">
        <v>11.99</v>
      </c>
    </row>
    <row r="397" spans="1:4" x14ac:dyDescent="0.2">
      <c r="A397">
        <v>5</v>
      </c>
      <c r="B397" t="s">
        <v>365</v>
      </c>
      <c r="C397" t="s">
        <v>27</v>
      </c>
      <c r="D397">
        <v>34.950000000000003</v>
      </c>
    </row>
    <row r="398" spans="1:4" x14ac:dyDescent="0.2">
      <c r="A398">
        <v>5</v>
      </c>
      <c r="B398" t="s">
        <v>365</v>
      </c>
      <c r="C398" t="s">
        <v>27</v>
      </c>
      <c r="D398">
        <v>100</v>
      </c>
    </row>
    <row r="399" spans="1:4" x14ac:dyDescent="0.2">
      <c r="A399">
        <v>5</v>
      </c>
      <c r="B399" t="s">
        <v>365</v>
      </c>
      <c r="C399" t="s">
        <v>27</v>
      </c>
      <c r="D399">
        <v>7.07</v>
      </c>
    </row>
    <row r="400" spans="1:4" x14ac:dyDescent="0.2">
      <c r="A400">
        <v>5</v>
      </c>
      <c r="B400" t="s">
        <v>365</v>
      </c>
      <c r="C400" t="s">
        <v>27</v>
      </c>
      <c r="D400">
        <v>17.62</v>
      </c>
    </row>
    <row r="401" spans="1:4" x14ac:dyDescent="0.2">
      <c r="A401">
        <v>5</v>
      </c>
      <c r="B401" t="s">
        <v>365</v>
      </c>
      <c r="C401" t="s">
        <v>27</v>
      </c>
      <c r="D401">
        <v>14</v>
      </c>
    </row>
    <row r="402" spans="1:4" x14ac:dyDescent="0.2">
      <c r="A402">
        <v>6</v>
      </c>
      <c r="B402" t="s">
        <v>365</v>
      </c>
      <c r="C402" t="s">
        <v>27</v>
      </c>
      <c r="D402">
        <v>20.48</v>
      </c>
    </row>
    <row r="403" spans="1:4" x14ac:dyDescent="0.2">
      <c r="A403">
        <v>6</v>
      </c>
      <c r="B403" t="s">
        <v>365</v>
      </c>
      <c r="C403" t="s">
        <v>27</v>
      </c>
      <c r="D403">
        <v>0.99</v>
      </c>
    </row>
    <row r="404" spans="1:4" x14ac:dyDescent="0.2">
      <c r="A404">
        <v>6</v>
      </c>
      <c r="B404" t="s">
        <v>365</v>
      </c>
      <c r="C404" t="s">
        <v>27</v>
      </c>
      <c r="D404">
        <v>11.99</v>
      </c>
    </row>
    <row r="405" spans="1:4" x14ac:dyDescent="0.2">
      <c r="A405">
        <v>6</v>
      </c>
      <c r="B405" t="s">
        <v>365</v>
      </c>
      <c r="C405" t="s">
        <v>27</v>
      </c>
      <c r="D405">
        <v>140.61000000000001</v>
      </c>
    </row>
    <row r="406" spans="1:4" x14ac:dyDescent="0.2">
      <c r="A406">
        <v>6</v>
      </c>
      <c r="B406" t="s">
        <v>365</v>
      </c>
      <c r="C406" t="s">
        <v>27</v>
      </c>
      <c r="D406">
        <v>34.950000000000003</v>
      </c>
    </row>
    <row r="407" spans="1:4" x14ac:dyDescent="0.2">
      <c r="A407">
        <v>6</v>
      </c>
      <c r="B407" t="s">
        <v>365</v>
      </c>
      <c r="C407" t="s">
        <v>27</v>
      </c>
      <c r="D407">
        <v>6.82</v>
      </c>
    </row>
    <row r="408" spans="1:4" x14ac:dyDescent="0.2">
      <c r="A408">
        <v>6</v>
      </c>
      <c r="B408" t="s">
        <v>365</v>
      </c>
      <c r="C408" t="s">
        <v>27</v>
      </c>
      <c r="D408">
        <v>17.12</v>
      </c>
    </row>
    <row r="409" spans="1:4" x14ac:dyDescent="0.2">
      <c r="A409">
        <v>6</v>
      </c>
      <c r="B409" t="s">
        <v>365</v>
      </c>
      <c r="C409" t="s">
        <v>27</v>
      </c>
      <c r="D409">
        <v>4.0999999999999996</v>
      </c>
    </row>
    <row r="410" spans="1:4" x14ac:dyDescent="0.2">
      <c r="A410">
        <v>7</v>
      </c>
      <c r="B410" t="s">
        <v>365</v>
      </c>
      <c r="C410" t="s">
        <v>27</v>
      </c>
      <c r="D410">
        <v>20.48</v>
      </c>
    </row>
    <row r="411" spans="1:4" x14ac:dyDescent="0.2">
      <c r="A411">
        <v>7</v>
      </c>
      <c r="B411" t="s">
        <v>365</v>
      </c>
      <c r="C411" t="s">
        <v>27</v>
      </c>
      <c r="D411">
        <v>1500</v>
      </c>
    </row>
    <row r="412" spans="1:4" x14ac:dyDescent="0.2">
      <c r="A412">
        <v>7</v>
      </c>
      <c r="B412" t="s">
        <v>365</v>
      </c>
      <c r="C412" t="s">
        <v>27</v>
      </c>
      <c r="D412">
        <v>-867.09</v>
      </c>
    </row>
    <row r="413" spans="1:4" x14ac:dyDescent="0.2">
      <c r="A413">
        <v>7</v>
      </c>
      <c r="B413" t="s">
        <v>365</v>
      </c>
      <c r="C413" t="s">
        <v>27</v>
      </c>
      <c r="D413">
        <v>0.99</v>
      </c>
    </row>
    <row r="414" spans="1:4" x14ac:dyDescent="0.2">
      <c r="A414">
        <v>7</v>
      </c>
      <c r="B414" t="s">
        <v>365</v>
      </c>
      <c r="C414" t="s">
        <v>27</v>
      </c>
      <c r="D414">
        <v>11.99</v>
      </c>
    </row>
    <row r="415" spans="1:4" x14ac:dyDescent="0.2">
      <c r="A415">
        <v>7</v>
      </c>
      <c r="B415" t="s">
        <v>365</v>
      </c>
      <c r="C415" t="s">
        <v>27</v>
      </c>
      <c r="D415">
        <v>34.950000000000003</v>
      </c>
    </row>
    <row r="416" spans="1:4" x14ac:dyDescent="0.2">
      <c r="A416">
        <v>7</v>
      </c>
      <c r="B416" t="s">
        <v>365</v>
      </c>
      <c r="C416" t="s">
        <v>27</v>
      </c>
      <c r="D416">
        <v>6.86</v>
      </c>
    </row>
    <row r="417" spans="1:4" x14ac:dyDescent="0.2">
      <c r="A417">
        <v>7</v>
      </c>
      <c r="B417" t="s">
        <v>365</v>
      </c>
      <c r="C417" t="s">
        <v>27</v>
      </c>
      <c r="D417">
        <v>17.38</v>
      </c>
    </row>
    <row r="418" spans="1:4" x14ac:dyDescent="0.2">
      <c r="A418">
        <v>8</v>
      </c>
      <c r="B418" t="s">
        <v>365</v>
      </c>
      <c r="C418" t="s">
        <v>27</v>
      </c>
      <c r="D418">
        <v>20.48</v>
      </c>
    </row>
    <row r="419" spans="1:4" x14ac:dyDescent="0.2">
      <c r="A419">
        <v>8</v>
      </c>
      <c r="B419" t="s">
        <v>365</v>
      </c>
      <c r="C419" t="s">
        <v>27</v>
      </c>
      <c r="D419">
        <v>40</v>
      </c>
    </row>
    <row r="420" spans="1:4" x14ac:dyDescent="0.2">
      <c r="A420">
        <v>8</v>
      </c>
      <c r="B420" t="s">
        <v>365</v>
      </c>
      <c r="C420" t="s">
        <v>27</v>
      </c>
      <c r="D420">
        <v>0.99</v>
      </c>
    </row>
    <row r="421" spans="1:4" x14ac:dyDescent="0.2">
      <c r="A421">
        <v>8</v>
      </c>
      <c r="B421" t="s">
        <v>365</v>
      </c>
      <c r="C421" t="s">
        <v>27</v>
      </c>
      <c r="D421">
        <v>11.99</v>
      </c>
    </row>
    <row r="422" spans="1:4" x14ac:dyDescent="0.2">
      <c r="A422">
        <v>8</v>
      </c>
      <c r="B422" t="s">
        <v>365</v>
      </c>
      <c r="C422" t="s">
        <v>27</v>
      </c>
      <c r="D422">
        <v>34.950000000000003</v>
      </c>
    </row>
    <row r="423" spans="1:4" x14ac:dyDescent="0.2">
      <c r="A423">
        <v>8</v>
      </c>
      <c r="B423" t="s">
        <v>365</v>
      </c>
      <c r="C423" t="s">
        <v>27</v>
      </c>
      <c r="D423">
        <v>6.86</v>
      </c>
    </row>
    <row r="424" spans="1:4" x14ac:dyDescent="0.2">
      <c r="A424">
        <v>8</v>
      </c>
      <c r="B424" t="s">
        <v>365</v>
      </c>
      <c r="C424" t="s">
        <v>27</v>
      </c>
      <c r="D424">
        <v>17.11</v>
      </c>
    </row>
    <row r="425" spans="1:4" x14ac:dyDescent="0.2">
      <c r="A425">
        <v>9</v>
      </c>
      <c r="B425" t="s">
        <v>365</v>
      </c>
      <c r="C425" t="s">
        <v>27</v>
      </c>
      <c r="D425">
        <v>20.48</v>
      </c>
    </row>
    <row r="426" spans="1:4" x14ac:dyDescent="0.2">
      <c r="A426">
        <v>9</v>
      </c>
      <c r="B426" t="s">
        <v>365</v>
      </c>
      <c r="C426" t="s">
        <v>27</v>
      </c>
      <c r="D426">
        <v>15.39</v>
      </c>
    </row>
    <row r="427" spans="1:4" x14ac:dyDescent="0.2">
      <c r="A427">
        <v>9</v>
      </c>
      <c r="B427" t="s">
        <v>365</v>
      </c>
      <c r="C427" t="s">
        <v>27</v>
      </c>
      <c r="D427">
        <v>11.99</v>
      </c>
    </row>
    <row r="428" spans="1:4" x14ac:dyDescent="0.2">
      <c r="A428">
        <v>9</v>
      </c>
      <c r="B428" t="s">
        <v>365</v>
      </c>
      <c r="C428" t="s">
        <v>27</v>
      </c>
      <c r="D428">
        <v>34.950000000000003</v>
      </c>
    </row>
    <row r="429" spans="1:4" x14ac:dyDescent="0.2">
      <c r="A429">
        <v>9</v>
      </c>
      <c r="B429" t="s">
        <v>365</v>
      </c>
      <c r="C429" t="s">
        <v>27</v>
      </c>
      <c r="D429">
        <v>702</v>
      </c>
    </row>
    <row r="430" spans="1:4" x14ac:dyDescent="0.2">
      <c r="A430">
        <v>9</v>
      </c>
      <c r="B430" t="s">
        <v>365</v>
      </c>
      <c r="C430" t="s">
        <v>27</v>
      </c>
      <c r="D430">
        <v>6.84</v>
      </c>
    </row>
    <row r="431" spans="1:4" x14ac:dyDescent="0.2">
      <c r="A431">
        <v>9</v>
      </c>
      <c r="B431" t="s">
        <v>365</v>
      </c>
      <c r="C431" t="s">
        <v>27</v>
      </c>
      <c r="D431">
        <v>17.04</v>
      </c>
    </row>
    <row r="432" spans="1:4" x14ac:dyDescent="0.2">
      <c r="A432">
        <v>10</v>
      </c>
      <c r="B432" t="s">
        <v>365</v>
      </c>
      <c r="C432" t="s">
        <v>27</v>
      </c>
      <c r="D432">
        <v>20.48</v>
      </c>
    </row>
    <row r="433" spans="1:4" x14ac:dyDescent="0.2">
      <c r="A433">
        <v>10</v>
      </c>
      <c r="B433" t="s">
        <v>365</v>
      </c>
      <c r="C433" t="s">
        <v>27</v>
      </c>
      <c r="D433">
        <v>0.99</v>
      </c>
    </row>
    <row r="434" spans="1:4" x14ac:dyDescent="0.2">
      <c r="A434">
        <v>10</v>
      </c>
      <c r="B434" t="s">
        <v>365</v>
      </c>
      <c r="C434" t="s">
        <v>27</v>
      </c>
      <c r="D434">
        <v>11.99</v>
      </c>
    </row>
    <row r="435" spans="1:4" x14ac:dyDescent="0.2">
      <c r="A435">
        <v>10</v>
      </c>
      <c r="B435" t="s">
        <v>365</v>
      </c>
      <c r="C435" t="s">
        <v>27</v>
      </c>
      <c r="D435">
        <v>99</v>
      </c>
    </row>
    <row r="436" spans="1:4" x14ac:dyDescent="0.2">
      <c r="A436">
        <v>10</v>
      </c>
      <c r="B436" t="s">
        <v>365</v>
      </c>
      <c r="C436" t="s">
        <v>27</v>
      </c>
      <c r="D436">
        <v>34.950000000000003</v>
      </c>
    </row>
    <row r="437" spans="1:4" x14ac:dyDescent="0.2">
      <c r="A437">
        <v>10</v>
      </c>
      <c r="B437" t="s">
        <v>365</v>
      </c>
      <c r="C437" t="s">
        <v>27</v>
      </c>
      <c r="D437">
        <v>6.86</v>
      </c>
    </row>
    <row r="438" spans="1:4" x14ac:dyDescent="0.2">
      <c r="A438">
        <v>10</v>
      </c>
      <c r="B438" t="s">
        <v>365</v>
      </c>
      <c r="C438" t="s">
        <v>27</v>
      </c>
      <c r="D438">
        <v>-6.67</v>
      </c>
    </row>
    <row r="439" spans="1:4" x14ac:dyDescent="0.2">
      <c r="A439">
        <v>10</v>
      </c>
      <c r="B439" t="s">
        <v>365</v>
      </c>
      <c r="C439" t="s">
        <v>27</v>
      </c>
      <c r="D439">
        <v>17.25</v>
      </c>
    </row>
    <row r="440" spans="1:4" x14ac:dyDescent="0.2">
      <c r="A440">
        <v>11</v>
      </c>
      <c r="B440" t="s">
        <v>365</v>
      </c>
      <c r="C440" t="s">
        <v>27</v>
      </c>
      <c r="D440">
        <v>20.48</v>
      </c>
    </row>
    <row r="441" spans="1:4" x14ac:dyDescent="0.2">
      <c r="A441">
        <v>11</v>
      </c>
      <c r="B441" t="s">
        <v>365</v>
      </c>
      <c r="C441" t="s">
        <v>27</v>
      </c>
      <c r="D441">
        <v>11.99</v>
      </c>
    </row>
    <row r="442" spans="1:4" x14ac:dyDescent="0.2">
      <c r="A442">
        <v>11</v>
      </c>
      <c r="B442" t="s">
        <v>365</v>
      </c>
      <c r="C442" t="s">
        <v>27</v>
      </c>
      <c r="D442">
        <v>0.99</v>
      </c>
    </row>
    <row r="443" spans="1:4" x14ac:dyDescent="0.2">
      <c r="A443">
        <v>11</v>
      </c>
      <c r="B443" t="s">
        <v>365</v>
      </c>
      <c r="C443" t="s">
        <v>27</v>
      </c>
      <c r="D443">
        <v>0.99</v>
      </c>
    </row>
    <row r="444" spans="1:4" x14ac:dyDescent="0.2">
      <c r="A444">
        <v>11</v>
      </c>
      <c r="B444" t="s">
        <v>365</v>
      </c>
      <c r="C444" t="s">
        <v>27</v>
      </c>
      <c r="D444">
        <v>34.950000000000003</v>
      </c>
    </row>
    <row r="445" spans="1:4" x14ac:dyDescent="0.2">
      <c r="A445">
        <v>11</v>
      </c>
      <c r="B445" t="s">
        <v>365</v>
      </c>
      <c r="C445" t="s">
        <v>27</v>
      </c>
      <c r="D445">
        <v>17.239999999999998</v>
      </c>
    </row>
    <row r="446" spans="1:4" x14ac:dyDescent="0.2">
      <c r="A446">
        <v>12</v>
      </c>
      <c r="B446" t="s">
        <v>365</v>
      </c>
      <c r="C446" t="s">
        <v>27</v>
      </c>
      <c r="D446">
        <v>20.48</v>
      </c>
    </row>
    <row r="447" spans="1:4" x14ac:dyDescent="0.2">
      <c r="A447">
        <v>12</v>
      </c>
      <c r="B447" t="s">
        <v>365</v>
      </c>
      <c r="C447" t="s">
        <v>27</v>
      </c>
      <c r="D447">
        <v>0.99</v>
      </c>
    </row>
    <row r="448" spans="1:4" x14ac:dyDescent="0.2">
      <c r="A448">
        <v>12</v>
      </c>
      <c r="B448" t="s">
        <v>365</v>
      </c>
      <c r="C448" t="s">
        <v>27</v>
      </c>
      <c r="D448">
        <v>11.99</v>
      </c>
    </row>
    <row r="449" spans="1:4" x14ac:dyDescent="0.2">
      <c r="A449">
        <v>12</v>
      </c>
      <c r="B449" t="s">
        <v>365</v>
      </c>
      <c r="C449" t="s">
        <v>27</v>
      </c>
      <c r="D449">
        <v>34.950000000000003</v>
      </c>
    </row>
    <row r="450" spans="1:4" x14ac:dyDescent="0.2">
      <c r="A450">
        <v>12</v>
      </c>
      <c r="B450" t="s">
        <v>365</v>
      </c>
      <c r="C450" t="s">
        <v>27</v>
      </c>
      <c r="D450">
        <v>-750</v>
      </c>
    </row>
    <row r="451" spans="1:4" x14ac:dyDescent="0.2">
      <c r="A451">
        <v>12</v>
      </c>
      <c r="B451" t="s">
        <v>365</v>
      </c>
      <c r="C451" t="s">
        <v>27</v>
      </c>
      <c r="D451">
        <v>-519</v>
      </c>
    </row>
    <row r="452" spans="1:4" x14ac:dyDescent="0.2">
      <c r="A452">
        <v>12</v>
      </c>
      <c r="B452" t="s">
        <v>365</v>
      </c>
      <c r="C452" t="s">
        <v>27</v>
      </c>
      <c r="D452">
        <v>24.6</v>
      </c>
    </row>
    <row r="453" spans="1:4" x14ac:dyDescent="0.2">
      <c r="A453">
        <v>12</v>
      </c>
      <c r="B453" t="s">
        <v>30</v>
      </c>
      <c r="C453" t="s">
        <v>27</v>
      </c>
      <c r="D453">
        <v>-7.27</v>
      </c>
    </row>
    <row r="454" spans="1:4" x14ac:dyDescent="0.2">
      <c r="A454">
        <v>12</v>
      </c>
      <c r="B454" t="s">
        <v>30</v>
      </c>
      <c r="C454" t="s">
        <v>27</v>
      </c>
      <c r="D454">
        <v>2.54</v>
      </c>
    </row>
    <row r="455" spans="1:4" x14ac:dyDescent="0.2">
      <c r="A455">
        <v>12</v>
      </c>
      <c r="B455" t="s">
        <v>30</v>
      </c>
      <c r="C455" t="s">
        <v>27</v>
      </c>
      <c r="D455">
        <v>2.7</v>
      </c>
    </row>
    <row r="456" spans="1:4" x14ac:dyDescent="0.2">
      <c r="A456">
        <v>12</v>
      </c>
      <c r="B456" t="s">
        <v>30</v>
      </c>
      <c r="C456" t="s">
        <v>27</v>
      </c>
      <c r="D456">
        <v>2.0299999999999998</v>
      </c>
    </row>
    <row r="457" spans="1:4" x14ac:dyDescent="0.2">
      <c r="A457">
        <v>2</v>
      </c>
      <c r="B457" t="s">
        <v>30</v>
      </c>
      <c r="C457" t="s">
        <v>27</v>
      </c>
      <c r="D457">
        <v>53.36</v>
      </c>
    </row>
    <row r="458" spans="1:4" x14ac:dyDescent="0.2">
      <c r="A458">
        <v>2</v>
      </c>
      <c r="B458" t="s">
        <v>30</v>
      </c>
      <c r="C458" t="s">
        <v>27</v>
      </c>
      <c r="D458">
        <v>53.36</v>
      </c>
    </row>
    <row r="459" spans="1:4" x14ac:dyDescent="0.2">
      <c r="A459">
        <v>2</v>
      </c>
      <c r="B459" t="s">
        <v>30</v>
      </c>
      <c r="C459" t="s">
        <v>27</v>
      </c>
      <c r="D459">
        <v>53.36</v>
      </c>
    </row>
    <row r="460" spans="1:4" x14ac:dyDescent="0.2">
      <c r="A460">
        <v>3</v>
      </c>
      <c r="B460" t="s">
        <v>30</v>
      </c>
      <c r="C460" t="s">
        <v>27</v>
      </c>
      <c r="D460">
        <v>53.36</v>
      </c>
    </row>
    <row r="461" spans="1:4" x14ac:dyDescent="0.2">
      <c r="A461">
        <v>3</v>
      </c>
      <c r="B461" t="s">
        <v>30</v>
      </c>
      <c r="C461" t="s">
        <v>27</v>
      </c>
      <c r="D461">
        <v>53.36</v>
      </c>
    </row>
    <row r="462" spans="1:4" x14ac:dyDescent="0.2">
      <c r="A462">
        <v>3</v>
      </c>
      <c r="B462" t="s">
        <v>30</v>
      </c>
      <c r="C462" t="s">
        <v>27</v>
      </c>
      <c r="D462">
        <v>53.36</v>
      </c>
    </row>
    <row r="463" spans="1:4" x14ac:dyDescent="0.2">
      <c r="A463">
        <v>3</v>
      </c>
      <c r="B463" t="s">
        <v>30</v>
      </c>
      <c r="C463" t="s">
        <v>27</v>
      </c>
      <c r="D463">
        <v>53.36</v>
      </c>
    </row>
    <row r="464" spans="1:4" x14ac:dyDescent="0.2">
      <c r="A464">
        <v>4</v>
      </c>
      <c r="B464" t="s">
        <v>30</v>
      </c>
      <c r="C464" t="s">
        <v>27</v>
      </c>
      <c r="D464">
        <v>53.36</v>
      </c>
    </row>
    <row r="465" spans="1:4" x14ac:dyDescent="0.2">
      <c r="A465">
        <v>4</v>
      </c>
      <c r="B465" t="s">
        <v>30</v>
      </c>
      <c r="C465" t="s">
        <v>27</v>
      </c>
      <c r="D465">
        <v>53.36</v>
      </c>
    </row>
    <row r="466" spans="1:4" x14ac:dyDescent="0.2">
      <c r="A466">
        <v>4</v>
      </c>
      <c r="B466" t="s">
        <v>30</v>
      </c>
      <c r="C466" t="s">
        <v>27</v>
      </c>
      <c r="D466">
        <v>53.36</v>
      </c>
    </row>
    <row r="467" spans="1:4" x14ac:dyDescent="0.2">
      <c r="A467">
        <v>5</v>
      </c>
      <c r="B467" t="s">
        <v>30</v>
      </c>
      <c r="C467" t="s">
        <v>27</v>
      </c>
      <c r="D467">
        <v>53.36</v>
      </c>
    </row>
    <row r="468" spans="1:4" x14ac:dyDescent="0.2">
      <c r="A468">
        <v>6</v>
      </c>
      <c r="B468" t="s">
        <v>30</v>
      </c>
      <c r="C468" t="s">
        <v>27</v>
      </c>
      <c r="D468">
        <v>53.36</v>
      </c>
    </row>
    <row r="469" spans="1:4" x14ac:dyDescent="0.2">
      <c r="A469">
        <v>7</v>
      </c>
      <c r="B469" t="s">
        <v>30</v>
      </c>
      <c r="C469" t="s">
        <v>27</v>
      </c>
      <c r="D469">
        <v>53.36</v>
      </c>
    </row>
    <row r="470" spans="1:4" x14ac:dyDescent="0.2">
      <c r="A470">
        <v>7</v>
      </c>
      <c r="B470" t="s">
        <v>30</v>
      </c>
      <c r="C470" t="s">
        <v>27</v>
      </c>
      <c r="D470">
        <v>53.36</v>
      </c>
    </row>
    <row r="471" spans="1:4" x14ac:dyDescent="0.2">
      <c r="A471">
        <v>7</v>
      </c>
      <c r="B471" t="s">
        <v>30</v>
      </c>
      <c r="C471" t="s">
        <v>27</v>
      </c>
      <c r="D471">
        <v>53.36</v>
      </c>
    </row>
    <row r="472" spans="1:4" x14ac:dyDescent="0.2">
      <c r="A472">
        <v>7</v>
      </c>
      <c r="B472" t="s">
        <v>30</v>
      </c>
      <c r="C472" t="s">
        <v>27</v>
      </c>
      <c r="D472">
        <v>53.36</v>
      </c>
    </row>
    <row r="473" spans="1:4" x14ac:dyDescent="0.2">
      <c r="A473">
        <v>7</v>
      </c>
      <c r="B473" t="s">
        <v>30</v>
      </c>
      <c r="C473" t="s">
        <v>27</v>
      </c>
      <c r="D473">
        <v>53.36</v>
      </c>
    </row>
    <row r="474" spans="1:4" x14ac:dyDescent="0.2">
      <c r="A474">
        <v>9</v>
      </c>
      <c r="B474" t="s">
        <v>30</v>
      </c>
      <c r="C474" t="s">
        <v>27</v>
      </c>
      <c r="D474">
        <v>53.36</v>
      </c>
    </row>
    <row r="475" spans="1:4" x14ac:dyDescent="0.2">
      <c r="A475">
        <v>10</v>
      </c>
      <c r="B475" t="s">
        <v>30</v>
      </c>
      <c r="C475" t="s">
        <v>27</v>
      </c>
      <c r="D475">
        <v>53.36</v>
      </c>
    </row>
    <row r="476" spans="1:4" x14ac:dyDescent="0.2">
      <c r="A476">
        <v>10</v>
      </c>
      <c r="B476" t="s">
        <v>30</v>
      </c>
      <c r="C476" t="s">
        <v>27</v>
      </c>
      <c r="D476">
        <v>53.36</v>
      </c>
    </row>
    <row r="477" spans="1:4" x14ac:dyDescent="0.2">
      <c r="A477">
        <v>10</v>
      </c>
      <c r="B477" t="s">
        <v>30</v>
      </c>
      <c r="C477" t="s">
        <v>27</v>
      </c>
      <c r="D477">
        <v>53.36</v>
      </c>
    </row>
    <row r="478" spans="1:4" x14ac:dyDescent="0.2">
      <c r="A478">
        <v>10</v>
      </c>
      <c r="B478" t="s">
        <v>30</v>
      </c>
      <c r="C478" t="s">
        <v>27</v>
      </c>
      <c r="D478">
        <v>53.36</v>
      </c>
    </row>
    <row r="479" spans="1:4" x14ac:dyDescent="0.2">
      <c r="A479">
        <v>10</v>
      </c>
      <c r="B479" t="s">
        <v>30</v>
      </c>
      <c r="C479" t="s">
        <v>27</v>
      </c>
      <c r="D479">
        <v>53.36</v>
      </c>
    </row>
    <row r="480" spans="1:4" x14ac:dyDescent="0.2">
      <c r="A480">
        <v>10</v>
      </c>
      <c r="B480" t="s">
        <v>30</v>
      </c>
      <c r="C480" t="s">
        <v>27</v>
      </c>
      <c r="D480">
        <v>53.36</v>
      </c>
    </row>
    <row r="481" spans="1:4" x14ac:dyDescent="0.2">
      <c r="A481">
        <v>10</v>
      </c>
      <c r="B481" t="s">
        <v>30</v>
      </c>
      <c r="C481" t="s">
        <v>27</v>
      </c>
      <c r="D481">
        <v>53.36</v>
      </c>
    </row>
    <row r="482" spans="1:4" x14ac:dyDescent="0.2">
      <c r="A482">
        <v>10</v>
      </c>
      <c r="B482" t="s">
        <v>30</v>
      </c>
      <c r="C482" t="s">
        <v>27</v>
      </c>
      <c r="D482">
        <v>53.36</v>
      </c>
    </row>
    <row r="483" spans="1:4" x14ac:dyDescent="0.2">
      <c r="A483">
        <v>10</v>
      </c>
      <c r="B483" t="s">
        <v>30</v>
      </c>
      <c r="C483" t="s">
        <v>27</v>
      </c>
      <c r="D483">
        <v>53.36</v>
      </c>
    </row>
    <row r="484" spans="1:4" x14ac:dyDescent="0.2">
      <c r="A484">
        <v>1</v>
      </c>
      <c r="B484" t="s">
        <v>30</v>
      </c>
      <c r="C484" t="s">
        <v>27</v>
      </c>
      <c r="D484">
        <v>20.91</v>
      </c>
    </row>
    <row r="485" spans="1:4" x14ac:dyDescent="0.2">
      <c r="A485">
        <v>2</v>
      </c>
      <c r="B485" t="s">
        <v>30</v>
      </c>
      <c r="C485" t="s">
        <v>27</v>
      </c>
      <c r="D485">
        <v>20.91</v>
      </c>
    </row>
    <row r="486" spans="1:4" x14ac:dyDescent="0.2">
      <c r="A486">
        <v>3</v>
      </c>
      <c r="B486" t="s">
        <v>30</v>
      </c>
      <c r="C486" t="s">
        <v>27</v>
      </c>
      <c r="D486">
        <v>20.91</v>
      </c>
    </row>
    <row r="487" spans="1:4" x14ac:dyDescent="0.2">
      <c r="A487">
        <v>4</v>
      </c>
      <c r="B487" t="s">
        <v>30</v>
      </c>
      <c r="C487" t="s">
        <v>27</v>
      </c>
      <c r="D487">
        <v>20.91</v>
      </c>
    </row>
    <row r="488" spans="1:4" x14ac:dyDescent="0.2">
      <c r="A488">
        <v>5</v>
      </c>
      <c r="B488" t="s">
        <v>30</v>
      </c>
      <c r="C488" t="s">
        <v>27</v>
      </c>
      <c r="D488">
        <v>20.91</v>
      </c>
    </row>
    <row r="489" spans="1:4" x14ac:dyDescent="0.2">
      <c r="A489">
        <v>6</v>
      </c>
      <c r="B489" t="s">
        <v>30</v>
      </c>
      <c r="C489" t="s">
        <v>27</v>
      </c>
      <c r="D489">
        <v>20.91</v>
      </c>
    </row>
    <row r="490" spans="1:4" x14ac:dyDescent="0.2">
      <c r="A490">
        <v>7</v>
      </c>
      <c r="B490" t="s">
        <v>30</v>
      </c>
      <c r="C490" t="s">
        <v>27</v>
      </c>
      <c r="D490">
        <v>20.91</v>
      </c>
    </row>
    <row r="491" spans="1:4" x14ac:dyDescent="0.2">
      <c r="A491">
        <v>8</v>
      </c>
      <c r="B491" t="s">
        <v>30</v>
      </c>
      <c r="C491" t="s">
        <v>27</v>
      </c>
      <c r="D491">
        <v>20.91</v>
      </c>
    </row>
    <row r="492" spans="1:4" x14ac:dyDescent="0.2">
      <c r="A492">
        <v>9</v>
      </c>
      <c r="B492" t="s">
        <v>30</v>
      </c>
      <c r="C492" t="s">
        <v>27</v>
      </c>
      <c r="D492">
        <v>270.98</v>
      </c>
    </row>
    <row r="493" spans="1:4" x14ac:dyDescent="0.2">
      <c r="A493">
        <v>12</v>
      </c>
      <c r="B493" t="s">
        <v>30</v>
      </c>
      <c r="C493" t="s">
        <v>27</v>
      </c>
      <c r="D493">
        <v>-180.65</v>
      </c>
    </row>
    <row r="494" spans="1:4" x14ac:dyDescent="0.2">
      <c r="A494">
        <v>1</v>
      </c>
      <c r="B494" t="s">
        <v>30</v>
      </c>
      <c r="C494" t="s">
        <v>27</v>
      </c>
      <c r="D494">
        <v>86.81</v>
      </c>
    </row>
    <row r="495" spans="1:4" x14ac:dyDescent="0.2">
      <c r="A495">
        <v>1</v>
      </c>
      <c r="B495" t="s">
        <v>30</v>
      </c>
      <c r="C495" t="s">
        <v>27</v>
      </c>
      <c r="D495">
        <v>371.18</v>
      </c>
    </row>
    <row r="496" spans="1:4" x14ac:dyDescent="0.2">
      <c r="A496">
        <v>1</v>
      </c>
      <c r="B496" t="s">
        <v>30</v>
      </c>
      <c r="C496" t="s">
        <v>27</v>
      </c>
      <c r="D496">
        <v>14.13</v>
      </c>
    </row>
    <row r="497" spans="1:4" x14ac:dyDescent="0.2">
      <c r="A497">
        <v>2</v>
      </c>
      <c r="B497" t="s">
        <v>30</v>
      </c>
      <c r="C497" t="s">
        <v>27</v>
      </c>
      <c r="D497">
        <v>14.13</v>
      </c>
    </row>
    <row r="498" spans="1:4" x14ac:dyDescent="0.2">
      <c r="A498">
        <v>3</v>
      </c>
      <c r="B498" t="s">
        <v>30</v>
      </c>
      <c r="C498" t="s">
        <v>27</v>
      </c>
      <c r="D498">
        <v>14.13</v>
      </c>
    </row>
    <row r="499" spans="1:4" x14ac:dyDescent="0.2">
      <c r="A499">
        <v>4</v>
      </c>
      <c r="B499" t="s">
        <v>30</v>
      </c>
      <c r="C499" t="s">
        <v>27</v>
      </c>
      <c r="D499">
        <v>14.13</v>
      </c>
    </row>
    <row r="500" spans="1:4" x14ac:dyDescent="0.2">
      <c r="A500">
        <v>5</v>
      </c>
      <c r="B500" t="s">
        <v>30</v>
      </c>
      <c r="C500" t="s">
        <v>27</v>
      </c>
      <c r="D500">
        <v>14.13</v>
      </c>
    </row>
    <row r="501" spans="1:4" x14ac:dyDescent="0.2">
      <c r="A501">
        <v>6</v>
      </c>
      <c r="B501" t="s">
        <v>30</v>
      </c>
      <c r="C501" t="s">
        <v>27</v>
      </c>
      <c r="D501">
        <v>14.13</v>
      </c>
    </row>
    <row r="502" spans="1:4" x14ac:dyDescent="0.2">
      <c r="A502">
        <v>6</v>
      </c>
      <c r="B502" t="s">
        <v>30</v>
      </c>
      <c r="C502" t="s">
        <v>27</v>
      </c>
      <c r="D502">
        <v>-73.680000000000007</v>
      </c>
    </row>
    <row r="503" spans="1:4" x14ac:dyDescent="0.2">
      <c r="A503">
        <v>6</v>
      </c>
      <c r="B503" t="s">
        <v>30</v>
      </c>
      <c r="C503" t="s">
        <v>27</v>
      </c>
      <c r="D503">
        <v>-315.01</v>
      </c>
    </row>
    <row r="504" spans="1:4" x14ac:dyDescent="0.2">
      <c r="A504">
        <v>7</v>
      </c>
      <c r="B504" t="s">
        <v>30</v>
      </c>
      <c r="C504" t="s">
        <v>27</v>
      </c>
      <c r="D504">
        <v>73.680000000000007</v>
      </c>
    </row>
    <row r="505" spans="1:4" x14ac:dyDescent="0.2">
      <c r="A505">
        <v>7</v>
      </c>
      <c r="B505" t="s">
        <v>30</v>
      </c>
      <c r="C505" t="s">
        <v>27</v>
      </c>
      <c r="D505">
        <v>315.01</v>
      </c>
    </row>
    <row r="506" spans="1:4" x14ac:dyDescent="0.2">
      <c r="A506">
        <v>7</v>
      </c>
      <c r="B506" t="s">
        <v>30</v>
      </c>
      <c r="C506" t="s">
        <v>27</v>
      </c>
      <c r="D506">
        <v>14.13</v>
      </c>
    </row>
    <row r="507" spans="1:4" x14ac:dyDescent="0.2">
      <c r="A507">
        <v>8</v>
      </c>
      <c r="B507" t="s">
        <v>30</v>
      </c>
      <c r="C507" t="s">
        <v>27</v>
      </c>
      <c r="D507">
        <v>14.13</v>
      </c>
    </row>
    <row r="508" spans="1:4" x14ac:dyDescent="0.2">
      <c r="A508">
        <v>9</v>
      </c>
      <c r="B508" t="s">
        <v>30</v>
      </c>
      <c r="C508" t="s">
        <v>27</v>
      </c>
      <c r="D508">
        <v>14.13</v>
      </c>
    </row>
    <row r="509" spans="1:4" x14ac:dyDescent="0.2">
      <c r="A509">
        <v>10</v>
      </c>
      <c r="B509" t="s">
        <v>30</v>
      </c>
      <c r="C509" t="s">
        <v>27</v>
      </c>
      <c r="D509">
        <v>14.13</v>
      </c>
    </row>
    <row r="510" spans="1:4" x14ac:dyDescent="0.2">
      <c r="A510">
        <v>11</v>
      </c>
      <c r="B510" t="s">
        <v>30</v>
      </c>
      <c r="C510" t="s">
        <v>27</v>
      </c>
      <c r="D510">
        <v>14.13</v>
      </c>
    </row>
    <row r="511" spans="1:4" x14ac:dyDescent="0.2">
      <c r="A511">
        <v>11</v>
      </c>
      <c r="B511" t="s">
        <v>30</v>
      </c>
      <c r="C511" t="s">
        <v>27</v>
      </c>
      <c r="D511">
        <v>1.59</v>
      </c>
    </row>
    <row r="512" spans="1:4" x14ac:dyDescent="0.2">
      <c r="A512">
        <v>11</v>
      </c>
      <c r="B512" t="s">
        <v>30</v>
      </c>
      <c r="C512" t="s">
        <v>27</v>
      </c>
      <c r="D512">
        <v>5.58</v>
      </c>
    </row>
    <row r="513" spans="1:4" x14ac:dyDescent="0.2">
      <c r="A513">
        <v>11</v>
      </c>
      <c r="B513" t="s">
        <v>30</v>
      </c>
      <c r="C513" t="s">
        <v>27</v>
      </c>
      <c r="D513">
        <v>5.25</v>
      </c>
    </row>
    <row r="514" spans="1:4" x14ac:dyDescent="0.2">
      <c r="A514">
        <v>12</v>
      </c>
      <c r="B514" t="s">
        <v>30</v>
      </c>
      <c r="C514" t="s">
        <v>27</v>
      </c>
      <c r="D514">
        <v>14.13</v>
      </c>
    </row>
    <row r="515" spans="1:4" x14ac:dyDescent="0.2">
      <c r="A515">
        <v>12</v>
      </c>
      <c r="B515" t="s">
        <v>30</v>
      </c>
      <c r="C515" t="s">
        <v>27</v>
      </c>
      <c r="D515">
        <v>2.42</v>
      </c>
    </row>
    <row r="516" spans="1:4" x14ac:dyDescent="0.2">
      <c r="A516">
        <v>12</v>
      </c>
      <c r="B516" t="s">
        <v>30</v>
      </c>
      <c r="C516" t="s">
        <v>27</v>
      </c>
      <c r="D516">
        <v>5.58</v>
      </c>
    </row>
    <row r="517" spans="1:4" x14ac:dyDescent="0.2">
      <c r="A517">
        <v>12</v>
      </c>
      <c r="B517" t="s">
        <v>30</v>
      </c>
      <c r="C517" t="s">
        <v>27</v>
      </c>
      <c r="D517">
        <v>5.25</v>
      </c>
    </row>
    <row r="518" spans="1:4" x14ac:dyDescent="0.2">
      <c r="A518">
        <v>12</v>
      </c>
      <c r="B518" t="s">
        <v>30</v>
      </c>
      <c r="C518" t="s">
        <v>27</v>
      </c>
      <c r="D518">
        <v>-60.32</v>
      </c>
    </row>
    <row r="519" spans="1:4" x14ac:dyDescent="0.2">
      <c r="A519">
        <v>12</v>
      </c>
      <c r="B519" t="s">
        <v>30</v>
      </c>
      <c r="C519" t="s">
        <v>27</v>
      </c>
      <c r="D519">
        <v>-257.91000000000003</v>
      </c>
    </row>
    <row r="520" spans="1:4" x14ac:dyDescent="0.2">
      <c r="A520">
        <v>12</v>
      </c>
      <c r="B520" t="s">
        <v>30</v>
      </c>
      <c r="C520" t="s">
        <v>27</v>
      </c>
      <c r="D520">
        <v>7.27</v>
      </c>
    </row>
    <row r="521" spans="1:4" x14ac:dyDescent="0.2">
      <c r="A521">
        <v>1</v>
      </c>
      <c r="B521" t="s">
        <v>30</v>
      </c>
      <c r="C521" t="s">
        <v>27</v>
      </c>
      <c r="D521">
        <v>15</v>
      </c>
    </row>
    <row r="522" spans="1:4" x14ac:dyDescent="0.2">
      <c r="A522">
        <v>9</v>
      </c>
      <c r="B522" t="s">
        <v>30</v>
      </c>
      <c r="C522" t="s">
        <v>27</v>
      </c>
      <c r="D522">
        <v>15</v>
      </c>
    </row>
    <row r="523" spans="1:4" x14ac:dyDescent="0.2">
      <c r="A523">
        <v>12</v>
      </c>
      <c r="B523" t="s">
        <v>30</v>
      </c>
      <c r="C523" t="s">
        <v>27</v>
      </c>
      <c r="D523">
        <v>30</v>
      </c>
    </row>
    <row r="524" spans="1:4" x14ac:dyDescent="0.2">
      <c r="A524">
        <v>1</v>
      </c>
      <c r="B524" t="s">
        <v>30</v>
      </c>
      <c r="C524" t="s">
        <v>27</v>
      </c>
      <c r="D524">
        <v>91.56</v>
      </c>
    </row>
    <row r="525" spans="1:4" x14ac:dyDescent="0.2">
      <c r="A525">
        <v>2</v>
      </c>
      <c r="B525" t="s">
        <v>30</v>
      </c>
      <c r="C525" t="s">
        <v>27</v>
      </c>
      <c r="D525">
        <v>85.21</v>
      </c>
    </row>
    <row r="526" spans="1:4" x14ac:dyDescent="0.2">
      <c r="A526">
        <v>3</v>
      </c>
      <c r="B526" t="s">
        <v>30</v>
      </c>
      <c r="C526" t="s">
        <v>27</v>
      </c>
      <c r="D526">
        <v>85.21</v>
      </c>
    </row>
    <row r="527" spans="1:4" x14ac:dyDescent="0.2">
      <c r="A527">
        <v>4</v>
      </c>
      <c r="B527" t="s">
        <v>30</v>
      </c>
      <c r="C527" t="s">
        <v>27</v>
      </c>
      <c r="D527">
        <v>85.21</v>
      </c>
    </row>
    <row r="528" spans="1:4" x14ac:dyDescent="0.2">
      <c r="A528">
        <v>5</v>
      </c>
      <c r="B528" t="s">
        <v>30</v>
      </c>
      <c r="C528" t="s">
        <v>27</v>
      </c>
      <c r="D528">
        <v>85.21</v>
      </c>
    </row>
    <row r="529" spans="1:4" x14ac:dyDescent="0.2">
      <c r="A529">
        <v>6</v>
      </c>
      <c r="B529" t="s">
        <v>30</v>
      </c>
      <c r="C529" t="s">
        <v>27</v>
      </c>
      <c r="D529">
        <v>85.21</v>
      </c>
    </row>
    <row r="530" spans="1:4" x14ac:dyDescent="0.2">
      <c r="A530">
        <v>7</v>
      </c>
      <c r="B530" t="s">
        <v>30</v>
      </c>
      <c r="C530" t="s">
        <v>27</v>
      </c>
      <c r="D530">
        <v>85.21</v>
      </c>
    </row>
    <row r="531" spans="1:4" x14ac:dyDescent="0.2">
      <c r="A531">
        <v>8</v>
      </c>
      <c r="B531" t="s">
        <v>30</v>
      </c>
      <c r="C531" t="s">
        <v>27</v>
      </c>
      <c r="D531">
        <v>85.21</v>
      </c>
    </row>
    <row r="532" spans="1:4" x14ac:dyDescent="0.2">
      <c r="A532">
        <v>9</v>
      </c>
      <c r="B532" t="s">
        <v>30</v>
      </c>
      <c r="C532" t="s">
        <v>27</v>
      </c>
      <c r="D532">
        <v>85.21</v>
      </c>
    </row>
    <row r="533" spans="1:4" x14ac:dyDescent="0.2">
      <c r="A533">
        <v>10</v>
      </c>
      <c r="B533" t="s">
        <v>30</v>
      </c>
      <c r="C533" t="s">
        <v>27</v>
      </c>
      <c r="D533">
        <v>85.21</v>
      </c>
    </row>
    <row r="534" spans="1:4" x14ac:dyDescent="0.2">
      <c r="A534">
        <v>11</v>
      </c>
      <c r="B534" t="s">
        <v>30</v>
      </c>
      <c r="C534" t="s">
        <v>27</v>
      </c>
      <c r="D534">
        <v>85.21</v>
      </c>
    </row>
    <row r="535" spans="1:4" x14ac:dyDescent="0.2">
      <c r="A535">
        <v>12</v>
      </c>
      <c r="B535" t="s">
        <v>30</v>
      </c>
      <c r="C535" t="s">
        <v>27</v>
      </c>
      <c r="D535">
        <v>85.21</v>
      </c>
    </row>
    <row r="536" spans="1:4" x14ac:dyDescent="0.2">
      <c r="A536">
        <v>1</v>
      </c>
      <c r="B536" t="s">
        <v>30</v>
      </c>
      <c r="C536" t="s">
        <v>27</v>
      </c>
      <c r="D536">
        <v>78.010000000000005</v>
      </c>
    </row>
    <row r="537" spans="1:4" x14ac:dyDescent="0.2">
      <c r="A537">
        <v>2</v>
      </c>
      <c r="B537" t="s">
        <v>30</v>
      </c>
      <c r="C537" t="s">
        <v>27</v>
      </c>
      <c r="D537">
        <v>78.010000000000005</v>
      </c>
    </row>
    <row r="538" spans="1:4" x14ac:dyDescent="0.2">
      <c r="A538">
        <v>3</v>
      </c>
      <c r="B538" t="s">
        <v>30</v>
      </c>
      <c r="C538" t="s">
        <v>27</v>
      </c>
      <c r="D538">
        <v>78.010000000000005</v>
      </c>
    </row>
    <row r="539" spans="1:4" x14ac:dyDescent="0.2">
      <c r="A539">
        <v>4</v>
      </c>
      <c r="B539" t="s">
        <v>30</v>
      </c>
      <c r="C539" t="s">
        <v>27</v>
      </c>
      <c r="D539">
        <v>78.010000000000005</v>
      </c>
    </row>
    <row r="540" spans="1:4" x14ac:dyDescent="0.2">
      <c r="A540">
        <v>5</v>
      </c>
      <c r="B540" t="s">
        <v>30</v>
      </c>
      <c r="C540" t="s">
        <v>27</v>
      </c>
      <c r="D540">
        <v>78.010000000000005</v>
      </c>
    </row>
    <row r="541" spans="1:4" x14ac:dyDescent="0.2">
      <c r="A541">
        <v>6</v>
      </c>
      <c r="B541" t="s">
        <v>30</v>
      </c>
      <c r="C541" t="s">
        <v>27</v>
      </c>
      <c r="D541">
        <v>78.010000000000005</v>
      </c>
    </row>
    <row r="542" spans="1:4" x14ac:dyDescent="0.2">
      <c r="A542">
        <v>7</v>
      </c>
      <c r="B542" t="s">
        <v>30</v>
      </c>
      <c r="C542" t="s">
        <v>27</v>
      </c>
      <c r="D542">
        <v>78.010000000000005</v>
      </c>
    </row>
    <row r="543" spans="1:4" x14ac:dyDescent="0.2">
      <c r="A543">
        <v>8</v>
      </c>
      <c r="B543" t="s">
        <v>30</v>
      </c>
      <c r="C543" t="s">
        <v>27</v>
      </c>
      <c r="D543">
        <v>78.010000000000005</v>
      </c>
    </row>
    <row r="544" spans="1:4" x14ac:dyDescent="0.2">
      <c r="A544">
        <v>9</v>
      </c>
      <c r="B544" t="s">
        <v>30</v>
      </c>
      <c r="C544" t="s">
        <v>27</v>
      </c>
      <c r="D544">
        <v>-357.29</v>
      </c>
    </row>
    <row r="545" spans="1:4" x14ac:dyDescent="0.2">
      <c r="A545">
        <v>4</v>
      </c>
      <c r="B545" t="s">
        <v>30</v>
      </c>
      <c r="C545" t="s">
        <v>27</v>
      </c>
      <c r="D545">
        <v>52.27</v>
      </c>
    </row>
    <row r="546" spans="1:4" x14ac:dyDescent="0.2">
      <c r="A546">
        <v>5</v>
      </c>
      <c r="B546" t="s">
        <v>30</v>
      </c>
      <c r="C546" t="s">
        <v>27</v>
      </c>
      <c r="D546">
        <v>52.27</v>
      </c>
    </row>
    <row r="547" spans="1:4" x14ac:dyDescent="0.2">
      <c r="A547">
        <v>6</v>
      </c>
      <c r="B547" t="s">
        <v>30</v>
      </c>
      <c r="C547" t="s">
        <v>27</v>
      </c>
      <c r="D547">
        <v>52.27</v>
      </c>
    </row>
    <row r="548" spans="1:4" x14ac:dyDescent="0.2">
      <c r="A548">
        <v>7</v>
      </c>
      <c r="B548" t="s">
        <v>30</v>
      </c>
      <c r="C548" t="s">
        <v>27</v>
      </c>
      <c r="D548">
        <v>52.27</v>
      </c>
    </row>
    <row r="549" spans="1:4" x14ac:dyDescent="0.2">
      <c r="A549">
        <v>8</v>
      </c>
      <c r="B549" t="s">
        <v>30</v>
      </c>
      <c r="C549" t="s">
        <v>27</v>
      </c>
      <c r="D549">
        <v>52.27</v>
      </c>
    </row>
    <row r="550" spans="1:4" x14ac:dyDescent="0.2">
      <c r="A550">
        <v>9</v>
      </c>
      <c r="B550" t="s">
        <v>30</v>
      </c>
      <c r="C550" t="s">
        <v>27</v>
      </c>
      <c r="D550">
        <v>52.27</v>
      </c>
    </row>
    <row r="551" spans="1:4" x14ac:dyDescent="0.2">
      <c r="A551">
        <v>10</v>
      </c>
      <c r="B551" t="s">
        <v>30</v>
      </c>
      <c r="C551" t="s">
        <v>27</v>
      </c>
      <c r="D551">
        <v>52.27</v>
      </c>
    </row>
    <row r="552" spans="1:4" x14ac:dyDescent="0.2">
      <c r="A552">
        <v>11</v>
      </c>
      <c r="B552" t="s">
        <v>30</v>
      </c>
      <c r="C552" t="s">
        <v>27</v>
      </c>
      <c r="D552">
        <v>52.27</v>
      </c>
    </row>
    <row r="553" spans="1:4" x14ac:dyDescent="0.2">
      <c r="A553">
        <v>12</v>
      </c>
      <c r="B553" t="s">
        <v>30</v>
      </c>
      <c r="C553" t="s">
        <v>27</v>
      </c>
      <c r="D553">
        <v>52.27</v>
      </c>
    </row>
    <row r="554" spans="1:4" x14ac:dyDescent="0.2">
      <c r="A554">
        <v>5</v>
      </c>
      <c r="B554" t="s">
        <v>30</v>
      </c>
      <c r="C554" t="s">
        <v>27</v>
      </c>
      <c r="D554">
        <v>0.64</v>
      </c>
    </row>
    <row r="555" spans="1:4" x14ac:dyDescent="0.2">
      <c r="A555">
        <v>5</v>
      </c>
      <c r="B555" t="s">
        <v>30</v>
      </c>
      <c r="C555" t="s">
        <v>27</v>
      </c>
      <c r="D555">
        <v>9.57</v>
      </c>
    </row>
    <row r="556" spans="1:4" x14ac:dyDescent="0.2">
      <c r="A556">
        <v>6</v>
      </c>
      <c r="B556" t="s">
        <v>30</v>
      </c>
      <c r="C556" t="s">
        <v>27</v>
      </c>
      <c r="D556">
        <v>9.57</v>
      </c>
    </row>
    <row r="557" spans="1:4" x14ac:dyDescent="0.2">
      <c r="A557">
        <v>7</v>
      </c>
      <c r="B557" t="s">
        <v>30</v>
      </c>
      <c r="C557" t="s">
        <v>27</v>
      </c>
      <c r="D557">
        <v>9.57</v>
      </c>
    </row>
    <row r="558" spans="1:4" x14ac:dyDescent="0.2">
      <c r="A558">
        <v>8</v>
      </c>
      <c r="B558" t="s">
        <v>30</v>
      </c>
      <c r="C558" t="s">
        <v>27</v>
      </c>
      <c r="D558">
        <v>9.57</v>
      </c>
    </row>
    <row r="559" spans="1:4" x14ac:dyDescent="0.2">
      <c r="A559">
        <v>9</v>
      </c>
      <c r="B559" t="s">
        <v>30</v>
      </c>
      <c r="C559" t="s">
        <v>27</v>
      </c>
      <c r="D559">
        <v>9.57</v>
      </c>
    </row>
    <row r="560" spans="1:4" x14ac:dyDescent="0.2">
      <c r="A560">
        <v>10</v>
      </c>
      <c r="B560" t="s">
        <v>30</v>
      </c>
      <c r="C560" t="s">
        <v>27</v>
      </c>
      <c r="D560">
        <v>9.57</v>
      </c>
    </row>
    <row r="561" spans="1:4" x14ac:dyDescent="0.2">
      <c r="A561">
        <v>11</v>
      </c>
      <c r="B561" t="s">
        <v>30</v>
      </c>
      <c r="C561" t="s">
        <v>27</v>
      </c>
      <c r="D561">
        <v>9.57</v>
      </c>
    </row>
    <row r="562" spans="1:4" x14ac:dyDescent="0.2">
      <c r="A562">
        <v>12</v>
      </c>
      <c r="B562" t="s">
        <v>30</v>
      </c>
      <c r="C562" t="s">
        <v>27</v>
      </c>
      <c r="D562">
        <v>9.57</v>
      </c>
    </row>
    <row r="563" spans="1:4" x14ac:dyDescent="0.2">
      <c r="A563">
        <v>4</v>
      </c>
      <c r="B563" t="s">
        <v>30</v>
      </c>
      <c r="C563" t="s">
        <v>27</v>
      </c>
      <c r="D563">
        <v>111.59</v>
      </c>
    </row>
    <row r="564" spans="1:4" x14ac:dyDescent="0.2">
      <c r="A564">
        <v>5</v>
      </c>
      <c r="B564" t="s">
        <v>30</v>
      </c>
      <c r="C564" t="s">
        <v>27</v>
      </c>
      <c r="D564">
        <v>100.82</v>
      </c>
    </row>
    <row r="565" spans="1:4" x14ac:dyDescent="0.2">
      <c r="A565">
        <v>6</v>
      </c>
      <c r="B565" t="s">
        <v>30</v>
      </c>
      <c r="C565" t="s">
        <v>27</v>
      </c>
      <c r="D565">
        <v>100.82</v>
      </c>
    </row>
    <row r="566" spans="1:4" x14ac:dyDescent="0.2">
      <c r="A566">
        <v>7</v>
      </c>
      <c r="B566" t="s">
        <v>30</v>
      </c>
      <c r="C566" t="s">
        <v>27</v>
      </c>
      <c r="D566">
        <v>100.82</v>
      </c>
    </row>
    <row r="567" spans="1:4" x14ac:dyDescent="0.2">
      <c r="A567">
        <v>8</v>
      </c>
      <c r="B567" t="s">
        <v>30</v>
      </c>
      <c r="C567" t="s">
        <v>27</v>
      </c>
      <c r="D567">
        <v>100.82</v>
      </c>
    </row>
    <row r="568" spans="1:4" x14ac:dyDescent="0.2">
      <c r="A568">
        <v>9</v>
      </c>
      <c r="B568" t="s">
        <v>30</v>
      </c>
      <c r="C568" t="s">
        <v>27</v>
      </c>
      <c r="D568">
        <v>100.82</v>
      </c>
    </row>
    <row r="569" spans="1:4" x14ac:dyDescent="0.2">
      <c r="A569">
        <v>10</v>
      </c>
      <c r="B569" t="s">
        <v>30</v>
      </c>
      <c r="C569" t="s">
        <v>27</v>
      </c>
      <c r="D569">
        <v>100.82</v>
      </c>
    </row>
    <row r="570" spans="1:4" x14ac:dyDescent="0.2">
      <c r="A570">
        <v>11</v>
      </c>
      <c r="B570" t="s">
        <v>30</v>
      </c>
      <c r="C570" t="s">
        <v>27</v>
      </c>
      <c r="D570">
        <v>100.82</v>
      </c>
    </row>
    <row r="571" spans="1:4" x14ac:dyDescent="0.2">
      <c r="A571">
        <v>12</v>
      </c>
      <c r="B571" t="s">
        <v>30</v>
      </c>
      <c r="C571" t="s">
        <v>27</v>
      </c>
      <c r="D571">
        <v>100.82</v>
      </c>
    </row>
    <row r="572" spans="1:4" x14ac:dyDescent="0.2">
      <c r="A572">
        <v>5</v>
      </c>
      <c r="B572" t="s">
        <v>30</v>
      </c>
      <c r="C572" t="s">
        <v>27</v>
      </c>
      <c r="D572">
        <v>127.01</v>
      </c>
    </row>
    <row r="573" spans="1:4" x14ac:dyDescent="0.2">
      <c r="A573">
        <v>6</v>
      </c>
      <c r="B573" t="s">
        <v>30</v>
      </c>
      <c r="C573" t="s">
        <v>27</v>
      </c>
      <c r="D573">
        <v>116.38</v>
      </c>
    </row>
    <row r="574" spans="1:4" x14ac:dyDescent="0.2">
      <c r="A574">
        <v>7</v>
      </c>
      <c r="B574" t="s">
        <v>30</v>
      </c>
      <c r="C574" t="s">
        <v>27</v>
      </c>
      <c r="D574">
        <v>116.38</v>
      </c>
    </row>
    <row r="575" spans="1:4" x14ac:dyDescent="0.2">
      <c r="A575">
        <v>8</v>
      </c>
      <c r="B575" t="s">
        <v>30</v>
      </c>
      <c r="C575" t="s">
        <v>27</v>
      </c>
      <c r="D575">
        <v>116.38</v>
      </c>
    </row>
    <row r="576" spans="1:4" x14ac:dyDescent="0.2">
      <c r="A576">
        <v>9</v>
      </c>
      <c r="B576" t="s">
        <v>30</v>
      </c>
      <c r="C576" t="s">
        <v>27</v>
      </c>
      <c r="D576">
        <v>116.38</v>
      </c>
    </row>
    <row r="577" spans="1:4" x14ac:dyDescent="0.2">
      <c r="A577">
        <v>10</v>
      </c>
      <c r="B577" t="s">
        <v>30</v>
      </c>
      <c r="C577" t="s">
        <v>27</v>
      </c>
      <c r="D577">
        <v>116.38</v>
      </c>
    </row>
    <row r="578" spans="1:4" x14ac:dyDescent="0.2">
      <c r="A578">
        <v>11</v>
      </c>
      <c r="B578" t="s">
        <v>30</v>
      </c>
      <c r="C578" t="s">
        <v>27</v>
      </c>
      <c r="D578">
        <v>116.38</v>
      </c>
    </row>
    <row r="579" spans="1:4" x14ac:dyDescent="0.2">
      <c r="A579">
        <v>12</v>
      </c>
      <c r="B579" t="s">
        <v>30</v>
      </c>
      <c r="C579" t="s">
        <v>27</v>
      </c>
      <c r="D579">
        <v>116.38</v>
      </c>
    </row>
    <row r="580" spans="1:4" x14ac:dyDescent="0.2">
      <c r="A580">
        <v>9</v>
      </c>
      <c r="B580" t="s">
        <v>37</v>
      </c>
      <c r="C580" t="s">
        <v>27</v>
      </c>
      <c r="D580">
        <v>750</v>
      </c>
    </row>
    <row r="581" spans="1:4" x14ac:dyDescent="0.2">
      <c r="A581">
        <v>11</v>
      </c>
      <c r="B581" t="s">
        <v>37</v>
      </c>
      <c r="C581" t="s">
        <v>27</v>
      </c>
      <c r="D581">
        <v>950</v>
      </c>
    </row>
    <row r="582" spans="1:4" x14ac:dyDescent="0.2">
      <c r="A582">
        <v>1</v>
      </c>
      <c r="B582" t="s">
        <v>38</v>
      </c>
      <c r="C582" t="s">
        <v>27</v>
      </c>
      <c r="D582">
        <v>-726.64</v>
      </c>
    </row>
    <row r="583" spans="1:4" x14ac:dyDescent="0.2">
      <c r="A583">
        <v>1</v>
      </c>
      <c r="B583" t="s">
        <v>38</v>
      </c>
      <c r="C583" t="s">
        <v>27</v>
      </c>
      <c r="D583">
        <v>321.67</v>
      </c>
    </row>
    <row r="584" spans="1:4" x14ac:dyDescent="0.2">
      <c r="A584">
        <v>2</v>
      </c>
      <c r="B584" t="s">
        <v>38</v>
      </c>
      <c r="C584" t="s">
        <v>27</v>
      </c>
      <c r="D584">
        <v>900</v>
      </c>
    </row>
    <row r="585" spans="1:4" x14ac:dyDescent="0.2">
      <c r="A585">
        <v>2</v>
      </c>
      <c r="B585" t="s">
        <v>38</v>
      </c>
      <c r="C585" t="s">
        <v>27</v>
      </c>
      <c r="D585">
        <v>321.67</v>
      </c>
    </row>
    <row r="586" spans="1:4" x14ac:dyDescent="0.2">
      <c r="A586">
        <v>2</v>
      </c>
      <c r="B586" t="s">
        <v>38</v>
      </c>
      <c r="C586" t="s">
        <v>27</v>
      </c>
      <c r="D586">
        <v>268</v>
      </c>
    </row>
    <row r="587" spans="1:4" x14ac:dyDescent="0.2">
      <c r="A587">
        <v>3</v>
      </c>
      <c r="B587" t="s">
        <v>38</v>
      </c>
      <c r="C587" t="s">
        <v>27</v>
      </c>
      <c r="D587">
        <v>83.3</v>
      </c>
    </row>
    <row r="588" spans="1:4" x14ac:dyDescent="0.2">
      <c r="A588">
        <v>5</v>
      </c>
      <c r="B588" t="s">
        <v>38</v>
      </c>
      <c r="C588" t="s">
        <v>27</v>
      </c>
      <c r="D588">
        <v>592</v>
      </c>
    </row>
    <row r="589" spans="1:4" x14ac:dyDescent="0.2">
      <c r="A589">
        <v>6</v>
      </c>
      <c r="B589" t="s">
        <v>38</v>
      </c>
      <c r="C589" t="s">
        <v>27</v>
      </c>
      <c r="D589">
        <v>592</v>
      </c>
    </row>
    <row r="590" spans="1:4" x14ac:dyDescent="0.2">
      <c r="A590">
        <v>6</v>
      </c>
      <c r="B590" t="s">
        <v>38</v>
      </c>
      <c r="C590" t="s">
        <v>27</v>
      </c>
      <c r="D590">
        <v>2081</v>
      </c>
    </row>
    <row r="591" spans="1:4" x14ac:dyDescent="0.2">
      <c r="A591">
        <v>7</v>
      </c>
      <c r="B591" t="s">
        <v>38</v>
      </c>
      <c r="C591" t="s">
        <v>27</v>
      </c>
      <c r="D591">
        <v>-2081</v>
      </c>
    </row>
    <row r="592" spans="1:4" x14ac:dyDescent="0.2">
      <c r="A592">
        <v>7</v>
      </c>
      <c r="B592" t="s">
        <v>38</v>
      </c>
      <c r="C592" t="s">
        <v>27</v>
      </c>
      <c r="D592">
        <v>592</v>
      </c>
    </row>
    <row r="593" spans="1:4" x14ac:dyDescent="0.2">
      <c r="A593">
        <v>8</v>
      </c>
      <c r="B593" t="s">
        <v>38</v>
      </c>
      <c r="C593" t="s">
        <v>27</v>
      </c>
      <c r="D593">
        <v>592</v>
      </c>
    </row>
    <row r="594" spans="1:4" x14ac:dyDescent="0.2">
      <c r="A594">
        <v>9</v>
      </c>
      <c r="B594" t="s">
        <v>38</v>
      </c>
      <c r="C594" t="s">
        <v>27</v>
      </c>
      <c r="D594">
        <v>592</v>
      </c>
    </row>
    <row r="595" spans="1:4" x14ac:dyDescent="0.2">
      <c r="A595">
        <v>9</v>
      </c>
      <c r="B595" t="s">
        <v>38</v>
      </c>
      <c r="C595" t="s">
        <v>27</v>
      </c>
      <c r="D595">
        <v>1350</v>
      </c>
    </row>
    <row r="596" spans="1:4" x14ac:dyDescent="0.2">
      <c r="A596">
        <v>10</v>
      </c>
      <c r="B596" t="s">
        <v>38</v>
      </c>
      <c r="C596" t="s">
        <v>27</v>
      </c>
      <c r="D596">
        <v>592</v>
      </c>
    </row>
    <row r="597" spans="1:4" x14ac:dyDescent="0.2">
      <c r="A597">
        <v>11</v>
      </c>
      <c r="B597" t="s">
        <v>38</v>
      </c>
      <c r="C597" t="s">
        <v>27</v>
      </c>
      <c r="D597">
        <v>592</v>
      </c>
    </row>
    <row r="598" spans="1:4" x14ac:dyDescent="0.2">
      <c r="A598">
        <v>12</v>
      </c>
      <c r="B598" t="s">
        <v>38</v>
      </c>
      <c r="C598" t="s">
        <v>27</v>
      </c>
      <c r="D598">
        <v>36</v>
      </c>
    </row>
    <row r="599" spans="1:4" x14ac:dyDescent="0.2">
      <c r="A599">
        <v>12</v>
      </c>
      <c r="B599" t="s">
        <v>38</v>
      </c>
      <c r="C599" t="s">
        <v>27</v>
      </c>
      <c r="D599">
        <v>556</v>
      </c>
    </row>
    <row r="600" spans="1:4" x14ac:dyDescent="0.2">
      <c r="A600">
        <v>12</v>
      </c>
      <c r="B600" t="s">
        <v>38</v>
      </c>
      <c r="C600" t="s">
        <v>27</v>
      </c>
      <c r="D600">
        <v>1794</v>
      </c>
    </row>
    <row r="601" spans="1:4" x14ac:dyDescent="0.2">
      <c r="A601">
        <v>3</v>
      </c>
      <c r="B601" t="s">
        <v>38</v>
      </c>
      <c r="C601" t="s">
        <v>27</v>
      </c>
      <c r="D601">
        <v>393.9</v>
      </c>
    </row>
    <row r="602" spans="1:4" x14ac:dyDescent="0.2">
      <c r="A602">
        <v>6</v>
      </c>
      <c r="B602" t="s">
        <v>38</v>
      </c>
      <c r="C602" t="s">
        <v>27</v>
      </c>
      <c r="D602">
        <v>294.39999999999998</v>
      </c>
    </row>
    <row r="603" spans="1:4" x14ac:dyDescent="0.2">
      <c r="A603">
        <v>9</v>
      </c>
      <c r="B603" t="s">
        <v>38</v>
      </c>
      <c r="C603" t="s">
        <v>27</v>
      </c>
      <c r="D603">
        <v>417.2</v>
      </c>
    </row>
    <row r="604" spans="1:4" x14ac:dyDescent="0.2">
      <c r="A604">
        <v>9</v>
      </c>
      <c r="B604" t="s">
        <v>38</v>
      </c>
      <c r="C604" t="s">
        <v>27</v>
      </c>
      <c r="D604">
        <v>620</v>
      </c>
    </row>
    <row r="605" spans="1:4" x14ac:dyDescent="0.2">
      <c r="A605">
        <v>12</v>
      </c>
      <c r="B605" t="s">
        <v>38</v>
      </c>
      <c r="C605" t="s">
        <v>27</v>
      </c>
      <c r="D605">
        <v>482.5</v>
      </c>
    </row>
    <row r="606" spans="1:4" x14ac:dyDescent="0.2">
      <c r="A606">
        <v>1</v>
      </c>
      <c r="B606" t="s">
        <v>38</v>
      </c>
      <c r="C606" t="s">
        <v>27</v>
      </c>
      <c r="D606">
        <v>-560</v>
      </c>
    </row>
    <row r="607" spans="1:4" x14ac:dyDescent="0.2">
      <c r="A607">
        <v>3</v>
      </c>
      <c r="B607" t="s">
        <v>38</v>
      </c>
      <c r="C607" t="s">
        <v>27</v>
      </c>
      <c r="D607">
        <v>238.37</v>
      </c>
    </row>
    <row r="608" spans="1:4" x14ac:dyDescent="0.2">
      <c r="A608">
        <v>4</v>
      </c>
      <c r="B608" t="s">
        <v>38</v>
      </c>
      <c r="C608" t="s">
        <v>27</v>
      </c>
      <c r="D608">
        <v>321.63</v>
      </c>
    </row>
    <row r="609" spans="1:4" x14ac:dyDescent="0.2">
      <c r="A609">
        <v>6</v>
      </c>
      <c r="B609" t="s">
        <v>38</v>
      </c>
      <c r="C609" t="s">
        <v>27</v>
      </c>
      <c r="D609">
        <v>285</v>
      </c>
    </row>
    <row r="610" spans="1:4" x14ac:dyDescent="0.2">
      <c r="A610">
        <v>7</v>
      </c>
      <c r="B610" t="s">
        <v>38</v>
      </c>
      <c r="C610" t="s">
        <v>27</v>
      </c>
      <c r="D610">
        <v>-285</v>
      </c>
    </row>
    <row r="611" spans="1:4" x14ac:dyDescent="0.2">
      <c r="A611">
        <v>12</v>
      </c>
      <c r="B611" t="s">
        <v>38</v>
      </c>
      <c r="C611" t="s">
        <v>27</v>
      </c>
      <c r="D611">
        <v>570</v>
      </c>
    </row>
    <row r="612" spans="1:4" x14ac:dyDescent="0.2">
      <c r="A612">
        <v>3</v>
      </c>
      <c r="B612" t="s">
        <v>38</v>
      </c>
      <c r="C612" t="s">
        <v>27</v>
      </c>
      <c r="D612">
        <v>230</v>
      </c>
    </row>
    <row r="613" spans="1:4" x14ac:dyDescent="0.2">
      <c r="A613">
        <v>4</v>
      </c>
      <c r="B613" t="s">
        <v>38</v>
      </c>
      <c r="C613" t="s">
        <v>27</v>
      </c>
      <c r="D613">
        <v>800</v>
      </c>
    </row>
    <row r="614" spans="1:4" x14ac:dyDescent="0.2">
      <c r="A614">
        <v>6</v>
      </c>
      <c r="B614" t="s">
        <v>38</v>
      </c>
      <c r="C614" t="s">
        <v>27</v>
      </c>
      <c r="D614">
        <v>1350</v>
      </c>
    </row>
    <row r="615" spans="1:4" x14ac:dyDescent="0.2">
      <c r="A615">
        <v>7</v>
      </c>
      <c r="B615" t="s">
        <v>38</v>
      </c>
      <c r="C615" t="s">
        <v>27</v>
      </c>
      <c r="D615">
        <v>-1350</v>
      </c>
    </row>
    <row r="616" spans="1:4" x14ac:dyDescent="0.2">
      <c r="A616">
        <v>7</v>
      </c>
      <c r="B616" t="s">
        <v>38</v>
      </c>
      <c r="C616" t="s">
        <v>27</v>
      </c>
      <c r="D616">
        <v>600</v>
      </c>
    </row>
    <row r="617" spans="1:4" x14ac:dyDescent="0.2">
      <c r="A617">
        <v>1</v>
      </c>
      <c r="B617" t="s">
        <v>38</v>
      </c>
      <c r="C617" t="s">
        <v>27</v>
      </c>
      <c r="D617">
        <v>108</v>
      </c>
    </row>
    <row r="618" spans="1:4" x14ac:dyDescent="0.2">
      <c r="A618">
        <v>3</v>
      </c>
      <c r="B618" t="s">
        <v>38</v>
      </c>
      <c r="C618" t="s">
        <v>27</v>
      </c>
      <c r="D618">
        <v>11.81</v>
      </c>
    </row>
    <row r="619" spans="1:4" x14ac:dyDescent="0.2">
      <c r="A619">
        <v>3</v>
      </c>
      <c r="B619" t="s">
        <v>38</v>
      </c>
      <c r="C619" t="s">
        <v>27</v>
      </c>
      <c r="D619">
        <v>30.45</v>
      </c>
    </row>
    <row r="620" spans="1:4" x14ac:dyDescent="0.2">
      <c r="A620">
        <v>3</v>
      </c>
      <c r="B620" t="s">
        <v>38</v>
      </c>
      <c r="C620" t="s">
        <v>27</v>
      </c>
      <c r="D620">
        <v>62.64</v>
      </c>
    </row>
    <row r="621" spans="1:4" x14ac:dyDescent="0.2">
      <c r="A621">
        <v>7</v>
      </c>
      <c r="B621" t="s">
        <v>368</v>
      </c>
      <c r="C621" t="s">
        <v>27</v>
      </c>
      <c r="D621">
        <v>2000</v>
      </c>
    </row>
    <row r="622" spans="1:4" x14ac:dyDescent="0.2">
      <c r="A622">
        <v>7</v>
      </c>
      <c r="B622" t="s">
        <v>368</v>
      </c>
      <c r="C622" t="s">
        <v>27</v>
      </c>
      <c r="D622">
        <v>3000</v>
      </c>
    </row>
    <row r="623" spans="1:4" x14ac:dyDescent="0.2">
      <c r="A623">
        <v>8</v>
      </c>
      <c r="B623" t="s">
        <v>368</v>
      </c>
      <c r="C623" t="s">
        <v>27</v>
      </c>
      <c r="D623">
        <v>91.92</v>
      </c>
    </row>
    <row r="624" spans="1:4" x14ac:dyDescent="0.2">
      <c r="A624">
        <v>11</v>
      </c>
      <c r="B624" t="s">
        <v>368</v>
      </c>
      <c r="C624" t="s">
        <v>27</v>
      </c>
      <c r="D624">
        <v>650</v>
      </c>
    </row>
    <row r="625" spans="1:4" x14ac:dyDescent="0.2">
      <c r="A625">
        <v>1</v>
      </c>
      <c r="B625" t="s">
        <v>37</v>
      </c>
      <c r="C625" t="s">
        <v>27</v>
      </c>
      <c r="D625">
        <v>20</v>
      </c>
    </row>
    <row r="626" spans="1:4" x14ac:dyDescent="0.2">
      <c r="A626">
        <v>1</v>
      </c>
      <c r="B626" t="s">
        <v>37</v>
      </c>
      <c r="C626" t="s">
        <v>27</v>
      </c>
      <c r="D626">
        <v>624.67999999999995</v>
      </c>
    </row>
    <row r="627" spans="1:4" x14ac:dyDescent="0.2">
      <c r="A627">
        <v>1</v>
      </c>
      <c r="B627" t="s">
        <v>37</v>
      </c>
      <c r="C627" t="s">
        <v>27</v>
      </c>
      <c r="D627">
        <v>1460</v>
      </c>
    </row>
    <row r="628" spans="1:4" x14ac:dyDescent="0.2">
      <c r="A628">
        <v>2</v>
      </c>
      <c r="B628" t="s">
        <v>37</v>
      </c>
      <c r="C628" t="s">
        <v>27</v>
      </c>
      <c r="D628">
        <v>20</v>
      </c>
    </row>
    <row r="629" spans="1:4" x14ac:dyDescent="0.2">
      <c r="A629">
        <v>2</v>
      </c>
      <c r="B629" t="s">
        <v>37</v>
      </c>
      <c r="C629" t="s">
        <v>27</v>
      </c>
      <c r="D629">
        <v>87.98</v>
      </c>
    </row>
    <row r="630" spans="1:4" x14ac:dyDescent="0.2">
      <c r="A630">
        <v>2</v>
      </c>
      <c r="B630" t="s">
        <v>37</v>
      </c>
      <c r="C630" t="s">
        <v>27</v>
      </c>
      <c r="D630">
        <v>624.67999999999995</v>
      </c>
    </row>
    <row r="631" spans="1:4" x14ac:dyDescent="0.2">
      <c r="A631">
        <v>2</v>
      </c>
      <c r="B631" t="s">
        <v>37</v>
      </c>
      <c r="C631" t="s">
        <v>27</v>
      </c>
      <c r="D631">
        <v>494.4</v>
      </c>
    </row>
    <row r="632" spans="1:4" x14ac:dyDescent="0.2">
      <c r="A632">
        <v>2</v>
      </c>
      <c r="B632" t="s">
        <v>37</v>
      </c>
      <c r="C632" t="s">
        <v>27</v>
      </c>
      <c r="D632">
        <v>1460</v>
      </c>
    </row>
    <row r="633" spans="1:4" x14ac:dyDescent="0.2">
      <c r="A633">
        <v>3</v>
      </c>
      <c r="B633" t="s">
        <v>37</v>
      </c>
      <c r="C633" t="s">
        <v>27</v>
      </c>
      <c r="D633">
        <v>20</v>
      </c>
    </row>
    <row r="634" spans="1:4" x14ac:dyDescent="0.2">
      <c r="A634">
        <v>3</v>
      </c>
      <c r="B634" t="s">
        <v>37</v>
      </c>
      <c r="C634" t="s">
        <v>27</v>
      </c>
      <c r="D634">
        <v>624.67999999999995</v>
      </c>
    </row>
    <row r="635" spans="1:4" x14ac:dyDescent="0.2">
      <c r="A635">
        <v>3</v>
      </c>
      <c r="B635" t="s">
        <v>37</v>
      </c>
      <c r="C635" t="s">
        <v>27</v>
      </c>
      <c r="D635">
        <v>1460</v>
      </c>
    </row>
    <row r="636" spans="1:4" x14ac:dyDescent="0.2">
      <c r="A636">
        <v>4</v>
      </c>
      <c r="B636" t="s">
        <v>37</v>
      </c>
      <c r="C636" t="s">
        <v>27</v>
      </c>
      <c r="D636">
        <v>20</v>
      </c>
    </row>
    <row r="637" spans="1:4" x14ac:dyDescent="0.2">
      <c r="A637">
        <v>4</v>
      </c>
      <c r="B637" t="s">
        <v>37</v>
      </c>
      <c r="C637" t="s">
        <v>27</v>
      </c>
      <c r="D637">
        <v>624.67999999999995</v>
      </c>
    </row>
    <row r="638" spans="1:4" x14ac:dyDescent="0.2">
      <c r="A638">
        <v>4</v>
      </c>
      <c r="B638" t="s">
        <v>37</v>
      </c>
      <c r="C638" t="s">
        <v>27</v>
      </c>
      <c r="D638">
        <v>1460</v>
      </c>
    </row>
    <row r="639" spans="1:4" x14ac:dyDescent="0.2">
      <c r="A639">
        <v>5</v>
      </c>
      <c r="B639" t="s">
        <v>37</v>
      </c>
      <c r="C639" t="s">
        <v>27</v>
      </c>
      <c r="D639">
        <v>20</v>
      </c>
    </row>
    <row r="640" spans="1:4" x14ac:dyDescent="0.2">
      <c r="A640">
        <v>5</v>
      </c>
      <c r="B640" t="s">
        <v>37</v>
      </c>
      <c r="C640" t="s">
        <v>27</v>
      </c>
      <c r="D640">
        <v>624.67999999999995</v>
      </c>
    </row>
    <row r="641" spans="1:4" x14ac:dyDescent="0.2">
      <c r="A641">
        <v>5</v>
      </c>
      <c r="B641" t="s">
        <v>37</v>
      </c>
      <c r="C641" t="s">
        <v>27</v>
      </c>
      <c r="D641">
        <v>1460</v>
      </c>
    </row>
    <row r="642" spans="1:4" x14ac:dyDescent="0.2">
      <c r="A642">
        <v>6</v>
      </c>
      <c r="B642" t="s">
        <v>37</v>
      </c>
      <c r="C642" t="s">
        <v>27</v>
      </c>
      <c r="D642">
        <v>20</v>
      </c>
    </row>
    <row r="643" spans="1:4" x14ac:dyDescent="0.2">
      <c r="A643">
        <v>6</v>
      </c>
      <c r="B643" t="s">
        <v>37</v>
      </c>
      <c r="C643" t="s">
        <v>27</v>
      </c>
      <c r="D643">
        <v>624.67999999999995</v>
      </c>
    </row>
    <row r="644" spans="1:4" x14ac:dyDescent="0.2">
      <c r="A644">
        <v>6</v>
      </c>
      <c r="B644" t="s">
        <v>37</v>
      </c>
      <c r="C644" t="s">
        <v>27</v>
      </c>
      <c r="D644">
        <v>13.99</v>
      </c>
    </row>
    <row r="645" spans="1:4" x14ac:dyDescent="0.2">
      <c r="A645">
        <v>6</v>
      </c>
      <c r="B645" t="s">
        <v>37</v>
      </c>
      <c r="C645" t="s">
        <v>27</v>
      </c>
      <c r="D645">
        <v>1460</v>
      </c>
    </row>
    <row r="646" spans="1:4" x14ac:dyDescent="0.2">
      <c r="A646">
        <v>7</v>
      </c>
      <c r="B646" t="s">
        <v>37</v>
      </c>
      <c r="C646" t="s">
        <v>27</v>
      </c>
      <c r="D646">
        <v>-1460</v>
      </c>
    </row>
    <row r="647" spans="1:4" x14ac:dyDescent="0.2">
      <c r="A647">
        <v>7</v>
      </c>
      <c r="B647" t="s">
        <v>37</v>
      </c>
      <c r="C647" t="s">
        <v>27</v>
      </c>
      <c r="D647">
        <v>1460</v>
      </c>
    </row>
    <row r="648" spans="1:4" x14ac:dyDescent="0.2">
      <c r="A648">
        <v>7</v>
      </c>
      <c r="B648" t="s">
        <v>37</v>
      </c>
      <c r="C648" t="s">
        <v>27</v>
      </c>
      <c r="D648">
        <v>13.99</v>
      </c>
    </row>
    <row r="649" spans="1:4" x14ac:dyDescent="0.2">
      <c r="A649">
        <v>7</v>
      </c>
      <c r="B649" t="s">
        <v>37</v>
      </c>
      <c r="C649" t="s">
        <v>27</v>
      </c>
      <c r="D649">
        <v>20</v>
      </c>
    </row>
    <row r="650" spans="1:4" x14ac:dyDescent="0.2">
      <c r="A650">
        <v>7</v>
      </c>
      <c r="B650" t="s">
        <v>37</v>
      </c>
      <c r="C650" t="s">
        <v>27</v>
      </c>
      <c r="D650">
        <v>19.8</v>
      </c>
    </row>
    <row r="651" spans="1:4" x14ac:dyDescent="0.2">
      <c r="A651">
        <v>7</v>
      </c>
      <c r="B651" t="s">
        <v>37</v>
      </c>
      <c r="C651" t="s">
        <v>27</v>
      </c>
      <c r="D651">
        <v>1.19</v>
      </c>
    </row>
    <row r="652" spans="1:4" x14ac:dyDescent="0.2">
      <c r="A652">
        <v>7</v>
      </c>
      <c r="B652" t="s">
        <v>37</v>
      </c>
      <c r="C652" t="s">
        <v>27</v>
      </c>
      <c r="D652">
        <v>624.67999999999995</v>
      </c>
    </row>
    <row r="653" spans="1:4" x14ac:dyDescent="0.2">
      <c r="A653">
        <v>7</v>
      </c>
      <c r="B653" t="s">
        <v>37</v>
      </c>
      <c r="C653" t="s">
        <v>27</v>
      </c>
      <c r="D653">
        <v>1460</v>
      </c>
    </row>
    <row r="654" spans="1:4" x14ac:dyDescent="0.2">
      <c r="A654">
        <v>8</v>
      </c>
      <c r="B654" t="s">
        <v>37</v>
      </c>
      <c r="C654" t="s">
        <v>27</v>
      </c>
      <c r="D654">
        <v>20</v>
      </c>
    </row>
    <row r="655" spans="1:4" x14ac:dyDescent="0.2">
      <c r="A655">
        <v>8</v>
      </c>
      <c r="B655" t="s">
        <v>37</v>
      </c>
      <c r="C655" t="s">
        <v>27</v>
      </c>
      <c r="D655">
        <v>624.67999999999995</v>
      </c>
    </row>
    <row r="656" spans="1:4" x14ac:dyDescent="0.2">
      <c r="A656">
        <v>8</v>
      </c>
      <c r="B656" t="s">
        <v>37</v>
      </c>
      <c r="C656" t="s">
        <v>27</v>
      </c>
      <c r="D656">
        <v>13.99</v>
      </c>
    </row>
    <row r="657" spans="1:4" x14ac:dyDescent="0.2">
      <c r="A657">
        <v>8</v>
      </c>
      <c r="B657" t="s">
        <v>37</v>
      </c>
      <c r="C657" t="s">
        <v>27</v>
      </c>
      <c r="D657">
        <v>240</v>
      </c>
    </row>
    <row r="658" spans="1:4" x14ac:dyDescent="0.2">
      <c r="A658">
        <v>8</v>
      </c>
      <c r="B658" t="s">
        <v>37</v>
      </c>
      <c r="C658" t="s">
        <v>27</v>
      </c>
      <c r="D658">
        <v>1850</v>
      </c>
    </row>
    <row r="659" spans="1:4" x14ac:dyDescent="0.2">
      <c r="A659">
        <v>9</v>
      </c>
      <c r="B659" t="s">
        <v>37</v>
      </c>
      <c r="C659" t="s">
        <v>27</v>
      </c>
      <c r="D659">
        <v>2305.1999999999998</v>
      </c>
    </row>
    <row r="660" spans="1:4" x14ac:dyDescent="0.2">
      <c r="A660">
        <v>9</v>
      </c>
      <c r="B660" t="s">
        <v>37</v>
      </c>
      <c r="C660" t="s">
        <v>27</v>
      </c>
      <c r="D660">
        <v>20</v>
      </c>
    </row>
    <row r="661" spans="1:4" x14ac:dyDescent="0.2">
      <c r="A661">
        <v>9</v>
      </c>
      <c r="B661" t="s">
        <v>37</v>
      </c>
      <c r="C661" t="s">
        <v>27</v>
      </c>
      <c r="D661">
        <v>624.67999999999995</v>
      </c>
    </row>
    <row r="662" spans="1:4" x14ac:dyDescent="0.2">
      <c r="A662">
        <v>9</v>
      </c>
      <c r="B662" t="s">
        <v>37</v>
      </c>
      <c r="C662" t="s">
        <v>27</v>
      </c>
      <c r="D662">
        <v>240</v>
      </c>
    </row>
    <row r="663" spans="1:4" x14ac:dyDescent="0.2">
      <c r="A663">
        <v>9</v>
      </c>
      <c r="B663" t="s">
        <v>37</v>
      </c>
      <c r="C663" t="s">
        <v>27</v>
      </c>
      <c r="D663">
        <v>1850</v>
      </c>
    </row>
    <row r="664" spans="1:4" x14ac:dyDescent="0.2">
      <c r="A664">
        <v>9</v>
      </c>
      <c r="B664" t="s">
        <v>37</v>
      </c>
      <c r="C664" t="s">
        <v>27</v>
      </c>
      <c r="D664">
        <v>13.99</v>
      </c>
    </row>
    <row r="665" spans="1:4" x14ac:dyDescent="0.2">
      <c r="A665">
        <v>10</v>
      </c>
      <c r="B665" t="s">
        <v>37</v>
      </c>
      <c r="C665" t="s">
        <v>27</v>
      </c>
      <c r="D665">
        <v>20</v>
      </c>
    </row>
    <row r="666" spans="1:4" x14ac:dyDescent="0.2">
      <c r="A666">
        <v>10</v>
      </c>
      <c r="B666" t="s">
        <v>37</v>
      </c>
      <c r="C666" t="s">
        <v>27</v>
      </c>
      <c r="D666">
        <v>624.67999999999995</v>
      </c>
    </row>
    <row r="667" spans="1:4" x14ac:dyDescent="0.2">
      <c r="A667">
        <v>10</v>
      </c>
      <c r="B667" t="s">
        <v>37</v>
      </c>
      <c r="C667" t="s">
        <v>27</v>
      </c>
      <c r="D667">
        <v>13.99</v>
      </c>
    </row>
    <row r="668" spans="1:4" x14ac:dyDescent="0.2">
      <c r="A668">
        <v>10</v>
      </c>
      <c r="B668" t="s">
        <v>37</v>
      </c>
      <c r="C668" t="s">
        <v>27</v>
      </c>
      <c r="D668">
        <v>240</v>
      </c>
    </row>
    <row r="669" spans="1:4" x14ac:dyDescent="0.2">
      <c r="A669">
        <v>10</v>
      </c>
      <c r="B669" t="s">
        <v>37</v>
      </c>
      <c r="C669" t="s">
        <v>27</v>
      </c>
      <c r="D669">
        <v>1850</v>
      </c>
    </row>
    <row r="670" spans="1:4" x14ac:dyDescent="0.2">
      <c r="A670">
        <v>10</v>
      </c>
      <c r="B670" t="s">
        <v>37</v>
      </c>
      <c r="C670" t="s">
        <v>27</v>
      </c>
      <c r="D670">
        <v>1089</v>
      </c>
    </row>
    <row r="671" spans="1:4" x14ac:dyDescent="0.2">
      <c r="A671">
        <v>11</v>
      </c>
      <c r="B671" t="s">
        <v>37</v>
      </c>
      <c r="C671" t="s">
        <v>27</v>
      </c>
      <c r="D671">
        <v>20</v>
      </c>
    </row>
    <row r="672" spans="1:4" x14ac:dyDescent="0.2">
      <c r="A672">
        <v>11</v>
      </c>
      <c r="B672" t="s">
        <v>37</v>
      </c>
      <c r="C672" t="s">
        <v>27</v>
      </c>
      <c r="D672">
        <v>294</v>
      </c>
    </row>
    <row r="673" spans="1:4" x14ac:dyDescent="0.2">
      <c r="A673">
        <v>11</v>
      </c>
      <c r="B673" t="s">
        <v>37</v>
      </c>
      <c r="C673" t="s">
        <v>27</v>
      </c>
      <c r="D673">
        <v>1413.19</v>
      </c>
    </row>
    <row r="674" spans="1:4" x14ac:dyDescent="0.2">
      <c r="A674">
        <v>11</v>
      </c>
      <c r="B674" t="s">
        <v>37</v>
      </c>
      <c r="C674" t="s">
        <v>27</v>
      </c>
      <c r="D674">
        <v>240</v>
      </c>
    </row>
    <row r="675" spans="1:4" x14ac:dyDescent="0.2">
      <c r="A675">
        <v>11</v>
      </c>
      <c r="B675" t="s">
        <v>37</v>
      </c>
      <c r="C675" t="s">
        <v>27</v>
      </c>
      <c r="D675">
        <v>1850</v>
      </c>
    </row>
    <row r="676" spans="1:4" x14ac:dyDescent="0.2">
      <c r="A676">
        <v>11</v>
      </c>
      <c r="B676" t="s">
        <v>37</v>
      </c>
      <c r="C676" t="s">
        <v>27</v>
      </c>
      <c r="D676">
        <v>1124.04</v>
      </c>
    </row>
    <row r="677" spans="1:4" x14ac:dyDescent="0.2">
      <c r="A677">
        <v>12</v>
      </c>
      <c r="B677" t="s">
        <v>37</v>
      </c>
      <c r="C677" t="s">
        <v>27</v>
      </c>
      <c r="D677">
        <v>20</v>
      </c>
    </row>
    <row r="678" spans="1:4" x14ac:dyDescent="0.2">
      <c r="A678">
        <v>12</v>
      </c>
      <c r="B678" t="s">
        <v>37</v>
      </c>
      <c r="C678" t="s">
        <v>27</v>
      </c>
      <c r="D678">
        <v>25</v>
      </c>
    </row>
    <row r="679" spans="1:4" x14ac:dyDescent="0.2">
      <c r="A679">
        <v>12</v>
      </c>
      <c r="B679" t="s">
        <v>37</v>
      </c>
      <c r="C679" t="s">
        <v>27</v>
      </c>
      <c r="D679">
        <v>1413.19</v>
      </c>
    </row>
    <row r="680" spans="1:4" x14ac:dyDescent="0.2">
      <c r="A680">
        <v>12</v>
      </c>
      <c r="B680" t="s">
        <v>37</v>
      </c>
      <c r="C680" t="s">
        <v>27</v>
      </c>
      <c r="D680">
        <v>240</v>
      </c>
    </row>
    <row r="681" spans="1:4" x14ac:dyDescent="0.2">
      <c r="A681">
        <v>12</v>
      </c>
      <c r="B681" t="s">
        <v>37</v>
      </c>
      <c r="C681" t="s">
        <v>27</v>
      </c>
      <c r="D681">
        <v>1124.04</v>
      </c>
    </row>
    <row r="682" spans="1:4" x14ac:dyDescent="0.2">
      <c r="A682">
        <v>12</v>
      </c>
      <c r="B682" t="s">
        <v>37</v>
      </c>
      <c r="C682" t="s">
        <v>27</v>
      </c>
      <c r="D682">
        <v>1850</v>
      </c>
    </row>
    <row r="683" spans="1:4" x14ac:dyDescent="0.2">
      <c r="A683">
        <v>1</v>
      </c>
      <c r="B683" t="s">
        <v>37</v>
      </c>
      <c r="C683" t="s">
        <v>27</v>
      </c>
      <c r="D683">
        <v>-926.74</v>
      </c>
    </row>
    <row r="684" spans="1:4" x14ac:dyDescent="0.2">
      <c r="A684">
        <v>1</v>
      </c>
      <c r="B684" t="s">
        <v>37</v>
      </c>
      <c r="C684" t="s">
        <v>27</v>
      </c>
      <c r="D684">
        <v>349</v>
      </c>
    </row>
    <row r="685" spans="1:4" x14ac:dyDescent="0.2">
      <c r="A685">
        <v>1</v>
      </c>
      <c r="B685" t="s">
        <v>37</v>
      </c>
      <c r="C685" t="s">
        <v>27</v>
      </c>
      <c r="D685">
        <v>926.74</v>
      </c>
    </row>
    <row r="686" spans="1:4" x14ac:dyDescent="0.2">
      <c r="A686">
        <v>1</v>
      </c>
      <c r="B686" t="s">
        <v>37</v>
      </c>
      <c r="C686" t="s">
        <v>27</v>
      </c>
      <c r="D686">
        <v>349</v>
      </c>
    </row>
    <row r="687" spans="1:4" x14ac:dyDescent="0.2">
      <c r="A687">
        <v>2</v>
      </c>
      <c r="B687" t="s">
        <v>37</v>
      </c>
      <c r="C687" t="s">
        <v>27</v>
      </c>
      <c r="D687">
        <v>1506.87</v>
      </c>
    </row>
    <row r="688" spans="1:4" x14ac:dyDescent="0.2">
      <c r="A688">
        <v>2</v>
      </c>
      <c r="B688" t="s">
        <v>37</v>
      </c>
      <c r="C688" t="s">
        <v>27</v>
      </c>
      <c r="D688">
        <v>349</v>
      </c>
    </row>
    <row r="689" spans="1:4" x14ac:dyDescent="0.2">
      <c r="A689">
        <v>3</v>
      </c>
      <c r="B689" t="s">
        <v>37</v>
      </c>
      <c r="C689" t="s">
        <v>27</v>
      </c>
      <c r="D689">
        <v>2237.8200000000002</v>
      </c>
    </row>
    <row r="690" spans="1:4" x14ac:dyDescent="0.2">
      <c r="A690">
        <v>3</v>
      </c>
      <c r="B690" t="s">
        <v>37</v>
      </c>
      <c r="C690" t="s">
        <v>27</v>
      </c>
      <c r="D690">
        <v>349</v>
      </c>
    </row>
    <row r="691" spans="1:4" x14ac:dyDescent="0.2">
      <c r="A691">
        <v>4</v>
      </c>
      <c r="B691" t="s">
        <v>37</v>
      </c>
      <c r="C691" t="s">
        <v>27</v>
      </c>
      <c r="D691">
        <v>2160.0700000000002</v>
      </c>
    </row>
    <row r="692" spans="1:4" x14ac:dyDescent="0.2">
      <c r="A692">
        <v>4</v>
      </c>
      <c r="B692" t="s">
        <v>37</v>
      </c>
      <c r="C692" t="s">
        <v>27</v>
      </c>
      <c r="D692">
        <v>349</v>
      </c>
    </row>
    <row r="693" spans="1:4" x14ac:dyDescent="0.2">
      <c r="A693">
        <v>5</v>
      </c>
      <c r="B693" t="s">
        <v>37</v>
      </c>
      <c r="C693" t="s">
        <v>27</v>
      </c>
      <c r="D693">
        <v>1646.9</v>
      </c>
    </row>
    <row r="694" spans="1:4" x14ac:dyDescent="0.2">
      <c r="A694">
        <v>5</v>
      </c>
      <c r="B694" t="s">
        <v>37</v>
      </c>
      <c r="C694" t="s">
        <v>27</v>
      </c>
      <c r="D694">
        <v>349</v>
      </c>
    </row>
    <row r="695" spans="1:4" x14ac:dyDescent="0.2">
      <c r="A695">
        <v>6</v>
      </c>
      <c r="B695" t="s">
        <v>37</v>
      </c>
      <c r="C695" t="s">
        <v>27</v>
      </c>
      <c r="D695">
        <v>2108.42</v>
      </c>
    </row>
    <row r="696" spans="1:4" x14ac:dyDescent="0.2">
      <c r="A696">
        <v>6</v>
      </c>
      <c r="B696" t="s">
        <v>37</v>
      </c>
      <c r="C696" t="s">
        <v>27</v>
      </c>
      <c r="D696">
        <v>349</v>
      </c>
    </row>
    <row r="697" spans="1:4" x14ac:dyDescent="0.2">
      <c r="A697">
        <v>6</v>
      </c>
      <c r="B697" t="s">
        <v>37</v>
      </c>
      <c r="C697" t="s">
        <v>27</v>
      </c>
      <c r="D697">
        <v>-349</v>
      </c>
    </row>
    <row r="698" spans="1:4" x14ac:dyDescent="0.2">
      <c r="A698">
        <v>6</v>
      </c>
      <c r="B698" t="s">
        <v>37</v>
      </c>
      <c r="C698" t="s">
        <v>27</v>
      </c>
      <c r="D698">
        <v>1743.09</v>
      </c>
    </row>
    <row r="699" spans="1:4" x14ac:dyDescent="0.2">
      <c r="A699">
        <v>7</v>
      </c>
      <c r="B699" t="s">
        <v>37</v>
      </c>
      <c r="C699" t="s">
        <v>27</v>
      </c>
      <c r="D699">
        <v>175.94</v>
      </c>
    </row>
    <row r="700" spans="1:4" x14ac:dyDescent="0.2">
      <c r="A700">
        <v>7</v>
      </c>
      <c r="B700" t="s">
        <v>37</v>
      </c>
      <c r="C700" t="s">
        <v>27</v>
      </c>
      <c r="D700">
        <v>349</v>
      </c>
    </row>
    <row r="701" spans="1:4" x14ac:dyDescent="0.2">
      <c r="A701">
        <v>7</v>
      </c>
      <c r="B701" t="s">
        <v>37</v>
      </c>
      <c r="C701" t="s">
        <v>27</v>
      </c>
      <c r="D701">
        <v>-1743.09</v>
      </c>
    </row>
    <row r="702" spans="1:4" x14ac:dyDescent="0.2">
      <c r="A702">
        <v>7</v>
      </c>
      <c r="B702" t="s">
        <v>37</v>
      </c>
      <c r="C702" t="s">
        <v>27</v>
      </c>
      <c r="D702">
        <v>1743.09</v>
      </c>
    </row>
    <row r="703" spans="1:4" x14ac:dyDescent="0.2">
      <c r="A703">
        <v>7</v>
      </c>
      <c r="B703" t="s">
        <v>37</v>
      </c>
      <c r="C703" t="s">
        <v>27</v>
      </c>
      <c r="D703">
        <v>349</v>
      </c>
    </row>
    <row r="704" spans="1:4" x14ac:dyDescent="0.2">
      <c r="A704">
        <v>8</v>
      </c>
      <c r="B704" t="s">
        <v>37</v>
      </c>
      <c r="C704" t="s">
        <v>27</v>
      </c>
      <c r="D704">
        <v>3373.63</v>
      </c>
    </row>
    <row r="705" spans="1:4" x14ac:dyDescent="0.2">
      <c r="A705">
        <v>8</v>
      </c>
      <c r="B705" t="s">
        <v>37</v>
      </c>
      <c r="C705" t="s">
        <v>27</v>
      </c>
      <c r="D705">
        <v>349</v>
      </c>
    </row>
    <row r="706" spans="1:4" x14ac:dyDescent="0.2">
      <c r="A706">
        <v>9</v>
      </c>
      <c r="B706" t="s">
        <v>37</v>
      </c>
      <c r="C706" t="s">
        <v>27</v>
      </c>
      <c r="D706">
        <v>2530.41</v>
      </c>
    </row>
    <row r="707" spans="1:4" x14ac:dyDescent="0.2">
      <c r="A707">
        <v>9</v>
      </c>
      <c r="B707" t="s">
        <v>37</v>
      </c>
      <c r="C707" t="s">
        <v>27</v>
      </c>
      <c r="D707">
        <v>349</v>
      </c>
    </row>
    <row r="708" spans="1:4" x14ac:dyDescent="0.2">
      <c r="A708">
        <v>10</v>
      </c>
      <c r="B708" t="s">
        <v>37</v>
      </c>
      <c r="C708" t="s">
        <v>27</v>
      </c>
      <c r="D708">
        <v>3244.13</v>
      </c>
    </row>
    <row r="709" spans="1:4" x14ac:dyDescent="0.2">
      <c r="A709">
        <v>10</v>
      </c>
      <c r="B709" t="s">
        <v>37</v>
      </c>
      <c r="C709" t="s">
        <v>27</v>
      </c>
      <c r="D709">
        <v>349</v>
      </c>
    </row>
    <row r="710" spans="1:4" x14ac:dyDescent="0.2">
      <c r="A710">
        <v>11</v>
      </c>
      <c r="B710" t="s">
        <v>37</v>
      </c>
      <c r="C710" t="s">
        <v>27</v>
      </c>
      <c r="D710">
        <v>1922.08</v>
      </c>
    </row>
    <row r="711" spans="1:4" x14ac:dyDescent="0.2">
      <c r="A711">
        <v>11</v>
      </c>
      <c r="B711" t="s">
        <v>37</v>
      </c>
      <c r="C711" t="s">
        <v>27</v>
      </c>
      <c r="D711">
        <v>349</v>
      </c>
    </row>
    <row r="712" spans="1:4" x14ac:dyDescent="0.2">
      <c r="A712">
        <v>12</v>
      </c>
      <c r="B712" t="s">
        <v>37</v>
      </c>
      <c r="C712" t="s">
        <v>27</v>
      </c>
      <c r="D712">
        <v>1366.94</v>
      </c>
    </row>
    <row r="713" spans="1:4" x14ac:dyDescent="0.2">
      <c r="A713">
        <v>12</v>
      </c>
      <c r="B713" t="s">
        <v>37</v>
      </c>
      <c r="C713" t="s">
        <v>27</v>
      </c>
      <c r="D713">
        <v>349</v>
      </c>
    </row>
    <row r="714" spans="1:4" x14ac:dyDescent="0.2">
      <c r="A714">
        <v>12</v>
      </c>
      <c r="B714" t="s">
        <v>37</v>
      </c>
      <c r="C714" t="s">
        <v>27</v>
      </c>
      <c r="D714">
        <v>-349</v>
      </c>
    </row>
    <row r="715" spans="1:4" x14ac:dyDescent="0.2">
      <c r="A715">
        <v>12</v>
      </c>
      <c r="B715" t="s">
        <v>37</v>
      </c>
      <c r="C715" t="s">
        <v>27</v>
      </c>
      <c r="D715">
        <v>1227.9000000000001</v>
      </c>
    </row>
    <row r="716" spans="1:4" x14ac:dyDescent="0.2">
      <c r="A716">
        <v>2</v>
      </c>
      <c r="B716" t="s">
        <v>37</v>
      </c>
      <c r="C716" t="s">
        <v>27</v>
      </c>
      <c r="D716">
        <v>456.3</v>
      </c>
    </row>
    <row r="717" spans="1:4" x14ac:dyDescent="0.2">
      <c r="A717">
        <v>3</v>
      </c>
      <c r="B717" t="s">
        <v>37</v>
      </c>
      <c r="C717" t="s">
        <v>27</v>
      </c>
      <c r="D717">
        <v>1064.7</v>
      </c>
    </row>
    <row r="718" spans="1:4" x14ac:dyDescent="0.2">
      <c r="A718">
        <v>6</v>
      </c>
      <c r="B718" t="s">
        <v>37</v>
      </c>
      <c r="C718" t="s">
        <v>27</v>
      </c>
      <c r="D718">
        <v>770.06</v>
      </c>
    </row>
    <row r="719" spans="1:4" x14ac:dyDescent="0.2">
      <c r="A719">
        <v>6</v>
      </c>
      <c r="B719" t="s">
        <v>37</v>
      </c>
      <c r="C719" t="s">
        <v>27</v>
      </c>
      <c r="D719">
        <v>-770.06</v>
      </c>
    </row>
    <row r="720" spans="1:4" x14ac:dyDescent="0.2">
      <c r="A720">
        <v>7</v>
      </c>
      <c r="B720" t="s">
        <v>37</v>
      </c>
      <c r="C720" t="s">
        <v>27</v>
      </c>
      <c r="D720">
        <v>770.06</v>
      </c>
    </row>
    <row r="721" spans="1:4" x14ac:dyDescent="0.2">
      <c r="A721">
        <v>7</v>
      </c>
      <c r="B721" t="s">
        <v>37</v>
      </c>
      <c r="C721" t="s">
        <v>27</v>
      </c>
      <c r="D721">
        <v>2120.44</v>
      </c>
    </row>
    <row r="722" spans="1:4" x14ac:dyDescent="0.2">
      <c r="A722">
        <v>1</v>
      </c>
      <c r="B722" t="s">
        <v>37</v>
      </c>
      <c r="C722" t="s">
        <v>27</v>
      </c>
      <c r="D722">
        <v>100</v>
      </c>
    </row>
    <row r="723" spans="1:4" x14ac:dyDescent="0.2">
      <c r="A723">
        <v>5</v>
      </c>
      <c r="B723" t="s">
        <v>37</v>
      </c>
      <c r="C723" t="s">
        <v>27</v>
      </c>
      <c r="D723">
        <v>53.64</v>
      </c>
    </row>
    <row r="724" spans="1:4" x14ac:dyDescent="0.2">
      <c r="A724">
        <v>5</v>
      </c>
      <c r="B724" t="s">
        <v>37</v>
      </c>
      <c r="C724" t="s">
        <v>27</v>
      </c>
      <c r="D724">
        <v>708.32</v>
      </c>
    </row>
    <row r="725" spans="1:4" x14ac:dyDescent="0.2">
      <c r="A725">
        <v>6</v>
      </c>
      <c r="B725" t="s">
        <v>37</v>
      </c>
      <c r="C725" t="s">
        <v>27</v>
      </c>
      <c r="D725">
        <v>223.7</v>
      </c>
    </row>
    <row r="726" spans="1:4" x14ac:dyDescent="0.2">
      <c r="A726">
        <v>7</v>
      </c>
      <c r="B726" t="s">
        <v>37</v>
      </c>
      <c r="C726" t="s">
        <v>27</v>
      </c>
      <c r="D726">
        <v>-708.32</v>
      </c>
    </row>
    <row r="727" spans="1:4" x14ac:dyDescent="0.2">
      <c r="A727">
        <v>7</v>
      </c>
      <c r="B727" t="s">
        <v>37</v>
      </c>
      <c r="C727" t="s">
        <v>27</v>
      </c>
      <c r="D727">
        <v>299.52999999999997</v>
      </c>
    </row>
    <row r="728" spans="1:4" x14ac:dyDescent="0.2">
      <c r="A728">
        <v>8</v>
      </c>
      <c r="B728" t="s">
        <v>37</v>
      </c>
      <c r="C728" t="s">
        <v>27</v>
      </c>
      <c r="D728">
        <v>999.17</v>
      </c>
    </row>
    <row r="729" spans="1:4" x14ac:dyDescent="0.2">
      <c r="A729">
        <v>8</v>
      </c>
      <c r="B729" t="s">
        <v>37</v>
      </c>
      <c r="C729" t="s">
        <v>27</v>
      </c>
      <c r="D729">
        <v>45.45</v>
      </c>
    </row>
    <row r="730" spans="1:4" x14ac:dyDescent="0.2">
      <c r="A730">
        <v>2</v>
      </c>
      <c r="B730" t="s">
        <v>37</v>
      </c>
      <c r="C730" t="s">
        <v>27</v>
      </c>
      <c r="D730">
        <v>50</v>
      </c>
    </row>
    <row r="731" spans="1:4" x14ac:dyDescent="0.2">
      <c r="A731">
        <v>2</v>
      </c>
      <c r="B731" t="s">
        <v>37</v>
      </c>
      <c r="C731" t="s">
        <v>27</v>
      </c>
      <c r="D731">
        <v>50</v>
      </c>
    </row>
    <row r="732" spans="1:4" x14ac:dyDescent="0.2">
      <c r="A732">
        <v>5</v>
      </c>
      <c r="B732" t="s">
        <v>37</v>
      </c>
      <c r="C732" t="s">
        <v>27</v>
      </c>
      <c r="D732">
        <v>400</v>
      </c>
    </row>
    <row r="733" spans="1:4" x14ac:dyDescent="0.2">
      <c r="A733">
        <v>5</v>
      </c>
      <c r="B733" t="s">
        <v>37</v>
      </c>
      <c r="C733" t="s">
        <v>27</v>
      </c>
      <c r="D733">
        <v>1150</v>
      </c>
    </row>
    <row r="734" spans="1:4" x14ac:dyDescent="0.2">
      <c r="A734">
        <v>10</v>
      </c>
      <c r="B734" t="s">
        <v>37</v>
      </c>
      <c r="C734" t="s">
        <v>27</v>
      </c>
      <c r="D734">
        <v>50</v>
      </c>
    </row>
    <row r="735" spans="1:4" x14ac:dyDescent="0.2">
      <c r="A735">
        <v>10</v>
      </c>
      <c r="B735" t="s">
        <v>37</v>
      </c>
      <c r="C735" t="s">
        <v>27</v>
      </c>
      <c r="D735">
        <v>800</v>
      </c>
    </row>
    <row r="736" spans="1:4" x14ac:dyDescent="0.2">
      <c r="A736">
        <v>11</v>
      </c>
      <c r="B736" t="s">
        <v>37</v>
      </c>
      <c r="C736" t="s">
        <v>27</v>
      </c>
      <c r="D736">
        <v>800</v>
      </c>
    </row>
    <row r="737" spans="1:4" x14ac:dyDescent="0.2">
      <c r="A737">
        <v>2</v>
      </c>
      <c r="B737" t="s">
        <v>37</v>
      </c>
      <c r="C737" t="s">
        <v>27</v>
      </c>
      <c r="D737">
        <v>2000</v>
      </c>
    </row>
    <row r="738" spans="1:4" x14ac:dyDescent="0.2">
      <c r="A738">
        <v>5</v>
      </c>
      <c r="B738" t="s">
        <v>37</v>
      </c>
      <c r="C738" t="s">
        <v>27</v>
      </c>
      <c r="D738">
        <v>2000</v>
      </c>
    </row>
    <row r="739" spans="1:4" x14ac:dyDescent="0.2">
      <c r="A739">
        <v>5</v>
      </c>
      <c r="B739" t="s">
        <v>37</v>
      </c>
      <c r="C739" t="s">
        <v>27</v>
      </c>
      <c r="D739">
        <v>2000</v>
      </c>
    </row>
    <row r="740" spans="1:4" x14ac:dyDescent="0.2">
      <c r="A740">
        <v>10</v>
      </c>
      <c r="B740" t="s">
        <v>37</v>
      </c>
      <c r="C740" t="s">
        <v>27</v>
      </c>
      <c r="D740">
        <v>1000</v>
      </c>
    </row>
    <row r="741" spans="1:4" x14ac:dyDescent="0.2">
      <c r="A741">
        <v>1</v>
      </c>
      <c r="B741" t="s">
        <v>40</v>
      </c>
      <c r="C741" t="s">
        <v>27</v>
      </c>
      <c r="D741">
        <v>21.66</v>
      </c>
    </row>
    <row r="742" spans="1:4" x14ac:dyDescent="0.2">
      <c r="A742">
        <v>3</v>
      </c>
      <c r="B742" t="s">
        <v>40</v>
      </c>
      <c r="C742" t="s">
        <v>27</v>
      </c>
      <c r="D742">
        <v>44.01</v>
      </c>
    </row>
    <row r="743" spans="1:4" x14ac:dyDescent="0.2">
      <c r="A743">
        <v>4</v>
      </c>
      <c r="B743" t="s">
        <v>40</v>
      </c>
      <c r="C743" t="s">
        <v>27</v>
      </c>
      <c r="D743">
        <v>14.74</v>
      </c>
    </row>
    <row r="744" spans="1:4" x14ac:dyDescent="0.2">
      <c r="A744">
        <v>7</v>
      </c>
      <c r="B744" t="s">
        <v>40</v>
      </c>
      <c r="C744" t="s">
        <v>27</v>
      </c>
      <c r="D744">
        <v>-21.66</v>
      </c>
    </row>
    <row r="745" spans="1:4" x14ac:dyDescent="0.2">
      <c r="A745">
        <v>7</v>
      </c>
      <c r="B745" t="s">
        <v>40</v>
      </c>
      <c r="C745" t="s">
        <v>27</v>
      </c>
      <c r="D745">
        <v>25.99</v>
      </c>
    </row>
    <row r="746" spans="1:4" x14ac:dyDescent="0.2">
      <c r="A746">
        <v>9</v>
      </c>
      <c r="B746" t="s">
        <v>40</v>
      </c>
      <c r="C746" t="s">
        <v>27</v>
      </c>
      <c r="D746">
        <v>30.39</v>
      </c>
    </row>
    <row r="747" spans="1:4" x14ac:dyDescent="0.2">
      <c r="A747">
        <v>10</v>
      </c>
      <c r="B747" t="s">
        <v>40</v>
      </c>
      <c r="C747" t="s">
        <v>27</v>
      </c>
      <c r="D747">
        <v>41.44</v>
      </c>
    </row>
    <row r="748" spans="1:4" x14ac:dyDescent="0.2">
      <c r="A748">
        <v>12</v>
      </c>
      <c r="B748" t="s">
        <v>40</v>
      </c>
      <c r="C748" t="s">
        <v>27</v>
      </c>
      <c r="D748">
        <v>34.200000000000003</v>
      </c>
    </row>
    <row r="749" spans="1:4" x14ac:dyDescent="0.2">
      <c r="A749">
        <v>1</v>
      </c>
      <c r="B749" t="s">
        <v>40</v>
      </c>
      <c r="C749" t="s">
        <v>27</v>
      </c>
      <c r="D749">
        <v>210.08</v>
      </c>
    </row>
    <row r="750" spans="1:4" x14ac:dyDescent="0.2">
      <c r="A750">
        <v>1</v>
      </c>
      <c r="B750" t="s">
        <v>40</v>
      </c>
      <c r="C750" t="s">
        <v>27</v>
      </c>
      <c r="D750">
        <v>84</v>
      </c>
    </row>
    <row r="751" spans="1:4" x14ac:dyDescent="0.2">
      <c r="A751">
        <v>1</v>
      </c>
      <c r="B751" t="s">
        <v>40</v>
      </c>
      <c r="C751" t="s">
        <v>27</v>
      </c>
      <c r="D751">
        <v>39.9</v>
      </c>
    </row>
    <row r="752" spans="1:4" x14ac:dyDescent="0.2">
      <c r="A752">
        <v>1</v>
      </c>
      <c r="B752" t="s">
        <v>40</v>
      </c>
      <c r="C752" t="s">
        <v>27</v>
      </c>
      <c r="D752">
        <v>190</v>
      </c>
    </row>
    <row r="753" spans="1:4" x14ac:dyDescent="0.2">
      <c r="A753">
        <v>1</v>
      </c>
      <c r="B753" t="s">
        <v>40</v>
      </c>
      <c r="C753" t="s">
        <v>27</v>
      </c>
      <c r="D753">
        <v>21.7</v>
      </c>
    </row>
    <row r="754" spans="1:4" x14ac:dyDescent="0.2">
      <c r="A754">
        <v>1</v>
      </c>
      <c r="B754" t="s">
        <v>40</v>
      </c>
      <c r="C754" t="s">
        <v>27</v>
      </c>
      <c r="D754">
        <v>16.22</v>
      </c>
    </row>
    <row r="755" spans="1:4" x14ac:dyDescent="0.2">
      <c r="A755">
        <v>1</v>
      </c>
      <c r="B755" t="s">
        <v>40</v>
      </c>
      <c r="C755" t="s">
        <v>27</v>
      </c>
      <c r="D755">
        <v>50</v>
      </c>
    </row>
    <row r="756" spans="1:4" x14ac:dyDescent="0.2">
      <c r="A756">
        <v>1</v>
      </c>
      <c r="B756" t="s">
        <v>40</v>
      </c>
      <c r="C756" t="s">
        <v>27</v>
      </c>
      <c r="D756">
        <v>711.44</v>
      </c>
    </row>
    <row r="757" spans="1:4" x14ac:dyDescent="0.2">
      <c r="A757">
        <v>2</v>
      </c>
      <c r="B757" t="s">
        <v>40</v>
      </c>
      <c r="C757" t="s">
        <v>27</v>
      </c>
      <c r="D757">
        <v>934.45</v>
      </c>
    </row>
    <row r="758" spans="1:4" x14ac:dyDescent="0.2">
      <c r="A758">
        <v>3</v>
      </c>
      <c r="B758" t="s">
        <v>40</v>
      </c>
      <c r="C758" t="s">
        <v>27</v>
      </c>
      <c r="D758">
        <v>367.2</v>
      </c>
    </row>
    <row r="759" spans="1:4" x14ac:dyDescent="0.2">
      <c r="A759">
        <v>3</v>
      </c>
      <c r="B759" t="s">
        <v>40</v>
      </c>
      <c r="C759" t="s">
        <v>27</v>
      </c>
      <c r="D759">
        <v>1667.1</v>
      </c>
    </row>
    <row r="760" spans="1:4" x14ac:dyDescent="0.2">
      <c r="A760">
        <v>3</v>
      </c>
      <c r="B760" t="s">
        <v>40</v>
      </c>
      <c r="C760" t="s">
        <v>27</v>
      </c>
      <c r="D760">
        <v>28.05</v>
      </c>
    </row>
    <row r="761" spans="1:4" x14ac:dyDescent="0.2">
      <c r="A761">
        <v>3</v>
      </c>
      <c r="B761" t="s">
        <v>40</v>
      </c>
      <c r="C761" t="s">
        <v>27</v>
      </c>
      <c r="D761">
        <v>49.25</v>
      </c>
    </row>
    <row r="762" spans="1:4" x14ac:dyDescent="0.2">
      <c r="A762">
        <v>3</v>
      </c>
      <c r="B762" t="s">
        <v>40</v>
      </c>
      <c r="C762" t="s">
        <v>27</v>
      </c>
      <c r="D762">
        <v>125.1</v>
      </c>
    </row>
    <row r="763" spans="1:4" x14ac:dyDescent="0.2">
      <c r="A763">
        <v>3</v>
      </c>
      <c r="B763" t="s">
        <v>40</v>
      </c>
      <c r="C763" t="s">
        <v>27</v>
      </c>
      <c r="D763">
        <v>1626.5</v>
      </c>
    </row>
    <row r="764" spans="1:4" x14ac:dyDescent="0.2">
      <c r="A764">
        <v>4</v>
      </c>
      <c r="B764" t="s">
        <v>40</v>
      </c>
      <c r="C764" t="s">
        <v>27</v>
      </c>
      <c r="D764">
        <v>120.11</v>
      </c>
    </row>
    <row r="765" spans="1:4" x14ac:dyDescent="0.2">
      <c r="A765">
        <v>4</v>
      </c>
      <c r="B765" t="s">
        <v>40</v>
      </c>
      <c r="C765" t="s">
        <v>27</v>
      </c>
      <c r="D765">
        <v>62.28</v>
      </c>
    </row>
    <row r="766" spans="1:4" x14ac:dyDescent="0.2">
      <c r="A766">
        <v>4</v>
      </c>
      <c r="B766" t="s">
        <v>40</v>
      </c>
      <c r="C766" t="s">
        <v>27</v>
      </c>
      <c r="D766">
        <v>179.85</v>
      </c>
    </row>
    <row r="767" spans="1:4" x14ac:dyDescent="0.2">
      <c r="A767">
        <v>4</v>
      </c>
      <c r="B767" t="s">
        <v>40</v>
      </c>
      <c r="C767" t="s">
        <v>27</v>
      </c>
      <c r="D767">
        <v>39.6</v>
      </c>
    </row>
    <row r="768" spans="1:4" x14ac:dyDescent="0.2">
      <c r="A768">
        <v>4</v>
      </c>
      <c r="B768" t="s">
        <v>40</v>
      </c>
      <c r="C768" t="s">
        <v>27</v>
      </c>
      <c r="D768">
        <v>164.2</v>
      </c>
    </row>
    <row r="769" spans="1:4" x14ac:dyDescent="0.2">
      <c r="A769">
        <v>4</v>
      </c>
      <c r="B769" t="s">
        <v>40</v>
      </c>
      <c r="C769" t="s">
        <v>27</v>
      </c>
      <c r="D769">
        <v>225.56</v>
      </c>
    </row>
    <row r="770" spans="1:4" x14ac:dyDescent="0.2">
      <c r="A770">
        <v>4</v>
      </c>
      <c r="B770" t="s">
        <v>40</v>
      </c>
      <c r="C770" t="s">
        <v>27</v>
      </c>
      <c r="D770">
        <v>1688.03</v>
      </c>
    </row>
    <row r="771" spans="1:4" x14ac:dyDescent="0.2">
      <c r="A771">
        <v>5</v>
      </c>
      <c r="B771" t="s">
        <v>40</v>
      </c>
      <c r="C771" t="s">
        <v>27</v>
      </c>
      <c r="D771">
        <v>26.36</v>
      </c>
    </row>
    <row r="772" spans="1:4" x14ac:dyDescent="0.2">
      <c r="A772">
        <v>5</v>
      </c>
      <c r="B772" t="s">
        <v>40</v>
      </c>
      <c r="C772" t="s">
        <v>27</v>
      </c>
      <c r="D772">
        <v>140</v>
      </c>
    </row>
    <row r="773" spans="1:4" x14ac:dyDescent="0.2">
      <c r="A773">
        <v>5</v>
      </c>
      <c r="B773" t="s">
        <v>40</v>
      </c>
      <c r="C773" t="s">
        <v>27</v>
      </c>
      <c r="D773">
        <v>187.06</v>
      </c>
    </row>
    <row r="774" spans="1:4" x14ac:dyDescent="0.2">
      <c r="A774">
        <v>5</v>
      </c>
      <c r="B774" t="s">
        <v>40</v>
      </c>
      <c r="C774" t="s">
        <v>27</v>
      </c>
      <c r="D774">
        <v>962.33</v>
      </c>
    </row>
    <row r="775" spans="1:4" x14ac:dyDescent="0.2">
      <c r="A775">
        <v>6</v>
      </c>
      <c r="B775" t="s">
        <v>40</v>
      </c>
      <c r="C775" t="s">
        <v>27</v>
      </c>
      <c r="D775">
        <v>14.73</v>
      </c>
    </row>
    <row r="776" spans="1:4" x14ac:dyDescent="0.2">
      <c r="A776">
        <v>6</v>
      </c>
      <c r="B776" t="s">
        <v>40</v>
      </c>
      <c r="C776" t="s">
        <v>27</v>
      </c>
      <c r="D776">
        <v>253.2</v>
      </c>
    </row>
    <row r="777" spans="1:4" x14ac:dyDescent="0.2">
      <c r="A777">
        <v>6</v>
      </c>
      <c r="B777" t="s">
        <v>40</v>
      </c>
      <c r="C777" t="s">
        <v>27</v>
      </c>
      <c r="D777">
        <v>1258.06</v>
      </c>
    </row>
    <row r="778" spans="1:4" x14ac:dyDescent="0.2">
      <c r="A778">
        <v>7</v>
      </c>
      <c r="B778" t="s">
        <v>40</v>
      </c>
      <c r="C778" t="s">
        <v>27</v>
      </c>
      <c r="D778">
        <v>-41.8</v>
      </c>
    </row>
    <row r="779" spans="1:4" x14ac:dyDescent="0.2">
      <c r="A779">
        <v>7</v>
      </c>
      <c r="B779" t="s">
        <v>40</v>
      </c>
      <c r="C779" t="s">
        <v>27</v>
      </c>
      <c r="D779">
        <v>1342.88</v>
      </c>
    </row>
    <row r="780" spans="1:4" x14ac:dyDescent="0.2">
      <c r="A780">
        <v>8</v>
      </c>
      <c r="B780" t="s">
        <v>40</v>
      </c>
      <c r="C780" t="s">
        <v>27</v>
      </c>
      <c r="D780">
        <v>129.36000000000001</v>
      </c>
    </row>
    <row r="781" spans="1:4" x14ac:dyDescent="0.2">
      <c r="A781">
        <v>8</v>
      </c>
      <c r="B781" t="s">
        <v>40</v>
      </c>
      <c r="C781" t="s">
        <v>27</v>
      </c>
      <c r="D781">
        <v>979.32</v>
      </c>
    </row>
    <row r="782" spans="1:4" x14ac:dyDescent="0.2">
      <c r="A782">
        <v>9</v>
      </c>
      <c r="B782" t="s">
        <v>40</v>
      </c>
      <c r="C782" t="s">
        <v>27</v>
      </c>
      <c r="D782">
        <v>609.72</v>
      </c>
    </row>
    <row r="783" spans="1:4" x14ac:dyDescent="0.2">
      <c r="A783">
        <v>10</v>
      </c>
      <c r="B783" t="s">
        <v>40</v>
      </c>
      <c r="C783" t="s">
        <v>27</v>
      </c>
      <c r="D783">
        <v>31.67</v>
      </c>
    </row>
    <row r="784" spans="1:4" x14ac:dyDescent="0.2">
      <c r="A784">
        <v>10</v>
      </c>
      <c r="B784" t="s">
        <v>40</v>
      </c>
      <c r="C784" t="s">
        <v>27</v>
      </c>
      <c r="D784">
        <v>124.5</v>
      </c>
    </row>
    <row r="785" spans="1:4" x14ac:dyDescent="0.2">
      <c r="A785">
        <v>10</v>
      </c>
      <c r="B785" t="s">
        <v>40</v>
      </c>
      <c r="C785" t="s">
        <v>27</v>
      </c>
      <c r="D785">
        <v>22.73</v>
      </c>
    </row>
    <row r="786" spans="1:4" x14ac:dyDescent="0.2">
      <c r="A786">
        <v>10</v>
      </c>
      <c r="B786" t="s">
        <v>40</v>
      </c>
      <c r="C786" t="s">
        <v>27</v>
      </c>
      <c r="D786">
        <v>13.97</v>
      </c>
    </row>
    <row r="787" spans="1:4" x14ac:dyDescent="0.2">
      <c r="A787">
        <v>10</v>
      </c>
      <c r="B787" t="s">
        <v>40</v>
      </c>
      <c r="C787" t="s">
        <v>27</v>
      </c>
      <c r="D787">
        <v>12.98</v>
      </c>
    </row>
    <row r="788" spans="1:4" x14ac:dyDescent="0.2">
      <c r="A788">
        <v>11</v>
      </c>
      <c r="B788" t="s">
        <v>40</v>
      </c>
      <c r="C788" t="s">
        <v>27</v>
      </c>
      <c r="D788">
        <v>106.66</v>
      </c>
    </row>
    <row r="789" spans="1:4" x14ac:dyDescent="0.2">
      <c r="A789">
        <v>11</v>
      </c>
      <c r="B789" t="s">
        <v>40</v>
      </c>
      <c r="C789" t="s">
        <v>27</v>
      </c>
      <c r="D789">
        <v>86.87</v>
      </c>
    </row>
    <row r="790" spans="1:4" x14ac:dyDescent="0.2">
      <c r="A790">
        <v>11</v>
      </c>
      <c r="B790" t="s">
        <v>40</v>
      </c>
      <c r="C790" t="s">
        <v>27</v>
      </c>
      <c r="D790">
        <v>129.66</v>
      </c>
    </row>
    <row r="791" spans="1:4" x14ac:dyDescent="0.2">
      <c r="A791">
        <v>11</v>
      </c>
      <c r="B791" t="s">
        <v>40</v>
      </c>
      <c r="C791" t="s">
        <v>27</v>
      </c>
      <c r="D791">
        <v>39.950000000000003</v>
      </c>
    </row>
    <row r="792" spans="1:4" x14ac:dyDescent="0.2">
      <c r="A792">
        <v>11</v>
      </c>
      <c r="B792" t="s">
        <v>40</v>
      </c>
      <c r="C792" t="s">
        <v>27</v>
      </c>
      <c r="D792">
        <v>949.99</v>
      </c>
    </row>
    <row r="793" spans="1:4" x14ac:dyDescent="0.2">
      <c r="A793">
        <v>11</v>
      </c>
      <c r="B793" t="s">
        <v>40</v>
      </c>
      <c r="C793" t="s">
        <v>27</v>
      </c>
      <c r="D793">
        <v>103.85</v>
      </c>
    </row>
    <row r="794" spans="1:4" x14ac:dyDescent="0.2">
      <c r="A794">
        <v>12</v>
      </c>
      <c r="B794" t="s">
        <v>40</v>
      </c>
      <c r="C794" t="s">
        <v>27</v>
      </c>
      <c r="D794">
        <v>374.83</v>
      </c>
    </row>
    <row r="795" spans="1:4" x14ac:dyDescent="0.2">
      <c r="A795">
        <v>12</v>
      </c>
      <c r="B795" t="s">
        <v>40</v>
      </c>
      <c r="C795" t="s">
        <v>27</v>
      </c>
      <c r="D795">
        <v>30</v>
      </c>
    </row>
    <row r="796" spans="1:4" x14ac:dyDescent="0.2">
      <c r="A796">
        <v>12</v>
      </c>
      <c r="B796" t="s">
        <v>40</v>
      </c>
      <c r="C796" t="s">
        <v>27</v>
      </c>
      <c r="D796">
        <v>275.05</v>
      </c>
    </row>
    <row r="797" spans="1:4" x14ac:dyDescent="0.2">
      <c r="A797">
        <v>12</v>
      </c>
      <c r="B797" t="s">
        <v>40</v>
      </c>
      <c r="C797" t="s">
        <v>27</v>
      </c>
      <c r="D797">
        <v>45</v>
      </c>
    </row>
    <row r="798" spans="1:4" x14ac:dyDescent="0.2">
      <c r="A798">
        <v>12</v>
      </c>
      <c r="B798" t="s">
        <v>40</v>
      </c>
      <c r="C798" t="s">
        <v>27</v>
      </c>
      <c r="D798">
        <v>22.1</v>
      </c>
    </row>
    <row r="799" spans="1:4" x14ac:dyDescent="0.2">
      <c r="A799">
        <v>12</v>
      </c>
      <c r="B799" t="s">
        <v>40</v>
      </c>
      <c r="C799" t="s">
        <v>27</v>
      </c>
      <c r="D799">
        <v>167</v>
      </c>
    </row>
    <row r="800" spans="1:4" x14ac:dyDescent="0.2">
      <c r="A800">
        <v>1</v>
      </c>
      <c r="B800" t="s">
        <v>40</v>
      </c>
      <c r="C800" t="s">
        <v>27</v>
      </c>
      <c r="D800">
        <v>120.37</v>
      </c>
    </row>
    <row r="801" spans="1:4" x14ac:dyDescent="0.2">
      <c r="A801">
        <v>1</v>
      </c>
      <c r="B801" t="s">
        <v>40</v>
      </c>
      <c r="C801" t="s">
        <v>27</v>
      </c>
      <c r="D801">
        <v>-120.37</v>
      </c>
    </row>
    <row r="802" spans="1:4" x14ac:dyDescent="0.2">
      <c r="A802">
        <v>2</v>
      </c>
      <c r="B802" t="s">
        <v>40</v>
      </c>
      <c r="C802" t="s">
        <v>27</v>
      </c>
      <c r="D802">
        <v>157.03</v>
      </c>
    </row>
    <row r="803" spans="1:4" x14ac:dyDescent="0.2">
      <c r="A803">
        <v>3</v>
      </c>
      <c r="B803" t="s">
        <v>40</v>
      </c>
      <c r="C803" t="s">
        <v>27</v>
      </c>
      <c r="D803">
        <v>31.28</v>
      </c>
    </row>
    <row r="804" spans="1:4" x14ac:dyDescent="0.2">
      <c r="A804">
        <v>3</v>
      </c>
      <c r="B804" t="s">
        <v>40</v>
      </c>
      <c r="C804" t="s">
        <v>27</v>
      </c>
      <c r="D804">
        <v>60.83</v>
      </c>
    </row>
    <row r="805" spans="1:4" x14ac:dyDescent="0.2">
      <c r="A805">
        <v>4</v>
      </c>
      <c r="B805" t="s">
        <v>40</v>
      </c>
      <c r="C805" t="s">
        <v>27</v>
      </c>
      <c r="D805">
        <v>141.12</v>
      </c>
    </row>
    <row r="806" spans="1:4" x14ac:dyDescent="0.2">
      <c r="A806">
        <v>4</v>
      </c>
      <c r="B806" t="s">
        <v>40</v>
      </c>
      <c r="C806" t="s">
        <v>27</v>
      </c>
      <c r="D806">
        <v>18.170000000000002</v>
      </c>
    </row>
    <row r="807" spans="1:4" x14ac:dyDescent="0.2">
      <c r="A807">
        <v>5</v>
      </c>
      <c r="B807" t="s">
        <v>40</v>
      </c>
      <c r="C807" t="s">
        <v>27</v>
      </c>
      <c r="D807">
        <v>7.87</v>
      </c>
    </row>
    <row r="808" spans="1:4" x14ac:dyDescent="0.2">
      <c r="A808">
        <v>6</v>
      </c>
      <c r="B808" t="s">
        <v>40</v>
      </c>
      <c r="C808" t="s">
        <v>27</v>
      </c>
      <c r="D808">
        <v>134.19999999999999</v>
      </c>
    </row>
    <row r="809" spans="1:4" x14ac:dyDescent="0.2">
      <c r="A809">
        <v>6</v>
      </c>
      <c r="B809" t="s">
        <v>40</v>
      </c>
      <c r="C809" t="s">
        <v>27</v>
      </c>
      <c r="D809">
        <v>2.08</v>
      </c>
    </row>
    <row r="810" spans="1:4" x14ac:dyDescent="0.2">
      <c r="A810">
        <v>6</v>
      </c>
      <c r="B810" t="s">
        <v>40</v>
      </c>
      <c r="C810" t="s">
        <v>27</v>
      </c>
      <c r="D810">
        <v>76.92</v>
      </c>
    </row>
    <row r="811" spans="1:4" x14ac:dyDescent="0.2">
      <c r="A811">
        <v>6</v>
      </c>
      <c r="B811" t="s">
        <v>40</v>
      </c>
      <c r="C811" t="s">
        <v>27</v>
      </c>
      <c r="D811">
        <v>2.17</v>
      </c>
    </row>
    <row r="812" spans="1:4" x14ac:dyDescent="0.2">
      <c r="A812">
        <v>7</v>
      </c>
      <c r="B812" t="s">
        <v>40</v>
      </c>
      <c r="C812" t="s">
        <v>27</v>
      </c>
      <c r="D812">
        <v>57.95</v>
      </c>
    </row>
    <row r="813" spans="1:4" x14ac:dyDescent="0.2">
      <c r="A813">
        <v>8</v>
      </c>
      <c r="B813" t="s">
        <v>40</v>
      </c>
      <c r="C813" t="s">
        <v>27</v>
      </c>
      <c r="D813">
        <v>48.95</v>
      </c>
    </row>
    <row r="814" spans="1:4" x14ac:dyDescent="0.2">
      <c r="A814">
        <v>9</v>
      </c>
      <c r="B814" t="s">
        <v>40</v>
      </c>
      <c r="C814" t="s">
        <v>27</v>
      </c>
      <c r="D814">
        <v>46.45</v>
      </c>
    </row>
    <row r="815" spans="1:4" x14ac:dyDescent="0.2">
      <c r="A815">
        <v>10</v>
      </c>
      <c r="B815" t="s">
        <v>40</v>
      </c>
      <c r="C815" t="s">
        <v>27</v>
      </c>
      <c r="D815">
        <v>97.62</v>
      </c>
    </row>
    <row r="816" spans="1:4" x14ac:dyDescent="0.2">
      <c r="A816">
        <v>11</v>
      </c>
      <c r="B816" t="s">
        <v>40</v>
      </c>
      <c r="C816" t="s">
        <v>27</v>
      </c>
      <c r="D816">
        <v>60.78</v>
      </c>
    </row>
    <row r="817" spans="1:4" x14ac:dyDescent="0.2">
      <c r="A817">
        <v>12</v>
      </c>
      <c r="B817" t="s">
        <v>40</v>
      </c>
      <c r="C817" t="s">
        <v>27</v>
      </c>
      <c r="D817">
        <v>57.78</v>
      </c>
    </row>
    <row r="818" spans="1:4" x14ac:dyDescent="0.2">
      <c r="A818">
        <v>10</v>
      </c>
      <c r="B818" t="s">
        <v>40</v>
      </c>
      <c r="C818" t="s">
        <v>27</v>
      </c>
      <c r="D818">
        <v>91.64</v>
      </c>
    </row>
    <row r="819" spans="1:4" x14ac:dyDescent="0.2">
      <c r="A819">
        <v>6</v>
      </c>
      <c r="B819" t="s">
        <v>40</v>
      </c>
      <c r="C819" t="s">
        <v>27</v>
      </c>
      <c r="D819">
        <v>5080.21</v>
      </c>
    </row>
    <row r="820" spans="1:4" x14ac:dyDescent="0.2">
      <c r="A820">
        <v>7</v>
      </c>
      <c r="B820" t="s">
        <v>40</v>
      </c>
      <c r="C820" t="s">
        <v>27</v>
      </c>
      <c r="D820">
        <v>-5080.21</v>
      </c>
    </row>
    <row r="821" spans="1:4" x14ac:dyDescent="0.2">
      <c r="A821">
        <v>12</v>
      </c>
      <c r="B821" t="s">
        <v>40</v>
      </c>
      <c r="C821" t="s">
        <v>27</v>
      </c>
      <c r="D821">
        <v>8594.23</v>
      </c>
    </row>
    <row r="822" spans="1:4" x14ac:dyDescent="0.2">
      <c r="A822">
        <v>1</v>
      </c>
      <c r="B822" t="s">
        <v>40</v>
      </c>
      <c r="C822" t="s">
        <v>27</v>
      </c>
      <c r="D822">
        <v>950.38</v>
      </c>
    </row>
    <row r="823" spans="1:4" x14ac:dyDescent="0.2">
      <c r="A823">
        <v>1</v>
      </c>
      <c r="B823" t="s">
        <v>40</v>
      </c>
      <c r="C823" t="s">
        <v>27</v>
      </c>
      <c r="D823">
        <v>40.9</v>
      </c>
    </row>
    <row r="824" spans="1:4" x14ac:dyDescent="0.2">
      <c r="A824">
        <v>1</v>
      </c>
      <c r="B824" t="s">
        <v>40</v>
      </c>
      <c r="C824" t="s">
        <v>27</v>
      </c>
      <c r="D824">
        <v>20.04</v>
      </c>
    </row>
    <row r="825" spans="1:4" x14ac:dyDescent="0.2">
      <c r="A825">
        <v>1</v>
      </c>
      <c r="B825" t="s">
        <v>40</v>
      </c>
      <c r="C825" t="s">
        <v>27</v>
      </c>
      <c r="D825">
        <v>26.57</v>
      </c>
    </row>
    <row r="826" spans="1:4" x14ac:dyDescent="0.2">
      <c r="A826">
        <v>1</v>
      </c>
      <c r="B826" t="s">
        <v>40</v>
      </c>
      <c r="C826" t="s">
        <v>27</v>
      </c>
      <c r="D826">
        <v>46.3</v>
      </c>
    </row>
    <row r="827" spans="1:4" x14ac:dyDescent="0.2">
      <c r="A827">
        <v>2</v>
      </c>
      <c r="B827" t="s">
        <v>40</v>
      </c>
      <c r="C827" t="s">
        <v>27</v>
      </c>
      <c r="D827">
        <v>19.45</v>
      </c>
    </row>
    <row r="828" spans="1:4" x14ac:dyDescent="0.2">
      <c r="A828">
        <v>3</v>
      </c>
      <c r="B828" t="s">
        <v>40</v>
      </c>
      <c r="C828" t="s">
        <v>27</v>
      </c>
      <c r="D828">
        <v>21.82</v>
      </c>
    </row>
    <row r="829" spans="1:4" x14ac:dyDescent="0.2">
      <c r="A829">
        <v>3</v>
      </c>
      <c r="B829" t="s">
        <v>40</v>
      </c>
      <c r="C829" t="s">
        <v>27</v>
      </c>
      <c r="D829">
        <v>8.1199999999999992</v>
      </c>
    </row>
    <row r="830" spans="1:4" x14ac:dyDescent="0.2">
      <c r="A830">
        <v>3</v>
      </c>
      <c r="B830" t="s">
        <v>40</v>
      </c>
      <c r="C830" t="s">
        <v>27</v>
      </c>
      <c r="D830">
        <v>16.63</v>
      </c>
    </row>
    <row r="831" spans="1:4" x14ac:dyDescent="0.2">
      <c r="A831">
        <v>4</v>
      </c>
      <c r="B831" t="s">
        <v>40</v>
      </c>
      <c r="C831" t="s">
        <v>27</v>
      </c>
      <c r="D831">
        <v>7.29</v>
      </c>
    </row>
    <row r="832" spans="1:4" x14ac:dyDescent="0.2">
      <c r="A832">
        <v>4</v>
      </c>
      <c r="B832" t="s">
        <v>40</v>
      </c>
      <c r="C832" t="s">
        <v>27</v>
      </c>
      <c r="D832">
        <v>19.36</v>
      </c>
    </row>
    <row r="833" spans="1:4" x14ac:dyDescent="0.2">
      <c r="A833">
        <v>5</v>
      </c>
      <c r="B833" t="s">
        <v>40</v>
      </c>
      <c r="C833" t="s">
        <v>27</v>
      </c>
      <c r="D833">
        <v>7.08</v>
      </c>
    </row>
    <row r="834" spans="1:4" x14ac:dyDescent="0.2">
      <c r="A834">
        <v>5</v>
      </c>
      <c r="B834" t="s">
        <v>40</v>
      </c>
      <c r="C834" t="s">
        <v>27</v>
      </c>
      <c r="D834">
        <v>20.09</v>
      </c>
    </row>
    <row r="835" spans="1:4" x14ac:dyDescent="0.2">
      <c r="A835">
        <v>5</v>
      </c>
      <c r="B835" t="s">
        <v>40</v>
      </c>
      <c r="C835" t="s">
        <v>27</v>
      </c>
      <c r="D835">
        <v>15.73</v>
      </c>
    </row>
    <row r="836" spans="1:4" x14ac:dyDescent="0.2">
      <c r="A836">
        <v>7</v>
      </c>
      <c r="B836" t="s">
        <v>40</v>
      </c>
      <c r="C836" t="s">
        <v>27</v>
      </c>
      <c r="D836">
        <v>5.62</v>
      </c>
    </row>
    <row r="837" spans="1:4" x14ac:dyDescent="0.2">
      <c r="A837">
        <v>7</v>
      </c>
      <c r="B837" t="s">
        <v>40</v>
      </c>
      <c r="C837" t="s">
        <v>27</v>
      </c>
      <c r="D837">
        <v>21.84</v>
      </c>
    </row>
    <row r="838" spans="1:4" x14ac:dyDescent="0.2">
      <c r="A838">
        <v>7</v>
      </c>
      <c r="B838" t="s">
        <v>40</v>
      </c>
      <c r="C838" t="s">
        <v>27</v>
      </c>
      <c r="D838">
        <v>6</v>
      </c>
    </row>
    <row r="839" spans="1:4" x14ac:dyDescent="0.2">
      <c r="A839">
        <v>7</v>
      </c>
      <c r="B839" t="s">
        <v>40</v>
      </c>
      <c r="C839" t="s">
        <v>27</v>
      </c>
      <c r="D839">
        <v>27</v>
      </c>
    </row>
    <row r="840" spans="1:4" x14ac:dyDescent="0.2">
      <c r="A840">
        <v>9</v>
      </c>
      <c r="B840" t="s">
        <v>40</v>
      </c>
      <c r="C840" t="s">
        <v>27</v>
      </c>
      <c r="D840">
        <v>6</v>
      </c>
    </row>
    <row r="841" spans="1:4" x14ac:dyDescent="0.2">
      <c r="A841">
        <v>9</v>
      </c>
      <c r="B841" t="s">
        <v>40</v>
      </c>
      <c r="C841" t="s">
        <v>27</v>
      </c>
      <c r="D841">
        <v>16.27</v>
      </c>
    </row>
    <row r="842" spans="1:4" x14ac:dyDescent="0.2">
      <c r="A842">
        <v>1</v>
      </c>
      <c r="B842" t="s">
        <v>40</v>
      </c>
      <c r="C842" t="s">
        <v>27</v>
      </c>
      <c r="D842">
        <v>107</v>
      </c>
    </row>
    <row r="843" spans="1:4" x14ac:dyDescent="0.2">
      <c r="A843">
        <v>1</v>
      </c>
      <c r="B843" t="s">
        <v>40</v>
      </c>
      <c r="C843" t="s">
        <v>27</v>
      </c>
      <c r="D843">
        <v>36.659999999999997</v>
      </c>
    </row>
    <row r="844" spans="1:4" x14ac:dyDescent="0.2">
      <c r="A844">
        <v>1</v>
      </c>
      <c r="B844" t="s">
        <v>40</v>
      </c>
      <c r="C844" t="s">
        <v>27</v>
      </c>
      <c r="D844">
        <v>26.02</v>
      </c>
    </row>
    <row r="845" spans="1:4" x14ac:dyDescent="0.2">
      <c r="A845">
        <v>1</v>
      </c>
      <c r="B845" t="s">
        <v>40</v>
      </c>
      <c r="C845" t="s">
        <v>27</v>
      </c>
      <c r="D845">
        <v>10.35</v>
      </c>
    </row>
    <row r="846" spans="1:4" x14ac:dyDescent="0.2">
      <c r="A846">
        <v>1</v>
      </c>
      <c r="B846" t="s">
        <v>40</v>
      </c>
      <c r="C846" t="s">
        <v>27</v>
      </c>
      <c r="D846">
        <v>22.73</v>
      </c>
    </row>
    <row r="847" spans="1:4" x14ac:dyDescent="0.2">
      <c r="A847">
        <v>1</v>
      </c>
      <c r="B847" t="s">
        <v>40</v>
      </c>
      <c r="C847" t="s">
        <v>27</v>
      </c>
      <c r="D847">
        <v>17.5</v>
      </c>
    </row>
    <row r="848" spans="1:4" x14ac:dyDescent="0.2">
      <c r="A848">
        <v>1</v>
      </c>
      <c r="B848" t="s">
        <v>40</v>
      </c>
      <c r="C848" t="s">
        <v>27</v>
      </c>
      <c r="D848">
        <v>25</v>
      </c>
    </row>
    <row r="849" spans="1:4" x14ac:dyDescent="0.2">
      <c r="A849">
        <v>1</v>
      </c>
      <c r="B849" t="s">
        <v>40</v>
      </c>
      <c r="C849" t="s">
        <v>27</v>
      </c>
      <c r="D849">
        <v>68.09</v>
      </c>
    </row>
    <row r="850" spans="1:4" x14ac:dyDescent="0.2">
      <c r="A850">
        <v>1</v>
      </c>
      <c r="B850" t="s">
        <v>40</v>
      </c>
      <c r="C850" t="s">
        <v>27</v>
      </c>
      <c r="D850">
        <v>14.45</v>
      </c>
    </row>
    <row r="851" spans="1:4" x14ac:dyDescent="0.2">
      <c r="A851">
        <v>1</v>
      </c>
      <c r="B851" t="s">
        <v>40</v>
      </c>
      <c r="C851" t="s">
        <v>27</v>
      </c>
      <c r="D851">
        <v>500</v>
      </c>
    </row>
    <row r="852" spans="1:4" x14ac:dyDescent="0.2">
      <c r="A852">
        <v>1</v>
      </c>
      <c r="B852" t="s">
        <v>40</v>
      </c>
      <c r="C852" t="s">
        <v>27</v>
      </c>
      <c r="D852">
        <v>22.67</v>
      </c>
    </row>
    <row r="853" spans="1:4" x14ac:dyDescent="0.2">
      <c r="A853">
        <v>1</v>
      </c>
      <c r="B853" t="s">
        <v>40</v>
      </c>
      <c r="C853" t="s">
        <v>27</v>
      </c>
      <c r="D853">
        <v>77.819999999999993</v>
      </c>
    </row>
    <row r="854" spans="1:4" x14ac:dyDescent="0.2">
      <c r="A854">
        <v>1</v>
      </c>
      <c r="B854" t="s">
        <v>40</v>
      </c>
      <c r="C854" t="s">
        <v>27</v>
      </c>
      <c r="D854">
        <v>212.73</v>
      </c>
    </row>
    <row r="855" spans="1:4" x14ac:dyDescent="0.2">
      <c r="A855">
        <v>1</v>
      </c>
      <c r="B855" t="s">
        <v>40</v>
      </c>
      <c r="C855" t="s">
        <v>27</v>
      </c>
      <c r="D855">
        <v>81.67</v>
      </c>
    </row>
    <row r="856" spans="1:4" x14ac:dyDescent="0.2">
      <c r="A856">
        <v>1</v>
      </c>
      <c r="B856" t="s">
        <v>40</v>
      </c>
      <c r="C856" t="s">
        <v>27</v>
      </c>
      <c r="D856">
        <v>17.7</v>
      </c>
    </row>
    <row r="857" spans="1:4" x14ac:dyDescent="0.2">
      <c r="A857">
        <v>1</v>
      </c>
      <c r="B857" t="s">
        <v>40</v>
      </c>
      <c r="C857" t="s">
        <v>27</v>
      </c>
      <c r="D857">
        <v>51.6</v>
      </c>
    </row>
    <row r="858" spans="1:4" x14ac:dyDescent="0.2">
      <c r="A858">
        <v>1</v>
      </c>
      <c r="B858" t="s">
        <v>40</v>
      </c>
      <c r="C858" t="s">
        <v>27</v>
      </c>
      <c r="D858">
        <v>41.32</v>
      </c>
    </row>
    <row r="859" spans="1:4" x14ac:dyDescent="0.2">
      <c r="A859">
        <v>1</v>
      </c>
      <c r="B859" t="s">
        <v>40</v>
      </c>
      <c r="C859" t="s">
        <v>27</v>
      </c>
      <c r="D859">
        <v>57.95</v>
      </c>
    </row>
    <row r="860" spans="1:4" x14ac:dyDescent="0.2">
      <c r="A860">
        <v>2</v>
      </c>
      <c r="B860" t="s">
        <v>40</v>
      </c>
      <c r="C860" t="s">
        <v>27</v>
      </c>
      <c r="D860">
        <v>58.27</v>
      </c>
    </row>
    <row r="861" spans="1:4" x14ac:dyDescent="0.2">
      <c r="A861">
        <v>2</v>
      </c>
      <c r="B861" t="s">
        <v>40</v>
      </c>
      <c r="C861" t="s">
        <v>27</v>
      </c>
      <c r="D861">
        <v>47.3</v>
      </c>
    </row>
    <row r="862" spans="1:4" x14ac:dyDescent="0.2">
      <c r="A862">
        <v>2</v>
      </c>
      <c r="B862" t="s">
        <v>40</v>
      </c>
      <c r="C862" t="s">
        <v>27</v>
      </c>
      <c r="D862">
        <v>10.83</v>
      </c>
    </row>
    <row r="863" spans="1:4" x14ac:dyDescent="0.2">
      <c r="A863">
        <v>2</v>
      </c>
      <c r="B863" t="s">
        <v>40</v>
      </c>
      <c r="C863" t="s">
        <v>27</v>
      </c>
      <c r="D863">
        <v>111.28</v>
      </c>
    </row>
    <row r="864" spans="1:4" x14ac:dyDescent="0.2">
      <c r="A864">
        <v>2</v>
      </c>
      <c r="B864" t="s">
        <v>40</v>
      </c>
      <c r="C864" t="s">
        <v>27</v>
      </c>
      <c r="D864">
        <v>29.54</v>
      </c>
    </row>
    <row r="865" spans="1:4" x14ac:dyDescent="0.2">
      <c r="A865">
        <v>2</v>
      </c>
      <c r="B865" t="s">
        <v>40</v>
      </c>
      <c r="C865" t="s">
        <v>27</v>
      </c>
      <c r="D865">
        <v>150.38999999999999</v>
      </c>
    </row>
    <row r="866" spans="1:4" x14ac:dyDescent="0.2">
      <c r="A866">
        <v>2</v>
      </c>
      <c r="B866" t="s">
        <v>40</v>
      </c>
      <c r="C866" t="s">
        <v>27</v>
      </c>
      <c r="D866">
        <v>61.25</v>
      </c>
    </row>
    <row r="867" spans="1:4" x14ac:dyDescent="0.2">
      <c r="A867">
        <v>3</v>
      </c>
      <c r="B867" t="s">
        <v>40</v>
      </c>
      <c r="C867" t="s">
        <v>27</v>
      </c>
      <c r="D867">
        <v>36.86</v>
      </c>
    </row>
    <row r="868" spans="1:4" x14ac:dyDescent="0.2">
      <c r="A868">
        <v>3</v>
      </c>
      <c r="B868" t="s">
        <v>40</v>
      </c>
      <c r="C868" t="s">
        <v>27</v>
      </c>
      <c r="D868">
        <v>2.99</v>
      </c>
    </row>
    <row r="869" spans="1:4" x14ac:dyDescent="0.2">
      <c r="A869">
        <v>3</v>
      </c>
      <c r="B869" t="s">
        <v>40</v>
      </c>
      <c r="C869" t="s">
        <v>27</v>
      </c>
      <c r="D869">
        <v>517.45000000000005</v>
      </c>
    </row>
    <row r="870" spans="1:4" x14ac:dyDescent="0.2">
      <c r="A870">
        <v>3</v>
      </c>
      <c r="B870" t="s">
        <v>40</v>
      </c>
      <c r="C870" t="s">
        <v>27</v>
      </c>
      <c r="D870">
        <v>9.86</v>
      </c>
    </row>
    <row r="871" spans="1:4" x14ac:dyDescent="0.2">
      <c r="A871">
        <v>3</v>
      </c>
      <c r="B871" t="s">
        <v>40</v>
      </c>
      <c r="C871" t="s">
        <v>27</v>
      </c>
      <c r="D871">
        <v>14.94</v>
      </c>
    </row>
    <row r="872" spans="1:4" x14ac:dyDescent="0.2">
      <c r="A872">
        <v>3</v>
      </c>
      <c r="B872" t="s">
        <v>40</v>
      </c>
      <c r="C872" t="s">
        <v>27</v>
      </c>
      <c r="D872">
        <v>146.01</v>
      </c>
    </row>
    <row r="873" spans="1:4" x14ac:dyDescent="0.2">
      <c r="A873">
        <v>3</v>
      </c>
      <c r="B873" t="s">
        <v>40</v>
      </c>
      <c r="C873" t="s">
        <v>27</v>
      </c>
      <c r="D873">
        <v>18.09</v>
      </c>
    </row>
    <row r="874" spans="1:4" x14ac:dyDescent="0.2">
      <c r="A874">
        <v>3</v>
      </c>
      <c r="B874" t="s">
        <v>40</v>
      </c>
      <c r="C874" t="s">
        <v>27</v>
      </c>
      <c r="D874">
        <v>20.59</v>
      </c>
    </row>
    <row r="875" spans="1:4" x14ac:dyDescent="0.2">
      <c r="A875">
        <v>3</v>
      </c>
      <c r="B875" t="s">
        <v>40</v>
      </c>
      <c r="C875" t="s">
        <v>27</v>
      </c>
      <c r="D875">
        <v>107.2</v>
      </c>
    </row>
    <row r="876" spans="1:4" x14ac:dyDescent="0.2">
      <c r="A876">
        <v>3</v>
      </c>
      <c r="B876" t="s">
        <v>40</v>
      </c>
      <c r="C876" t="s">
        <v>27</v>
      </c>
      <c r="D876">
        <v>7.62</v>
      </c>
    </row>
    <row r="877" spans="1:4" x14ac:dyDescent="0.2">
      <c r="A877">
        <v>3</v>
      </c>
      <c r="B877" t="s">
        <v>40</v>
      </c>
      <c r="C877" t="s">
        <v>27</v>
      </c>
      <c r="D877">
        <v>8.5</v>
      </c>
    </row>
    <row r="878" spans="1:4" x14ac:dyDescent="0.2">
      <c r="A878">
        <v>3</v>
      </c>
      <c r="B878" t="s">
        <v>40</v>
      </c>
      <c r="C878" t="s">
        <v>27</v>
      </c>
      <c r="D878">
        <v>44.45</v>
      </c>
    </row>
    <row r="879" spans="1:4" x14ac:dyDescent="0.2">
      <c r="A879">
        <v>3</v>
      </c>
      <c r="B879" t="s">
        <v>40</v>
      </c>
      <c r="C879" t="s">
        <v>27</v>
      </c>
      <c r="D879">
        <v>44.1</v>
      </c>
    </row>
    <row r="880" spans="1:4" x14ac:dyDescent="0.2">
      <c r="A880">
        <v>3</v>
      </c>
      <c r="B880" t="s">
        <v>40</v>
      </c>
      <c r="C880" t="s">
        <v>27</v>
      </c>
      <c r="D880">
        <v>56.1</v>
      </c>
    </row>
    <row r="881" spans="1:4" x14ac:dyDescent="0.2">
      <c r="A881">
        <v>3</v>
      </c>
      <c r="B881" t="s">
        <v>40</v>
      </c>
      <c r="C881" t="s">
        <v>27</v>
      </c>
      <c r="D881">
        <v>34.950000000000003</v>
      </c>
    </row>
    <row r="882" spans="1:4" x14ac:dyDescent="0.2">
      <c r="A882">
        <v>4</v>
      </c>
      <c r="B882" t="s">
        <v>40</v>
      </c>
      <c r="C882" t="s">
        <v>27</v>
      </c>
      <c r="D882">
        <v>28.91</v>
      </c>
    </row>
    <row r="883" spans="1:4" x14ac:dyDescent="0.2">
      <c r="A883">
        <v>4</v>
      </c>
      <c r="B883" t="s">
        <v>40</v>
      </c>
      <c r="C883" t="s">
        <v>27</v>
      </c>
      <c r="D883">
        <v>11.5</v>
      </c>
    </row>
    <row r="884" spans="1:4" x14ac:dyDescent="0.2">
      <c r="A884">
        <v>4</v>
      </c>
      <c r="B884" t="s">
        <v>40</v>
      </c>
      <c r="C884" t="s">
        <v>27</v>
      </c>
      <c r="D884">
        <v>66.099999999999994</v>
      </c>
    </row>
    <row r="885" spans="1:4" x14ac:dyDescent="0.2">
      <c r="A885">
        <v>4</v>
      </c>
      <c r="B885" t="s">
        <v>40</v>
      </c>
      <c r="C885" t="s">
        <v>27</v>
      </c>
      <c r="D885">
        <v>7.08</v>
      </c>
    </row>
    <row r="886" spans="1:4" x14ac:dyDescent="0.2">
      <c r="A886">
        <v>4</v>
      </c>
      <c r="B886" t="s">
        <v>40</v>
      </c>
      <c r="C886" t="s">
        <v>27</v>
      </c>
      <c r="D886">
        <v>28.18</v>
      </c>
    </row>
    <row r="887" spans="1:4" x14ac:dyDescent="0.2">
      <c r="A887">
        <v>4</v>
      </c>
      <c r="B887" t="s">
        <v>40</v>
      </c>
      <c r="C887" t="s">
        <v>27</v>
      </c>
      <c r="D887">
        <v>14.17</v>
      </c>
    </row>
    <row r="888" spans="1:4" x14ac:dyDescent="0.2">
      <c r="A888">
        <v>4</v>
      </c>
      <c r="B888" t="s">
        <v>40</v>
      </c>
      <c r="C888" t="s">
        <v>27</v>
      </c>
      <c r="D888">
        <v>31.45</v>
      </c>
    </row>
    <row r="889" spans="1:4" x14ac:dyDescent="0.2">
      <c r="A889">
        <v>4</v>
      </c>
      <c r="B889" t="s">
        <v>40</v>
      </c>
      <c r="C889" t="s">
        <v>27</v>
      </c>
      <c r="D889">
        <v>7.08</v>
      </c>
    </row>
    <row r="890" spans="1:4" x14ac:dyDescent="0.2">
      <c r="A890">
        <v>4</v>
      </c>
      <c r="B890" t="s">
        <v>40</v>
      </c>
      <c r="C890" t="s">
        <v>27</v>
      </c>
      <c r="D890">
        <v>113.36</v>
      </c>
    </row>
    <row r="891" spans="1:4" x14ac:dyDescent="0.2">
      <c r="A891">
        <v>4</v>
      </c>
      <c r="B891" t="s">
        <v>40</v>
      </c>
      <c r="C891" t="s">
        <v>27</v>
      </c>
      <c r="D891">
        <v>133.19999999999999</v>
      </c>
    </row>
    <row r="892" spans="1:4" x14ac:dyDescent="0.2">
      <c r="A892">
        <v>4</v>
      </c>
      <c r="B892" t="s">
        <v>40</v>
      </c>
      <c r="C892" t="s">
        <v>27</v>
      </c>
      <c r="D892">
        <v>5.83</v>
      </c>
    </row>
    <row r="893" spans="1:4" x14ac:dyDescent="0.2">
      <c r="A893">
        <v>4</v>
      </c>
      <c r="B893" t="s">
        <v>40</v>
      </c>
      <c r="C893" t="s">
        <v>27</v>
      </c>
      <c r="D893">
        <v>27.09</v>
      </c>
    </row>
    <row r="894" spans="1:4" x14ac:dyDescent="0.2">
      <c r="A894">
        <v>4</v>
      </c>
      <c r="B894" t="s">
        <v>40</v>
      </c>
      <c r="C894" t="s">
        <v>27</v>
      </c>
      <c r="D894">
        <v>20</v>
      </c>
    </row>
    <row r="895" spans="1:4" x14ac:dyDescent="0.2">
      <c r="A895">
        <v>4</v>
      </c>
      <c r="B895" t="s">
        <v>40</v>
      </c>
      <c r="C895" t="s">
        <v>27</v>
      </c>
      <c r="D895">
        <v>72.73</v>
      </c>
    </row>
    <row r="896" spans="1:4" x14ac:dyDescent="0.2">
      <c r="A896">
        <v>4</v>
      </c>
      <c r="B896" t="s">
        <v>40</v>
      </c>
      <c r="C896" t="s">
        <v>27</v>
      </c>
      <c r="D896">
        <v>14.17</v>
      </c>
    </row>
    <row r="897" spans="1:4" x14ac:dyDescent="0.2">
      <c r="A897">
        <v>4</v>
      </c>
      <c r="B897" t="s">
        <v>40</v>
      </c>
      <c r="C897" t="s">
        <v>27</v>
      </c>
      <c r="D897">
        <v>54.55</v>
      </c>
    </row>
    <row r="898" spans="1:4" x14ac:dyDescent="0.2">
      <c r="A898">
        <v>4</v>
      </c>
      <c r="B898" t="s">
        <v>40</v>
      </c>
      <c r="C898" t="s">
        <v>27</v>
      </c>
      <c r="D898">
        <v>366.24</v>
      </c>
    </row>
    <row r="899" spans="1:4" x14ac:dyDescent="0.2">
      <c r="A899">
        <v>4</v>
      </c>
      <c r="B899" t="s">
        <v>40</v>
      </c>
      <c r="C899" t="s">
        <v>27</v>
      </c>
      <c r="D899">
        <v>60.1</v>
      </c>
    </row>
    <row r="900" spans="1:4" x14ac:dyDescent="0.2">
      <c r="A900">
        <v>4</v>
      </c>
      <c r="B900" t="s">
        <v>40</v>
      </c>
      <c r="C900" t="s">
        <v>27</v>
      </c>
      <c r="D900">
        <v>54.03</v>
      </c>
    </row>
    <row r="901" spans="1:4" x14ac:dyDescent="0.2">
      <c r="A901">
        <v>4</v>
      </c>
      <c r="B901" t="s">
        <v>40</v>
      </c>
      <c r="C901" t="s">
        <v>27</v>
      </c>
      <c r="D901">
        <v>13.68</v>
      </c>
    </row>
    <row r="902" spans="1:4" x14ac:dyDescent="0.2">
      <c r="A902">
        <v>5</v>
      </c>
      <c r="B902" t="s">
        <v>40</v>
      </c>
      <c r="C902" t="s">
        <v>27</v>
      </c>
      <c r="D902">
        <v>189.65</v>
      </c>
    </row>
    <row r="903" spans="1:4" x14ac:dyDescent="0.2">
      <c r="A903">
        <v>5</v>
      </c>
      <c r="B903" t="s">
        <v>40</v>
      </c>
      <c r="C903" t="s">
        <v>27</v>
      </c>
      <c r="D903">
        <v>7.08</v>
      </c>
    </row>
    <row r="904" spans="1:4" x14ac:dyDescent="0.2">
      <c r="A904">
        <v>5</v>
      </c>
      <c r="B904" t="s">
        <v>40</v>
      </c>
      <c r="C904" t="s">
        <v>27</v>
      </c>
      <c r="D904">
        <v>36.729999999999997</v>
      </c>
    </row>
    <row r="905" spans="1:4" x14ac:dyDescent="0.2">
      <c r="A905">
        <v>5</v>
      </c>
      <c r="B905" t="s">
        <v>40</v>
      </c>
      <c r="C905" t="s">
        <v>27</v>
      </c>
      <c r="D905">
        <v>98.8</v>
      </c>
    </row>
    <row r="906" spans="1:4" x14ac:dyDescent="0.2">
      <c r="A906">
        <v>5</v>
      </c>
      <c r="B906" t="s">
        <v>40</v>
      </c>
      <c r="C906" t="s">
        <v>27</v>
      </c>
      <c r="D906">
        <v>21.82</v>
      </c>
    </row>
    <row r="907" spans="1:4" x14ac:dyDescent="0.2">
      <c r="A907">
        <v>5</v>
      </c>
      <c r="B907" t="s">
        <v>40</v>
      </c>
      <c r="C907" t="s">
        <v>27</v>
      </c>
      <c r="D907">
        <v>24.25</v>
      </c>
    </row>
    <row r="908" spans="1:4" x14ac:dyDescent="0.2">
      <c r="A908">
        <v>5</v>
      </c>
      <c r="B908" t="s">
        <v>40</v>
      </c>
      <c r="C908" t="s">
        <v>27</v>
      </c>
      <c r="D908">
        <v>6</v>
      </c>
    </row>
    <row r="909" spans="1:4" x14ac:dyDescent="0.2">
      <c r="A909">
        <v>5</v>
      </c>
      <c r="B909" t="s">
        <v>40</v>
      </c>
      <c r="C909" t="s">
        <v>27</v>
      </c>
      <c r="D909">
        <v>23.07</v>
      </c>
    </row>
    <row r="910" spans="1:4" x14ac:dyDescent="0.2">
      <c r="A910">
        <v>5</v>
      </c>
      <c r="B910" t="s">
        <v>40</v>
      </c>
      <c r="C910" t="s">
        <v>27</v>
      </c>
      <c r="D910">
        <v>22.98</v>
      </c>
    </row>
    <row r="911" spans="1:4" x14ac:dyDescent="0.2">
      <c r="A911">
        <v>5</v>
      </c>
      <c r="B911" t="s">
        <v>40</v>
      </c>
      <c r="C911" t="s">
        <v>27</v>
      </c>
      <c r="D911">
        <v>5.42</v>
      </c>
    </row>
    <row r="912" spans="1:4" x14ac:dyDescent="0.2">
      <c r="A912">
        <v>5</v>
      </c>
      <c r="B912" t="s">
        <v>40</v>
      </c>
      <c r="C912" t="s">
        <v>27</v>
      </c>
      <c r="D912">
        <v>29.09</v>
      </c>
    </row>
    <row r="913" spans="1:4" x14ac:dyDescent="0.2">
      <c r="A913">
        <v>5</v>
      </c>
      <c r="B913" t="s">
        <v>40</v>
      </c>
      <c r="C913" t="s">
        <v>27</v>
      </c>
      <c r="D913">
        <v>41.84</v>
      </c>
    </row>
    <row r="914" spans="1:4" x14ac:dyDescent="0.2">
      <c r="A914">
        <v>5</v>
      </c>
      <c r="B914" t="s">
        <v>40</v>
      </c>
      <c r="C914" t="s">
        <v>27</v>
      </c>
      <c r="D914">
        <v>28.18</v>
      </c>
    </row>
    <row r="915" spans="1:4" x14ac:dyDescent="0.2">
      <c r="A915">
        <v>5</v>
      </c>
      <c r="B915" t="s">
        <v>40</v>
      </c>
      <c r="C915" t="s">
        <v>27</v>
      </c>
      <c r="D915">
        <v>5.42</v>
      </c>
    </row>
    <row r="916" spans="1:4" x14ac:dyDescent="0.2">
      <c r="A916">
        <v>6</v>
      </c>
      <c r="B916" t="s">
        <v>40</v>
      </c>
      <c r="C916" t="s">
        <v>27</v>
      </c>
      <c r="D916">
        <v>29.7</v>
      </c>
    </row>
    <row r="917" spans="1:4" x14ac:dyDescent="0.2">
      <c r="A917">
        <v>6</v>
      </c>
      <c r="B917" t="s">
        <v>40</v>
      </c>
      <c r="C917" t="s">
        <v>27</v>
      </c>
      <c r="D917">
        <v>10</v>
      </c>
    </row>
    <row r="918" spans="1:4" x14ac:dyDescent="0.2">
      <c r="A918">
        <v>6</v>
      </c>
      <c r="B918" t="s">
        <v>40</v>
      </c>
      <c r="C918" t="s">
        <v>27</v>
      </c>
      <c r="D918">
        <v>23.64</v>
      </c>
    </row>
    <row r="919" spans="1:4" x14ac:dyDescent="0.2">
      <c r="A919">
        <v>6</v>
      </c>
      <c r="B919" t="s">
        <v>40</v>
      </c>
      <c r="C919" t="s">
        <v>27</v>
      </c>
      <c r="D919">
        <v>6.58</v>
      </c>
    </row>
    <row r="920" spans="1:4" x14ac:dyDescent="0.2">
      <c r="A920">
        <v>6</v>
      </c>
      <c r="B920" t="s">
        <v>40</v>
      </c>
      <c r="C920" t="s">
        <v>27</v>
      </c>
      <c r="D920">
        <v>34.549999999999997</v>
      </c>
    </row>
    <row r="921" spans="1:4" x14ac:dyDescent="0.2">
      <c r="A921">
        <v>6</v>
      </c>
      <c r="B921" t="s">
        <v>40</v>
      </c>
      <c r="C921" t="s">
        <v>27</v>
      </c>
      <c r="D921">
        <v>306.8</v>
      </c>
    </row>
    <row r="922" spans="1:4" x14ac:dyDescent="0.2">
      <c r="A922">
        <v>6</v>
      </c>
      <c r="B922" t="s">
        <v>40</v>
      </c>
      <c r="C922" t="s">
        <v>27</v>
      </c>
      <c r="D922">
        <v>112.1</v>
      </c>
    </row>
    <row r="923" spans="1:4" x14ac:dyDescent="0.2">
      <c r="A923">
        <v>6</v>
      </c>
      <c r="B923" t="s">
        <v>40</v>
      </c>
      <c r="C923" t="s">
        <v>27</v>
      </c>
      <c r="D923">
        <v>7.25</v>
      </c>
    </row>
    <row r="924" spans="1:4" x14ac:dyDescent="0.2">
      <c r="A924">
        <v>6</v>
      </c>
      <c r="B924" t="s">
        <v>40</v>
      </c>
      <c r="C924" t="s">
        <v>27</v>
      </c>
      <c r="D924">
        <v>69.14</v>
      </c>
    </row>
    <row r="925" spans="1:4" x14ac:dyDescent="0.2">
      <c r="A925">
        <v>6</v>
      </c>
      <c r="B925" t="s">
        <v>40</v>
      </c>
      <c r="C925" t="s">
        <v>27</v>
      </c>
      <c r="D925">
        <v>7.5</v>
      </c>
    </row>
    <row r="926" spans="1:4" x14ac:dyDescent="0.2">
      <c r="A926">
        <v>6</v>
      </c>
      <c r="B926" t="s">
        <v>40</v>
      </c>
      <c r="C926" t="s">
        <v>27</v>
      </c>
      <c r="D926">
        <v>35.270000000000003</v>
      </c>
    </row>
    <row r="927" spans="1:4" x14ac:dyDescent="0.2">
      <c r="A927">
        <v>6</v>
      </c>
      <c r="B927" t="s">
        <v>40</v>
      </c>
      <c r="C927" t="s">
        <v>27</v>
      </c>
      <c r="D927">
        <v>13.64</v>
      </c>
    </row>
    <row r="928" spans="1:4" x14ac:dyDescent="0.2">
      <c r="A928">
        <v>6</v>
      </c>
      <c r="B928" t="s">
        <v>40</v>
      </c>
      <c r="C928" t="s">
        <v>27</v>
      </c>
      <c r="D928">
        <v>87.5</v>
      </c>
    </row>
    <row r="929" spans="1:4" x14ac:dyDescent="0.2">
      <c r="A929">
        <v>6</v>
      </c>
      <c r="B929" t="s">
        <v>40</v>
      </c>
      <c r="C929" t="s">
        <v>27</v>
      </c>
      <c r="D929">
        <v>55.1</v>
      </c>
    </row>
    <row r="930" spans="1:4" x14ac:dyDescent="0.2">
      <c r="A930">
        <v>6</v>
      </c>
      <c r="B930" t="s">
        <v>40</v>
      </c>
      <c r="C930" t="s">
        <v>27</v>
      </c>
      <c r="D930">
        <v>168.55</v>
      </c>
    </row>
    <row r="931" spans="1:4" x14ac:dyDescent="0.2">
      <c r="A931">
        <v>7</v>
      </c>
      <c r="B931" t="s">
        <v>40</v>
      </c>
      <c r="C931" t="s">
        <v>27</v>
      </c>
      <c r="D931">
        <v>14.17</v>
      </c>
    </row>
    <row r="932" spans="1:4" x14ac:dyDescent="0.2">
      <c r="A932">
        <v>7</v>
      </c>
      <c r="B932" t="s">
        <v>40</v>
      </c>
      <c r="C932" t="s">
        <v>27</v>
      </c>
      <c r="D932">
        <v>29.09</v>
      </c>
    </row>
    <row r="933" spans="1:4" x14ac:dyDescent="0.2">
      <c r="A933">
        <v>7</v>
      </c>
      <c r="B933" t="s">
        <v>40</v>
      </c>
      <c r="C933" t="s">
        <v>27</v>
      </c>
      <c r="D933">
        <v>45.9</v>
      </c>
    </row>
    <row r="934" spans="1:4" x14ac:dyDescent="0.2">
      <c r="A934">
        <v>7</v>
      </c>
      <c r="B934" t="s">
        <v>40</v>
      </c>
      <c r="C934" t="s">
        <v>27</v>
      </c>
      <c r="D934">
        <v>76.8</v>
      </c>
    </row>
    <row r="935" spans="1:4" x14ac:dyDescent="0.2">
      <c r="A935">
        <v>7</v>
      </c>
      <c r="B935" t="s">
        <v>40</v>
      </c>
      <c r="C935" t="s">
        <v>27</v>
      </c>
      <c r="D935">
        <v>76</v>
      </c>
    </row>
    <row r="936" spans="1:4" x14ac:dyDescent="0.2">
      <c r="A936">
        <v>7</v>
      </c>
      <c r="B936" t="s">
        <v>40</v>
      </c>
      <c r="C936" t="s">
        <v>27</v>
      </c>
      <c r="D936">
        <v>63.73</v>
      </c>
    </row>
    <row r="937" spans="1:4" x14ac:dyDescent="0.2">
      <c r="A937">
        <v>7</v>
      </c>
      <c r="B937" t="s">
        <v>40</v>
      </c>
      <c r="C937" t="s">
        <v>27</v>
      </c>
      <c r="D937">
        <v>59.4</v>
      </c>
    </row>
    <row r="938" spans="1:4" x14ac:dyDescent="0.2">
      <c r="A938">
        <v>7</v>
      </c>
      <c r="B938" t="s">
        <v>40</v>
      </c>
      <c r="C938" t="s">
        <v>27</v>
      </c>
      <c r="D938">
        <v>45.39</v>
      </c>
    </row>
    <row r="939" spans="1:4" x14ac:dyDescent="0.2">
      <c r="A939">
        <v>7</v>
      </c>
      <c r="B939" t="s">
        <v>40</v>
      </c>
      <c r="C939" t="s">
        <v>27</v>
      </c>
      <c r="D939">
        <v>36.119999999999997</v>
      </c>
    </row>
    <row r="940" spans="1:4" x14ac:dyDescent="0.2">
      <c r="A940">
        <v>7</v>
      </c>
      <c r="B940" t="s">
        <v>40</v>
      </c>
      <c r="C940" t="s">
        <v>27</v>
      </c>
      <c r="D940">
        <v>9.27</v>
      </c>
    </row>
    <row r="941" spans="1:4" x14ac:dyDescent="0.2">
      <c r="A941">
        <v>7</v>
      </c>
      <c r="B941" t="s">
        <v>40</v>
      </c>
      <c r="C941" t="s">
        <v>27</v>
      </c>
      <c r="D941">
        <v>3.08</v>
      </c>
    </row>
    <row r="942" spans="1:4" x14ac:dyDescent="0.2">
      <c r="A942">
        <v>7</v>
      </c>
      <c r="B942" t="s">
        <v>40</v>
      </c>
      <c r="C942" t="s">
        <v>27</v>
      </c>
      <c r="D942">
        <v>77.7</v>
      </c>
    </row>
    <row r="943" spans="1:4" x14ac:dyDescent="0.2">
      <c r="A943">
        <v>7</v>
      </c>
      <c r="B943" t="s">
        <v>40</v>
      </c>
      <c r="C943" t="s">
        <v>27</v>
      </c>
      <c r="D943">
        <v>1298.19</v>
      </c>
    </row>
    <row r="944" spans="1:4" x14ac:dyDescent="0.2">
      <c r="A944">
        <v>7</v>
      </c>
      <c r="B944" t="s">
        <v>40</v>
      </c>
      <c r="C944" t="s">
        <v>27</v>
      </c>
      <c r="D944">
        <v>299.99</v>
      </c>
    </row>
    <row r="945" spans="1:4" x14ac:dyDescent="0.2">
      <c r="A945">
        <v>7</v>
      </c>
      <c r="B945" t="s">
        <v>40</v>
      </c>
      <c r="C945" t="s">
        <v>27</v>
      </c>
      <c r="D945">
        <v>14.17</v>
      </c>
    </row>
    <row r="946" spans="1:4" x14ac:dyDescent="0.2">
      <c r="A946">
        <v>7</v>
      </c>
      <c r="B946" t="s">
        <v>40</v>
      </c>
      <c r="C946" t="s">
        <v>27</v>
      </c>
      <c r="D946">
        <v>31.73</v>
      </c>
    </row>
    <row r="947" spans="1:4" x14ac:dyDescent="0.2">
      <c r="A947">
        <v>8</v>
      </c>
      <c r="B947" t="s">
        <v>40</v>
      </c>
      <c r="C947" t="s">
        <v>27</v>
      </c>
      <c r="D947">
        <v>14.17</v>
      </c>
    </row>
    <row r="948" spans="1:4" x14ac:dyDescent="0.2">
      <c r="A948">
        <v>8</v>
      </c>
      <c r="B948" t="s">
        <v>40</v>
      </c>
      <c r="C948" t="s">
        <v>27</v>
      </c>
      <c r="D948">
        <v>50.82</v>
      </c>
    </row>
    <row r="949" spans="1:4" x14ac:dyDescent="0.2">
      <c r="A949">
        <v>8</v>
      </c>
      <c r="B949" t="s">
        <v>40</v>
      </c>
      <c r="C949" t="s">
        <v>27</v>
      </c>
      <c r="D949">
        <v>100.66</v>
      </c>
    </row>
    <row r="950" spans="1:4" x14ac:dyDescent="0.2">
      <c r="A950">
        <v>8</v>
      </c>
      <c r="B950" t="s">
        <v>40</v>
      </c>
      <c r="C950" t="s">
        <v>27</v>
      </c>
      <c r="D950">
        <v>53.08</v>
      </c>
    </row>
    <row r="951" spans="1:4" x14ac:dyDescent="0.2">
      <c r="A951">
        <v>8</v>
      </c>
      <c r="B951" t="s">
        <v>40</v>
      </c>
      <c r="C951" t="s">
        <v>27</v>
      </c>
      <c r="D951">
        <v>7.08</v>
      </c>
    </row>
    <row r="952" spans="1:4" x14ac:dyDescent="0.2">
      <c r="A952">
        <v>8</v>
      </c>
      <c r="B952" t="s">
        <v>40</v>
      </c>
      <c r="C952" t="s">
        <v>27</v>
      </c>
      <c r="D952">
        <v>70.180000000000007</v>
      </c>
    </row>
    <row r="953" spans="1:4" x14ac:dyDescent="0.2">
      <c r="A953">
        <v>9</v>
      </c>
      <c r="B953" t="s">
        <v>40</v>
      </c>
      <c r="C953" t="s">
        <v>27</v>
      </c>
      <c r="D953">
        <v>136.25</v>
      </c>
    </row>
    <row r="954" spans="1:4" x14ac:dyDescent="0.2">
      <c r="A954">
        <v>9</v>
      </c>
      <c r="B954" t="s">
        <v>40</v>
      </c>
      <c r="C954" t="s">
        <v>27</v>
      </c>
      <c r="D954">
        <v>39.200000000000003</v>
      </c>
    </row>
    <row r="955" spans="1:4" x14ac:dyDescent="0.2">
      <c r="A955">
        <v>9</v>
      </c>
      <c r="B955" t="s">
        <v>40</v>
      </c>
      <c r="C955" t="s">
        <v>27</v>
      </c>
      <c r="D955">
        <v>3.45</v>
      </c>
    </row>
    <row r="956" spans="1:4" x14ac:dyDescent="0.2">
      <c r="A956">
        <v>9</v>
      </c>
      <c r="B956" t="s">
        <v>40</v>
      </c>
      <c r="C956" t="s">
        <v>27</v>
      </c>
      <c r="D956">
        <v>36.520000000000003</v>
      </c>
    </row>
    <row r="957" spans="1:4" x14ac:dyDescent="0.2">
      <c r="A957">
        <v>9</v>
      </c>
      <c r="B957" t="s">
        <v>40</v>
      </c>
      <c r="C957" t="s">
        <v>27</v>
      </c>
      <c r="D957">
        <v>79.17</v>
      </c>
    </row>
    <row r="958" spans="1:4" x14ac:dyDescent="0.2">
      <c r="A958">
        <v>9</v>
      </c>
      <c r="B958" t="s">
        <v>40</v>
      </c>
      <c r="C958" t="s">
        <v>27</v>
      </c>
      <c r="D958">
        <v>25.84</v>
      </c>
    </row>
    <row r="959" spans="1:4" x14ac:dyDescent="0.2">
      <c r="A959">
        <v>9</v>
      </c>
      <c r="B959" t="s">
        <v>40</v>
      </c>
      <c r="C959" t="s">
        <v>27</v>
      </c>
      <c r="D959">
        <v>14.17</v>
      </c>
    </row>
    <row r="960" spans="1:4" x14ac:dyDescent="0.2">
      <c r="A960">
        <v>9</v>
      </c>
      <c r="B960" t="s">
        <v>40</v>
      </c>
      <c r="C960" t="s">
        <v>27</v>
      </c>
      <c r="D960">
        <v>34.450000000000003</v>
      </c>
    </row>
    <row r="961" spans="1:4" x14ac:dyDescent="0.2">
      <c r="A961">
        <v>9</v>
      </c>
      <c r="B961" t="s">
        <v>40</v>
      </c>
      <c r="C961" t="s">
        <v>27</v>
      </c>
      <c r="D961">
        <v>76.900000000000006</v>
      </c>
    </row>
    <row r="962" spans="1:4" x14ac:dyDescent="0.2">
      <c r="A962">
        <v>9</v>
      </c>
      <c r="B962" t="s">
        <v>40</v>
      </c>
      <c r="C962" t="s">
        <v>27</v>
      </c>
      <c r="D962">
        <v>36.33</v>
      </c>
    </row>
    <row r="963" spans="1:4" x14ac:dyDescent="0.2">
      <c r="A963">
        <v>9</v>
      </c>
      <c r="B963" t="s">
        <v>40</v>
      </c>
      <c r="C963" t="s">
        <v>27</v>
      </c>
      <c r="D963">
        <v>202.48</v>
      </c>
    </row>
    <row r="964" spans="1:4" x14ac:dyDescent="0.2">
      <c r="A964">
        <v>9</v>
      </c>
      <c r="B964" t="s">
        <v>40</v>
      </c>
      <c r="C964" t="s">
        <v>27</v>
      </c>
      <c r="D964">
        <v>31.82</v>
      </c>
    </row>
    <row r="965" spans="1:4" x14ac:dyDescent="0.2">
      <c r="A965">
        <v>10</v>
      </c>
      <c r="B965" t="s">
        <v>40</v>
      </c>
      <c r="C965" t="s">
        <v>27</v>
      </c>
      <c r="D965">
        <v>220.6</v>
      </c>
    </row>
    <row r="966" spans="1:4" x14ac:dyDescent="0.2">
      <c r="A966">
        <v>10</v>
      </c>
      <c r="B966" t="s">
        <v>40</v>
      </c>
      <c r="C966" t="s">
        <v>27</v>
      </c>
      <c r="D966">
        <v>14.17</v>
      </c>
    </row>
    <row r="967" spans="1:4" x14ac:dyDescent="0.2">
      <c r="A967">
        <v>10</v>
      </c>
      <c r="B967" t="s">
        <v>40</v>
      </c>
      <c r="C967" t="s">
        <v>27</v>
      </c>
      <c r="D967">
        <v>49.91</v>
      </c>
    </row>
    <row r="968" spans="1:4" x14ac:dyDescent="0.2">
      <c r="A968">
        <v>10</v>
      </c>
      <c r="B968" t="s">
        <v>40</v>
      </c>
      <c r="C968" t="s">
        <v>27</v>
      </c>
      <c r="D968">
        <v>15.83</v>
      </c>
    </row>
    <row r="969" spans="1:4" x14ac:dyDescent="0.2">
      <c r="A969">
        <v>10</v>
      </c>
      <c r="B969" t="s">
        <v>40</v>
      </c>
      <c r="C969" t="s">
        <v>27</v>
      </c>
      <c r="D969">
        <v>55.36</v>
      </c>
    </row>
    <row r="970" spans="1:4" x14ac:dyDescent="0.2">
      <c r="A970">
        <v>10</v>
      </c>
      <c r="B970" t="s">
        <v>40</v>
      </c>
      <c r="C970" t="s">
        <v>27</v>
      </c>
      <c r="D970">
        <v>75.33</v>
      </c>
    </row>
    <row r="971" spans="1:4" x14ac:dyDescent="0.2">
      <c r="A971">
        <v>10</v>
      </c>
      <c r="B971" t="s">
        <v>40</v>
      </c>
      <c r="C971" t="s">
        <v>27</v>
      </c>
      <c r="D971">
        <v>129.63999999999999</v>
      </c>
    </row>
    <row r="972" spans="1:4" x14ac:dyDescent="0.2">
      <c r="A972">
        <v>10</v>
      </c>
      <c r="B972" t="s">
        <v>40</v>
      </c>
      <c r="C972" t="s">
        <v>27</v>
      </c>
      <c r="D972">
        <v>21.67</v>
      </c>
    </row>
    <row r="973" spans="1:4" x14ac:dyDescent="0.2">
      <c r="A973">
        <v>10</v>
      </c>
      <c r="B973" t="s">
        <v>40</v>
      </c>
      <c r="C973" t="s">
        <v>27</v>
      </c>
      <c r="D973">
        <v>37.090000000000003</v>
      </c>
    </row>
    <row r="974" spans="1:4" x14ac:dyDescent="0.2">
      <c r="A974">
        <v>10</v>
      </c>
      <c r="B974" t="s">
        <v>40</v>
      </c>
      <c r="C974" t="s">
        <v>27</v>
      </c>
      <c r="D974">
        <v>12.5</v>
      </c>
    </row>
    <row r="975" spans="1:4" x14ac:dyDescent="0.2">
      <c r="A975">
        <v>10</v>
      </c>
      <c r="B975" t="s">
        <v>40</v>
      </c>
      <c r="C975" t="s">
        <v>27</v>
      </c>
      <c r="D975">
        <v>33.270000000000003</v>
      </c>
    </row>
    <row r="976" spans="1:4" x14ac:dyDescent="0.2">
      <c r="A976">
        <v>10</v>
      </c>
      <c r="B976" t="s">
        <v>40</v>
      </c>
      <c r="C976" t="s">
        <v>27</v>
      </c>
      <c r="D976">
        <v>7.25</v>
      </c>
    </row>
    <row r="977" spans="1:4" x14ac:dyDescent="0.2">
      <c r="A977">
        <v>10</v>
      </c>
      <c r="B977" t="s">
        <v>40</v>
      </c>
      <c r="C977" t="s">
        <v>27</v>
      </c>
      <c r="D977">
        <v>71.05</v>
      </c>
    </row>
    <row r="978" spans="1:4" x14ac:dyDescent="0.2">
      <c r="A978">
        <v>10</v>
      </c>
      <c r="B978" t="s">
        <v>40</v>
      </c>
      <c r="C978" t="s">
        <v>27</v>
      </c>
      <c r="D978">
        <v>43.46</v>
      </c>
    </row>
    <row r="979" spans="1:4" x14ac:dyDescent="0.2">
      <c r="A979">
        <v>10</v>
      </c>
      <c r="B979" t="s">
        <v>40</v>
      </c>
      <c r="C979" t="s">
        <v>27</v>
      </c>
      <c r="D979">
        <v>7.08</v>
      </c>
    </row>
    <row r="980" spans="1:4" x14ac:dyDescent="0.2">
      <c r="A980">
        <v>10</v>
      </c>
      <c r="B980" t="s">
        <v>40</v>
      </c>
      <c r="C980" t="s">
        <v>27</v>
      </c>
      <c r="D980">
        <v>18.82</v>
      </c>
    </row>
    <row r="981" spans="1:4" x14ac:dyDescent="0.2">
      <c r="A981">
        <v>11</v>
      </c>
      <c r="B981" t="s">
        <v>40</v>
      </c>
      <c r="C981" t="s">
        <v>27</v>
      </c>
      <c r="D981">
        <v>471.59</v>
      </c>
    </row>
    <row r="982" spans="1:4" x14ac:dyDescent="0.2">
      <c r="A982">
        <v>11</v>
      </c>
      <c r="B982" t="s">
        <v>40</v>
      </c>
      <c r="C982" t="s">
        <v>27</v>
      </c>
      <c r="D982">
        <v>6.25</v>
      </c>
    </row>
    <row r="983" spans="1:4" x14ac:dyDescent="0.2">
      <c r="A983">
        <v>11</v>
      </c>
      <c r="B983" t="s">
        <v>40</v>
      </c>
      <c r="C983" t="s">
        <v>27</v>
      </c>
      <c r="D983">
        <v>16.809999999999999</v>
      </c>
    </row>
    <row r="984" spans="1:4" x14ac:dyDescent="0.2">
      <c r="A984">
        <v>11</v>
      </c>
      <c r="B984" t="s">
        <v>40</v>
      </c>
      <c r="C984" t="s">
        <v>27</v>
      </c>
      <c r="D984">
        <v>67.23</v>
      </c>
    </row>
    <row r="985" spans="1:4" x14ac:dyDescent="0.2">
      <c r="A985">
        <v>11</v>
      </c>
      <c r="B985" t="s">
        <v>40</v>
      </c>
      <c r="C985" t="s">
        <v>27</v>
      </c>
      <c r="D985">
        <v>4.17</v>
      </c>
    </row>
    <row r="986" spans="1:4" x14ac:dyDescent="0.2">
      <c r="A986">
        <v>11</v>
      </c>
      <c r="B986" t="s">
        <v>40</v>
      </c>
      <c r="C986" t="s">
        <v>27</v>
      </c>
      <c r="D986">
        <v>12.78</v>
      </c>
    </row>
    <row r="987" spans="1:4" x14ac:dyDescent="0.2">
      <c r="A987">
        <v>11</v>
      </c>
      <c r="B987" t="s">
        <v>40</v>
      </c>
      <c r="C987" t="s">
        <v>27</v>
      </c>
      <c r="D987">
        <v>57.4</v>
      </c>
    </row>
    <row r="988" spans="1:4" x14ac:dyDescent="0.2">
      <c r="A988">
        <v>11</v>
      </c>
      <c r="B988" t="s">
        <v>40</v>
      </c>
      <c r="C988" t="s">
        <v>27</v>
      </c>
      <c r="D988">
        <v>7.08</v>
      </c>
    </row>
    <row r="989" spans="1:4" x14ac:dyDescent="0.2">
      <c r="A989">
        <v>11</v>
      </c>
      <c r="B989" t="s">
        <v>40</v>
      </c>
      <c r="C989" t="s">
        <v>27</v>
      </c>
      <c r="D989">
        <v>28.91</v>
      </c>
    </row>
    <row r="990" spans="1:4" x14ac:dyDescent="0.2">
      <c r="A990">
        <v>11</v>
      </c>
      <c r="B990" t="s">
        <v>40</v>
      </c>
      <c r="C990" t="s">
        <v>27</v>
      </c>
      <c r="D990">
        <v>19.59</v>
      </c>
    </row>
    <row r="991" spans="1:4" x14ac:dyDescent="0.2">
      <c r="A991">
        <v>12</v>
      </c>
      <c r="B991" t="s">
        <v>40</v>
      </c>
      <c r="C991" t="s">
        <v>27</v>
      </c>
      <c r="D991">
        <v>132.54</v>
      </c>
    </row>
    <row r="992" spans="1:4" x14ac:dyDescent="0.2">
      <c r="A992">
        <v>12</v>
      </c>
      <c r="B992" t="s">
        <v>40</v>
      </c>
      <c r="C992" t="s">
        <v>27</v>
      </c>
      <c r="D992">
        <v>65.86</v>
      </c>
    </row>
    <row r="993" spans="1:4" x14ac:dyDescent="0.2">
      <c r="A993">
        <v>12</v>
      </c>
      <c r="B993" t="s">
        <v>40</v>
      </c>
      <c r="C993" t="s">
        <v>27</v>
      </c>
      <c r="D993">
        <v>88.9</v>
      </c>
    </row>
    <row r="994" spans="1:4" x14ac:dyDescent="0.2">
      <c r="A994">
        <v>12</v>
      </c>
      <c r="B994" t="s">
        <v>40</v>
      </c>
      <c r="C994" t="s">
        <v>27</v>
      </c>
      <c r="D994">
        <v>6.25</v>
      </c>
    </row>
    <row r="995" spans="1:4" x14ac:dyDescent="0.2">
      <c r="A995">
        <v>12</v>
      </c>
      <c r="B995" t="s">
        <v>40</v>
      </c>
      <c r="C995" t="s">
        <v>27</v>
      </c>
      <c r="D995">
        <v>34.36</v>
      </c>
    </row>
    <row r="996" spans="1:4" x14ac:dyDescent="0.2">
      <c r="A996">
        <v>12</v>
      </c>
      <c r="B996" t="s">
        <v>40</v>
      </c>
      <c r="C996" t="s">
        <v>27</v>
      </c>
      <c r="D996">
        <v>216</v>
      </c>
    </row>
    <row r="997" spans="1:4" x14ac:dyDescent="0.2">
      <c r="A997">
        <v>12</v>
      </c>
      <c r="B997" t="s">
        <v>40</v>
      </c>
      <c r="C997" t="s">
        <v>27</v>
      </c>
      <c r="D997">
        <v>12.08</v>
      </c>
    </row>
    <row r="998" spans="1:4" x14ac:dyDescent="0.2">
      <c r="A998">
        <v>12</v>
      </c>
      <c r="B998" t="s">
        <v>40</v>
      </c>
      <c r="C998" t="s">
        <v>27</v>
      </c>
      <c r="D998">
        <v>32.549999999999997</v>
      </c>
    </row>
    <row r="999" spans="1:4" x14ac:dyDescent="0.2">
      <c r="A999">
        <v>12</v>
      </c>
      <c r="B999" t="s">
        <v>40</v>
      </c>
      <c r="C999" t="s">
        <v>27</v>
      </c>
      <c r="D999">
        <v>118.29</v>
      </c>
    </row>
    <row r="1000" spans="1:4" x14ac:dyDescent="0.2">
      <c r="A1000">
        <v>12</v>
      </c>
      <c r="B1000" t="s">
        <v>40</v>
      </c>
      <c r="C1000" t="s">
        <v>27</v>
      </c>
      <c r="D1000">
        <v>15</v>
      </c>
    </row>
    <row r="1001" spans="1:4" x14ac:dyDescent="0.2">
      <c r="A1001">
        <v>12</v>
      </c>
      <c r="B1001" t="s">
        <v>40</v>
      </c>
      <c r="C1001" t="s">
        <v>27</v>
      </c>
      <c r="D1001">
        <v>67.73</v>
      </c>
    </row>
    <row r="1002" spans="1:4" x14ac:dyDescent="0.2">
      <c r="A1002">
        <v>12</v>
      </c>
      <c r="B1002" t="s">
        <v>40</v>
      </c>
      <c r="C1002" t="s">
        <v>27</v>
      </c>
      <c r="D1002">
        <v>59.55</v>
      </c>
    </row>
    <row r="1003" spans="1:4" x14ac:dyDescent="0.2">
      <c r="A1003">
        <v>12</v>
      </c>
      <c r="B1003" t="s">
        <v>40</v>
      </c>
      <c r="C1003" t="s">
        <v>27</v>
      </c>
      <c r="D1003">
        <v>110.04</v>
      </c>
    </row>
    <row r="1004" spans="1:4" x14ac:dyDescent="0.2">
      <c r="A1004">
        <v>12</v>
      </c>
      <c r="B1004" t="s">
        <v>40</v>
      </c>
      <c r="C1004" t="s">
        <v>27</v>
      </c>
      <c r="D1004">
        <v>209.09</v>
      </c>
    </row>
    <row r="1005" spans="1:4" x14ac:dyDescent="0.2">
      <c r="A1005">
        <v>12</v>
      </c>
      <c r="B1005" t="s">
        <v>40</v>
      </c>
      <c r="C1005" t="s">
        <v>27</v>
      </c>
      <c r="D1005">
        <v>-209.09</v>
      </c>
    </row>
    <row r="1006" spans="1:4" x14ac:dyDescent="0.2">
      <c r="A1006">
        <v>12</v>
      </c>
      <c r="B1006" t="s">
        <v>40</v>
      </c>
      <c r="C1006" t="s">
        <v>27</v>
      </c>
      <c r="D1006">
        <v>84.99</v>
      </c>
    </row>
    <row r="1007" spans="1:4" x14ac:dyDescent="0.2">
      <c r="A1007">
        <v>1</v>
      </c>
      <c r="B1007" t="s">
        <v>41</v>
      </c>
      <c r="C1007" t="s">
        <v>27</v>
      </c>
      <c r="D1007">
        <v>40.15</v>
      </c>
    </row>
    <row r="1008" spans="1:4" x14ac:dyDescent="0.2">
      <c r="A1008">
        <v>1</v>
      </c>
      <c r="B1008" t="s">
        <v>41</v>
      </c>
      <c r="C1008" t="s">
        <v>27</v>
      </c>
      <c r="D1008">
        <v>20.9</v>
      </c>
    </row>
    <row r="1009" spans="1:4" x14ac:dyDescent="0.2">
      <c r="A1009">
        <v>1</v>
      </c>
      <c r="B1009" t="s">
        <v>41</v>
      </c>
      <c r="C1009" t="s">
        <v>27</v>
      </c>
      <c r="D1009">
        <v>20.9</v>
      </c>
    </row>
    <row r="1010" spans="1:4" x14ac:dyDescent="0.2">
      <c r="A1010">
        <v>2</v>
      </c>
      <c r="B1010" t="s">
        <v>41</v>
      </c>
      <c r="C1010" t="s">
        <v>27</v>
      </c>
      <c r="D1010">
        <v>20.9</v>
      </c>
    </row>
    <row r="1011" spans="1:4" x14ac:dyDescent="0.2">
      <c r="A1011">
        <v>2</v>
      </c>
      <c r="B1011" t="s">
        <v>41</v>
      </c>
      <c r="C1011" t="s">
        <v>27</v>
      </c>
      <c r="D1011">
        <v>20.9</v>
      </c>
    </row>
    <row r="1012" spans="1:4" x14ac:dyDescent="0.2">
      <c r="A1012">
        <v>2</v>
      </c>
      <c r="B1012" t="s">
        <v>41</v>
      </c>
      <c r="C1012" t="s">
        <v>27</v>
      </c>
      <c r="D1012">
        <v>2.78</v>
      </c>
    </row>
    <row r="1013" spans="1:4" x14ac:dyDescent="0.2">
      <c r="A1013">
        <v>3</v>
      </c>
      <c r="B1013" t="s">
        <v>41</v>
      </c>
      <c r="C1013" t="s">
        <v>27</v>
      </c>
      <c r="D1013">
        <v>35.520000000000003</v>
      </c>
    </row>
    <row r="1014" spans="1:4" x14ac:dyDescent="0.2">
      <c r="A1014">
        <v>3</v>
      </c>
      <c r="B1014" t="s">
        <v>41</v>
      </c>
      <c r="C1014" t="s">
        <v>27</v>
      </c>
      <c r="D1014">
        <v>20.9</v>
      </c>
    </row>
    <row r="1015" spans="1:4" x14ac:dyDescent="0.2">
      <c r="A1015">
        <v>3</v>
      </c>
      <c r="B1015" t="s">
        <v>41</v>
      </c>
      <c r="C1015" t="s">
        <v>27</v>
      </c>
      <c r="D1015">
        <v>20.9</v>
      </c>
    </row>
    <row r="1016" spans="1:4" x14ac:dyDescent="0.2">
      <c r="A1016">
        <v>3</v>
      </c>
      <c r="B1016" t="s">
        <v>41</v>
      </c>
      <c r="C1016" t="s">
        <v>27</v>
      </c>
      <c r="D1016">
        <v>20.9</v>
      </c>
    </row>
    <row r="1017" spans="1:4" x14ac:dyDescent="0.2">
      <c r="A1017">
        <v>3</v>
      </c>
      <c r="B1017" t="s">
        <v>41</v>
      </c>
      <c r="C1017" t="s">
        <v>27</v>
      </c>
      <c r="D1017">
        <v>20.9</v>
      </c>
    </row>
    <row r="1018" spans="1:4" x14ac:dyDescent="0.2">
      <c r="A1018">
        <v>4</v>
      </c>
      <c r="B1018" t="s">
        <v>41</v>
      </c>
      <c r="C1018" t="s">
        <v>27</v>
      </c>
      <c r="D1018">
        <v>20.9</v>
      </c>
    </row>
    <row r="1019" spans="1:4" x14ac:dyDescent="0.2">
      <c r="A1019">
        <v>4</v>
      </c>
      <c r="B1019" t="s">
        <v>41</v>
      </c>
      <c r="C1019" t="s">
        <v>27</v>
      </c>
      <c r="D1019">
        <v>21.42</v>
      </c>
    </row>
    <row r="1020" spans="1:4" x14ac:dyDescent="0.2">
      <c r="A1020">
        <v>4</v>
      </c>
      <c r="B1020" t="s">
        <v>41</v>
      </c>
      <c r="C1020" t="s">
        <v>27</v>
      </c>
      <c r="D1020">
        <v>20.9</v>
      </c>
    </row>
    <row r="1021" spans="1:4" x14ac:dyDescent="0.2">
      <c r="A1021">
        <v>4</v>
      </c>
      <c r="B1021" t="s">
        <v>41</v>
      </c>
      <c r="C1021" t="s">
        <v>27</v>
      </c>
      <c r="D1021">
        <v>41.8</v>
      </c>
    </row>
    <row r="1022" spans="1:4" x14ac:dyDescent="0.2">
      <c r="A1022">
        <v>6</v>
      </c>
      <c r="B1022" t="s">
        <v>41</v>
      </c>
      <c r="C1022" t="s">
        <v>27</v>
      </c>
      <c r="D1022">
        <v>83.6</v>
      </c>
    </row>
    <row r="1023" spans="1:4" x14ac:dyDescent="0.2">
      <c r="A1023">
        <v>7</v>
      </c>
      <c r="B1023" t="s">
        <v>41</v>
      </c>
      <c r="C1023" t="s">
        <v>27</v>
      </c>
      <c r="D1023">
        <v>73.150000000000006</v>
      </c>
    </row>
    <row r="1024" spans="1:4" x14ac:dyDescent="0.2">
      <c r="A1024">
        <v>7</v>
      </c>
      <c r="B1024" t="s">
        <v>41</v>
      </c>
      <c r="C1024" t="s">
        <v>27</v>
      </c>
      <c r="D1024">
        <v>-10.45</v>
      </c>
    </row>
    <row r="1025" spans="1:4" x14ac:dyDescent="0.2">
      <c r="A1025">
        <v>7</v>
      </c>
      <c r="B1025" t="s">
        <v>41</v>
      </c>
      <c r="C1025" t="s">
        <v>27</v>
      </c>
      <c r="D1025">
        <v>62.7</v>
      </c>
    </row>
    <row r="1026" spans="1:4" x14ac:dyDescent="0.2">
      <c r="A1026">
        <v>8</v>
      </c>
      <c r="B1026" t="s">
        <v>41</v>
      </c>
      <c r="C1026" t="s">
        <v>27</v>
      </c>
      <c r="D1026">
        <v>70.36</v>
      </c>
    </row>
    <row r="1027" spans="1:4" x14ac:dyDescent="0.2">
      <c r="A1027">
        <v>8</v>
      </c>
      <c r="B1027" t="s">
        <v>41</v>
      </c>
      <c r="C1027" t="s">
        <v>27</v>
      </c>
      <c r="D1027">
        <v>28.93</v>
      </c>
    </row>
    <row r="1028" spans="1:4" x14ac:dyDescent="0.2">
      <c r="A1028">
        <v>9</v>
      </c>
      <c r="B1028" t="s">
        <v>41</v>
      </c>
      <c r="C1028" t="s">
        <v>27</v>
      </c>
      <c r="D1028">
        <v>135.85</v>
      </c>
    </row>
    <row r="1029" spans="1:4" x14ac:dyDescent="0.2">
      <c r="A1029">
        <v>10</v>
      </c>
      <c r="B1029" t="s">
        <v>41</v>
      </c>
      <c r="C1029" t="s">
        <v>27</v>
      </c>
      <c r="D1029">
        <v>68.400000000000006</v>
      </c>
    </row>
    <row r="1030" spans="1:4" x14ac:dyDescent="0.2">
      <c r="A1030">
        <v>10</v>
      </c>
      <c r="B1030" t="s">
        <v>41</v>
      </c>
      <c r="C1030" t="s">
        <v>27</v>
      </c>
      <c r="D1030">
        <v>20.9</v>
      </c>
    </row>
    <row r="1031" spans="1:4" x14ac:dyDescent="0.2">
      <c r="A1031">
        <v>11</v>
      </c>
      <c r="B1031" t="s">
        <v>41</v>
      </c>
      <c r="C1031" t="s">
        <v>27</v>
      </c>
      <c r="D1031">
        <v>84.12</v>
      </c>
    </row>
    <row r="1032" spans="1:4" x14ac:dyDescent="0.2">
      <c r="A1032">
        <v>12</v>
      </c>
      <c r="B1032" t="s">
        <v>41</v>
      </c>
      <c r="C1032" t="s">
        <v>27</v>
      </c>
      <c r="D1032">
        <v>101.71</v>
      </c>
    </row>
    <row r="1033" spans="1:4" x14ac:dyDescent="0.2">
      <c r="A1033">
        <v>1</v>
      </c>
      <c r="B1033" t="s">
        <v>41</v>
      </c>
      <c r="C1033" t="s">
        <v>27</v>
      </c>
      <c r="D1033">
        <v>10</v>
      </c>
    </row>
    <row r="1034" spans="1:4" x14ac:dyDescent="0.2">
      <c r="A1034">
        <v>1</v>
      </c>
      <c r="B1034" t="s">
        <v>41</v>
      </c>
      <c r="C1034" t="s">
        <v>27</v>
      </c>
      <c r="D1034">
        <v>80.650000000000006</v>
      </c>
    </row>
    <row r="1035" spans="1:4" x14ac:dyDescent="0.2">
      <c r="A1035">
        <v>1</v>
      </c>
      <c r="B1035" t="s">
        <v>41</v>
      </c>
      <c r="C1035" t="s">
        <v>27</v>
      </c>
      <c r="D1035">
        <v>6.07</v>
      </c>
    </row>
    <row r="1036" spans="1:4" x14ac:dyDescent="0.2">
      <c r="A1036">
        <v>2</v>
      </c>
      <c r="B1036" t="s">
        <v>41</v>
      </c>
      <c r="C1036" t="s">
        <v>27</v>
      </c>
      <c r="D1036">
        <v>79</v>
      </c>
    </row>
    <row r="1037" spans="1:4" x14ac:dyDescent="0.2">
      <c r="A1037">
        <v>2</v>
      </c>
      <c r="B1037" t="s">
        <v>41</v>
      </c>
      <c r="C1037" t="s">
        <v>27</v>
      </c>
      <c r="D1037">
        <v>50</v>
      </c>
    </row>
    <row r="1038" spans="1:4" x14ac:dyDescent="0.2">
      <c r="A1038">
        <v>3</v>
      </c>
      <c r="B1038" t="s">
        <v>41</v>
      </c>
      <c r="C1038" t="s">
        <v>27</v>
      </c>
      <c r="D1038">
        <v>79</v>
      </c>
    </row>
    <row r="1039" spans="1:4" x14ac:dyDescent="0.2">
      <c r="A1039">
        <v>4</v>
      </c>
      <c r="B1039" t="s">
        <v>41</v>
      </c>
      <c r="C1039" t="s">
        <v>27</v>
      </c>
      <c r="D1039">
        <v>83.4</v>
      </c>
    </row>
    <row r="1040" spans="1:4" x14ac:dyDescent="0.2">
      <c r="A1040">
        <v>5</v>
      </c>
      <c r="B1040" t="s">
        <v>41</v>
      </c>
      <c r="C1040" t="s">
        <v>27</v>
      </c>
      <c r="D1040">
        <v>95.11</v>
      </c>
    </row>
    <row r="1041" spans="1:4" x14ac:dyDescent="0.2">
      <c r="A1041">
        <v>6</v>
      </c>
      <c r="B1041" t="s">
        <v>41</v>
      </c>
      <c r="C1041" t="s">
        <v>27</v>
      </c>
      <c r="D1041">
        <v>80.650000000000006</v>
      </c>
    </row>
    <row r="1042" spans="1:4" x14ac:dyDescent="0.2">
      <c r="A1042">
        <v>6</v>
      </c>
      <c r="B1042" t="s">
        <v>41</v>
      </c>
      <c r="C1042" t="s">
        <v>27</v>
      </c>
      <c r="D1042">
        <v>8.33</v>
      </c>
    </row>
    <row r="1043" spans="1:4" x14ac:dyDescent="0.2">
      <c r="A1043">
        <v>6</v>
      </c>
      <c r="B1043" t="s">
        <v>41</v>
      </c>
      <c r="C1043" t="s">
        <v>27</v>
      </c>
      <c r="D1043">
        <v>4.99</v>
      </c>
    </row>
    <row r="1044" spans="1:4" x14ac:dyDescent="0.2">
      <c r="A1044">
        <v>7</v>
      </c>
      <c r="B1044" t="s">
        <v>41</v>
      </c>
      <c r="C1044" t="s">
        <v>27</v>
      </c>
      <c r="D1044">
        <v>156</v>
      </c>
    </row>
    <row r="1045" spans="1:4" x14ac:dyDescent="0.2">
      <c r="A1045">
        <v>7</v>
      </c>
      <c r="B1045" t="s">
        <v>41</v>
      </c>
      <c r="C1045" t="s">
        <v>27</v>
      </c>
      <c r="D1045">
        <v>867.09</v>
      </c>
    </row>
    <row r="1046" spans="1:4" x14ac:dyDescent="0.2">
      <c r="A1046">
        <v>7</v>
      </c>
      <c r="B1046" t="s">
        <v>41</v>
      </c>
      <c r="C1046" t="s">
        <v>27</v>
      </c>
      <c r="D1046">
        <v>156</v>
      </c>
    </row>
    <row r="1047" spans="1:4" x14ac:dyDescent="0.2">
      <c r="A1047">
        <v>7</v>
      </c>
      <c r="B1047" t="s">
        <v>41</v>
      </c>
      <c r="C1047" t="s">
        <v>27</v>
      </c>
      <c r="D1047">
        <v>4.16</v>
      </c>
    </row>
    <row r="1048" spans="1:4" x14ac:dyDescent="0.2">
      <c r="A1048">
        <v>7</v>
      </c>
      <c r="B1048" t="s">
        <v>41</v>
      </c>
      <c r="C1048" t="s">
        <v>27</v>
      </c>
      <c r="D1048">
        <v>79</v>
      </c>
    </row>
    <row r="1049" spans="1:4" x14ac:dyDescent="0.2">
      <c r="A1049">
        <v>8</v>
      </c>
      <c r="B1049" t="s">
        <v>41</v>
      </c>
      <c r="C1049" t="s">
        <v>27</v>
      </c>
      <c r="D1049">
        <v>165.02</v>
      </c>
    </row>
    <row r="1050" spans="1:4" x14ac:dyDescent="0.2">
      <c r="A1050">
        <v>8</v>
      </c>
      <c r="B1050" t="s">
        <v>41</v>
      </c>
      <c r="C1050" t="s">
        <v>27</v>
      </c>
      <c r="D1050">
        <v>80.83</v>
      </c>
    </row>
    <row r="1051" spans="1:4" x14ac:dyDescent="0.2">
      <c r="A1051">
        <v>8</v>
      </c>
      <c r="B1051" t="s">
        <v>41</v>
      </c>
      <c r="C1051" t="s">
        <v>27</v>
      </c>
      <c r="D1051">
        <v>4.16</v>
      </c>
    </row>
    <row r="1052" spans="1:4" x14ac:dyDescent="0.2">
      <c r="A1052">
        <v>8</v>
      </c>
      <c r="B1052" t="s">
        <v>41</v>
      </c>
      <c r="C1052" t="s">
        <v>27</v>
      </c>
      <c r="D1052">
        <v>100</v>
      </c>
    </row>
    <row r="1053" spans="1:4" x14ac:dyDescent="0.2">
      <c r="A1053">
        <v>9</v>
      </c>
      <c r="B1053" t="s">
        <v>41</v>
      </c>
      <c r="C1053" t="s">
        <v>27</v>
      </c>
      <c r="D1053">
        <v>156</v>
      </c>
    </row>
    <row r="1054" spans="1:4" x14ac:dyDescent="0.2">
      <c r="A1054">
        <v>9</v>
      </c>
      <c r="B1054" t="s">
        <v>41</v>
      </c>
      <c r="C1054" t="s">
        <v>27</v>
      </c>
      <c r="D1054">
        <v>79</v>
      </c>
    </row>
    <row r="1055" spans="1:4" x14ac:dyDescent="0.2">
      <c r="A1055">
        <v>9</v>
      </c>
      <c r="B1055" t="s">
        <v>41</v>
      </c>
      <c r="C1055" t="s">
        <v>27</v>
      </c>
      <c r="D1055">
        <v>4.16</v>
      </c>
    </row>
    <row r="1056" spans="1:4" x14ac:dyDescent="0.2">
      <c r="A1056">
        <v>10</v>
      </c>
      <c r="B1056" t="s">
        <v>41</v>
      </c>
      <c r="C1056" t="s">
        <v>27</v>
      </c>
      <c r="D1056">
        <v>156</v>
      </c>
    </row>
    <row r="1057" spans="1:4" x14ac:dyDescent="0.2">
      <c r="A1057">
        <v>10</v>
      </c>
      <c r="B1057" t="s">
        <v>41</v>
      </c>
      <c r="C1057" t="s">
        <v>27</v>
      </c>
      <c r="D1057">
        <v>4.16</v>
      </c>
    </row>
    <row r="1058" spans="1:4" x14ac:dyDescent="0.2">
      <c r="A1058">
        <v>10</v>
      </c>
      <c r="B1058" t="s">
        <v>41</v>
      </c>
      <c r="C1058" t="s">
        <v>27</v>
      </c>
      <c r="D1058">
        <v>79</v>
      </c>
    </row>
    <row r="1059" spans="1:4" x14ac:dyDescent="0.2">
      <c r="A1059">
        <v>11</v>
      </c>
      <c r="B1059" t="s">
        <v>41</v>
      </c>
      <c r="C1059" t="s">
        <v>27</v>
      </c>
      <c r="D1059">
        <v>170.1</v>
      </c>
    </row>
    <row r="1060" spans="1:4" x14ac:dyDescent="0.2">
      <c r="A1060">
        <v>11</v>
      </c>
      <c r="B1060" t="s">
        <v>41</v>
      </c>
      <c r="C1060" t="s">
        <v>27</v>
      </c>
      <c r="D1060">
        <v>4.16</v>
      </c>
    </row>
    <row r="1061" spans="1:4" x14ac:dyDescent="0.2">
      <c r="A1061">
        <v>11</v>
      </c>
      <c r="B1061" t="s">
        <v>41</v>
      </c>
      <c r="C1061" t="s">
        <v>27</v>
      </c>
      <c r="D1061">
        <v>79</v>
      </c>
    </row>
    <row r="1062" spans="1:4" x14ac:dyDescent="0.2">
      <c r="A1062">
        <v>12</v>
      </c>
      <c r="B1062" t="s">
        <v>41</v>
      </c>
      <c r="C1062" t="s">
        <v>27</v>
      </c>
      <c r="D1062">
        <v>100</v>
      </c>
    </row>
    <row r="1063" spans="1:4" x14ac:dyDescent="0.2">
      <c r="A1063">
        <v>12</v>
      </c>
      <c r="B1063" t="s">
        <v>41</v>
      </c>
      <c r="C1063" t="s">
        <v>27</v>
      </c>
      <c r="D1063">
        <v>156</v>
      </c>
    </row>
    <row r="1064" spans="1:4" x14ac:dyDescent="0.2">
      <c r="A1064">
        <v>12</v>
      </c>
      <c r="B1064" t="s">
        <v>41</v>
      </c>
      <c r="C1064" t="s">
        <v>27</v>
      </c>
      <c r="D1064">
        <v>79</v>
      </c>
    </row>
    <row r="1065" spans="1:4" x14ac:dyDescent="0.2">
      <c r="A1065">
        <v>12</v>
      </c>
      <c r="B1065" t="s">
        <v>41</v>
      </c>
      <c r="C1065" t="s">
        <v>27</v>
      </c>
      <c r="D1065">
        <v>4.16</v>
      </c>
    </row>
    <row r="1066" spans="1:4" x14ac:dyDescent="0.2">
      <c r="A1066">
        <v>1</v>
      </c>
      <c r="B1066" t="s">
        <v>41</v>
      </c>
      <c r="C1066" t="s">
        <v>27</v>
      </c>
      <c r="D1066">
        <v>1.05</v>
      </c>
    </row>
    <row r="1067" spans="1:4" x14ac:dyDescent="0.2">
      <c r="A1067">
        <v>1</v>
      </c>
      <c r="B1067" t="s">
        <v>41</v>
      </c>
      <c r="C1067" t="s">
        <v>27</v>
      </c>
      <c r="D1067">
        <v>1.05</v>
      </c>
    </row>
    <row r="1068" spans="1:4" x14ac:dyDescent="0.2">
      <c r="A1068">
        <v>1</v>
      </c>
      <c r="B1068" t="s">
        <v>41</v>
      </c>
      <c r="C1068" t="s">
        <v>27</v>
      </c>
      <c r="D1068">
        <v>30.6</v>
      </c>
    </row>
    <row r="1069" spans="1:4" x14ac:dyDescent="0.2">
      <c r="A1069">
        <v>1</v>
      </c>
      <c r="B1069" t="s">
        <v>41</v>
      </c>
      <c r="C1069" t="s">
        <v>27</v>
      </c>
      <c r="D1069">
        <v>104.8</v>
      </c>
    </row>
    <row r="1070" spans="1:4" x14ac:dyDescent="0.2">
      <c r="A1070">
        <v>1</v>
      </c>
      <c r="B1070" t="s">
        <v>41</v>
      </c>
      <c r="C1070" t="s">
        <v>27</v>
      </c>
      <c r="D1070">
        <v>0.69</v>
      </c>
    </row>
    <row r="1071" spans="1:4" x14ac:dyDescent="0.2">
      <c r="A1071">
        <v>2</v>
      </c>
      <c r="B1071" t="s">
        <v>41</v>
      </c>
      <c r="C1071" t="s">
        <v>27</v>
      </c>
      <c r="D1071">
        <v>41</v>
      </c>
    </row>
    <row r="1072" spans="1:4" x14ac:dyDescent="0.2">
      <c r="A1072">
        <v>2</v>
      </c>
      <c r="B1072" t="s">
        <v>41</v>
      </c>
      <c r="C1072" t="s">
        <v>27</v>
      </c>
      <c r="D1072">
        <v>30.6</v>
      </c>
    </row>
    <row r="1073" spans="1:4" x14ac:dyDescent="0.2">
      <c r="A1073">
        <v>3</v>
      </c>
      <c r="B1073" t="s">
        <v>41</v>
      </c>
      <c r="C1073" t="s">
        <v>27</v>
      </c>
      <c r="D1073">
        <v>0.69</v>
      </c>
    </row>
    <row r="1074" spans="1:4" x14ac:dyDescent="0.2">
      <c r="A1074">
        <v>3</v>
      </c>
      <c r="B1074" t="s">
        <v>41</v>
      </c>
      <c r="C1074" t="s">
        <v>27</v>
      </c>
      <c r="D1074">
        <v>30.6</v>
      </c>
    </row>
    <row r="1075" spans="1:4" x14ac:dyDescent="0.2">
      <c r="A1075">
        <v>3</v>
      </c>
      <c r="B1075" t="s">
        <v>41</v>
      </c>
      <c r="C1075" t="s">
        <v>27</v>
      </c>
      <c r="D1075">
        <v>37.799999999999997</v>
      </c>
    </row>
    <row r="1076" spans="1:4" x14ac:dyDescent="0.2">
      <c r="A1076">
        <v>3</v>
      </c>
      <c r="B1076" t="s">
        <v>41</v>
      </c>
      <c r="C1076" t="s">
        <v>27</v>
      </c>
      <c r="D1076">
        <v>0.71</v>
      </c>
    </row>
    <row r="1077" spans="1:4" x14ac:dyDescent="0.2">
      <c r="A1077">
        <v>4</v>
      </c>
      <c r="B1077" t="s">
        <v>41</v>
      </c>
      <c r="C1077" t="s">
        <v>27</v>
      </c>
      <c r="D1077">
        <v>2.99</v>
      </c>
    </row>
    <row r="1078" spans="1:4" x14ac:dyDescent="0.2">
      <c r="A1078">
        <v>4</v>
      </c>
      <c r="B1078" t="s">
        <v>41</v>
      </c>
      <c r="C1078" t="s">
        <v>27</v>
      </c>
      <c r="D1078">
        <v>1.69</v>
      </c>
    </row>
    <row r="1079" spans="1:4" x14ac:dyDescent="0.2">
      <c r="A1079">
        <v>4</v>
      </c>
      <c r="B1079" t="s">
        <v>41</v>
      </c>
      <c r="C1079" t="s">
        <v>27</v>
      </c>
      <c r="D1079">
        <v>31.8</v>
      </c>
    </row>
    <row r="1080" spans="1:4" x14ac:dyDescent="0.2">
      <c r="A1080">
        <v>4</v>
      </c>
      <c r="B1080" t="s">
        <v>41</v>
      </c>
      <c r="C1080" t="s">
        <v>27</v>
      </c>
      <c r="D1080">
        <v>0.69</v>
      </c>
    </row>
    <row r="1081" spans="1:4" x14ac:dyDescent="0.2">
      <c r="A1081">
        <v>5</v>
      </c>
      <c r="B1081" t="s">
        <v>41</v>
      </c>
      <c r="C1081" t="s">
        <v>27</v>
      </c>
      <c r="D1081">
        <v>31.8</v>
      </c>
    </row>
    <row r="1082" spans="1:4" x14ac:dyDescent="0.2">
      <c r="A1082">
        <v>5</v>
      </c>
      <c r="B1082" t="s">
        <v>41</v>
      </c>
      <c r="C1082" t="s">
        <v>27</v>
      </c>
      <c r="D1082">
        <v>0.45</v>
      </c>
    </row>
    <row r="1083" spans="1:4" x14ac:dyDescent="0.2">
      <c r="A1083">
        <v>6</v>
      </c>
      <c r="B1083" t="s">
        <v>41</v>
      </c>
      <c r="C1083" t="s">
        <v>27</v>
      </c>
      <c r="D1083">
        <v>0.69</v>
      </c>
    </row>
    <row r="1084" spans="1:4" x14ac:dyDescent="0.2">
      <c r="A1084">
        <v>6</v>
      </c>
      <c r="B1084" t="s">
        <v>41</v>
      </c>
      <c r="C1084" t="s">
        <v>27</v>
      </c>
      <c r="D1084">
        <v>31.8</v>
      </c>
    </row>
    <row r="1085" spans="1:4" x14ac:dyDescent="0.2">
      <c r="A1085">
        <v>6</v>
      </c>
      <c r="B1085" t="s">
        <v>41</v>
      </c>
      <c r="C1085" t="s">
        <v>27</v>
      </c>
      <c r="D1085">
        <v>0.68</v>
      </c>
    </row>
    <row r="1086" spans="1:4" x14ac:dyDescent="0.2">
      <c r="A1086">
        <v>6</v>
      </c>
      <c r="B1086" t="s">
        <v>41</v>
      </c>
      <c r="C1086" t="s">
        <v>27</v>
      </c>
      <c r="D1086">
        <v>0.44</v>
      </c>
    </row>
    <row r="1087" spans="1:4" x14ac:dyDescent="0.2">
      <c r="A1087">
        <v>7</v>
      </c>
      <c r="B1087" t="s">
        <v>41</v>
      </c>
      <c r="C1087" t="s">
        <v>27</v>
      </c>
      <c r="D1087">
        <v>31.8</v>
      </c>
    </row>
    <row r="1088" spans="1:4" x14ac:dyDescent="0.2">
      <c r="A1088">
        <v>7</v>
      </c>
      <c r="B1088" t="s">
        <v>41</v>
      </c>
      <c r="C1088" t="s">
        <v>27</v>
      </c>
      <c r="D1088">
        <v>0.45</v>
      </c>
    </row>
    <row r="1089" spans="1:4" x14ac:dyDescent="0.2">
      <c r="A1089">
        <v>7</v>
      </c>
      <c r="B1089" t="s">
        <v>41</v>
      </c>
      <c r="C1089" t="s">
        <v>27</v>
      </c>
      <c r="D1089">
        <v>0.68</v>
      </c>
    </row>
    <row r="1090" spans="1:4" x14ac:dyDescent="0.2">
      <c r="A1090">
        <v>8</v>
      </c>
      <c r="B1090" t="s">
        <v>41</v>
      </c>
      <c r="C1090" t="s">
        <v>27</v>
      </c>
      <c r="D1090">
        <v>31.8</v>
      </c>
    </row>
    <row r="1091" spans="1:4" x14ac:dyDescent="0.2">
      <c r="A1091">
        <v>8</v>
      </c>
      <c r="B1091" t="s">
        <v>41</v>
      </c>
      <c r="C1091" t="s">
        <v>27</v>
      </c>
      <c r="D1091">
        <v>0.45</v>
      </c>
    </row>
    <row r="1092" spans="1:4" x14ac:dyDescent="0.2">
      <c r="A1092">
        <v>9</v>
      </c>
      <c r="B1092" t="s">
        <v>41</v>
      </c>
      <c r="C1092" t="s">
        <v>27</v>
      </c>
      <c r="D1092">
        <v>0.68</v>
      </c>
    </row>
    <row r="1093" spans="1:4" x14ac:dyDescent="0.2">
      <c r="A1093">
        <v>9</v>
      </c>
      <c r="B1093" t="s">
        <v>41</v>
      </c>
      <c r="C1093" t="s">
        <v>27</v>
      </c>
      <c r="D1093">
        <v>31.8</v>
      </c>
    </row>
    <row r="1094" spans="1:4" x14ac:dyDescent="0.2">
      <c r="A1094">
        <v>9</v>
      </c>
      <c r="B1094" t="s">
        <v>41</v>
      </c>
      <c r="C1094" t="s">
        <v>27</v>
      </c>
      <c r="D1094">
        <v>0.44</v>
      </c>
    </row>
    <row r="1095" spans="1:4" x14ac:dyDescent="0.2">
      <c r="A1095">
        <v>9</v>
      </c>
      <c r="B1095" t="s">
        <v>41</v>
      </c>
      <c r="C1095" t="s">
        <v>27</v>
      </c>
      <c r="D1095">
        <v>0.67</v>
      </c>
    </row>
    <row r="1096" spans="1:4" x14ac:dyDescent="0.2">
      <c r="A1096">
        <v>10</v>
      </c>
      <c r="B1096" t="s">
        <v>41</v>
      </c>
      <c r="C1096" t="s">
        <v>27</v>
      </c>
      <c r="D1096">
        <v>3.97</v>
      </c>
    </row>
    <row r="1097" spans="1:4" x14ac:dyDescent="0.2">
      <c r="A1097">
        <v>10</v>
      </c>
      <c r="B1097" t="s">
        <v>41</v>
      </c>
      <c r="C1097" t="s">
        <v>27</v>
      </c>
      <c r="D1097">
        <v>-41.33</v>
      </c>
    </row>
    <row r="1098" spans="1:4" x14ac:dyDescent="0.2">
      <c r="A1098">
        <v>10</v>
      </c>
      <c r="B1098" t="s">
        <v>41</v>
      </c>
      <c r="C1098" t="s">
        <v>27</v>
      </c>
      <c r="D1098">
        <v>39.799999999999997</v>
      </c>
    </row>
    <row r="1099" spans="1:4" x14ac:dyDescent="0.2">
      <c r="A1099">
        <v>10</v>
      </c>
      <c r="B1099" t="s">
        <v>41</v>
      </c>
      <c r="C1099" t="s">
        <v>27</v>
      </c>
      <c r="D1099">
        <v>40.229999999999997</v>
      </c>
    </row>
    <row r="1100" spans="1:4" x14ac:dyDescent="0.2">
      <c r="A1100">
        <v>10</v>
      </c>
      <c r="B1100" t="s">
        <v>41</v>
      </c>
      <c r="C1100" t="s">
        <v>27</v>
      </c>
      <c r="D1100">
        <v>11.3</v>
      </c>
    </row>
    <row r="1101" spans="1:4" x14ac:dyDescent="0.2">
      <c r="A1101">
        <v>10</v>
      </c>
      <c r="B1101" t="s">
        <v>41</v>
      </c>
      <c r="C1101" t="s">
        <v>27</v>
      </c>
      <c r="D1101">
        <v>15</v>
      </c>
    </row>
    <row r="1102" spans="1:4" x14ac:dyDescent="0.2">
      <c r="A1102">
        <v>10</v>
      </c>
      <c r="B1102" t="s">
        <v>41</v>
      </c>
      <c r="C1102" t="s">
        <v>27</v>
      </c>
      <c r="D1102">
        <v>-82.2</v>
      </c>
    </row>
    <row r="1103" spans="1:4" x14ac:dyDescent="0.2">
      <c r="A1103">
        <v>10</v>
      </c>
      <c r="B1103" t="s">
        <v>41</v>
      </c>
      <c r="C1103" t="s">
        <v>27</v>
      </c>
      <c r="D1103">
        <v>25</v>
      </c>
    </row>
    <row r="1104" spans="1:4" x14ac:dyDescent="0.2">
      <c r="A1104">
        <v>10</v>
      </c>
      <c r="B1104" t="s">
        <v>41</v>
      </c>
      <c r="C1104" t="s">
        <v>27</v>
      </c>
      <c r="D1104">
        <v>-10.94</v>
      </c>
    </row>
    <row r="1105" spans="1:4" x14ac:dyDescent="0.2">
      <c r="A1105">
        <v>10</v>
      </c>
      <c r="B1105" t="s">
        <v>41</v>
      </c>
      <c r="C1105" t="s">
        <v>27</v>
      </c>
      <c r="D1105">
        <v>40.659999999999997</v>
      </c>
    </row>
    <row r="1106" spans="1:4" x14ac:dyDescent="0.2">
      <c r="A1106">
        <v>10</v>
      </c>
      <c r="B1106" t="s">
        <v>41</v>
      </c>
      <c r="C1106" t="s">
        <v>27</v>
      </c>
      <c r="D1106">
        <v>7.65</v>
      </c>
    </row>
    <row r="1107" spans="1:4" x14ac:dyDescent="0.2">
      <c r="A1107">
        <v>10</v>
      </c>
      <c r="B1107" t="s">
        <v>41</v>
      </c>
      <c r="C1107" t="s">
        <v>27</v>
      </c>
      <c r="D1107">
        <v>7.65</v>
      </c>
    </row>
    <row r="1108" spans="1:4" x14ac:dyDescent="0.2">
      <c r="A1108">
        <v>10</v>
      </c>
      <c r="B1108" t="s">
        <v>41</v>
      </c>
      <c r="C1108" t="s">
        <v>27</v>
      </c>
      <c r="D1108">
        <v>0.44</v>
      </c>
    </row>
    <row r="1109" spans="1:4" x14ac:dyDescent="0.2">
      <c r="A1109">
        <v>10</v>
      </c>
      <c r="B1109" t="s">
        <v>41</v>
      </c>
      <c r="C1109" t="s">
        <v>27</v>
      </c>
      <c r="D1109">
        <v>-0.44</v>
      </c>
    </row>
    <row r="1110" spans="1:4" x14ac:dyDescent="0.2">
      <c r="A1110">
        <v>10</v>
      </c>
      <c r="B1110" t="s">
        <v>41</v>
      </c>
      <c r="C1110" t="s">
        <v>27</v>
      </c>
      <c r="D1110">
        <v>0.68</v>
      </c>
    </row>
    <row r="1111" spans="1:4" x14ac:dyDescent="0.2">
      <c r="A1111">
        <v>11</v>
      </c>
      <c r="B1111" t="s">
        <v>41</v>
      </c>
      <c r="C1111" t="s">
        <v>27</v>
      </c>
      <c r="D1111">
        <v>21.68</v>
      </c>
    </row>
    <row r="1112" spans="1:4" x14ac:dyDescent="0.2">
      <c r="A1112">
        <v>11</v>
      </c>
      <c r="B1112" t="s">
        <v>41</v>
      </c>
      <c r="C1112" t="s">
        <v>27</v>
      </c>
      <c r="D1112">
        <v>-41.33</v>
      </c>
    </row>
    <row r="1113" spans="1:4" x14ac:dyDescent="0.2">
      <c r="A1113">
        <v>11</v>
      </c>
      <c r="B1113" t="s">
        <v>41</v>
      </c>
      <c r="C1113" t="s">
        <v>27</v>
      </c>
      <c r="D1113">
        <v>31.8</v>
      </c>
    </row>
    <row r="1114" spans="1:4" x14ac:dyDescent="0.2">
      <c r="A1114">
        <v>11</v>
      </c>
      <c r="B1114" t="s">
        <v>41</v>
      </c>
      <c r="C1114" t="s">
        <v>27</v>
      </c>
      <c r="D1114">
        <v>40.44</v>
      </c>
    </row>
    <row r="1115" spans="1:4" x14ac:dyDescent="0.2">
      <c r="A1115">
        <v>11</v>
      </c>
      <c r="B1115" t="s">
        <v>41</v>
      </c>
      <c r="C1115" t="s">
        <v>27</v>
      </c>
      <c r="D1115">
        <v>9.74</v>
      </c>
    </row>
    <row r="1116" spans="1:4" x14ac:dyDescent="0.2">
      <c r="A1116">
        <v>11</v>
      </c>
      <c r="B1116" t="s">
        <v>41</v>
      </c>
      <c r="C1116" t="s">
        <v>27</v>
      </c>
      <c r="D1116">
        <v>9.17</v>
      </c>
    </row>
    <row r="1117" spans="1:4" x14ac:dyDescent="0.2">
      <c r="A1117">
        <v>11</v>
      </c>
      <c r="B1117" t="s">
        <v>41</v>
      </c>
      <c r="C1117" t="s">
        <v>27</v>
      </c>
      <c r="D1117">
        <v>40.659999999999997</v>
      </c>
    </row>
    <row r="1118" spans="1:4" x14ac:dyDescent="0.2">
      <c r="A1118">
        <v>12</v>
      </c>
      <c r="B1118" t="s">
        <v>41</v>
      </c>
      <c r="C1118" t="s">
        <v>27</v>
      </c>
      <c r="D1118">
        <v>0.68</v>
      </c>
    </row>
    <row r="1119" spans="1:4" x14ac:dyDescent="0.2">
      <c r="A1119">
        <v>12</v>
      </c>
      <c r="B1119" t="s">
        <v>41</v>
      </c>
      <c r="C1119" t="s">
        <v>27</v>
      </c>
      <c r="D1119">
        <v>-41.33</v>
      </c>
    </row>
    <row r="1120" spans="1:4" x14ac:dyDescent="0.2">
      <c r="A1120">
        <v>12</v>
      </c>
      <c r="B1120" t="s">
        <v>41</v>
      </c>
      <c r="C1120" t="s">
        <v>27</v>
      </c>
      <c r="D1120">
        <v>43.7</v>
      </c>
    </row>
    <row r="1121" spans="1:4" x14ac:dyDescent="0.2">
      <c r="A1121">
        <v>12</v>
      </c>
      <c r="B1121" t="s">
        <v>41</v>
      </c>
      <c r="C1121" t="s">
        <v>27</v>
      </c>
      <c r="D1121">
        <v>40.229999999999997</v>
      </c>
    </row>
    <row r="1122" spans="1:4" x14ac:dyDescent="0.2">
      <c r="A1122">
        <v>12</v>
      </c>
      <c r="B1122" t="s">
        <v>41</v>
      </c>
      <c r="C1122" t="s">
        <v>27</v>
      </c>
      <c r="D1122">
        <v>9.5399999999999991</v>
      </c>
    </row>
    <row r="1123" spans="1:4" x14ac:dyDescent="0.2">
      <c r="A1123">
        <v>12</v>
      </c>
      <c r="B1123" t="s">
        <v>41</v>
      </c>
      <c r="C1123" t="s">
        <v>27</v>
      </c>
      <c r="D1123">
        <v>8.99</v>
      </c>
    </row>
    <row r="1124" spans="1:4" x14ac:dyDescent="0.2">
      <c r="A1124">
        <v>12</v>
      </c>
      <c r="B1124" t="s">
        <v>41</v>
      </c>
      <c r="C1124" t="s">
        <v>27</v>
      </c>
      <c r="D1124">
        <v>40.659999999999997</v>
      </c>
    </row>
    <row r="1125" spans="1:4" x14ac:dyDescent="0.2">
      <c r="A1125">
        <v>10</v>
      </c>
      <c r="B1125" t="s">
        <v>367</v>
      </c>
      <c r="C1125" t="s">
        <v>27</v>
      </c>
      <c r="D1125">
        <v>150</v>
      </c>
    </row>
    <row r="1126" spans="1:4" x14ac:dyDescent="0.2">
      <c r="A1126">
        <v>10</v>
      </c>
      <c r="B1126" t="s">
        <v>367</v>
      </c>
      <c r="C1126" t="s">
        <v>27</v>
      </c>
      <c r="D1126">
        <v>150</v>
      </c>
    </row>
    <row r="1127" spans="1:4" x14ac:dyDescent="0.2">
      <c r="A1127">
        <v>10</v>
      </c>
      <c r="B1127" t="s">
        <v>367</v>
      </c>
      <c r="C1127" t="s">
        <v>27</v>
      </c>
      <c r="D1127">
        <v>150</v>
      </c>
    </row>
    <row r="1128" spans="1:4" x14ac:dyDescent="0.2">
      <c r="A1128">
        <v>10</v>
      </c>
      <c r="B1128" t="s">
        <v>367</v>
      </c>
      <c r="C1128" t="s">
        <v>27</v>
      </c>
      <c r="D1128">
        <v>159.37</v>
      </c>
    </row>
    <row r="1129" spans="1:4" x14ac:dyDescent="0.2">
      <c r="A1129">
        <v>10</v>
      </c>
      <c r="B1129" t="s">
        <v>367</v>
      </c>
      <c r="C1129" t="s">
        <v>27</v>
      </c>
      <c r="D1129">
        <v>150</v>
      </c>
    </row>
    <row r="1130" spans="1:4" x14ac:dyDescent="0.2">
      <c r="A1130">
        <v>2</v>
      </c>
      <c r="B1130" t="s">
        <v>37</v>
      </c>
      <c r="C1130" t="s">
        <v>27</v>
      </c>
      <c r="D1130">
        <v>150</v>
      </c>
    </row>
    <row r="1131" spans="1:4" x14ac:dyDescent="0.2">
      <c r="A1131">
        <v>3</v>
      </c>
      <c r="B1131" t="s">
        <v>37</v>
      </c>
      <c r="C1131" t="s">
        <v>27</v>
      </c>
      <c r="D1131">
        <v>150</v>
      </c>
    </row>
    <row r="1132" spans="1:4" x14ac:dyDescent="0.2">
      <c r="A1132">
        <v>3</v>
      </c>
      <c r="B1132" t="s">
        <v>37</v>
      </c>
      <c r="C1132" t="s">
        <v>27</v>
      </c>
      <c r="D1132">
        <v>150</v>
      </c>
    </row>
    <row r="1133" spans="1:4" x14ac:dyDescent="0.2">
      <c r="A1133">
        <v>4</v>
      </c>
      <c r="B1133" t="s">
        <v>37</v>
      </c>
      <c r="C1133" t="s">
        <v>27</v>
      </c>
      <c r="D1133">
        <v>150</v>
      </c>
    </row>
    <row r="1134" spans="1:4" x14ac:dyDescent="0.2">
      <c r="A1134">
        <v>5</v>
      </c>
      <c r="B1134" t="s">
        <v>37</v>
      </c>
      <c r="C1134" t="s">
        <v>27</v>
      </c>
      <c r="D1134">
        <v>150</v>
      </c>
    </row>
    <row r="1135" spans="1:4" x14ac:dyDescent="0.2">
      <c r="A1135">
        <v>5</v>
      </c>
      <c r="B1135" t="s">
        <v>37</v>
      </c>
      <c r="C1135" t="s">
        <v>27</v>
      </c>
      <c r="D1135">
        <v>150</v>
      </c>
    </row>
    <row r="1136" spans="1:4" x14ac:dyDescent="0.2">
      <c r="A1136">
        <v>5</v>
      </c>
      <c r="B1136" t="s">
        <v>37</v>
      </c>
      <c r="C1136" t="s">
        <v>27</v>
      </c>
      <c r="D1136">
        <v>150</v>
      </c>
    </row>
    <row r="1137" spans="1:4" x14ac:dyDescent="0.2">
      <c r="A1137">
        <v>6</v>
      </c>
      <c r="B1137" t="s">
        <v>37</v>
      </c>
      <c r="C1137" t="s">
        <v>27</v>
      </c>
      <c r="D1137">
        <v>150</v>
      </c>
    </row>
    <row r="1138" spans="1:4" x14ac:dyDescent="0.2">
      <c r="A1138">
        <v>6</v>
      </c>
      <c r="B1138" t="s">
        <v>37</v>
      </c>
      <c r="C1138" t="s">
        <v>27</v>
      </c>
      <c r="D1138">
        <v>150</v>
      </c>
    </row>
    <row r="1139" spans="1:4" x14ac:dyDescent="0.2">
      <c r="A1139">
        <v>7</v>
      </c>
      <c r="B1139" t="s">
        <v>37</v>
      </c>
      <c r="C1139" t="s">
        <v>27</v>
      </c>
      <c r="D1139">
        <v>150</v>
      </c>
    </row>
    <row r="1140" spans="1:4" x14ac:dyDescent="0.2">
      <c r="A1140">
        <v>7</v>
      </c>
      <c r="B1140" t="s">
        <v>37</v>
      </c>
      <c r="C1140" t="s">
        <v>27</v>
      </c>
      <c r="D1140">
        <v>150</v>
      </c>
    </row>
    <row r="1141" spans="1:4" x14ac:dyDescent="0.2">
      <c r="A1141">
        <v>7</v>
      </c>
      <c r="B1141" t="s">
        <v>37</v>
      </c>
      <c r="C1141" t="s">
        <v>27</v>
      </c>
      <c r="D1141">
        <v>150</v>
      </c>
    </row>
    <row r="1142" spans="1:4" x14ac:dyDescent="0.2">
      <c r="A1142">
        <v>7</v>
      </c>
      <c r="B1142" t="s">
        <v>37</v>
      </c>
      <c r="C1142" t="s">
        <v>27</v>
      </c>
      <c r="D1142">
        <v>150</v>
      </c>
    </row>
    <row r="1143" spans="1:4" x14ac:dyDescent="0.2">
      <c r="A1143">
        <v>7</v>
      </c>
      <c r="B1143" t="s">
        <v>37</v>
      </c>
      <c r="C1143" t="s">
        <v>27</v>
      </c>
      <c r="D1143">
        <v>150</v>
      </c>
    </row>
    <row r="1144" spans="1:4" x14ac:dyDescent="0.2">
      <c r="A1144">
        <v>7</v>
      </c>
      <c r="B1144" t="s">
        <v>37</v>
      </c>
      <c r="C1144" t="s">
        <v>27</v>
      </c>
      <c r="D1144">
        <v>170</v>
      </c>
    </row>
    <row r="1145" spans="1:4" x14ac:dyDescent="0.2">
      <c r="A1145">
        <v>7</v>
      </c>
      <c r="B1145" t="s">
        <v>37</v>
      </c>
      <c r="C1145" t="s">
        <v>27</v>
      </c>
      <c r="D1145">
        <v>150</v>
      </c>
    </row>
    <row r="1146" spans="1:4" x14ac:dyDescent="0.2">
      <c r="A1146">
        <v>7</v>
      </c>
      <c r="B1146" t="s">
        <v>37</v>
      </c>
      <c r="C1146" t="s">
        <v>27</v>
      </c>
      <c r="D1146">
        <v>150</v>
      </c>
    </row>
    <row r="1147" spans="1:4" x14ac:dyDescent="0.2">
      <c r="A1147">
        <v>9</v>
      </c>
      <c r="B1147" t="s">
        <v>37</v>
      </c>
      <c r="C1147" t="s">
        <v>27</v>
      </c>
      <c r="D1147">
        <v>150</v>
      </c>
    </row>
    <row r="1148" spans="1:4" x14ac:dyDescent="0.2">
      <c r="A1148">
        <v>9</v>
      </c>
      <c r="B1148" t="s">
        <v>37</v>
      </c>
      <c r="C1148" t="s">
        <v>27</v>
      </c>
      <c r="D1148">
        <v>150</v>
      </c>
    </row>
    <row r="1149" spans="1:4" x14ac:dyDescent="0.2">
      <c r="A1149">
        <v>9</v>
      </c>
      <c r="B1149" t="s">
        <v>37</v>
      </c>
      <c r="C1149" t="s">
        <v>27</v>
      </c>
      <c r="D1149">
        <v>150</v>
      </c>
    </row>
    <row r="1150" spans="1:4" x14ac:dyDescent="0.2">
      <c r="A1150">
        <v>9</v>
      </c>
      <c r="B1150" t="s">
        <v>37</v>
      </c>
      <c r="C1150" t="s">
        <v>27</v>
      </c>
      <c r="D1150">
        <v>1772</v>
      </c>
    </row>
    <row r="1151" spans="1:4" x14ac:dyDescent="0.2">
      <c r="A1151">
        <v>10</v>
      </c>
      <c r="B1151" t="s">
        <v>37</v>
      </c>
      <c r="C1151" t="s">
        <v>27</v>
      </c>
      <c r="D1151">
        <v>150</v>
      </c>
    </row>
    <row r="1152" spans="1:4" x14ac:dyDescent="0.2">
      <c r="A1152">
        <v>10</v>
      </c>
      <c r="B1152" t="s">
        <v>37</v>
      </c>
      <c r="C1152" t="s">
        <v>27</v>
      </c>
      <c r="D1152">
        <v>150</v>
      </c>
    </row>
    <row r="1153" spans="1:4" x14ac:dyDescent="0.2">
      <c r="A1153">
        <v>12</v>
      </c>
      <c r="B1153" t="s">
        <v>37</v>
      </c>
      <c r="C1153" t="s">
        <v>27</v>
      </c>
      <c r="D1153">
        <v>150</v>
      </c>
    </row>
    <row r="1154" spans="1:4" x14ac:dyDescent="0.2">
      <c r="A1154">
        <v>12</v>
      </c>
      <c r="B1154" t="s">
        <v>37</v>
      </c>
      <c r="C1154" t="s">
        <v>27</v>
      </c>
      <c r="D1154">
        <v>150</v>
      </c>
    </row>
    <row r="1155" spans="1:4" x14ac:dyDescent="0.2">
      <c r="A1155">
        <v>12</v>
      </c>
      <c r="B1155" t="s">
        <v>37</v>
      </c>
      <c r="C1155" t="s">
        <v>27</v>
      </c>
      <c r="D1155">
        <v>-878.72</v>
      </c>
    </row>
    <row r="1156" spans="1:4" x14ac:dyDescent="0.2">
      <c r="A1156">
        <v>1</v>
      </c>
      <c r="B1156" t="s">
        <v>940</v>
      </c>
      <c r="C1156" t="s">
        <v>939</v>
      </c>
      <c r="D1156">
        <v>5900</v>
      </c>
    </row>
    <row r="1157" spans="1:4" x14ac:dyDescent="0.2">
      <c r="A1157">
        <v>2</v>
      </c>
      <c r="B1157" t="s">
        <v>940</v>
      </c>
      <c r="C1157" t="s">
        <v>939</v>
      </c>
      <c r="D1157">
        <v>5900</v>
      </c>
    </row>
    <row r="1158" spans="1:4" x14ac:dyDescent="0.2">
      <c r="A1158">
        <v>3</v>
      </c>
      <c r="B1158" t="s">
        <v>940</v>
      </c>
      <c r="C1158" t="s">
        <v>939</v>
      </c>
      <c r="D1158">
        <v>5900</v>
      </c>
    </row>
    <row r="1159" spans="1:4" x14ac:dyDescent="0.2">
      <c r="A1159">
        <v>4</v>
      </c>
      <c r="B1159" t="s">
        <v>940</v>
      </c>
      <c r="C1159" t="s">
        <v>939</v>
      </c>
      <c r="D1159">
        <v>5900</v>
      </c>
    </row>
    <row r="1160" spans="1:4" x14ac:dyDescent="0.2">
      <c r="A1160">
        <v>5</v>
      </c>
      <c r="B1160" t="s">
        <v>940</v>
      </c>
      <c r="C1160" t="s">
        <v>939</v>
      </c>
      <c r="D1160">
        <v>5900</v>
      </c>
    </row>
    <row r="1161" spans="1:4" x14ac:dyDescent="0.2">
      <c r="A1161">
        <v>6</v>
      </c>
      <c r="B1161" t="s">
        <v>940</v>
      </c>
      <c r="C1161" t="s">
        <v>939</v>
      </c>
      <c r="D1161">
        <v>5900</v>
      </c>
    </row>
    <row r="1162" spans="1:4" x14ac:dyDescent="0.2">
      <c r="A1162">
        <v>7</v>
      </c>
      <c r="B1162" t="s">
        <v>940</v>
      </c>
      <c r="C1162" t="s">
        <v>939</v>
      </c>
      <c r="D1162">
        <v>5900</v>
      </c>
    </row>
    <row r="1163" spans="1:4" x14ac:dyDescent="0.2">
      <c r="A1163">
        <v>8</v>
      </c>
      <c r="B1163" t="s">
        <v>940</v>
      </c>
      <c r="C1163" t="s">
        <v>939</v>
      </c>
      <c r="D1163">
        <v>5900</v>
      </c>
    </row>
    <row r="1164" spans="1:4" x14ac:dyDescent="0.2">
      <c r="A1164">
        <v>9</v>
      </c>
      <c r="B1164" t="s">
        <v>940</v>
      </c>
      <c r="C1164" t="s">
        <v>939</v>
      </c>
      <c r="D1164">
        <v>5900</v>
      </c>
    </row>
    <row r="1165" spans="1:4" x14ac:dyDescent="0.2">
      <c r="A1165">
        <v>10</v>
      </c>
      <c r="B1165" t="s">
        <v>940</v>
      </c>
      <c r="C1165" t="s">
        <v>939</v>
      </c>
      <c r="D1165">
        <v>5900</v>
      </c>
    </row>
    <row r="1166" spans="1:4" x14ac:dyDescent="0.2">
      <c r="A1166">
        <v>11</v>
      </c>
      <c r="B1166" t="s">
        <v>940</v>
      </c>
      <c r="C1166" t="s">
        <v>939</v>
      </c>
      <c r="D1166">
        <v>5900</v>
      </c>
    </row>
    <row r="1167" spans="1:4" x14ac:dyDescent="0.2">
      <c r="A1167">
        <v>12</v>
      </c>
      <c r="B1167" t="s">
        <v>940</v>
      </c>
      <c r="C1167" t="s">
        <v>939</v>
      </c>
      <c r="D1167">
        <v>5900</v>
      </c>
    </row>
    <row r="1168" spans="1:4" x14ac:dyDescent="0.2">
      <c r="A1168">
        <v>12</v>
      </c>
      <c r="B1168" t="s">
        <v>940</v>
      </c>
      <c r="C1168" t="s">
        <v>939</v>
      </c>
      <c r="D1168">
        <v>3000</v>
      </c>
    </row>
    <row r="1169" spans="1:4" x14ac:dyDescent="0.2">
      <c r="A1169">
        <v>1</v>
      </c>
      <c r="B1169" t="s">
        <v>940</v>
      </c>
      <c r="C1169" t="s">
        <v>939</v>
      </c>
      <c r="D1169">
        <v>33.770000000000003</v>
      </c>
    </row>
    <row r="1170" spans="1:4" x14ac:dyDescent="0.2">
      <c r="A1170">
        <v>2</v>
      </c>
      <c r="B1170" t="s">
        <v>940</v>
      </c>
      <c r="C1170" t="s">
        <v>939</v>
      </c>
      <c r="D1170">
        <v>25.88</v>
      </c>
    </row>
    <row r="1171" spans="1:4" x14ac:dyDescent="0.2">
      <c r="A1171">
        <v>3</v>
      </c>
      <c r="B1171" t="s">
        <v>940</v>
      </c>
      <c r="C1171" t="s">
        <v>939</v>
      </c>
      <c r="D1171">
        <v>62.19</v>
      </c>
    </row>
    <row r="1172" spans="1:4" x14ac:dyDescent="0.2">
      <c r="A1172">
        <v>4</v>
      </c>
      <c r="B1172" t="s">
        <v>940</v>
      </c>
      <c r="C1172" t="s">
        <v>939</v>
      </c>
      <c r="D1172">
        <v>54.06</v>
      </c>
    </row>
    <row r="1173" spans="1:4" x14ac:dyDescent="0.2">
      <c r="A1173">
        <v>4</v>
      </c>
      <c r="B1173" t="s">
        <v>940</v>
      </c>
      <c r="C1173" t="s">
        <v>939</v>
      </c>
      <c r="D1173">
        <v>4.92</v>
      </c>
    </row>
    <row r="1174" spans="1:4" x14ac:dyDescent="0.2">
      <c r="A1174">
        <v>5</v>
      </c>
      <c r="B1174" t="s">
        <v>940</v>
      </c>
      <c r="C1174" t="s">
        <v>939</v>
      </c>
      <c r="D1174">
        <v>40.58</v>
      </c>
    </row>
    <row r="1175" spans="1:4" x14ac:dyDescent="0.2">
      <c r="A1175">
        <v>5</v>
      </c>
      <c r="B1175" t="s">
        <v>940</v>
      </c>
      <c r="C1175" t="s">
        <v>939</v>
      </c>
      <c r="D1175">
        <v>3.69</v>
      </c>
    </row>
    <row r="1176" spans="1:4" x14ac:dyDescent="0.2">
      <c r="A1176">
        <v>6</v>
      </c>
      <c r="B1176" t="s">
        <v>940</v>
      </c>
      <c r="C1176" t="s">
        <v>939</v>
      </c>
      <c r="D1176">
        <v>42.67</v>
      </c>
    </row>
    <row r="1177" spans="1:4" x14ac:dyDescent="0.2">
      <c r="A1177">
        <v>6</v>
      </c>
      <c r="B1177" t="s">
        <v>940</v>
      </c>
      <c r="C1177" t="s">
        <v>939</v>
      </c>
      <c r="D1177">
        <v>3.88</v>
      </c>
    </row>
    <row r="1178" spans="1:4" x14ac:dyDescent="0.2">
      <c r="A1178">
        <v>7</v>
      </c>
      <c r="B1178" t="s">
        <v>940</v>
      </c>
      <c r="C1178" t="s">
        <v>939</v>
      </c>
      <c r="D1178">
        <v>54.88</v>
      </c>
    </row>
    <row r="1179" spans="1:4" x14ac:dyDescent="0.2">
      <c r="A1179">
        <v>7</v>
      </c>
      <c r="B1179" t="s">
        <v>940</v>
      </c>
      <c r="C1179" t="s">
        <v>939</v>
      </c>
      <c r="D1179">
        <v>-62.19</v>
      </c>
    </row>
    <row r="1180" spans="1:4" x14ac:dyDescent="0.2">
      <c r="A1180">
        <v>7</v>
      </c>
      <c r="B1180" t="s">
        <v>940</v>
      </c>
      <c r="C1180" t="s">
        <v>939</v>
      </c>
      <c r="D1180">
        <v>56.45</v>
      </c>
    </row>
    <row r="1181" spans="1:4" x14ac:dyDescent="0.2">
      <c r="A1181">
        <v>7</v>
      </c>
      <c r="B1181" t="s">
        <v>940</v>
      </c>
      <c r="C1181" t="s">
        <v>939</v>
      </c>
      <c r="D1181">
        <v>5.14</v>
      </c>
    </row>
    <row r="1182" spans="1:4" x14ac:dyDescent="0.2">
      <c r="A1182">
        <v>8</v>
      </c>
      <c r="B1182" t="s">
        <v>940</v>
      </c>
      <c r="C1182" t="s">
        <v>939</v>
      </c>
      <c r="D1182">
        <v>56.22</v>
      </c>
    </row>
    <row r="1183" spans="1:4" x14ac:dyDescent="0.2">
      <c r="A1183">
        <v>8</v>
      </c>
      <c r="B1183" t="s">
        <v>940</v>
      </c>
      <c r="C1183" t="s">
        <v>939</v>
      </c>
      <c r="D1183">
        <v>5.1100000000000003</v>
      </c>
    </row>
    <row r="1184" spans="1:4" x14ac:dyDescent="0.2">
      <c r="A1184">
        <v>9</v>
      </c>
      <c r="B1184" t="s">
        <v>940</v>
      </c>
      <c r="C1184" t="s">
        <v>939</v>
      </c>
      <c r="D1184">
        <v>55.95</v>
      </c>
    </row>
    <row r="1185" spans="1:4" x14ac:dyDescent="0.2">
      <c r="A1185">
        <v>9</v>
      </c>
      <c r="B1185" t="s">
        <v>940</v>
      </c>
      <c r="C1185" t="s">
        <v>939</v>
      </c>
      <c r="D1185">
        <v>5.09</v>
      </c>
    </row>
    <row r="1186" spans="1:4" x14ac:dyDescent="0.2">
      <c r="A1186">
        <v>10</v>
      </c>
      <c r="B1186" t="s">
        <v>940</v>
      </c>
      <c r="C1186" t="s">
        <v>939</v>
      </c>
      <c r="D1186">
        <v>55.72</v>
      </c>
    </row>
    <row r="1187" spans="1:4" x14ac:dyDescent="0.2">
      <c r="A1187">
        <v>10</v>
      </c>
      <c r="B1187" t="s">
        <v>940</v>
      </c>
      <c r="C1187" t="s">
        <v>939</v>
      </c>
      <c r="D1187">
        <v>5.0599999999999996</v>
      </c>
    </row>
    <row r="1188" spans="1:4" x14ac:dyDescent="0.2">
      <c r="A1188">
        <v>11</v>
      </c>
      <c r="B1188" t="s">
        <v>940</v>
      </c>
      <c r="C1188" t="s">
        <v>939</v>
      </c>
      <c r="D1188">
        <v>35.08</v>
      </c>
    </row>
    <row r="1189" spans="1:4" x14ac:dyDescent="0.2">
      <c r="A1189">
        <v>11</v>
      </c>
      <c r="B1189" t="s">
        <v>940</v>
      </c>
      <c r="C1189" t="s">
        <v>939</v>
      </c>
      <c r="D1189">
        <v>3.19</v>
      </c>
    </row>
    <row r="1190" spans="1:4" x14ac:dyDescent="0.2">
      <c r="A1190">
        <v>12</v>
      </c>
      <c r="B1190" t="s">
        <v>940</v>
      </c>
      <c r="C1190" t="s">
        <v>939</v>
      </c>
      <c r="D1190">
        <v>30.47</v>
      </c>
    </row>
    <row r="1191" spans="1:4" x14ac:dyDescent="0.2">
      <c r="A1191">
        <v>12</v>
      </c>
      <c r="B1191" t="s">
        <v>940</v>
      </c>
      <c r="C1191" t="s">
        <v>939</v>
      </c>
      <c r="D1191">
        <v>2.77</v>
      </c>
    </row>
    <row r="1192" spans="1:4" x14ac:dyDescent="0.2">
      <c r="A1192">
        <v>1</v>
      </c>
      <c r="B1192" t="s">
        <v>366</v>
      </c>
      <c r="C1192" t="s">
        <v>27</v>
      </c>
      <c r="D1192">
        <v>33.200000000000003</v>
      </c>
    </row>
    <row r="1193" spans="1:4" x14ac:dyDescent="0.2">
      <c r="A1193">
        <v>1</v>
      </c>
      <c r="B1193" t="s">
        <v>366</v>
      </c>
      <c r="C1193" t="s">
        <v>27</v>
      </c>
      <c r="D1193">
        <v>5.07</v>
      </c>
    </row>
    <row r="1194" spans="1:4" x14ac:dyDescent="0.2">
      <c r="A1194">
        <v>2</v>
      </c>
      <c r="B1194" t="s">
        <v>366</v>
      </c>
      <c r="C1194" t="s">
        <v>27</v>
      </c>
      <c r="D1194">
        <v>25.45</v>
      </c>
    </row>
    <row r="1195" spans="1:4" x14ac:dyDescent="0.2">
      <c r="A1195">
        <v>2</v>
      </c>
      <c r="B1195" t="s">
        <v>366</v>
      </c>
      <c r="C1195" t="s">
        <v>27</v>
      </c>
      <c r="D1195">
        <v>3.88</v>
      </c>
    </row>
    <row r="1196" spans="1:4" x14ac:dyDescent="0.2">
      <c r="A1196">
        <v>3</v>
      </c>
      <c r="B1196" t="s">
        <v>366</v>
      </c>
      <c r="C1196" t="s">
        <v>27</v>
      </c>
      <c r="D1196">
        <v>54.88</v>
      </c>
    </row>
    <row r="1197" spans="1:4" x14ac:dyDescent="0.2">
      <c r="A1197">
        <v>4</v>
      </c>
      <c r="B1197" t="s">
        <v>366</v>
      </c>
      <c r="C1197" t="s">
        <v>27</v>
      </c>
      <c r="D1197">
        <v>57.99</v>
      </c>
    </row>
    <row r="1198" spans="1:4" x14ac:dyDescent="0.2">
      <c r="A1198">
        <v>4</v>
      </c>
      <c r="B1198" t="s">
        <v>366</v>
      </c>
      <c r="C1198" t="s">
        <v>27</v>
      </c>
      <c r="D1198">
        <v>8.85</v>
      </c>
    </row>
    <row r="1199" spans="1:4" x14ac:dyDescent="0.2">
      <c r="A1199">
        <v>5</v>
      </c>
      <c r="B1199" t="s">
        <v>366</v>
      </c>
      <c r="C1199" t="s">
        <v>27</v>
      </c>
      <c r="D1199">
        <v>43.54</v>
      </c>
    </row>
    <row r="1200" spans="1:4" x14ac:dyDescent="0.2">
      <c r="A1200">
        <v>5</v>
      </c>
      <c r="B1200" t="s">
        <v>366</v>
      </c>
      <c r="C1200" t="s">
        <v>27</v>
      </c>
      <c r="D1200">
        <v>6.64</v>
      </c>
    </row>
    <row r="1201" spans="1:4" x14ac:dyDescent="0.2">
      <c r="A1201">
        <v>6</v>
      </c>
      <c r="B1201" t="s">
        <v>366</v>
      </c>
      <c r="C1201" t="s">
        <v>27</v>
      </c>
      <c r="D1201">
        <v>45.78</v>
      </c>
    </row>
    <row r="1202" spans="1:4" x14ac:dyDescent="0.2">
      <c r="A1202">
        <v>6</v>
      </c>
      <c r="B1202" t="s">
        <v>366</v>
      </c>
      <c r="C1202" t="s">
        <v>27</v>
      </c>
      <c r="D1202">
        <v>6.98</v>
      </c>
    </row>
    <row r="1203" spans="1:4" x14ac:dyDescent="0.2">
      <c r="A1203">
        <v>7</v>
      </c>
      <c r="B1203" t="s">
        <v>366</v>
      </c>
      <c r="C1203" t="s">
        <v>27</v>
      </c>
      <c r="D1203">
        <v>-54.88</v>
      </c>
    </row>
    <row r="1204" spans="1:4" x14ac:dyDescent="0.2">
      <c r="A1204">
        <v>7</v>
      </c>
      <c r="B1204" t="s">
        <v>366</v>
      </c>
      <c r="C1204" t="s">
        <v>27</v>
      </c>
      <c r="D1204">
        <v>62.19</v>
      </c>
    </row>
    <row r="1205" spans="1:4" x14ac:dyDescent="0.2">
      <c r="A1205">
        <v>7</v>
      </c>
      <c r="B1205" t="s">
        <v>366</v>
      </c>
      <c r="C1205" t="s">
        <v>27</v>
      </c>
      <c r="D1205">
        <v>60.56</v>
      </c>
    </row>
    <row r="1206" spans="1:4" x14ac:dyDescent="0.2">
      <c r="A1206">
        <v>7</v>
      </c>
      <c r="B1206" t="s">
        <v>366</v>
      </c>
      <c r="C1206" t="s">
        <v>27</v>
      </c>
      <c r="D1206">
        <v>9.24</v>
      </c>
    </row>
    <row r="1207" spans="1:4" x14ac:dyDescent="0.2">
      <c r="A1207">
        <v>8</v>
      </c>
      <c r="B1207" t="s">
        <v>366</v>
      </c>
      <c r="C1207" t="s">
        <v>27</v>
      </c>
      <c r="D1207">
        <v>60.3</v>
      </c>
    </row>
    <row r="1208" spans="1:4" x14ac:dyDescent="0.2">
      <c r="A1208">
        <v>8</v>
      </c>
      <c r="B1208" t="s">
        <v>366</v>
      </c>
      <c r="C1208" t="s">
        <v>27</v>
      </c>
      <c r="D1208">
        <v>9.19</v>
      </c>
    </row>
    <row r="1209" spans="1:4" x14ac:dyDescent="0.2">
      <c r="A1209">
        <v>9</v>
      </c>
      <c r="B1209" t="s">
        <v>366</v>
      </c>
      <c r="C1209" t="s">
        <v>27</v>
      </c>
      <c r="D1209">
        <v>60.02</v>
      </c>
    </row>
    <row r="1210" spans="1:4" x14ac:dyDescent="0.2">
      <c r="A1210">
        <v>9</v>
      </c>
      <c r="B1210" t="s">
        <v>366</v>
      </c>
      <c r="C1210" t="s">
        <v>27</v>
      </c>
      <c r="D1210">
        <v>9.16</v>
      </c>
    </row>
    <row r="1211" spans="1:4" x14ac:dyDescent="0.2">
      <c r="A1211">
        <v>10</v>
      </c>
      <c r="B1211" t="s">
        <v>366</v>
      </c>
      <c r="C1211" t="s">
        <v>27</v>
      </c>
      <c r="D1211">
        <v>59.77</v>
      </c>
    </row>
    <row r="1212" spans="1:4" x14ac:dyDescent="0.2">
      <c r="A1212">
        <v>10</v>
      </c>
      <c r="B1212" t="s">
        <v>366</v>
      </c>
      <c r="C1212" t="s">
        <v>27</v>
      </c>
      <c r="D1212">
        <v>9.11</v>
      </c>
    </row>
    <row r="1213" spans="1:4" x14ac:dyDescent="0.2">
      <c r="A1213">
        <v>11</v>
      </c>
      <c r="B1213" t="s">
        <v>366</v>
      </c>
      <c r="C1213" t="s">
        <v>27</v>
      </c>
      <c r="D1213">
        <v>37.64</v>
      </c>
    </row>
    <row r="1214" spans="1:4" x14ac:dyDescent="0.2">
      <c r="A1214">
        <v>11</v>
      </c>
      <c r="B1214" t="s">
        <v>366</v>
      </c>
      <c r="C1214" t="s">
        <v>27</v>
      </c>
      <c r="D1214">
        <v>5.74</v>
      </c>
    </row>
    <row r="1215" spans="1:4" x14ac:dyDescent="0.2">
      <c r="A1215">
        <v>12</v>
      </c>
      <c r="B1215" t="s">
        <v>366</v>
      </c>
      <c r="C1215" t="s">
        <v>27</v>
      </c>
      <c r="D1215">
        <v>32.69</v>
      </c>
    </row>
    <row r="1216" spans="1:4" x14ac:dyDescent="0.2">
      <c r="A1216">
        <v>12</v>
      </c>
      <c r="B1216" t="s">
        <v>366</v>
      </c>
      <c r="C1216" t="s">
        <v>27</v>
      </c>
      <c r="D1216">
        <v>4.9800000000000004</v>
      </c>
    </row>
    <row r="1217" spans="1:4" x14ac:dyDescent="0.2">
      <c r="A1217">
        <v>6</v>
      </c>
      <c r="B1217" t="s">
        <v>366</v>
      </c>
      <c r="C1217" t="s">
        <v>27</v>
      </c>
      <c r="D1217">
        <v>205</v>
      </c>
    </row>
    <row r="1218" spans="1:4" x14ac:dyDescent="0.2">
      <c r="A1218">
        <v>7</v>
      </c>
      <c r="B1218" t="s">
        <v>366</v>
      </c>
      <c r="C1218" t="s">
        <v>27</v>
      </c>
      <c r="D1218">
        <v>-205</v>
      </c>
    </row>
    <row r="1219" spans="1:4" x14ac:dyDescent="0.2">
      <c r="A1219">
        <v>12</v>
      </c>
      <c r="B1219" t="s">
        <v>366</v>
      </c>
      <c r="C1219" t="s">
        <v>27</v>
      </c>
      <c r="D1219">
        <v>1165</v>
      </c>
    </row>
    <row r="1220" spans="1:4" x14ac:dyDescent="0.2">
      <c r="A1220">
        <v>12</v>
      </c>
      <c r="B1220" t="s">
        <v>366</v>
      </c>
      <c r="C1220" t="s">
        <v>27</v>
      </c>
      <c r="D1220">
        <v>197</v>
      </c>
    </row>
    <row r="1221" spans="1:4" x14ac:dyDescent="0.2">
      <c r="A1221">
        <v>6</v>
      </c>
      <c r="B1221" t="s">
        <v>366</v>
      </c>
      <c r="C1221" t="s">
        <v>27</v>
      </c>
      <c r="D1221">
        <v>783</v>
      </c>
    </row>
    <row r="1222" spans="1:4" x14ac:dyDescent="0.2">
      <c r="A1222">
        <v>7</v>
      </c>
      <c r="B1222" t="s">
        <v>366</v>
      </c>
      <c r="C1222" t="s">
        <v>27</v>
      </c>
      <c r="D1222">
        <v>-783</v>
      </c>
    </row>
    <row r="1223" spans="1:4" x14ac:dyDescent="0.2">
      <c r="A1223">
        <v>12</v>
      </c>
      <c r="B1223" t="s">
        <v>366</v>
      </c>
      <c r="C1223" t="s">
        <v>27</v>
      </c>
      <c r="D1223">
        <v>1009</v>
      </c>
    </row>
    <row r="1224" spans="1:4" x14ac:dyDescent="0.2">
      <c r="A1224">
        <v>8</v>
      </c>
      <c r="B1224" t="s">
        <v>41</v>
      </c>
      <c r="C1224" t="s">
        <v>27</v>
      </c>
      <c r="D1224">
        <v>5.56</v>
      </c>
    </row>
    <row r="1225" spans="1:4" x14ac:dyDescent="0.2">
      <c r="A1225">
        <v>1</v>
      </c>
      <c r="B1225" t="s">
        <v>940</v>
      </c>
      <c r="C1225" t="s">
        <v>939</v>
      </c>
      <c r="D1225">
        <v>5627.1</v>
      </c>
    </row>
    <row r="1226" spans="1:4" x14ac:dyDescent="0.2">
      <c r="A1226">
        <v>2</v>
      </c>
      <c r="B1226" t="s">
        <v>940</v>
      </c>
      <c r="C1226" t="s">
        <v>939</v>
      </c>
      <c r="D1226">
        <v>4313.3500000000004</v>
      </c>
    </row>
    <row r="1227" spans="1:4" x14ac:dyDescent="0.2">
      <c r="A1227">
        <v>3</v>
      </c>
      <c r="B1227" t="s">
        <v>940</v>
      </c>
      <c r="C1227" t="s">
        <v>939</v>
      </c>
      <c r="D1227">
        <v>9146.49</v>
      </c>
    </row>
    <row r="1228" spans="1:4" x14ac:dyDescent="0.2">
      <c r="A1228">
        <v>4</v>
      </c>
      <c r="B1228" t="s">
        <v>940</v>
      </c>
      <c r="C1228" t="s">
        <v>939</v>
      </c>
      <c r="D1228">
        <v>9829.7900000000009</v>
      </c>
    </row>
    <row r="1229" spans="1:4" x14ac:dyDescent="0.2">
      <c r="A1229">
        <v>5</v>
      </c>
      <c r="B1229" t="s">
        <v>940</v>
      </c>
      <c r="C1229" t="s">
        <v>939</v>
      </c>
      <c r="D1229">
        <v>7378.85</v>
      </c>
    </row>
    <row r="1230" spans="1:4" x14ac:dyDescent="0.2">
      <c r="A1230">
        <v>6</v>
      </c>
      <c r="B1230" t="s">
        <v>940</v>
      </c>
      <c r="C1230" t="s">
        <v>939</v>
      </c>
      <c r="D1230">
        <v>7759.29</v>
      </c>
    </row>
    <row r="1231" spans="1:4" x14ac:dyDescent="0.2">
      <c r="A1231">
        <v>7</v>
      </c>
      <c r="B1231" t="s">
        <v>940</v>
      </c>
      <c r="C1231" t="s">
        <v>939</v>
      </c>
      <c r="D1231">
        <v>10264.959999999999</v>
      </c>
    </row>
    <row r="1232" spans="1:4" x14ac:dyDescent="0.2">
      <c r="A1232">
        <v>8</v>
      </c>
      <c r="B1232" t="s">
        <v>940</v>
      </c>
      <c r="C1232" t="s">
        <v>939</v>
      </c>
      <c r="D1232">
        <v>10220.870000000001</v>
      </c>
    </row>
    <row r="1233" spans="1:4" x14ac:dyDescent="0.2">
      <c r="A1233">
        <v>9</v>
      </c>
      <c r="B1233" t="s">
        <v>940</v>
      </c>
      <c r="C1233" t="s">
        <v>939</v>
      </c>
      <c r="D1233">
        <v>11695.81</v>
      </c>
    </row>
    <row r="1234" spans="1:4" x14ac:dyDescent="0.2">
      <c r="A1234">
        <v>10</v>
      </c>
      <c r="B1234" t="s">
        <v>940</v>
      </c>
      <c r="C1234" t="s">
        <v>939</v>
      </c>
      <c r="D1234">
        <v>11654.28</v>
      </c>
    </row>
    <row r="1235" spans="1:4" x14ac:dyDescent="0.2">
      <c r="A1235">
        <v>11</v>
      </c>
      <c r="B1235" t="s">
        <v>940</v>
      </c>
      <c r="C1235" t="s">
        <v>939</v>
      </c>
      <c r="D1235">
        <v>7903.1</v>
      </c>
    </row>
    <row r="1236" spans="1:4" x14ac:dyDescent="0.2">
      <c r="A1236">
        <v>12</v>
      </c>
      <c r="B1236" t="s">
        <v>940</v>
      </c>
      <c r="C1236" t="s">
        <v>939</v>
      </c>
      <c r="D1236">
        <v>7064.12</v>
      </c>
    </row>
    <row r="1237" spans="1:4" x14ac:dyDescent="0.2">
      <c r="A1237">
        <v>1</v>
      </c>
      <c r="B1237" t="s">
        <v>940</v>
      </c>
      <c r="C1237" t="s">
        <v>939</v>
      </c>
      <c r="D1237">
        <v>-3360.07</v>
      </c>
    </row>
    <row r="1238" spans="1:4" x14ac:dyDescent="0.2">
      <c r="A1238">
        <v>6</v>
      </c>
      <c r="B1238" t="s">
        <v>940</v>
      </c>
      <c r="C1238" t="s">
        <v>939</v>
      </c>
      <c r="D1238">
        <v>4691.1099999999997</v>
      </c>
    </row>
    <row r="1239" spans="1:4" x14ac:dyDescent="0.2">
      <c r="A1239">
        <v>7</v>
      </c>
      <c r="B1239" t="s">
        <v>940</v>
      </c>
      <c r="C1239" t="s">
        <v>939</v>
      </c>
      <c r="D1239">
        <v>-4691.1099999999997</v>
      </c>
    </row>
    <row r="1240" spans="1:4" x14ac:dyDescent="0.2">
      <c r="A1240">
        <v>12</v>
      </c>
      <c r="B1240" t="s">
        <v>940</v>
      </c>
      <c r="C1240" t="s">
        <v>939</v>
      </c>
      <c r="D1240">
        <v>3075.16</v>
      </c>
    </row>
    <row r="1241" spans="1:4" x14ac:dyDescent="0.2">
      <c r="A1241">
        <v>2</v>
      </c>
      <c r="B1241" t="s">
        <v>940</v>
      </c>
      <c r="C1241" t="s">
        <v>939</v>
      </c>
      <c r="D1241">
        <v>5000</v>
      </c>
    </row>
    <row r="1242" spans="1:4" x14ac:dyDescent="0.2">
      <c r="A1242">
        <v>10</v>
      </c>
      <c r="B1242" t="s">
        <v>940</v>
      </c>
      <c r="C1242" t="s">
        <v>939</v>
      </c>
      <c r="D1242">
        <v>2524</v>
      </c>
    </row>
    <row r="1243" spans="1:4" x14ac:dyDescent="0.2">
      <c r="A1243">
        <v>1</v>
      </c>
      <c r="B1243" t="s">
        <v>940</v>
      </c>
      <c r="C1243" t="s">
        <v>939</v>
      </c>
      <c r="D1243">
        <v>1637.69</v>
      </c>
    </row>
    <row r="1244" spans="1:4" x14ac:dyDescent="0.2">
      <c r="A1244">
        <v>2</v>
      </c>
      <c r="B1244" t="s">
        <v>940</v>
      </c>
      <c r="C1244" t="s">
        <v>939</v>
      </c>
      <c r="D1244">
        <v>845.73</v>
      </c>
    </row>
    <row r="1245" spans="1:4" x14ac:dyDescent="0.2">
      <c r="A1245">
        <v>3</v>
      </c>
      <c r="B1245" t="s">
        <v>940</v>
      </c>
      <c r="C1245" t="s">
        <v>939</v>
      </c>
      <c r="D1245">
        <v>2825.29</v>
      </c>
    </row>
    <row r="1246" spans="1:4" x14ac:dyDescent="0.2">
      <c r="A1246">
        <v>3</v>
      </c>
      <c r="B1246" t="s">
        <v>940</v>
      </c>
      <c r="C1246" t="s">
        <v>939</v>
      </c>
      <c r="D1246">
        <v>641.79</v>
      </c>
    </row>
    <row r="1247" spans="1:4" x14ac:dyDescent="0.2">
      <c r="A1247">
        <v>3</v>
      </c>
      <c r="B1247" t="s">
        <v>940</v>
      </c>
      <c r="C1247" t="s">
        <v>939</v>
      </c>
      <c r="D1247">
        <v>33.85</v>
      </c>
    </row>
    <row r="1248" spans="1:4" x14ac:dyDescent="0.2">
      <c r="A1248">
        <v>3</v>
      </c>
      <c r="B1248" t="s">
        <v>940</v>
      </c>
      <c r="C1248" t="s">
        <v>939</v>
      </c>
      <c r="D1248">
        <v>1.83</v>
      </c>
    </row>
    <row r="1249" spans="1:4" x14ac:dyDescent="0.2">
      <c r="A1249">
        <v>4</v>
      </c>
      <c r="B1249" t="s">
        <v>940</v>
      </c>
      <c r="C1249" t="s">
        <v>939</v>
      </c>
      <c r="D1249">
        <v>3747.47</v>
      </c>
    </row>
    <row r="1250" spans="1:4" x14ac:dyDescent="0.2">
      <c r="A1250">
        <v>4</v>
      </c>
      <c r="B1250" t="s">
        <v>940</v>
      </c>
      <c r="C1250" t="s">
        <v>939</v>
      </c>
      <c r="D1250">
        <v>843.68</v>
      </c>
    </row>
    <row r="1251" spans="1:4" x14ac:dyDescent="0.2">
      <c r="A1251">
        <v>4</v>
      </c>
      <c r="B1251" t="s">
        <v>940</v>
      </c>
      <c r="C1251" t="s">
        <v>939</v>
      </c>
      <c r="D1251">
        <v>40</v>
      </c>
    </row>
    <row r="1252" spans="1:4" x14ac:dyDescent="0.2">
      <c r="A1252">
        <v>4</v>
      </c>
      <c r="B1252" t="s">
        <v>940</v>
      </c>
      <c r="C1252" t="s">
        <v>939</v>
      </c>
      <c r="D1252">
        <v>1.97</v>
      </c>
    </row>
    <row r="1253" spans="1:4" x14ac:dyDescent="0.2">
      <c r="A1253">
        <v>5</v>
      </c>
      <c r="B1253" t="s">
        <v>940</v>
      </c>
      <c r="C1253" t="s">
        <v>939</v>
      </c>
      <c r="D1253">
        <v>2219.08</v>
      </c>
    </row>
    <row r="1254" spans="1:4" x14ac:dyDescent="0.2">
      <c r="A1254">
        <v>5</v>
      </c>
      <c r="B1254" t="s">
        <v>940</v>
      </c>
      <c r="C1254" t="s">
        <v>939</v>
      </c>
      <c r="D1254">
        <v>372.2</v>
      </c>
    </row>
    <row r="1255" spans="1:4" x14ac:dyDescent="0.2">
      <c r="A1255">
        <v>5</v>
      </c>
      <c r="B1255" t="s">
        <v>940</v>
      </c>
      <c r="C1255" t="s">
        <v>939</v>
      </c>
      <c r="D1255">
        <v>25.53</v>
      </c>
    </row>
    <row r="1256" spans="1:4" x14ac:dyDescent="0.2">
      <c r="A1256">
        <v>5</v>
      </c>
      <c r="B1256" t="s">
        <v>940</v>
      </c>
      <c r="C1256" t="s">
        <v>939</v>
      </c>
      <c r="D1256">
        <v>1.47</v>
      </c>
    </row>
    <row r="1257" spans="1:4" x14ac:dyDescent="0.2">
      <c r="A1257">
        <v>5</v>
      </c>
      <c r="B1257" t="s">
        <v>940</v>
      </c>
      <c r="C1257" t="s">
        <v>939</v>
      </c>
      <c r="D1257">
        <v>29.5</v>
      </c>
    </row>
    <row r="1258" spans="1:4" x14ac:dyDescent="0.2">
      <c r="A1258">
        <v>6</v>
      </c>
      <c r="B1258" t="s">
        <v>940</v>
      </c>
      <c r="C1258" t="s">
        <v>939</v>
      </c>
      <c r="D1258">
        <v>2280.42</v>
      </c>
    </row>
    <row r="1259" spans="1:4" x14ac:dyDescent="0.2">
      <c r="A1259">
        <v>6</v>
      </c>
      <c r="B1259" t="s">
        <v>940</v>
      </c>
      <c r="C1259" t="s">
        <v>939</v>
      </c>
      <c r="D1259">
        <v>526.30999999999995</v>
      </c>
    </row>
    <row r="1260" spans="1:4" x14ac:dyDescent="0.2">
      <c r="A1260">
        <v>6</v>
      </c>
      <c r="B1260" t="s">
        <v>940</v>
      </c>
      <c r="C1260" t="s">
        <v>939</v>
      </c>
      <c r="D1260">
        <v>29.85</v>
      </c>
    </row>
    <row r="1261" spans="1:4" x14ac:dyDescent="0.2">
      <c r="A1261">
        <v>6</v>
      </c>
      <c r="B1261" t="s">
        <v>940</v>
      </c>
      <c r="C1261" t="s">
        <v>939</v>
      </c>
      <c r="D1261">
        <v>1.55</v>
      </c>
    </row>
    <row r="1262" spans="1:4" x14ac:dyDescent="0.2">
      <c r="A1262">
        <v>6</v>
      </c>
      <c r="B1262" t="s">
        <v>940</v>
      </c>
      <c r="C1262" t="s">
        <v>939</v>
      </c>
      <c r="D1262">
        <v>29.5</v>
      </c>
    </row>
    <row r="1263" spans="1:4" x14ac:dyDescent="0.2">
      <c r="A1263">
        <v>7</v>
      </c>
      <c r="B1263" t="s">
        <v>940</v>
      </c>
      <c r="C1263" t="s">
        <v>939</v>
      </c>
      <c r="D1263">
        <v>-8.81</v>
      </c>
    </row>
    <row r="1264" spans="1:4" x14ac:dyDescent="0.2">
      <c r="A1264">
        <v>7</v>
      </c>
      <c r="B1264" t="s">
        <v>940</v>
      </c>
      <c r="C1264" t="s">
        <v>939</v>
      </c>
      <c r="D1264">
        <v>2882.84</v>
      </c>
    </row>
    <row r="1265" spans="1:4" x14ac:dyDescent="0.2">
      <c r="A1265">
        <v>7</v>
      </c>
      <c r="B1265" t="s">
        <v>940</v>
      </c>
      <c r="C1265" t="s">
        <v>939</v>
      </c>
      <c r="D1265">
        <v>885.33</v>
      </c>
    </row>
    <row r="1266" spans="1:4" x14ac:dyDescent="0.2">
      <c r="A1266">
        <v>7</v>
      </c>
      <c r="B1266" t="s">
        <v>940</v>
      </c>
      <c r="C1266" t="s">
        <v>939</v>
      </c>
      <c r="D1266">
        <v>43.76</v>
      </c>
    </row>
    <row r="1267" spans="1:4" x14ac:dyDescent="0.2">
      <c r="A1267">
        <v>7</v>
      </c>
      <c r="B1267" t="s">
        <v>940</v>
      </c>
      <c r="C1267" t="s">
        <v>939</v>
      </c>
      <c r="D1267">
        <v>2.0499999999999998</v>
      </c>
    </row>
    <row r="1268" spans="1:4" x14ac:dyDescent="0.2">
      <c r="A1268">
        <v>7</v>
      </c>
      <c r="B1268" t="s">
        <v>940</v>
      </c>
      <c r="C1268" t="s">
        <v>939</v>
      </c>
      <c r="D1268">
        <v>-2.0499999999999998</v>
      </c>
    </row>
    <row r="1269" spans="1:4" x14ac:dyDescent="0.2">
      <c r="A1269">
        <v>7</v>
      </c>
      <c r="B1269" t="s">
        <v>940</v>
      </c>
      <c r="C1269" t="s">
        <v>939</v>
      </c>
      <c r="D1269">
        <v>29.5</v>
      </c>
    </row>
    <row r="1270" spans="1:4" x14ac:dyDescent="0.2">
      <c r="A1270">
        <v>8</v>
      </c>
      <c r="B1270" t="s">
        <v>940</v>
      </c>
      <c r="C1270" t="s">
        <v>939</v>
      </c>
      <c r="D1270">
        <v>2510.08</v>
      </c>
    </row>
    <row r="1271" spans="1:4" x14ac:dyDescent="0.2">
      <c r="A1271">
        <v>8</v>
      </c>
      <c r="B1271" t="s">
        <v>940</v>
      </c>
      <c r="C1271" t="s">
        <v>939</v>
      </c>
      <c r="D1271">
        <v>423.65</v>
      </c>
    </row>
    <row r="1272" spans="1:4" x14ac:dyDescent="0.2">
      <c r="A1272">
        <v>8</v>
      </c>
      <c r="B1272" t="s">
        <v>940</v>
      </c>
      <c r="C1272" t="s">
        <v>939</v>
      </c>
      <c r="D1272">
        <v>35.81</v>
      </c>
    </row>
    <row r="1273" spans="1:4" x14ac:dyDescent="0.2">
      <c r="A1273">
        <v>8</v>
      </c>
      <c r="B1273" t="s">
        <v>940</v>
      </c>
      <c r="C1273" t="s">
        <v>939</v>
      </c>
      <c r="D1273">
        <v>2.0499999999999998</v>
      </c>
    </row>
    <row r="1274" spans="1:4" x14ac:dyDescent="0.2">
      <c r="A1274">
        <v>8</v>
      </c>
      <c r="B1274" t="s">
        <v>940</v>
      </c>
      <c r="C1274" t="s">
        <v>939</v>
      </c>
      <c r="D1274">
        <v>-2.0499999999999998</v>
      </c>
    </row>
    <row r="1275" spans="1:4" x14ac:dyDescent="0.2">
      <c r="A1275">
        <v>8</v>
      </c>
      <c r="B1275" t="s">
        <v>940</v>
      </c>
      <c r="C1275" t="s">
        <v>939</v>
      </c>
      <c r="D1275">
        <v>59</v>
      </c>
    </row>
    <row r="1276" spans="1:4" x14ac:dyDescent="0.2">
      <c r="A1276">
        <v>9</v>
      </c>
      <c r="B1276" t="s">
        <v>940</v>
      </c>
      <c r="C1276" t="s">
        <v>939</v>
      </c>
      <c r="D1276">
        <v>2490.19</v>
      </c>
    </row>
    <row r="1277" spans="1:4" x14ac:dyDescent="0.2">
      <c r="A1277">
        <v>9</v>
      </c>
      <c r="B1277" t="s">
        <v>940</v>
      </c>
      <c r="C1277" t="s">
        <v>939</v>
      </c>
      <c r="D1277">
        <v>475.6</v>
      </c>
    </row>
    <row r="1278" spans="1:4" x14ac:dyDescent="0.2">
      <c r="A1278">
        <v>9</v>
      </c>
      <c r="B1278" t="s">
        <v>940</v>
      </c>
      <c r="C1278" t="s">
        <v>939</v>
      </c>
      <c r="D1278">
        <v>42.48</v>
      </c>
    </row>
    <row r="1279" spans="1:4" x14ac:dyDescent="0.2">
      <c r="A1279">
        <v>9</v>
      </c>
      <c r="B1279" t="s">
        <v>940</v>
      </c>
      <c r="C1279" t="s">
        <v>939</v>
      </c>
      <c r="D1279">
        <v>2.0299999999999998</v>
      </c>
    </row>
    <row r="1280" spans="1:4" x14ac:dyDescent="0.2">
      <c r="A1280">
        <v>9</v>
      </c>
      <c r="B1280" t="s">
        <v>940</v>
      </c>
      <c r="C1280" t="s">
        <v>939</v>
      </c>
      <c r="D1280">
        <v>-2.0299999999999998</v>
      </c>
    </row>
    <row r="1281" spans="1:4" x14ac:dyDescent="0.2">
      <c r="A1281">
        <v>9</v>
      </c>
      <c r="B1281" t="s">
        <v>940</v>
      </c>
      <c r="C1281" t="s">
        <v>939</v>
      </c>
      <c r="D1281">
        <v>59</v>
      </c>
    </row>
    <row r="1282" spans="1:4" x14ac:dyDescent="0.2">
      <c r="A1282">
        <v>10</v>
      </c>
      <c r="B1282" t="s">
        <v>940</v>
      </c>
      <c r="C1282" t="s">
        <v>939</v>
      </c>
      <c r="D1282">
        <v>3347.1</v>
      </c>
    </row>
    <row r="1283" spans="1:4" x14ac:dyDescent="0.2">
      <c r="A1283">
        <v>10</v>
      </c>
      <c r="B1283" t="s">
        <v>940</v>
      </c>
      <c r="C1283" t="s">
        <v>939</v>
      </c>
      <c r="D1283">
        <v>412.78</v>
      </c>
    </row>
    <row r="1284" spans="1:4" x14ac:dyDescent="0.2">
      <c r="A1284">
        <v>10</v>
      </c>
      <c r="B1284" t="s">
        <v>940</v>
      </c>
      <c r="C1284" t="s">
        <v>939</v>
      </c>
      <c r="D1284">
        <v>40.549999999999997</v>
      </c>
    </row>
    <row r="1285" spans="1:4" x14ac:dyDescent="0.2">
      <c r="A1285">
        <v>10</v>
      </c>
      <c r="B1285" t="s">
        <v>940</v>
      </c>
      <c r="C1285" t="s">
        <v>939</v>
      </c>
      <c r="D1285">
        <v>2.0299999999999998</v>
      </c>
    </row>
    <row r="1286" spans="1:4" x14ac:dyDescent="0.2">
      <c r="A1286">
        <v>10</v>
      </c>
      <c r="B1286" t="s">
        <v>940</v>
      </c>
      <c r="C1286" t="s">
        <v>939</v>
      </c>
      <c r="D1286">
        <v>-2.0299999999999998</v>
      </c>
    </row>
    <row r="1287" spans="1:4" x14ac:dyDescent="0.2">
      <c r="A1287">
        <v>10</v>
      </c>
      <c r="B1287" t="s">
        <v>940</v>
      </c>
      <c r="C1287" t="s">
        <v>939</v>
      </c>
      <c r="D1287">
        <v>59</v>
      </c>
    </row>
    <row r="1288" spans="1:4" x14ac:dyDescent="0.2">
      <c r="A1288">
        <v>11</v>
      </c>
      <c r="B1288" t="s">
        <v>940</v>
      </c>
      <c r="C1288" t="s">
        <v>939</v>
      </c>
      <c r="D1288">
        <v>3917.07</v>
      </c>
    </row>
    <row r="1289" spans="1:4" x14ac:dyDescent="0.2">
      <c r="A1289">
        <v>11</v>
      </c>
      <c r="B1289" t="s">
        <v>940</v>
      </c>
      <c r="C1289" t="s">
        <v>939</v>
      </c>
      <c r="D1289">
        <v>305.07</v>
      </c>
    </row>
    <row r="1290" spans="1:4" x14ac:dyDescent="0.2">
      <c r="A1290">
        <v>11</v>
      </c>
      <c r="B1290" t="s">
        <v>940</v>
      </c>
      <c r="C1290" t="s">
        <v>939</v>
      </c>
      <c r="D1290">
        <v>29.25</v>
      </c>
    </row>
    <row r="1291" spans="1:4" x14ac:dyDescent="0.2">
      <c r="A1291">
        <v>11</v>
      </c>
      <c r="B1291" t="s">
        <v>940</v>
      </c>
      <c r="C1291" t="s">
        <v>939</v>
      </c>
      <c r="D1291">
        <v>1.28</v>
      </c>
    </row>
    <row r="1292" spans="1:4" x14ac:dyDescent="0.2">
      <c r="A1292">
        <v>11</v>
      </c>
      <c r="B1292" t="s">
        <v>940</v>
      </c>
      <c r="C1292" t="s">
        <v>939</v>
      </c>
      <c r="D1292">
        <v>-1.28</v>
      </c>
    </row>
    <row r="1293" spans="1:4" x14ac:dyDescent="0.2">
      <c r="A1293">
        <v>11</v>
      </c>
      <c r="B1293" t="s">
        <v>940</v>
      </c>
      <c r="C1293" t="s">
        <v>939</v>
      </c>
      <c r="D1293">
        <v>59</v>
      </c>
    </row>
    <row r="1294" spans="1:4" x14ac:dyDescent="0.2">
      <c r="A1294">
        <v>12</v>
      </c>
      <c r="B1294" t="s">
        <v>940</v>
      </c>
      <c r="C1294" t="s">
        <v>939</v>
      </c>
      <c r="D1294">
        <v>1312.91</v>
      </c>
    </row>
    <row r="1295" spans="1:4" x14ac:dyDescent="0.2">
      <c r="A1295">
        <v>12</v>
      </c>
      <c r="B1295" t="s">
        <v>940</v>
      </c>
      <c r="C1295" t="s">
        <v>939</v>
      </c>
      <c r="D1295">
        <v>244.78</v>
      </c>
    </row>
    <row r="1296" spans="1:4" x14ac:dyDescent="0.2">
      <c r="A1296">
        <v>12</v>
      </c>
      <c r="B1296" t="s">
        <v>940</v>
      </c>
      <c r="C1296" t="s">
        <v>939</v>
      </c>
      <c r="D1296">
        <v>26.14</v>
      </c>
    </row>
    <row r="1297" spans="1:4" x14ac:dyDescent="0.2">
      <c r="A1297">
        <v>12</v>
      </c>
      <c r="B1297" t="s">
        <v>940</v>
      </c>
      <c r="C1297" t="s">
        <v>939</v>
      </c>
      <c r="D1297">
        <v>1.1100000000000001</v>
      </c>
    </row>
    <row r="1298" spans="1:4" x14ac:dyDescent="0.2">
      <c r="A1298">
        <v>12</v>
      </c>
      <c r="B1298" t="s">
        <v>940</v>
      </c>
      <c r="C1298" t="s">
        <v>939</v>
      </c>
      <c r="D1298">
        <v>-1.1100000000000001</v>
      </c>
    </row>
    <row r="1299" spans="1:4" x14ac:dyDescent="0.2">
      <c r="A1299">
        <v>12</v>
      </c>
      <c r="B1299" t="s">
        <v>940</v>
      </c>
      <c r="C1299" t="s">
        <v>939</v>
      </c>
      <c r="D1299">
        <v>59</v>
      </c>
    </row>
    <row r="1300" spans="1:4" x14ac:dyDescent="0.2">
      <c r="A1300">
        <v>1</v>
      </c>
      <c r="B1300" t="s">
        <v>940</v>
      </c>
      <c r="C1300" t="s">
        <v>939</v>
      </c>
      <c r="D1300">
        <v>-861.08</v>
      </c>
    </row>
    <row r="1301" spans="1:4" x14ac:dyDescent="0.2">
      <c r="A1301">
        <v>6</v>
      </c>
      <c r="B1301" t="s">
        <v>940</v>
      </c>
      <c r="C1301" t="s">
        <v>939</v>
      </c>
      <c r="D1301">
        <v>1533.58</v>
      </c>
    </row>
    <row r="1302" spans="1:4" x14ac:dyDescent="0.2">
      <c r="A1302">
        <v>7</v>
      </c>
      <c r="B1302" t="s">
        <v>940</v>
      </c>
      <c r="C1302" t="s">
        <v>939</v>
      </c>
      <c r="D1302">
        <v>-1533.58</v>
      </c>
    </row>
    <row r="1303" spans="1:4" x14ac:dyDescent="0.2">
      <c r="A1303">
        <v>12</v>
      </c>
      <c r="B1303" t="s">
        <v>940</v>
      </c>
      <c r="C1303" t="s">
        <v>939</v>
      </c>
      <c r="D1303">
        <v>737.87</v>
      </c>
    </row>
    <row r="1304" spans="1:4" x14ac:dyDescent="0.2">
      <c r="A1304">
        <v>1</v>
      </c>
      <c r="B1304" t="s">
        <v>940</v>
      </c>
      <c r="C1304" t="s">
        <v>939</v>
      </c>
      <c r="D1304">
        <v>254</v>
      </c>
    </row>
    <row r="1305" spans="1:4" x14ac:dyDescent="0.2">
      <c r="A1305">
        <v>6</v>
      </c>
      <c r="B1305" t="s">
        <v>940</v>
      </c>
      <c r="C1305" t="s">
        <v>939</v>
      </c>
      <c r="D1305">
        <v>-128.05000000000001</v>
      </c>
    </row>
    <row r="1306" spans="1:4" x14ac:dyDescent="0.2">
      <c r="A1306">
        <v>7</v>
      </c>
      <c r="B1306" t="s">
        <v>940</v>
      </c>
      <c r="C1306" t="s">
        <v>939</v>
      </c>
      <c r="D1306">
        <v>128.05000000000001</v>
      </c>
    </row>
    <row r="1307" spans="1:4" x14ac:dyDescent="0.2">
      <c r="A1307">
        <v>1</v>
      </c>
      <c r="B1307" t="s">
        <v>940</v>
      </c>
      <c r="C1307" t="s">
        <v>939</v>
      </c>
      <c r="D1307">
        <v>-124.76</v>
      </c>
    </row>
    <row r="1308" spans="1:4" x14ac:dyDescent="0.2">
      <c r="A1308">
        <v>2</v>
      </c>
      <c r="B1308" t="s">
        <v>940</v>
      </c>
      <c r="C1308" t="s">
        <v>939</v>
      </c>
      <c r="D1308">
        <v>-124.76</v>
      </c>
    </row>
    <row r="1309" spans="1:4" x14ac:dyDescent="0.2">
      <c r="A1309">
        <v>3</v>
      </c>
      <c r="B1309" t="s">
        <v>940</v>
      </c>
      <c r="C1309" t="s">
        <v>939</v>
      </c>
      <c r="D1309">
        <v>-124.76</v>
      </c>
    </row>
    <row r="1310" spans="1:4" x14ac:dyDescent="0.2">
      <c r="A1310">
        <v>4</v>
      </c>
      <c r="B1310" t="s">
        <v>940</v>
      </c>
      <c r="C1310" t="s">
        <v>939</v>
      </c>
      <c r="D1310">
        <v>-124.76</v>
      </c>
    </row>
    <row r="1311" spans="1:4" x14ac:dyDescent="0.2">
      <c r="A1311">
        <v>5</v>
      </c>
      <c r="B1311" t="s">
        <v>940</v>
      </c>
      <c r="C1311" t="s">
        <v>939</v>
      </c>
      <c r="D1311">
        <v>-474.76</v>
      </c>
    </row>
    <row r="1312" spans="1:4" x14ac:dyDescent="0.2">
      <c r="A1312">
        <v>6</v>
      </c>
      <c r="B1312" t="s">
        <v>940</v>
      </c>
      <c r="C1312" t="s">
        <v>939</v>
      </c>
      <c r="D1312">
        <v>-474.76</v>
      </c>
    </row>
    <row r="1313" spans="1:4" x14ac:dyDescent="0.2">
      <c r="A1313">
        <v>7</v>
      </c>
      <c r="B1313" t="s">
        <v>940</v>
      </c>
      <c r="C1313" t="s">
        <v>939</v>
      </c>
      <c r="D1313">
        <v>-474.76</v>
      </c>
    </row>
    <row r="1314" spans="1:4" x14ac:dyDescent="0.2">
      <c r="A1314">
        <v>8</v>
      </c>
      <c r="B1314" t="s">
        <v>940</v>
      </c>
      <c r="C1314" t="s">
        <v>939</v>
      </c>
      <c r="D1314">
        <v>-474.76</v>
      </c>
    </row>
    <row r="1315" spans="1:4" x14ac:dyDescent="0.2">
      <c r="A1315">
        <v>9</v>
      </c>
      <c r="B1315" t="s">
        <v>940</v>
      </c>
      <c r="C1315" t="s">
        <v>939</v>
      </c>
      <c r="D1315">
        <v>-474.76</v>
      </c>
    </row>
    <row r="1316" spans="1:4" x14ac:dyDescent="0.2">
      <c r="A1316">
        <v>10</v>
      </c>
      <c r="B1316" t="s">
        <v>940</v>
      </c>
      <c r="C1316" t="s">
        <v>939</v>
      </c>
      <c r="D1316">
        <v>-474.76</v>
      </c>
    </row>
    <row r="1317" spans="1:4" x14ac:dyDescent="0.2">
      <c r="A1317">
        <v>11</v>
      </c>
      <c r="B1317" t="s">
        <v>940</v>
      </c>
      <c r="C1317" t="s">
        <v>939</v>
      </c>
      <c r="D1317">
        <v>-350</v>
      </c>
    </row>
    <row r="1318" spans="1:4" x14ac:dyDescent="0.2">
      <c r="A1318">
        <v>12</v>
      </c>
      <c r="B1318" t="s">
        <v>940</v>
      </c>
      <c r="C1318" t="s">
        <v>939</v>
      </c>
      <c r="D1318">
        <v>-350</v>
      </c>
    </row>
    <row r="1319" spans="1:4" x14ac:dyDescent="0.2">
      <c r="A1319">
        <v>12</v>
      </c>
      <c r="B1319" t="s">
        <v>940</v>
      </c>
      <c r="C1319" t="s">
        <v>939</v>
      </c>
      <c r="D1319">
        <v>4047.6</v>
      </c>
    </row>
    <row r="1320" spans="1:4" x14ac:dyDescent="0.2">
      <c r="A1320">
        <v>12</v>
      </c>
      <c r="B1320" t="s">
        <v>940</v>
      </c>
      <c r="C1320" t="s">
        <v>939</v>
      </c>
      <c r="D1320">
        <v>-4047.6</v>
      </c>
    </row>
    <row r="1321" spans="1:4" x14ac:dyDescent="0.2">
      <c r="A1321">
        <v>8</v>
      </c>
      <c r="B1321" t="s">
        <v>940</v>
      </c>
      <c r="C1321" t="s">
        <v>939</v>
      </c>
      <c r="D1321">
        <v>-2100</v>
      </c>
    </row>
    <row r="1322" spans="1:4" x14ac:dyDescent="0.2">
      <c r="A1322">
        <v>1</v>
      </c>
      <c r="B1322" t="s">
        <v>368</v>
      </c>
      <c r="C1322" t="s">
        <v>27</v>
      </c>
      <c r="D1322">
        <v>0.1</v>
      </c>
    </row>
    <row r="1323" spans="1:4" x14ac:dyDescent="0.2">
      <c r="A1323">
        <v>1</v>
      </c>
      <c r="B1323" t="s">
        <v>368</v>
      </c>
      <c r="C1323" t="s">
        <v>27</v>
      </c>
      <c r="D1323">
        <v>0.15</v>
      </c>
    </row>
    <row r="1324" spans="1:4" x14ac:dyDescent="0.2">
      <c r="A1324">
        <v>1</v>
      </c>
      <c r="B1324" t="s">
        <v>368</v>
      </c>
      <c r="C1324" t="s">
        <v>27</v>
      </c>
      <c r="D1324">
        <v>2</v>
      </c>
    </row>
    <row r="1325" spans="1:4" x14ac:dyDescent="0.2">
      <c r="A1325">
        <v>1</v>
      </c>
      <c r="B1325" t="s">
        <v>368</v>
      </c>
      <c r="C1325" t="s">
        <v>27</v>
      </c>
      <c r="D1325">
        <v>0.02</v>
      </c>
    </row>
    <row r="1326" spans="1:4" x14ac:dyDescent="0.2">
      <c r="A1326">
        <v>2</v>
      </c>
      <c r="B1326" t="s">
        <v>368</v>
      </c>
      <c r="C1326" t="s">
        <v>27</v>
      </c>
      <c r="D1326">
        <v>2</v>
      </c>
    </row>
    <row r="1327" spans="1:4" x14ac:dyDescent="0.2">
      <c r="A1327">
        <v>3</v>
      </c>
      <c r="B1327" t="s">
        <v>368</v>
      </c>
      <c r="C1327" t="s">
        <v>27</v>
      </c>
      <c r="D1327">
        <v>0.39</v>
      </c>
    </row>
    <row r="1328" spans="1:4" x14ac:dyDescent="0.2">
      <c r="A1328">
        <v>3</v>
      </c>
      <c r="B1328" t="s">
        <v>368</v>
      </c>
      <c r="C1328" t="s">
        <v>27</v>
      </c>
      <c r="D1328">
        <v>2</v>
      </c>
    </row>
    <row r="1329" spans="1:4" x14ac:dyDescent="0.2">
      <c r="A1329">
        <v>3</v>
      </c>
      <c r="B1329" t="s">
        <v>368</v>
      </c>
      <c r="C1329" t="s">
        <v>27</v>
      </c>
      <c r="D1329">
        <v>0.16</v>
      </c>
    </row>
    <row r="1330" spans="1:4" x14ac:dyDescent="0.2">
      <c r="A1330">
        <v>3</v>
      </c>
      <c r="B1330" t="s">
        <v>368</v>
      </c>
      <c r="C1330" t="s">
        <v>27</v>
      </c>
      <c r="D1330">
        <v>0.09</v>
      </c>
    </row>
    <row r="1331" spans="1:4" x14ac:dyDescent="0.2">
      <c r="A1331">
        <v>4</v>
      </c>
      <c r="B1331" t="s">
        <v>368</v>
      </c>
      <c r="C1331" t="s">
        <v>27</v>
      </c>
      <c r="D1331">
        <v>1.24</v>
      </c>
    </row>
    <row r="1332" spans="1:4" x14ac:dyDescent="0.2">
      <c r="A1332">
        <v>4</v>
      </c>
      <c r="B1332" t="s">
        <v>368</v>
      </c>
      <c r="C1332" t="s">
        <v>27</v>
      </c>
      <c r="D1332">
        <v>0.01</v>
      </c>
    </row>
    <row r="1333" spans="1:4" x14ac:dyDescent="0.2">
      <c r="A1333">
        <v>4</v>
      </c>
      <c r="B1333" t="s">
        <v>368</v>
      </c>
      <c r="C1333" t="s">
        <v>27</v>
      </c>
      <c r="D1333">
        <v>0.09</v>
      </c>
    </row>
    <row r="1334" spans="1:4" x14ac:dyDescent="0.2">
      <c r="A1334">
        <v>4</v>
      </c>
      <c r="B1334" t="s">
        <v>368</v>
      </c>
      <c r="C1334" t="s">
        <v>27</v>
      </c>
      <c r="D1334">
        <v>2</v>
      </c>
    </row>
    <row r="1335" spans="1:4" x14ac:dyDescent="0.2">
      <c r="A1335">
        <v>4</v>
      </c>
      <c r="B1335" t="s">
        <v>368</v>
      </c>
      <c r="C1335" t="s">
        <v>27</v>
      </c>
      <c r="D1335">
        <v>0.01</v>
      </c>
    </row>
    <row r="1336" spans="1:4" x14ac:dyDescent="0.2">
      <c r="A1336">
        <v>4</v>
      </c>
      <c r="B1336" t="s">
        <v>368</v>
      </c>
      <c r="C1336" t="s">
        <v>27</v>
      </c>
      <c r="D1336">
        <v>0.27</v>
      </c>
    </row>
    <row r="1337" spans="1:4" x14ac:dyDescent="0.2">
      <c r="A1337">
        <v>5</v>
      </c>
      <c r="B1337" t="s">
        <v>368</v>
      </c>
      <c r="C1337" t="s">
        <v>27</v>
      </c>
      <c r="D1337">
        <v>1.51</v>
      </c>
    </row>
    <row r="1338" spans="1:4" x14ac:dyDescent="0.2">
      <c r="A1338">
        <v>5</v>
      </c>
      <c r="B1338" t="s">
        <v>368</v>
      </c>
      <c r="C1338" t="s">
        <v>27</v>
      </c>
      <c r="D1338">
        <v>0.2</v>
      </c>
    </row>
    <row r="1339" spans="1:4" x14ac:dyDescent="0.2">
      <c r="A1339">
        <v>5</v>
      </c>
      <c r="B1339" t="s">
        <v>368</v>
      </c>
      <c r="C1339" t="s">
        <v>27</v>
      </c>
      <c r="D1339">
        <v>3</v>
      </c>
    </row>
    <row r="1340" spans="1:4" x14ac:dyDescent="0.2">
      <c r="A1340">
        <v>5</v>
      </c>
      <c r="B1340" t="s">
        <v>368</v>
      </c>
      <c r="C1340" t="s">
        <v>27</v>
      </c>
      <c r="D1340">
        <v>0.02</v>
      </c>
    </row>
    <row r="1341" spans="1:4" x14ac:dyDescent="0.2">
      <c r="A1341">
        <v>5</v>
      </c>
      <c r="B1341" t="s">
        <v>368</v>
      </c>
      <c r="C1341" t="s">
        <v>27</v>
      </c>
      <c r="D1341">
        <v>0.28000000000000003</v>
      </c>
    </row>
    <row r="1342" spans="1:4" x14ac:dyDescent="0.2">
      <c r="A1342">
        <v>6</v>
      </c>
      <c r="B1342" t="s">
        <v>368</v>
      </c>
      <c r="C1342" t="s">
        <v>27</v>
      </c>
      <c r="D1342">
        <v>0.06</v>
      </c>
    </row>
    <row r="1343" spans="1:4" x14ac:dyDescent="0.2">
      <c r="A1343">
        <v>6</v>
      </c>
      <c r="B1343" t="s">
        <v>368</v>
      </c>
      <c r="C1343" t="s">
        <v>27</v>
      </c>
      <c r="D1343">
        <v>0.03</v>
      </c>
    </row>
    <row r="1344" spans="1:4" x14ac:dyDescent="0.2">
      <c r="A1344">
        <v>6</v>
      </c>
      <c r="B1344" t="s">
        <v>368</v>
      </c>
      <c r="C1344" t="s">
        <v>27</v>
      </c>
      <c r="D1344">
        <v>2</v>
      </c>
    </row>
    <row r="1345" spans="1:4" x14ac:dyDescent="0.2">
      <c r="A1345">
        <v>6</v>
      </c>
      <c r="B1345" t="s">
        <v>368</v>
      </c>
      <c r="C1345" t="s">
        <v>27</v>
      </c>
      <c r="D1345">
        <v>0.98</v>
      </c>
    </row>
    <row r="1346" spans="1:4" x14ac:dyDescent="0.2">
      <c r="A1346">
        <v>7</v>
      </c>
      <c r="B1346" t="s">
        <v>368</v>
      </c>
      <c r="C1346" t="s">
        <v>27</v>
      </c>
      <c r="D1346">
        <v>-18.61</v>
      </c>
    </row>
    <row r="1347" spans="1:4" x14ac:dyDescent="0.2">
      <c r="A1347">
        <v>1</v>
      </c>
      <c r="B1347" t="s">
        <v>368</v>
      </c>
      <c r="C1347" t="s">
        <v>27</v>
      </c>
      <c r="D1347">
        <v>30</v>
      </c>
    </row>
    <row r="1348" spans="1:4" x14ac:dyDescent="0.2">
      <c r="A1348">
        <v>1</v>
      </c>
      <c r="B1348" t="s">
        <v>368</v>
      </c>
      <c r="C1348" t="s">
        <v>27</v>
      </c>
      <c r="D1348">
        <v>30</v>
      </c>
    </row>
    <row r="1349" spans="1:4" x14ac:dyDescent="0.2">
      <c r="A1349">
        <v>7</v>
      </c>
      <c r="B1349" t="s">
        <v>368</v>
      </c>
      <c r="C1349" t="s">
        <v>27</v>
      </c>
      <c r="D1349">
        <v>90</v>
      </c>
    </row>
    <row r="1350" spans="1:4" x14ac:dyDescent="0.2">
      <c r="A1350">
        <v>7</v>
      </c>
      <c r="B1350" t="s">
        <v>368</v>
      </c>
      <c r="C1350" t="s">
        <v>27</v>
      </c>
      <c r="D1350">
        <v>30</v>
      </c>
    </row>
    <row r="1351" spans="1:4" x14ac:dyDescent="0.2">
      <c r="A1351">
        <v>8</v>
      </c>
      <c r="B1351" t="s">
        <v>368</v>
      </c>
      <c r="C1351" t="s">
        <v>27</v>
      </c>
      <c r="D1351">
        <v>30</v>
      </c>
    </row>
    <row r="1352" spans="1:4" x14ac:dyDescent="0.2">
      <c r="A1352">
        <v>10</v>
      </c>
      <c r="B1352" t="s">
        <v>368</v>
      </c>
      <c r="C1352" t="s">
        <v>27</v>
      </c>
      <c r="D1352">
        <v>64</v>
      </c>
    </row>
    <row r="1353" spans="1:4" x14ac:dyDescent="0.2">
      <c r="A1353">
        <v>10</v>
      </c>
      <c r="B1353" t="s">
        <v>368</v>
      </c>
      <c r="C1353" t="s">
        <v>27</v>
      </c>
      <c r="D1353">
        <v>45</v>
      </c>
    </row>
    <row r="1354" spans="1:4" x14ac:dyDescent="0.2">
      <c r="A1354">
        <v>12</v>
      </c>
      <c r="B1354" t="s">
        <v>368</v>
      </c>
      <c r="C1354" t="s">
        <v>27</v>
      </c>
      <c r="D1354">
        <v>30</v>
      </c>
    </row>
    <row r="1355" spans="1:4" x14ac:dyDescent="0.2">
      <c r="A1355">
        <v>1</v>
      </c>
      <c r="B1355" t="s">
        <v>367</v>
      </c>
      <c r="C1355" t="s">
        <v>27</v>
      </c>
      <c r="D1355">
        <v>-39.5</v>
      </c>
    </row>
    <row r="1356" spans="1:4" x14ac:dyDescent="0.2">
      <c r="A1356">
        <v>1</v>
      </c>
      <c r="B1356" t="s">
        <v>367</v>
      </c>
      <c r="C1356" t="s">
        <v>27</v>
      </c>
      <c r="D1356">
        <v>-14.47</v>
      </c>
    </row>
    <row r="1357" spans="1:4" x14ac:dyDescent="0.2">
      <c r="A1357">
        <v>1</v>
      </c>
      <c r="B1357" t="s">
        <v>367</v>
      </c>
      <c r="C1357" t="s">
        <v>27</v>
      </c>
      <c r="D1357">
        <v>17.25</v>
      </c>
    </row>
    <row r="1358" spans="1:4" x14ac:dyDescent="0.2">
      <c r="A1358">
        <v>1</v>
      </c>
      <c r="B1358" t="s">
        <v>367</v>
      </c>
      <c r="C1358" t="s">
        <v>27</v>
      </c>
      <c r="D1358">
        <v>47.1</v>
      </c>
    </row>
    <row r="1359" spans="1:4" x14ac:dyDescent="0.2">
      <c r="A1359">
        <v>2</v>
      </c>
      <c r="B1359" t="s">
        <v>367</v>
      </c>
      <c r="C1359" t="s">
        <v>27</v>
      </c>
      <c r="D1359">
        <v>16.96</v>
      </c>
    </row>
    <row r="1360" spans="1:4" x14ac:dyDescent="0.2">
      <c r="A1360">
        <v>2</v>
      </c>
      <c r="B1360" t="s">
        <v>367</v>
      </c>
      <c r="C1360" t="s">
        <v>27</v>
      </c>
      <c r="D1360">
        <v>46.31</v>
      </c>
    </row>
    <row r="1361" spans="1:4" x14ac:dyDescent="0.2">
      <c r="A1361">
        <v>3</v>
      </c>
      <c r="B1361" t="s">
        <v>367</v>
      </c>
      <c r="C1361" t="s">
        <v>27</v>
      </c>
      <c r="D1361">
        <v>16.66</v>
      </c>
    </row>
    <row r="1362" spans="1:4" x14ac:dyDescent="0.2">
      <c r="A1362">
        <v>3</v>
      </c>
      <c r="B1362" t="s">
        <v>367</v>
      </c>
      <c r="C1362" t="s">
        <v>27</v>
      </c>
      <c r="D1362">
        <v>45.51</v>
      </c>
    </row>
    <row r="1363" spans="1:4" x14ac:dyDescent="0.2">
      <c r="A1363">
        <v>4</v>
      </c>
      <c r="B1363" t="s">
        <v>367</v>
      </c>
      <c r="C1363" t="s">
        <v>27</v>
      </c>
      <c r="D1363">
        <v>16.37</v>
      </c>
    </row>
    <row r="1364" spans="1:4" x14ac:dyDescent="0.2">
      <c r="A1364">
        <v>4</v>
      </c>
      <c r="B1364" t="s">
        <v>367</v>
      </c>
      <c r="C1364" t="s">
        <v>27</v>
      </c>
      <c r="D1364">
        <v>44.71</v>
      </c>
    </row>
    <row r="1365" spans="1:4" x14ac:dyDescent="0.2">
      <c r="A1365">
        <v>5</v>
      </c>
      <c r="B1365" t="s">
        <v>367</v>
      </c>
      <c r="C1365" t="s">
        <v>27</v>
      </c>
      <c r="D1365">
        <v>16.079999999999998</v>
      </c>
    </row>
    <row r="1366" spans="1:4" x14ac:dyDescent="0.2">
      <c r="A1366">
        <v>5</v>
      </c>
      <c r="B1366" t="s">
        <v>367</v>
      </c>
      <c r="C1366" t="s">
        <v>27</v>
      </c>
      <c r="D1366">
        <v>43.91</v>
      </c>
    </row>
    <row r="1367" spans="1:4" x14ac:dyDescent="0.2">
      <c r="A1367">
        <v>6</v>
      </c>
      <c r="B1367" t="s">
        <v>367</v>
      </c>
      <c r="C1367" t="s">
        <v>27</v>
      </c>
      <c r="D1367">
        <v>15.78</v>
      </c>
    </row>
    <row r="1368" spans="1:4" x14ac:dyDescent="0.2">
      <c r="A1368">
        <v>6</v>
      </c>
      <c r="B1368" t="s">
        <v>367</v>
      </c>
      <c r="C1368" t="s">
        <v>27</v>
      </c>
      <c r="D1368">
        <v>43.11</v>
      </c>
    </row>
    <row r="1369" spans="1:4" x14ac:dyDescent="0.2">
      <c r="A1369">
        <v>7</v>
      </c>
      <c r="B1369" t="s">
        <v>367</v>
      </c>
      <c r="C1369" t="s">
        <v>27</v>
      </c>
      <c r="D1369">
        <v>15.49</v>
      </c>
    </row>
    <row r="1370" spans="1:4" x14ac:dyDescent="0.2">
      <c r="A1370">
        <v>7</v>
      </c>
      <c r="B1370" t="s">
        <v>367</v>
      </c>
      <c r="C1370" t="s">
        <v>27</v>
      </c>
      <c r="D1370">
        <v>42.31</v>
      </c>
    </row>
    <row r="1371" spans="1:4" x14ac:dyDescent="0.2">
      <c r="A1371">
        <v>8</v>
      </c>
      <c r="B1371" t="s">
        <v>367</v>
      </c>
      <c r="C1371" t="s">
        <v>27</v>
      </c>
      <c r="D1371">
        <v>15.2</v>
      </c>
    </row>
    <row r="1372" spans="1:4" x14ac:dyDescent="0.2">
      <c r="A1372">
        <v>8</v>
      </c>
      <c r="B1372" t="s">
        <v>367</v>
      </c>
      <c r="C1372" t="s">
        <v>27</v>
      </c>
      <c r="D1372">
        <v>41.51</v>
      </c>
    </row>
    <row r="1373" spans="1:4" x14ac:dyDescent="0.2">
      <c r="A1373">
        <v>9</v>
      </c>
      <c r="B1373" t="s">
        <v>367</v>
      </c>
      <c r="C1373" t="s">
        <v>27</v>
      </c>
      <c r="D1373">
        <v>14.9</v>
      </c>
    </row>
    <row r="1374" spans="1:4" x14ac:dyDescent="0.2">
      <c r="A1374">
        <v>9</v>
      </c>
      <c r="B1374" t="s">
        <v>367</v>
      </c>
      <c r="C1374" t="s">
        <v>27</v>
      </c>
      <c r="D1374">
        <v>40.71</v>
      </c>
    </row>
    <row r="1375" spans="1:4" x14ac:dyDescent="0.2">
      <c r="A1375">
        <v>10</v>
      </c>
      <c r="B1375" t="s">
        <v>367</v>
      </c>
      <c r="C1375" t="s">
        <v>27</v>
      </c>
      <c r="D1375">
        <v>14.61</v>
      </c>
    </row>
    <row r="1376" spans="1:4" x14ac:dyDescent="0.2">
      <c r="A1376">
        <v>10</v>
      </c>
      <c r="B1376" t="s">
        <v>367</v>
      </c>
      <c r="C1376" t="s">
        <v>27</v>
      </c>
      <c r="D1376">
        <v>39.9</v>
      </c>
    </row>
    <row r="1377" spans="1:4" x14ac:dyDescent="0.2">
      <c r="A1377">
        <v>11</v>
      </c>
      <c r="B1377" t="s">
        <v>367</v>
      </c>
      <c r="C1377" t="s">
        <v>27</v>
      </c>
      <c r="D1377">
        <v>14.31</v>
      </c>
    </row>
    <row r="1378" spans="1:4" x14ac:dyDescent="0.2">
      <c r="A1378">
        <v>11</v>
      </c>
      <c r="B1378" t="s">
        <v>367</v>
      </c>
      <c r="C1378" t="s">
        <v>27</v>
      </c>
      <c r="D1378">
        <v>39.1</v>
      </c>
    </row>
    <row r="1379" spans="1:4" x14ac:dyDescent="0.2">
      <c r="A1379">
        <v>11</v>
      </c>
      <c r="B1379" t="s">
        <v>367</v>
      </c>
      <c r="C1379" t="s">
        <v>27</v>
      </c>
      <c r="D1379">
        <v>37.03</v>
      </c>
    </row>
    <row r="1380" spans="1:4" x14ac:dyDescent="0.2">
      <c r="A1380">
        <v>11</v>
      </c>
      <c r="B1380" t="s">
        <v>367</v>
      </c>
      <c r="C1380" t="s">
        <v>27</v>
      </c>
      <c r="D1380">
        <v>16.82</v>
      </c>
    </row>
    <row r="1381" spans="1:4" x14ac:dyDescent="0.2">
      <c r="A1381">
        <v>11</v>
      </c>
      <c r="B1381" t="s">
        <v>367</v>
      </c>
      <c r="C1381" t="s">
        <v>27</v>
      </c>
      <c r="D1381">
        <v>27.83</v>
      </c>
    </row>
    <row r="1382" spans="1:4" x14ac:dyDescent="0.2">
      <c r="A1382">
        <v>12</v>
      </c>
      <c r="B1382" t="s">
        <v>367</v>
      </c>
      <c r="C1382" t="s">
        <v>27</v>
      </c>
      <c r="D1382">
        <v>14.01</v>
      </c>
    </row>
    <row r="1383" spans="1:4" x14ac:dyDescent="0.2">
      <c r="A1383">
        <v>12</v>
      </c>
      <c r="B1383" t="s">
        <v>367</v>
      </c>
      <c r="C1383" t="s">
        <v>27</v>
      </c>
      <c r="D1383">
        <v>38.29</v>
      </c>
    </row>
    <row r="1384" spans="1:4" x14ac:dyDescent="0.2">
      <c r="A1384">
        <v>12</v>
      </c>
      <c r="B1384" t="s">
        <v>367</v>
      </c>
      <c r="C1384" t="s">
        <v>27</v>
      </c>
      <c r="D1384">
        <v>55.22</v>
      </c>
    </row>
    <row r="1385" spans="1:4" x14ac:dyDescent="0.2">
      <c r="A1385">
        <v>12</v>
      </c>
      <c r="B1385" t="s">
        <v>367</v>
      </c>
      <c r="C1385" t="s">
        <v>27</v>
      </c>
      <c r="D1385">
        <v>16.489999999999998</v>
      </c>
    </row>
    <row r="1386" spans="1:4" x14ac:dyDescent="0.2">
      <c r="A1386">
        <v>12</v>
      </c>
      <c r="B1386" t="s">
        <v>367</v>
      </c>
      <c r="C1386" t="s">
        <v>27</v>
      </c>
      <c r="D1386">
        <v>27.3</v>
      </c>
    </row>
    <row r="1387" spans="1:4" x14ac:dyDescent="0.2">
      <c r="A1387">
        <v>12</v>
      </c>
      <c r="B1387" t="s">
        <v>367</v>
      </c>
      <c r="C1387" t="s">
        <v>27</v>
      </c>
      <c r="D1387">
        <v>12.95</v>
      </c>
    </row>
    <row r="1388" spans="1:4" x14ac:dyDescent="0.2">
      <c r="A1388">
        <v>12</v>
      </c>
      <c r="B1388" t="s">
        <v>367</v>
      </c>
      <c r="C1388" t="s">
        <v>27</v>
      </c>
      <c r="D1388">
        <v>7.82</v>
      </c>
    </row>
    <row r="1389" spans="1:4" x14ac:dyDescent="0.2">
      <c r="A1389">
        <v>12</v>
      </c>
      <c r="B1389" t="s">
        <v>367</v>
      </c>
      <c r="C1389" t="s">
        <v>27</v>
      </c>
      <c r="D1389">
        <v>45.39</v>
      </c>
    </row>
    <row r="1390" spans="1:4" x14ac:dyDescent="0.2">
      <c r="A1390">
        <v>2</v>
      </c>
      <c r="B1390" t="s">
        <v>367</v>
      </c>
      <c r="C1390" t="s">
        <v>27</v>
      </c>
      <c r="D1390">
        <v>0.13</v>
      </c>
    </row>
    <row r="1391" spans="1:4" x14ac:dyDescent="0.2">
      <c r="A1391">
        <v>4</v>
      </c>
      <c r="B1391" t="s">
        <v>367</v>
      </c>
      <c r="C1391" t="s">
        <v>27</v>
      </c>
      <c r="D1391">
        <v>0.04</v>
      </c>
    </row>
    <row r="1392" spans="1:4" x14ac:dyDescent="0.2">
      <c r="A1392">
        <v>6</v>
      </c>
      <c r="B1392" t="s">
        <v>367</v>
      </c>
      <c r="C1392" t="s">
        <v>27</v>
      </c>
      <c r="D1392">
        <v>0.03</v>
      </c>
    </row>
    <row r="1393" spans="1:4" x14ac:dyDescent="0.2">
      <c r="A1393">
        <v>7</v>
      </c>
      <c r="B1393" t="s">
        <v>367</v>
      </c>
      <c r="C1393" t="s">
        <v>27</v>
      </c>
      <c r="D1393">
        <v>0.03</v>
      </c>
    </row>
    <row r="1394" spans="1:4" x14ac:dyDescent="0.2">
      <c r="A1394">
        <v>7</v>
      </c>
      <c r="B1394" t="s">
        <v>367</v>
      </c>
      <c r="C1394" t="s">
        <v>27</v>
      </c>
      <c r="D1394">
        <v>0.13</v>
      </c>
    </row>
    <row r="1395" spans="1:4" x14ac:dyDescent="0.2">
      <c r="A1395">
        <v>8</v>
      </c>
      <c r="B1395" t="s">
        <v>367</v>
      </c>
      <c r="C1395" t="s">
        <v>27</v>
      </c>
      <c r="D1395">
        <v>0.03</v>
      </c>
    </row>
    <row r="1396" spans="1:4" x14ac:dyDescent="0.2">
      <c r="A1396">
        <v>8</v>
      </c>
      <c r="B1396" t="s">
        <v>367</v>
      </c>
      <c r="C1396" t="s">
        <v>27</v>
      </c>
      <c r="D1396">
        <v>0.06</v>
      </c>
    </row>
    <row r="1397" spans="1:4" x14ac:dyDescent="0.2">
      <c r="A1397">
        <v>9</v>
      </c>
      <c r="B1397" t="s">
        <v>367</v>
      </c>
      <c r="C1397" t="s">
        <v>27</v>
      </c>
      <c r="D1397">
        <v>0.03</v>
      </c>
    </row>
    <row r="1398" spans="1:4" x14ac:dyDescent="0.2">
      <c r="A1398">
        <v>9</v>
      </c>
      <c r="B1398" t="s">
        <v>367</v>
      </c>
      <c r="C1398" t="s">
        <v>27</v>
      </c>
      <c r="D1398">
        <v>0.06</v>
      </c>
    </row>
    <row r="1399" spans="1:4" x14ac:dyDescent="0.2">
      <c r="A1399">
        <v>10</v>
      </c>
      <c r="B1399" t="s">
        <v>367</v>
      </c>
      <c r="C1399" t="s">
        <v>27</v>
      </c>
      <c r="D1399">
        <v>0.02</v>
      </c>
    </row>
    <row r="1400" spans="1:4" x14ac:dyDescent="0.2">
      <c r="A1400">
        <v>10</v>
      </c>
      <c r="B1400" t="s">
        <v>367</v>
      </c>
      <c r="C1400" t="s">
        <v>27</v>
      </c>
      <c r="D1400">
        <v>7.0000000000000007E-2</v>
      </c>
    </row>
    <row r="1401" spans="1:4" x14ac:dyDescent="0.2">
      <c r="A1401">
        <v>11</v>
      </c>
      <c r="B1401" t="s">
        <v>367</v>
      </c>
      <c r="C1401" t="s">
        <v>27</v>
      </c>
      <c r="D1401">
        <v>0.56999999999999995</v>
      </c>
    </row>
    <row r="1402" spans="1:4" x14ac:dyDescent="0.2">
      <c r="A1402">
        <v>12</v>
      </c>
      <c r="B1402" t="s">
        <v>367</v>
      </c>
      <c r="C1402" t="s">
        <v>27</v>
      </c>
      <c r="D1402">
        <v>7.0000000000000007E-2</v>
      </c>
    </row>
    <row r="1403" spans="1:4" x14ac:dyDescent="0.2">
      <c r="A1403">
        <v>2</v>
      </c>
      <c r="B1403" t="s">
        <v>368</v>
      </c>
      <c r="C1403" t="s">
        <v>27</v>
      </c>
      <c r="D1403">
        <v>90</v>
      </c>
    </row>
    <row r="1404" spans="1:4" x14ac:dyDescent="0.2">
      <c r="A1404">
        <v>7</v>
      </c>
      <c r="B1404" t="s">
        <v>368</v>
      </c>
      <c r="C1404" t="s">
        <v>27</v>
      </c>
      <c r="D1404">
        <v>-90</v>
      </c>
    </row>
    <row r="1405" spans="1:4" x14ac:dyDescent="0.2">
      <c r="A1405">
        <v>5</v>
      </c>
      <c r="B1405" t="s">
        <v>368</v>
      </c>
      <c r="C1405" t="s">
        <v>27</v>
      </c>
      <c r="D1405">
        <v>3000</v>
      </c>
    </row>
    <row r="1406" spans="1:4" x14ac:dyDescent="0.2">
      <c r="A1406">
        <v>7</v>
      </c>
      <c r="B1406" t="s">
        <v>368</v>
      </c>
      <c r="C1406" t="s">
        <v>27</v>
      </c>
      <c r="D1406">
        <v>-3000</v>
      </c>
    </row>
    <row r="1407" spans="1:4" x14ac:dyDescent="0.2">
      <c r="A1407">
        <v>6</v>
      </c>
      <c r="B1407" t="s">
        <v>47</v>
      </c>
      <c r="C1407" t="s">
        <v>27</v>
      </c>
      <c r="D1407">
        <v>1570.44</v>
      </c>
    </row>
    <row r="1408" spans="1:4" x14ac:dyDescent="0.2">
      <c r="A1408">
        <v>6</v>
      </c>
      <c r="B1408" t="s">
        <v>47</v>
      </c>
      <c r="C1408" t="s">
        <v>27</v>
      </c>
      <c r="D1408">
        <v>1070.75</v>
      </c>
    </row>
    <row r="1409" spans="1:4" x14ac:dyDescent="0.2">
      <c r="A1409">
        <v>7</v>
      </c>
      <c r="B1409" t="s">
        <v>47</v>
      </c>
      <c r="C1409" t="s">
        <v>27</v>
      </c>
      <c r="D1409">
        <v>-1570.44</v>
      </c>
    </row>
    <row r="1410" spans="1:4" x14ac:dyDescent="0.2">
      <c r="A1410">
        <v>7</v>
      </c>
      <c r="B1410" t="s">
        <v>47</v>
      </c>
      <c r="C1410" t="s">
        <v>27</v>
      </c>
      <c r="D1410">
        <v>-1070.75</v>
      </c>
    </row>
    <row r="1411" spans="1:4" x14ac:dyDescent="0.2">
      <c r="A1411">
        <v>12</v>
      </c>
      <c r="B1411" t="s">
        <v>47</v>
      </c>
      <c r="C1411" t="s">
        <v>27</v>
      </c>
      <c r="D1411">
        <v>3140.87</v>
      </c>
    </row>
    <row r="1412" spans="1:4" x14ac:dyDescent="0.2">
      <c r="A1412">
        <v>12</v>
      </c>
      <c r="B1412" t="s">
        <v>47</v>
      </c>
      <c r="C1412" t="s">
        <v>27</v>
      </c>
      <c r="D1412">
        <v>2141.5</v>
      </c>
    </row>
    <row r="1413" spans="1:4" x14ac:dyDescent="0.2">
      <c r="A1413">
        <v>6</v>
      </c>
      <c r="B1413" t="s">
        <v>47</v>
      </c>
      <c r="C1413" t="s">
        <v>27</v>
      </c>
      <c r="D1413">
        <v>316.39</v>
      </c>
    </row>
    <row r="1414" spans="1:4" x14ac:dyDescent="0.2">
      <c r="A1414">
        <v>6</v>
      </c>
      <c r="B1414" t="s">
        <v>47</v>
      </c>
      <c r="C1414" t="s">
        <v>27</v>
      </c>
      <c r="D1414">
        <v>663.6</v>
      </c>
    </row>
    <row r="1415" spans="1:4" x14ac:dyDescent="0.2">
      <c r="A1415">
        <v>6</v>
      </c>
      <c r="B1415" t="s">
        <v>47</v>
      </c>
      <c r="C1415" t="s">
        <v>27</v>
      </c>
      <c r="D1415">
        <v>20.79</v>
      </c>
    </row>
    <row r="1416" spans="1:4" x14ac:dyDescent="0.2">
      <c r="A1416">
        <v>6</v>
      </c>
      <c r="B1416" t="s">
        <v>47</v>
      </c>
      <c r="C1416" t="s">
        <v>27</v>
      </c>
      <c r="D1416">
        <v>191.17</v>
      </c>
    </row>
    <row r="1417" spans="1:4" x14ac:dyDescent="0.2">
      <c r="A1417">
        <v>6</v>
      </c>
      <c r="B1417" t="s">
        <v>47</v>
      </c>
      <c r="C1417" t="s">
        <v>27</v>
      </c>
      <c r="D1417">
        <v>104.86</v>
      </c>
    </row>
    <row r="1418" spans="1:4" x14ac:dyDescent="0.2">
      <c r="A1418">
        <v>6</v>
      </c>
      <c r="B1418" t="s">
        <v>47</v>
      </c>
      <c r="C1418" t="s">
        <v>27</v>
      </c>
      <c r="D1418">
        <v>118.72</v>
      </c>
    </row>
    <row r="1419" spans="1:4" x14ac:dyDescent="0.2">
      <c r="A1419">
        <v>6</v>
      </c>
      <c r="B1419" t="s">
        <v>47</v>
      </c>
      <c r="C1419" t="s">
        <v>27</v>
      </c>
      <c r="D1419">
        <v>10.83</v>
      </c>
    </row>
    <row r="1420" spans="1:4" x14ac:dyDescent="0.2">
      <c r="A1420">
        <v>6</v>
      </c>
      <c r="B1420" t="s">
        <v>47</v>
      </c>
      <c r="C1420" t="s">
        <v>27</v>
      </c>
      <c r="D1420">
        <v>24.87</v>
      </c>
    </row>
    <row r="1421" spans="1:4" x14ac:dyDescent="0.2">
      <c r="A1421">
        <v>6</v>
      </c>
      <c r="B1421" t="s">
        <v>47</v>
      </c>
      <c r="C1421" t="s">
        <v>27</v>
      </c>
      <c r="D1421">
        <v>27.73</v>
      </c>
    </row>
    <row r="1422" spans="1:4" x14ac:dyDescent="0.2">
      <c r="A1422">
        <v>6</v>
      </c>
      <c r="B1422" t="s">
        <v>47</v>
      </c>
      <c r="C1422" t="s">
        <v>27</v>
      </c>
      <c r="D1422">
        <v>13.65</v>
      </c>
    </row>
    <row r="1423" spans="1:4" x14ac:dyDescent="0.2">
      <c r="A1423">
        <v>6</v>
      </c>
      <c r="B1423" t="s">
        <v>47</v>
      </c>
      <c r="C1423" t="s">
        <v>27</v>
      </c>
      <c r="D1423">
        <v>14.58</v>
      </c>
    </row>
    <row r="1424" spans="1:4" x14ac:dyDescent="0.2">
      <c r="A1424">
        <v>6</v>
      </c>
      <c r="B1424" t="s">
        <v>47</v>
      </c>
      <c r="C1424" t="s">
        <v>27</v>
      </c>
      <c r="D1424">
        <v>30.57</v>
      </c>
    </row>
    <row r="1425" spans="1:4" x14ac:dyDescent="0.2">
      <c r="A1425">
        <v>6</v>
      </c>
      <c r="B1425" t="s">
        <v>47</v>
      </c>
      <c r="C1425" t="s">
        <v>27</v>
      </c>
      <c r="D1425">
        <v>23.99</v>
      </c>
    </row>
    <row r="1426" spans="1:4" x14ac:dyDescent="0.2">
      <c r="A1426">
        <v>6</v>
      </c>
      <c r="B1426" t="s">
        <v>47</v>
      </c>
      <c r="C1426" t="s">
        <v>27</v>
      </c>
      <c r="D1426">
        <v>33.18</v>
      </c>
    </row>
    <row r="1427" spans="1:4" x14ac:dyDescent="0.2">
      <c r="A1427">
        <v>6</v>
      </c>
      <c r="B1427" t="s">
        <v>47</v>
      </c>
      <c r="C1427" t="s">
        <v>27</v>
      </c>
      <c r="D1427">
        <v>33.44</v>
      </c>
    </row>
    <row r="1428" spans="1:4" x14ac:dyDescent="0.2">
      <c r="A1428">
        <v>6</v>
      </c>
      <c r="B1428" t="s">
        <v>47</v>
      </c>
      <c r="C1428" t="s">
        <v>27</v>
      </c>
      <c r="D1428">
        <v>219.97</v>
      </c>
    </row>
    <row r="1429" spans="1:4" x14ac:dyDescent="0.2">
      <c r="A1429">
        <v>6</v>
      </c>
      <c r="B1429" t="s">
        <v>47</v>
      </c>
      <c r="C1429" t="s">
        <v>27</v>
      </c>
      <c r="D1429">
        <v>14.47</v>
      </c>
    </row>
    <row r="1430" spans="1:4" x14ac:dyDescent="0.2">
      <c r="A1430">
        <v>7</v>
      </c>
      <c r="B1430" t="s">
        <v>47</v>
      </c>
      <c r="C1430" t="s">
        <v>27</v>
      </c>
      <c r="D1430">
        <v>-104.86</v>
      </c>
    </row>
    <row r="1431" spans="1:4" x14ac:dyDescent="0.2">
      <c r="A1431">
        <v>7</v>
      </c>
      <c r="B1431" t="s">
        <v>47</v>
      </c>
      <c r="C1431" t="s">
        <v>27</v>
      </c>
      <c r="D1431">
        <v>-23.99</v>
      </c>
    </row>
    <row r="1432" spans="1:4" x14ac:dyDescent="0.2">
      <c r="A1432">
        <v>7</v>
      </c>
      <c r="B1432" t="s">
        <v>47</v>
      </c>
      <c r="C1432" t="s">
        <v>27</v>
      </c>
      <c r="D1432">
        <v>-191.17</v>
      </c>
    </row>
    <row r="1433" spans="1:4" x14ac:dyDescent="0.2">
      <c r="A1433">
        <v>7</v>
      </c>
      <c r="B1433" t="s">
        <v>47</v>
      </c>
      <c r="C1433" t="s">
        <v>27</v>
      </c>
      <c r="D1433">
        <v>-27.73</v>
      </c>
    </row>
    <row r="1434" spans="1:4" x14ac:dyDescent="0.2">
      <c r="A1434">
        <v>7</v>
      </c>
      <c r="B1434" t="s">
        <v>47</v>
      </c>
      <c r="C1434" t="s">
        <v>27</v>
      </c>
      <c r="D1434">
        <v>-14.58</v>
      </c>
    </row>
    <row r="1435" spans="1:4" x14ac:dyDescent="0.2">
      <c r="A1435">
        <v>7</v>
      </c>
      <c r="B1435" t="s">
        <v>47</v>
      </c>
      <c r="C1435" t="s">
        <v>27</v>
      </c>
      <c r="D1435">
        <v>-30.57</v>
      </c>
    </row>
    <row r="1436" spans="1:4" x14ac:dyDescent="0.2">
      <c r="A1436">
        <v>7</v>
      </c>
      <c r="B1436" t="s">
        <v>47</v>
      </c>
      <c r="C1436" t="s">
        <v>27</v>
      </c>
      <c r="D1436">
        <v>-20.79</v>
      </c>
    </row>
    <row r="1437" spans="1:4" x14ac:dyDescent="0.2">
      <c r="A1437">
        <v>7</v>
      </c>
      <c r="B1437" t="s">
        <v>47</v>
      </c>
      <c r="C1437" t="s">
        <v>27</v>
      </c>
      <c r="D1437">
        <v>-118.72</v>
      </c>
    </row>
    <row r="1438" spans="1:4" x14ac:dyDescent="0.2">
      <c r="A1438">
        <v>7</v>
      </c>
      <c r="B1438" t="s">
        <v>47</v>
      </c>
      <c r="C1438" t="s">
        <v>27</v>
      </c>
      <c r="D1438">
        <v>-33.18</v>
      </c>
    </row>
    <row r="1439" spans="1:4" x14ac:dyDescent="0.2">
      <c r="A1439">
        <v>7</v>
      </c>
      <c r="B1439" t="s">
        <v>47</v>
      </c>
      <c r="C1439" t="s">
        <v>27</v>
      </c>
      <c r="D1439">
        <v>-33.44</v>
      </c>
    </row>
    <row r="1440" spans="1:4" x14ac:dyDescent="0.2">
      <c r="A1440">
        <v>7</v>
      </c>
      <c r="B1440" t="s">
        <v>47</v>
      </c>
      <c r="C1440" t="s">
        <v>27</v>
      </c>
      <c r="D1440">
        <v>-316.39</v>
      </c>
    </row>
    <row r="1441" spans="1:4" x14ac:dyDescent="0.2">
      <c r="A1441">
        <v>7</v>
      </c>
      <c r="B1441" t="s">
        <v>47</v>
      </c>
      <c r="C1441" t="s">
        <v>27</v>
      </c>
      <c r="D1441">
        <v>-663.6</v>
      </c>
    </row>
    <row r="1442" spans="1:4" x14ac:dyDescent="0.2">
      <c r="A1442">
        <v>7</v>
      </c>
      <c r="B1442" t="s">
        <v>47</v>
      </c>
      <c r="C1442" t="s">
        <v>27</v>
      </c>
      <c r="D1442">
        <v>-10.83</v>
      </c>
    </row>
    <row r="1443" spans="1:4" x14ac:dyDescent="0.2">
      <c r="A1443">
        <v>7</v>
      </c>
      <c r="B1443" t="s">
        <v>47</v>
      </c>
      <c r="C1443" t="s">
        <v>27</v>
      </c>
      <c r="D1443">
        <v>-24.87</v>
      </c>
    </row>
    <row r="1444" spans="1:4" x14ac:dyDescent="0.2">
      <c r="A1444">
        <v>7</v>
      </c>
      <c r="B1444" t="s">
        <v>47</v>
      </c>
      <c r="C1444" t="s">
        <v>27</v>
      </c>
      <c r="D1444">
        <v>-13.65</v>
      </c>
    </row>
    <row r="1445" spans="1:4" x14ac:dyDescent="0.2">
      <c r="A1445">
        <v>7</v>
      </c>
      <c r="B1445" t="s">
        <v>47</v>
      </c>
      <c r="C1445" t="s">
        <v>27</v>
      </c>
      <c r="D1445">
        <v>-219.97</v>
      </c>
    </row>
    <row r="1446" spans="1:4" x14ac:dyDescent="0.2">
      <c r="A1446">
        <v>7</v>
      </c>
      <c r="B1446" t="s">
        <v>47</v>
      </c>
      <c r="C1446" t="s">
        <v>27</v>
      </c>
      <c r="D1446">
        <v>-14.47</v>
      </c>
    </row>
    <row r="1447" spans="1:4" x14ac:dyDescent="0.2">
      <c r="A1447">
        <v>12</v>
      </c>
      <c r="B1447" t="s">
        <v>47</v>
      </c>
      <c r="C1447" t="s">
        <v>27</v>
      </c>
      <c r="D1447">
        <v>448.22</v>
      </c>
    </row>
    <row r="1448" spans="1:4" x14ac:dyDescent="0.2">
      <c r="A1448">
        <v>12</v>
      </c>
      <c r="B1448" t="s">
        <v>47</v>
      </c>
      <c r="C1448" t="s">
        <v>27</v>
      </c>
      <c r="D1448">
        <v>1327.2</v>
      </c>
    </row>
    <row r="1449" spans="1:4" x14ac:dyDescent="0.2">
      <c r="A1449">
        <v>12</v>
      </c>
      <c r="B1449" t="s">
        <v>47</v>
      </c>
      <c r="C1449" t="s">
        <v>27</v>
      </c>
      <c r="D1449">
        <v>20.8</v>
      </c>
    </row>
    <row r="1450" spans="1:4" x14ac:dyDescent="0.2">
      <c r="A1450">
        <v>12</v>
      </c>
      <c r="B1450" t="s">
        <v>47</v>
      </c>
      <c r="C1450" t="s">
        <v>27</v>
      </c>
      <c r="D1450">
        <v>382.34</v>
      </c>
    </row>
    <row r="1451" spans="1:4" x14ac:dyDescent="0.2">
      <c r="A1451">
        <v>12</v>
      </c>
      <c r="B1451" t="s">
        <v>47</v>
      </c>
      <c r="C1451" t="s">
        <v>27</v>
      </c>
      <c r="D1451">
        <v>209.72</v>
      </c>
    </row>
    <row r="1452" spans="1:4" x14ac:dyDescent="0.2">
      <c r="A1452">
        <v>12</v>
      </c>
      <c r="B1452" t="s">
        <v>47</v>
      </c>
      <c r="C1452" t="s">
        <v>27</v>
      </c>
      <c r="D1452">
        <v>237.44</v>
      </c>
    </row>
    <row r="1453" spans="1:4" x14ac:dyDescent="0.2">
      <c r="A1453">
        <v>12</v>
      </c>
      <c r="B1453" t="s">
        <v>47</v>
      </c>
      <c r="C1453" t="s">
        <v>27</v>
      </c>
      <c r="D1453">
        <v>21.65</v>
      </c>
    </row>
    <row r="1454" spans="1:4" x14ac:dyDescent="0.2">
      <c r="A1454">
        <v>12</v>
      </c>
      <c r="B1454" t="s">
        <v>47</v>
      </c>
      <c r="C1454" t="s">
        <v>27</v>
      </c>
      <c r="D1454">
        <v>49.74</v>
      </c>
    </row>
    <row r="1455" spans="1:4" x14ac:dyDescent="0.2">
      <c r="A1455">
        <v>12</v>
      </c>
      <c r="B1455" t="s">
        <v>47</v>
      </c>
      <c r="C1455" t="s">
        <v>27</v>
      </c>
      <c r="D1455">
        <v>55.45</v>
      </c>
    </row>
    <row r="1456" spans="1:4" x14ac:dyDescent="0.2">
      <c r="A1456">
        <v>12</v>
      </c>
      <c r="B1456" t="s">
        <v>47</v>
      </c>
      <c r="C1456" t="s">
        <v>27</v>
      </c>
      <c r="D1456">
        <v>13.65</v>
      </c>
    </row>
    <row r="1457" spans="1:4" x14ac:dyDescent="0.2">
      <c r="A1457">
        <v>12</v>
      </c>
      <c r="B1457" t="s">
        <v>47</v>
      </c>
      <c r="C1457" t="s">
        <v>27</v>
      </c>
      <c r="D1457">
        <v>29.15</v>
      </c>
    </row>
    <row r="1458" spans="1:4" x14ac:dyDescent="0.2">
      <c r="A1458">
        <v>12</v>
      </c>
      <c r="B1458" t="s">
        <v>47</v>
      </c>
      <c r="C1458" t="s">
        <v>27</v>
      </c>
      <c r="D1458">
        <v>61.13</v>
      </c>
    </row>
    <row r="1459" spans="1:4" x14ac:dyDescent="0.2">
      <c r="A1459">
        <v>12</v>
      </c>
      <c r="B1459" t="s">
        <v>47</v>
      </c>
      <c r="C1459" t="s">
        <v>27</v>
      </c>
      <c r="D1459">
        <v>47.98</v>
      </c>
    </row>
    <row r="1460" spans="1:4" x14ac:dyDescent="0.2">
      <c r="A1460">
        <v>12</v>
      </c>
      <c r="B1460" t="s">
        <v>47</v>
      </c>
      <c r="C1460" t="s">
        <v>27</v>
      </c>
      <c r="D1460">
        <v>66.37</v>
      </c>
    </row>
    <row r="1461" spans="1:4" x14ac:dyDescent="0.2">
      <c r="A1461">
        <v>12</v>
      </c>
      <c r="B1461" t="s">
        <v>47</v>
      </c>
      <c r="C1461" t="s">
        <v>27</v>
      </c>
      <c r="D1461">
        <v>66.87</v>
      </c>
    </row>
    <row r="1462" spans="1:4" x14ac:dyDescent="0.2">
      <c r="A1462">
        <v>12</v>
      </c>
      <c r="B1462" t="s">
        <v>47</v>
      </c>
      <c r="C1462" t="s">
        <v>27</v>
      </c>
      <c r="D1462">
        <v>462.89</v>
      </c>
    </row>
    <row r="1463" spans="1:4" x14ac:dyDescent="0.2">
      <c r="A1463">
        <v>12</v>
      </c>
      <c r="B1463" t="s">
        <v>47</v>
      </c>
      <c r="C1463" t="s">
        <v>27</v>
      </c>
      <c r="D1463">
        <v>64.56</v>
      </c>
    </row>
    <row r="1464" spans="1:4" x14ac:dyDescent="0.2">
      <c r="A1464">
        <v>12</v>
      </c>
      <c r="B1464" t="s">
        <v>47</v>
      </c>
      <c r="C1464" t="s">
        <v>27</v>
      </c>
      <c r="D1464">
        <v>133.57</v>
      </c>
    </row>
    <row r="1465" spans="1:4" x14ac:dyDescent="0.2">
      <c r="A1465">
        <v>6</v>
      </c>
      <c r="B1465" t="s">
        <v>47</v>
      </c>
      <c r="C1465" t="s">
        <v>27</v>
      </c>
      <c r="D1465">
        <v>559.79999999999995</v>
      </c>
    </row>
    <row r="1466" spans="1:4" x14ac:dyDescent="0.2">
      <c r="A1466">
        <v>6</v>
      </c>
      <c r="B1466" t="s">
        <v>47</v>
      </c>
      <c r="C1466" t="s">
        <v>27</v>
      </c>
      <c r="D1466">
        <v>188.58</v>
      </c>
    </row>
    <row r="1467" spans="1:4" x14ac:dyDescent="0.2">
      <c r="A1467">
        <v>7</v>
      </c>
      <c r="B1467" t="s">
        <v>47</v>
      </c>
      <c r="C1467" t="s">
        <v>27</v>
      </c>
      <c r="D1467">
        <v>-559.79999999999995</v>
      </c>
    </row>
    <row r="1468" spans="1:4" x14ac:dyDescent="0.2">
      <c r="A1468">
        <v>7</v>
      </c>
      <c r="B1468" t="s">
        <v>47</v>
      </c>
      <c r="C1468" t="s">
        <v>27</v>
      </c>
      <c r="D1468">
        <v>-188.58</v>
      </c>
    </row>
    <row r="1469" spans="1:4" x14ac:dyDescent="0.2">
      <c r="A1469">
        <v>12</v>
      </c>
      <c r="B1469" t="s">
        <v>47</v>
      </c>
      <c r="C1469" t="s">
        <v>27</v>
      </c>
      <c r="D1469">
        <v>279.63</v>
      </c>
    </row>
    <row r="1470" spans="1:4" x14ac:dyDescent="0.2">
      <c r="A1470">
        <v>12</v>
      </c>
      <c r="B1470" t="s">
        <v>47</v>
      </c>
      <c r="C1470" t="s">
        <v>27</v>
      </c>
      <c r="D1470">
        <v>94.29</v>
      </c>
    </row>
    <row r="1471" spans="1:4" x14ac:dyDescent="0.2">
      <c r="A1471">
        <v>12</v>
      </c>
      <c r="B1471" t="s">
        <v>366</v>
      </c>
      <c r="C1471" t="s">
        <v>27</v>
      </c>
      <c r="D1471">
        <v>9509</v>
      </c>
    </row>
    <row r="1472" spans="1:4" x14ac:dyDescent="0.2">
      <c r="A1472">
        <v>6</v>
      </c>
      <c r="B1472" t="s">
        <v>368</v>
      </c>
      <c r="C1472" t="s">
        <v>27</v>
      </c>
      <c r="D1472">
        <v>-1200</v>
      </c>
    </row>
    <row r="1473" spans="1:4" x14ac:dyDescent="0.2">
      <c r="A1473">
        <v>7</v>
      </c>
      <c r="B1473" t="s">
        <v>368</v>
      </c>
      <c r="C1473" t="s">
        <v>27</v>
      </c>
      <c r="D1473">
        <v>1200</v>
      </c>
    </row>
    <row r="1474" spans="1:4" x14ac:dyDescent="0.2">
      <c r="A1474">
        <v>12</v>
      </c>
      <c r="B1474" t="s">
        <v>368</v>
      </c>
      <c r="C1474" t="s">
        <v>27</v>
      </c>
      <c r="D1474">
        <v>-1800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6"/>
  <sheetViews>
    <sheetView zoomScaleNormal="100" workbookViewId="0"/>
  </sheetViews>
  <sheetFormatPr baseColWidth="10" defaultColWidth="8.6640625" defaultRowHeight="15" x14ac:dyDescent="0.2"/>
  <sheetData>
    <row r="1" spans="1:4" x14ac:dyDescent="0.2">
      <c r="A1" t="s">
        <v>8917</v>
      </c>
      <c r="B1" t="s">
        <v>8890</v>
      </c>
      <c r="C1" t="s">
        <v>427</v>
      </c>
      <c r="D1" t="s">
        <v>276</v>
      </c>
    </row>
    <row r="2" spans="1:4" x14ac:dyDescent="0.2">
      <c r="A2">
        <v>1</v>
      </c>
      <c r="B2" t="s">
        <v>364</v>
      </c>
      <c r="C2" t="s">
        <v>27</v>
      </c>
      <c r="D2">
        <v>49.19</v>
      </c>
    </row>
    <row r="3" spans="1:4" x14ac:dyDescent="0.2">
      <c r="A3">
        <v>2</v>
      </c>
      <c r="B3" t="s">
        <v>364</v>
      </c>
      <c r="C3" t="s">
        <v>27</v>
      </c>
      <c r="D3">
        <v>58.89</v>
      </c>
    </row>
    <row r="4" spans="1:4" x14ac:dyDescent="0.2">
      <c r="A4">
        <v>3</v>
      </c>
      <c r="B4" t="s">
        <v>364</v>
      </c>
      <c r="C4" t="s">
        <v>27</v>
      </c>
      <c r="D4">
        <v>52.13</v>
      </c>
    </row>
    <row r="5" spans="1:4" x14ac:dyDescent="0.2">
      <c r="A5">
        <v>1</v>
      </c>
      <c r="B5" t="s">
        <v>364</v>
      </c>
      <c r="C5" t="s">
        <v>27</v>
      </c>
      <c r="D5">
        <v>32.590000000000003</v>
      </c>
    </row>
    <row r="6" spans="1:4" x14ac:dyDescent="0.2">
      <c r="A6">
        <v>2</v>
      </c>
      <c r="B6" t="s">
        <v>364</v>
      </c>
      <c r="C6" t="s">
        <v>27</v>
      </c>
      <c r="D6">
        <v>3.3</v>
      </c>
    </row>
    <row r="7" spans="1:4" x14ac:dyDescent="0.2">
      <c r="A7">
        <v>1</v>
      </c>
      <c r="B7" t="s">
        <v>40</v>
      </c>
      <c r="C7" t="s">
        <v>27</v>
      </c>
      <c r="D7">
        <v>89.87</v>
      </c>
    </row>
    <row r="8" spans="1:4" x14ac:dyDescent="0.2">
      <c r="A8">
        <v>1</v>
      </c>
      <c r="B8" t="s">
        <v>40</v>
      </c>
      <c r="C8" t="s">
        <v>27</v>
      </c>
      <c r="D8">
        <v>91.61</v>
      </c>
    </row>
    <row r="9" spans="1:4" x14ac:dyDescent="0.2">
      <c r="A9">
        <v>1</v>
      </c>
      <c r="B9" t="s">
        <v>40</v>
      </c>
      <c r="C9" t="s">
        <v>27</v>
      </c>
      <c r="D9">
        <v>84.52</v>
      </c>
    </row>
    <row r="10" spans="1:4" x14ac:dyDescent="0.2">
      <c r="A10">
        <v>2</v>
      </c>
      <c r="B10" t="s">
        <v>40</v>
      </c>
      <c r="C10" t="s">
        <v>27</v>
      </c>
      <c r="D10">
        <v>84</v>
      </c>
    </row>
    <row r="11" spans="1:4" x14ac:dyDescent="0.2">
      <c r="A11">
        <v>2</v>
      </c>
      <c r="B11" t="s">
        <v>40</v>
      </c>
      <c r="C11" t="s">
        <v>27</v>
      </c>
      <c r="D11">
        <v>95.51</v>
      </c>
    </row>
    <row r="12" spans="1:4" x14ac:dyDescent="0.2">
      <c r="A12">
        <v>3</v>
      </c>
      <c r="B12" t="s">
        <v>40</v>
      </c>
      <c r="C12" t="s">
        <v>27</v>
      </c>
      <c r="D12">
        <v>125.54</v>
      </c>
    </row>
    <row r="13" spans="1:4" x14ac:dyDescent="0.2">
      <c r="A13">
        <v>1</v>
      </c>
      <c r="B13" t="s">
        <v>40</v>
      </c>
      <c r="C13" t="s">
        <v>27</v>
      </c>
      <c r="D13">
        <v>123.45</v>
      </c>
    </row>
    <row r="14" spans="1:4" x14ac:dyDescent="0.2">
      <c r="A14">
        <v>2</v>
      </c>
      <c r="B14" t="s">
        <v>40</v>
      </c>
      <c r="C14" t="s">
        <v>27</v>
      </c>
      <c r="D14">
        <v>131.34</v>
      </c>
    </row>
    <row r="15" spans="1:4" x14ac:dyDescent="0.2">
      <c r="A15">
        <v>2</v>
      </c>
      <c r="B15" t="s">
        <v>40</v>
      </c>
      <c r="C15" t="s">
        <v>27</v>
      </c>
      <c r="D15">
        <v>67.349999999999994</v>
      </c>
    </row>
    <row r="16" spans="1:4" x14ac:dyDescent="0.2">
      <c r="A16">
        <v>3</v>
      </c>
      <c r="B16" t="s">
        <v>40</v>
      </c>
      <c r="C16" t="s">
        <v>27</v>
      </c>
      <c r="D16">
        <v>136.27000000000001</v>
      </c>
    </row>
    <row r="17" spans="1:4" x14ac:dyDescent="0.2">
      <c r="A17">
        <v>1</v>
      </c>
      <c r="B17" t="s">
        <v>364</v>
      </c>
      <c r="C17" t="s">
        <v>27</v>
      </c>
      <c r="D17">
        <v>447.12</v>
      </c>
    </row>
    <row r="18" spans="1:4" x14ac:dyDescent="0.2">
      <c r="A18">
        <v>3</v>
      </c>
      <c r="B18" t="s">
        <v>364</v>
      </c>
      <c r="C18" t="s">
        <v>27</v>
      </c>
      <c r="D18">
        <v>285</v>
      </c>
    </row>
    <row r="19" spans="1:4" x14ac:dyDescent="0.2">
      <c r="A19">
        <v>3</v>
      </c>
      <c r="B19" t="s">
        <v>364</v>
      </c>
      <c r="C19" t="s">
        <v>27</v>
      </c>
      <c r="D19">
        <v>391.58</v>
      </c>
    </row>
    <row r="20" spans="1:4" x14ac:dyDescent="0.2">
      <c r="A20">
        <v>1</v>
      </c>
      <c r="B20" t="s">
        <v>364</v>
      </c>
      <c r="C20" t="s">
        <v>27</v>
      </c>
      <c r="D20">
        <v>103.95</v>
      </c>
    </row>
    <row r="21" spans="1:4" x14ac:dyDescent="0.2">
      <c r="A21">
        <v>1</v>
      </c>
      <c r="B21" t="s">
        <v>364</v>
      </c>
      <c r="C21" t="s">
        <v>27</v>
      </c>
      <c r="D21">
        <v>-2.4</v>
      </c>
    </row>
    <row r="22" spans="1:4" x14ac:dyDescent="0.2">
      <c r="A22">
        <v>1</v>
      </c>
      <c r="B22" t="s">
        <v>35</v>
      </c>
      <c r="C22" t="s">
        <v>27</v>
      </c>
      <c r="D22">
        <v>393.82</v>
      </c>
    </row>
    <row r="23" spans="1:4" x14ac:dyDescent="0.2">
      <c r="A23">
        <v>2</v>
      </c>
      <c r="B23" t="s">
        <v>35</v>
      </c>
      <c r="C23" t="s">
        <v>27</v>
      </c>
      <c r="D23">
        <v>393.82</v>
      </c>
    </row>
    <row r="24" spans="1:4" x14ac:dyDescent="0.2">
      <c r="A24">
        <v>3</v>
      </c>
      <c r="B24" t="s">
        <v>35</v>
      </c>
      <c r="C24" t="s">
        <v>27</v>
      </c>
      <c r="D24">
        <v>393.82</v>
      </c>
    </row>
    <row r="25" spans="1:4" x14ac:dyDescent="0.2">
      <c r="A25">
        <v>1</v>
      </c>
      <c r="B25" t="s">
        <v>35</v>
      </c>
      <c r="C25" t="s">
        <v>27</v>
      </c>
      <c r="D25">
        <v>356.86</v>
      </c>
    </row>
    <row r="26" spans="1:4" x14ac:dyDescent="0.2">
      <c r="A26">
        <v>3</v>
      </c>
      <c r="B26" t="s">
        <v>35</v>
      </c>
      <c r="C26" t="s">
        <v>27</v>
      </c>
      <c r="D26">
        <v>356.86</v>
      </c>
    </row>
    <row r="27" spans="1:4" x14ac:dyDescent="0.2">
      <c r="A27">
        <v>1</v>
      </c>
      <c r="B27" t="s">
        <v>35</v>
      </c>
      <c r="C27" t="s">
        <v>27</v>
      </c>
      <c r="D27">
        <v>1029.1400000000001</v>
      </c>
    </row>
    <row r="28" spans="1:4" x14ac:dyDescent="0.2">
      <c r="A28">
        <v>2</v>
      </c>
      <c r="B28" t="s">
        <v>35</v>
      </c>
      <c r="C28" t="s">
        <v>27</v>
      </c>
      <c r="D28">
        <v>1029.1400000000001</v>
      </c>
    </row>
    <row r="29" spans="1:4" x14ac:dyDescent="0.2">
      <c r="A29">
        <v>1</v>
      </c>
      <c r="B29" t="s">
        <v>34</v>
      </c>
      <c r="C29" t="s">
        <v>27</v>
      </c>
      <c r="D29">
        <v>1080</v>
      </c>
    </row>
    <row r="30" spans="1:4" x14ac:dyDescent="0.2">
      <c r="A30">
        <v>2</v>
      </c>
      <c r="B30" t="s">
        <v>34</v>
      </c>
      <c r="C30" t="s">
        <v>27</v>
      </c>
      <c r="D30">
        <v>1080</v>
      </c>
    </row>
    <row r="31" spans="1:4" x14ac:dyDescent="0.2">
      <c r="A31">
        <v>3</v>
      </c>
      <c r="B31" t="s">
        <v>34</v>
      </c>
      <c r="C31" t="s">
        <v>27</v>
      </c>
      <c r="D31">
        <v>1080</v>
      </c>
    </row>
    <row r="32" spans="1:4" x14ac:dyDescent="0.2">
      <c r="A32">
        <v>1</v>
      </c>
      <c r="B32" t="s">
        <v>34</v>
      </c>
      <c r="C32" t="s">
        <v>27</v>
      </c>
      <c r="D32">
        <v>192</v>
      </c>
    </row>
    <row r="33" spans="1:4" x14ac:dyDescent="0.2">
      <c r="A33">
        <v>2</v>
      </c>
      <c r="B33" t="s">
        <v>34</v>
      </c>
      <c r="C33" t="s">
        <v>27</v>
      </c>
      <c r="D33">
        <v>192</v>
      </c>
    </row>
    <row r="34" spans="1:4" x14ac:dyDescent="0.2">
      <c r="A34">
        <v>3</v>
      </c>
      <c r="B34" t="s">
        <v>34</v>
      </c>
      <c r="C34" t="s">
        <v>27</v>
      </c>
      <c r="D34">
        <v>192</v>
      </c>
    </row>
    <row r="35" spans="1:4" x14ac:dyDescent="0.2">
      <c r="A35">
        <v>1</v>
      </c>
      <c r="B35" t="s">
        <v>34</v>
      </c>
      <c r="C35" t="s">
        <v>27</v>
      </c>
      <c r="D35">
        <v>130</v>
      </c>
    </row>
    <row r="36" spans="1:4" x14ac:dyDescent="0.2">
      <c r="A36">
        <v>2</v>
      </c>
      <c r="B36" t="s">
        <v>34</v>
      </c>
      <c r="C36" t="s">
        <v>27</v>
      </c>
      <c r="D36">
        <v>130</v>
      </c>
    </row>
    <row r="37" spans="1:4" x14ac:dyDescent="0.2">
      <c r="A37">
        <v>3</v>
      </c>
      <c r="B37" t="s">
        <v>34</v>
      </c>
      <c r="C37" t="s">
        <v>27</v>
      </c>
      <c r="D37">
        <v>130</v>
      </c>
    </row>
    <row r="38" spans="1:4" x14ac:dyDescent="0.2">
      <c r="A38">
        <v>3</v>
      </c>
      <c r="B38" t="s">
        <v>35</v>
      </c>
      <c r="C38" t="s">
        <v>27</v>
      </c>
      <c r="D38">
        <v>108</v>
      </c>
    </row>
    <row r="39" spans="1:4" x14ac:dyDescent="0.2">
      <c r="A39">
        <v>1</v>
      </c>
      <c r="B39" t="s">
        <v>35</v>
      </c>
      <c r="C39" t="s">
        <v>27</v>
      </c>
      <c r="D39">
        <v>58.81</v>
      </c>
    </row>
    <row r="40" spans="1:4" x14ac:dyDescent="0.2">
      <c r="A40">
        <v>2</v>
      </c>
      <c r="B40" t="s">
        <v>35</v>
      </c>
      <c r="C40" t="s">
        <v>27</v>
      </c>
      <c r="D40">
        <v>58.81</v>
      </c>
    </row>
    <row r="41" spans="1:4" x14ac:dyDescent="0.2">
      <c r="A41">
        <v>3</v>
      </c>
      <c r="B41" t="s">
        <v>35</v>
      </c>
      <c r="C41" t="s">
        <v>27</v>
      </c>
      <c r="D41">
        <v>58.81</v>
      </c>
    </row>
    <row r="42" spans="1:4" x14ac:dyDescent="0.2">
      <c r="A42">
        <v>1</v>
      </c>
      <c r="B42" t="s">
        <v>34</v>
      </c>
      <c r="C42" t="s">
        <v>27</v>
      </c>
      <c r="D42">
        <v>160</v>
      </c>
    </row>
    <row r="43" spans="1:4" x14ac:dyDescent="0.2">
      <c r="A43">
        <v>1</v>
      </c>
      <c r="B43" t="s">
        <v>34</v>
      </c>
      <c r="C43" t="s">
        <v>27</v>
      </c>
      <c r="D43">
        <v>70</v>
      </c>
    </row>
    <row r="44" spans="1:4" x14ac:dyDescent="0.2">
      <c r="A44">
        <v>2</v>
      </c>
      <c r="B44" t="s">
        <v>34</v>
      </c>
      <c r="C44" t="s">
        <v>27</v>
      </c>
      <c r="D44">
        <v>160</v>
      </c>
    </row>
    <row r="45" spans="1:4" x14ac:dyDescent="0.2">
      <c r="A45">
        <v>2</v>
      </c>
      <c r="B45" t="s">
        <v>34</v>
      </c>
      <c r="C45" t="s">
        <v>27</v>
      </c>
      <c r="D45">
        <v>70</v>
      </c>
    </row>
    <row r="46" spans="1:4" x14ac:dyDescent="0.2">
      <c r="A46">
        <v>3</v>
      </c>
      <c r="B46" t="s">
        <v>34</v>
      </c>
      <c r="C46" t="s">
        <v>27</v>
      </c>
      <c r="D46">
        <v>160</v>
      </c>
    </row>
    <row r="47" spans="1:4" x14ac:dyDescent="0.2">
      <c r="A47">
        <v>3</v>
      </c>
      <c r="B47" t="s">
        <v>34</v>
      </c>
      <c r="C47" t="s">
        <v>27</v>
      </c>
      <c r="D47">
        <v>70</v>
      </c>
    </row>
    <row r="48" spans="1:4" x14ac:dyDescent="0.2">
      <c r="A48">
        <v>2</v>
      </c>
      <c r="B48" t="s">
        <v>365</v>
      </c>
      <c r="C48" t="s">
        <v>27</v>
      </c>
      <c r="D48">
        <v>112.61</v>
      </c>
    </row>
    <row r="49" spans="1:4" x14ac:dyDescent="0.2">
      <c r="A49">
        <v>1</v>
      </c>
      <c r="B49" t="s">
        <v>365</v>
      </c>
      <c r="C49" t="s">
        <v>27</v>
      </c>
      <c r="D49">
        <v>60</v>
      </c>
    </row>
    <row r="50" spans="1:4" x14ac:dyDescent="0.2">
      <c r="A50">
        <v>2</v>
      </c>
      <c r="B50" t="s">
        <v>365</v>
      </c>
      <c r="C50" t="s">
        <v>27</v>
      </c>
      <c r="D50">
        <v>60</v>
      </c>
    </row>
    <row r="51" spans="1:4" x14ac:dyDescent="0.2">
      <c r="A51">
        <v>3</v>
      </c>
      <c r="B51" t="s">
        <v>365</v>
      </c>
      <c r="C51" t="s">
        <v>27</v>
      </c>
      <c r="D51">
        <v>60</v>
      </c>
    </row>
    <row r="52" spans="1:4" x14ac:dyDescent="0.2">
      <c r="A52">
        <v>1</v>
      </c>
      <c r="B52" t="s">
        <v>365</v>
      </c>
      <c r="C52" t="s">
        <v>27</v>
      </c>
      <c r="D52">
        <v>34.18</v>
      </c>
    </row>
    <row r="53" spans="1:4" x14ac:dyDescent="0.2">
      <c r="A53">
        <v>2</v>
      </c>
      <c r="B53" t="s">
        <v>365</v>
      </c>
      <c r="C53" t="s">
        <v>27</v>
      </c>
      <c r="D53">
        <v>34.18</v>
      </c>
    </row>
    <row r="54" spans="1:4" x14ac:dyDescent="0.2">
      <c r="A54">
        <v>2</v>
      </c>
      <c r="B54" t="s">
        <v>365</v>
      </c>
      <c r="C54" t="s">
        <v>27</v>
      </c>
      <c r="D54">
        <v>15</v>
      </c>
    </row>
    <row r="55" spans="1:4" x14ac:dyDescent="0.2">
      <c r="A55">
        <v>1</v>
      </c>
      <c r="B55" t="s">
        <v>365</v>
      </c>
      <c r="C55" t="s">
        <v>27</v>
      </c>
      <c r="D55">
        <v>20.48</v>
      </c>
    </row>
    <row r="56" spans="1:4" x14ac:dyDescent="0.2">
      <c r="A56">
        <v>1</v>
      </c>
      <c r="B56" t="s">
        <v>365</v>
      </c>
      <c r="C56" t="s">
        <v>27</v>
      </c>
      <c r="D56">
        <v>0.99</v>
      </c>
    </row>
    <row r="57" spans="1:4" x14ac:dyDescent="0.2">
      <c r="A57">
        <v>1</v>
      </c>
      <c r="B57" t="s">
        <v>365</v>
      </c>
      <c r="C57" t="s">
        <v>27</v>
      </c>
      <c r="D57">
        <v>11.99</v>
      </c>
    </row>
    <row r="58" spans="1:4" x14ac:dyDescent="0.2">
      <c r="A58">
        <v>2</v>
      </c>
      <c r="B58" t="s">
        <v>365</v>
      </c>
      <c r="C58" t="s">
        <v>27</v>
      </c>
      <c r="D58">
        <v>0.99</v>
      </c>
    </row>
    <row r="59" spans="1:4" x14ac:dyDescent="0.2">
      <c r="A59">
        <v>2</v>
      </c>
      <c r="B59" t="s">
        <v>365</v>
      </c>
      <c r="C59" t="s">
        <v>27</v>
      </c>
      <c r="D59">
        <v>33.770000000000003</v>
      </c>
    </row>
    <row r="60" spans="1:4" x14ac:dyDescent="0.2">
      <c r="A60">
        <v>2</v>
      </c>
      <c r="B60" t="s">
        <v>365</v>
      </c>
      <c r="C60" t="s">
        <v>27</v>
      </c>
      <c r="D60">
        <v>2.52</v>
      </c>
    </row>
    <row r="61" spans="1:4" x14ac:dyDescent="0.2">
      <c r="A61">
        <v>3</v>
      </c>
      <c r="B61" t="s">
        <v>365</v>
      </c>
      <c r="C61" t="s">
        <v>27</v>
      </c>
      <c r="D61">
        <v>20.48</v>
      </c>
    </row>
    <row r="62" spans="1:4" x14ac:dyDescent="0.2">
      <c r="A62">
        <v>3</v>
      </c>
      <c r="B62" t="s">
        <v>365</v>
      </c>
      <c r="C62" t="s">
        <v>27</v>
      </c>
      <c r="D62">
        <v>6.87</v>
      </c>
    </row>
    <row r="63" spans="1:4" x14ac:dyDescent="0.2">
      <c r="A63">
        <v>3</v>
      </c>
      <c r="B63" t="s">
        <v>365</v>
      </c>
      <c r="C63" t="s">
        <v>27</v>
      </c>
      <c r="D63">
        <v>6.88</v>
      </c>
    </row>
    <row r="64" spans="1:4" x14ac:dyDescent="0.2">
      <c r="A64">
        <v>3</v>
      </c>
      <c r="B64" t="s">
        <v>365</v>
      </c>
      <c r="C64" t="s">
        <v>27</v>
      </c>
      <c r="D64">
        <v>34.67</v>
      </c>
    </row>
    <row r="65" spans="1:4" x14ac:dyDescent="0.2">
      <c r="A65">
        <v>3</v>
      </c>
      <c r="B65" t="s">
        <v>365</v>
      </c>
      <c r="C65" t="s">
        <v>27</v>
      </c>
      <c r="D65">
        <v>3.03</v>
      </c>
    </row>
    <row r="66" spans="1:4" x14ac:dyDescent="0.2">
      <c r="A66">
        <v>3</v>
      </c>
      <c r="B66" t="s">
        <v>365</v>
      </c>
      <c r="C66" t="s">
        <v>27</v>
      </c>
      <c r="D66">
        <v>-6.95</v>
      </c>
    </row>
    <row r="67" spans="1:4" x14ac:dyDescent="0.2">
      <c r="A67">
        <v>3</v>
      </c>
      <c r="B67" t="s">
        <v>30</v>
      </c>
      <c r="C67" t="s">
        <v>27</v>
      </c>
      <c r="D67">
        <v>9.57</v>
      </c>
    </row>
    <row r="68" spans="1:4" x14ac:dyDescent="0.2">
      <c r="A68">
        <v>1</v>
      </c>
      <c r="B68" t="s">
        <v>30</v>
      </c>
      <c r="C68" t="s">
        <v>27</v>
      </c>
      <c r="D68">
        <v>2.42</v>
      </c>
    </row>
    <row r="69" spans="1:4" x14ac:dyDescent="0.2">
      <c r="A69">
        <v>1</v>
      </c>
      <c r="B69" t="s">
        <v>30</v>
      </c>
      <c r="C69" t="s">
        <v>27</v>
      </c>
      <c r="D69">
        <v>14.13</v>
      </c>
    </row>
    <row r="70" spans="1:4" x14ac:dyDescent="0.2">
      <c r="A70">
        <v>1</v>
      </c>
      <c r="B70" t="s">
        <v>30</v>
      </c>
      <c r="C70" t="s">
        <v>27</v>
      </c>
      <c r="D70">
        <v>5.58</v>
      </c>
    </row>
    <row r="71" spans="1:4" x14ac:dyDescent="0.2">
      <c r="A71">
        <v>1</v>
      </c>
      <c r="B71" t="s">
        <v>30</v>
      </c>
      <c r="C71" t="s">
        <v>27</v>
      </c>
      <c r="D71">
        <v>5.25</v>
      </c>
    </row>
    <row r="72" spans="1:4" x14ac:dyDescent="0.2">
      <c r="A72">
        <v>2</v>
      </c>
      <c r="B72" t="s">
        <v>30</v>
      </c>
      <c r="C72" t="s">
        <v>27</v>
      </c>
      <c r="D72">
        <v>14.13</v>
      </c>
    </row>
    <row r="73" spans="1:4" x14ac:dyDescent="0.2">
      <c r="A73">
        <v>2</v>
      </c>
      <c r="B73" t="s">
        <v>30</v>
      </c>
      <c r="C73" t="s">
        <v>27</v>
      </c>
      <c r="D73">
        <v>2.42</v>
      </c>
    </row>
    <row r="74" spans="1:4" x14ac:dyDescent="0.2">
      <c r="A74">
        <v>2</v>
      </c>
      <c r="B74" t="s">
        <v>30</v>
      </c>
      <c r="C74" t="s">
        <v>27</v>
      </c>
      <c r="D74">
        <v>5.58</v>
      </c>
    </row>
    <row r="75" spans="1:4" x14ac:dyDescent="0.2">
      <c r="A75">
        <v>2</v>
      </c>
      <c r="B75" t="s">
        <v>30</v>
      </c>
      <c r="C75" t="s">
        <v>27</v>
      </c>
      <c r="D75">
        <v>5.25</v>
      </c>
    </row>
    <row r="76" spans="1:4" x14ac:dyDescent="0.2">
      <c r="A76">
        <v>3</v>
      </c>
      <c r="B76" t="s">
        <v>30</v>
      </c>
      <c r="C76" t="s">
        <v>27</v>
      </c>
      <c r="D76">
        <v>14.13</v>
      </c>
    </row>
    <row r="77" spans="1:4" x14ac:dyDescent="0.2">
      <c r="A77">
        <v>3</v>
      </c>
      <c r="B77" t="s">
        <v>30</v>
      </c>
      <c r="C77" t="s">
        <v>27</v>
      </c>
      <c r="D77">
        <v>2.42</v>
      </c>
    </row>
    <row r="78" spans="1:4" x14ac:dyDescent="0.2">
      <c r="A78">
        <v>3</v>
      </c>
      <c r="B78" t="s">
        <v>30</v>
      </c>
      <c r="C78" t="s">
        <v>27</v>
      </c>
      <c r="D78">
        <v>5.58</v>
      </c>
    </row>
    <row r="79" spans="1:4" x14ac:dyDescent="0.2">
      <c r="A79">
        <v>3</v>
      </c>
      <c r="B79" t="s">
        <v>30</v>
      </c>
      <c r="C79" t="s">
        <v>27</v>
      </c>
      <c r="D79">
        <v>5.25</v>
      </c>
    </row>
    <row r="80" spans="1:4" x14ac:dyDescent="0.2">
      <c r="A80">
        <v>2</v>
      </c>
      <c r="B80" t="s">
        <v>30</v>
      </c>
      <c r="C80" t="s">
        <v>27</v>
      </c>
      <c r="D80">
        <v>1280.02</v>
      </c>
    </row>
    <row r="81" spans="1:4" x14ac:dyDescent="0.2">
      <c r="A81">
        <v>1</v>
      </c>
      <c r="B81" t="s">
        <v>30</v>
      </c>
      <c r="C81" t="s">
        <v>27</v>
      </c>
      <c r="D81">
        <v>96.69</v>
      </c>
    </row>
    <row r="82" spans="1:4" x14ac:dyDescent="0.2">
      <c r="A82">
        <v>2</v>
      </c>
      <c r="B82" t="s">
        <v>30</v>
      </c>
      <c r="C82" t="s">
        <v>27</v>
      </c>
      <c r="D82">
        <v>90.34</v>
      </c>
    </row>
    <row r="83" spans="1:4" x14ac:dyDescent="0.2">
      <c r="A83">
        <v>3</v>
      </c>
      <c r="B83" t="s">
        <v>30</v>
      </c>
      <c r="C83" t="s">
        <v>27</v>
      </c>
      <c r="D83">
        <v>90.34</v>
      </c>
    </row>
    <row r="84" spans="1:4" x14ac:dyDescent="0.2">
      <c r="A84">
        <v>1</v>
      </c>
      <c r="B84" t="s">
        <v>30</v>
      </c>
      <c r="C84" t="s">
        <v>27</v>
      </c>
      <c r="D84">
        <v>52.27</v>
      </c>
    </row>
    <row r="85" spans="1:4" x14ac:dyDescent="0.2">
      <c r="A85">
        <v>2</v>
      </c>
      <c r="B85" t="s">
        <v>30</v>
      </c>
      <c r="C85" t="s">
        <v>27</v>
      </c>
      <c r="D85">
        <v>52.27</v>
      </c>
    </row>
    <row r="86" spans="1:4" x14ac:dyDescent="0.2">
      <c r="A86">
        <v>1</v>
      </c>
      <c r="B86" t="s">
        <v>30</v>
      </c>
      <c r="C86" t="s">
        <v>27</v>
      </c>
      <c r="D86">
        <v>9.57</v>
      </c>
    </row>
    <row r="87" spans="1:4" x14ac:dyDescent="0.2">
      <c r="A87">
        <v>1</v>
      </c>
      <c r="B87" t="s">
        <v>30</v>
      </c>
      <c r="C87" t="s">
        <v>27</v>
      </c>
      <c r="D87">
        <v>100.82</v>
      </c>
    </row>
    <row r="88" spans="1:4" x14ac:dyDescent="0.2">
      <c r="A88">
        <v>2</v>
      </c>
      <c r="B88" t="s">
        <v>30</v>
      </c>
      <c r="C88" t="s">
        <v>27</v>
      </c>
      <c r="D88">
        <v>100.82</v>
      </c>
    </row>
    <row r="89" spans="1:4" x14ac:dyDescent="0.2">
      <c r="A89">
        <v>3</v>
      </c>
      <c r="B89" t="s">
        <v>30</v>
      </c>
      <c r="C89" t="s">
        <v>27</v>
      </c>
      <c r="D89">
        <v>100.82</v>
      </c>
    </row>
    <row r="90" spans="1:4" x14ac:dyDescent="0.2">
      <c r="A90">
        <v>1</v>
      </c>
      <c r="B90" t="s">
        <v>30</v>
      </c>
      <c r="C90" t="s">
        <v>27</v>
      </c>
      <c r="D90">
        <v>116.38</v>
      </c>
    </row>
    <row r="91" spans="1:4" x14ac:dyDescent="0.2">
      <c r="A91">
        <v>2</v>
      </c>
      <c r="B91" t="s">
        <v>30</v>
      </c>
      <c r="C91" t="s">
        <v>27</v>
      </c>
      <c r="D91">
        <v>116.38</v>
      </c>
    </row>
    <row r="92" spans="1:4" x14ac:dyDescent="0.2">
      <c r="A92">
        <v>3</v>
      </c>
      <c r="B92" t="s">
        <v>30</v>
      </c>
      <c r="C92" t="s">
        <v>27</v>
      </c>
      <c r="D92">
        <v>116.38</v>
      </c>
    </row>
    <row r="93" spans="1:4" x14ac:dyDescent="0.2">
      <c r="A93">
        <v>2</v>
      </c>
      <c r="B93" t="s">
        <v>37</v>
      </c>
      <c r="C93" t="s">
        <v>27</v>
      </c>
      <c r="D93">
        <v>743.13</v>
      </c>
    </row>
    <row r="94" spans="1:4" x14ac:dyDescent="0.2">
      <c r="A94">
        <v>1</v>
      </c>
      <c r="B94" t="s">
        <v>37</v>
      </c>
      <c r="C94" t="s">
        <v>27</v>
      </c>
      <c r="D94">
        <v>1500</v>
      </c>
    </row>
    <row r="95" spans="1:4" x14ac:dyDescent="0.2">
      <c r="A95">
        <v>1</v>
      </c>
      <c r="B95" t="s">
        <v>37</v>
      </c>
      <c r="C95" t="s">
        <v>27</v>
      </c>
      <c r="D95">
        <v>2450</v>
      </c>
    </row>
    <row r="96" spans="1:4" x14ac:dyDescent="0.2">
      <c r="A96">
        <v>3</v>
      </c>
      <c r="B96" t="s">
        <v>37</v>
      </c>
      <c r="C96" t="s">
        <v>27</v>
      </c>
      <c r="D96">
        <v>1200</v>
      </c>
    </row>
    <row r="97" spans="1:4" x14ac:dyDescent="0.2">
      <c r="A97">
        <v>2</v>
      </c>
      <c r="B97" t="s">
        <v>38</v>
      </c>
      <c r="C97" t="s">
        <v>27</v>
      </c>
      <c r="D97">
        <v>592</v>
      </c>
    </row>
    <row r="98" spans="1:4" x14ac:dyDescent="0.2">
      <c r="A98">
        <v>2</v>
      </c>
      <c r="B98" t="s">
        <v>38</v>
      </c>
      <c r="C98" t="s">
        <v>27</v>
      </c>
      <c r="D98">
        <v>806</v>
      </c>
    </row>
    <row r="99" spans="1:4" x14ac:dyDescent="0.2">
      <c r="A99">
        <v>3</v>
      </c>
      <c r="B99" t="s">
        <v>38</v>
      </c>
      <c r="C99" t="s">
        <v>27</v>
      </c>
      <c r="D99">
        <v>592</v>
      </c>
    </row>
    <row r="100" spans="1:4" x14ac:dyDescent="0.2">
      <c r="A100">
        <v>3</v>
      </c>
      <c r="B100" t="s">
        <v>38</v>
      </c>
      <c r="C100" t="s">
        <v>27</v>
      </c>
      <c r="D100">
        <v>440.6</v>
      </c>
    </row>
    <row r="101" spans="1:4" x14ac:dyDescent="0.2">
      <c r="A101">
        <v>1</v>
      </c>
      <c r="B101" t="s">
        <v>38</v>
      </c>
      <c r="C101" t="s">
        <v>27</v>
      </c>
      <c r="D101">
        <v>592</v>
      </c>
    </row>
    <row r="102" spans="1:4" x14ac:dyDescent="0.2">
      <c r="A102">
        <v>1</v>
      </c>
      <c r="B102" t="s">
        <v>37</v>
      </c>
      <c r="C102" t="s">
        <v>27</v>
      </c>
      <c r="D102">
        <v>25</v>
      </c>
    </row>
    <row r="103" spans="1:4" x14ac:dyDescent="0.2">
      <c r="A103">
        <v>1</v>
      </c>
      <c r="B103" t="s">
        <v>37</v>
      </c>
      <c r="C103" t="s">
        <v>27</v>
      </c>
      <c r="D103">
        <v>20</v>
      </c>
    </row>
    <row r="104" spans="1:4" x14ac:dyDescent="0.2">
      <c r="A104">
        <v>1</v>
      </c>
      <c r="B104" t="s">
        <v>37</v>
      </c>
      <c r="C104" t="s">
        <v>27</v>
      </c>
      <c r="D104">
        <v>1124.04</v>
      </c>
    </row>
    <row r="105" spans="1:4" x14ac:dyDescent="0.2">
      <c r="A105">
        <v>1</v>
      </c>
      <c r="B105" t="s">
        <v>37</v>
      </c>
      <c r="C105" t="s">
        <v>27</v>
      </c>
      <c r="D105">
        <v>-60</v>
      </c>
    </row>
    <row r="106" spans="1:4" x14ac:dyDescent="0.2">
      <c r="A106">
        <v>1</v>
      </c>
      <c r="B106" t="s">
        <v>37</v>
      </c>
      <c r="C106" t="s">
        <v>27</v>
      </c>
      <c r="D106">
        <v>2075</v>
      </c>
    </row>
    <row r="107" spans="1:4" x14ac:dyDescent="0.2">
      <c r="A107">
        <v>1</v>
      </c>
      <c r="B107" t="s">
        <v>37</v>
      </c>
      <c r="C107" t="s">
        <v>27</v>
      </c>
      <c r="D107">
        <v>240</v>
      </c>
    </row>
    <row r="108" spans="1:4" x14ac:dyDescent="0.2">
      <c r="A108">
        <v>2</v>
      </c>
      <c r="B108" t="s">
        <v>37</v>
      </c>
      <c r="C108" t="s">
        <v>27</v>
      </c>
      <c r="D108">
        <v>20</v>
      </c>
    </row>
    <row r="109" spans="1:4" x14ac:dyDescent="0.2">
      <c r="A109">
        <v>2</v>
      </c>
      <c r="B109" t="s">
        <v>37</v>
      </c>
      <c r="C109" t="s">
        <v>27</v>
      </c>
      <c r="D109">
        <v>2075</v>
      </c>
    </row>
    <row r="110" spans="1:4" x14ac:dyDescent="0.2">
      <c r="A110">
        <v>2</v>
      </c>
      <c r="B110" t="s">
        <v>37</v>
      </c>
      <c r="C110" t="s">
        <v>27</v>
      </c>
      <c r="D110">
        <v>240</v>
      </c>
    </row>
    <row r="111" spans="1:4" x14ac:dyDescent="0.2">
      <c r="A111">
        <v>3</v>
      </c>
      <c r="B111" t="s">
        <v>37</v>
      </c>
      <c r="C111" t="s">
        <v>27</v>
      </c>
      <c r="D111">
        <v>20</v>
      </c>
    </row>
    <row r="112" spans="1:4" x14ac:dyDescent="0.2">
      <c r="A112">
        <v>1</v>
      </c>
      <c r="B112" t="s">
        <v>37</v>
      </c>
      <c r="C112" t="s">
        <v>27</v>
      </c>
      <c r="D112">
        <v>1227.9000000000001</v>
      </c>
    </row>
    <row r="113" spans="1:4" x14ac:dyDescent="0.2">
      <c r="A113">
        <v>1</v>
      </c>
      <c r="B113" t="s">
        <v>37</v>
      </c>
      <c r="C113" t="s">
        <v>27</v>
      </c>
      <c r="D113">
        <v>349</v>
      </c>
    </row>
    <row r="114" spans="1:4" x14ac:dyDescent="0.2">
      <c r="A114">
        <v>2</v>
      </c>
      <c r="B114" t="s">
        <v>37</v>
      </c>
      <c r="C114" t="s">
        <v>27</v>
      </c>
      <c r="D114">
        <v>1644.95</v>
      </c>
    </row>
    <row r="115" spans="1:4" x14ac:dyDescent="0.2">
      <c r="A115">
        <v>2</v>
      </c>
      <c r="B115" t="s">
        <v>37</v>
      </c>
      <c r="C115" t="s">
        <v>27</v>
      </c>
      <c r="D115">
        <v>349</v>
      </c>
    </row>
    <row r="116" spans="1:4" x14ac:dyDescent="0.2">
      <c r="A116">
        <v>3</v>
      </c>
      <c r="B116" t="s">
        <v>37</v>
      </c>
      <c r="C116" t="s">
        <v>27</v>
      </c>
      <c r="D116">
        <v>2659.76</v>
      </c>
    </row>
    <row r="117" spans="1:4" x14ac:dyDescent="0.2">
      <c r="A117">
        <v>2</v>
      </c>
      <c r="B117" t="s">
        <v>37</v>
      </c>
      <c r="C117" t="s">
        <v>27</v>
      </c>
      <c r="D117">
        <v>41.67</v>
      </c>
    </row>
    <row r="118" spans="1:4" x14ac:dyDescent="0.2">
      <c r="A118">
        <v>2</v>
      </c>
      <c r="B118" t="s">
        <v>37</v>
      </c>
      <c r="C118" t="s">
        <v>27</v>
      </c>
      <c r="D118">
        <v>41.67</v>
      </c>
    </row>
    <row r="119" spans="1:4" x14ac:dyDescent="0.2">
      <c r="A119">
        <v>2</v>
      </c>
      <c r="B119" t="s">
        <v>37</v>
      </c>
      <c r="C119" t="s">
        <v>27</v>
      </c>
      <c r="D119">
        <v>500</v>
      </c>
    </row>
    <row r="120" spans="1:4" x14ac:dyDescent="0.2">
      <c r="A120">
        <v>2</v>
      </c>
      <c r="B120" t="s">
        <v>37</v>
      </c>
      <c r="C120" t="s">
        <v>27</v>
      </c>
      <c r="D120">
        <v>500</v>
      </c>
    </row>
    <row r="121" spans="1:4" x14ac:dyDescent="0.2">
      <c r="A121">
        <v>3</v>
      </c>
      <c r="B121" t="s">
        <v>37</v>
      </c>
      <c r="C121" t="s">
        <v>27</v>
      </c>
      <c r="D121">
        <v>500</v>
      </c>
    </row>
    <row r="122" spans="1:4" x14ac:dyDescent="0.2">
      <c r="A122">
        <v>3</v>
      </c>
      <c r="B122" t="s">
        <v>37</v>
      </c>
      <c r="C122" t="s">
        <v>27</v>
      </c>
      <c r="D122">
        <v>500</v>
      </c>
    </row>
    <row r="123" spans="1:4" x14ac:dyDescent="0.2">
      <c r="A123">
        <v>2</v>
      </c>
      <c r="B123" t="s">
        <v>40</v>
      </c>
      <c r="C123" t="s">
        <v>27</v>
      </c>
      <c r="D123">
        <v>583.26</v>
      </c>
    </row>
    <row r="124" spans="1:4" x14ac:dyDescent="0.2">
      <c r="A124">
        <v>2</v>
      </c>
      <c r="B124" t="s">
        <v>40</v>
      </c>
      <c r="C124" t="s">
        <v>27</v>
      </c>
      <c r="D124">
        <v>261.91000000000003</v>
      </c>
    </row>
    <row r="125" spans="1:4" x14ac:dyDescent="0.2">
      <c r="A125">
        <v>2</v>
      </c>
      <c r="B125" t="s">
        <v>40</v>
      </c>
      <c r="C125" t="s">
        <v>27</v>
      </c>
      <c r="D125">
        <v>88.18</v>
      </c>
    </row>
    <row r="126" spans="1:4" x14ac:dyDescent="0.2">
      <c r="A126">
        <v>2</v>
      </c>
      <c r="B126" t="s">
        <v>40</v>
      </c>
      <c r="C126" t="s">
        <v>27</v>
      </c>
      <c r="D126">
        <v>46.11</v>
      </c>
    </row>
    <row r="127" spans="1:4" x14ac:dyDescent="0.2">
      <c r="A127">
        <v>3</v>
      </c>
      <c r="B127" t="s">
        <v>40</v>
      </c>
      <c r="C127" t="s">
        <v>27</v>
      </c>
      <c r="D127">
        <v>92.59</v>
      </c>
    </row>
    <row r="128" spans="1:4" x14ac:dyDescent="0.2">
      <c r="A128">
        <v>1</v>
      </c>
      <c r="B128" t="s">
        <v>40</v>
      </c>
      <c r="C128" t="s">
        <v>27</v>
      </c>
      <c r="D128">
        <v>149.19999999999999</v>
      </c>
    </row>
    <row r="129" spans="1:4" x14ac:dyDescent="0.2">
      <c r="A129">
        <v>2</v>
      </c>
      <c r="B129" t="s">
        <v>40</v>
      </c>
      <c r="C129" t="s">
        <v>27</v>
      </c>
      <c r="D129">
        <v>99.95</v>
      </c>
    </row>
    <row r="130" spans="1:4" x14ac:dyDescent="0.2">
      <c r="A130">
        <v>3</v>
      </c>
      <c r="B130" t="s">
        <v>40</v>
      </c>
      <c r="C130" t="s">
        <v>27</v>
      </c>
      <c r="D130">
        <v>143.12</v>
      </c>
    </row>
    <row r="131" spans="1:4" x14ac:dyDescent="0.2">
      <c r="A131">
        <v>1</v>
      </c>
      <c r="B131" t="s">
        <v>40</v>
      </c>
      <c r="C131" t="s">
        <v>27</v>
      </c>
      <c r="D131">
        <v>3.89</v>
      </c>
    </row>
    <row r="132" spans="1:4" x14ac:dyDescent="0.2">
      <c r="A132">
        <v>1</v>
      </c>
      <c r="B132" t="s">
        <v>40</v>
      </c>
      <c r="C132" t="s">
        <v>27</v>
      </c>
      <c r="D132">
        <v>43.94</v>
      </c>
    </row>
    <row r="133" spans="1:4" x14ac:dyDescent="0.2">
      <c r="A133">
        <v>1</v>
      </c>
      <c r="B133" t="s">
        <v>40</v>
      </c>
      <c r="C133" t="s">
        <v>27</v>
      </c>
      <c r="D133">
        <v>35</v>
      </c>
    </row>
    <row r="134" spans="1:4" x14ac:dyDescent="0.2">
      <c r="A134">
        <v>1</v>
      </c>
      <c r="B134" t="s">
        <v>40</v>
      </c>
      <c r="C134" t="s">
        <v>27</v>
      </c>
      <c r="D134">
        <v>10.83</v>
      </c>
    </row>
    <row r="135" spans="1:4" x14ac:dyDescent="0.2">
      <c r="A135">
        <v>1</v>
      </c>
      <c r="B135" t="s">
        <v>40</v>
      </c>
      <c r="C135" t="s">
        <v>27</v>
      </c>
      <c r="D135">
        <v>33.18</v>
      </c>
    </row>
    <row r="136" spans="1:4" x14ac:dyDescent="0.2">
      <c r="A136">
        <v>1</v>
      </c>
      <c r="B136" t="s">
        <v>40</v>
      </c>
      <c r="C136" t="s">
        <v>27</v>
      </c>
      <c r="D136">
        <v>195</v>
      </c>
    </row>
    <row r="137" spans="1:4" x14ac:dyDescent="0.2">
      <c r="A137">
        <v>1</v>
      </c>
      <c r="B137" t="s">
        <v>40</v>
      </c>
      <c r="C137" t="s">
        <v>27</v>
      </c>
      <c r="D137">
        <v>25.45</v>
      </c>
    </row>
    <row r="138" spans="1:4" x14ac:dyDescent="0.2">
      <c r="A138">
        <v>1</v>
      </c>
      <c r="B138" t="s">
        <v>40</v>
      </c>
      <c r="C138" t="s">
        <v>27</v>
      </c>
      <c r="D138">
        <v>52</v>
      </c>
    </row>
    <row r="139" spans="1:4" x14ac:dyDescent="0.2">
      <c r="A139">
        <v>1</v>
      </c>
      <c r="B139" t="s">
        <v>40</v>
      </c>
      <c r="C139" t="s">
        <v>27</v>
      </c>
      <c r="D139">
        <v>52</v>
      </c>
    </row>
    <row r="140" spans="1:4" x14ac:dyDescent="0.2">
      <c r="A140">
        <v>1</v>
      </c>
      <c r="B140" t="s">
        <v>40</v>
      </c>
      <c r="C140" t="s">
        <v>27</v>
      </c>
      <c r="D140">
        <v>14.7</v>
      </c>
    </row>
    <row r="141" spans="1:4" x14ac:dyDescent="0.2">
      <c r="A141">
        <v>1</v>
      </c>
      <c r="B141" t="s">
        <v>40</v>
      </c>
      <c r="C141" t="s">
        <v>27</v>
      </c>
      <c r="D141">
        <v>43.18</v>
      </c>
    </row>
    <row r="142" spans="1:4" x14ac:dyDescent="0.2">
      <c r="A142">
        <v>1</v>
      </c>
      <c r="B142" t="s">
        <v>40</v>
      </c>
      <c r="C142" t="s">
        <v>27</v>
      </c>
      <c r="D142">
        <v>21.25</v>
      </c>
    </row>
    <row r="143" spans="1:4" x14ac:dyDescent="0.2">
      <c r="A143">
        <v>1</v>
      </c>
      <c r="B143" t="s">
        <v>40</v>
      </c>
      <c r="C143" t="s">
        <v>27</v>
      </c>
      <c r="D143">
        <v>54.64</v>
      </c>
    </row>
    <row r="144" spans="1:4" x14ac:dyDescent="0.2">
      <c r="A144">
        <v>2</v>
      </c>
      <c r="B144" t="s">
        <v>40</v>
      </c>
      <c r="C144" t="s">
        <v>27</v>
      </c>
      <c r="D144">
        <v>44.17</v>
      </c>
    </row>
    <row r="145" spans="1:4" x14ac:dyDescent="0.2">
      <c r="A145">
        <v>2</v>
      </c>
      <c r="B145" t="s">
        <v>40</v>
      </c>
      <c r="C145" t="s">
        <v>27</v>
      </c>
      <c r="D145">
        <v>8.18</v>
      </c>
    </row>
    <row r="146" spans="1:4" x14ac:dyDescent="0.2">
      <c r="A146">
        <v>2</v>
      </c>
      <c r="B146" t="s">
        <v>40</v>
      </c>
      <c r="C146" t="s">
        <v>27</v>
      </c>
      <c r="D146">
        <v>2.04</v>
      </c>
    </row>
    <row r="147" spans="1:4" x14ac:dyDescent="0.2">
      <c r="A147">
        <v>2</v>
      </c>
      <c r="B147" t="s">
        <v>40</v>
      </c>
      <c r="C147" t="s">
        <v>27</v>
      </c>
      <c r="D147">
        <v>7.42</v>
      </c>
    </row>
    <row r="148" spans="1:4" x14ac:dyDescent="0.2">
      <c r="A148">
        <v>2</v>
      </c>
      <c r="B148" t="s">
        <v>40</v>
      </c>
      <c r="C148" t="s">
        <v>27</v>
      </c>
      <c r="D148">
        <v>64</v>
      </c>
    </row>
    <row r="149" spans="1:4" x14ac:dyDescent="0.2">
      <c r="A149">
        <v>2</v>
      </c>
      <c r="B149" t="s">
        <v>40</v>
      </c>
      <c r="C149" t="s">
        <v>27</v>
      </c>
      <c r="D149">
        <v>402</v>
      </c>
    </row>
    <row r="150" spans="1:4" x14ac:dyDescent="0.2">
      <c r="A150">
        <v>2</v>
      </c>
      <c r="B150" t="s">
        <v>40</v>
      </c>
      <c r="C150" t="s">
        <v>27</v>
      </c>
      <c r="D150">
        <v>39.64</v>
      </c>
    </row>
    <row r="151" spans="1:4" x14ac:dyDescent="0.2">
      <c r="A151">
        <v>3</v>
      </c>
      <c r="B151" t="s">
        <v>40</v>
      </c>
      <c r="C151" t="s">
        <v>27</v>
      </c>
      <c r="D151">
        <v>107.9</v>
      </c>
    </row>
    <row r="152" spans="1:4" x14ac:dyDescent="0.2">
      <c r="A152">
        <v>3</v>
      </c>
      <c r="B152" t="s">
        <v>40</v>
      </c>
      <c r="C152" t="s">
        <v>27</v>
      </c>
      <c r="D152">
        <v>54.09</v>
      </c>
    </row>
    <row r="153" spans="1:4" x14ac:dyDescent="0.2">
      <c r="A153">
        <v>3</v>
      </c>
      <c r="B153" t="s">
        <v>40</v>
      </c>
      <c r="C153" t="s">
        <v>27</v>
      </c>
      <c r="D153">
        <v>69.2</v>
      </c>
    </row>
    <row r="154" spans="1:4" x14ac:dyDescent="0.2">
      <c r="A154">
        <v>3</v>
      </c>
      <c r="B154" t="s">
        <v>40</v>
      </c>
      <c r="C154" t="s">
        <v>27</v>
      </c>
      <c r="D154">
        <v>81.819999999999993</v>
      </c>
    </row>
    <row r="155" spans="1:4" x14ac:dyDescent="0.2">
      <c r="A155">
        <v>3</v>
      </c>
      <c r="B155" t="s">
        <v>40</v>
      </c>
      <c r="C155" t="s">
        <v>27</v>
      </c>
      <c r="D155">
        <v>40.81</v>
      </c>
    </row>
    <row r="156" spans="1:4" x14ac:dyDescent="0.2">
      <c r="A156">
        <v>3</v>
      </c>
      <c r="B156" t="s">
        <v>40</v>
      </c>
      <c r="C156" t="s">
        <v>27</v>
      </c>
      <c r="D156">
        <v>26.93</v>
      </c>
    </row>
    <row r="157" spans="1:4" x14ac:dyDescent="0.2">
      <c r="A157">
        <v>3</v>
      </c>
      <c r="B157" t="s">
        <v>40</v>
      </c>
      <c r="C157" t="s">
        <v>27</v>
      </c>
      <c r="D157">
        <v>34.450000000000003</v>
      </c>
    </row>
    <row r="158" spans="1:4" x14ac:dyDescent="0.2">
      <c r="A158">
        <v>2</v>
      </c>
      <c r="B158" t="s">
        <v>41</v>
      </c>
      <c r="C158" t="s">
        <v>27</v>
      </c>
      <c r="D158">
        <v>81.599999999999994</v>
      </c>
    </row>
    <row r="159" spans="1:4" x14ac:dyDescent="0.2">
      <c r="A159">
        <v>3</v>
      </c>
      <c r="B159" t="s">
        <v>41</v>
      </c>
      <c r="C159" t="s">
        <v>27</v>
      </c>
      <c r="D159">
        <v>74.040000000000006</v>
      </c>
    </row>
    <row r="160" spans="1:4" x14ac:dyDescent="0.2">
      <c r="A160">
        <v>1</v>
      </c>
      <c r="B160" t="s">
        <v>41</v>
      </c>
      <c r="C160" t="s">
        <v>27</v>
      </c>
      <c r="D160">
        <v>4.16</v>
      </c>
    </row>
    <row r="161" spans="1:4" x14ac:dyDescent="0.2">
      <c r="A161">
        <v>1</v>
      </c>
      <c r="B161" t="s">
        <v>41</v>
      </c>
      <c r="C161" t="s">
        <v>27</v>
      </c>
      <c r="D161">
        <v>79</v>
      </c>
    </row>
    <row r="162" spans="1:4" x14ac:dyDescent="0.2">
      <c r="A162">
        <v>2</v>
      </c>
      <c r="B162" t="s">
        <v>41</v>
      </c>
      <c r="C162" t="s">
        <v>27</v>
      </c>
      <c r="D162">
        <v>4.16</v>
      </c>
    </row>
    <row r="163" spans="1:4" x14ac:dyDescent="0.2">
      <c r="A163">
        <v>3</v>
      </c>
      <c r="B163" t="s">
        <v>41</v>
      </c>
      <c r="C163" t="s">
        <v>27</v>
      </c>
      <c r="D163">
        <v>4.16</v>
      </c>
    </row>
    <row r="164" spans="1:4" x14ac:dyDescent="0.2">
      <c r="A164">
        <v>1</v>
      </c>
      <c r="B164" t="s">
        <v>41</v>
      </c>
      <c r="C164" t="s">
        <v>27</v>
      </c>
      <c r="D164">
        <v>0.67</v>
      </c>
    </row>
    <row r="165" spans="1:4" x14ac:dyDescent="0.2">
      <c r="A165">
        <v>1</v>
      </c>
      <c r="B165" t="s">
        <v>41</v>
      </c>
      <c r="C165" t="s">
        <v>27</v>
      </c>
      <c r="D165">
        <v>-40.229999999999997</v>
      </c>
    </row>
    <row r="166" spans="1:4" x14ac:dyDescent="0.2">
      <c r="A166">
        <v>1</v>
      </c>
      <c r="B166" t="s">
        <v>41</v>
      </c>
      <c r="C166" t="s">
        <v>27</v>
      </c>
      <c r="D166">
        <v>40.44</v>
      </c>
    </row>
    <row r="167" spans="1:4" x14ac:dyDescent="0.2">
      <c r="A167">
        <v>1</v>
      </c>
      <c r="B167" t="s">
        <v>41</v>
      </c>
      <c r="C167" t="s">
        <v>27</v>
      </c>
      <c r="D167">
        <v>40.659999999999997</v>
      </c>
    </row>
    <row r="168" spans="1:4" x14ac:dyDescent="0.2">
      <c r="A168">
        <v>3</v>
      </c>
      <c r="B168" t="s">
        <v>41</v>
      </c>
      <c r="C168" t="s">
        <v>27</v>
      </c>
      <c r="D168">
        <v>-41.33</v>
      </c>
    </row>
    <row r="169" spans="1:4" x14ac:dyDescent="0.2">
      <c r="A169">
        <v>1</v>
      </c>
      <c r="B169" t="s">
        <v>41</v>
      </c>
      <c r="C169" t="s">
        <v>27</v>
      </c>
      <c r="D169">
        <v>43.7</v>
      </c>
    </row>
    <row r="170" spans="1:4" x14ac:dyDescent="0.2">
      <c r="A170">
        <v>1</v>
      </c>
      <c r="B170" t="s">
        <v>41</v>
      </c>
      <c r="C170" t="s">
        <v>27</v>
      </c>
      <c r="D170">
        <v>9.35</v>
      </c>
    </row>
    <row r="171" spans="1:4" x14ac:dyDescent="0.2">
      <c r="A171">
        <v>1</v>
      </c>
      <c r="B171" t="s">
        <v>41</v>
      </c>
      <c r="C171" t="s">
        <v>27</v>
      </c>
      <c r="D171">
        <v>8.81</v>
      </c>
    </row>
    <row r="172" spans="1:4" x14ac:dyDescent="0.2">
      <c r="A172">
        <v>1</v>
      </c>
      <c r="B172" t="s">
        <v>41</v>
      </c>
      <c r="C172" t="s">
        <v>27</v>
      </c>
      <c r="D172">
        <v>104.8</v>
      </c>
    </row>
    <row r="173" spans="1:4" x14ac:dyDescent="0.2">
      <c r="A173">
        <v>2</v>
      </c>
      <c r="B173" t="s">
        <v>41</v>
      </c>
      <c r="C173" t="s">
        <v>27</v>
      </c>
      <c r="D173">
        <v>43.7</v>
      </c>
    </row>
    <row r="174" spans="1:4" x14ac:dyDescent="0.2">
      <c r="A174">
        <v>2</v>
      </c>
      <c r="B174" t="s">
        <v>41</v>
      </c>
      <c r="C174" t="s">
        <v>27</v>
      </c>
      <c r="D174">
        <v>1.05</v>
      </c>
    </row>
    <row r="175" spans="1:4" x14ac:dyDescent="0.2">
      <c r="A175">
        <v>2</v>
      </c>
      <c r="B175" t="s">
        <v>41</v>
      </c>
      <c r="C175" t="s">
        <v>27</v>
      </c>
      <c r="D175">
        <v>9.16</v>
      </c>
    </row>
    <row r="176" spans="1:4" x14ac:dyDescent="0.2">
      <c r="A176">
        <v>2</v>
      </c>
      <c r="B176" t="s">
        <v>41</v>
      </c>
      <c r="C176" t="s">
        <v>27</v>
      </c>
      <c r="D176">
        <v>8.64</v>
      </c>
    </row>
    <row r="177" spans="1:4" x14ac:dyDescent="0.2">
      <c r="A177">
        <v>2</v>
      </c>
      <c r="B177" t="s">
        <v>41</v>
      </c>
      <c r="C177" t="s">
        <v>27</v>
      </c>
      <c r="D177">
        <v>0.35</v>
      </c>
    </row>
    <row r="178" spans="1:4" x14ac:dyDescent="0.2">
      <c r="A178">
        <v>3</v>
      </c>
      <c r="B178" t="s">
        <v>41</v>
      </c>
      <c r="C178" t="s">
        <v>27</v>
      </c>
      <c r="D178">
        <v>0.45</v>
      </c>
    </row>
    <row r="179" spans="1:4" x14ac:dyDescent="0.2">
      <c r="A179">
        <v>3</v>
      </c>
      <c r="B179" t="s">
        <v>41</v>
      </c>
      <c r="C179" t="s">
        <v>27</v>
      </c>
      <c r="D179">
        <v>43.7</v>
      </c>
    </row>
    <row r="180" spans="1:4" x14ac:dyDescent="0.2">
      <c r="A180">
        <v>3</v>
      </c>
      <c r="B180" t="s">
        <v>41</v>
      </c>
      <c r="C180" t="s">
        <v>27</v>
      </c>
      <c r="D180">
        <v>40.44</v>
      </c>
    </row>
    <row r="181" spans="1:4" x14ac:dyDescent="0.2">
      <c r="A181">
        <v>3</v>
      </c>
      <c r="B181" t="s">
        <v>41</v>
      </c>
      <c r="C181" t="s">
        <v>27</v>
      </c>
      <c r="D181">
        <v>0.45</v>
      </c>
    </row>
    <row r="182" spans="1:4" x14ac:dyDescent="0.2">
      <c r="A182">
        <v>3</v>
      </c>
      <c r="B182" t="s">
        <v>41</v>
      </c>
      <c r="C182" t="s">
        <v>27</v>
      </c>
      <c r="D182">
        <v>1.07</v>
      </c>
    </row>
    <row r="183" spans="1:4" x14ac:dyDescent="0.2">
      <c r="A183">
        <v>3</v>
      </c>
      <c r="B183" t="s">
        <v>41</v>
      </c>
      <c r="C183" t="s">
        <v>27</v>
      </c>
      <c r="D183">
        <v>0.36</v>
      </c>
    </row>
    <row r="184" spans="1:4" x14ac:dyDescent="0.2">
      <c r="A184">
        <v>3</v>
      </c>
      <c r="B184" t="s">
        <v>41</v>
      </c>
      <c r="C184" t="s">
        <v>27</v>
      </c>
      <c r="D184">
        <v>8.9700000000000006</v>
      </c>
    </row>
    <row r="185" spans="1:4" x14ac:dyDescent="0.2">
      <c r="A185">
        <v>3</v>
      </c>
      <c r="B185" t="s">
        <v>41</v>
      </c>
      <c r="C185" t="s">
        <v>27</v>
      </c>
      <c r="D185">
        <v>8.4600000000000009</v>
      </c>
    </row>
    <row r="186" spans="1:4" x14ac:dyDescent="0.2">
      <c r="A186">
        <v>3</v>
      </c>
      <c r="B186" t="s">
        <v>41</v>
      </c>
      <c r="C186" t="s">
        <v>27</v>
      </c>
      <c r="D186">
        <v>2.72</v>
      </c>
    </row>
    <row r="187" spans="1:4" x14ac:dyDescent="0.2">
      <c r="A187">
        <v>1</v>
      </c>
      <c r="B187" t="s">
        <v>37</v>
      </c>
      <c r="C187" t="s">
        <v>27</v>
      </c>
      <c r="D187">
        <v>150</v>
      </c>
    </row>
    <row r="188" spans="1:4" x14ac:dyDescent="0.2">
      <c r="A188">
        <v>1</v>
      </c>
      <c r="B188" t="s">
        <v>37</v>
      </c>
      <c r="C188" t="s">
        <v>27</v>
      </c>
      <c r="D188">
        <v>150</v>
      </c>
    </row>
    <row r="189" spans="1:4" x14ac:dyDescent="0.2">
      <c r="A189">
        <v>2</v>
      </c>
      <c r="B189" t="s">
        <v>37</v>
      </c>
      <c r="C189" t="s">
        <v>27</v>
      </c>
      <c r="D189">
        <v>150</v>
      </c>
    </row>
    <row r="190" spans="1:4" x14ac:dyDescent="0.2">
      <c r="A190">
        <v>1</v>
      </c>
      <c r="B190" t="s">
        <v>940</v>
      </c>
      <c r="C190" t="s">
        <v>939</v>
      </c>
      <c r="D190">
        <v>5900</v>
      </c>
    </row>
    <row r="191" spans="1:4" x14ac:dyDescent="0.2">
      <c r="A191">
        <v>2</v>
      </c>
      <c r="B191" t="s">
        <v>940</v>
      </c>
      <c r="C191" t="s">
        <v>939</v>
      </c>
      <c r="D191">
        <v>5900</v>
      </c>
    </row>
    <row r="192" spans="1:4" x14ac:dyDescent="0.2">
      <c r="A192">
        <v>3</v>
      </c>
      <c r="B192" t="s">
        <v>940</v>
      </c>
      <c r="C192" t="s">
        <v>939</v>
      </c>
      <c r="D192">
        <v>5900</v>
      </c>
    </row>
    <row r="193" spans="1:4" x14ac:dyDescent="0.2">
      <c r="A193">
        <v>1</v>
      </c>
      <c r="B193" t="s">
        <v>940</v>
      </c>
      <c r="C193" t="s">
        <v>939</v>
      </c>
      <c r="D193">
        <v>48.28</v>
      </c>
    </row>
    <row r="194" spans="1:4" x14ac:dyDescent="0.2">
      <c r="A194">
        <v>2</v>
      </c>
      <c r="B194" t="s">
        <v>940</v>
      </c>
      <c r="C194" t="s">
        <v>939</v>
      </c>
      <c r="D194">
        <v>51.12</v>
      </c>
    </row>
    <row r="195" spans="1:4" x14ac:dyDescent="0.2">
      <c r="A195">
        <v>3</v>
      </c>
      <c r="B195" t="s">
        <v>940</v>
      </c>
      <c r="C195" t="s">
        <v>939</v>
      </c>
      <c r="D195">
        <v>32.07</v>
      </c>
    </row>
    <row r="196" spans="1:4" x14ac:dyDescent="0.2">
      <c r="A196">
        <v>1</v>
      </c>
      <c r="B196" t="s">
        <v>366</v>
      </c>
      <c r="C196" t="s">
        <v>27</v>
      </c>
      <c r="D196">
        <v>-32.69</v>
      </c>
    </row>
    <row r="197" spans="1:4" x14ac:dyDescent="0.2">
      <c r="A197">
        <v>1</v>
      </c>
      <c r="B197" t="s">
        <v>366</v>
      </c>
      <c r="C197" t="s">
        <v>27</v>
      </c>
      <c r="D197">
        <v>47.48</v>
      </c>
    </row>
    <row r="198" spans="1:4" x14ac:dyDescent="0.2">
      <c r="A198">
        <v>1</v>
      </c>
      <c r="B198" t="s">
        <v>366</v>
      </c>
      <c r="C198" t="s">
        <v>27</v>
      </c>
      <c r="D198">
        <v>7.24</v>
      </c>
    </row>
    <row r="199" spans="1:4" x14ac:dyDescent="0.2">
      <c r="A199">
        <v>2</v>
      </c>
      <c r="B199" t="s">
        <v>366</v>
      </c>
      <c r="C199" t="s">
        <v>27</v>
      </c>
      <c r="D199">
        <v>50.27</v>
      </c>
    </row>
    <row r="200" spans="1:4" x14ac:dyDescent="0.2">
      <c r="A200">
        <v>2</v>
      </c>
      <c r="B200" t="s">
        <v>366</v>
      </c>
      <c r="C200" t="s">
        <v>27</v>
      </c>
      <c r="D200">
        <v>7.67</v>
      </c>
    </row>
    <row r="201" spans="1:4" x14ac:dyDescent="0.2">
      <c r="A201">
        <v>3</v>
      </c>
      <c r="B201" t="s">
        <v>366</v>
      </c>
      <c r="C201" t="s">
        <v>27</v>
      </c>
      <c r="D201">
        <v>31.54</v>
      </c>
    </row>
    <row r="202" spans="1:4" x14ac:dyDescent="0.2">
      <c r="A202">
        <v>3</v>
      </c>
      <c r="B202" t="s">
        <v>366</v>
      </c>
      <c r="C202" t="s">
        <v>27</v>
      </c>
      <c r="D202">
        <v>4.8099999999999996</v>
      </c>
    </row>
    <row r="203" spans="1:4" x14ac:dyDescent="0.2">
      <c r="A203">
        <v>1</v>
      </c>
      <c r="B203" t="s">
        <v>940</v>
      </c>
      <c r="C203" t="s">
        <v>939</v>
      </c>
      <c r="D203">
        <v>9570.14</v>
      </c>
    </row>
    <row r="204" spans="1:4" x14ac:dyDescent="0.2">
      <c r="A204">
        <v>2</v>
      </c>
      <c r="B204" t="s">
        <v>940</v>
      </c>
      <c r="C204" t="s">
        <v>939</v>
      </c>
      <c r="D204">
        <v>10045.14</v>
      </c>
    </row>
    <row r="205" spans="1:4" x14ac:dyDescent="0.2">
      <c r="A205">
        <v>3</v>
      </c>
      <c r="B205" t="s">
        <v>940</v>
      </c>
      <c r="C205" t="s">
        <v>939</v>
      </c>
      <c r="D205">
        <v>6800.87</v>
      </c>
    </row>
    <row r="206" spans="1:4" x14ac:dyDescent="0.2">
      <c r="A206">
        <v>1</v>
      </c>
      <c r="B206" t="s">
        <v>940</v>
      </c>
      <c r="C206" t="s">
        <v>939</v>
      </c>
      <c r="D206">
        <v>2756.76</v>
      </c>
    </row>
    <row r="207" spans="1:4" x14ac:dyDescent="0.2">
      <c r="A207">
        <v>2</v>
      </c>
      <c r="B207" t="s">
        <v>940</v>
      </c>
      <c r="C207" t="s">
        <v>939</v>
      </c>
      <c r="D207">
        <v>3338.87</v>
      </c>
    </row>
    <row r="208" spans="1:4" x14ac:dyDescent="0.2">
      <c r="A208">
        <v>3</v>
      </c>
      <c r="B208" t="s">
        <v>940</v>
      </c>
      <c r="C208" t="s">
        <v>939</v>
      </c>
      <c r="D208">
        <v>1690.44</v>
      </c>
    </row>
    <row r="209" spans="1:4" x14ac:dyDescent="0.2">
      <c r="A209">
        <v>1</v>
      </c>
      <c r="B209" t="s">
        <v>940</v>
      </c>
      <c r="C209" t="s">
        <v>939</v>
      </c>
      <c r="D209">
        <v>385.5</v>
      </c>
    </row>
    <row r="210" spans="1:4" x14ac:dyDescent="0.2">
      <c r="A210">
        <v>1</v>
      </c>
      <c r="B210" t="s">
        <v>940</v>
      </c>
      <c r="C210" t="s">
        <v>939</v>
      </c>
      <c r="D210">
        <v>-350</v>
      </c>
    </row>
    <row r="211" spans="1:4" x14ac:dyDescent="0.2">
      <c r="A211">
        <v>2</v>
      </c>
      <c r="B211" t="s">
        <v>940</v>
      </c>
      <c r="C211" t="s">
        <v>939</v>
      </c>
      <c r="D211">
        <v>-350</v>
      </c>
    </row>
    <row r="212" spans="1:4" x14ac:dyDescent="0.2">
      <c r="A212">
        <v>3</v>
      </c>
      <c r="B212" t="s">
        <v>940</v>
      </c>
      <c r="C212" t="s">
        <v>939</v>
      </c>
      <c r="D212">
        <v>-350</v>
      </c>
    </row>
    <row r="213" spans="1:4" x14ac:dyDescent="0.2">
      <c r="A213">
        <v>1</v>
      </c>
      <c r="B213" t="s">
        <v>368</v>
      </c>
      <c r="C213" t="s">
        <v>27</v>
      </c>
      <c r="D213">
        <v>0.01</v>
      </c>
    </row>
    <row r="214" spans="1:4" x14ac:dyDescent="0.2">
      <c r="A214">
        <v>1</v>
      </c>
      <c r="B214" t="s">
        <v>368</v>
      </c>
      <c r="C214" t="s">
        <v>27</v>
      </c>
      <c r="D214">
        <v>1.08</v>
      </c>
    </row>
    <row r="215" spans="1:4" x14ac:dyDescent="0.2">
      <c r="A215">
        <v>1</v>
      </c>
      <c r="B215" t="s">
        <v>368</v>
      </c>
      <c r="C215" t="s">
        <v>27</v>
      </c>
      <c r="D215">
        <v>0.01</v>
      </c>
    </row>
    <row r="216" spans="1:4" x14ac:dyDescent="0.2">
      <c r="A216">
        <v>1</v>
      </c>
      <c r="B216" t="s">
        <v>368</v>
      </c>
      <c r="C216" t="s">
        <v>27</v>
      </c>
      <c r="D216">
        <v>0.43</v>
      </c>
    </row>
    <row r="217" spans="1:4" x14ac:dyDescent="0.2">
      <c r="A217">
        <v>1</v>
      </c>
      <c r="B217" t="s">
        <v>368</v>
      </c>
      <c r="C217" t="s">
        <v>27</v>
      </c>
      <c r="D217">
        <v>2</v>
      </c>
    </row>
    <row r="218" spans="1:4" x14ac:dyDescent="0.2">
      <c r="A218">
        <v>2</v>
      </c>
      <c r="B218" t="s">
        <v>368</v>
      </c>
      <c r="C218" t="s">
        <v>27</v>
      </c>
      <c r="D218">
        <v>0.01</v>
      </c>
    </row>
    <row r="219" spans="1:4" x14ac:dyDescent="0.2">
      <c r="A219">
        <v>3</v>
      </c>
      <c r="B219" t="s">
        <v>368</v>
      </c>
      <c r="C219" t="s">
        <v>27</v>
      </c>
      <c r="D219">
        <v>0.01</v>
      </c>
    </row>
    <row r="220" spans="1:4" x14ac:dyDescent="0.2">
      <c r="A220">
        <v>3</v>
      </c>
      <c r="B220" t="s">
        <v>368</v>
      </c>
      <c r="C220" t="s">
        <v>27</v>
      </c>
      <c r="D220">
        <v>4</v>
      </c>
    </row>
    <row r="221" spans="1:4" x14ac:dyDescent="0.2">
      <c r="A221">
        <v>1</v>
      </c>
      <c r="B221" t="s">
        <v>367</v>
      </c>
      <c r="C221" t="s">
        <v>27</v>
      </c>
      <c r="D221">
        <v>13.72</v>
      </c>
    </row>
    <row r="222" spans="1:4" x14ac:dyDescent="0.2">
      <c r="A222">
        <v>1</v>
      </c>
      <c r="B222" t="s">
        <v>367</v>
      </c>
      <c r="C222" t="s">
        <v>27</v>
      </c>
      <c r="D222">
        <v>37.479999999999997</v>
      </c>
    </row>
    <row r="223" spans="1:4" x14ac:dyDescent="0.2">
      <c r="A223">
        <v>1</v>
      </c>
      <c r="B223" t="s">
        <v>367</v>
      </c>
      <c r="C223" t="s">
        <v>27</v>
      </c>
      <c r="D223">
        <v>54.12</v>
      </c>
    </row>
    <row r="224" spans="1:4" x14ac:dyDescent="0.2">
      <c r="A224">
        <v>1</v>
      </c>
      <c r="B224" t="s">
        <v>367</v>
      </c>
      <c r="C224" t="s">
        <v>27</v>
      </c>
      <c r="D224">
        <v>16.16</v>
      </c>
    </row>
    <row r="225" spans="1:4" x14ac:dyDescent="0.2">
      <c r="A225">
        <v>1</v>
      </c>
      <c r="B225" t="s">
        <v>367</v>
      </c>
      <c r="C225" t="s">
        <v>27</v>
      </c>
      <c r="D225">
        <v>26.76</v>
      </c>
    </row>
    <row r="226" spans="1:4" x14ac:dyDescent="0.2">
      <c r="A226">
        <v>2</v>
      </c>
      <c r="B226" t="s">
        <v>367</v>
      </c>
      <c r="C226" t="s">
        <v>27</v>
      </c>
      <c r="D226">
        <v>13.42</v>
      </c>
    </row>
    <row r="227" spans="1:4" x14ac:dyDescent="0.2">
      <c r="A227">
        <v>2</v>
      </c>
      <c r="B227" t="s">
        <v>367</v>
      </c>
      <c r="C227" t="s">
        <v>27</v>
      </c>
      <c r="D227">
        <v>36.67</v>
      </c>
    </row>
    <row r="228" spans="1:4" x14ac:dyDescent="0.2">
      <c r="A228">
        <v>2</v>
      </c>
      <c r="B228" t="s">
        <v>367</v>
      </c>
      <c r="C228" t="s">
        <v>27</v>
      </c>
      <c r="D228">
        <v>53.01</v>
      </c>
    </row>
    <row r="229" spans="1:4" x14ac:dyDescent="0.2">
      <c r="A229">
        <v>2</v>
      </c>
      <c r="B229" t="s">
        <v>367</v>
      </c>
      <c r="C229" t="s">
        <v>27</v>
      </c>
      <c r="D229">
        <v>15.82</v>
      </c>
    </row>
    <row r="230" spans="1:4" x14ac:dyDescent="0.2">
      <c r="A230">
        <v>2</v>
      </c>
      <c r="B230" t="s">
        <v>367</v>
      </c>
      <c r="C230" t="s">
        <v>27</v>
      </c>
      <c r="D230">
        <v>26.23</v>
      </c>
    </row>
    <row r="231" spans="1:4" x14ac:dyDescent="0.2">
      <c r="A231">
        <v>3</v>
      </c>
      <c r="B231" t="s">
        <v>367</v>
      </c>
      <c r="C231" t="s">
        <v>27</v>
      </c>
      <c r="D231">
        <v>13.13</v>
      </c>
    </row>
    <row r="232" spans="1:4" x14ac:dyDescent="0.2">
      <c r="A232">
        <v>3</v>
      </c>
      <c r="B232" t="s">
        <v>367</v>
      </c>
      <c r="C232" t="s">
        <v>27</v>
      </c>
      <c r="D232">
        <v>35.86</v>
      </c>
    </row>
    <row r="233" spans="1:4" x14ac:dyDescent="0.2">
      <c r="A233">
        <v>3</v>
      </c>
      <c r="B233" t="s">
        <v>367</v>
      </c>
      <c r="C233" t="s">
        <v>27</v>
      </c>
      <c r="D233">
        <v>51.91</v>
      </c>
    </row>
    <row r="234" spans="1:4" x14ac:dyDescent="0.2">
      <c r="A234">
        <v>3</v>
      </c>
      <c r="B234" t="s">
        <v>367</v>
      </c>
      <c r="C234" t="s">
        <v>27</v>
      </c>
      <c r="D234">
        <v>15.49</v>
      </c>
    </row>
    <row r="235" spans="1:4" x14ac:dyDescent="0.2">
      <c r="A235">
        <v>3</v>
      </c>
      <c r="B235" t="s">
        <v>367</v>
      </c>
      <c r="C235" t="s">
        <v>27</v>
      </c>
      <c r="D235">
        <v>25.69</v>
      </c>
    </row>
    <row r="236" spans="1:4" x14ac:dyDescent="0.2">
      <c r="A236">
        <v>1</v>
      </c>
      <c r="B236" t="s">
        <v>367</v>
      </c>
      <c r="C236" t="s">
        <v>27</v>
      </c>
      <c r="D236">
        <v>-7.0000000000000007E-2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Projection P&amp;L</vt:lpstr>
      <vt:lpstr>Suivi 2026</vt:lpstr>
      <vt:lpstr>Suivi 31.12.25</vt:lpstr>
      <vt:lpstr>SUIVI 31.12.24 ALTONEO</vt:lpstr>
      <vt:lpstr>SUIVI 31.12.24</vt:lpstr>
      <vt:lpstr>BP Tréso</vt:lpstr>
      <vt:lpstr>Tréso chantiers</vt:lpstr>
      <vt:lpstr>Charges réelles GL</vt:lpstr>
      <vt:lpstr>Compte de résultat</vt:lpstr>
      <vt:lpstr>Comparatif 2026</vt:lpstr>
      <vt:lpstr>Détail GL</vt:lpstr>
      <vt:lpstr>Prépa tréso projet</vt:lpstr>
      <vt:lpstr>% avancement</vt:lpstr>
      <vt:lpstr>Fonds propres</vt:lpstr>
      <vt:lpstr>SUIVI 30.06.24</vt:lpstr>
      <vt:lpstr>Suivi 31.12.2023</vt:lpstr>
      <vt:lpstr>_GL_2025</vt:lpstr>
      <vt:lpstr>_GL_2026</vt:lpstr>
      <vt:lpstr>_Mapping_comptes</vt:lpstr>
      <vt:lpstr>_RH</vt:lpstr>
      <vt:lpstr>_Base_prev</vt:lpstr>
      <vt:lpstr>_Data_2025</vt:lpstr>
      <vt:lpstr>_Data_2026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Vincent Paradis</cp:lastModifiedBy>
  <cp:revision>0</cp:revision>
  <dcterms:created xsi:type="dcterms:W3CDTF">2024-01-02T08:58:47Z</dcterms:created>
  <dcterms:modified xsi:type="dcterms:W3CDTF">2026-04-22T07:15:06Z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0x010100F00AEDBA8A48F5499DEB71484CA69890</vt:lpwstr>
  </property>
  <property fmtid="{D5CDD505-2E9C-101B-9397-08002B2CF9AE}" pid="3" name="MediaServiceImageTags">
    <vt:lpwstr/>
  </property>
</Properties>
</file>